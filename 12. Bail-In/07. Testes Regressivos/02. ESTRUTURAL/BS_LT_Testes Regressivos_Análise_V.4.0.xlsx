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7. Testes Regressivos/02. ESTRUTURAL/"/>
    </mc:Choice>
  </mc:AlternateContent>
  <xr:revisionPtr revIDLastSave="2598" documentId="13_ncr:1_{E8DA5507-1113-406F-BDA4-60AF02ACB5EF}" xr6:coauthVersionLast="47" xr6:coauthVersionMax="47" xr10:uidLastSave="{033CE7B0-1A5B-4B94-8782-9F498286BCB5}"/>
  <bookViews>
    <workbookView xWindow="28680" yWindow="-120" windowWidth="29040" windowHeight="15720" tabRatio="809" activeTab="1" xr2:uid="{030652E1-5520-46EF-ACE6-B8D622DA9F10}"/>
  </bookViews>
  <sheets>
    <sheet name="Instruções" sheetId="3" r:id="rId1"/>
    <sheet name="Teste Regressivo" sheetId="1" r:id="rId2"/>
  </sheets>
  <definedNames>
    <definedName name="_xlnm._FilterDatabase" localSheetId="1" hidden="1">'Teste Regressivo'!$B$3:$P$354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3" i="1" l="1"/>
  <c r="G303" i="1"/>
  <c r="J303" i="1"/>
  <c r="F304" i="1"/>
  <c r="G304" i="1"/>
  <c r="J304" i="1"/>
  <c r="F305" i="1"/>
  <c r="G305" i="1"/>
  <c r="J305" i="1"/>
  <c r="F306" i="1"/>
  <c r="G306" i="1"/>
  <c r="J306" i="1"/>
  <c r="F307" i="1"/>
  <c r="G307" i="1"/>
  <c r="J307" i="1"/>
  <c r="F308" i="1"/>
  <c r="G308" i="1"/>
  <c r="J308" i="1"/>
  <c r="F309" i="1"/>
  <c r="G309" i="1"/>
  <c r="J309" i="1"/>
  <c r="F310" i="1"/>
  <c r="G310" i="1"/>
  <c r="J310" i="1"/>
  <c r="F311" i="1"/>
  <c r="G311" i="1"/>
  <c r="J311" i="1"/>
  <c r="F312" i="1"/>
  <c r="G312" i="1"/>
  <c r="J312" i="1"/>
  <c r="F313" i="1"/>
  <c r="G313" i="1"/>
  <c r="J313" i="1"/>
  <c r="F314" i="1"/>
  <c r="G314" i="1"/>
  <c r="J314" i="1"/>
  <c r="F315" i="1"/>
  <c r="G315" i="1"/>
  <c r="J315" i="1"/>
  <c r="F316" i="1"/>
  <c r="G316" i="1"/>
  <c r="J316" i="1"/>
  <c r="C303" i="1"/>
  <c r="D303" i="1"/>
  <c r="C304" i="1"/>
  <c r="D304" i="1"/>
  <c r="C305" i="1"/>
  <c r="H305" i="1" s="1"/>
  <c r="D305" i="1"/>
  <c r="I305" i="1" s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I313" i="1" s="1"/>
  <c r="C314" i="1"/>
  <c r="D314" i="1"/>
  <c r="C315" i="1"/>
  <c r="D315" i="1"/>
  <c r="C316" i="1"/>
  <c r="D316" i="1"/>
  <c r="F114" i="1"/>
  <c r="G114" i="1"/>
  <c r="J114" i="1"/>
  <c r="C114" i="1"/>
  <c r="D114" i="1"/>
  <c r="J99" i="1"/>
  <c r="J100" i="1"/>
  <c r="J101" i="1"/>
  <c r="J102" i="1"/>
  <c r="J103" i="1"/>
  <c r="J104" i="1"/>
  <c r="J105" i="1"/>
  <c r="J106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I314" i="1" l="1"/>
  <c r="I306" i="1"/>
  <c r="H304" i="1"/>
  <c r="H315" i="1"/>
  <c r="K307" i="1"/>
  <c r="I315" i="1"/>
  <c r="I307" i="1"/>
  <c r="K306" i="1"/>
  <c r="I316" i="1"/>
  <c r="I308" i="1"/>
  <c r="H308" i="1"/>
  <c r="H303" i="1"/>
  <c r="H314" i="1"/>
  <c r="I311" i="1"/>
  <c r="I303" i="1"/>
  <c r="H312" i="1"/>
  <c r="I309" i="1"/>
  <c r="K304" i="1"/>
  <c r="H307" i="1"/>
  <c r="H309" i="1"/>
  <c r="H306" i="1"/>
  <c r="H311" i="1"/>
  <c r="K303" i="1"/>
  <c r="H316" i="1"/>
  <c r="K308" i="1"/>
  <c r="H313" i="1"/>
  <c r="I310" i="1"/>
  <c r="K305" i="1"/>
  <c r="L305" i="1" s="1"/>
  <c r="N305" i="1" s="1"/>
  <c r="I312" i="1"/>
  <c r="I304" i="1"/>
  <c r="H310" i="1"/>
  <c r="K316" i="1"/>
  <c r="K315" i="1"/>
  <c r="K314" i="1"/>
  <c r="K313" i="1"/>
  <c r="K312" i="1"/>
  <c r="K311" i="1"/>
  <c r="K310" i="1"/>
  <c r="K309" i="1"/>
  <c r="I114" i="1"/>
  <c r="H114" i="1"/>
  <c r="K114" i="1"/>
  <c r="H106" i="1"/>
  <c r="H102" i="1"/>
  <c r="H105" i="1"/>
  <c r="H101" i="1"/>
  <c r="I104" i="1"/>
  <c r="I100" i="1"/>
  <c r="I101" i="1"/>
  <c r="I105" i="1"/>
  <c r="H104" i="1"/>
  <c r="H100" i="1"/>
  <c r="I103" i="1"/>
  <c r="I99" i="1"/>
  <c r="H103" i="1"/>
  <c r="H99" i="1"/>
  <c r="I106" i="1"/>
  <c r="I102" i="1"/>
  <c r="K106" i="1"/>
  <c r="K104" i="1"/>
  <c r="K102" i="1"/>
  <c r="K99" i="1"/>
  <c r="K105" i="1"/>
  <c r="K103" i="1"/>
  <c r="K101" i="1"/>
  <c r="K100" i="1"/>
  <c r="L315" i="1" l="1"/>
  <c r="N315" i="1" s="1"/>
  <c r="L306" i="1"/>
  <c r="N306" i="1" s="1"/>
  <c r="L307" i="1"/>
  <c r="N307" i="1" s="1"/>
  <c r="L314" i="1"/>
  <c r="N314" i="1" s="1"/>
  <c r="L308" i="1"/>
  <c r="N308" i="1" s="1"/>
  <c r="L310" i="1"/>
  <c r="N310" i="1" s="1"/>
  <c r="L304" i="1"/>
  <c r="N304" i="1" s="1"/>
  <c r="L313" i="1"/>
  <c r="N313" i="1" s="1"/>
  <c r="L303" i="1"/>
  <c r="N303" i="1" s="1"/>
  <c r="L316" i="1"/>
  <c r="N316" i="1" s="1"/>
  <c r="L309" i="1"/>
  <c r="N309" i="1" s="1"/>
  <c r="L311" i="1"/>
  <c r="N311" i="1" s="1"/>
  <c r="L312" i="1"/>
  <c r="N312" i="1" s="1"/>
  <c r="L114" i="1"/>
  <c r="N114" i="1" s="1"/>
  <c r="L105" i="1"/>
  <c r="N105" i="1" s="1"/>
  <c r="L99" i="1"/>
  <c r="N99" i="1" s="1"/>
  <c r="L106" i="1"/>
  <c r="N106" i="1" s="1"/>
  <c r="L101" i="1"/>
  <c r="N101" i="1" s="1"/>
  <c r="L104" i="1"/>
  <c r="N104" i="1" s="1"/>
  <c r="L102" i="1"/>
  <c r="N102" i="1" s="1"/>
  <c r="L100" i="1"/>
  <c r="N100" i="1" s="1"/>
  <c r="L103" i="1"/>
  <c r="N103" i="1" s="1"/>
  <c r="D11" i="3" l="1"/>
  <c r="P210" i="1"/>
  <c r="P140" i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35" i="1"/>
  <c r="P136" i="1" s="1"/>
  <c r="P137" i="1" s="1"/>
  <c r="P138" i="1" s="1"/>
  <c r="C136" i="1"/>
  <c r="D136" i="1"/>
  <c r="F136" i="1"/>
  <c r="G136" i="1"/>
  <c r="J136" i="1"/>
  <c r="J137" i="1"/>
  <c r="G137" i="1"/>
  <c r="F137" i="1"/>
  <c r="D137" i="1"/>
  <c r="C137" i="1"/>
  <c r="H136" i="1" l="1"/>
  <c r="K136" i="1"/>
  <c r="I136" i="1"/>
  <c r="I137" i="1"/>
  <c r="K137" i="1"/>
  <c r="H137" i="1"/>
  <c r="L136" i="1" l="1"/>
  <c r="N136" i="1" s="1"/>
  <c r="L137" i="1"/>
  <c r="N137" i="1" s="1"/>
  <c r="B15" i="3" l="1"/>
  <c r="P320" i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256" i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165" i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113" i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55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8" i="1"/>
  <c r="J317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35" i="1"/>
  <c r="J194" i="1"/>
  <c r="J193" i="1"/>
  <c r="J192" i="1"/>
  <c r="J191" i="1"/>
  <c r="J190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8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3" i="1"/>
  <c r="J111" i="1"/>
  <c r="J110" i="1"/>
  <c r="J109" i="1"/>
  <c r="J108" i="1"/>
  <c r="J107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8" i="1"/>
  <c r="G317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35" i="1"/>
  <c r="G194" i="1"/>
  <c r="G193" i="1"/>
  <c r="G192" i="1"/>
  <c r="G191" i="1"/>
  <c r="G190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8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3" i="1"/>
  <c r="G111" i="1"/>
  <c r="G110" i="1"/>
  <c r="G109" i="1"/>
  <c r="G108" i="1"/>
  <c r="G107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8" i="1"/>
  <c r="F317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35" i="1"/>
  <c r="F194" i="1"/>
  <c r="F193" i="1"/>
  <c r="F192" i="1"/>
  <c r="F191" i="1"/>
  <c r="F190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8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3" i="1"/>
  <c r="F111" i="1"/>
  <c r="F110" i="1"/>
  <c r="F109" i="1"/>
  <c r="F108" i="1"/>
  <c r="F107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8" i="1"/>
  <c r="D317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35" i="1"/>
  <c r="D194" i="1"/>
  <c r="D193" i="1"/>
  <c r="D192" i="1"/>
  <c r="D191" i="1"/>
  <c r="D190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8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3" i="1"/>
  <c r="D111" i="1"/>
  <c r="D110" i="1"/>
  <c r="D109" i="1"/>
  <c r="D108" i="1"/>
  <c r="D107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8" i="1"/>
  <c r="C317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35" i="1"/>
  <c r="C194" i="1"/>
  <c r="C193" i="1"/>
  <c r="C192" i="1"/>
  <c r="C191" i="1"/>
  <c r="C190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8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3" i="1"/>
  <c r="C111" i="1"/>
  <c r="C110" i="1"/>
  <c r="C109" i="1"/>
  <c r="C108" i="1"/>
  <c r="C107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I135" i="1" l="1"/>
  <c r="I138" i="1"/>
  <c r="H135" i="1"/>
  <c r="H138" i="1"/>
  <c r="I5" i="1"/>
  <c r="B19" i="3"/>
  <c r="B18" i="3"/>
  <c r="B17" i="3"/>
  <c r="B16" i="3"/>
  <c r="P56" i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K11" i="1"/>
  <c r="K19" i="1"/>
  <c r="K27" i="1"/>
  <c r="K34" i="1"/>
  <c r="K41" i="1"/>
  <c r="K49" i="1"/>
  <c r="K58" i="1"/>
  <c r="K66" i="1"/>
  <c r="K74" i="1"/>
  <c r="K82" i="1"/>
  <c r="K89" i="1"/>
  <c r="K97" i="1"/>
  <c r="K110" i="1"/>
  <c r="K117" i="1"/>
  <c r="K125" i="1"/>
  <c r="K144" i="1"/>
  <c r="K340" i="1"/>
  <c r="K152" i="1"/>
  <c r="K160" i="1"/>
  <c r="K171" i="1"/>
  <c r="K185" i="1"/>
  <c r="K192" i="1"/>
  <c r="K199" i="1"/>
  <c r="K206" i="1"/>
  <c r="K213" i="1"/>
  <c r="K221" i="1"/>
  <c r="K229" i="1"/>
  <c r="K236" i="1"/>
  <c r="K251" i="1"/>
  <c r="K259" i="1"/>
  <c r="K267" i="1"/>
  <c r="I70" i="1"/>
  <c r="I225" i="1"/>
  <c r="K180" i="1"/>
  <c r="K208" i="1"/>
  <c r="K238" i="1"/>
  <c r="K269" i="1"/>
  <c r="K284" i="1"/>
  <c r="K300" i="1"/>
  <c r="K323" i="1"/>
  <c r="K344" i="1"/>
  <c r="K352" i="1"/>
  <c r="I168" i="1"/>
  <c r="I296" i="1"/>
  <c r="I327" i="1"/>
  <c r="H148" i="1"/>
  <c r="H175" i="1"/>
  <c r="H203" i="1"/>
  <c r="H15" i="1"/>
  <c r="H23" i="1"/>
  <c r="H45" i="1"/>
  <c r="H53" i="1"/>
  <c r="H216" i="1"/>
  <c r="H30" i="1"/>
  <c r="H155" i="1"/>
  <c r="H270" i="1"/>
  <c r="H78" i="1"/>
  <c r="I13" i="1"/>
  <c r="I21" i="1"/>
  <c r="I29" i="1"/>
  <c r="I36" i="1"/>
  <c r="I43" i="1"/>
  <c r="I51" i="1"/>
  <c r="I352" i="1"/>
  <c r="H181" i="1"/>
  <c r="H246" i="1"/>
  <c r="I345" i="1"/>
  <c r="K10" i="1"/>
  <c r="K18" i="1"/>
  <c r="K26" i="1"/>
  <c r="K33" i="1"/>
  <c r="K40" i="1"/>
  <c r="K48" i="1"/>
  <c r="K57" i="1"/>
  <c r="K65" i="1"/>
  <c r="K73" i="1"/>
  <c r="K81" i="1"/>
  <c r="K96" i="1"/>
  <c r="K109" i="1"/>
  <c r="K116" i="1"/>
  <c r="K124" i="1"/>
  <c r="K143" i="1"/>
  <c r="K151" i="1"/>
  <c r="K159" i="1"/>
  <c r="K165" i="1"/>
  <c r="K170" i="1"/>
  <c r="K178" i="1"/>
  <c r="K184" i="1"/>
  <c r="K198" i="1"/>
  <c r="K212" i="1"/>
  <c r="K220" i="1"/>
  <c r="K228" i="1"/>
  <c r="K243" i="1"/>
  <c r="K250" i="1"/>
  <c r="K258" i="1"/>
  <c r="K266" i="1"/>
  <c r="K274" i="1"/>
  <c r="K290" i="1"/>
  <c r="K335" i="1"/>
  <c r="I278" i="1"/>
  <c r="H188" i="1"/>
  <c r="H239" i="1"/>
  <c r="I7" i="1"/>
  <c r="I62" i="1"/>
  <c r="I93" i="1"/>
  <c r="I129" i="1"/>
  <c r="I140" i="1"/>
  <c r="I162" i="1"/>
  <c r="I190" i="1"/>
  <c r="I195" i="1"/>
  <c r="I217" i="1"/>
  <c r="I247" i="1"/>
  <c r="I254" i="1"/>
  <c r="I15" i="1"/>
  <c r="I23" i="1"/>
  <c r="I30" i="1"/>
  <c r="I45" i="1"/>
  <c r="I53" i="1"/>
  <c r="I78" i="1"/>
  <c r="I86" i="1"/>
  <c r="I121" i="1"/>
  <c r="I148" i="1"/>
  <c r="I156" i="1"/>
  <c r="I175" i="1"/>
  <c r="I182" i="1"/>
  <c r="I203" i="1"/>
  <c r="I234" i="1"/>
  <c r="I240" i="1"/>
  <c r="I263" i="1"/>
  <c r="I271" i="1"/>
  <c r="H4" i="1"/>
  <c r="H28" i="1"/>
  <c r="H35" i="1"/>
  <c r="H59" i="1"/>
  <c r="H67" i="1"/>
  <c r="H90" i="1"/>
  <c r="H98" i="1"/>
  <c r="H126" i="1"/>
  <c r="H132" i="1"/>
  <c r="H161" i="1"/>
  <c r="H166" i="1"/>
  <c r="H186" i="1"/>
  <c r="H193" i="1"/>
  <c r="H214" i="1"/>
  <c r="H222" i="1"/>
  <c r="H244" i="1"/>
  <c r="H252" i="1"/>
  <c r="H276" i="1"/>
  <c r="H283" i="1"/>
  <c r="H322" i="1"/>
  <c r="H330" i="1"/>
  <c r="H351" i="1"/>
  <c r="I288" i="1"/>
  <c r="I333" i="1"/>
  <c r="H340" i="1"/>
  <c r="H290" i="1"/>
  <c r="I9" i="1"/>
  <c r="I17" i="1"/>
  <c r="I25" i="1"/>
  <c r="I32" i="1"/>
  <c r="I39" i="1"/>
  <c r="I47" i="1"/>
  <c r="I56" i="1"/>
  <c r="I64" i="1"/>
  <c r="I72" i="1"/>
  <c r="I289" i="1"/>
  <c r="I334" i="1"/>
  <c r="H74" i="1"/>
  <c r="H82" i="1"/>
  <c r="H110" i="1"/>
  <c r="H117" i="1"/>
  <c r="H144" i="1"/>
  <c r="H152" i="1"/>
  <c r="H171" i="1"/>
  <c r="H199" i="1"/>
  <c r="H206" i="1"/>
  <c r="H229" i="1"/>
  <c r="H236" i="1"/>
  <c r="H259" i="1"/>
  <c r="H267" i="1"/>
  <c r="I10" i="1"/>
  <c r="I320" i="1"/>
  <c r="I328" i="1"/>
  <c r="I349" i="1"/>
  <c r="K6" i="1"/>
  <c r="K61" i="1"/>
  <c r="K85" i="1"/>
  <c r="K92" i="1"/>
  <c r="K120" i="1"/>
  <c r="K128" i="1"/>
  <c r="H285" i="1"/>
  <c r="H324" i="1"/>
  <c r="H353" i="1"/>
  <c r="I74" i="1"/>
  <c r="I110" i="1"/>
  <c r="I144" i="1"/>
  <c r="I171" i="1"/>
  <c r="I192" i="1"/>
  <c r="I221" i="1"/>
  <c r="I251" i="1"/>
  <c r="I11" i="1"/>
  <c r="I19" i="1"/>
  <c r="I27" i="1"/>
  <c r="I34" i="1"/>
  <c r="I41" i="1"/>
  <c r="I49" i="1"/>
  <c r="I58" i="1"/>
  <c r="I82" i="1"/>
  <c r="I89" i="1"/>
  <c r="I117" i="1"/>
  <c r="I125" i="1"/>
  <c r="I152" i="1"/>
  <c r="I160" i="1"/>
  <c r="I185" i="1"/>
  <c r="I199" i="1"/>
  <c r="I206" i="1"/>
  <c r="I213" i="1"/>
  <c r="I229" i="1"/>
  <c r="I236" i="1"/>
  <c r="I259" i="1"/>
  <c r="I267" i="1"/>
  <c r="I275" i="1"/>
  <c r="I282" i="1"/>
  <c r="I66" i="1"/>
  <c r="I97" i="1"/>
  <c r="H284" i="1"/>
  <c r="H300" i="1"/>
  <c r="H323" i="1"/>
  <c r="H344" i="1"/>
  <c r="H352" i="1"/>
  <c r="I301" i="1"/>
  <c r="H147" i="1"/>
  <c r="H174" i="1"/>
  <c r="H202" i="1"/>
  <c r="H224" i="1"/>
  <c r="H233" i="1"/>
  <c r="H253" i="1"/>
  <c r="H262" i="1"/>
  <c r="H294" i="1"/>
  <c r="H301" i="1"/>
  <c r="H345" i="1"/>
  <c r="I60" i="1"/>
  <c r="I323" i="1"/>
  <c r="I33" i="1"/>
  <c r="I73" i="1"/>
  <c r="I178" i="1"/>
  <c r="I220" i="1"/>
  <c r="I266" i="1"/>
  <c r="I335" i="1"/>
  <c r="H6" i="1"/>
  <c r="H120" i="1"/>
  <c r="K37" i="1"/>
  <c r="H37" i="1"/>
  <c r="K52" i="1"/>
  <c r="H52" i="1"/>
  <c r="K77" i="1"/>
  <c r="H77" i="1"/>
  <c r="K111" i="1"/>
  <c r="H111" i="1"/>
  <c r="I18" i="1"/>
  <c r="I65" i="1"/>
  <c r="I116" i="1"/>
  <c r="I151" i="1"/>
  <c r="I274" i="1"/>
  <c r="I341" i="1"/>
  <c r="H128" i="1"/>
  <c r="H85" i="1"/>
  <c r="K22" i="1"/>
  <c r="H22" i="1"/>
  <c r="K44" i="1"/>
  <c r="H44" i="1"/>
  <c r="I40" i="1"/>
  <c r="I81" i="1"/>
  <c r="I124" i="1"/>
  <c r="I170" i="1"/>
  <c r="I212" i="1"/>
  <c r="I258" i="1"/>
  <c r="K8" i="1"/>
  <c r="H8" i="1"/>
  <c r="K24" i="1"/>
  <c r="H24" i="1"/>
  <c r="K46" i="1"/>
  <c r="H46" i="1"/>
  <c r="K63" i="1"/>
  <c r="H63" i="1"/>
  <c r="K87" i="1"/>
  <c r="H87" i="1"/>
  <c r="K122" i="1"/>
  <c r="H122" i="1"/>
  <c r="K149" i="1"/>
  <c r="H149" i="1"/>
  <c r="K196" i="1"/>
  <c r="H196" i="1"/>
  <c r="K218" i="1"/>
  <c r="H218" i="1"/>
  <c r="K235" i="1"/>
  <c r="H235" i="1"/>
  <c r="K256" i="1"/>
  <c r="H256" i="1"/>
  <c r="K317" i="1"/>
  <c r="H317" i="1"/>
  <c r="I12" i="1"/>
  <c r="I28" i="1"/>
  <c r="I50" i="1"/>
  <c r="I75" i="1"/>
  <c r="I90" i="1"/>
  <c r="I98" i="1"/>
  <c r="I118" i="1"/>
  <c r="I132" i="1"/>
  <c r="I145" i="1"/>
  <c r="I153" i="1"/>
  <c r="I161" i="1"/>
  <c r="I166" i="1"/>
  <c r="I172" i="1"/>
  <c r="I179" i="1"/>
  <c r="I186" i="1"/>
  <c r="K186" i="1"/>
  <c r="I193" i="1"/>
  <c r="I200" i="1"/>
  <c r="I207" i="1"/>
  <c r="I214" i="1"/>
  <c r="I222" i="1"/>
  <c r="I231" i="1"/>
  <c r="I237" i="1"/>
  <c r="I244" i="1"/>
  <c r="I252" i="1"/>
  <c r="I260" i="1"/>
  <c r="I268" i="1"/>
  <c r="I276" i="1"/>
  <c r="I283" i="1"/>
  <c r="I292" i="1"/>
  <c r="I299" i="1"/>
  <c r="I322" i="1"/>
  <c r="K322" i="1"/>
  <c r="I330" i="1"/>
  <c r="I337" i="1"/>
  <c r="I343" i="1"/>
  <c r="I351" i="1"/>
  <c r="K351" i="1"/>
  <c r="H92" i="1"/>
  <c r="K14" i="1"/>
  <c r="H14" i="1"/>
  <c r="I48" i="1"/>
  <c r="I143" i="1"/>
  <c r="I184" i="1"/>
  <c r="I228" i="1"/>
  <c r="I281" i="1"/>
  <c r="K16" i="1"/>
  <c r="H16" i="1"/>
  <c r="K38" i="1"/>
  <c r="H38" i="1"/>
  <c r="K55" i="1"/>
  <c r="H55" i="1"/>
  <c r="K79" i="1"/>
  <c r="H79" i="1"/>
  <c r="K94" i="1"/>
  <c r="H94" i="1"/>
  <c r="K113" i="1"/>
  <c r="H113" i="1"/>
  <c r="K141" i="1"/>
  <c r="H141" i="1"/>
  <c r="K163" i="1"/>
  <c r="H163" i="1"/>
  <c r="K204" i="1"/>
  <c r="H204" i="1"/>
  <c r="K226" i="1"/>
  <c r="H226" i="1"/>
  <c r="K248" i="1"/>
  <c r="H248" i="1"/>
  <c r="K272" i="1"/>
  <c r="H272" i="1"/>
  <c r="K296" i="1"/>
  <c r="H296" i="1"/>
  <c r="K333" i="1"/>
  <c r="H333" i="1"/>
  <c r="K347" i="1"/>
  <c r="H347" i="1"/>
  <c r="I20" i="1"/>
  <c r="I42" i="1"/>
  <c r="I67" i="1"/>
  <c r="I83" i="1"/>
  <c r="I126" i="1"/>
  <c r="K69" i="1"/>
  <c r="H69" i="1"/>
  <c r="I57" i="1"/>
  <c r="I96" i="1"/>
  <c r="I159" i="1"/>
  <c r="I250" i="1"/>
  <c r="I297" i="1"/>
  <c r="K31" i="1"/>
  <c r="H31" i="1"/>
  <c r="K71" i="1"/>
  <c r="H71" i="1"/>
  <c r="K130" i="1"/>
  <c r="H130" i="1"/>
  <c r="K157" i="1"/>
  <c r="H157" i="1"/>
  <c r="K176" i="1"/>
  <c r="H176" i="1"/>
  <c r="K210" i="1"/>
  <c r="H210" i="1"/>
  <c r="K241" i="1"/>
  <c r="H241" i="1"/>
  <c r="K264" i="1"/>
  <c r="H264" i="1"/>
  <c r="K288" i="1"/>
  <c r="H288" i="1"/>
  <c r="K326" i="1"/>
  <c r="H326" i="1"/>
  <c r="I4" i="1"/>
  <c r="I35" i="1"/>
  <c r="I59" i="1"/>
  <c r="H61" i="1"/>
  <c r="K90" i="1"/>
  <c r="I26" i="1"/>
  <c r="I109" i="1"/>
  <c r="I165" i="1"/>
  <c r="I198" i="1"/>
  <c r="I243" i="1"/>
  <c r="I290" i="1"/>
  <c r="K214" i="1"/>
  <c r="K59" i="1"/>
  <c r="K7" i="1"/>
  <c r="K15" i="1"/>
  <c r="K23" i="1"/>
  <c r="K30" i="1"/>
  <c r="K45" i="1"/>
  <c r="K53" i="1"/>
  <c r="K62" i="1"/>
  <c r="K70" i="1"/>
  <c r="K78" i="1"/>
  <c r="K86" i="1"/>
  <c r="K93" i="1"/>
  <c r="K121" i="1"/>
  <c r="K129" i="1"/>
  <c r="K140" i="1"/>
  <c r="K148" i="1"/>
  <c r="K156" i="1"/>
  <c r="K162" i="1"/>
  <c r="K168" i="1"/>
  <c r="K175" i="1"/>
  <c r="K182" i="1"/>
  <c r="K190" i="1"/>
  <c r="K195" i="1"/>
  <c r="K203" i="1"/>
  <c r="K217" i="1"/>
  <c r="K225" i="1"/>
  <c r="K234" i="1"/>
  <c r="K240" i="1"/>
  <c r="K247" i="1"/>
  <c r="K254" i="1"/>
  <c r="K263" i="1"/>
  <c r="K271" i="1"/>
  <c r="K279" i="1"/>
  <c r="H279" i="1"/>
  <c r="K287" i="1"/>
  <c r="H287" i="1"/>
  <c r="K295" i="1"/>
  <c r="H295" i="1"/>
  <c r="K302" i="1"/>
  <c r="H302" i="1"/>
  <c r="K325" i="1"/>
  <c r="H325" i="1"/>
  <c r="K332" i="1"/>
  <c r="H332" i="1"/>
  <c r="K339" i="1"/>
  <c r="H339" i="1"/>
  <c r="K346" i="1"/>
  <c r="H346" i="1"/>
  <c r="K354" i="1"/>
  <c r="H354" i="1"/>
  <c r="I291" i="1"/>
  <c r="I298" i="1"/>
  <c r="I321" i="1"/>
  <c r="I329" i="1"/>
  <c r="I336" i="1"/>
  <c r="I342" i="1"/>
  <c r="I350" i="1"/>
  <c r="H7" i="1"/>
  <c r="H62" i="1"/>
  <c r="H73" i="1"/>
  <c r="H93" i="1"/>
  <c r="H109" i="1"/>
  <c r="H129" i="1"/>
  <c r="H143" i="1"/>
  <c r="H162" i="1"/>
  <c r="H170" i="1"/>
  <c r="H190" i="1"/>
  <c r="H198" i="1"/>
  <c r="H217" i="1"/>
  <c r="H228" i="1"/>
  <c r="H247" i="1"/>
  <c r="H258" i="1"/>
  <c r="K67" i="1"/>
  <c r="K193" i="1"/>
  <c r="K330" i="1"/>
  <c r="K9" i="1"/>
  <c r="H9" i="1"/>
  <c r="K17" i="1"/>
  <c r="H17" i="1"/>
  <c r="K25" i="1"/>
  <c r="H25" i="1"/>
  <c r="K32" i="1"/>
  <c r="H32" i="1"/>
  <c r="K39" i="1"/>
  <c r="H39" i="1"/>
  <c r="K47" i="1"/>
  <c r="H47" i="1"/>
  <c r="K56" i="1"/>
  <c r="H56" i="1"/>
  <c r="K64" i="1"/>
  <c r="H64" i="1"/>
  <c r="K72" i="1"/>
  <c r="H72" i="1"/>
  <c r="K80" i="1"/>
  <c r="H80" i="1"/>
  <c r="K88" i="1"/>
  <c r="H88" i="1"/>
  <c r="K95" i="1"/>
  <c r="H95" i="1"/>
  <c r="K108" i="1"/>
  <c r="H108" i="1"/>
  <c r="K115" i="1"/>
  <c r="H115" i="1"/>
  <c r="K123" i="1"/>
  <c r="H123" i="1"/>
  <c r="K131" i="1"/>
  <c r="H131" i="1"/>
  <c r="K142" i="1"/>
  <c r="H142" i="1"/>
  <c r="K150" i="1"/>
  <c r="H150" i="1"/>
  <c r="K158" i="1"/>
  <c r="H158" i="1"/>
  <c r="K169" i="1"/>
  <c r="H169" i="1"/>
  <c r="K177" i="1"/>
  <c r="H177" i="1"/>
  <c r="K183" i="1"/>
  <c r="H183" i="1"/>
  <c r="K191" i="1"/>
  <c r="H191" i="1"/>
  <c r="K197" i="1"/>
  <c r="H197" i="1"/>
  <c r="K205" i="1"/>
  <c r="H205" i="1"/>
  <c r="K211" i="1"/>
  <c r="H211" i="1"/>
  <c r="K219" i="1"/>
  <c r="H219" i="1"/>
  <c r="K227" i="1"/>
  <c r="H227" i="1"/>
  <c r="K242" i="1"/>
  <c r="H242" i="1"/>
  <c r="K249" i="1"/>
  <c r="H249" i="1"/>
  <c r="K257" i="1"/>
  <c r="H257" i="1"/>
  <c r="K265" i="1"/>
  <c r="H265" i="1"/>
  <c r="K273" i="1"/>
  <c r="H273" i="1"/>
  <c r="K280" i="1"/>
  <c r="H280" i="1"/>
  <c r="K289" i="1"/>
  <c r="H289" i="1"/>
  <c r="K318" i="1"/>
  <c r="H318" i="1"/>
  <c r="K327" i="1"/>
  <c r="H327" i="1"/>
  <c r="K334" i="1"/>
  <c r="H334" i="1"/>
  <c r="K348" i="1"/>
  <c r="H348" i="1"/>
  <c r="I68" i="1"/>
  <c r="I76" i="1"/>
  <c r="I84" i="1"/>
  <c r="I91" i="1"/>
  <c r="I107" i="1"/>
  <c r="I119" i="1"/>
  <c r="I127" i="1"/>
  <c r="I133" i="1"/>
  <c r="I146" i="1"/>
  <c r="I154" i="1"/>
  <c r="I167" i="1"/>
  <c r="I173" i="1"/>
  <c r="I180" i="1"/>
  <c r="I187" i="1"/>
  <c r="I194" i="1"/>
  <c r="I201" i="1"/>
  <c r="I208" i="1"/>
  <c r="I215" i="1"/>
  <c r="I223" i="1"/>
  <c r="I232" i="1"/>
  <c r="I238" i="1"/>
  <c r="I245" i="1"/>
  <c r="I261" i="1"/>
  <c r="I269" i="1"/>
  <c r="I277" i="1"/>
  <c r="I284" i="1"/>
  <c r="I293" i="1"/>
  <c r="I300" i="1"/>
  <c r="I331" i="1"/>
  <c r="I338" i="1"/>
  <c r="I344" i="1"/>
  <c r="H65" i="1"/>
  <c r="H86" i="1"/>
  <c r="H96" i="1"/>
  <c r="H121" i="1"/>
  <c r="H156" i="1"/>
  <c r="H165" i="1"/>
  <c r="H182" i="1"/>
  <c r="H220" i="1"/>
  <c r="H240" i="1"/>
  <c r="H250" i="1"/>
  <c r="H271" i="1"/>
  <c r="K98" i="1"/>
  <c r="K222" i="1"/>
  <c r="K281" i="1"/>
  <c r="H281" i="1"/>
  <c r="K297" i="1"/>
  <c r="H297" i="1"/>
  <c r="K320" i="1"/>
  <c r="H320" i="1"/>
  <c r="K328" i="1"/>
  <c r="H328" i="1"/>
  <c r="K341" i="1"/>
  <c r="H341" i="1"/>
  <c r="K349" i="1"/>
  <c r="H349" i="1"/>
  <c r="I6" i="1"/>
  <c r="I14" i="1"/>
  <c r="I22" i="1"/>
  <c r="I37" i="1"/>
  <c r="I44" i="1"/>
  <c r="I52" i="1"/>
  <c r="I61" i="1"/>
  <c r="I69" i="1"/>
  <c r="I77" i="1"/>
  <c r="I85" i="1"/>
  <c r="I92" i="1"/>
  <c r="I111" i="1"/>
  <c r="I120" i="1"/>
  <c r="I128" i="1"/>
  <c r="I147" i="1"/>
  <c r="I155" i="1"/>
  <c r="I174" i="1"/>
  <c r="I181" i="1"/>
  <c r="I188" i="1"/>
  <c r="I202" i="1"/>
  <c r="I216" i="1"/>
  <c r="I224" i="1"/>
  <c r="I233" i="1"/>
  <c r="I239" i="1"/>
  <c r="I246" i="1"/>
  <c r="I253" i="1"/>
  <c r="I262" i="1"/>
  <c r="I270" i="1"/>
  <c r="I285" i="1"/>
  <c r="I294" i="1"/>
  <c r="I324" i="1"/>
  <c r="I353" i="1"/>
  <c r="H66" i="1"/>
  <c r="H97" i="1"/>
  <c r="H192" i="1"/>
  <c r="H221" i="1"/>
  <c r="H251" i="1"/>
  <c r="K126" i="1"/>
  <c r="K244" i="1"/>
  <c r="H275" i="1"/>
  <c r="K275" i="1"/>
  <c r="H282" i="1"/>
  <c r="K282" i="1"/>
  <c r="H291" i="1"/>
  <c r="K291" i="1"/>
  <c r="H298" i="1"/>
  <c r="K298" i="1"/>
  <c r="H321" i="1"/>
  <c r="K321" i="1"/>
  <c r="H329" i="1"/>
  <c r="K329" i="1"/>
  <c r="H336" i="1"/>
  <c r="K336" i="1"/>
  <c r="H342" i="1"/>
  <c r="K342" i="1"/>
  <c r="H350" i="1"/>
  <c r="K350" i="1"/>
  <c r="I279" i="1"/>
  <c r="I287" i="1"/>
  <c r="I295" i="1"/>
  <c r="I302" i="1"/>
  <c r="I325" i="1"/>
  <c r="I332" i="1"/>
  <c r="I339" i="1"/>
  <c r="I346" i="1"/>
  <c r="I354" i="1"/>
  <c r="H10" i="1"/>
  <c r="H18" i="1"/>
  <c r="H26" i="1"/>
  <c r="H33" i="1"/>
  <c r="H40" i="1"/>
  <c r="H48" i="1"/>
  <c r="H57" i="1"/>
  <c r="H124" i="1"/>
  <c r="H159" i="1"/>
  <c r="H184" i="1"/>
  <c r="H212" i="1"/>
  <c r="H234" i="1"/>
  <c r="H243" i="1"/>
  <c r="H263" i="1"/>
  <c r="H274" i="1"/>
  <c r="K4" i="1"/>
  <c r="K132" i="1"/>
  <c r="K252" i="1"/>
  <c r="K12" i="1"/>
  <c r="H12" i="1"/>
  <c r="K20" i="1"/>
  <c r="H20" i="1"/>
  <c r="K42" i="1"/>
  <c r="H42" i="1"/>
  <c r="K50" i="1"/>
  <c r="H50" i="1"/>
  <c r="K75" i="1"/>
  <c r="H75" i="1"/>
  <c r="K83" i="1"/>
  <c r="H83" i="1"/>
  <c r="K118" i="1"/>
  <c r="H118" i="1"/>
  <c r="K145" i="1"/>
  <c r="H145" i="1"/>
  <c r="K153" i="1"/>
  <c r="H153" i="1"/>
  <c r="K172" i="1"/>
  <c r="H172" i="1"/>
  <c r="K179" i="1"/>
  <c r="H179" i="1"/>
  <c r="K200" i="1"/>
  <c r="H200" i="1"/>
  <c r="K207" i="1"/>
  <c r="H207" i="1"/>
  <c r="K231" i="1"/>
  <c r="H231" i="1"/>
  <c r="K237" i="1"/>
  <c r="H237" i="1"/>
  <c r="K260" i="1"/>
  <c r="H260" i="1"/>
  <c r="K268" i="1"/>
  <c r="H268" i="1"/>
  <c r="H292" i="1"/>
  <c r="K292" i="1"/>
  <c r="H299" i="1"/>
  <c r="K299" i="1"/>
  <c r="H337" i="1"/>
  <c r="K337" i="1"/>
  <c r="H343" i="1"/>
  <c r="K343" i="1"/>
  <c r="I8" i="1"/>
  <c r="I16" i="1"/>
  <c r="I24" i="1"/>
  <c r="I31" i="1"/>
  <c r="I38" i="1"/>
  <c r="I46" i="1"/>
  <c r="I55" i="1"/>
  <c r="I63" i="1"/>
  <c r="I71" i="1"/>
  <c r="I79" i="1"/>
  <c r="I87" i="1"/>
  <c r="I94" i="1"/>
  <c r="I113" i="1"/>
  <c r="I122" i="1"/>
  <c r="I130" i="1"/>
  <c r="I141" i="1"/>
  <c r="I149" i="1"/>
  <c r="I157" i="1"/>
  <c r="I163" i="1"/>
  <c r="I176" i="1"/>
  <c r="I196" i="1"/>
  <c r="I204" i="1"/>
  <c r="I210" i="1"/>
  <c r="I218" i="1"/>
  <c r="I226" i="1"/>
  <c r="I235" i="1"/>
  <c r="I241" i="1"/>
  <c r="I248" i="1"/>
  <c r="I256" i="1"/>
  <c r="I264" i="1"/>
  <c r="I272" i="1"/>
  <c r="I317" i="1"/>
  <c r="I326" i="1"/>
  <c r="I347" i="1"/>
  <c r="H11" i="1"/>
  <c r="H19" i="1"/>
  <c r="H27" i="1"/>
  <c r="H34" i="1"/>
  <c r="H41" i="1"/>
  <c r="H49" i="1"/>
  <c r="H58" i="1"/>
  <c r="H89" i="1"/>
  <c r="H125" i="1"/>
  <c r="H160" i="1"/>
  <c r="H185" i="1"/>
  <c r="H213" i="1"/>
  <c r="K28" i="1"/>
  <c r="K161" i="1"/>
  <c r="K276" i="1"/>
  <c r="H5" i="1"/>
  <c r="K5" i="1"/>
  <c r="H13" i="1"/>
  <c r="K13" i="1"/>
  <c r="K21" i="1"/>
  <c r="H21" i="1"/>
  <c r="H29" i="1"/>
  <c r="K29" i="1"/>
  <c r="H36" i="1"/>
  <c r="K36" i="1"/>
  <c r="H43" i="1"/>
  <c r="K43" i="1"/>
  <c r="K51" i="1"/>
  <c r="H51" i="1"/>
  <c r="H60" i="1"/>
  <c r="K60" i="1"/>
  <c r="H68" i="1"/>
  <c r="K68" i="1"/>
  <c r="H76" i="1"/>
  <c r="K76" i="1"/>
  <c r="K84" i="1"/>
  <c r="H84" i="1"/>
  <c r="H91" i="1"/>
  <c r="K91" i="1"/>
  <c r="H107" i="1"/>
  <c r="K107" i="1"/>
  <c r="K119" i="1"/>
  <c r="H119" i="1"/>
  <c r="H127" i="1"/>
  <c r="K127" i="1"/>
  <c r="H133" i="1"/>
  <c r="K133" i="1"/>
  <c r="H146" i="1"/>
  <c r="K146" i="1"/>
  <c r="K154" i="1"/>
  <c r="H154" i="1"/>
  <c r="H167" i="1"/>
  <c r="K167" i="1"/>
  <c r="H173" i="1"/>
  <c r="H187" i="1"/>
  <c r="H194" i="1"/>
  <c r="H201" i="1"/>
  <c r="H215" i="1"/>
  <c r="H223" i="1"/>
  <c r="H232" i="1"/>
  <c r="H245" i="1"/>
  <c r="H261" i="1"/>
  <c r="H277" i="1"/>
  <c r="H293" i="1"/>
  <c r="H331" i="1"/>
  <c r="H338" i="1"/>
  <c r="I80" i="1"/>
  <c r="I88" i="1"/>
  <c r="I95" i="1"/>
  <c r="I108" i="1"/>
  <c r="I115" i="1"/>
  <c r="I123" i="1"/>
  <c r="I131" i="1"/>
  <c r="I142" i="1"/>
  <c r="I150" i="1"/>
  <c r="I158" i="1"/>
  <c r="I169" i="1"/>
  <c r="I177" i="1"/>
  <c r="I183" i="1"/>
  <c r="I191" i="1"/>
  <c r="I197" i="1"/>
  <c r="I205" i="1"/>
  <c r="I211" i="1"/>
  <c r="I219" i="1"/>
  <c r="I227" i="1"/>
  <c r="I242" i="1"/>
  <c r="I249" i="1"/>
  <c r="I257" i="1"/>
  <c r="I265" i="1"/>
  <c r="I273" i="1"/>
  <c r="I280" i="1"/>
  <c r="I318" i="1"/>
  <c r="I340" i="1"/>
  <c r="I348" i="1"/>
  <c r="H70" i="1"/>
  <c r="H81" i="1"/>
  <c r="H116" i="1"/>
  <c r="H140" i="1"/>
  <c r="H151" i="1"/>
  <c r="H168" i="1"/>
  <c r="H178" i="1"/>
  <c r="H195" i="1"/>
  <c r="H225" i="1"/>
  <c r="H254" i="1"/>
  <c r="H266" i="1"/>
  <c r="H335" i="1"/>
  <c r="K35" i="1"/>
  <c r="K166" i="1"/>
  <c r="K283" i="1"/>
  <c r="K187" i="1"/>
  <c r="K215" i="1"/>
  <c r="K245" i="1"/>
  <c r="K277" i="1"/>
  <c r="K194" i="1"/>
  <c r="K223" i="1"/>
  <c r="K331" i="1"/>
  <c r="K173" i="1"/>
  <c r="K201" i="1"/>
  <c r="K232" i="1"/>
  <c r="K261" i="1"/>
  <c r="K293" i="1"/>
  <c r="K338" i="1"/>
  <c r="K138" i="1"/>
  <c r="K147" i="1"/>
  <c r="K155" i="1"/>
  <c r="K174" i="1"/>
  <c r="K181" i="1"/>
  <c r="K188" i="1"/>
  <c r="K135" i="1"/>
  <c r="K202" i="1"/>
  <c r="K216" i="1"/>
  <c r="K224" i="1"/>
  <c r="K233" i="1"/>
  <c r="K239" i="1"/>
  <c r="K246" i="1"/>
  <c r="K253" i="1"/>
  <c r="K262" i="1"/>
  <c r="K270" i="1"/>
  <c r="K278" i="1"/>
  <c r="K285" i="1"/>
  <c r="K294" i="1"/>
  <c r="K301" i="1"/>
  <c r="K324" i="1"/>
  <c r="K345" i="1"/>
  <c r="K353" i="1"/>
  <c r="H180" i="1"/>
  <c r="H208" i="1"/>
  <c r="H238" i="1"/>
  <c r="H269" i="1"/>
  <c r="H278" i="1"/>
  <c r="L335" i="1" l="1"/>
  <c r="N335" i="1" s="1"/>
  <c r="L221" i="1"/>
  <c r="N221" i="1" s="1"/>
  <c r="L58" i="1"/>
  <c r="N58" i="1" s="1"/>
  <c r="L33" i="1"/>
  <c r="N33" i="1" s="1"/>
  <c r="L66" i="1"/>
  <c r="N66" i="1" s="1"/>
  <c r="L195" i="1"/>
  <c r="N195" i="1" s="1"/>
  <c r="P89" i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L172" i="1"/>
  <c r="N172" i="1" s="1"/>
  <c r="L48" i="1"/>
  <c r="N48" i="1" s="1"/>
  <c r="L41" i="1"/>
  <c r="N41" i="1" s="1"/>
  <c r="L83" i="1"/>
  <c r="N83" i="1" s="1"/>
  <c r="L220" i="1"/>
  <c r="N220" i="1" s="1"/>
  <c r="L231" i="1"/>
  <c r="N231" i="1" s="1"/>
  <c r="L160" i="1"/>
  <c r="N160" i="1" s="1"/>
  <c r="L297" i="1"/>
  <c r="N297" i="1" s="1"/>
  <c r="L349" i="1"/>
  <c r="N349" i="1" s="1"/>
  <c r="L263" i="1"/>
  <c r="N263" i="1" s="1"/>
  <c r="L185" i="1"/>
  <c r="N185" i="1" s="1"/>
  <c r="L49" i="1"/>
  <c r="N49" i="1" s="1"/>
  <c r="L243" i="1"/>
  <c r="N243" i="1" s="1"/>
  <c r="L70" i="1"/>
  <c r="N70" i="1" s="1"/>
  <c r="L62" i="1"/>
  <c r="N62" i="1" s="1"/>
  <c r="L170" i="1"/>
  <c r="N170" i="1" s="1"/>
  <c r="L40" i="1"/>
  <c r="N40" i="1" s="1"/>
  <c r="L162" i="1"/>
  <c r="N162" i="1" s="1"/>
  <c r="L32" i="1"/>
  <c r="N32" i="1" s="1"/>
  <c r="L146" i="1"/>
  <c r="N146" i="1" s="1"/>
  <c r="L215" i="1"/>
  <c r="N215" i="1" s="1"/>
  <c r="L7" i="1"/>
  <c r="N7" i="1" s="1"/>
  <c r="L127" i="1"/>
  <c r="N127" i="1" s="1"/>
  <c r="L251" i="1"/>
  <c r="N251" i="1" s="1"/>
  <c r="L293" i="1"/>
  <c r="N293" i="1" s="1"/>
  <c r="L201" i="1"/>
  <c r="N201" i="1" s="1"/>
  <c r="L36" i="1"/>
  <c r="N36" i="1" s="1"/>
  <c r="L260" i="1"/>
  <c r="N260" i="1" s="1"/>
  <c r="L200" i="1"/>
  <c r="N200" i="1" s="1"/>
  <c r="L145" i="1"/>
  <c r="N145" i="1" s="1"/>
  <c r="L328" i="1"/>
  <c r="N328" i="1" s="1"/>
  <c r="L47" i="1"/>
  <c r="N47" i="1" s="1"/>
  <c r="L268" i="1"/>
  <c r="N268" i="1" s="1"/>
  <c r="L207" i="1"/>
  <c r="N207" i="1" s="1"/>
  <c r="L60" i="1"/>
  <c r="N60" i="1" s="1"/>
  <c r="L64" i="1"/>
  <c r="N64" i="1" s="1"/>
  <c r="L294" i="1"/>
  <c r="N294" i="1" s="1"/>
  <c r="L284" i="1"/>
  <c r="N284" i="1" s="1"/>
  <c r="L11" i="1"/>
  <c r="N11" i="1" s="1"/>
  <c r="L184" i="1"/>
  <c r="N184" i="1" s="1"/>
  <c r="L18" i="1"/>
  <c r="N18" i="1" s="1"/>
  <c r="L182" i="1"/>
  <c r="N182" i="1" s="1"/>
  <c r="L81" i="1"/>
  <c r="N81" i="1" s="1"/>
  <c r="L167" i="1"/>
  <c r="N167" i="1" s="1"/>
  <c r="L91" i="1"/>
  <c r="N91" i="1" s="1"/>
  <c r="L124" i="1"/>
  <c r="N124" i="1" s="1"/>
  <c r="L350" i="1"/>
  <c r="N350" i="1" s="1"/>
  <c r="L277" i="1"/>
  <c r="N277" i="1" s="1"/>
  <c r="L76" i="1"/>
  <c r="N76" i="1" s="1"/>
  <c r="L43" i="1"/>
  <c r="N43" i="1" s="1"/>
  <c r="L13" i="1"/>
  <c r="N13" i="1" s="1"/>
  <c r="L153" i="1"/>
  <c r="N153" i="1" s="1"/>
  <c r="L75" i="1"/>
  <c r="N75" i="1" s="1"/>
  <c r="L12" i="1"/>
  <c r="N12" i="1" s="1"/>
  <c r="L234" i="1"/>
  <c r="N234" i="1" s="1"/>
  <c r="L341" i="1"/>
  <c r="N341" i="1" s="1"/>
  <c r="L56" i="1"/>
  <c r="N56" i="1" s="1"/>
  <c r="L288" i="1"/>
  <c r="N288" i="1" s="1"/>
  <c r="L275" i="1"/>
  <c r="N275" i="1" s="1"/>
  <c r="L261" i="1"/>
  <c r="N261" i="1" s="1"/>
  <c r="L343" i="1"/>
  <c r="N343" i="1" s="1"/>
  <c r="L143" i="1"/>
  <c r="N143" i="1" s="1"/>
  <c r="L78" i="1"/>
  <c r="N78" i="1" s="1"/>
  <c r="L119" i="1"/>
  <c r="N119" i="1" s="1"/>
  <c r="L65" i="1"/>
  <c r="N65" i="1" s="1"/>
  <c r="L247" i="1"/>
  <c r="N247" i="1" s="1"/>
  <c r="L292" i="1"/>
  <c r="N292" i="1" s="1"/>
  <c r="L168" i="1"/>
  <c r="N168" i="1" s="1"/>
  <c r="L173" i="1"/>
  <c r="N173" i="1" s="1"/>
  <c r="L107" i="1"/>
  <c r="N107" i="1" s="1"/>
  <c r="L238" i="1"/>
  <c r="N238" i="1" s="1"/>
  <c r="L89" i="1"/>
  <c r="N89" i="1" s="1"/>
  <c r="L336" i="1"/>
  <c r="N336" i="1" s="1"/>
  <c r="L291" i="1"/>
  <c r="N291" i="1" s="1"/>
  <c r="L228" i="1"/>
  <c r="N228" i="1" s="1"/>
  <c r="L109" i="1"/>
  <c r="N109" i="1" s="1"/>
  <c r="L339" i="1"/>
  <c r="N339" i="1" s="1"/>
  <c r="L295" i="1"/>
  <c r="N295" i="1" s="1"/>
  <c r="L266" i="1"/>
  <c r="N266" i="1" s="1"/>
  <c r="L232" i="1"/>
  <c r="N232" i="1" s="1"/>
  <c r="L29" i="1"/>
  <c r="N29" i="1" s="1"/>
  <c r="L237" i="1"/>
  <c r="N237" i="1" s="1"/>
  <c r="L179" i="1"/>
  <c r="N179" i="1" s="1"/>
  <c r="L118" i="1"/>
  <c r="N118" i="1" s="1"/>
  <c r="L320" i="1"/>
  <c r="N320" i="1" s="1"/>
  <c r="L289" i="1"/>
  <c r="N289" i="1" s="1"/>
  <c r="L217" i="1"/>
  <c r="N217" i="1" s="1"/>
  <c r="L93" i="1"/>
  <c r="N93" i="1" s="1"/>
  <c r="L16" i="1"/>
  <c r="N16" i="1" s="1"/>
  <c r="L331" i="1"/>
  <c r="N331" i="1" s="1"/>
  <c r="L225" i="1"/>
  <c r="N225" i="1" s="1"/>
  <c r="L338" i="1"/>
  <c r="N338" i="1" s="1"/>
  <c r="L223" i="1"/>
  <c r="N223" i="1" s="1"/>
  <c r="L51" i="1"/>
  <c r="N51" i="1" s="1"/>
  <c r="L21" i="1"/>
  <c r="N21" i="1" s="1"/>
  <c r="L282" i="1"/>
  <c r="N282" i="1" s="1"/>
  <c r="L351" i="1"/>
  <c r="N351" i="1" s="1"/>
  <c r="L214" i="1"/>
  <c r="N214" i="1" s="1"/>
  <c r="L90" i="1"/>
  <c r="N90" i="1" s="1"/>
  <c r="L272" i="1"/>
  <c r="N272" i="1" s="1"/>
  <c r="L94" i="1"/>
  <c r="N94" i="1" s="1"/>
  <c r="L181" i="1"/>
  <c r="N181" i="1" s="1"/>
  <c r="L19" i="1"/>
  <c r="N19" i="1" s="1"/>
  <c r="L198" i="1"/>
  <c r="N198" i="1" s="1"/>
  <c r="L57" i="1"/>
  <c r="N57" i="1" s="1"/>
  <c r="L296" i="1"/>
  <c r="N296" i="1" s="1"/>
  <c r="L323" i="1"/>
  <c r="N323" i="1" s="1"/>
  <c r="L82" i="1"/>
  <c r="N82" i="1" s="1"/>
  <c r="L287" i="1"/>
  <c r="N287" i="1" s="1"/>
  <c r="L79" i="1"/>
  <c r="N79" i="1" s="1"/>
  <c r="L6" i="1"/>
  <c r="N6" i="1" s="1"/>
  <c r="L253" i="1"/>
  <c r="N253" i="1" s="1"/>
  <c r="L138" i="1"/>
  <c r="N138" i="1" s="1"/>
  <c r="O138" i="1" s="1"/>
  <c r="O137" i="1" s="1"/>
  <c r="O136" i="1" s="1"/>
  <c r="L267" i="1"/>
  <c r="N267" i="1" s="1"/>
  <c r="L322" i="1"/>
  <c r="N322" i="1" s="1"/>
  <c r="L59" i="1"/>
  <c r="N59" i="1" s="1"/>
  <c r="L155" i="1"/>
  <c r="N155" i="1" s="1"/>
  <c r="L203" i="1"/>
  <c r="N203" i="1" s="1"/>
  <c r="L151" i="1"/>
  <c r="N151" i="1" s="1"/>
  <c r="L187" i="1"/>
  <c r="N187" i="1" s="1"/>
  <c r="L10" i="1"/>
  <c r="N10" i="1" s="1"/>
  <c r="L96" i="1"/>
  <c r="N96" i="1" s="1"/>
  <c r="L352" i="1"/>
  <c r="N352" i="1" s="1"/>
  <c r="L27" i="1"/>
  <c r="N27" i="1" s="1"/>
  <c r="L245" i="1"/>
  <c r="N245" i="1" s="1"/>
  <c r="L20" i="1"/>
  <c r="N20" i="1" s="1"/>
  <c r="L258" i="1"/>
  <c r="N258" i="1" s="1"/>
  <c r="L302" i="1"/>
  <c r="N302" i="1" s="1"/>
  <c r="L204" i="1"/>
  <c r="N204" i="1" s="1"/>
  <c r="L38" i="1"/>
  <c r="N38" i="1" s="1"/>
  <c r="L135" i="1"/>
  <c r="N135" i="1" s="1"/>
  <c r="L324" i="1"/>
  <c r="N324" i="1" s="1"/>
  <c r="L206" i="1"/>
  <c r="N206" i="1" s="1"/>
  <c r="L244" i="1"/>
  <c r="N244" i="1" s="1"/>
  <c r="L126" i="1"/>
  <c r="N126" i="1" s="1"/>
  <c r="L239" i="1"/>
  <c r="N239" i="1" s="1"/>
  <c r="L45" i="1"/>
  <c r="N45" i="1" s="1"/>
  <c r="L125" i="1"/>
  <c r="N125" i="1" s="1"/>
  <c r="L321" i="1"/>
  <c r="N321" i="1" s="1"/>
  <c r="L97" i="1"/>
  <c r="N97" i="1" s="1"/>
  <c r="L17" i="1"/>
  <c r="N17" i="1" s="1"/>
  <c r="L129" i="1"/>
  <c r="N129" i="1" s="1"/>
  <c r="L14" i="1"/>
  <c r="N14" i="1" s="1"/>
  <c r="L23" i="1"/>
  <c r="N23" i="1" s="1"/>
  <c r="L269" i="1"/>
  <c r="N269" i="1" s="1"/>
  <c r="L178" i="1"/>
  <c r="N178" i="1" s="1"/>
  <c r="L337" i="1"/>
  <c r="N337" i="1" s="1"/>
  <c r="L212" i="1"/>
  <c r="N212" i="1" s="1"/>
  <c r="L342" i="1"/>
  <c r="N342" i="1" s="1"/>
  <c r="L298" i="1"/>
  <c r="N298" i="1" s="1"/>
  <c r="L271" i="1"/>
  <c r="N271" i="1" s="1"/>
  <c r="L156" i="1"/>
  <c r="N156" i="1" s="1"/>
  <c r="L348" i="1"/>
  <c r="N348" i="1" s="1"/>
  <c r="L257" i="1"/>
  <c r="N257" i="1" s="1"/>
  <c r="L227" i="1"/>
  <c r="N227" i="1" s="1"/>
  <c r="L197" i="1"/>
  <c r="N197" i="1" s="1"/>
  <c r="L169" i="1"/>
  <c r="N169" i="1" s="1"/>
  <c r="L142" i="1"/>
  <c r="N142" i="1" s="1"/>
  <c r="L108" i="1"/>
  <c r="N108" i="1" s="1"/>
  <c r="L72" i="1"/>
  <c r="N72" i="1" s="1"/>
  <c r="L39" i="1"/>
  <c r="N39" i="1" s="1"/>
  <c r="L9" i="1"/>
  <c r="N9" i="1" s="1"/>
  <c r="L176" i="1"/>
  <c r="N176" i="1" s="1"/>
  <c r="L71" i="1"/>
  <c r="N71" i="1" s="1"/>
  <c r="L235" i="1"/>
  <c r="N235" i="1" s="1"/>
  <c r="L63" i="1"/>
  <c r="N63" i="1" s="1"/>
  <c r="L22" i="1"/>
  <c r="N22" i="1" s="1"/>
  <c r="L77" i="1"/>
  <c r="N77" i="1" s="1"/>
  <c r="L120" i="1"/>
  <c r="N120" i="1" s="1"/>
  <c r="L262" i="1"/>
  <c r="N262" i="1" s="1"/>
  <c r="L147" i="1"/>
  <c r="N147" i="1" s="1"/>
  <c r="L171" i="1"/>
  <c r="N171" i="1" s="1"/>
  <c r="L330" i="1"/>
  <c r="N330" i="1" s="1"/>
  <c r="L193" i="1"/>
  <c r="N193" i="1" s="1"/>
  <c r="L67" i="1"/>
  <c r="N67" i="1" s="1"/>
  <c r="L270" i="1"/>
  <c r="N270" i="1" s="1"/>
  <c r="L15" i="1"/>
  <c r="N15" i="1" s="1"/>
  <c r="L165" i="1"/>
  <c r="N165" i="1" s="1"/>
  <c r="L154" i="1"/>
  <c r="N154" i="1" s="1"/>
  <c r="L61" i="1"/>
  <c r="N61" i="1" s="1"/>
  <c r="L248" i="1"/>
  <c r="N248" i="1" s="1"/>
  <c r="L186" i="1"/>
  <c r="N186" i="1" s="1"/>
  <c r="L194" i="1"/>
  <c r="N194" i="1" s="1"/>
  <c r="L299" i="1"/>
  <c r="N299" i="1" s="1"/>
  <c r="L159" i="1"/>
  <c r="N159" i="1" s="1"/>
  <c r="L240" i="1"/>
  <c r="N240" i="1" s="1"/>
  <c r="L121" i="1"/>
  <c r="N121" i="1" s="1"/>
  <c r="L334" i="1"/>
  <c r="N334" i="1" s="1"/>
  <c r="L280" i="1"/>
  <c r="N280" i="1" s="1"/>
  <c r="L249" i="1"/>
  <c r="N249" i="1" s="1"/>
  <c r="L219" i="1"/>
  <c r="N219" i="1" s="1"/>
  <c r="L191" i="1"/>
  <c r="N191" i="1" s="1"/>
  <c r="L131" i="1"/>
  <c r="N131" i="1" s="1"/>
  <c r="L95" i="1"/>
  <c r="N95" i="1" s="1"/>
  <c r="L190" i="1"/>
  <c r="N190" i="1" s="1"/>
  <c r="L264" i="1"/>
  <c r="N264" i="1" s="1"/>
  <c r="L157" i="1"/>
  <c r="N157" i="1" s="1"/>
  <c r="L31" i="1"/>
  <c r="N31" i="1" s="1"/>
  <c r="L69" i="1"/>
  <c r="N69" i="1" s="1"/>
  <c r="L317" i="1"/>
  <c r="N317" i="1" s="1"/>
  <c r="L218" i="1"/>
  <c r="N218" i="1" s="1"/>
  <c r="L149" i="1"/>
  <c r="N149" i="1" s="1"/>
  <c r="L46" i="1"/>
  <c r="N46" i="1" s="1"/>
  <c r="L85" i="1"/>
  <c r="N85" i="1" s="1"/>
  <c r="L52" i="1"/>
  <c r="N52" i="1" s="1"/>
  <c r="L233" i="1"/>
  <c r="N233" i="1" s="1"/>
  <c r="L259" i="1"/>
  <c r="N259" i="1" s="1"/>
  <c r="L144" i="1"/>
  <c r="N144" i="1" s="1"/>
  <c r="L290" i="1"/>
  <c r="N290" i="1" s="1"/>
  <c r="L283" i="1"/>
  <c r="N283" i="1" s="1"/>
  <c r="L166" i="1"/>
  <c r="N166" i="1" s="1"/>
  <c r="L35" i="1"/>
  <c r="N35" i="1" s="1"/>
  <c r="L30" i="1"/>
  <c r="N30" i="1" s="1"/>
  <c r="L175" i="1"/>
  <c r="N175" i="1" s="1"/>
  <c r="L84" i="1"/>
  <c r="N84" i="1" s="1"/>
  <c r="L50" i="1"/>
  <c r="N50" i="1" s="1"/>
  <c r="L250" i="1"/>
  <c r="N250" i="1" s="1"/>
  <c r="L332" i="1"/>
  <c r="N332" i="1" s="1"/>
  <c r="L163" i="1"/>
  <c r="N163" i="1" s="1"/>
  <c r="O163" i="1" s="1"/>
  <c r="O162" i="1" s="1"/>
  <c r="L92" i="1"/>
  <c r="N92" i="1" s="1"/>
  <c r="L208" i="1"/>
  <c r="N208" i="1" s="1"/>
  <c r="O208" i="1" s="1"/>
  <c r="O207" i="1" s="1"/>
  <c r="O206" i="1" s="1"/>
  <c r="L180" i="1"/>
  <c r="N180" i="1" s="1"/>
  <c r="L254" i="1"/>
  <c r="N254" i="1" s="1"/>
  <c r="O254" i="1" s="1"/>
  <c r="L140" i="1"/>
  <c r="N140" i="1" s="1"/>
  <c r="L213" i="1"/>
  <c r="N213" i="1" s="1"/>
  <c r="L34" i="1"/>
  <c r="N34" i="1" s="1"/>
  <c r="L42" i="1"/>
  <c r="N42" i="1" s="1"/>
  <c r="L192" i="1"/>
  <c r="N192" i="1" s="1"/>
  <c r="L281" i="1"/>
  <c r="N281" i="1" s="1"/>
  <c r="L354" i="1"/>
  <c r="N354" i="1" s="1"/>
  <c r="O354" i="1" s="1"/>
  <c r="L325" i="1"/>
  <c r="N325" i="1" s="1"/>
  <c r="L279" i="1"/>
  <c r="N279" i="1" s="1"/>
  <c r="L333" i="1"/>
  <c r="N333" i="1" s="1"/>
  <c r="L226" i="1"/>
  <c r="N226" i="1" s="1"/>
  <c r="L141" i="1"/>
  <c r="N141" i="1" s="1"/>
  <c r="L55" i="1"/>
  <c r="N55" i="1" s="1"/>
  <c r="L128" i="1"/>
  <c r="N128" i="1" s="1"/>
  <c r="L224" i="1"/>
  <c r="N224" i="1" s="1"/>
  <c r="L236" i="1"/>
  <c r="N236" i="1" s="1"/>
  <c r="L117" i="1"/>
  <c r="N117" i="1" s="1"/>
  <c r="L340" i="1"/>
  <c r="N340" i="1" s="1"/>
  <c r="L276" i="1"/>
  <c r="N276" i="1" s="1"/>
  <c r="L161" i="1"/>
  <c r="N161" i="1" s="1"/>
  <c r="L28" i="1"/>
  <c r="N28" i="1" s="1"/>
  <c r="L216" i="1"/>
  <c r="N216" i="1" s="1"/>
  <c r="L148" i="1"/>
  <c r="N148" i="1" s="1"/>
  <c r="L26" i="1"/>
  <c r="N26" i="1" s="1"/>
  <c r="L73" i="1"/>
  <c r="N73" i="1" s="1"/>
  <c r="L347" i="1"/>
  <c r="N347" i="1" s="1"/>
  <c r="L152" i="1"/>
  <c r="N152" i="1" s="1"/>
  <c r="L116" i="1"/>
  <c r="N116" i="1" s="1"/>
  <c r="L274" i="1"/>
  <c r="N274" i="1" s="1"/>
  <c r="L329" i="1"/>
  <c r="N329" i="1" s="1"/>
  <c r="L86" i="1"/>
  <c r="N86" i="1" s="1"/>
  <c r="L327" i="1"/>
  <c r="N327" i="1" s="1"/>
  <c r="L273" i="1"/>
  <c r="N273" i="1" s="1"/>
  <c r="L242" i="1"/>
  <c r="N242" i="1" s="1"/>
  <c r="L211" i="1"/>
  <c r="N211" i="1" s="1"/>
  <c r="L183" i="1"/>
  <c r="N183" i="1" s="1"/>
  <c r="L158" i="1"/>
  <c r="N158" i="1" s="1"/>
  <c r="L123" i="1"/>
  <c r="N123" i="1" s="1"/>
  <c r="L88" i="1"/>
  <c r="N88" i="1" s="1"/>
  <c r="L25" i="1"/>
  <c r="N25" i="1" s="1"/>
  <c r="L241" i="1"/>
  <c r="N241" i="1" s="1"/>
  <c r="L130" i="1"/>
  <c r="N130" i="1" s="1"/>
  <c r="L196" i="1"/>
  <c r="N196" i="1" s="1"/>
  <c r="L122" i="1"/>
  <c r="N122" i="1" s="1"/>
  <c r="L24" i="1"/>
  <c r="N24" i="1" s="1"/>
  <c r="L111" i="1"/>
  <c r="N111" i="1" s="1"/>
  <c r="O111" i="1" s="1"/>
  <c r="L37" i="1"/>
  <c r="N37" i="1" s="1"/>
  <c r="L345" i="1"/>
  <c r="N345" i="1" s="1"/>
  <c r="L202" i="1"/>
  <c r="N202" i="1" s="1"/>
  <c r="L344" i="1"/>
  <c r="N344" i="1" s="1"/>
  <c r="L353" i="1"/>
  <c r="N353" i="1" s="1"/>
  <c r="L229" i="1"/>
  <c r="N229" i="1" s="1"/>
  <c r="O229" i="1" s="1"/>
  <c r="L110" i="1"/>
  <c r="N110" i="1" s="1"/>
  <c r="L252" i="1"/>
  <c r="N252" i="1" s="1"/>
  <c r="L132" i="1"/>
  <c r="N132" i="1" s="1"/>
  <c r="O132" i="1" s="1"/>
  <c r="L4" i="1"/>
  <c r="N4" i="1" s="1"/>
  <c r="L53" i="1"/>
  <c r="N53" i="1" s="1"/>
  <c r="O53" i="1" s="1"/>
  <c r="L346" i="1"/>
  <c r="N346" i="1" s="1"/>
  <c r="L113" i="1"/>
  <c r="N113" i="1" s="1"/>
  <c r="L278" i="1"/>
  <c r="N278" i="1" s="1"/>
  <c r="L133" i="1"/>
  <c r="N133" i="1" s="1"/>
  <c r="L68" i="1"/>
  <c r="N68" i="1" s="1"/>
  <c r="L5" i="1"/>
  <c r="N5" i="1" s="1"/>
  <c r="L318" i="1"/>
  <c r="N318" i="1" s="1"/>
  <c r="L265" i="1"/>
  <c r="N265" i="1" s="1"/>
  <c r="L205" i="1"/>
  <c r="N205" i="1" s="1"/>
  <c r="L177" i="1"/>
  <c r="N177" i="1" s="1"/>
  <c r="L150" i="1"/>
  <c r="N150" i="1" s="1"/>
  <c r="L115" i="1"/>
  <c r="N115" i="1" s="1"/>
  <c r="L80" i="1"/>
  <c r="N80" i="1" s="1"/>
  <c r="L326" i="1"/>
  <c r="N326" i="1" s="1"/>
  <c r="L210" i="1"/>
  <c r="N210" i="1" s="1"/>
  <c r="L256" i="1"/>
  <c r="N256" i="1" s="1"/>
  <c r="L87" i="1"/>
  <c r="N87" i="1" s="1"/>
  <c r="L8" i="1"/>
  <c r="N8" i="1" s="1"/>
  <c r="L44" i="1"/>
  <c r="N44" i="1" s="1"/>
  <c r="L301" i="1"/>
  <c r="N301" i="1" s="1"/>
  <c r="L174" i="1"/>
  <c r="N174" i="1" s="1"/>
  <c r="L300" i="1"/>
  <c r="N300" i="1" s="1"/>
  <c r="L285" i="1"/>
  <c r="N285" i="1" s="1"/>
  <c r="O285" i="1" s="1"/>
  <c r="O284" i="1" s="1"/>
  <c r="L199" i="1"/>
  <c r="N199" i="1" s="1"/>
  <c r="L74" i="1"/>
  <c r="N74" i="1" s="1"/>
  <c r="L222" i="1"/>
  <c r="N222" i="1" s="1"/>
  <c r="L98" i="1"/>
  <c r="N98" i="1" s="1"/>
  <c r="L188" i="1"/>
  <c r="N188" i="1" s="1"/>
  <c r="O188" i="1" s="1"/>
  <c r="L246" i="1"/>
  <c r="N246" i="1" s="1"/>
  <c r="O228" i="1" l="1"/>
  <c r="O187" i="1"/>
  <c r="O186" i="1" s="1"/>
  <c r="O185" i="1" s="1"/>
  <c r="O184" i="1" s="1"/>
  <c r="O183" i="1" s="1"/>
  <c r="O182" i="1" s="1"/>
  <c r="O181" i="1" s="1"/>
  <c r="O180" i="1" s="1"/>
  <c r="O179" i="1" s="1"/>
  <c r="O178" i="1" s="1"/>
  <c r="O177" i="1" s="1"/>
  <c r="O176" i="1" s="1"/>
  <c r="O175" i="1" s="1"/>
  <c r="O174" i="1" s="1"/>
  <c r="O173" i="1" s="1"/>
  <c r="O172" i="1" s="1"/>
  <c r="O171" i="1" s="1"/>
  <c r="O170" i="1" s="1"/>
  <c r="O169" i="1" s="1"/>
  <c r="O168" i="1" s="1"/>
  <c r="O167" i="1" s="1"/>
  <c r="O166" i="1" s="1"/>
  <c r="O165" i="1" s="1"/>
  <c r="O205" i="1"/>
  <c r="O204" i="1" s="1"/>
  <c r="O203" i="1" s="1"/>
  <c r="O202" i="1" s="1"/>
  <c r="O201" i="1" s="1"/>
  <c r="O200" i="1" s="1"/>
  <c r="O199" i="1" s="1"/>
  <c r="O198" i="1" s="1"/>
  <c r="O197" i="1" s="1"/>
  <c r="O196" i="1" s="1"/>
  <c r="O195" i="1" s="1"/>
  <c r="O194" i="1" s="1"/>
  <c r="O193" i="1" s="1"/>
  <c r="O192" i="1" s="1"/>
  <c r="O191" i="1" s="1"/>
  <c r="O190" i="1" s="1"/>
  <c r="O318" i="1"/>
  <c r="O317" i="1" s="1"/>
  <c r="O316" i="1" s="1"/>
  <c r="O315" i="1" s="1"/>
  <c r="O314" i="1" s="1"/>
  <c r="O313" i="1" s="1"/>
  <c r="O312" i="1" s="1"/>
  <c r="O311" i="1" s="1"/>
  <c r="O310" i="1" s="1"/>
  <c r="O309" i="1" s="1"/>
  <c r="O308" i="1" s="1"/>
  <c r="O307" i="1" s="1"/>
  <c r="O306" i="1" s="1"/>
  <c r="O305" i="1" s="1"/>
  <c r="O304" i="1" s="1"/>
  <c r="O303" i="1" s="1"/>
  <c r="O302" i="1" s="1"/>
  <c r="O301" i="1" s="1"/>
  <c r="O300" i="1" s="1"/>
  <c r="O299" i="1" s="1"/>
  <c r="O298" i="1" s="1"/>
  <c r="O297" i="1" s="1"/>
  <c r="O296" i="1" s="1"/>
  <c r="O295" i="1" s="1"/>
  <c r="O294" i="1" s="1"/>
  <c r="O293" i="1" s="1"/>
  <c r="O292" i="1" s="1"/>
  <c r="O291" i="1" s="1"/>
  <c r="O290" i="1" s="1"/>
  <c r="O289" i="1" s="1"/>
  <c r="O288" i="1" s="1"/>
  <c r="O110" i="1"/>
  <c r="O109" i="1" s="1"/>
  <c r="O108" i="1" s="1"/>
  <c r="O107" i="1" s="1"/>
  <c r="O106" i="1" s="1"/>
  <c r="O105" i="1" s="1"/>
  <c r="O104" i="1" s="1"/>
  <c r="O103" i="1" s="1"/>
  <c r="O102" i="1" s="1"/>
  <c r="O101" i="1" s="1"/>
  <c r="O100" i="1" s="1"/>
  <c r="O99" i="1" s="1"/>
  <c r="O98" i="1" s="1"/>
  <c r="O97" i="1" s="1"/>
  <c r="O96" i="1" s="1"/>
  <c r="O95" i="1" s="1"/>
  <c r="O94" i="1" s="1"/>
  <c r="O93" i="1" s="1"/>
  <c r="O92" i="1" s="1"/>
  <c r="O91" i="1" s="1"/>
  <c r="O90" i="1" s="1"/>
  <c r="O89" i="1" s="1"/>
  <c r="O88" i="1" s="1"/>
  <c r="O87" i="1" s="1"/>
  <c r="O86" i="1" s="1"/>
  <c r="O85" i="1" s="1"/>
  <c r="O84" i="1" s="1"/>
  <c r="O83" i="1" s="1"/>
  <c r="O82" i="1" s="1"/>
  <c r="O81" i="1" s="1"/>
  <c r="O80" i="1" s="1"/>
  <c r="O79" i="1" s="1"/>
  <c r="O78" i="1" s="1"/>
  <c r="O77" i="1" s="1"/>
  <c r="O76" i="1" s="1"/>
  <c r="O75" i="1" s="1"/>
  <c r="O74" i="1" s="1"/>
  <c r="O73" i="1" s="1"/>
  <c r="O72" i="1" s="1"/>
  <c r="O71" i="1" s="1"/>
  <c r="O70" i="1" s="1"/>
  <c r="O69" i="1" s="1"/>
  <c r="O68" i="1" s="1"/>
  <c r="O67" i="1" s="1"/>
  <c r="O66" i="1" s="1"/>
  <c r="O65" i="1" s="1"/>
  <c r="O64" i="1" s="1"/>
  <c r="O63" i="1" s="1"/>
  <c r="O62" i="1" s="1"/>
  <c r="O61" i="1" s="1"/>
  <c r="O60" i="1" s="1"/>
  <c r="O59" i="1" s="1"/>
  <c r="O58" i="1" s="1"/>
  <c r="O57" i="1" s="1"/>
  <c r="O56" i="1" s="1"/>
  <c r="O55" i="1" s="1"/>
  <c r="O131" i="1"/>
  <c r="O130" i="1" s="1"/>
  <c r="O129" i="1" s="1"/>
  <c r="O128" i="1" s="1"/>
  <c r="O127" i="1" s="1"/>
  <c r="O126" i="1" s="1"/>
  <c r="O125" i="1" s="1"/>
  <c r="O124" i="1" s="1"/>
  <c r="O123" i="1" s="1"/>
  <c r="O122" i="1" s="1"/>
  <c r="O121" i="1" s="1"/>
  <c r="O120" i="1" s="1"/>
  <c r="O119" i="1" s="1"/>
  <c r="O118" i="1" s="1"/>
  <c r="O117" i="1" s="1"/>
  <c r="O116" i="1" s="1"/>
  <c r="O253" i="1"/>
  <c r="O252" i="1" s="1"/>
  <c r="O251" i="1" s="1"/>
  <c r="O250" i="1" s="1"/>
  <c r="O249" i="1" s="1"/>
  <c r="O248" i="1" s="1"/>
  <c r="O247" i="1" s="1"/>
  <c r="O246" i="1" s="1"/>
  <c r="O245" i="1" s="1"/>
  <c r="O244" i="1" s="1"/>
  <c r="O243" i="1" s="1"/>
  <c r="O242" i="1" s="1"/>
  <c r="O241" i="1" s="1"/>
  <c r="O240" i="1" s="1"/>
  <c r="O239" i="1" s="1"/>
  <c r="O238" i="1" s="1"/>
  <c r="O237" i="1" s="1"/>
  <c r="O236" i="1" s="1"/>
  <c r="O235" i="1" s="1"/>
  <c r="O234" i="1" s="1"/>
  <c r="O233" i="1" s="1"/>
  <c r="O232" i="1" s="1"/>
  <c r="O353" i="1"/>
  <c r="O352" i="1" s="1"/>
  <c r="O351" i="1" s="1"/>
  <c r="O350" i="1" s="1"/>
  <c r="O349" i="1" s="1"/>
  <c r="O348" i="1" s="1"/>
  <c r="O347" i="1" s="1"/>
  <c r="O346" i="1" s="1"/>
  <c r="O345" i="1" s="1"/>
  <c r="O344" i="1" s="1"/>
  <c r="O343" i="1" s="1"/>
  <c r="O342" i="1" s="1"/>
  <c r="O341" i="1" s="1"/>
  <c r="O340" i="1" s="1"/>
  <c r="O339" i="1" s="1"/>
  <c r="O338" i="1" s="1"/>
  <c r="O337" i="1" s="1"/>
  <c r="O336" i="1" s="1"/>
  <c r="O335" i="1" s="1"/>
  <c r="O334" i="1" s="1"/>
  <c r="O333" i="1" s="1"/>
  <c r="O332" i="1" s="1"/>
  <c r="O331" i="1" s="1"/>
  <c r="O330" i="1" s="1"/>
  <c r="O329" i="1" s="1"/>
  <c r="O328" i="1" s="1"/>
  <c r="O327" i="1" s="1"/>
  <c r="O326" i="1" s="1"/>
  <c r="O325" i="1" s="1"/>
  <c r="O324" i="1" s="1"/>
  <c r="O323" i="1" s="1"/>
  <c r="O322" i="1" s="1"/>
  <c r="O321" i="1" s="1"/>
  <c r="O320" i="1" s="1"/>
  <c r="O161" i="1"/>
  <c r="O160" i="1" s="1"/>
  <c r="O159" i="1" s="1"/>
  <c r="O158" i="1" s="1"/>
  <c r="O157" i="1" s="1"/>
  <c r="O156" i="1" s="1"/>
  <c r="O155" i="1" s="1"/>
  <c r="O154" i="1" s="1"/>
  <c r="O153" i="1" s="1"/>
  <c r="O152" i="1" s="1"/>
  <c r="O151" i="1" s="1"/>
  <c r="O150" i="1" s="1"/>
  <c r="O149" i="1" s="1"/>
  <c r="O148" i="1" s="1"/>
  <c r="O147" i="1" s="1"/>
  <c r="O146" i="1" s="1"/>
  <c r="O145" i="1" s="1"/>
  <c r="O144" i="1" s="1"/>
  <c r="O143" i="1" s="1"/>
  <c r="O142" i="1" s="1"/>
  <c r="O141" i="1" s="1"/>
  <c r="O52" i="1"/>
  <c r="O51" i="1" s="1"/>
  <c r="O50" i="1" s="1"/>
  <c r="O49" i="1" s="1"/>
  <c r="O48" i="1" s="1"/>
  <c r="O47" i="1" s="1"/>
  <c r="O46" i="1" s="1"/>
  <c r="O45" i="1" s="1"/>
  <c r="O44" i="1" s="1"/>
  <c r="O43" i="1" s="1"/>
  <c r="O42" i="1" s="1"/>
  <c r="O41" i="1" s="1"/>
  <c r="O40" i="1" s="1"/>
  <c r="O39" i="1" s="1"/>
  <c r="O38" i="1" s="1"/>
  <c r="O37" i="1" s="1"/>
  <c r="O36" i="1" s="1"/>
  <c r="O35" i="1" s="1"/>
  <c r="O34" i="1" s="1"/>
  <c r="O33" i="1" s="1"/>
  <c r="O32" i="1" s="1"/>
  <c r="O31" i="1" s="1"/>
  <c r="O30" i="1" s="1"/>
  <c r="O29" i="1" s="1"/>
  <c r="O28" i="1" s="1"/>
  <c r="O27" i="1" s="1"/>
  <c r="O26" i="1" s="1"/>
  <c r="O25" i="1" s="1"/>
  <c r="O24" i="1" s="1"/>
  <c r="O23" i="1" s="1"/>
  <c r="O22" i="1" s="1"/>
  <c r="O21" i="1" s="1"/>
  <c r="O20" i="1" s="1"/>
  <c r="O19" i="1" s="1"/>
  <c r="O18" i="1" s="1"/>
  <c r="O17" i="1" s="1"/>
  <c r="O16" i="1" s="1"/>
  <c r="O15" i="1" s="1"/>
  <c r="O14" i="1" s="1"/>
  <c r="O13" i="1" s="1"/>
  <c r="O12" i="1" s="1"/>
  <c r="O11" i="1" s="1"/>
  <c r="O10" i="1" s="1"/>
  <c r="O9" i="1" s="1"/>
  <c r="O8" i="1" s="1"/>
  <c r="O7" i="1" s="1"/>
  <c r="O6" i="1" s="1"/>
  <c r="O5" i="1" s="1"/>
  <c r="O135" i="1"/>
  <c r="P211" i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O283" i="1" l="1"/>
  <c r="O282" i="1" s="1"/>
  <c r="O281" i="1" s="1"/>
  <c r="O280" i="1" s="1"/>
  <c r="O279" i="1" s="1"/>
  <c r="O278" i="1" s="1"/>
  <c r="O277" i="1" s="1"/>
  <c r="O276" i="1" s="1"/>
  <c r="O275" i="1" s="1"/>
  <c r="O274" i="1" s="1"/>
  <c r="O273" i="1" s="1"/>
  <c r="O272" i="1" s="1"/>
  <c r="O271" i="1" s="1"/>
  <c r="O270" i="1" s="1"/>
  <c r="O269" i="1" s="1"/>
  <c r="O268" i="1" s="1"/>
  <c r="O267" i="1" s="1"/>
  <c r="O266" i="1" s="1"/>
  <c r="O265" i="1" s="1"/>
  <c r="O264" i="1" s="1"/>
  <c r="O263" i="1" s="1"/>
  <c r="O262" i="1" s="1"/>
  <c r="O261" i="1" s="1"/>
  <c r="O260" i="1" s="1"/>
  <c r="O259" i="1" s="1"/>
  <c r="O258" i="1" s="1"/>
  <c r="O257" i="1" s="1"/>
  <c r="O256" i="1" s="1"/>
  <c r="O287" i="1"/>
  <c r="O227" i="1"/>
  <c r="O226" i="1" s="1"/>
  <c r="O225" i="1" s="1"/>
  <c r="O224" i="1" s="1"/>
  <c r="O223" i="1" s="1"/>
  <c r="O222" i="1" s="1"/>
  <c r="O221" i="1" s="1"/>
  <c r="O220" i="1" s="1"/>
  <c r="O219" i="1" s="1"/>
  <c r="O218" i="1" s="1"/>
  <c r="O217" i="1" s="1"/>
  <c r="O216" i="1" s="1"/>
  <c r="O215" i="1" s="1"/>
  <c r="O214" i="1" s="1"/>
  <c r="O213" i="1" s="1"/>
  <c r="O212" i="1" s="1"/>
  <c r="O211" i="1" s="1"/>
  <c r="O210" i="1" s="1"/>
  <c r="O231" i="1"/>
  <c r="O115" i="1"/>
  <c r="O113" i="1" s="1"/>
  <c r="O114" i="1"/>
  <c r="O140" i="1"/>
  <c r="O4" i="1"/>
</calcChain>
</file>

<file path=xl/sharedStrings.xml><?xml version="1.0" encoding="utf-8"?>
<sst xmlns="http://schemas.openxmlformats.org/spreadsheetml/2006/main" count="1084" uniqueCount="377">
  <si>
    <t>Instruções:</t>
  </si>
  <si>
    <r>
      <t>1. Alterar apenas o que está a amarelo (</t>
    </r>
    <r>
      <rPr>
        <u/>
        <sz val="11"/>
        <color theme="1"/>
        <rFont val="Arial"/>
        <family val="2"/>
        <scheme val="minor"/>
      </rPr>
      <t>nota</t>
    </r>
    <r>
      <rPr>
        <sz val="11"/>
        <color theme="1"/>
        <rFont val="Arial"/>
        <family val="2"/>
        <scheme val="minor"/>
      </rPr>
      <t>: no campo ref_date, colocar a plica no  início da data para manter como texto)</t>
    </r>
  </si>
  <si>
    <t>Schema AS IS (prod)</t>
  </si>
  <si>
    <t>cd_loan_tapes_bce</t>
  </si>
  <si>
    <t>TABLE_NAME</t>
  </si>
  <si>
    <t>Tabela LT_AS_IS</t>
  </si>
  <si>
    <t>Tabela LT_TO_BE</t>
  </si>
  <si>
    <t>Chave1</t>
  </si>
  <si>
    <t>Chave2</t>
  </si>
  <si>
    <t>Schema TO BE (testes)</t>
  </si>
  <si>
    <t>bu_loantape_work</t>
  </si>
  <si>
    <t>ENTTY</t>
  </si>
  <si>
    <t>lt003_entity</t>
  </si>
  <si>
    <t>entty_id</t>
  </si>
  <si>
    <t>ref_date</t>
  </si>
  <si>
    <t>INSTR_ENTTY</t>
  </si>
  <si>
    <t>lt005_instr_ent</t>
  </si>
  <si>
    <t>instrmnt_id</t>
  </si>
  <si>
    <t>nome_perimetro</t>
  </si>
  <si>
    <t>INSTR_PRTCTN</t>
  </si>
  <si>
    <t>lt006_instr_prot</t>
  </si>
  <si>
    <t>prtctn_id</t>
  </si>
  <si>
    <t>segmento</t>
  </si>
  <si>
    <t>ESTR</t>
  </si>
  <si>
    <t>INSTRMNT</t>
  </si>
  <si>
    <t>lt002_instrument</t>
  </si>
  <si>
    <t>ambito</t>
  </si>
  <si>
    <t>PM</t>
  </si>
  <si>
    <t>PRTCTN</t>
  </si>
  <si>
    <t>lt004_protection</t>
  </si>
  <si>
    <t>filtro final</t>
  </si>
  <si>
    <t>2. Criar tabelas AS-IS no schema BU_CAPTOOLS_WORK (executar código infra a verde)</t>
  </si>
  <si>
    <t>3. Executar no HUE as linhas da coluna UNION ALL por blocos na sheet testes resgressivos &gt; correr cada bloco de cada (de 30 em 30)</t>
  </si>
  <si>
    <t>TABELA_LT_AS_IS</t>
  </si>
  <si>
    <t>TABELA_LT_AS_TO_BE</t>
  </si>
  <si>
    <t>COLUMN_NAME</t>
  </si>
  <si>
    <t>COLUMN_NAME_AS_IS</t>
  </si>
  <si>
    <t>COLUMN_NAME_TO_BE</t>
  </si>
  <si>
    <t>UNIVERSO AS IS</t>
  </si>
  <si>
    <t>UNIVERSO TO BE</t>
  </si>
  <si>
    <t>CRUZAMENTO</t>
  </si>
  <si>
    <t>CONDIÇÃO</t>
  </si>
  <si>
    <t>QUERY 1</t>
  </si>
  <si>
    <t>Tipologia testes</t>
  </si>
  <si>
    <t>QUERY 2</t>
  </si>
  <si>
    <t>UNION ALL</t>
  </si>
  <si>
    <t>contagem</t>
  </si>
  <si>
    <t>accntng_frmwrk_sl</t>
  </si>
  <si>
    <t>Validação de campos</t>
  </si>
  <si>
    <t>annl_trnvr_le</t>
  </si>
  <si>
    <t>annl_trnvr_le_bdr</t>
  </si>
  <si>
    <t>annl_trnvr_prvs</t>
  </si>
  <si>
    <t>annl_trnvr_prvs_bdr</t>
  </si>
  <si>
    <t>capex</t>
  </si>
  <si>
    <t>capex_prvs</t>
  </si>
  <si>
    <t>cllctn_md</t>
  </si>
  <si>
    <t>cntry</t>
  </si>
  <si>
    <t>cod_soc</t>
  </si>
  <si>
    <t>cr_flg</t>
  </si>
  <si>
    <t>csh</t>
  </si>
  <si>
    <t>csh_prvs</t>
  </si>
  <si>
    <t>dbt_rpymnt_cpcty_snr_dbt</t>
  </si>
  <si>
    <t>dbt_rpymnt_cpcty_ttl</t>
  </si>
  <si>
    <t>dbt_srvc_rt</t>
  </si>
  <si>
    <t>dbt_srvc_rt_12m</t>
  </si>
  <si>
    <t>dcsd</t>
  </si>
  <si>
    <t>dflt_stts</t>
  </si>
  <si>
    <t>dt_brth</t>
  </si>
  <si>
    <t>dt_dflt_stts</t>
  </si>
  <si>
    <t>dt_fnncl_sttmts</t>
  </si>
  <si>
    <t>dt_fnncl_sttmts_prvs</t>
  </si>
  <si>
    <t>dt_intrnl_rtng</t>
  </si>
  <si>
    <t>dt_inttn_lgl_prcdngs_le</t>
  </si>
  <si>
    <t>dt_prfrmng_stts_le</t>
  </si>
  <si>
    <t>ebitda</t>
  </si>
  <si>
    <t>ebitda_prvs</t>
  </si>
  <si>
    <t>ec_grp_id</t>
  </si>
  <si>
    <t>ec_grp_nm</t>
  </si>
  <si>
    <t>ecnmc_actvty</t>
  </si>
  <si>
    <t>emplymnt_stts</t>
  </si>
  <si>
    <t>emplymnt_stts_intrnl</t>
  </si>
  <si>
    <t>entrprs_sz_le</t>
  </si>
  <si>
    <t>entty_nm</t>
  </si>
  <si>
    <t>eqty</t>
  </si>
  <si>
    <t>eqty_prvs</t>
  </si>
  <si>
    <t>dt_extrnl_rtng</t>
  </si>
  <si>
    <t>extrnl_rtng</t>
  </si>
  <si>
    <t>extrnl_rtng_nm</t>
  </si>
  <si>
    <t>flg_bnkrptcy_in_grp</t>
  </si>
  <si>
    <t>flg_hgh_cds</t>
  </si>
  <si>
    <t>flg_isda_crdt_evnt</t>
  </si>
  <si>
    <t>flg_nn_accrl</t>
  </si>
  <si>
    <t>flg_rqst_bnkrptcy</t>
  </si>
  <si>
    <t>flg_rqst_dstrssd_rstrctrng</t>
  </si>
  <si>
    <t>flg_rqst_emrgncy_fndng</t>
  </si>
  <si>
    <t>flg_sll_wth_lss</t>
  </si>
  <si>
    <t>fr_csh_flw</t>
  </si>
  <si>
    <t>fr_csh_flw_t1</t>
  </si>
  <si>
    <t>fr_csh_flw_t2</t>
  </si>
  <si>
    <t>fr_csh_flw_t3</t>
  </si>
  <si>
    <t>gcc_prnt_id</t>
  </si>
  <si>
    <t>gcc_prnt_nm</t>
  </si>
  <si>
    <t>gdwill</t>
  </si>
  <si>
    <t>gdwill_prvs</t>
  </si>
  <si>
    <t>grp_ebitda</t>
  </si>
  <si>
    <t>grp_eqty</t>
  </si>
  <si>
    <t>grp_nt_dbt</t>
  </si>
  <si>
    <t>grp_ttl_dbt</t>
  </si>
  <si>
    <t>extrnl_rtng_prvs</t>
  </si>
  <si>
    <t>incm_sc</t>
  </si>
  <si>
    <t>intrnl_rtng</t>
  </si>
  <si>
    <t>intrnl_rtng_prvs</t>
  </si>
  <si>
    <t>intrnl_sgmnt</t>
  </si>
  <si>
    <t>intrnl_unt</t>
  </si>
  <si>
    <t>lei</t>
  </si>
  <si>
    <t>lgl_prcdng_stts_le</t>
  </si>
  <si>
    <t>lti</t>
  </si>
  <si>
    <t>lvrg</t>
  </si>
  <si>
    <t>lvrg_prvs</t>
  </si>
  <si>
    <t>mnthl_incm</t>
  </si>
  <si>
    <t>mnthl_incm_slr</t>
  </si>
  <si>
    <t>mnthl_trnvr</t>
  </si>
  <si>
    <t>nt_incm</t>
  </si>
  <si>
    <t>nt_incm_prvs</t>
  </si>
  <si>
    <t>osi_id</t>
  </si>
  <si>
    <t>ownd_by_spnsr</t>
  </si>
  <si>
    <t>pd_crr_rd</t>
  </si>
  <si>
    <t>pd_crr_rd_t1</t>
  </si>
  <si>
    <t>pd_ifrs9_12m_rd</t>
  </si>
  <si>
    <t>pd_ifrs9_12m_rd_t1</t>
  </si>
  <si>
    <t>prfrmng_stts_le</t>
  </si>
  <si>
    <t>prsn_typ</t>
  </si>
  <si>
    <t>rtng_mthd</t>
  </si>
  <si>
    <t>rtng_scl</t>
  </si>
  <si>
    <t>sngl_prps_vhcl</t>
  </si>
  <si>
    <t>tax_id</t>
  </si>
  <si>
    <t>ttl_dbt</t>
  </si>
  <si>
    <t>ttl_dbt_prvs</t>
  </si>
  <si>
    <t>ttl_intrst_pd</t>
  </si>
  <si>
    <t>ttl_lvrg_rt</t>
  </si>
  <si>
    <t>ttl_lvrg_rt_prvs</t>
  </si>
  <si>
    <t>wtch_lst</t>
  </si>
  <si>
    <t>jnt_lblty_amnt</t>
  </si>
  <si>
    <t>mn_entty_id</t>
  </si>
  <si>
    <t>prtctn_allctd_vl</t>
  </si>
  <si>
    <t>thrd_prty_prrty_clms</t>
  </si>
  <si>
    <t>accmltd_chngs_fv_cr_instrmnt</t>
  </si>
  <si>
    <t>accmltd_imprmnt_instrmnt</t>
  </si>
  <si>
    <t>accmltd_imprmnt_instrmnt_prvs</t>
  </si>
  <si>
    <t>accmltd_wrtffs_instrmnt</t>
  </si>
  <si>
    <t>accntng_clssfctn</t>
  </si>
  <si>
    <t>accrd_intrst_instrmnt</t>
  </si>
  <si>
    <t>amnt_d_at_mtrty</t>
  </si>
  <si>
    <t>annlsd_agrd_rt</t>
  </si>
  <si>
    <t>arrrs_instrmnt</t>
  </si>
  <si>
    <t>arrrs_instrmnt_12m</t>
  </si>
  <si>
    <t>asst_scrt_clss</t>
  </si>
  <si>
    <t>brchd_cvnnts</t>
  </si>
  <si>
    <t>ccf</t>
  </si>
  <si>
    <t>chnnl_orgntn</t>
  </si>
  <si>
    <t>cmltv_rcvrs_snc_dflt_instrmnt</t>
  </si>
  <si>
    <t>cmmtmnt_incptn_instrmnt</t>
  </si>
  <si>
    <t>cmmtmnt_instrmnt</t>
  </si>
  <si>
    <t>cnsmptn_fnrp18</t>
  </si>
  <si>
    <t>cntrct_id</t>
  </si>
  <si>
    <t>hedge_id</t>
  </si>
  <si>
    <t>CORRER EM HIVE (LISTA)</t>
  </si>
  <si>
    <t>intrnl_sgmnt_cat_msta</t>
  </si>
  <si>
    <t>intrnl_sgmnt_catgsub</t>
  </si>
  <si>
    <t>cntrct_id_bdr</t>
  </si>
  <si>
    <t>cod_soc_intrgrp</t>
  </si>
  <si>
    <t>cpn_crrncy</t>
  </si>
  <si>
    <t>cpn_rt</t>
  </si>
  <si>
    <t>cre_fnrp18</t>
  </si>
  <si>
    <t>crrltn_cffcnt</t>
  </si>
  <si>
    <t>crrncy_dnmntn</t>
  </si>
  <si>
    <t>crryng_amnt_instrmnt</t>
  </si>
  <si>
    <t>csh_swp_trp</t>
  </si>
  <si>
    <t>cvnnt_stts</t>
  </si>
  <si>
    <t>cvnnt_typ</t>
  </si>
  <si>
    <t>dbt_yld</t>
  </si>
  <si>
    <t>dflt_stts_instrmnt</t>
  </si>
  <si>
    <t>dpd</t>
  </si>
  <si>
    <t>dpd_12m</t>
  </si>
  <si>
    <t>dpd_12m_frbrnc_stts</t>
  </si>
  <si>
    <t>dpd_12m_prfrmng_stts</t>
  </si>
  <si>
    <t>dpd_24m_frbrnc_stts</t>
  </si>
  <si>
    <t>dpd_24m_prfrmng_stts</t>
  </si>
  <si>
    <t>dpd_frbrnc_stts</t>
  </si>
  <si>
    <t>dpd_prfrmng_stts</t>
  </si>
  <si>
    <t>dsti</t>
  </si>
  <si>
    <t>dt_dflt_stts_instrmnt</t>
  </si>
  <si>
    <t>dt_end_gp_ppal</t>
  </si>
  <si>
    <t>dt_end_intrst_only</t>
  </si>
  <si>
    <t>ifrs9_bhvrl_mtrty</t>
  </si>
  <si>
    <t>dt_frbrnc_stts</t>
  </si>
  <si>
    <t>dt_frbrnc_stts_prvs</t>
  </si>
  <si>
    <t>dt_imprmnt_stts</t>
  </si>
  <si>
    <t>dt_imprmnt_stts_prvs</t>
  </si>
  <si>
    <t>dt_incptn</t>
  </si>
  <si>
    <t>sicr_assssmnt_mthd</t>
  </si>
  <si>
    <t>dt_orgnl_mtrty</t>
  </si>
  <si>
    <t>dt_prfrmng_stts</t>
  </si>
  <si>
    <t>dt_prfrmng_stts_prvs</t>
  </si>
  <si>
    <t>typ_mrtgg</t>
  </si>
  <si>
    <t>dt_pst_d</t>
  </si>
  <si>
    <t>dt_strt_gp_ppal</t>
  </si>
  <si>
    <t>dt_strt_intrst_only</t>
  </si>
  <si>
    <t>dt_vltn</t>
  </si>
  <si>
    <t>ead</t>
  </si>
  <si>
    <t>eir</t>
  </si>
  <si>
    <t>eir_incptn</t>
  </si>
  <si>
    <t>elgblty_ecb</t>
  </si>
  <si>
    <t>expctd_lss_crr</t>
  </si>
  <si>
    <t>expsr_in_scp</t>
  </si>
  <si>
    <t>fld_syndctn</t>
  </si>
  <si>
    <t>flg_lbo</t>
  </si>
  <si>
    <t>frbrnc_stts_instrmnt</t>
  </si>
  <si>
    <t>grntr_id</t>
  </si>
  <si>
    <t>grntr_id_typ</t>
  </si>
  <si>
    <t>grss_crryng_amnt_instrmnt</t>
  </si>
  <si>
    <t>idcmb</t>
  </si>
  <si>
    <t>ifrs9_ccf</t>
  </si>
  <si>
    <t>ifrs9_ead</t>
  </si>
  <si>
    <t>ifrs9_lgd</t>
  </si>
  <si>
    <t>imprmnt_assssmnt_mthd</t>
  </si>
  <si>
    <t>imprmnt_clcltn_mthd</t>
  </si>
  <si>
    <t>imprmnt_stts</t>
  </si>
  <si>
    <t>imprmnt_stts_prvs</t>
  </si>
  <si>
    <t>instlmnt_pay</t>
  </si>
  <si>
    <t>instr_snrty_clss</t>
  </si>
  <si>
    <t>instrmnt_clss</t>
  </si>
  <si>
    <t>intrnl_rtng_incptn</t>
  </si>
  <si>
    <t>intrnl_sgmnt_ifrs9</t>
  </si>
  <si>
    <t>intrst_rt_rst_frqncy</t>
  </si>
  <si>
    <t>isin</t>
  </si>
  <si>
    <t>isin_scrtstn</t>
  </si>
  <si>
    <t>issr_cntry</t>
  </si>
  <si>
    <t>issr_esa_2010</t>
  </si>
  <si>
    <t>issr_id</t>
  </si>
  <si>
    <t>issr_id_typ</t>
  </si>
  <si>
    <t>issr_nace_sctr</t>
  </si>
  <si>
    <t>issr_rtng</t>
  </si>
  <si>
    <t>issr_rtng_src</t>
  </si>
  <si>
    <t>issr_typ</t>
  </si>
  <si>
    <t>lcl_instmrnt_id</t>
  </si>
  <si>
    <t>lcr_bffr_ctgry</t>
  </si>
  <si>
    <t>lcre</t>
  </si>
  <si>
    <t>lgd</t>
  </si>
  <si>
    <t>lgl_prcdng_stts</t>
  </si>
  <si>
    <t>lnd_drgtn</t>
  </si>
  <si>
    <t>lsti</t>
  </si>
  <si>
    <t>lti_instrmnt</t>
  </si>
  <si>
    <t>ltv</t>
  </si>
  <si>
    <t>ltv_incptn</t>
  </si>
  <si>
    <t>ltv_npe</t>
  </si>
  <si>
    <t>lvrg_fnnc_flg</t>
  </si>
  <si>
    <t>nmbr_frbrnc_msrs</t>
  </si>
  <si>
    <t>rwa_mthd</t>
  </si>
  <si>
    <t>obsrvd_agnt_id</t>
  </si>
  <si>
    <t>obsrvd_agnt_nm</t>
  </si>
  <si>
    <t>off_blnc_sht_amnt_instrmnt</t>
  </si>
  <si>
    <t>off_blnc_sht_amnt_instrmnt_prvs</t>
  </si>
  <si>
    <t>otstndng_nmnl_amnt_instrmnt</t>
  </si>
  <si>
    <t>otstndng_nmnl_amnt_instrmnt_prvs</t>
  </si>
  <si>
    <t>pd_crr_incptn</t>
  </si>
  <si>
    <t>pd_ifrs9_12m_incptn</t>
  </si>
  <si>
    <t>pd_ifrs9_lftm_incptn</t>
  </si>
  <si>
    <t>pd_ifrs9_rmnng_lftm_incptn</t>
  </si>
  <si>
    <t>pd_ifrs9_rmnng_lftm_rd</t>
  </si>
  <si>
    <t>poci</t>
  </si>
  <si>
    <t>prch_undr_rsl_agr</t>
  </si>
  <si>
    <t>prdct</t>
  </si>
  <si>
    <t>prdntl_prtfl</t>
  </si>
  <si>
    <t>prfrmng_stts</t>
  </si>
  <si>
    <t>prfrmng_stts_prvs</t>
  </si>
  <si>
    <t>prjct_fnnc_ln</t>
  </si>
  <si>
    <t>prmry_asst_clssf</t>
  </si>
  <si>
    <t>prps</t>
  </si>
  <si>
    <t>prt_lcr_bffr</t>
  </si>
  <si>
    <t>prvsns_off_blnc_sht</t>
  </si>
  <si>
    <t>pymnt_frqncy</t>
  </si>
  <si>
    <t>pymnt_intrst_only</t>
  </si>
  <si>
    <t>rcrs</t>
  </si>
  <si>
    <t>rcvd_amrtstn_12m</t>
  </si>
  <si>
    <t>rcvd_amrtstn_24m</t>
  </si>
  <si>
    <t>rcvd_intrst_12m</t>
  </si>
  <si>
    <t>rcvd_intrst_24m</t>
  </si>
  <si>
    <t>rfnnc_prps</t>
  </si>
  <si>
    <t>rfrnc_rt</t>
  </si>
  <si>
    <t>rre_fnrp18</t>
  </si>
  <si>
    <t>rtntn_shr</t>
  </si>
  <si>
    <t>rwa</t>
  </si>
  <si>
    <t>dt_lgl_fnl_mtrty</t>
  </si>
  <si>
    <t>dt_nxt_intrst_rt_rst</t>
  </si>
  <si>
    <t>sme_fnrp18</t>
  </si>
  <si>
    <t>spcltv_lndng</t>
  </si>
  <si>
    <t>spnsr_nm</t>
  </si>
  <si>
    <t>sprd</t>
  </si>
  <si>
    <t>srcs_encmbrnc</t>
  </si>
  <si>
    <t>stts_undrwrttn_trnsctn</t>
  </si>
  <si>
    <t>subportfolio_id</t>
  </si>
  <si>
    <t>syndct_rl</t>
  </si>
  <si>
    <t>syndctd_agnt</t>
  </si>
  <si>
    <t>syndctd_cntrct_id</t>
  </si>
  <si>
    <t>syndctd_lndrs</t>
  </si>
  <si>
    <t>syndctd_shr</t>
  </si>
  <si>
    <t>syndctn_typ</t>
  </si>
  <si>
    <t>trnch</t>
  </si>
  <si>
    <t>typ_amrtstn</t>
  </si>
  <si>
    <t>typ_cre_oprtn</t>
  </si>
  <si>
    <t>typ_instrmnt</t>
  </si>
  <si>
    <t>typ_intrst_rt</t>
  </si>
  <si>
    <t>type_of_plcmnt</t>
  </si>
  <si>
    <t>vltn_crrncy</t>
  </si>
  <si>
    <t>vltn_typ</t>
  </si>
  <si>
    <t>apprsl_crrncy</t>
  </si>
  <si>
    <t>apprsr</t>
  </si>
  <si>
    <t>cnstrctn_stts</t>
  </si>
  <si>
    <t>cre_incm_crrncy</t>
  </si>
  <si>
    <t>cre_yrly_expnss</t>
  </si>
  <si>
    <t>cre_yrly_incm</t>
  </si>
  <si>
    <t>dt_apprsl_prvs</t>
  </si>
  <si>
    <t>dt_cnstrctn_stts</t>
  </si>
  <si>
    <t>dt_frst_usg</t>
  </si>
  <si>
    <t>typ_prtctn</t>
  </si>
  <si>
    <t>dt_lst_fll_apprsl</t>
  </si>
  <si>
    <t>dt_mtrty_prtctn</t>
  </si>
  <si>
    <t>dt_orgnl_prtctn_vl</t>
  </si>
  <si>
    <t>dvlpmnt_stts</t>
  </si>
  <si>
    <t>hrct_mv</t>
  </si>
  <si>
    <t>mn_prps</t>
  </si>
  <si>
    <t>orgnl_prtctn_vl</t>
  </si>
  <si>
    <t>prm_lctn</t>
  </si>
  <si>
    <t>prtctn_clld</t>
  </si>
  <si>
    <t>prtctn_frcd_sl_vl</t>
  </si>
  <si>
    <t>prtctn_prvdr_id</t>
  </si>
  <si>
    <t>prtctn_vl</t>
  </si>
  <si>
    <t>prtctn_vl_npe</t>
  </si>
  <si>
    <t>prtctn_vl_prvs</t>
  </si>
  <si>
    <t>prtctn_vltn_apprch</t>
  </si>
  <si>
    <t>rl_estt_addrss</t>
  </si>
  <si>
    <t>rl_estt_clltrl_lctn</t>
  </si>
  <si>
    <t>rl_estt_clltrl_lctn_int</t>
  </si>
  <si>
    <t>rl_estt_cty</t>
  </si>
  <si>
    <t>rl_estt_pst_cd</t>
  </si>
  <si>
    <t>dt_prtctn_vl</t>
  </si>
  <si>
    <t>ntnl_id</t>
  </si>
  <si>
    <t>typ_prtctn_intrnl</t>
  </si>
  <si>
    <t>typ_prtctn_vl</t>
  </si>
  <si>
    <t>yr_cnstrctn</t>
  </si>
  <si>
    <t>2025-06-30</t>
  </si>
  <si>
    <t>Individual IDComb</t>
  </si>
  <si>
    <t>flln_angl_nrrw_dfntn</t>
  </si>
  <si>
    <t>flln_angl_extndd_dfntn</t>
  </si>
  <si>
    <t>rorac</t>
  </si>
  <si>
    <t>grp_rorac</t>
  </si>
  <si>
    <t>rorwa</t>
  </si>
  <si>
    <t>grp_rorwa</t>
  </si>
  <si>
    <t>scan</t>
  </si>
  <si>
    <t>ttl_prmssbl_dbt_blnc</t>
  </si>
  <si>
    <t xml:space="preserve">SELECT 'Validação de campos' as tipologia_teste, 'lt002_instrument' AS TABELA, 'cntrct_id' AS CAMPO, '2025-06-30' as ref_date, coalesce(NUM_REG_DIF, 0) AS NUM_REG_DIF FROM (SELECT count(*) AS NUM_REG_DIF FROM (SELECT instrmnt_id as instrmnt_id_as_is, cntrct_id as cntrct_id_as_is FROM cd_loan_tapes_bce.lt002_instrument WHERE ref_date='2025-06-30' AND nome_perimetro= 'Individual IDComb' AND segmento= 'ESTR' AND ambito= 'PM' AND entidade='00100' AND cod_visao = 1) A  Inner join (SELECT instrmnt_id as instrmnt_id_to_be, cntrct_id as cntrct_id_to_be FROM bu_loantape_work.lt002_instrument WHERE ref_date='2025-06-30' AND nome_perimetro= 'Individual IDComb' AND segmento= 'ESTR' AND ambito= 'PM' AND entidade='00100' AND cod_visao = 1) B ON instrmnt_id_as_is = instrmnt_id_to_be WHERE coalesce(cast(cntrct_id_as_is as string), '') &lt;&gt; coalesce(cast(cntrct_id_to_be as string), '') ) A </t>
  </si>
  <si>
    <t>grp_spprt</t>
  </si>
  <si>
    <t>typ_off_blnc_prdct</t>
  </si>
  <si>
    <t>excldd_lf</t>
  </si>
  <si>
    <t>rwa_mtgtn</t>
  </si>
  <si>
    <t>rwa_prmtgtn</t>
  </si>
  <si>
    <t>us_prcds</t>
  </si>
  <si>
    <t>ttl_lvrg_rt_incptn</t>
  </si>
  <si>
    <t>typ_fclty</t>
  </si>
  <si>
    <t>typ_cl</t>
  </si>
  <si>
    <t>typ_dl</t>
  </si>
  <si>
    <t>dstntn_fnds</t>
  </si>
  <si>
    <t>pd_ec_incptn</t>
  </si>
  <si>
    <t>pd_ec_rd</t>
  </si>
  <si>
    <t>ttl_lvrg_rt_incptn_hlt</t>
  </si>
  <si>
    <t>dt_mdfctn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</si>
</sst>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left" indent="3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5" xfId="0" applyFont="1" applyBorder="1"/>
    <xf numFmtId="0" fontId="0" fillId="2" borderId="6" xfId="0" applyFill="1" applyBorder="1"/>
    <xf numFmtId="0" fontId="0" fillId="2" borderId="6" xfId="0" quotePrefix="1" applyFill="1" applyBorder="1"/>
    <xf numFmtId="0" fontId="1" fillId="0" borderId="7" xfId="0" applyFont="1" applyBorder="1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0" fillId="0" borderId="4" xfId="0" applyBorder="1"/>
    <xf numFmtId="0" fontId="4" fillId="4" borderId="0" xfId="0" applyFont="1" applyFill="1" applyAlignment="1">
      <alignment horizontal="left" indent="3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D62C-A2AC-459D-80F7-DCB12975890B}">
  <dimension ref="B2:J22"/>
  <sheetViews>
    <sheetView showGridLines="0" workbookViewId="0">
      <selection activeCell="A4" sqref="A4"/>
    </sheetView>
  </sheetViews>
  <sheetFormatPr defaultRowHeight="14" outlineLevelRow="1" x14ac:dyDescent="0.3"/>
  <cols>
    <col min="3" max="3" width="23.1640625" customWidth="1"/>
    <col min="4" max="4" width="94.4140625" bestFit="1" customWidth="1"/>
    <col min="7" max="7" width="20" bestFit="1" customWidth="1"/>
    <col min="8" max="8" width="17.4140625" bestFit="1" customWidth="1"/>
    <col min="9" max="9" width="9.9140625" bestFit="1" customWidth="1"/>
    <col min="10" max="10" width="7.9140625" bestFit="1" customWidth="1"/>
  </cols>
  <sheetData>
    <row r="2" spans="2:10" x14ac:dyDescent="0.3">
      <c r="B2" s="1" t="s">
        <v>0</v>
      </c>
    </row>
    <row r="3" spans="2:10" x14ac:dyDescent="0.3">
      <c r="B3" t="s">
        <v>1</v>
      </c>
    </row>
    <row r="4" spans="2:10" outlineLevel="1" x14ac:dyDescent="0.3"/>
    <row r="5" spans="2:10" outlineLevel="1" x14ac:dyDescent="0.3">
      <c r="C5" s="3" t="s">
        <v>2</v>
      </c>
      <c r="D5" s="20" t="s">
        <v>3</v>
      </c>
      <c r="F5" s="3" t="s">
        <v>4</v>
      </c>
      <c r="G5" s="4" t="s">
        <v>5</v>
      </c>
      <c r="H5" s="4" t="s">
        <v>6</v>
      </c>
      <c r="I5" s="4" t="s">
        <v>7</v>
      </c>
      <c r="J5" s="5" t="s">
        <v>8</v>
      </c>
    </row>
    <row r="6" spans="2:10" outlineLevel="1" x14ac:dyDescent="0.3">
      <c r="C6" s="11" t="s">
        <v>9</v>
      </c>
      <c r="D6" s="12" t="s">
        <v>10</v>
      </c>
      <c r="F6" s="6" t="s">
        <v>11</v>
      </c>
      <c r="G6" t="s">
        <v>12</v>
      </c>
      <c r="H6" t="s">
        <v>12</v>
      </c>
      <c r="I6" t="s">
        <v>13</v>
      </c>
      <c r="J6" s="7"/>
    </row>
    <row r="7" spans="2:10" outlineLevel="1" x14ac:dyDescent="0.3">
      <c r="C7" s="11" t="s">
        <v>14</v>
      </c>
      <c r="D7" s="13" t="s">
        <v>351</v>
      </c>
      <c r="F7" s="6" t="s">
        <v>15</v>
      </c>
      <c r="G7" t="s">
        <v>16</v>
      </c>
      <c r="H7" t="s">
        <v>16</v>
      </c>
      <c r="I7" t="s">
        <v>17</v>
      </c>
      <c r="J7" s="7" t="s">
        <v>13</v>
      </c>
    </row>
    <row r="8" spans="2:10" outlineLevel="1" x14ac:dyDescent="0.3">
      <c r="C8" s="11" t="s">
        <v>18</v>
      </c>
      <c r="D8" s="7" t="s">
        <v>352</v>
      </c>
      <c r="F8" s="6" t="s">
        <v>19</v>
      </c>
      <c r="G8" t="s">
        <v>20</v>
      </c>
      <c r="H8" t="s">
        <v>20</v>
      </c>
      <c r="I8" t="s">
        <v>17</v>
      </c>
      <c r="J8" s="7" t="s">
        <v>21</v>
      </c>
    </row>
    <row r="9" spans="2:10" outlineLevel="1" x14ac:dyDescent="0.3">
      <c r="C9" s="11" t="s">
        <v>22</v>
      </c>
      <c r="D9" s="7" t="s">
        <v>23</v>
      </c>
      <c r="F9" s="6" t="s">
        <v>24</v>
      </c>
      <c r="G9" t="s">
        <v>25</v>
      </c>
      <c r="H9" t="s">
        <v>25</v>
      </c>
      <c r="I9" t="s">
        <v>17</v>
      </c>
      <c r="J9" s="7"/>
    </row>
    <row r="10" spans="2:10" outlineLevel="1" x14ac:dyDescent="0.3">
      <c r="C10" s="11" t="s">
        <v>26</v>
      </c>
      <c r="D10" s="7" t="s">
        <v>27</v>
      </c>
      <c r="F10" s="8" t="s">
        <v>28</v>
      </c>
      <c r="G10" s="9" t="s">
        <v>29</v>
      </c>
      <c r="H10" s="9" t="s">
        <v>29</v>
      </c>
      <c r="I10" s="9" t="s">
        <v>21</v>
      </c>
      <c r="J10" s="10"/>
    </row>
    <row r="11" spans="2:10" outlineLevel="1" x14ac:dyDescent="0.3">
      <c r="C11" s="14" t="s">
        <v>30</v>
      </c>
      <c r="D11" s="10" t="str">
        <f>"ref_date='"&amp;$D$7&amp;"' AND nome_perimetro= '"&amp;$D$8&amp;"' AND segmento= '"&amp;$D$9&amp;"' AND ambito= '"&amp;$D$10&amp;"' AND entidade='00100' AND cod_visao = 1"</f>
        <v>ref_date='2025-06-30' AND nome_perimetro= 'Individual IDComb' AND segmento= 'ESTR' AND ambito= 'PM' AND entidade='00100' AND cod_visao = 1</v>
      </c>
    </row>
    <row r="12" spans="2:10" outlineLevel="1" x14ac:dyDescent="0.3">
      <c r="B12" s="1"/>
    </row>
    <row r="13" spans="2:10" x14ac:dyDescent="0.3">
      <c r="B13" t="s">
        <v>31</v>
      </c>
    </row>
    <row r="15" spans="2:10" outlineLevel="1" x14ac:dyDescent="0.3">
      <c r="B15" s="21" t="str">
        <f>"DROP TABLE IF EXISTS "&amp;$D$5&amp;"."&amp;G6&amp;"; CREATE TABLE "&amp;$D$5&amp;"."&amp;G6&amp;" as SELECT * FROM "&amp;$D$6&amp;"."&amp;H6&amp;" WHERE "&amp;$D$11&amp;";"</f>
        <v>DROP TABLE IF EXISTS cd_loan_tapes_bce.lt003_entity; CREATE TABLE cd_loan_tapes_bce.lt003_entity as SELECT * FROM bu_loantape_work.lt003_entity WHERE ref_date='2025-06-30' AND nome_perimetro= 'Individual IDComb' AND segmento= 'ESTR' AND ambito= 'PM' AND entidade='00100' AND cod_visao = 1;</v>
      </c>
    </row>
    <row r="16" spans="2:10" outlineLevel="1" x14ac:dyDescent="0.3">
      <c r="B16" s="21" t="str">
        <f>"DROP TABLE IF EXISTS "&amp;$D$5&amp;"."&amp;G7&amp;"; CREATE TABLE "&amp;$D$5&amp;"."&amp;G7&amp;" as SELECT * FROM "&amp;$D$6&amp;"."&amp;H7&amp;" WHERE "&amp;$D$11&amp;";"</f>
        <v>DROP TABLE IF EXISTS cd_loan_tapes_bce.lt005_instr_ent; CREATE TABLE cd_loan_tapes_bce.lt005_instr_ent as SELECT * FROM bu_loantape_work.lt005_instr_ent WHERE ref_date='2025-06-30' AND nome_perimetro= 'Individual IDComb' AND segmento= 'ESTR' AND ambito= 'PM' AND entidade='00100' AND cod_visao = 1;</v>
      </c>
    </row>
    <row r="17" spans="2:2" outlineLevel="1" x14ac:dyDescent="0.3">
      <c r="B17" s="21" t="str">
        <f>"DROP TABLE IF EXISTS "&amp;$D$5&amp;"."&amp;G8&amp;"; CREATE TABLE "&amp;$D$5&amp;"."&amp;G8&amp;" as SELECT * FROM "&amp;$D$6&amp;"."&amp;H8&amp;" WHERE "&amp;$D$11&amp;";"</f>
        <v>DROP TABLE IF EXISTS cd_loan_tapes_bce.lt006_instr_prot; CREATE TABLE cd_loan_tapes_bce.lt006_instr_prot as SELECT * FROM bu_loantape_work.lt006_instr_prot WHERE ref_date='2025-06-30' AND nome_perimetro= 'Individual IDComb' AND segmento= 'ESTR' AND ambito= 'PM' AND entidade='00100' AND cod_visao = 1;</v>
      </c>
    </row>
    <row r="18" spans="2:2" outlineLevel="1" x14ac:dyDescent="0.3">
      <c r="B18" s="21" t="str">
        <f>"DROP TABLE IF EXISTS "&amp;$D$5&amp;"."&amp;G9&amp;"; CREATE TABLE "&amp;$D$5&amp;"."&amp;G9&amp;" as SELECT * FROM "&amp;$D$6&amp;"."&amp;H9&amp;" WHERE "&amp;$D$11&amp;";"</f>
        <v>DROP TABLE IF EXISTS cd_loan_tapes_bce.lt002_instrument; CREATE TABLE cd_loan_tapes_bce.lt002_instrument as SELECT * FROM bu_loantape_work.lt002_instrument WHERE ref_date='2025-06-30' AND nome_perimetro= 'Individual IDComb' AND segmento= 'ESTR' AND ambito= 'PM' AND entidade='00100' AND cod_visao = 1;</v>
      </c>
    </row>
    <row r="19" spans="2:2" outlineLevel="1" x14ac:dyDescent="0.3">
      <c r="B19" s="21" t="str">
        <f>"DROP TABLE IF EXISTS "&amp;$D$5&amp;"."&amp;G10&amp;"; CREATE TABLE "&amp;$D$5&amp;"."&amp;G10&amp;" as SELECT * FROM "&amp;$D$6&amp;"."&amp;H10&amp;" WHERE "&amp;$D$11&amp;";"</f>
        <v>DROP TABLE IF EXISTS cd_loan_tapes_bce.lt004_protection; CREATE TABLE cd_loan_tapes_bce.lt004_protection as SELECT * FROM bu_loantape_work.lt004_protection WHERE ref_date='2025-06-30' AND nome_perimetro= 'Individual IDComb' AND segmento= 'ESTR' AND ambito= 'PM' AND entidade='00100' AND cod_visao = 1;</v>
      </c>
    </row>
    <row r="20" spans="2:2" outlineLevel="1" x14ac:dyDescent="0.3">
      <c r="B20" s="2"/>
    </row>
    <row r="21" spans="2:2" x14ac:dyDescent="0.3">
      <c r="B21" t="s">
        <v>32</v>
      </c>
    </row>
    <row r="22" spans="2:2" x14ac:dyDescent="0.3">
      <c r="B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3AB8-C33B-41F0-A70C-BB5256C2BD6A}">
  <dimension ref="B3:Q358"/>
  <sheetViews>
    <sheetView showGridLines="0" tabSelected="1" workbookViewId="0">
      <pane xSplit="2" ySplit="3" topLeftCell="H4" activePane="bottomRight" state="frozen"/>
      <selection pane="topRight" activeCell="H2" sqref="H2:K2"/>
      <selection pane="bottomLeft" activeCell="H2" sqref="H2:K2"/>
      <selection pane="bottomRight" activeCell="B7" sqref="B7"/>
    </sheetView>
  </sheetViews>
  <sheetFormatPr defaultRowHeight="14" x14ac:dyDescent="0.3"/>
  <cols>
    <col min="1" max="1" width="3.6640625" customWidth="1"/>
    <col min="2" max="2" width="13.5" customWidth="1"/>
    <col min="3" max="3" width="35.6640625" bestFit="1" customWidth="1"/>
    <col min="4" max="4" width="37.1640625" customWidth="1"/>
    <col min="5" max="5" width="38.08203125" customWidth="1"/>
    <col min="6" max="6" width="36.1640625" bestFit="1" customWidth="1"/>
    <col min="7" max="7" width="36.4140625" bestFit="1" customWidth="1"/>
    <col min="8" max="8" width="115.1640625" customWidth="1"/>
    <col min="9" max="9" width="17.1640625" bestFit="1" customWidth="1"/>
    <col min="10" max="10" width="14.1640625" bestFit="1" customWidth="1"/>
    <col min="13" max="13" width="17.1640625" bestFit="1" customWidth="1"/>
    <col min="15" max="15" width="15.4140625" customWidth="1"/>
  </cols>
  <sheetData>
    <row r="3" spans="2:16" x14ac:dyDescent="0.3">
      <c r="B3" s="16" t="s">
        <v>4</v>
      </c>
      <c r="C3" s="16" t="s">
        <v>33</v>
      </c>
      <c r="D3" s="16" t="s">
        <v>34</v>
      </c>
      <c r="E3" s="16" t="s">
        <v>35</v>
      </c>
      <c r="F3" s="16" t="s">
        <v>36</v>
      </c>
      <c r="G3" s="16" t="s">
        <v>37</v>
      </c>
      <c r="H3" s="16" t="s">
        <v>38</v>
      </c>
      <c r="I3" s="16" t="s">
        <v>39</v>
      </c>
      <c r="J3" s="16" t="s">
        <v>40</v>
      </c>
      <c r="K3" s="16" t="s">
        <v>41</v>
      </c>
      <c r="L3" s="16" t="s">
        <v>42</v>
      </c>
      <c r="M3" s="16" t="s">
        <v>43</v>
      </c>
      <c r="N3" s="16" t="s">
        <v>44</v>
      </c>
      <c r="O3" s="16" t="s">
        <v>45</v>
      </c>
      <c r="P3" s="16" t="s">
        <v>46</v>
      </c>
    </row>
    <row r="4" spans="2:16" s="15" customFormat="1" ht="11.5" x14ac:dyDescent="0.25">
      <c r="B4" s="17" t="s">
        <v>11</v>
      </c>
      <c r="C4" s="17" t="str">
        <f>_xlfn.CONCAT(Instruções!$D$5,".",VLOOKUP(B4,Instruções!$F$5:$H$10,2,0))</f>
        <v>cd_loan_tapes_bce.lt003_entity</v>
      </c>
      <c r="D4" s="17" t="str">
        <f>_xlfn.CONCAT(Instruções!$D$6,".",VLOOKUP(B4,Instruções!$F$5:$H$10,3,0))</f>
        <v>bu_loantape_work.lt003_entity</v>
      </c>
      <c r="E4" s="17" t="s">
        <v>47</v>
      </c>
      <c r="F4" s="17" t="str">
        <f>E4&amp;"_as_is"</f>
        <v>accntng_frmwrk_sl_as_is</v>
      </c>
      <c r="G4" s="17" t="str">
        <f>E4&amp;"_to_be"</f>
        <v>accntng_frmwrk_sl_to_be</v>
      </c>
      <c r="H4" s="17" t="str">
        <f>IF(VLOOKUP(B4,Instruções!$F$6:$J$10,5,0)="",
"(SELECT "&amp;VLOOKUP(B4,Instruções!$F$6:$J$10,4,0)&amp;" as "&amp;VLOOKUP(B4,Instruções!$F$6:$J$10,4,0)&amp;"_as_is, "&amp;E4&amp;" as "&amp;F4&amp;" FROM "&amp;C4&amp;" WHERE "&amp;Instruções!$D$11&amp;") A ",
"(SELECT "&amp;VLOOKUP(B4,Instruções!$F$6:$J$10,4,0)&amp;" as "&amp;VLOOKUP(B4,Instruções!$F$6:$J$10,4,0)&amp;"_as_is, "&amp;VLOOKUP(B4,Instruções!$F$6:$J$10,5,0)&amp;" as "&amp;VLOOKUP(B4,Instruções!$F$6:$J$10,5,0)&amp;"_as_is,"&amp;E4&amp;" as "&amp;F4&amp;" FROM "&amp;C4&amp;" WHERE "&amp;Instruções!$D$11&amp;") A ")</f>
        <v xml:space="preserve">(SELECT entty_id as entty_id_as_is, accntng_frmwrk_sl as accntng_frmwrk_sl_as_is FROM cd_loan_tapes_bce.lt003_entity WHERE ref_date='2025-06-30' AND nome_perimetro= 'Individual IDComb' AND segmento= 'ESTR' AND ambito= 'PM' AND entidade='00100' AND cod_visao = 1) A </v>
      </c>
      <c r="I4" s="17" t="str">
        <f>IF(VLOOKUP(B4,Instruções!$F$6:$J$10,5,0)="",
"(SELECT "&amp;VLOOKUP(B4,Instruções!$F$6:$J$10,4,0)&amp;" as "&amp;VLOOKUP(B4,Instruções!$F$6:$J$10,4,0)&amp;"_to_be, "&amp;E4&amp;" as "&amp;G4&amp;" FROM "&amp;D4&amp;" WHERE "&amp;Instruções!$D$11&amp;") B ",
"(SELECT "&amp;VLOOKUP(B4,Instruções!$F$6:$J$10,4,0)&amp;" as "&amp;VLOOKUP(B4,Instruções!$F$6:$J$10,4,0)&amp;"_to_be, "&amp;VLOOKUP(B4,Instruções!$F$6:$J$10,5,0)&amp;" as "&amp;VLOOKUP(B4,Instruções!$F$6:$J$10,5,0)&amp;"_to_be,"&amp;E4&amp;" as "&amp;G4&amp;" FROM "&amp;D4&amp;" WHERE "&amp;Instruções!$D$11&amp;") B ")</f>
        <v xml:space="preserve">(SELECT entty_id as entty_id_to_be, accntng_frmwrk_sl as accntng_frmwrk_sl_to_be FROM bu_loantape_work.lt003_entity WHERE ref_date='2025-06-30' AND nome_perimetro= 'Individual IDComb' AND segmento= 'ESTR' AND ambito= 'PM' AND entidade='00100' AND cod_visao = 1) B </v>
      </c>
      <c r="J4" s="17" t="str">
        <f>IF(VLOOKUP(B4,Instruções!$F$6:$J$10,5,0)="",
"ON "&amp;VLOOKUP(B4,Instruções!$F$6:$J$10,4,0)&amp;"_as_is = "&amp;VLOOKUP(B4,Instruções!$F$6:$J$10,4,0)&amp;"_to_be ",
"ON "&amp;VLOOKUP(B4,Instruções!$F$6:$J$10,4,0)&amp;"_as_is = "&amp;VLOOKUP(B4,Instruções!$F$6:$J$10,4,0)&amp;"_to_be AND "&amp;VLOOKUP(B4,Instruções!$F$6:$J$10,5,0)&amp;"_as_is = "&amp;VLOOKUP(B4,Instruções!$F$6:$J$10,5,0)&amp;"_to_be ")</f>
        <v xml:space="preserve">ON entty_id_as_is = entty_id_to_be </v>
      </c>
      <c r="K4" s="17" t="str">
        <f>"WHERE coalesce(cast("&amp;F4&amp;" as string), '') &lt;&gt; coalesce(cast("&amp;G4&amp;" as string), '') "</f>
        <v xml:space="preserve">WHERE coalesce(cast(accntng_frmwrk_sl_as_is as string), '') &lt;&gt; coalesce(cast(accntng_frmwrk_sl_to_be as string), '') </v>
      </c>
      <c r="L4" s="17" t="str">
        <f>"SELECT count(*) AS NUM_REG_DIF FROM "&amp;H4&amp;" Inner join "&amp;I4&amp;J4&amp;K4</f>
        <v xml:space="preserve">SELECT count(*) AS NUM_REG_DIF FROM (SELECT entty_id as entty_id_as_is, accntng_frmwrk_sl as accntng_frmwrk_sl_as_is FROM cd_loan_tapes_bce.lt003_entity WHERE ref_date='2025-06-30' AND nome_perimetro= 'Individual IDComb' AND segmento= 'ESTR' AND ambito= 'PM' AND entidade='00100' AND cod_visao = 1) A  Inner join (SELECT entty_id as entty_id_to_be, accntng_frmwrk_sl as accntng_frmwrk_sl_to_be FROM bu_loantape_work.lt003_entity WHERE ref_date='2025-06-30' AND nome_perimetro= 'Individual IDComb' AND segmento= 'ESTR' AND ambito= 'PM' AND entidade='00100' AND cod_visao = 1) B ON entty_id_as_is = entty_id_to_be WHERE coalesce(cast(accntng_frmwrk_sl_as_is as string), '') &lt;&gt; coalesce(cast(accntng_frmwrk_sl_to_be as string), '') </v>
      </c>
      <c r="M4" s="17" t="s">
        <v>48</v>
      </c>
      <c r="N4" s="17" t="str">
        <f>"SELECT 'Validação de campos' as tipologia_teste, '"&amp;VLOOKUP(B4,Instruções!$F$6:$J$10,3,0)&amp;"' AS TABELA, '"&amp;E4&amp;"' AS CAMPO, '"&amp;Instruções!$D$7&amp;"' as ref_date, coalesce(NUM_REG_DIF, 0) AS NUM_REG_DIF FROM ("&amp;L4&amp;") A "</f>
        <v xml:space="preserve">SELECT 'Validação de campos' as tipologia_teste, 'lt003_entity' AS TABELA, 'accntng_frmwrk_sl' AS CAMPO, '2025-06-30' as ref_date, coalesce(NUM_REG_DIF, 0) AS NUM_REG_DIF FROM (SELECT count(*) AS NUM_REG_DIF FROM (SELECT entty_id as entty_id_as_is, accntng_frmwrk_sl as accntng_frmwrk_sl_as_is FROM cd_loan_tapes_bce.lt003_entity WHERE ref_date='2025-06-30' AND nome_perimetro= 'Individual IDComb' AND segmento= 'ESTR' AND ambito= 'PM' AND entidade='00100' AND cod_visao = 1) A  Inner join (SELECT entty_id as entty_id_to_be, accntng_frmwrk_sl as accntng_frmwrk_sl_to_be FROM bu_loantape_work.lt003_entity WHERE ref_date='2025-06-30' AND nome_perimetro= 'Individual IDComb' AND segmento= 'ESTR' AND ambito= 'PM' AND entidade='00100' AND cod_visao = 1) B ON entty_id_as_is = entty_id_to_be WHERE coalesce(cast(accntng_frmwrk_sl_as_is as string), '') &lt;&gt; coalesce(cast(accntng_frmwrk_sl_to_be as string), '') ) A </v>
      </c>
      <c r="O4" s="19" t="str">
        <f>IF(O5="",N4,N4&amp;$O$3)</f>
        <v>SELECT 'Validação de campos' as tipologia_teste, 'lt003_entity' AS TABELA, 'accntng_frmwrk_sl' AS CAMPO, '2025-06-30' as ref_date, coalesce(NUM_REG_DIF, 0) AS NUM_REG_DIF FROM (SELECT count(*) AS NUM_REG_DIF FROM (SELECT entty_id as entty_id_as_is, accntng_frmwrk_sl as accntng_frmwrk_sl_as_is FROM cd_loan_tapes_bce.lt003_entity WHERE ref_date='2025-06-30' AND nome_perimetro= 'Individual IDComb' AND segmento= 'ESTR' AND ambito= 'PM' AND entidade='00100' AND cod_visao = 1) A  Inner join (SELECT entty_id as entty_id_to_be, accntng_frmwrk_sl as accntng_frmwrk_sl_to_be FROM bu_loantape_work.lt003_entity WHERE ref_date='2025-06-30' AND nome_perimetro= 'Individual IDComb' AND segmento= 'ESTR' AND ambito= 'PM' AND entidade='00100' AND cod_visao = 1) B ON entty_id_as_is = entty_id_to_be WHERE coalesce(cast(accntng_frmwrk_sl_as_is as string), '') &lt;&gt; coalesce(cast(accntng_frmwrk_sl_to_be as string), '') ) A UNION ALL</v>
      </c>
      <c r="P4" s="17">
        <f>1</f>
        <v>1</v>
      </c>
    </row>
    <row r="5" spans="2:16" s="15" customFormat="1" ht="11.5" x14ac:dyDescent="0.25">
      <c r="B5" s="17" t="s">
        <v>11</v>
      </c>
      <c r="C5" s="17" t="str">
        <f>_xlfn.CONCAT(Instruções!$D$5,".",VLOOKUP(B5,Instruções!$F$5:$H$10,2,0))</f>
        <v>cd_loan_tapes_bce.lt003_entity</v>
      </c>
      <c r="D5" s="17" t="str">
        <f>_xlfn.CONCAT(Instruções!$D$6,".",VLOOKUP(B5,Instruções!$F$5:$H$10,3,0))</f>
        <v>bu_loantape_work.lt003_entity</v>
      </c>
      <c r="E5" s="17" t="s">
        <v>49</v>
      </c>
      <c r="F5" s="17" t="str">
        <f t="shared" ref="F5:F37" si="0">E5&amp;"_as_is"</f>
        <v>annl_trnvr_le_as_is</v>
      </c>
      <c r="G5" s="17" t="str">
        <f t="shared" ref="G5:G37" si="1">E5&amp;"_to_be"</f>
        <v>annl_trnvr_le_to_be</v>
      </c>
      <c r="H5" s="17" t="str">
        <f>IF(VLOOKUP(B5,Instruções!$F$6:$J$10,5,0)="",
"(SELECT "&amp;VLOOKUP(B5,Instruções!$F$6:$J$10,4,0)&amp;" as "&amp;VLOOKUP(B5,Instruções!$F$6:$J$10,4,0)&amp;"_as_is, "&amp;E5&amp;" as "&amp;F5&amp;" FROM "&amp;C5&amp;" WHERE "&amp;Instruções!$D$11&amp;") A ",
"(SELECT "&amp;VLOOKUP(B5,Instruções!$F$6:$J$10,4,0)&amp;" as "&amp;VLOOKUP(B5,Instruções!$F$6:$J$10,4,0)&amp;"_as_is, "&amp;VLOOKUP(B5,Instruções!$F$6:$J$10,5,0)&amp;" as "&amp;VLOOKUP(B5,Instruções!$F$6:$J$10,5,0)&amp;"_as_is,"&amp;E5&amp;" as "&amp;F5&amp;" FROM "&amp;C5&amp;" WHERE "&amp;Instruções!$D$11&amp;") A ")</f>
        <v xml:space="preserve">(SELECT entty_id as entty_id_as_is, annl_trnvr_le as annl_trnvr_le_as_is FROM cd_loan_tapes_bce.lt003_entity WHERE ref_date='2025-06-30' AND nome_perimetro= 'Individual IDComb' AND segmento= 'ESTR' AND ambito= 'PM' AND entidade='00100' AND cod_visao = 1) A </v>
      </c>
      <c r="I5" s="17" t="str">
        <f>IF(VLOOKUP(B5,Instruções!$F$6:$J$10,5,0)="",
"(SELECT "&amp;VLOOKUP(B5,Instruções!$F$6:$J$10,4,0)&amp;" as "&amp;VLOOKUP(B5,Instruções!$F$6:$J$10,4,0)&amp;"_to_be, "&amp;E5&amp;" as "&amp;G5&amp;" FROM "&amp;D5&amp;" WHERE "&amp;Instruções!$D$11&amp;") B ",
"(SELECT "&amp;VLOOKUP(B5,Instruções!$F$6:$J$10,4,0)&amp;" as "&amp;VLOOKUP(B5,Instruções!$F$6:$J$10,4,0)&amp;"_to_be, "&amp;VLOOKUP(B5,Instruções!$F$6:$J$10,5,0)&amp;" as "&amp;VLOOKUP(B5,Instruções!$F$6:$J$10,5,0)&amp;"_to_be,"&amp;E5&amp;" as "&amp;G5&amp;" FROM "&amp;D5&amp;" WHERE "&amp;Instruções!$D$11&amp;") B ")</f>
        <v xml:space="preserve">(SELECT entty_id as entty_id_to_be, annl_trnvr_le as annl_trnvr_le_to_be FROM bu_loantape_work.lt003_entity WHERE ref_date='2025-06-30' AND nome_perimetro= 'Individual IDComb' AND segmento= 'ESTR' AND ambito= 'PM' AND entidade='00100' AND cod_visao = 1) B </v>
      </c>
      <c r="J5" s="17" t="str">
        <f>IF(VLOOKUP(B5,Instruções!$F$6:$J$10,5,0)="",
"ON "&amp;VLOOKUP(B5,Instruções!$F$6:$J$10,4,0)&amp;"_as_is = "&amp;VLOOKUP(B5,Instruções!$F$6:$J$10,4,0)&amp;"_to_be ",
"ON "&amp;VLOOKUP(B5,Instruções!$F$6:$J$10,4,0)&amp;"_as_is = "&amp;VLOOKUP(B5,Instruções!$F$6:$J$10,4,0)&amp;"_to_be AND "&amp;VLOOKUP(B5,Instruções!$F$6:$J$10,5,0)&amp;"_as_is = "&amp;VLOOKUP(B5,Instruções!$F$6:$J$10,5,0)&amp;"_to_be ")</f>
        <v xml:space="preserve">ON entty_id_as_is = entty_id_to_be </v>
      </c>
      <c r="K5" s="17" t="str">
        <f t="shared" ref="K5:K37" si="2">"WHERE coalesce(cast("&amp;F5&amp;" as string), '') &lt;&gt; coalesce(cast("&amp;G5&amp;" as string), '') "</f>
        <v xml:space="preserve">WHERE coalesce(cast(annl_trnvr_le_as_is as string), '') &lt;&gt; coalesce(cast(annl_trnvr_le_to_be as string), '') </v>
      </c>
      <c r="L5" s="17" t="str">
        <f t="shared" ref="L5:L68" si="3">"SELECT count(*) AS NUM_REG_DIF FROM "&amp;H5&amp;" Inner join "&amp;I5&amp;J5&amp;K5</f>
        <v xml:space="preserve">SELECT count(*) AS NUM_REG_DIF FROM (SELECT entty_id as entty_id_as_is, annl_trnvr_le as annl_trnvr_le_as_is FROM cd_loan_tapes_bce.lt003_entity WHERE ref_date='2025-06-30' AND nome_perimetro= 'Individual IDComb' AND segmento= 'ESTR' AND ambito= 'PM' AND entidade='00100' AND cod_visao = 1) A  Inner join (SELECT entty_id as entty_id_to_be, annl_trnvr_le as annl_trnvr_le_to_be FROM bu_loantape_work.lt003_entity WHERE ref_date='2025-06-30' AND nome_perimetro= 'Individual IDComb' AND segmento= 'ESTR' AND ambito= 'PM' AND entidade='00100' AND cod_visao = 1) B ON entty_id_as_is = entty_id_to_be WHERE coalesce(cast(annl_trnvr_le_as_is as string), '') &lt;&gt; coalesce(cast(annl_trnvr_le_to_be as string), '') </v>
      </c>
      <c r="M5" s="17" t="s">
        <v>48</v>
      </c>
      <c r="N5" s="17" t="str">
        <f>"SELECT 'Validação de campos' as tipologia_teste, '"&amp;VLOOKUP(B5,Instruções!$F$6:$J$10,3,0)&amp;"' AS TABELA, '"&amp;E5&amp;"' AS CAMPO, '"&amp;Instruções!$D$7&amp;"' as ref_date, coalesce(NUM_REG_DIF, 0) AS NUM_REG_DIF FROM ("&amp;L5&amp;") A "</f>
        <v xml:space="preserve">SELECT 'Validação de campos' as tipologia_teste, 'lt003_entity' AS TABELA, 'annl_trnvr_le' AS CAMPO, '2025-06-30' as ref_date, coalesce(NUM_REG_DIF, 0) AS NUM_REG_DIF FROM (SELECT count(*) AS NUM_REG_DIF FROM (SELECT entty_id as entty_id_as_is, annl_trnvr_le as annl_trnvr_le_as_is FROM cd_loan_tapes_bce.lt003_entity WHERE ref_date='2025-06-30' AND nome_perimetro= 'Individual IDComb' AND segmento= 'ESTR' AND ambito= 'PM' AND entidade='00100' AND cod_visao = 1) A  Inner join (SELECT entty_id as entty_id_to_be, annl_trnvr_le as annl_trnvr_le_to_be FROM bu_loantape_work.lt003_entity WHERE ref_date='2025-06-30' AND nome_perimetro= 'Individual IDComb' AND segmento= 'ESTR' AND ambito= 'PM' AND entidade='00100' AND cod_visao = 1) B ON entty_id_as_is = entty_id_to_be WHERE coalesce(cast(annl_trnvr_le_as_is as string), '') &lt;&gt; coalesce(cast(annl_trnvr_le_to_be as string), '') ) A </v>
      </c>
      <c r="O5" s="19" t="str">
        <f t="shared" ref="O5:O53" si="4">IF(O6="",N5,N5&amp;$O$3)</f>
        <v>SELECT 'Validação de campos' as tipologia_teste, 'lt003_entity' AS TABELA, 'annl_trnvr_le' AS CAMPO, '2025-06-30' as ref_date, coalesce(NUM_REG_DIF, 0) AS NUM_REG_DIF FROM (SELECT count(*) AS NUM_REG_DIF FROM (SELECT entty_id as entty_id_as_is, annl_trnvr_le as annl_trnvr_le_as_is FROM cd_loan_tapes_bce.lt003_entity WHERE ref_date='2025-06-30' AND nome_perimetro= 'Individual IDComb' AND segmento= 'ESTR' AND ambito= 'PM' AND entidade='00100' AND cod_visao = 1) A  Inner join (SELECT entty_id as entty_id_to_be, annl_trnvr_le as annl_trnvr_le_to_be FROM bu_loantape_work.lt003_entity WHERE ref_date='2025-06-30' AND nome_perimetro= 'Individual IDComb' AND segmento= 'ESTR' AND ambito= 'PM' AND entidade='00100' AND cod_visao = 1) B ON entty_id_as_is = entty_id_to_be WHERE coalesce(cast(annl_trnvr_le_as_is as string), '') &lt;&gt; coalesce(cast(annl_trnvr_le_to_be as string), '') ) A UNION ALL</v>
      </c>
      <c r="P5" s="17">
        <f>P4+1</f>
        <v>2</v>
      </c>
    </row>
    <row r="6" spans="2:16" s="15" customFormat="1" ht="11.5" x14ac:dyDescent="0.25">
      <c r="B6" s="17" t="s">
        <v>11</v>
      </c>
      <c r="C6" s="17" t="str">
        <f>_xlfn.CONCAT(Instruções!$D$5,".",VLOOKUP(B6,Instruções!$F$5:$H$10,2,0))</f>
        <v>cd_loan_tapes_bce.lt003_entity</v>
      </c>
      <c r="D6" s="17" t="str">
        <f>_xlfn.CONCAT(Instruções!$D$6,".",VLOOKUP(B6,Instruções!$F$5:$H$10,3,0))</f>
        <v>bu_loantape_work.lt003_entity</v>
      </c>
      <c r="E6" s="17" t="s">
        <v>50</v>
      </c>
      <c r="F6" s="17" t="str">
        <f t="shared" si="0"/>
        <v>annl_trnvr_le_bdr_as_is</v>
      </c>
      <c r="G6" s="17" t="str">
        <f t="shared" si="1"/>
        <v>annl_trnvr_le_bdr_to_be</v>
      </c>
      <c r="H6" s="17" t="str">
        <f>IF(VLOOKUP(B6,Instruções!$F$6:$J$10,5,0)="",
"(SELECT "&amp;VLOOKUP(B6,Instruções!$F$6:$J$10,4,0)&amp;" as "&amp;VLOOKUP(B6,Instruções!$F$6:$J$10,4,0)&amp;"_as_is, "&amp;E6&amp;" as "&amp;F6&amp;" FROM "&amp;C6&amp;" WHERE "&amp;Instruções!$D$11&amp;") A ",
"(SELECT "&amp;VLOOKUP(B6,Instruções!$F$6:$J$10,4,0)&amp;" as "&amp;VLOOKUP(B6,Instruções!$F$6:$J$10,4,0)&amp;"_as_is, "&amp;VLOOKUP(B6,Instruções!$F$6:$J$10,5,0)&amp;" as "&amp;VLOOKUP(B6,Instruções!$F$6:$J$10,5,0)&amp;"_as_is,"&amp;E6&amp;" as "&amp;F6&amp;" FROM "&amp;C6&amp;" WHERE "&amp;Instruções!$D$11&amp;") A ")</f>
        <v xml:space="preserve">(SELECT entty_id as entty_id_as_is, annl_trnvr_le_bdr as annl_trnvr_le_bdr_as_is FROM cd_loan_tapes_bce.lt003_entity WHERE ref_date='2025-06-30' AND nome_perimetro= 'Individual IDComb' AND segmento= 'ESTR' AND ambito= 'PM' AND entidade='00100' AND cod_visao = 1) A </v>
      </c>
      <c r="I6" s="17" t="str">
        <f>IF(VLOOKUP(B6,Instruções!$F$6:$J$10,5,0)="",
"(SELECT "&amp;VLOOKUP(B6,Instruções!$F$6:$J$10,4,0)&amp;" as "&amp;VLOOKUP(B6,Instruções!$F$6:$J$10,4,0)&amp;"_to_be, "&amp;E6&amp;" as "&amp;G6&amp;" FROM "&amp;D6&amp;" WHERE "&amp;Instruções!$D$11&amp;") B ",
"(SELECT "&amp;VLOOKUP(B6,Instruções!$F$6:$J$10,4,0)&amp;" as "&amp;VLOOKUP(B6,Instruções!$F$6:$J$10,4,0)&amp;"_to_be, "&amp;VLOOKUP(B6,Instruções!$F$6:$J$10,5,0)&amp;" as "&amp;VLOOKUP(B6,Instruções!$F$6:$J$10,5,0)&amp;"_to_be,"&amp;E6&amp;" as "&amp;G6&amp;" FROM "&amp;D6&amp;" WHERE "&amp;Instruções!$D$11&amp;") B ")</f>
        <v xml:space="preserve">(SELECT entty_id as entty_id_to_be, annl_trnvr_le_bdr as annl_trnvr_le_bdr_to_be FROM bu_loantape_work.lt003_entity WHERE ref_date='2025-06-30' AND nome_perimetro= 'Individual IDComb' AND segmento= 'ESTR' AND ambito= 'PM' AND entidade='00100' AND cod_visao = 1) B </v>
      </c>
      <c r="J6" s="17" t="str">
        <f>IF(VLOOKUP(B6,Instruções!$F$6:$J$10,5,0)="",
"ON "&amp;VLOOKUP(B6,Instruções!$F$6:$J$10,4,0)&amp;"_as_is = "&amp;VLOOKUP(B6,Instruções!$F$6:$J$10,4,0)&amp;"_to_be ",
"ON "&amp;VLOOKUP(B6,Instruções!$F$6:$J$10,4,0)&amp;"_as_is = "&amp;VLOOKUP(B6,Instruções!$F$6:$J$10,4,0)&amp;"_to_be AND "&amp;VLOOKUP(B6,Instruções!$F$6:$J$10,5,0)&amp;"_as_is = "&amp;VLOOKUP(B6,Instruções!$F$6:$J$10,5,0)&amp;"_to_be ")</f>
        <v xml:space="preserve">ON entty_id_as_is = entty_id_to_be </v>
      </c>
      <c r="K6" s="17" t="str">
        <f t="shared" si="2"/>
        <v xml:space="preserve">WHERE coalesce(cast(annl_trnvr_le_bdr_as_is as string), '') &lt;&gt; coalesce(cast(annl_trnvr_le_bdr_to_be as string), '') </v>
      </c>
      <c r="L6" s="17" t="str">
        <f t="shared" si="3"/>
        <v xml:space="preserve">SELECT count(*) AS NUM_REG_DIF FROM (SELECT entty_id as entty_id_as_is, annl_trnvr_le_bdr as annl_trnvr_le_bdr_as_is FROM cd_loan_tapes_bce.lt003_entity WHERE ref_date='2025-06-30' AND nome_perimetro= 'Individual IDComb' AND segmento= 'ESTR' AND ambito= 'PM' AND entidade='00100' AND cod_visao = 1) A  Inner join (SELECT entty_id as entty_id_to_be, annl_trnvr_le_bdr as annl_trnvr_le_bdr_to_be FROM bu_loantape_work.lt003_entity WHERE ref_date='2025-06-30' AND nome_perimetro= 'Individual IDComb' AND segmento= 'ESTR' AND ambito= 'PM' AND entidade='00100' AND cod_visao = 1) B ON entty_id_as_is = entty_id_to_be WHERE coalesce(cast(annl_trnvr_le_bdr_as_is as string), '') &lt;&gt; coalesce(cast(annl_trnvr_le_bdr_to_be as string), '') </v>
      </c>
      <c r="M6" s="17" t="s">
        <v>48</v>
      </c>
      <c r="N6" s="17" t="str">
        <f>"SELECT 'Validação de campos' as tipologia_teste, '"&amp;VLOOKUP(B6,Instruções!$F$6:$J$10,3,0)&amp;"' AS TABELA, '"&amp;E6&amp;"' AS CAMPO, '"&amp;Instruções!$D$7&amp;"' as ref_date, coalesce(NUM_REG_DIF, 0) AS NUM_REG_DIF FROM ("&amp;L6&amp;") A "</f>
        <v xml:space="preserve">SELECT 'Validação de campos' as tipologia_teste, 'lt003_entity' AS TABELA, 'annl_trnvr_le_bdr' AS CAMPO, '2025-06-30' as ref_date, coalesce(NUM_REG_DIF, 0) AS NUM_REG_DIF FROM (SELECT count(*) AS NUM_REG_DIF FROM (SELECT entty_id as entty_id_as_is, annl_trnvr_le_bdr as annl_trnvr_le_bdr_as_is FROM cd_loan_tapes_bce.lt003_entity WHERE ref_date='2025-06-30' AND nome_perimetro= 'Individual IDComb' AND segmento= 'ESTR' AND ambito= 'PM' AND entidade='00100' AND cod_visao = 1) A  Inner join (SELECT entty_id as entty_id_to_be, annl_trnvr_le_bdr as annl_trnvr_le_bdr_to_be FROM bu_loantape_work.lt003_entity WHERE ref_date='2025-06-30' AND nome_perimetro= 'Individual IDComb' AND segmento= 'ESTR' AND ambito= 'PM' AND entidade='00100' AND cod_visao = 1) B ON entty_id_as_is = entty_id_to_be WHERE coalesce(cast(annl_trnvr_le_bdr_as_is as string), '') &lt;&gt; coalesce(cast(annl_trnvr_le_bdr_to_be as string), '') ) A </v>
      </c>
      <c r="O6" s="19" t="str">
        <f t="shared" si="4"/>
        <v>SELECT 'Validação de campos' as tipologia_teste, 'lt003_entity' AS TABELA, 'annl_trnvr_le_bdr' AS CAMPO, '2025-06-30' as ref_date, coalesce(NUM_REG_DIF, 0) AS NUM_REG_DIF FROM (SELECT count(*) AS NUM_REG_DIF FROM (SELECT entty_id as entty_id_as_is, annl_trnvr_le_bdr as annl_trnvr_le_bdr_as_is FROM cd_loan_tapes_bce.lt003_entity WHERE ref_date='2025-06-30' AND nome_perimetro= 'Individual IDComb' AND segmento= 'ESTR' AND ambito= 'PM' AND entidade='00100' AND cod_visao = 1) A  Inner join (SELECT entty_id as entty_id_to_be, annl_trnvr_le_bdr as annl_trnvr_le_bdr_to_be FROM bu_loantape_work.lt003_entity WHERE ref_date='2025-06-30' AND nome_perimetro= 'Individual IDComb' AND segmento= 'ESTR' AND ambito= 'PM' AND entidade='00100' AND cod_visao = 1) B ON entty_id_as_is = entty_id_to_be WHERE coalesce(cast(annl_trnvr_le_bdr_as_is as string), '') &lt;&gt; coalesce(cast(annl_trnvr_le_bdr_to_be as string), '') ) A UNION ALL</v>
      </c>
      <c r="P6" s="17">
        <f t="shared" ref="P6:P70" si="5">P5+1</f>
        <v>3</v>
      </c>
    </row>
    <row r="7" spans="2:16" s="15" customFormat="1" ht="11.5" x14ac:dyDescent="0.25">
      <c r="B7" s="17" t="s">
        <v>11</v>
      </c>
      <c r="C7" s="17" t="str">
        <f>_xlfn.CONCAT(Instruções!$D$5,".",VLOOKUP(B7,Instruções!$F$5:$H$10,2,0))</f>
        <v>cd_loan_tapes_bce.lt003_entity</v>
      </c>
      <c r="D7" s="17" t="str">
        <f>_xlfn.CONCAT(Instruções!$D$6,".",VLOOKUP(B7,Instruções!$F$5:$H$10,3,0))</f>
        <v>bu_loantape_work.lt003_entity</v>
      </c>
      <c r="E7" s="17" t="s">
        <v>51</v>
      </c>
      <c r="F7" s="17" t="str">
        <f t="shared" si="0"/>
        <v>annl_trnvr_prvs_as_is</v>
      </c>
      <c r="G7" s="17" t="str">
        <f t="shared" si="1"/>
        <v>annl_trnvr_prvs_to_be</v>
      </c>
      <c r="H7" s="17" t="str">
        <f>IF(VLOOKUP(B7,Instruções!$F$6:$J$10,5,0)="",
"(SELECT "&amp;VLOOKUP(B7,Instruções!$F$6:$J$10,4,0)&amp;" as "&amp;VLOOKUP(B7,Instruções!$F$6:$J$10,4,0)&amp;"_as_is, "&amp;E7&amp;" as "&amp;F7&amp;" FROM "&amp;C7&amp;" WHERE "&amp;Instruções!$D$11&amp;") A ",
"(SELECT "&amp;VLOOKUP(B7,Instruções!$F$6:$J$10,4,0)&amp;" as "&amp;VLOOKUP(B7,Instruções!$F$6:$J$10,4,0)&amp;"_as_is, "&amp;VLOOKUP(B7,Instruções!$F$6:$J$10,5,0)&amp;" as "&amp;VLOOKUP(B7,Instruções!$F$6:$J$10,5,0)&amp;"_as_is,"&amp;E7&amp;" as "&amp;F7&amp;" FROM "&amp;C7&amp;" WHERE "&amp;Instruções!$D$11&amp;") A ")</f>
        <v xml:space="preserve">(SELECT entty_id as entty_id_as_is, annl_trnvr_prvs as annl_trnvr_prvs_as_is FROM cd_loan_tapes_bce.lt003_entity WHERE ref_date='2025-06-30' AND nome_perimetro= 'Individual IDComb' AND segmento= 'ESTR' AND ambito= 'PM' AND entidade='00100' AND cod_visao = 1) A </v>
      </c>
      <c r="I7" s="17" t="str">
        <f>IF(VLOOKUP(B7,Instruções!$F$6:$J$10,5,0)="",
"(SELECT "&amp;VLOOKUP(B7,Instruções!$F$6:$J$10,4,0)&amp;" as "&amp;VLOOKUP(B7,Instruções!$F$6:$J$10,4,0)&amp;"_to_be, "&amp;E7&amp;" as "&amp;G7&amp;" FROM "&amp;D7&amp;" WHERE "&amp;Instruções!$D$11&amp;") B ",
"(SELECT "&amp;VLOOKUP(B7,Instruções!$F$6:$J$10,4,0)&amp;" as "&amp;VLOOKUP(B7,Instruções!$F$6:$J$10,4,0)&amp;"_to_be, "&amp;VLOOKUP(B7,Instruções!$F$6:$J$10,5,0)&amp;" as "&amp;VLOOKUP(B7,Instruções!$F$6:$J$10,5,0)&amp;"_to_be,"&amp;E7&amp;" as "&amp;G7&amp;" FROM "&amp;D7&amp;" WHERE "&amp;Instruções!$D$11&amp;") B ")</f>
        <v xml:space="preserve">(SELECT entty_id as entty_id_to_be, annl_trnvr_prvs as annl_trnvr_prvs_to_be FROM bu_loantape_work.lt003_entity WHERE ref_date='2025-06-30' AND nome_perimetro= 'Individual IDComb' AND segmento= 'ESTR' AND ambito= 'PM' AND entidade='00100' AND cod_visao = 1) B </v>
      </c>
      <c r="J7" s="17" t="str">
        <f>IF(VLOOKUP(B7,Instruções!$F$6:$J$10,5,0)="",
"ON "&amp;VLOOKUP(B7,Instruções!$F$6:$J$10,4,0)&amp;"_as_is = "&amp;VLOOKUP(B7,Instruções!$F$6:$J$10,4,0)&amp;"_to_be ",
"ON "&amp;VLOOKUP(B7,Instruções!$F$6:$J$10,4,0)&amp;"_as_is = "&amp;VLOOKUP(B7,Instruções!$F$6:$J$10,4,0)&amp;"_to_be AND "&amp;VLOOKUP(B7,Instruções!$F$6:$J$10,5,0)&amp;"_as_is = "&amp;VLOOKUP(B7,Instruções!$F$6:$J$10,5,0)&amp;"_to_be ")</f>
        <v xml:space="preserve">ON entty_id_as_is = entty_id_to_be </v>
      </c>
      <c r="K7" s="17" t="str">
        <f t="shared" si="2"/>
        <v xml:space="preserve">WHERE coalesce(cast(annl_trnvr_prvs_as_is as string), '') &lt;&gt; coalesce(cast(annl_trnvr_prvs_to_be as string), '') </v>
      </c>
      <c r="L7" s="17" t="str">
        <f t="shared" si="3"/>
        <v xml:space="preserve">SELECT count(*) AS NUM_REG_DIF FROM (SELECT entty_id as entty_id_as_is, annl_trnvr_prvs as annl_trnvr_prvs_as_is FROM cd_loan_tapes_bce.lt003_entity WHERE ref_date='2025-06-30' AND nome_perimetro= 'Individual IDComb' AND segmento= 'ESTR' AND ambito= 'PM' AND entidade='00100' AND cod_visao = 1) A  Inner join (SELECT entty_id as entty_id_to_be, annl_trnvr_prvs as annl_trnvr_prvs_to_be FROM bu_loantape_work.lt003_entity WHERE ref_date='2025-06-30' AND nome_perimetro= 'Individual IDComb' AND segmento= 'ESTR' AND ambito= 'PM' AND entidade='00100' AND cod_visao = 1) B ON entty_id_as_is = entty_id_to_be WHERE coalesce(cast(annl_trnvr_prvs_as_is as string), '') &lt;&gt; coalesce(cast(annl_trnvr_prvs_to_be as string), '') </v>
      </c>
      <c r="M7" s="17" t="s">
        <v>48</v>
      </c>
      <c r="N7" s="17" t="str">
        <f>"SELECT 'Validação de campos' as tipologia_teste, '"&amp;VLOOKUP(B7,Instruções!$F$6:$J$10,3,0)&amp;"' AS TABELA, '"&amp;E7&amp;"' AS CAMPO, '"&amp;Instruções!$D$7&amp;"' as ref_date, coalesce(NUM_REG_DIF, 0) AS NUM_REG_DIF FROM ("&amp;L7&amp;") A "</f>
        <v xml:space="preserve">SELECT 'Validação de campos' as tipologia_teste, 'lt003_entity' AS TABELA, 'annl_trnvr_prvs' AS CAMPO, '2025-06-30' as ref_date, coalesce(NUM_REG_DIF, 0) AS NUM_REG_DIF FROM (SELECT count(*) AS NUM_REG_DIF FROM (SELECT entty_id as entty_id_as_is, annl_trnvr_prvs as annl_trnvr_prvs_as_is FROM cd_loan_tapes_bce.lt003_entity WHERE ref_date='2025-06-30' AND nome_perimetro= 'Individual IDComb' AND segmento= 'ESTR' AND ambito= 'PM' AND entidade='00100' AND cod_visao = 1) A  Inner join (SELECT entty_id as entty_id_to_be, annl_trnvr_prvs as annl_trnvr_prvs_to_be FROM bu_loantape_work.lt003_entity WHERE ref_date='2025-06-30' AND nome_perimetro= 'Individual IDComb' AND segmento= 'ESTR' AND ambito= 'PM' AND entidade='00100' AND cod_visao = 1) B ON entty_id_as_is = entty_id_to_be WHERE coalesce(cast(annl_trnvr_prvs_as_is as string), '') &lt;&gt; coalesce(cast(annl_trnvr_prvs_to_be as string), '') ) A </v>
      </c>
      <c r="O7" s="19" t="str">
        <f t="shared" si="4"/>
        <v>SELECT 'Validação de campos' as tipologia_teste, 'lt003_entity' AS TABELA, 'annl_trnvr_prvs' AS CAMPO, '2025-06-30' as ref_date, coalesce(NUM_REG_DIF, 0) AS NUM_REG_DIF FROM (SELECT count(*) AS NUM_REG_DIF FROM (SELECT entty_id as entty_id_as_is, annl_trnvr_prvs as annl_trnvr_prvs_as_is FROM cd_loan_tapes_bce.lt003_entity WHERE ref_date='2025-06-30' AND nome_perimetro= 'Individual IDComb' AND segmento= 'ESTR' AND ambito= 'PM' AND entidade='00100' AND cod_visao = 1) A  Inner join (SELECT entty_id as entty_id_to_be, annl_trnvr_prvs as annl_trnvr_prvs_to_be FROM bu_loantape_work.lt003_entity WHERE ref_date='2025-06-30' AND nome_perimetro= 'Individual IDComb' AND segmento= 'ESTR' AND ambito= 'PM' AND entidade='00100' AND cod_visao = 1) B ON entty_id_as_is = entty_id_to_be WHERE coalesce(cast(annl_trnvr_prvs_as_is as string), '') &lt;&gt; coalesce(cast(annl_trnvr_prvs_to_be as string), '') ) A UNION ALL</v>
      </c>
      <c r="P7" s="17">
        <f t="shared" si="5"/>
        <v>4</v>
      </c>
    </row>
    <row r="8" spans="2:16" s="15" customFormat="1" ht="11.5" x14ac:dyDescent="0.25">
      <c r="B8" s="17" t="s">
        <v>11</v>
      </c>
      <c r="C8" s="17" t="str">
        <f>_xlfn.CONCAT(Instruções!$D$5,".",VLOOKUP(B8,Instruções!$F$5:$H$10,2,0))</f>
        <v>cd_loan_tapes_bce.lt003_entity</v>
      </c>
      <c r="D8" s="17" t="str">
        <f>_xlfn.CONCAT(Instruções!$D$6,".",VLOOKUP(B8,Instruções!$F$5:$H$10,3,0))</f>
        <v>bu_loantape_work.lt003_entity</v>
      </c>
      <c r="E8" s="17" t="s">
        <v>52</v>
      </c>
      <c r="F8" s="17" t="str">
        <f t="shared" si="0"/>
        <v>annl_trnvr_prvs_bdr_as_is</v>
      </c>
      <c r="G8" s="17" t="str">
        <f t="shared" si="1"/>
        <v>annl_trnvr_prvs_bdr_to_be</v>
      </c>
      <c r="H8" s="17" t="str">
        <f>IF(VLOOKUP(B8,Instruções!$F$6:$J$10,5,0)="",
"(SELECT "&amp;VLOOKUP(B8,Instruções!$F$6:$J$10,4,0)&amp;" as "&amp;VLOOKUP(B8,Instruções!$F$6:$J$10,4,0)&amp;"_as_is, "&amp;E8&amp;" as "&amp;F8&amp;" FROM "&amp;C8&amp;" WHERE "&amp;Instruções!$D$11&amp;") A ",
"(SELECT "&amp;VLOOKUP(B8,Instruções!$F$6:$J$10,4,0)&amp;" as "&amp;VLOOKUP(B8,Instruções!$F$6:$J$10,4,0)&amp;"_as_is, "&amp;VLOOKUP(B8,Instruções!$F$6:$J$10,5,0)&amp;" as "&amp;VLOOKUP(B8,Instruções!$F$6:$J$10,5,0)&amp;"_as_is,"&amp;E8&amp;" as "&amp;F8&amp;" FROM "&amp;C8&amp;" WHERE "&amp;Instruções!$D$11&amp;") A ")</f>
        <v xml:space="preserve">(SELECT entty_id as entty_id_as_is, annl_trnvr_prvs_bdr as annl_trnvr_prvs_bdr_as_is FROM cd_loan_tapes_bce.lt003_entity WHERE ref_date='2025-06-30' AND nome_perimetro= 'Individual IDComb' AND segmento= 'ESTR' AND ambito= 'PM' AND entidade='00100' AND cod_visao = 1) A </v>
      </c>
      <c r="I8" s="17" t="str">
        <f>IF(VLOOKUP(B8,Instruções!$F$6:$J$10,5,0)="",
"(SELECT "&amp;VLOOKUP(B8,Instruções!$F$6:$J$10,4,0)&amp;" as "&amp;VLOOKUP(B8,Instruções!$F$6:$J$10,4,0)&amp;"_to_be, "&amp;E8&amp;" as "&amp;G8&amp;" FROM "&amp;D8&amp;" WHERE "&amp;Instruções!$D$11&amp;") B ",
"(SELECT "&amp;VLOOKUP(B8,Instruções!$F$6:$J$10,4,0)&amp;" as "&amp;VLOOKUP(B8,Instruções!$F$6:$J$10,4,0)&amp;"_to_be, "&amp;VLOOKUP(B8,Instruções!$F$6:$J$10,5,0)&amp;" as "&amp;VLOOKUP(B8,Instruções!$F$6:$J$10,5,0)&amp;"_to_be,"&amp;E8&amp;" as "&amp;G8&amp;" FROM "&amp;D8&amp;" WHERE "&amp;Instruções!$D$11&amp;") B ")</f>
        <v xml:space="preserve">(SELECT entty_id as entty_id_to_be, annl_trnvr_prvs_bdr as annl_trnvr_prvs_bdr_to_be FROM bu_loantape_work.lt003_entity WHERE ref_date='2025-06-30' AND nome_perimetro= 'Individual IDComb' AND segmento= 'ESTR' AND ambito= 'PM' AND entidade='00100' AND cod_visao = 1) B </v>
      </c>
      <c r="J8" s="17" t="str">
        <f>IF(VLOOKUP(B8,Instruções!$F$6:$J$10,5,0)="",
"ON "&amp;VLOOKUP(B8,Instruções!$F$6:$J$10,4,0)&amp;"_as_is = "&amp;VLOOKUP(B8,Instruções!$F$6:$J$10,4,0)&amp;"_to_be ",
"ON "&amp;VLOOKUP(B8,Instruções!$F$6:$J$10,4,0)&amp;"_as_is = "&amp;VLOOKUP(B8,Instruções!$F$6:$J$10,4,0)&amp;"_to_be AND "&amp;VLOOKUP(B8,Instruções!$F$6:$J$10,5,0)&amp;"_as_is = "&amp;VLOOKUP(B8,Instruções!$F$6:$J$10,5,0)&amp;"_to_be ")</f>
        <v xml:space="preserve">ON entty_id_as_is = entty_id_to_be </v>
      </c>
      <c r="K8" s="17" t="str">
        <f t="shared" si="2"/>
        <v xml:space="preserve">WHERE coalesce(cast(annl_trnvr_prvs_bdr_as_is as string), '') &lt;&gt; coalesce(cast(annl_trnvr_prvs_bdr_to_be as string), '') </v>
      </c>
      <c r="L8" s="17" t="str">
        <f t="shared" si="3"/>
        <v xml:space="preserve">SELECT count(*) AS NUM_REG_DIF FROM (SELECT entty_id as entty_id_as_is, annl_trnvr_prvs_bdr as annl_trnvr_prvs_bdr_as_is FROM cd_loan_tapes_bce.lt003_entity WHERE ref_date='2025-06-30' AND nome_perimetro= 'Individual IDComb' AND segmento= 'ESTR' AND ambito= 'PM' AND entidade='00100' AND cod_visao = 1) A  Inner join (SELECT entty_id as entty_id_to_be, annl_trnvr_prvs_bdr as annl_trnvr_prvs_bdr_to_be FROM bu_loantape_work.lt003_entity WHERE ref_date='2025-06-30' AND nome_perimetro= 'Individual IDComb' AND segmento= 'ESTR' AND ambito= 'PM' AND entidade='00100' AND cod_visao = 1) B ON entty_id_as_is = entty_id_to_be WHERE coalesce(cast(annl_trnvr_prvs_bdr_as_is as string), '') &lt;&gt; coalesce(cast(annl_trnvr_prvs_bdr_to_be as string), '') </v>
      </c>
      <c r="M8" s="17" t="s">
        <v>48</v>
      </c>
      <c r="N8" s="17" t="str">
        <f>"SELECT 'Validação de campos' as tipologia_teste, '"&amp;VLOOKUP(B8,Instruções!$F$6:$J$10,3,0)&amp;"' AS TABELA, '"&amp;E8&amp;"' AS CAMPO, '"&amp;Instruções!$D$7&amp;"' as ref_date, coalesce(NUM_REG_DIF, 0) AS NUM_REG_DIF FROM ("&amp;L8&amp;") A "</f>
        <v xml:space="preserve">SELECT 'Validação de campos' as tipologia_teste, 'lt003_entity' AS TABELA, 'annl_trnvr_prvs_bdr' AS CAMPO, '2025-06-30' as ref_date, coalesce(NUM_REG_DIF, 0) AS NUM_REG_DIF FROM (SELECT count(*) AS NUM_REG_DIF FROM (SELECT entty_id as entty_id_as_is, annl_trnvr_prvs_bdr as annl_trnvr_prvs_bdr_as_is FROM cd_loan_tapes_bce.lt003_entity WHERE ref_date='2025-06-30' AND nome_perimetro= 'Individual IDComb' AND segmento= 'ESTR' AND ambito= 'PM' AND entidade='00100' AND cod_visao = 1) A  Inner join (SELECT entty_id as entty_id_to_be, annl_trnvr_prvs_bdr as annl_trnvr_prvs_bdr_to_be FROM bu_loantape_work.lt003_entity WHERE ref_date='2025-06-30' AND nome_perimetro= 'Individual IDComb' AND segmento= 'ESTR' AND ambito= 'PM' AND entidade='00100' AND cod_visao = 1) B ON entty_id_as_is = entty_id_to_be WHERE coalesce(cast(annl_trnvr_prvs_bdr_as_is as string), '') &lt;&gt; coalesce(cast(annl_trnvr_prvs_bdr_to_be as string), '') ) A </v>
      </c>
      <c r="O8" s="19" t="str">
        <f t="shared" si="4"/>
        <v>SELECT 'Validação de campos' as tipologia_teste, 'lt003_entity' AS TABELA, 'annl_trnvr_prvs_bdr' AS CAMPO, '2025-06-30' as ref_date, coalesce(NUM_REG_DIF, 0) AS NUM_REG_DIF FROM (SELECT count(*) AS NUM_REG_DIF FROM (SELECT entty_id as entty_id_as_is, annl_trnvr_prvs_bdr as annl_trnvr_prvs_bdr_as_is FROM cd_loan_tapes_bce.lt003_entity WHERE ref_date='2025-06-30' AND nome_perimetro= 'Individual IDComb' AND segmento= 'ESTR' AND ambito= 'PM' AND entidade='00100' AND cod_visao = 1) A  Inner join (SELECT entty_id as entty_id_to_be, annl_trnvr_prvs_bdr as annl_trnvr_prvs_bdr_to_be FROM bu_loantape_work.lt003_entity WHERE ref_date='2025-06-30' AND nome_perimetro= 'Individual IDComb' AND segmento= 'ESTR' AND ambito= 'PM' AND entidade='00100' AND cod_visao = 1) B ON entty_id_as_is = entty_id_to_be WHERE coalesce(cast(annl_trnvr_prvs_bdr_as_is as string), '') &lt;&gt; coalesce(cast(annl_trnvr_prvs_bdr_to_be as string), '') ) A UNION ALL</v>
      </c>
      <c r="P8" s="17">
        <f t="shared" si="5"/>
        <v>5</v>
      </c>
    </row>
    <row r="9" spans="2:16" s="15" customFormat="1" ht="11.5" x14ac:dyDescent="0.25">
      <c r="B9" s="17" t="s">
        <v>11</v>
      </c>
      <c r="C9" s="17" t="str">
        <f>_xlfn.CONCAT(Instruções!$D$5,".",VLOOKUP(B9,Instruções!$F$5:$H$10,2,0))</f>
        <v>cd_loan_tapes_bce.lt003_entity</v>
      </c>
      <c r="D9" s="17" t="str">
        <f>_xlfn.CONCAT(Instruções!$D$6,".",VLOOKUP(B9,Instruções!$F$5:$H$10,3,0))</f>
        <v>bu_loantape_work.lt003_entity</v>
      </c>
      <c r="E9" s="17" t="s">
        <v>53</v>
      </c>
      <c r="F9" s="17" t="str">
        <f t="shared" si="0"/>
        <v>capex_as_is</v>
      </c>
      <c r="G9" s="17" t="str">
        <f t="shared" si="1"/>
        <v>capex_to_be</v>
      </c>
      <c r="H9" s="17" t="str">
        <f>IF(VLOOKUP(B9,Instruções!$F$6:$J$10,5,0)="",
"(SELECT "&amp;VLOOKUP(B9,Instruções!$F$6:$J$10,4,0)&amp;" as "&amp;VLOOKUP(B9,Instruções!$F$6:$J$10,4,0)&amp;"_as_is, "&amp;E9&amp;" as "&amp;F9&amp;" FROM "&amp;C9&amp;" WHERE "&amp;Instruções!$D$11&amp;") A ",
"(SELECT "&amp;VLOOKUP(B9,Instruções!$F$6:$J$10,4,0)&amp;" as "&amp;VLOOKUP(B9,Instruções!$F$6:$J$10,4,0)&amp;"_as_is, "&amp;VLOOKUP(B9,Instruções!$F$6:$J$10,5,0)&amp;" as "&amp;VLOOKUP(B9,Instruções!$F$6:$J$10,5,0)&amp;"_as_is,"&amp;E9&amp;" as "&amp;F9&amp;" FROM "&amp;C9&amp;" WHERE "&amp;Instruções!$D$11&amp;") A ")</f>
        <v xml:space="preserve">(SELECT entty_id as entty_id_as_is, capex as capex_as_is FROM cd_loan_tapes_bce.lt003_entity WHERE ref_date='2025-06-30' AND nome_perimetro= 'Individual IDComb' AND segmento= 'ESTR' AND ambito= 'PM' AND entidade='00100' AND cod_visao = 1) A </v>
      </c>
      <c r="I9" s="17" t="str">
        <f>IF(VLOOKUP(B9,Instruções!$F$6:$J$10,5,0)="",
"(SELECT "&amp;VLOOKUP(B9,Instruções!$F$6:$J$10,4,0)&amp;" as "&amp;VLOOKUP(B9,Instruções!$F$6:$J$10,4,0)&amp;"_to_be, "&amp;E9&amp;" as "&amp;G9&amp;" FROM "&amp;D9&amp;" WHERE "&amp;Instruções!$D$11&amp;") B ",
"(SELECT "&amp;VLOOKUP(B9,Instruções!$F$6:$J$10,4,0)&amp;" as "&amp;VLOOKUP(B9,Instruções!$F$6:$J$10,4,0)&amp;"_to_be, "&amp;VLOOKUP(B9,Instruções!$F$6:$J$10,5,0)&amp;" as "&amp;VLOOKUP(B9,Instruções!$F$6:$J$10,5,0)&amp;"_to_be,"&amp;E9&amp;" as "&amp;G9&amp;" FROM "&amp;D9&amp;" WHERE "&amp;Instruções!$D$11&amp;") B ")</f>
        <v xml:space="preserve">(SELECT entty_id as entty_id_to_be, capex as capex_to_be FROM bu_loantape_work.lt003_entity WHERE ref_date='2025-06-30' AND nome_perimetro= 'Individual IDComb' AND segmento= 'ESTR' AND ambito= 'PM' AND entidade='00100' AND cod_visao = 1) B </v>
      </c>
      <c r="J9" s="17" t="str">
        <f>IF(VLOOKUP(B9,Instruções!$F$6:$J$10,5,0)="",
"ON "&amp;VLOOKUP(B9,Instruções!$F$6:$J$10,4,0)&amp;"_as_is = "&amp;VLOOKUP(B9,Instruções!$F$6:$J$10,4,0)&amp;"_to_be ",
"ON "&amp;VLOOKUP(B9,Instruções!$F$6:$J$10,4,0)&amp;"_as_is = "&amp;VLOOKUP(B9,Instruções!$F$6:$J$10,4,0)&amp;"_to_be AND "&amp;VLOOKUP(B9,Instruções!$F$6:$J$10,5,0)&amp;"_as_is = "&amp;VLOOKUP(B9,Instruções!$F$6:$J$10,5,0)&amp;"_to_be ")</f>
        <v xml:space="preserve">ON entty_id_as_is = entty_id_to_be </v>
      </c>
      <c r="K9" s="17" t="str">
        <f t="shared" si="2"/>
        <v xml:space="preserve">WHERE coalesce(cast(capex_as_is as string), '') &lt;&gt; coalesce(cast(capex_to_be as string), '') </v>
      </c>
      <c r="L9" s="17" t="str">
        <f t="shared" si="3"/>
        <v xml:space="preserve">SELECT count(*) AS NUM_REG_DIF FROM (SELECT entty_id as entty_id_as_is, capex as capex_as_is FROM cd_loan_tapes_bce.lt003_entity WHERE ref_date='2025-06-30' AND nome_perimetro= 'Individual IDComb' AND segmento= 'ESTR' AND ambito= 'PM' AND entidade='00100' AND cod_visao = 1) A  Inner join (SELECT entty_id as entty_id_to_be, capex as capex_to_be FROM bu_loantape_work.lt003_entity WHERE ref_date='2025-06-30' AND nome_perimetro= 'Individual IDComb' AND segmento= 'ESTR' AND ambito= 'PM' AND entidade='00100' AND cod_visao = 1) B ON entty_id_as_is = entty_id_to_be WHERE coalesce(cast(capex_as_is as string), '') &lt;&gt; coalesce(cast(capex_to_be as string), '') </v>
      </c>
      <c r="M9" s="17" t="s">
        <v>48</v>
      </c>
      <c r="N9" s="17" t="str">
        <f>"SELECT 'Validação de campos' as tipologia_teste, '"&amp;VLOOKUP(B9,Instruções!$F$6:$J$10,3,0)&amp;"' AS TABELA, '"&amp;E9&amp;"' AS CAMPO, '"&amp;Instruções!$D$7&amp;"' as ref_date, coalesce(NUM_REG_DIF, 0) AS NUM_REG_DIF FROM ("&amp;L9&amp;") A "</f>
        <v xml:space="preserve">SELECT 'Validação de campos' as tipologia_teste, 'lt003_entity' AS TABELA, 'capex' AS CAMPO, '2025-06-30' as ref_date, coalesce(NUM_REG_DIF, 0) AS NUM_REG_DIF FROM (SELECT count(*) AS NUM_REG_DIF FROM (SELECT entty_id as entty_id_as_is, capex as capex_as_is FROM cd_loan_tapes_bce.lt003_entity WHERE ref_date='2025-06-30' AND nome_perimetro= 'Individual IDComb' AND segmento= 'ESTR' AND ambito= 'PM' AND entidade='00100' AND cod_visao = 1) A  Inner join (SELECT entty_id as entty_id_to_be, capex as capex_to_be FROM bu_loantape_work.lt003_entity WHERE ref_date='2025-06-30' AND nome_perimetro= 'Individual IDComb' AND segmento= 'ESTR' AND ambito= 'PM' AND entidade='00100' AND cod_visao = 1) B ON entty_id_as_is = entty_id_to_be WHERE coalesce(cast(capex_as_is as string), '') &lt;&gt; coalesce(cast(capex_to_be as string), '') ) A </v>
      </c>
      <c r="O9" s="19" t="str">
        <f t="shared" si="4"/>
        <v>SELECT 'Validação de campos' as tipologia_teste, 'lt003_entity' AS TABELA, 'capex' AS CAMPO, '2025-06-30' as ref_date, coalesce(NUM_REG_DIF, 0) AS NUM_REG_DIF FROM (SELECT count(*) AS NUM_REG_DIF FROM (SELECT entty_id as entty_id_as_is, capex as capex_as_is FROM cd_loan_tapes_bce.lt003_entity WHERE ref_date='2025-06-30' AND nome_perimetro= 'Individual IDComb' AND segmento= 'ESTR' AND ambito= 'PM' AND entidade='00100' AND cod_visao = 1) A  Inner join (SELECT entty_id as entty_id_to_be, capex as capex_to_be FROM bu_loantape_work.lt003_entity WHERE ref_date='2025-06-30' AND nome_perimetro= 'Individual IDComb' AND segmento= 'ESTR' AND ambito= 'PM' AND entidade='00100' AND cod_visao = 1) B ON entty_id_as_is = entty_id_to_be WHERE coalesce(cast(capex_as_is as string), '') &lt;&gt; coalesce(cast(capex_to_be as string), '') ) A UNION ALL</v>
      </c>
      <c r="P9" s="17">
        <f t="shared" si="5"/>
        <v>6</v>
      </c>
    </row>
    <row r="10" spans="2:16" s="15" customFormat="1" ht="11.5" x14ac:dyDescent="0.25">
      <c r="B10" s="17" t="s">
        <v>11</v>
      </c>
      <c r="C10" s="17" t="str">
        <f>_xlfn.CONCAT(Instruções!$D$5,".",VLOOKUP(B10,Instruções!$F$5:$H$10,2,0))</f>
        <v>cd_loan_tapes_bce.lt003_entity</v>
      </c>
      <c r="D10" s="17" t="str">
        <f>_xlfn.CONCAT(Instruções!$D$6,".",VLOOKUP(B10,Instruções!$F$5:$H$10,3,0))</f>
        <v>bu_loantape_work.lt003_entity</v>
      </c>
      <c r="E10" s="17" t="s">
        <v>54</v>
      </c>
      <c r="F10" s="17" t="str">
        <f t="shared" si="0"/>
        <v>capex_prvs_as_is</v>
      </c>
      <c r="G10" s="17" t="str">
        <f t="shared" si="1"/>
        <v>capex_prvs_to_be</v>
      </c>
      <c r="H10" s="17" t="str">
        <f>IF(VLOOKUP(B10,Instruções!$F$6:$J$10,5,0)="",
"(SELECT "&amp;VLOOKUP(B10,Instruções!$F$6:$J$10,4,0)&amp;" as "&amp;VLOOKUP(B10,Instruções!$F$6:$J$10,4,0)&amp;"_as_is, "&amp;E10&amp;" as "&amp;F10&amp;" FROM "&amp;C10&amp;" WHERE "&amp;Instruções!$D$11&amp;") A ",
"(SELECT "&amp;VLOOKUP(B10,Instruções!$F$6:$J$10,4,0)&amp;" as "&amp;VLOOKUP(B10,Instruções!$F$6:$J$10,4,0)&amp;"_as_is, "&amp;VLOOKUP(B10,Instruções!$F$6:$J$10,5,0)&amp;" as "&amp;VLOOKUP(B10,Instruções!$F$6:$J$10,5,0)&amp;"_as_is,"&amp;E10&amp;" as "&amp;F10&amp;" FROM "&amp;C10&amp;" WHERE "&amp;Instruções!$D$11&amp;") A ")</f>
        <v xml:space="preserve">(SELECT entty_id as entty_id_as_is, capex_prvs as capex_prvs_as_is FROM cd_loan_tapes_bce.lt003_entity WHERE ref_date='2025-06-30' AND nome_perimetro= 'Individual IDComb' AND segmento= 'ESTR' AND ambito= 'PM' AND entidade='00100' AND cod_visao = 1) A </v>
      </c>
      <c r="I10" s="17" t="str">
        <f>IF(VLOOKUP(B10,Instruções!$F$6:$J$10,5,0)="",
"(SELECT "&amp;VLOOKUP(B10,Instruções!$F$6:$J$10,4,0)&amp;" as "&amp;VLOOKUP(B10,Instruções!$F$6:$J$10,4,0)&amp;"_to_be, "&amp;E10&amp;" as "&amp;G10&amp;" FROM "&amp;D10&amp;" WHERE "&amp;Instruções!$D$11&amp;") B ",
"(SELECT "&amp;VLOOKUP(B10,Instruções!$F$6:$J$10,4,0)&amp;" as "&amp;VLOOKUP(B10,Instruções!$F$6:$J$10,4,0)&amp;"_to_be, "&amp;VLOOKUP(B10,Instruções!$F$6:$J$10,5,0)&amp;" as "&amp;VLOOKUP(B10,Instruções!$F$6:$J$10,5,0)&amp;"_to_be,"&amp;E10&amp;" as "&amp;G10&amp;" FROM "&amp;D10&amp;" WHERE "&amp;Instruções!$D$11&amp;") B ")</f>
        <v xml:space="preserve">(SELECT entty_id as entty_id_to_be, capex_prvs as capex_prvs_to_be FROM bu_loantape_work.lt003_entity WHERE ref_date='2025-06-30' AND nome_perimetro= 'Individual IDComb' AND segmento= 'ESTR' AND ambito= 'PM' AND entidade='00100' AND cod_visao = 1) B </v>
      </c>
      <c r="J10" s="17" t="str">
        <f>IF(VLOOKUP(B10,Instruções!$F$6:$J$10,5,0)="",
"ON "&amp;VLOOKUP(B10,Instruções!$F$6:$J$10,4,0)&amp;"_as_is = "&amp;VLOOKUP(B10,Instruções!$F$6:$J$10,4,0)&amp;"_to_be ",
"ON "&amp;VLOOKUP(B10,Instruções!$F$6:$J$10,4,0)&amp;"_as_is = "&amp;VLOOKUP(B10,Instruções!$F$6:$J$10,4,0)&amp;"_to_be AND "&amp;VLOOKUP(B10,Instruções!$F$6:$J$10,5,0)&amp;"_as_is = "&amp;VLOOKUP(B10,Instruções!$F$6:$J$10,5,0)&amp;"_to_be ")</f>
        <v xml:space="preserve">ON entty_id_as_is = entty_id_to_be </v>
      </c>
      <c r="K10" s="17" t="str">
        <f t="shared" si="2"/>
        <v xml:space="preserve">WHERE coalesce(cast(capex_prvs_as_is as string), '') &lt;&gt; coalesce(cast(capex_prvs_to_be as string), '') </v>
      </c>
      <c r="L10" s="17" t="str">
        <f t="shared" si="3"/>
        <v xml:space="preserve">SELECT count(*) AS NUM_REG_DIF FROM (SELECT entty_id as entty_id_as_is, capex_prvs as capex_prvs_as_is FROM cd_loan_tapes_bce.lt003_entity WHERE ref_date='2025-06-30' AND nome_perimetro= 'Individual IDComb' AND segmento= 'ESTR' AND ambito= 'PM' AND entidade='00100' AND cod_visao = 1) A  Inner join (SELECT entty_id as entty_id_to_be, capex_prvs as capex_prvs_to_be FROM bu_loantape_work.lt003_entity WHERE ref_date='2025-06-30' AND nome_perimetro= 'Individual IDComb' AND segmento= 'ESTR' AND ambito= 'PM' AND entidade='00100' AND cod_visao = 1) B ON entty_id_as_is = entty_id_to_be WHERE coalesce(cast(capex_prvs_as_is as string), '') &lt;&gt; coalesce(cast(capex_prvs_to_be as string), '') </v>
      </c>
      <c r="M10" s="17" t="s">
        <v>48</v>
      </c>
      <c r="N10" s="17" t="str">
        <f>"SELECT 'Validação de campos' as tipologia_teste, '"&amp;VLOOKUP(B10,Instruções!$F$6:$J$10,3,0)&amp;"' AS TABELA, '"&amp;E10&amp;"' AS CAMPO, '"&amp;Instruções!$D$7&amp;"' as ref_date, coalesce(NUM_REG_DIF, 0) AS NUM_REG_DIF FROM ("&amp;L10&amp;") A "</f>
        <v xml:space="preserve">SELECT 'Validação de campos' as tipologia_teste, 'lt003_entity' AS TABELA, 'capex_prvs' AS CAMPO, '2025-06-30' as ref_date, coalesce(NUM_REG_DIF, 0) AS NUM_REG_DIF FROM (SELECT count(*) AS NUM_REG_DIF FROM (SELECT entty_id as entty_id_as_is, capex_prvs as capex_prvs_as_is FROM cd_loan_tapes_bce.lt003_entity WHERE ref_date='2025-06-30' AND nome_perimetro= 'Individual IDComb' AND segmento= 'ESTR' AND ambito= 'PM' AND entidade='00100' AND cod_visao = 1) A  Inner join (SELECT entty_id as entty_id_to_be, capex_prvs as capex_prvs_to_be FROM bu_loantape_work.lt003_entity WHERE ref_date='2025-06-30' AND nome_perimetro= 'Individual IDComb' AND segmento= 'ESTR' AND ambito= 'PM' AND entidade='00100' AND cod_visao = 1) B ON entty_id_as_is = entty_id_to_be WHERE coalesce(cast(capex_prvs_as_is as string), '') &lt;&gt; coalesce(cast(capex_prvs_to_be as string), '') ) A </v>
      </c>
      <c r="O10" s="19" t="str">
        <f t="shared" si="4"/>
        <v>SELECT 'Validação de campos' as tipologia_teste, 'lt003_entity' AS TABELA, 'capex_prvs' AS CAMPO, '2025-06-30' as ref_date, coalesce(NUM_REG_DIF, 0) AS NUM_REG_DIF FROM (SELECT count(*) AS NUM_REG_DIF FROM (SELECT entty_id as entty_id_as_is, capex_prvs as capex_prvs_as_is FROM cd_loan_tapes_bce.lt003_entity WHERE ref_date='2025-06-30' AND nome_perimetro= 'Individual IDComb' AND segmento= 'ESTR' AND ambito= 'PM' AND entidade='00100' AND cod_visao = 1) A  Inner join (SELECT entty_id as entty_id_to_be, capex_prvs as capex_prvs_to_be FROM bu_loantape_work.lt003_entity WHERE ref_date='2025-06-30' AND nome_perimetro= 'Individual IDComb' AND segmento= 'ESTR' AND ambito= 'PM' AND entidade='00100' AND cod_visao = 1) B ON entty_id_as_is = entty_id_to_be WHERE coalesce(cast(capex_prvs_as_is as string), '') &lt;&gt; coalesce(cast(capex_prvs_to_be as string), '') ) A UNION ALL</v>
      </c>
      <c r="P10" s="17">
        <f t="shared" si="5"/>
        <v>7</v>
      </c>
    </row>
    <row r="11" spans="2:16" s="15" customFormat="1" ht="11.5" x14ac:dyDescent="0.25">
      <c r="B11" s="17" t="s">
        <v>11</v>
      </c>
      <c r="C11" s="17" t="str">
        <f>_xlfn.CONCAT(Instruções!$D$5,".",VLOOKUP(B11,Instruções!$F$5:$H$10,2,0))</f>
        <v>cd_loan_tapes_bce.lt003_entity</v>
      </c>
      <c r="D11" s="17" t="str">
        <f>_xlfn.CONCAT(Instruções!$D$6,".",VLOOKUP(B11,Instruções!$F$5:$H$10,3,0))</f>
        <v>bu_loantape_work.lt003_entity</v>
      </c>
      <c r="E11" s="17" t="s">
        <v>55</v>
      </c>
      <c r="F11" s="17" t="str">
        <f t="shared" si="0"/>
        <v>cllctn_md_as_is</v>
      </c>
      <c r="G11" s="17" t="str">
        <f t="shared" si="1"/>
        <v>cllctn_md_to_be</v>
      </c>
      <c r="H11" s="17" t="str">
        <f>IF(VLOOKUP(B11,Instruções!$F$6:$J$10,5,0)="",
"(SELECT "&amp;VLOOKUP(B11,Instruções!$F$6:$J$10,4,0)&amp;" as "&amp;VLOOKUP(B11,Instruções!$F$6:$J$10,4,0)&amp;"_as_is, "&amp;E11&amp;" as "&amp;F11&amp;" FROM "&amp;C11&amp;" WHERE "&amp;Instruções!$D$11&amp;") A ",
"(SELECT "&amp;VLOOKUP(B11,Instruções!$F$6:$J$10,4,0)&amp;" as "&amp;VLOOKUP(B11,Instruções!$F$6:$J$10,4,0)&amp;"_as_is, "&amp;VLOOKUP(B11,Instruções!$F$6:$J$10,5,0)&amp;" as "&amp;VLOOKUP(B11,Instruções!$F$6:$J$10,5,0)&amp;"_as_is,"&amp;E11&amp;" as "&amp;F11&amp;" FROM "&amp;C11&amp;" WHERE "&amp;Instruções!$D$11&amp;") A ")</f>
        <v xml:space="preserve">(SELECT entty_id as entty_id_as_is, cllctn_md as cllctn_md_as_is FROM cd_loan_tapes_bce.lt003_entity WHERE ref_date='2025-06-30' AND nome_perimetro= 'Individual IDComb' AND segmento= 'ESTR' AND ambito= 'PM' AND entidade='00100' AND cod_visao = 1) A </v>
      </c>
      <c r="I11" s="17" t="str">
        <f>IF(VLOOKUP(B11,Instruções!$F$6:$J$10,5,0)="",
"(SELECT "&amp;VLOOKUP(B11,Instruções!$F$6:$J$10,4,0)&amp;" as "&amp;VLOOKUP(B11,Instruções!$F$6:$J$10,4,0)&amp;"_to_be, "&amp;E11&amp;" as "&amp;G11&amp;" FROM "&amp;D11&amp;" WHERE "&amp;Instruções!$D$11&amp;") B ",
"(SELECT "&amp;VLOOKUP(B11,Instruções!$F$6:$J$10,4,0)&amp;" as "&amp;VLOOKUP(B11,Instruções!$F$6:$J$10,4,0)&amp;"_to_be, "&amp;VLOOKUP(B11,Instruções!$F$6:$J$10,5,0)&amp;" as "&amp;VLOOKUP(B11,Instruções!$F$6:$J$10,5,0)&amp;"_to_be,"&amp;E11&amp;" as "&amp;G11&amp;" FROM "&amp;D11&amp;" WHERE "&amp;Instruções!$D$11&amp;") B ")</f>
        <v xml:space="preserve">(SELECT entty_id as entty_id_to_be, cllctn_md as cllctn_md_to_be FROM bu_loantape_work.lt003_entity WHERE ref_date='2025-06-30' AND nome_perimetro= 'Individual IDComb' AND segmento= 'ESTR' AND ambito= 'PM' AND entidade='00100' AND cod_visao = 1) B </v>
      </c>
      <c r="J11" s="17" t="str">
        <f>IF(VLOOKUP(B11,Instruções!$F$6:$J$10,5,0)="",
"ON "&amp;VLOOKUP(B11,Instruções!$F$6:$J$10,4,0)&amp;"_as_is = "&amp;VLOOKUP(B11,Instruções!$F$6:$J$10,4,0)&amp;"_to_be ",
"ON "&amp;VLOOKUP(B11,Instruções!$F$6:$J$10,4,0)&amp;"_as_is = "&amp;VLOOKUP(B11,Instruções!$F$6:$J$10,4,0)&amp;"_to_be AND "&amp;VLOOKUP(B11,Instruções!$F$6:$J$10,5,0)&amp;"_as_is = "&amp;VLOOKUP(B11,Instruções!$F$6:$J$10,5,0)&amp;"_to_be ")</f>
        <v xml:space="preserve">ON entty_id_as_is = entty_id_to_be </v>
      </c>
      <c r="K11" s="17" t="str">
        <f t="shared" si="2"/>
        <v xml:space="preserve">WHERE coalesce(cast(cllctn_md_as_is as string), '') &lt;&gt; coalesce(cast(cllctn_md_to_be as string), '') </v>
      </c>
      <c r="L11" s="17" t="str">
        <f t="shared" si="3"/>
        <v xml:space="preserve">SELECT count(*) AS NUM_REG_DIF FROM (SELECT entty_id as entty_id_as_is, cllctn_md as cllctn_md_as_is FROM cd_loan_tapes_bce.lt003_entity WHERE ref_date='2025-06-30' AND nome_perimetro= 'Individual IDComb' AND segmento= 'ESTR' AND ambito= 'PM' AND entidade='00100' AND cod_visao = 1) A  Inner join (SELECT entty_id as entty_id_to_be, cllctn_md as cllctn_md_to_be FROM bu_loantape_work.lt003_entity WHERE ref_date='2025-06-30' AND nome_perimetro= 'Individual IDComb' AND segmento= 'ESTR' AND ambito= 'PM' AND entidade='00100' AND cod_visao = 1) B ON entty_id_as_is = entty_id_to_be WHERE coalesce(cast(cllctn_md_as_is as string), '') &lt;&gt; coalesce(cast(cllctn_md_to_be as string), '') </v>
      </c>
      <c r="M11" s="17" t="s">
        <v>48</v>
      </c>
      <c r="N11" s="17" t="str">
        <f>"SELECT 'Validação de campos' as tipologia_teste, '"&amp;VLOOKUP(B11,Instruções!$F$6:$J$10,3,0)&amp;"' AS TABELA, '"&amp;E11&amp;"' AS CAMPO, '"&amp;Instruções!$D$7&amp;"' as ref_date, coalesce(NUM_REG_DIF, 0) AS NUM_REG_DIF FROM ("&amp;L11&amp;") A "</f>
        <v xml:space="preserve">SELECT 'Validação de campos' as tipologia_teste, 'lt003_entity' AS TABELA, 'cllctn_md' AS CAMPO, '2025-06-30' as ref_date, coalesce(NUM_REG_DIF, 0) AS NUM_REG_DIF FROM (SELECT count(*) AS NUM_REG_DIF FROM (SELECT entty_id as entty_id_as_is, cllctn_md as cllctn_md_as_is FROM cd_loan_tapes_bce.lt003_entity WHERE ref_date='2025-06-30' AND nome_perimetro= 'Individual IDComb' AND segmento= 'ESTR' AND ambito= 'PM' AND entidade='00100' AND cod_visao = 1) A  Inner join (SELECT entty_id as entty_id_to_be, cllctn_md as cllctn_md_to_be FROM bu_loantape_work.lt003_entity WHERE ref_date='2025-06-30' AND nome_perimetro= 'Individual IDComb' AND segmento= 'ESTR' AND ambito= 'PM' AND entidade='00100' AND cod_visao = 1) B ON entty_id_as_is = entty_id_to_be WHERE coalesce(cast(cllctn_md_as_is as string), '') &lt;&gt; coalesce(cast(cllctn_md_to_be as string), '') ) A </v>
      </c>
      <c r="O11" s="19" t="str">
        <f t="shared" si="4"/>
        <v>SELECT 'Validação de campos' as tipologia_teste, 'lt003_entity' AS TABELA, 'cllctn_md' AS CAMPO, '2025-06-30' as ref_date, coalesce(NUM_REG_DIF, 0) AS NUM_REG_DIF FROM (SELECT count(*) AS NUM_REG_DIF FROM (SELECT entty_id as entty_id_as_is, cllctn_md as cllctn_md_as_is FROM cd_loan_tapes_bce.lt003_entity WHERE ref_date='2025-06-30' AND nome_perimetro= 'Individual IDComb' AND segmento= 'ESTR' AND ambito= 'PM' AND entidade='00100' AND cod_visao = 1) A  Inner join (SELECT entty_id as entty_id_to_be, cllctn_md as cllctn_md_to_be FROM bu_loantape_work.lt003_entity WHERE ref_date='2025-06-30' AND nome_perimetro= 'Individual IDComb' AND segmento= 'ESTR' AND ambito= 'PM' AND entidade='00100' AND cod_visao = 1) B ON entty_id_as_is = entty_id_to_be WHERE coalesce(cast(cllctn_md_as_is as string), '') &lt;&gt; coalesce(cast(cllctn_md_to_be as string), '') ) A UNION ALL</v>
      </c>
      <c r="P11" s="17">
        <f t="shared" si="5"/>
        <v>8</v>
      </c>
    </row>
    <row r="12" spans="2:16" s="15" customFormat="1" ht="11.5" x14ac:dyDescent="0.25">
      <c r="B12" s="17" t="s">
        <v>11</v>
      </c>
      <c r="C12" s="17" t="str">
        <f>_xlfn.CONCAT(Instruções!$D$5,".",VLOOKUP(B12,Instruções!$F$5:$H$10,2,0))</f>
        <v>cd_loan_tapes_bce.lt003_entity</v>
      </c>
      <c r="D12" s="17" t="str">
        <f>_xlfn.CONCAT(Instruções!$D$6,".",VLOOKUP(B12,Instruções!$F$5:$H$10,3,0))</f>
        <v>bu_loantape_work.lt003_entity</v>
      </c>
      <c r="E12" s="17" t="s">
        <v>56</v>
      </c>
      <c r="F12" s="17" t="str">
        <f t="shared" si="0"/>
        <v>cntry_as_is</v>
      </c>
      <c r="G12" s="17" t="str">
        <f t="shared" si="1"/>
        <v>cntry_to_be</v>
      </c>
      <c r="H12" s="17" t="str">
        <f>IF(VLOOKUP(B12,Instruções!$F$6:$J$10,5,0)="",
"(SELECT "&amp;VLOOKUP(B12,Instruções!$F$6:$J$10,4,0)&amp;" as "&amp;VLOOKUP(B12,Instruções!$F$6:$J$10,4,0)&amp;"_as_is, "&amp;E12&amp;" as "&amp;F12&amp;" FROM "&amp;C12&amp;" WHERE "&amp;Instruções!$D$11&amp;") A ",
"(SELECT "&amp;VLOOKUP(B12,Instruções!$F$6:$J$10,4,0)&amp;" as "&amp;VLOOKUP(B12,Instruções!$F$6:$J$10,4,0)&amp;"_as_is, "&amp;VLOOKUP(B12,Instruções!$F$6:$J$10,5,0)&amp;" as "&amp;VLOOKUP(B12,Instruções!$F$6:$J$10,5,0)&amp;"_as_is,"&amp;E12&amp;" as "&amp;F12&amp;" FROM "&amp;C12&amp;" WHERE "&amp;Instruções!$D$11&amp;") A ")</f>
        <v xml:space="preserve">(SELECT entty_id as entty_id_as_is, cntry as cntry_as_is FROM cd_loan_tapes_bce.lt003_entity WHERE ref_date='2025-06-30' AND nome_perimetro= 'Individual IDComb' AND segmento= 'ESTR' AND ambito= 'PM' AND entidade='00100' AND cod_visao = 1) A </v>
      </c>
      <c r="I12" s="17" t="str">
        <f>IF(VLOOKUP(B12,Instruções!$F$6:$J$10,5,0)="",
"(SELECT "&amp;VLOOKUP(B12,Instruções!$F$6:$J$10,4,0)&amp;" as "&amp;VLOOKUP(B12,Instruções!$F$6:$J$10,4,0)&amp;"_to_be, "&amp;E12&amp;" as "&amp;G12&amp;" FROM "&amp;D12&amp;" WHERE "&amp;Instruções!$D$11&amp;") B ",
"(SELECT "&amp;VLOOKUP(B12,Instruções!$F$6:$J$10,4,0)&amp;" as "&amp;VLOOKUP(B12,Instruções!$F$6:$J$10,4,0)&amp;"_to_be, "&amp;VLOOKUP(B12,Instruções!$F$6:$J$10,5,0)&amp;" as "&amp;VLOOKUP(B12,Instruções!$F$6:$J$10,5,0)&amp;"_to_be,"&amp;E12&amp;" as "&amp;G12&amp;" FROM "&amp;D12&amp;" WHERE "&amp;Instruções!$D$11&amp;") B ")</f>
        <v xml:space="preserve">(SELECT entty_id as entty_id_to_be, cntry as cntry_to_be FROM bu_loantape_work.lt003_entity WHERE ref_date='2025-06-30' AND nome_perimetro= 'Individual IDComb' AND segmento= 'ESTR' AND ambito= 'PM' AND entidade='00100' AND cod_visao = 1) B </v>
      </c>
      <c r="J12" s="17" t="str">
        <f>IF(VLOOKUP(B12,Instruções!$F$6:$J$10,5,0)="",
"ON "&amp;VLOOKUP(B12,Instruções!$F$6:$J$10,4,0)&amp;"_as_is = "&amp;VLOOKUP(B12,Instruções!$F$6:$J$10,4,0)&amp;"_to_be ",
"ON "&amp;VLOOKUP(B12,Instruções!$F$6:$J$10,4,0)&amp;"_as_is = "&amp;VLOOKUP(B12,Instruções!$F$6:$J$10,4,0)&amp;"_to_be AND "&amp;VLOOKUP(B12,Instruções!$F$6:$J$10,5,0)&amp;"_as_is = "&amp;VLOOKUP(B12,Instruções!$F$6:$J$10,5,0)&amp;"_to_be ")</f>
        <v xml:space="preserve">ON entty_id_as_is = entty_id_to_be </v>
      </c>
      <c r="K12" s="17" t="str">
        <f t="shared" si="2"/>
        <v xml:space="preserve">WHERE coalesce(cast(cntry_as_is as string), '') &lt;&gt; coalesce(cast(cntry_to_be as string), '') </v>
      </c>
      <c r="L12" s="17" t="str">
        <f t="shared" si="3"/>
        <v xml:space="preserve">SELECT count(*) AS NUM_REG_DIF FROM (SELECT entty_id as entty_id_as_is, cntry as cntry_as_is FROM cd_loan_tapes_bce.lt003_entity WHERE ref_date='2025-06-30' AND nome_perimetro= 'Individual IDComb' AND segmento= 'ESTR' AND ambito= 'PM' AND entidade='00100' AND cod_visao = 1) A  Inner join (SELECT entty_id as entty_id_to_be, cntry as cntry_to_be FROM bu_loantape_work.lt003_entity WHERE ref_date='2025-06-30' AND nome_perimetro= 'Individual IDComb' AND segmento= 'ESTR' AND ambito= 'PM' AND entidade='00100' AND cod_visao = 1) B ON entty_id_as_is = entty_id_to_be WHERE coalesce(cast(cntry_as_is as string), '') &lt;&gt; coalesce(cast(cntry_to_be as string), '') </v>
      </c>
      <c r="M12" s="17" t="s">
        <v>48</v>
      </c>
      <c r="N12" s="17" t="str">
        <f>"SELECT 'Validação de campos' as tipologia_teste, '"&amp;VLOOKUP(B12,Instruções!$F$6:$J$10,3,0)&amp;"' AS TABELA, '"&amp;E12&amp;"' AS CAMPO, '"&amp;Instruções!$D$7&amp;"' as ref_date, coalesce(NUM_REG_DIF, 0) AS NUM_REG_DIF FROM ("&amp;L12&amp;") A "</f>
        <v xml:space="preserve">SELECT 'Validação de campos' as tipologia_teste, 'lt003_entity' AS TABELA, 'cntry' AS CAMPO, '2025-06-30' as ref_date, coalesce(NUM_REG_DIF, 0) AS NUM_REG_DIF FROM (SELECT count(*) AS NUM_REG_DIF FROM (SELECT entty_id as entty_id_as_is, cntry as cntry_as_is FROM cd_loan_tapes_bce.lt003_entity WHERE ref_date='2025-06-30' AND nome_perimetro= 'Individual IDComb' AND segmento= 'ESTR' AND ambito= 'PM' AND entidade='00100' AND cod_visao = 1) A  Inner join (SELECT entty_id as entty_id_to_be, cntry as cntry_to_be FROM bu_loantape_work.lt003_entity WHERE ref_date='2025-06-30' AND nome_perimetro= 'Individual IDComb' AND segmento= 'ESTR' AND ambito= 'PM' AND entidade='00100' AND cod_visao = 1) B ON entty_id_as_is = entty_id_to_be WHERE coalesce(cast(cntry_as_is as string), '') &lt;&gt; coalesce(cast(cntry_to_be as string), '') ) A </v>
      </c>
      <c r="O12" s="19" t="str">
        <f t="shared" si="4"/>
        <v>SELECT 'Validação de campos' as tipologia_teste, 'lt003_entity' AS TABELA, 'cntry' AS CAMPO, '2025-06-30' as ref_date, coalesce(NUM_REG_DIF, 0) AS NUM_REG_DIF FROM (SELECT count(*) AS NUM_REG_DIF FROM (SELECT entty_id as entty_id_as_is, cntry as cntry_as_is FROM cd_loan_tapes_bce.lt003_entity WHERE ref_date='2025-06-30' AND nome_perimetro= 'Individual IDComb' AND segmento= 'ESTR' AND ambito= 'PM' AND entidade='00100' AND cod_visao = 1) A  Inner join (SELECT entty_id as entty_id_to_be, cntry as cntry_to_be FROM bu_loantape_work.lt003_entity WHERE ref_date='2025-06-30' AND nome_perimetro= 'Individual IDComb' AND segmento= 'ESTR' AND ambito= 'PM' AND entidade='00100' AND cod_visao = 1) B ON entty_id_as_is = entty_id_to_be WHERE coalesce(cast(cntry_as_is as string), '') &lt;&gt; coalesce(cast(cntry_to_be as string), '') ) A UNION ALL</v>
      </c>
      <c r="P12" s="17">
        <f t="shared" si="5"/>
        <v>9</v>
      </c>
    </row>
    <row r="13" spans="2:16" s="15" customFormat="1" ht="11.5" x14ac:dyDescent="0.25">
      <c r="B13" s="17" t="s">
        <v>11</v>
      </c>
      <c r="C13" s="17" t="str">
        <f>_xlfn.CONCAT(Instruções!$D$5,".",VLOOKUP(B13,Instruções!$F$5:$H$10,2,0))</f>
        <v>cd_loan_tapes_bce.lt003_entity</v>
      </c>
      <c r="D13" s="17" t="str">
        <f>_xlfn.CONCAT(Instruções!$D$6,".",VLOOKUP(B13,Instruções!$F$5:$H$10,3,0))</f>
        <v>bu_loantape_work.lt003_entity</v>
      </c>
      <c r="E13" s="17" t="s">
        <v>57</v>
      </c>
      <c r="F13" s="17" t="str">
        <f t="shared" si="0"/>
        <v>cod_soc_as_is</v>
      </c>
      <c r="G13" s="17" t="str">
        <f t="shared" si="1"/>
        <v>cod_soc_to_be</v>
      </c>
      <c r="H13" s="17" t="str">
        <f>IF(VLOOKUP(B13,Instruções!$F$6:$J$10,5,0)="",
"(SELECT "&amp;VLOOKUP(B13,Instruções!$F$6:$J$10,4,0)&amp;" as "&amp;VLOOKUP(B13,Instruções!$F$6:$J$10,4,0)&amp;"_as_is, "&amp;E13&amp;" as "&amp;F13&amp;" FROM "&amp;C13&amp;" WHERE "&amp;Instruções!$D$11&amp;") A ",
"(SELECT "&amp;VLOOKUP(B13,Instruções!$F$6:$J$10,4,0)&amp;" as "&amp;VLOOKUP(B13,Instruções!$F$6:$J$10,4,0)&amp;"_as_is, "&amp;VLOOKUP(B13,Instruções!$F$6:$J$10,5,0)&amp;" as "&amp;VLOOKUP(B13,Instruções!$F$6:$J$10,5,0)&amp;"_as_is,"&amp;E13&amp;" as "&amp;F13&amp;" FROM "&amp;C13&amp;" WHERE "&amp;Instruções!$D$11&amp;") A ")</f>
        <v xml:space="preserve">(SELECT entty_id as entty_id_as_is, cod_soc as cod_soc_as_is FROM cd_loan_tapes_bce.lt003_entity WHERE ref_date='2025-06-30' AND nome_perimetro= 'Individual IDComb' AND segmento= 'ESTR' AND ambito= 'PM' AND entidade='00100' AND cod_visao = 1) A </v>
      </c>
      <c r="I13" s="17" t="str">
        <f>IF(VLOOKUP(B13,Instruções!$F$6:$J$10,5,0)="",
"(SELECT "&amp;VLOOKUP(B13,Instruções!$F$6:$J$10,4,0)&amp;" as "&amp;VLOOKUP(B13,Instruções!$F$6:$J$10,4,0)&amp;"_to_be, "&amp;E13&amp;" as "&amp;G13&amp;" FROM "&amp;D13&amp;" WHERE "&amp;Instruções!$D$11&amp;") B ",
"(SELECT "&amp;VLOOKUP(B13,Instruções!$F$6:$J$10,4,0)&amp;" as "&amp;VLOOKUP(B13,Instruções!$F$6:$J$10,4,0)&amp;"_to_be, "&amp;VLOOKUP(B13,Instruções!$F$6:$J$10,5,0)&amp;" as "&amp;VLOOKUP(B13,Instruções!$F$6:$J$10,5,0)&amp;"_to_be,"&amp;E13&amp;" as "&amp;G13&amp;" FROM "&amp;D13&amp;" WHERE "&amp;Instruções!$D$11&amp;") B ")</f>
        <v xml:space="preserve">(SELECT entty_id as entty_id_to_be, cod_soc as cod_soc_to_be FROM bu_loantape_work.lt003_entity WHERE ref_date='2025-06-30' AND nome_perimetro= 'Individual IDComb' AND segmento= 'ESTR' AND ambito= 'PM' AND entidade='00100' AND cod_visao = 1) B </v>
      </c>
      <c r="J13" s="17" t="str">
        <f>IF(VLOOKUP(B13,Instruções!$F$6:$J$10,5,0)="",
"ON "&amp;VLOOKUP(B13,Instruções!$F$6:$J$10,4,0)&amp;"_as_is = "&amp;VLOOKUP(B13,Instruções!$F$6:$J$10,4,0)&amp;"_to_be ",
"ON "&amp;VLOOKUP(B13,Instruções!$F$6:$J$10,4,0)&amp;"_as_is = "&amp;VLOOKUP(B13,Instruções!$F$6:$J$10,4,0)&amp;"_to_be AND "&amp;VLOOKUP(B13,Instruções!$F$6:$J$10,5,0)&amp;"_as_is = "&amp;VLOOKUP(B13,Instruções!$F$6:$J$10,5,0)&amp;"_to_be ")</f>
        <v xml:space="preserve">ON entty_id_as_is = entty_id_to_be </v>
      </c>
      <c r="K13" s="17" t="str">
        <f t="shared" si="2"/>
        <v xml:space="preserve">WHERE coalesce(cast(cod_soc_as_is as string), '') &lt;&gt; coalesce(cast(cod_soc_to_be as string), '') </v>
      </c>
      <c r="L13" s="17" t="str">
        <f t="shared" si="3"/>
        <v xml:space="preserve">SELECT count(*) AS NUM_REG_DIF FROM (SELECT entty_id as entty_id_as_is, cod_soc as cod_soc_as_is FROM cd_loan_tapes_bce.lt003_entity WHERE ref_date='2025-06-30' AND nome_perimetro= 'Individual IDComb' AND segmento= 'ESTR' AND ambito= 'PM' AND entidade='00100' AND cod_visao = 1) A  Inner join (SELECT entty_id as entty_id_to_be, cod_soc as cod_soc_to_be FROM bu_loantape_work.lt003_entity WHERE ref_date='2025-06-30' AND nome_perimetro= 'Individual IDComb' AND segmento= 'ESTR' AND ambito= 'PM' AND entidade='00100' AND cod_visao = 1) B ON entty_id_as_is = entty_id_to_be WHERE coalesce(cast(cod_soc_as_is as string), '') &lt;&gt; coalesce(cast(cod_soc_to_be as string), '') </v>
      </c>
      <c r="M13" s="17" t="s">
        <v>48</v>
      </c>
      <c r="N13" s="17" t="str">
        <f>"SELECT 'Validação de campos' as tipologia_teste, '"&amp;VLOOKUP(B13,Instruções!$F$6:$J$10,3,0)&amp;"' AS TABELA, '"&amp;E13&amp;"' AS CAMPO, '"&amp;Instruções!$D$7&amp;"' as ref_date, coalesce(NUM_REG_DIF, 0) AS NUM_REG_DIF FROM ("&amp;L13&amp;") A "</f>
        <v xml:space="preserve">SELECT 'Validação de campos' as tipologia_teste, 'lt003_entity' AS TABELA, 'cod_soc' AS CAMPO, '2025-06-30' as ref_date, coalesce(NUM_REG_DIF, 0) AS NUM_REG_DIF FROM (SELECT count(*) AS NUM_REG_DIF FROM (SELECT entty_id as entty_id_as_is, cod_soc as cod_soc_as_is FROM cd_loan_tapes_bce.lt003_entity WHERE ref_date='2025-06-30' AND nome_perimetro= 'Individual IDComb' AND segmento= 'ESTR' AND ambito= 'PM' AND entidade='00100' AND cod_visao = 1) A  Inner join (SELECT entty_id as entty_id_to_be, cod_soc as cod_soc_to_be FROM bu_loantape_work.lt003_entity WHERE ref_date='2025-06-30' AND nome_perimetro= 'Individual IDComb' AND segmento= 'ESTR' AND ambito= 'PM' AND entidade='00100' AND cod_visao = 1) B ON entty_id_as_is = entty_id_to_be WHERE coalesce(cast(cod_soc_as_is as string), '') &lt;&gt; coalesce(cast(cod_soc_to_be as string), '') ) A </v>
      </c>
      <c r="O13" s="19" t="str">
        <f t="shared" si="4"/>
        <v>SELECT 'Validação de campos' as tipologia_teste, 'lt003_entity' AS TABELA, 'cod_soc' AS CAMPO, '2025-06-30' as ref_date, coalesce(NUM_REG_DIF, 0) AS NUM_REG_DIF FROM (SELECT count(*) AS NUM_REG_DIF FROM (SELECT entty_id as entty_id_as_is, cod_soc as cod_soc_as_is FROM cd_loan_tapes_bce.lt003_entity WHERE ref_date='2025-06-30' AND nome_perimetro= 'Individual IDComb' AND segmento= 'ESTR' AND ambito= 'PM' AND entidade='00100' AND cod_visao = 1) A  Inner join (SELECT entty_id as entty_id_to_be, cod_soc as cod_soc_to_be FROM bu_loantape_work.lt003_entity WHERE ref_date='2025-06-30' AND nome_perimetro= 'Individual IDComb' AND segmento= 'ESTR' AND ambito= 'PM' AND entidade='00100' AND cod_visao = 1) B ON entty_id_as_is = entty_id_to_be WHERE coalesce(cast(cod_soc_as_is as string), '') &lt;&gt; coalesce(cast(cod_soc_to_be as string), '') ) A UNION ALL</v>
      </c>
      <c r="P13" s="17">
        <f t="shared" si="5"/>
        <v>10</v>
      </c>
    </row>
    <row r="14" spans="2:16" s="15" customFormat="1" ht="11.5" x14ac:dyDescent="0.25">
      <c r="B14" s="17" t="s">
        <v>11</v>
      </c>
      <c r="C14" s="17" t="str">
        <f>_xlfn.CONCAT(Instruções!$D$5,".",VLOOKUP(B14,Instruções!$F$5:$H$10,2,0))</f>
        <v>cd_loan_tapes_bce.lt003_entity</v>
      </c>
      <c r="D14" s="17" t="str">
        <f>_xlfn.CONCAT(Instruções!$D$6,".",VLOOKUP(B14,Instruções!$F$5:$H$10,3,0))</f>
        <v>bu_loantape_work.lt003_entity</v>
      </c>
      <c r="E14" s="17" t="s">
        <v>58</v>
      </c>
      <c r="F14" s="17" t="str">
        <f t="shared" si="0"/>
        <v>cr_flg_as_is</v>
      </c>
      <c r="G14" s="17" t="str">
        <f t="shared" si="1"/>
        <v>cr_flg_to_be</v>
      </c>
      <c r="H14" s="17" t="str">
        <f>IF(VLOOKUP(B14,Instruções!$F$6:$J$10,5,0)="",
"(SELECT "&amp;VLOOKUP(B14,Instruções!$F$6:$J$10,4,0)&amp;" as "&amp;VLOOKUP(B14,Instruções!$F$6:$J$10,4,0)&amp;"_as_is, "&amp;E14&amp;" as "&amp;F14&amp;" FROM "&amp;C14&amp;" WHERE "&amp;Instruções!$D$11&amp;") A ",
"(SELECT "&amp;VLOOKUP(B14,Instruções!$F$6:$J$10,4,0)&amp;" as "&amp;VLOOKUP(B14,Instruções!$F$6:$J$10,4,0)&amp;"_as_is, "&amp;VLOOKUP(B14,Instruções!$F$6:$J$10,5,0)&amp;" as "&amp;VLOOKUP(B14,Instruções!$F$6:$J$10,5,0)&amp;"_as_is,"&amp;E14&amp;" as "&amp;F14&amp;" FROM "&amp;C14&amp;" WHERE "&amp;Instruções!$D$11&amp;") A ")</f>
        <v xml:space="preserve">(SELECT entty_id as entty_id_as_is, cr_flg as cr_flg_as_is FROM cd_loan_tapes_bce.lt003_entity WHERE ref_date='2025-06-30' AND nome_perimetro= 'Individual IDComb' AND segmento= 'ESTR' AND ambito= 'PM' AND entidade='00100' AND cod_visao = 1) A </v>
      </c>
      <c r="I14" s="17" t="str">
        <f>IF(VLOOKUP(B14,Instruções!$F$6:$J$10,5,0)="",
"(SELECT "&amp;VLOOKUP(B14,Instruções!$F$6:$J$10,4,0)&amp;" as "&amp;VLOOKUP(B14,Instruções!$F$6:$J$10,4,0)&amp;"_to_be, "&amp;E14&amp;" as "&amp;G14&amp;" FROM "&amp;D14&amp;" WHERE "&amp;Instruções!$D$11&amp;") B ",
"(SELECT "&amp;VLOOKUP(B14,Instruções!$F$6:$J$10,4,0)&amp;" as "&amp;VLOOKUP(B14,Instruções!$F$6:$J$10,4,0)&amp;"_to_be, "&amp;VLOOKUP(B14,Instruções!$F$6:$J$10,5,0)&amp;" as "&amp;VLOOKUP(B14,Instruções!$F$6:$J$10,5,0)&amp;"_to_be,"&amp;E14&amp;" as "&amp;G14&amp;" FROM "&amp;D14&amp;" WHERE "&amp;Instruções!$D$11&amp;") B ")</f>
        <v xml:space="preserve">(SELECT entty_id as entty_id_to_be, cr_flg as cr_flg_to_be FROM bu_loantape_work.lt003_entity WHERE ref_date='2025-06-30' AND nome_perimetro= 'Individual IDComb' AND segmento= 'ESTR' AND ambito= 'PM' AND entidade='00100' AND cod_visao = 1) B </v>
      </c>
      <c r="J14" s="17" t="str">
        <f>IF(VLOOKUP(B14,Instruções!$F$6:$J$10,5,0)="",
"ON "&amp;VLOOKUP(B14,Instruções!$F$6:$J$10,4,0)&amp;"_as_is = "&amp;VLOOKUP(B14,Instruções!$F$6:$J$10,4,0)&amp;"_to_be ",
"ON "&amp;VLOOKUP(B14,Instruções!$F$6:$J$10,4,0)&amp;"_as_is = "&amp;VLOOKUP(B14,Instruções!$F$6:$J$10,4,0)&amp;"_to_be AND "&amp;VLOOKUP(B14,Instruções!$F$6:$J$10,5,0)&amp;"_as_is = "&amp;VLOOKUP(B14,Instruções!$F$6:$J$10,5,0)&amp;"_to_be ")</f>
        <v xml:space="preserve">ON entty_id_as_is = entty_id_to_be </v>
      </c>
      <c r="K14" s="17" t="str">
        <f t="shared" si="2"/>
        <v xml:space="preserve">WHERE coalesce(cast(cr_flg_as_is as string), '') &lt;&gt; coalesce(cast(cr_flg_to_be as string), '') </v>
      </c>
      <c r="L14" s="17" t="str">
        <f t="shared" si="3"/>
        <v xml:space="preserve">SELECT count(*) AS NUM_REG_DIF FROM (SELECT entty_id as entty_id_as_is, cr_flg as cr_flg_as_is FROM cd_loan_tapes_bce.lt003_entity WHERE ref_date='2025-06-30' AND nome_perimetro= 'Individual IDComb' AND segmento= 'ESTR' AND ambito= 'PM' AND entidade='00100' AND cod_visao = 1) A  Inner join (SELECT entty_id as entty_id_to_be, cr_flg as cr_flg_to_be FROM bu_loantape_work.lt003_entity WHERE ref_date='2025-06-30' AND nome_perimetro= 'Individual IDComb' AND segmento= 'ESTR' AND ambito= 'PM' AND entidade='00100' AND cod_visao = 1) B ON entty_id_as_is = entty_id_to_be WHERE coalesce(cast(cr_flg_as_is as string), '') &lt;&gt; coalesce(cast(cr_flg_to_be as string), '') </v>
      </c>
      <c r="M14" s="17" t="s">
        <v>48</v>
      </c>
      <c r="N14" s="17" t="str">
        <f>"SELECT 'Validação de campos' as tipologia_teste, '"&amp;VLOOKUP(B14,Instruções!$F$6:$J$10,3,0)&amp;"' AS TABELA, '"&amp;E14&amp;"' AS CAMPO, '"&amp;Instruções!$D$7&amp;"' as ref_date, coalesce(NUM_REG_DIF, 0) AS NUM_REG_DIF FROM ("&amp;L14&amp;") A "</f>
        <v xml:space="preserve">SELECT 'Validação de campos' as tipologia_teste, 'lt003_entity' AS TABELA, 'cr_flg' AS CAMPO, '2025-06-30' as ref_date, coalesce(NUM_REG_DIF, 0) AS NUM_REG_DIF FROM (SELECT count(*) AS NUM_REG_DIF FROM (SELECT entty_id as entty_id_as_is, cr_flg as cr_flg_as_is FROM cd_loan_tapes_bce.lt003_entity WHERE ref_date='2025-06-30' AND nome_perimetro= 'Individual IDComb' AND segmento= 'ESTR' AND ambito= 'PM' AND entidade='00100' AND cod_visao = 1) A  Inner join (SELECT entty_id as entty_id_to_be, cr_flg as cr_flg_to_be FROM bu_loantape_work.lt003_entity WHERE ref_date='2025-06-30' AND nome_perimetro= 'Individual IDComb' AND segmento= 'ESTR' AND ambito= 'PM' AND entidade='00100' AND cod_visao = 1) B ON entty_id_as_is = entty_id_to_be WHERE coalesce(cast(cr_flg_as_is as string), '') &lt;&gt; coalesce(cast(cr_flg_to_be as string), '') ) A </v>
      </c>
      <c r="O14" s="19" t="str">
        <f t="shared" si="4"/>
        <v>SELECT 'Validação de campos' as tipologia_teste, 'lt003_entity' AS TABELA, 'cr_flg' AS CAMPO, '2025-06-30' as ref_date, coalesce(NUM_REG_DIF, 0) AS NUM_REG_DIF FROM (SELECT count(*) AS NUM_REG_DIF FROM (SELECT entty_id as entty_id_as_is, cr_flg as cr_flg_as_is FROM cd_loan_tapes_bce.lt003_entity WHERE ref_date='2025-06-30' AND nome_perimetro= 'Individual IDComb' AND segmento= 'ESTR' AND ambito= 'PM' AND entidade='00100' AND cod_visao = 1) A  Inner join (SELECT entty_id as entty_id_to_be, cr_flg as cr_flg_to_be FROM bu_loantape_work.lt003_entity WHERE ref_date='2025-06-30' AND nome_perimetro= 'Individual IDComb' AND segmento= 'ESTR' AND ambito= 'PM' AND entidade='00100' AND cod_visao = 1) B ON entty_id_as_is = entty_id_to_be WHERE coalesce(cast(cr_flg_as_is as string), '') &lt;&gt; coalesce(cast(cr_flg_to_be as string), '') ) A UNION ALL</v>
      </c>
      <c r="P14" s="17">
        <f t="shared" si="5"/>
        <v>11</v>
      </c>
    </row>
    <row r="15" spans="2:16" s="15" customFormat="1" ht="11.5" x14ac:dyDescent="0.25">
      <c r="B15" s="17" t="s">
        <v>11</v>
      </c>
      <c r="C15" s="17" t="str">
        <f>_xlfn.CONCAT(Instruções!$D$5,".",VLOOKUP(B15,Instruções!$F$5:$H$10,2,0))</f>
        <v>cd_loan_tapes_bce.lt003_entity</v>
      </c>
      <c r="D15" s="17" t="str">
        <f>_xlfn.CONCAT(Instruções!$D$6,".",VLOOKUP(B15,Instruções!$F$5:$H$10,3,0))</f>
        <v>bu_loantape_work.lt003_entity</v>
      </c>
      <c r="E15" s="17" t="s">
        <v>59</v>
      </c>
      <c r="F15" s="17" t="str">
        <f t="shared" si="0"/>
        <v>csh_as_is</v>
      </c>
      <c r="G15" s="17" t="str">
        <f t="shared" si="1"/>
        <v>csh_to_be</v>
      </c>
      <c r="H15" s="17" t="str">
        <f>IF(VLOOKUP(B15,Instruções!$F$6:$J$10,5,0)="",
"(SELECT "&amp;VLOOKUP(B15,Instruções!$F$6:$J$10,4,0)&amp;" as "&amp;VLOOKUP(B15,Instruções!$F$6:$J$10,4,0)&amp;"_as_is, "&amp;E15&amp;" as "&amp;F15&amp;" FROM "&amp;C15&amp;" WHERE "&amp;Instruções!$D$11&amp;") A ",
"(SELECT "&amp;VLOOKUP(B15,Instruções!$F$6:$J$10,4,0)&amp;" as "&amp;VLOOKUP(B15,Instruções!$F$6:$J$10,4,0)&amp;"_as_is, "&amp;VLOOKUP(B15,Instruções!$F$6:$J$10,5,0)&amp;" as "&amp;VLOOKUP(B15,Instruções!$F$6:$J$10,5,0)&amp;"_as_is,"&amp;E15&amp;" as "&amp;F15&amp;" FROM "&amp;C15&amp;" WHERE "&amp;Instruções!$D$11&amp;") A ")</f>
        <v xml:space="preserve">(SELECT entty_id as entty_id_as_is, csh as csh_as_is FROM cd_loan_tapes_bce.lt003_entity WHERE ref_date='2025-06-30' AND nome_perimetro= 'Individual IDComb' AND segmento= 'ESTR' AND ambito= 'PM' AND entidade='00100' AND cod_visao = 1) A </v>
      </c>
      <c r="I15" s="17" t="str">
        <f>IF(VLOOKUP(B15,Instruções!$F$6:$J$10,5,0)="",
"(SELECT "&amp;VLOOKUP(B15,Instruções!$F$6:$J$10,4,0)&amp;" as "&amp;VLOOKUP(B15,Instruções!$F$6:$J$10,4,0)&amp;"_to_be, "&amp;E15&amp;" as "&amp;G15&amp;" FROM "&amp;D15&amp;" WHERE "&amp;Instruções!$D$11&amp;") B ",
"(SELECT "&amp;VLOOKUP(B15,Instruções!$F$6:$J$10,4,0)&amp;" as "&amp;VLOOKUP(B15,Instruções!$F$6:$J$10,4,0)&amp;"_to_be, "&amp;VLOOKUP(B15,Instruções!$F$6:$J$10,5,0)&amp;" as "&amp;VLOOKUP(B15,Instruções!$F$6:$J$10,5,0)&amp;"_to_be,"&amp;E15&amp;" as "&amp;G15&amp;" FROM "&amp;D15&amp;" WHERE "&amp;Instruções!$D$11&amp;") B ")</f>
        <v xml:space="preserve">(SELECT entty_id as entty_id_to_be, csh as csh_to_be FROM bu_loantape_work.lt003_entity WHERE ref_date='2025-06-30' AND nome_perimetro= 'Individual IDComb' AND segmento= 'ESTR' AND ambito= 'PM' AND entidade='00100' AND cod_visao = 1) B </v>
      </c>
      <c r="J15" s="17" t="str">
        <f>IF(VLOOKUP(B15,Instruções!$F$6:$J$10,5,0)="",
"ON "&amp;VLOOKUP(B15,Instruções!$F$6:$J$10,4,0)&amp;"_as_is = "&amp;VLOOKUP(B15,Instruções!$F$6:$J$10,4,0)&amp;"_to_be ",
"ON "&amp;VLOOKUP(B15,Instruções!$F$6:$J$10,4,0)&amp;"_as_is = "&amp;VLOOKUP(B15,Instruções!$F$6:$J$10,4,0)&amp;"_to_be AND "&amp;VLOOKUP(B15,Instruções!$F$6:$J$10,5,0)&amp;"_as_is = "&amp;VLOOKUP(B15,Instruções!$F$6:$J$10,5,0)&amp;"_to_be ")</f>
        <v xml:space="preserve">ON entty_id_as_is = entty_id_to_be </v>
      </c>
      <c r="K15" s="17" t="str">
        <f t="shared" si="2"/>
        <v xml:space="preserve">WHERE coalesce(cast(csh_as_is as string), '') &lt;&gt; coalesce(cast(csh_to_be as string), '') </v>
      </c>
      <c r="L15" s="17" t="str">
        <f t="shared" si="3"/>
        <v xml:space="preserve">SELECT count(*) AS NUM_REG_DIF FROM (SELECT entty_id as entty_id_as_is, csh as csh_as_is FROM cd_loan_tapes_bce.lt003_entity WHERE ref_date='2025-06-30' AND nome_perimetro= 'Individual IDComb' AND segmento= 'ESTR' AND ambito= 'PM' AND entidade='00100' AND cod_visao = 1) A  Inner join (SELECT entty_id as entty_id_to_be, csh as csh_to_be FROM bu_loantape_work.lt003_entity WHERE ref_date='2025-06-30' AND nome_perimetro= 'Individual IDComb' AND segmento= 'ESTR' AND ambito= 'PM' AND entidade='00100' AND cod_visao = 1) B ON entty_id_as_is = entty_id_to_be WHERE coalesce(cast(csh_as_is as string), '') &lt;&gt; coalesce(cast(csh_to_be as string), '') </v>
      </c>
      <c r="M15" s="17" t="s">
        <v>48</v>
      </c>
      <c r="N15" s="17" t="str">
        <f>"SELECT 'Validação de campos' as tipologia_teste, '"&amp;VLOOKUP(B15,Instruções!$F$6:$J$10,3,0)&amp;"' AS TABELA, '"&amp;E15&amp;"' AS CAMPO, '"&amp;Instruções!$D$7&amp;"' as ref_date, coalesce(NUM_REG_DIF, 0) AS NUM_REG_DIF FROM ("&amp;L15&amp;") A "</f>
        <v xml:space="preserve">SELECT 'Validação de campos' as tipologia_teste, 'lt003_entity' AS TABELA, 'csh' AS CAMPO, '2025-06-30' as ref_date, coalesce(NUM_REG_DIF, 0) AS NUM_REG_DIF FROM (SELECT count(*) AS NUM_REG_DIF FROM (SELECT entty_id as entty_id_as_is, csh as csh_as_is FROM cd_loan_tapes_bce.lt003_entity WHERE ref_date='2025-06-30' AND nome_perimetro= 'Individual IDComb' AND segmento= 'ESTR' AND ambito= 'PM' AND entidade='00100' AND cod_visao = 1) A  Inner join (SELECT entty_id as entty_id_to_be, csh as csh_to_be FROM bu_loantape_work.lt003_entity WHERE ref_date='2025-06-30' AND nome_perimetro= 'Individual IDComb' AND segmento= 'ESTR' AND ambito= 'PM' AND entidade='00100' AND cod_visao = 1) B ON entty_id_as_is = entty_id_to_be WHERE coalesce(cast(csh_as_is as string), '') &lt;&gt; coalesce(cast(csh_to_be as string), '') ) A </v>
      </c>
      <c r="O15" s="19" t="str">
        <f t="shared" si="4"/>
        <v>SELECT 'Validação de campos' as tipologia_teste, 'lt003_entity' AS TABELA, 'csh' AS CAMPO, '2025-06-30' as ref_date, coalesce(NUM_REG_DIF, 0) AS NUM_REG_DIF FROM (SELECT count(*) AS NUM_REG_DIF FROM (SELECT entty_id as entty_id_as_is, csh as csh_as_is FROM cd_loan_tapes_bce.lt003_entity WHERE ref_date='2025-06-30' AND nome_perimetro= 'Individual IDComb' AND segmento= 'ESTR' AND ambito= 'PM' AND entidade='00100' AND cod_visao = 1) A  Inner join (SELECT entty_id as entty_id_to_be, csh as csh_to_be FROM bu_loantape_work.lt003_entity WHERE ref_date='2025-06-30' AND nome_perimetro= 'Individual IDComb' AND segmento= 'ESTR' AND ambito= 'PM' AND entidade='00100' AND cod_visao = 1) B ON entty_id_as_is = entty_id_to_be WHERE coalesce(cast(csh_as_is as string), '') &lt;&gt; coalesce(cast(csh_to_be as string), '') ) A UNION ALL</v>
      </c>
      <c r="P15" s="17">
        <f t="shared" si="5"/>
        <v>12</v>
      </c>
    </row>
    <row r="16" spans="2:16" s="15" customFormat="1" ht="11.5" x14ac:dyDescent="0.25">
      <c r="B16" s="17" t="s">
        <v>11</v>
      </c>
      <c r="C16" s="17" t="str">
        <f>_xlfn.CONCAT(Instruções!$D$5,".",VLOOKUP(B16,Instruções!$F$5:$H$10,2,0))</f>
        <v>cd_loan_tapes_bce.lt003_entity</v>
      </c>
      <c r="D16" s="17" t="str">
        <f>_xlfn.CONCAT(Instruções!$D$6,".",VLOOKUP(B16,Instruções!$F$5:$H$10,3,0))</f>
        <v>bu_loantape_work.lt003_entity</v>
      </c>
      <c r="E16" s="17" t="s">
        <v>60</v>
      </c>
      <c r="F16" s="17" t="str">
        <f t="shared" si="0"/>
        <v>csh_prvs_as_is</v>
      </c>
      <c r="G16" s="17" t="str">
        <f t="shared" si="1"/>
        <v>csh_prvs_to_be</v>
      </c>
      <c r="H16" s="17" t="str">
        <f>IF(VLOOKUP(B16,Instruções!$F$6:$J$10,5,0)="",
"(SELECT "&amp;VLOOKUP(B16,Instruções!$F$6:$J$10,4,0)&amp;" as "&amp;VLOOKUP(B16,Instruções!$F$6:$J$10,4,0)&amp;"_as_is, "&amp;E16&amp;" as "&amp;F16&amp;" FROM "&amp;C16&amp;" WHERE "&amp;Instruções!$D$11&amp;") A ",
"(SELECT "&amp;VLOOKUP(B16,Instruções!$F$6:$J$10,4,0)&amp;" as "&amp;VLOOKUP(B16,Instruções!$F$6:$J$10,4,0)&amp;"_as_is, "&amp;VLOOKUP(B16,Instruções!$F$6:$J$10,5,0)&amp;" as "&amp;VLOOKUP(B16,Instruções!$F$6:$J$10,5,0)&amp;"_as_is,"&amp;E16&amp;" as "&amp;F16&amp;" FROM "&amp;C16&amp;" WHERE "&amp;Instruções!$D$11&amp;") A ")</f>
        <v xml:space="preserve">(SELECT entty_id as entty_id_as_is, csh_prvs as csh_prvs_as_is FROM cd_loan_tapes_bce.lt003_entity WHERE ref_date='2025-06-30' AND nome_perimetro= 'Individual IDComb' AND segmento= 'ESTR' AND ambito= 'PM' AND entidade='00100' AND cod_visao = 1) A </v>
      </c>
      <c r="I16" s="17" t="str">
        <f>IF(VLOOKUP(B16,Instruções!$F$6:$J$10,5,0)="",
"(SELECT "&amp;VLOOKUP(B16,Instruções!$F$6:$J$10,4,0)&amp;" as "&amp;VLOOKUP(B16,Instruções!$F$6:$J$10,4,0)&amp;"_to_be, "&amp;E16&amp;" as "&amp;G16&amp;" FROM "&amp;D16&amp;" WHERE "&amp;Instruções!$D$11&amp;") B ",
"(SELECT "&amp;VLOOKUP(B16,Instruções!$F$6:$J$10,4,0)&amp;" as "&amp;VLOOKUP(B16,Instruções!$F$6:$J$10,4,0)&amp;"_to_be, "&amp;VLOOKUP(B16,Instruções!$F$6:$J$10,5,0)&amp;" as "&amp;VLOOKUP(B16,Instruções!$F$6:$J$10,5,0)&amp;"_to_be,"&amp;E16&amp;" as "&amp;G16&amp;" FROM "&amp;D16&amp;" WHERE "&amp;Instruções!$D$11&amp;") B ")</f>
        <v xml:space="preserve">(SELECT entty_id as entty_id_to_be, csh_prvs as csh_prvs_to_be FROM bu_loantape_work.lt003_entity WHERE ref_date='2025-06-30' AND nome_perimetro= 'Individual IDComb' AND segmento= 'ESTR' AND ambito= 'PM' AND entidade='00100' AND cod_visao = 1) B </v>
      </c>
      <c r="J16" s="17" t="str">
        <f>IF(VLOOKUP(B16,Instruções!$F$6:$J$10,5,0)="",
"ON "&amp;VLOOKUP(B16,Instruções!$F$6:$J$10,4,0)&amp;"_as_is = "&amp;VLOOKUP(B16,Instruções!$F$6:$J$10,4,0)&amp;"_to_be ",
"ON "&amp;VLOOKUP(B16,Instruções!$F$6:$J$10,4,0)&amp;"_as_is = "&amp;VLOOKUP(B16,Instruções!$F$6:$J$10,4,0)&amp;"_to_be AND "&amp;VLOOKUP(B16,Instruções!$F$6:$J$10,5,0)&amp;"_as_is = "&amp;VLOOKUP(B16,Instruções!$F$6:$J$10,5,0)&amp;"_to_be ")</f>
        <v xml:space="preserve">ON entty_id_as_is = entty_id_to_be </v>
      </c>
      <c r="K16" s="17" t="str">
        <f t="shared" si="2"/>
        <v xml:space="preserve">WHERE coalesce(cast(csh_prvs_as_is as string), '') &lt;&gt; coalesce(cast(csh_prvs_to_be as string), '') </v>
      </c>
      <c r="L16" s="17" t="str">
        <f t="shared" si="3"/>
        <v xml:space="preserve">SELECT count(*) AS NUM_REG_DIF FROM (SELECT entty_id as entty_id_as_is, csh_prvs as csh_prvs_as_is FROM cd_loan_tapes_bce.lt003_entity WHERE ref_date='2025-06-30' AND nome_perimetro= 'Individual IDComb' AND segmento= 'ESTR' AND ambito= 'PM' AND entidade='00100' AND cod_visao = 1) A  Inner join (SELECT entty_id as entty_id_to_be, csh_prvs as csh_prvs_to_be FROM bu_loantape_work.lt003_entity WHERE ref_date='2025-06-30' AND nome_perimetro= 'Individual IDComb' AND segmento= 'ESTR' AND ambito= 'PM' AND entidade='00100' AND cod_visao = 1) B ON entty_id_as_is = entty_id_to_be WHERE coalesce(cast(csh_prvs_as_is as string), '') &lt;&gt; coalesce(cast(csh_prvs_to_be as string), '') </v>
      </c>
      <c r="M16" s="17" t="s">
        <v>48</v>
      </c>
      <c r="N16" s="17" t="str">
        <f>"SELECT 'Validação de campos' as tipologia_teste, '"&amp;VLOOKUP(B16,Instruções!$F$6:$J$10,3,0)&amp;"' AS TABELA, '"&amp;E16&amp;"' AS CAMPO, '"&amp;Instruções!$D$7&amp;"' as ref_date, coalesce(NUM_REG_DIF, 0) AS NUM_REG_DIF FROM ("&amp;L16&amp;") A "</f>
        <v xml:space="preserve">SELECT 'Validação de campos' as tipologia_teste, 'lt003_entity' AS TABELA, 'csh_prvs' AS CAMPO, '2025-06-30' as ref_date, coalesce(NUM_REG_DIF, 0) AS NUM_REG_DIF FROM (SELECT count(*) AS NUM_REG_DIF FROM (SELECT entty_id as entty_id_as_is, csh_prvs as csh_prvs_as_is FROM cd_loan_tapes_bce.lt003_entity WHERE ref_date='2025-06-30' AND nome_perimetro= 'Individual IDComb' AND segmento= 'ESTR' AND ambito= 'PM' AND entidade='00100' AND cod_visao = 1) A  Inner join (SELECT entty_id as entty_id_to_be, csh_prvs as csh_prvs_to_be FROM bu_loantape_work.lt003_entity WHERE ref_date='2025-06-30' AND nome_perimetro= 'Individual IDComb' AND segmento= 'ESTR' AND ambito= 'PM' AND entidade='00100' AND cod_visao = 1) B ON entty_id_as_is = entty_id_to_be WHERE coalesce(cast(csh_prvs_as_is as string), '') &lt;&gt; coalesce(cast(csh_prvs_to_be as string), '') ) A </v>
      </c>
      <c r="O16" s="19" t="str">
        <f t="shared" si="4"/>
        <v>SELECT 'Validação de campos' as tipologia_teste, 'lt003_entity' AS TABELA, 'csh_prvs' AS CAMPO, '2025-06-30' as ref_date, coalesce(NUM_REG_DIF, 0) AS NUM_REG_DIF FROM (SELECT count(*) AS NUM_REG_DIF FROM (SELECT entty_id as entty_id_as_is, csh_prvs as csh_prvs_as_is FROM cd_loan_tapes_bce.lt003_entity WHERE ref_date='2025-06-30' AND nome_perimetro= 'Individual IDComb' AND segmento= 'ESTR' AND ambito= 'PM' AND entidade='00100' AND cod_visao = 1) A  Inner join (SELECT entty_id as entty_id_to_be, csh_prvs as csh_prvs_to_be FROM bu_loantape_work.lt003_entity WHERE ref_date='2025-06-30' AND nome_perimetro= 'Individual IDComb' AND segmento= 'ESTR' AND ambito= 'PM' AND entidade='00100' AND cod_visao = 1) B ON entty_id_as_is = entty_id_to_be WHERE coalesce(cast(csh_prvs_as_is as string), '') &lt;&gt; coalesce(cast(csh_prvs_to_be as string), '') ) A UNION ALL</v>
      </c>
      <c r="P16" s="17">
        <f t="shared" si="5"/>
        <v>13</v>
      </c>
    </row>
    <row r="17" spans="2:16" s="15" customFormat="1" ht="11.5" x14ac:dyDescent="0.25">
      <c r="B17" s="17" t="s">
        <v>11</v>
      </c>
      <c r="C17" s="17" t="str">
        <f>_xlfn.CONCAT(Instruções!$D$5,".",VLOOKUP(B17,Instruções!$F$5:$H$10,2,0))</f>
        <v>cd_loan_tapes_bce.lt003_entity</v>
      </c>
      <c r="D17" s="17" t="str">
        <f>_xlfn.CONCAT(Instruções!$D$6,".",VLOOKUP(B17,Instruções!$F$5:$H$10,3,0))</f>
        <v>bu_loantape_work.lt003_entity</v>
      </c>
      <c r="E17" s="17" t="s">
        <v>61</v>
      </c>
      <c r="F17" s="17" t="str">
        <f t="shared" si="0"/>
        <v>dbt_rpymnt_cpcty_snr_dbt_as_is</v>
      </c>
      <c r="G17" s="17" t="str">
        <f t="shared" si="1"/>
        <v>dbt_rpymnt_cpcty_snr_dbt_to_be</v>
      </c>
      <c r="H17" s="17" t="str">
        <f>IF(VLOOKUP(B17,Instruções!$F$6:$J$10,5,0)="",
"(SELECT "&amp;VLOOKUP(B17,Instruções!$F$6:$J$10,4,0)&amp;" as "&amp;VLOOKUP(B17,Instruções!$F$6:$J$10,4,0)&amp;"_as_is, "&amp;E17&amp;" as "&amp;F17&amp;" FROM "&amp;C17&amp;" WHERE "&amp;Instruções!$D$11&amp;") A ",
"(SELECT "&amp;VLOOKUP(B17,Instruções!$F$6:$J$10,4,0)&amp;" as "&amp;VLOOKUP(B17,Instruções!$F$6:$J$10,4,0)&amp;"_as_is, "&amp;VLOOKUP(B17,Instruções!$F$6:$J$10,5,0)&amp;" as "&amp;VLOOKUP(B17,Instruções!$F$6:$J$10,5,0)&amp;"_as_is,"&amp;E17&amp;" as "&amp;F17&amp;" FROM "&amp;C17&amp;" WHERE "&amp;Instruções!$D$11&amp;") A ")</f>
        <v xml:space="preserve">(SELECT entty_id as entty_id_as_is, dbt_rpymnt_cpcty_snr_dbt as dbt_rpymnt_cpcty_snr_dbt_as_is FROM cd_loan_tapes_bce.lt003_entity WHERE ref_date='2025-06-30' AND nome_perimetro= 'Individual IDComb' AND segmento= 'ESTR' AND ambito= 'PM' AND entidade='00100' AND cod_visao = 1) A </v>
      </c>
      <c r="I17" s="17" t="str">
        <f>IF(VLOOKUP(B17,Instruções!$F$6:$J$10,5,0)="",
"(SELECT "&amp;VLOOKUP(B17,Instruções!$F$6:$J$10,4,0)&amp;" as "&amp;VLOOKUP(B17,Instruções!$F$6:$J$10,4,0)&amp;"_to_be, "&amp;E17&amp;" as "&amp;G17&amp;" FROM "&amp;D17&amp;" WHERE "&amp;Instruções!$D$11&amp;") B ",
"(SELECT "&amp;VLOOKUP(B17,Instruções!$F$6:$J$10,4,0)&amp;" as "&amp;VLOOKUP(B17,Instruções!$F$6:$J$10,4,0)&amp;"_to_be, "&amp;VLOOKUP(B17,Instruções!$F$6:$J$10,5,0)&amp;" as "&amp;VLOOKUP(B17,Instruções!$F$6:$J$10,5,0)&amp;"_to_be,"&amp;E17&amp;" as "&amp;G17&amp;" FROM "&amp;D17&amp;" WHERE "&amp;Instruções!$D$11&amp;") B ")</f>
        <v xml:space="preserve">(SELECT entty_id as entty_id_to_be, dbt_rpymnt_cpcty_snr_dbt as dbt_rpymnt_cpcty_snr_dbt_to_be FROM bu_loantape_work.lt003_entity WHERE ref_date='2025-06-30' AND nome_perimetro= 'Individual IDComb' AND segmento= 'ESTR' AND ambito= 'PM' AND entidade='00100' AND cod_visao = 1) B </v>
      </c>
      <c r="J17" s="17" t="str">
        <f>IF(VLOOKUP(B17,Instruções!$F$6:$J$10,5,0)="",
"ON "&amp;VLOOKUP(B17,Instruções!$F$6:$J$10,4,0)&amp;"_as_is = "&amp;VLOOKUP(B17,Instruções!$F$6:$J$10,4,0)&amp;"_to_be ",
"ON "&amp;VLOOKUP(B17,Instruções!$F$6:$J$10,4,0)&amp;"_as_is = "&amp;VLOOKUP(B17,Instruções!$F$6:$J$10,4,0)&amp;"_to_be AND "&amp;VLOOKUP(B17,Instruções!$F$6:$J$10,5,0)&amp;"_as_is = "&amp;VLOOKUP(B17,Instruções!$F$6:$J$10,5,0)&amp;"_to_be ")</f>
        <v xml:space="preserve">ON entty_id_as_is = entty_id_to_be </v>
      </c>
      <c r="K17" s="17" t="str">
        <f t="shared" si="2"/>
        <v xml:space="preserve">WHERE coalesce(cast(dbt_rpymnt_cpcty_snr_dbt_as_is as string), '') &lt;&gt; coalesce(cast(dbt_rpymnt_cpcty_snr_dbt_to_be as string), '') </v>
      </c>
      <c r="L17" s="17" t="str">
        <f t="shared" si="3"/>
        <v xml:space="preserve">SELECT count(*) AS NUM_REG_DIF FROM (SELECT entty_id as entty_id_as_is, dbt_rpymnt_cpcty_snr_dbt as dbt_rpymnt_cpcty_snr_dbt_as_is FROM cd_loan_tapes_bce.lt003_entity WHERE ref_date='2025-06-30' AND nome_perimetro= 'Individual IDComb' AND segmento= 'ESTR' AND ambito= 'PM' AND entidade='00100' AND cod_visao = 1) A  Inner join (SELECT entty_id as entty_id_to_be, dbt_rpymnt_cpcty_snr_dbt as dbt_rpymnt_cpcty_snr_dbt_to_be FROM bu_loantape_work.lt003_entity WHERE ref_date='2025-06-30' AND nome_perimetro= 'Individual IDComb' AND segmento= 'ESTR' AND ambito= 'PM' AND entidade='00100' AND cod_visao = 1) B ON entty_id_as_is = entty_id_to_be WHERE coalesce(cast(dbt_rpymnt_cpcty_snr_dbt_as_is as string), '') &lt;&gt; coalesce(cast(dbt_rpymnt_cpcty_snr_dbt_to_be as string), '') </v>
      </c>
      <c r="M17" s="17" t="s">
        <v>48</v>
      </c>
      <c r="N17" s="17" t="str">
        <f>"SELECT 'Validação de campos' as tipologia_teste, '"&amp;VLOOKUP(B17,Instruções!$F$6:$J$10,3,0)&amp;"' AS TABELA, '"&amp;E17&amp;"' AS CAMPO, '"&amp;Instruções!$D$7&amp;"' as ref_date, coalesce(NUM_REG_DIF, 0) AS NUM_REG_DIF FROM ("&amp;L17&amp;") A "</f>
        <v xml:space="preserve">SELECT 'Validação de campos' as tipologia_teste, 'lt003_entity' AS TABELA, 'dbt_rpymnt_cpcty_snr_dbt' AS CAMPO, '2025-06-30' as ref_date, coalesce(NUM_REG_DIF, 0) AS NUM_REG_DIF FROM (SELECT count(*) AS NUM_REG_DIF FROM (SELECT entty_id as entty_id_as_is, dbt_rpymnt_cpcty_snr_dbt as dbt_rpymnt_cpcty_snr_dbt_as_is FROM cd_loan_tapes_bce.lt003_entity WHERE ref_date='2025-06-30' AND nome_perimetro= 'Individual IDComb' AND segmento= 'ESTR' AND ambito= 'PM' AND entidade='00100' AND cod_visao = 1) A  Inner join (SELECT entty_id as entty_id_to_be, dbt_rpymnt_cpcty_snr_dbt as dbt_rpymnt_cpcty_snr_dbt_to_be FROM bu_loantape_work.lt003_entity WHERE ref_date='2025-06-30' AND nome_perimetro= 'Individual IDComb' AND segmento= 'ESTR' AND ambito= 'PM' AND entidade='00100' AND cod_visao = 1) B ON entty_id_as_is = entty_id_to_be WHERE coalesce(cast(dbt_rpymnt_cpcty_snr_dbt_as_is as string), '') &lt;&gt; coalesce(cast(dbt_rpymnt_cpcty_snr_dbt_to_be as string), '') ) A </v>
      </c>
      <c r="O17" s="19" t="str">
        <f t="shared" si="4"/>
        <v>SELECT 'Validação de campos' as tipologia_teste, 'lt003_entity' AS TABELA, 'dbt_rpymnt_cpcty_snr_dbt' AS CAMPO, '2025-06-30' as ref_date, coalesce(NUM_REG_DIF, 0) AS NUM_REG_DIF FROM (SELECT count(*) AS NUM_REG_DIF FROM (SELECT entty_id as entty_id_as_is, dbt_rpymnt_cpcty_snr_dbt as dbt_rpymnt_cpcty_snr_dbt_as_is FROM cd_loan_tapes_bce.lt003_entity WHERE ref_date='2025-06-30' AND nome_perimetro= 'Individual IDComb' AND segmento= 'ESTR' AND ambito= 'PM' AND entidade='00100' AND cod_visao = 1) A  Inner join (SELECT entty_id as entty_id_to_be, dbt_rpymnt_cpcty_snr_dbt as dbt_rpymnt_cpcty_snr_dbt_to_be FROM bu_loantape_work.lt003_entity WHERE ref_date='2025-06-30' AND nome_perimetro= 'Individual IDComb' AND segmento= 'ESTR' AND ambito= 'PM' AND entidade='00100' AND cod_visao = 1) B ON entty_id_as_is = entty_id_to_be WHERE coalesce(cast(dbt_rpymnt_cpcty_snr_dbt_as_is as string), '') &lt;&gt; coalesce(cast(dbt_rpymnt_cpcty_snr_dbt_to_be as string), '') ) A UNION ALL</v>
      </c>
      <c r="P17" s="17">
        <f t="shared" si="5"/>
        <v>14</v>
      </c>
    </row>
    <row r="18" spans="2:16" s="15" customFormat="1" ht="11.5" x14ac:dyDescent="0.25">
      <c r="B18" s="17" t="s">
        <v>11</v>
      </c>
      <c r="C18" s="17" t="str">
        <f>_xlfn.CONCAT(Instruções!$D$5,".",VLOOKUP(B18,Instruções!$F$5:$H$10,2,0))</f>
        <v>cd_loan_tapes_bce.lt003_entity</v>
      </c>
      <c r="D18" s="17" t="str">
        <f>_xlfn.CONCAT(Instruções!$D$6,".",VLOOKUP(B18,Instruções!$F$5:$H$10,3,0))</f>
        <v>bu_loantape_work.lt003_entity</v>
      </c>
      <c r="E18" s="17" t="s">
        <v>62</v>
      </c>
      <c r="F18" s="17" t="str">
        <f t="shared" si="0"/>
        <v>dbt_rpymnt_cpcty_ttl_as_is</v>
      </c>
      <c r="G18" s="17" t="str">
        <f t="shared" si="1"/>
        <v>dbt_rpymnt_cpcty_ttl_to_be</v>
      </c>
      <c r="H18" s="17" t="str">
        <f>IF(VLOOKUP(B18,Instruções!$F$6:$J$10,5,0)="",
"(SELECT "&amp;VLOOKUP(B18,Instruções!$F$6:$J$10,4,0)&amp;" as "&amp;VLOOKUP(B18,Instruções!$F$6:$J$10,4,0)&amp;"_as_is, "&amp;E18&amp;" as "&amp;F18&amp;" FROM "&amp;C18&amp;" WHERE "&amp;Instruções!$D$11&amp;") A ",
"(SELECT "&amp;VLOOKUP(B18,Instruções!$F$6:$J$10,4,0)&amp;" as "&amp;VLOOKUP(B18,Instruções!$F$6:$J$10,4,0)&amp;"_as_is, "&amp;VLOOKUP(B18,Instruções!$F$6:$J$10,5,0)&amp;" as "&amp;VLOOKUP(B18,Instruções!$F$6:$J$10,5,0)&amp;"_as_is,"&amp;E18&amp;" as "&amp;F18&amp;" FROM "&amp;C18&amp;" WHERE "&amp;Instruções!$D$11&amp;") A ")</f>
        <v xml:space="preserve">(SELECT entty_id as entty_id_as_is, dbt_rpymnt_cpcty_ttl as dbt_rpymnt_cpcty_ttl_as_is FROM cd_loan_tapes_bce.lt003_entity WHERE ref_date='2025-06-30' AND nome_perimetro= 'Individual IDComb' AND segmento= 'ESTR' AND ambito= 'PM' AND entidade='00100' AND cod_visao = 1) A </v>
      </c>
      <c r="I18" s="17" t="str">
        <f>IF(VLOOKUP(B18,Instruções!$F$6:$J$10,5,0)="",
"(SELECT "&amp;VLOOKUP(B18,Instruções!$F$6:$J$10,4,0)&amp;" as "&amp;VLOOKUP(B18,Instruções!$F$6:$J$10,4,0)&amp;"_to_be, "&amp;E18&amp;" as "&amp;G18&amp;" FROM "&amp;D18&amp;" WHERE "&amp;Instruções!$D$11&amp;") B ",
"(SELECT "&amp;VLOOKUP(B18,Instruções!$F$6:$J$10,4,0)&amp;" as "&amp;VLOOKUP(B18,Instruções!$F$6:$J$10,4,0)&amp;"_to_be, "&amp;VLOOKUP(B18,Instruções!$F$6:$J$10,5,0)&amp;" as "&amp;VLOOKUP(B18,Instruções!$F$6:$J$10,5,0)&amp;"_to_be,"&amp;E18&amp;" as "&amp;G18&amp;" FROM "&amp;D18&amp;" WHERE "&amp;Instruções!$D$11&amp;") B ")</f>
        <v xml:space="preserve">(SELECT entty_id as entty_id_to_be, dbt_rpymnt_cpcty_ttl as dbt_rpymnt_cpcty_ttl_to_be FROM bu_loantape_work.lt003_entity WHERE ref_date='2025-06-30' AND nome_perimetro= 'Individual IDComb' AND segmento= 'ESTR' AND ambito= 'PM' AND entidade='00100' AND cod_visao = 1) B </v>
      </c>
      <c r="J18" s="17" t="str">
        <f>IF(VLOOKUP(B18,Instruções!$F$6:$J$10,5,0)="",
"ON "&amp;VLOOKUP(B18,Instruções!$F$6:$J$10,4,0)&amp;"_as_is = "&amp;VLOOKUP(B18,Instruções!$F$6:$J$10,4,0)&amp;"_to_be ",
"ON "&amp;VLOOKUP(B18,Instruções!$F$6:$J$10,4,0)&amp;"_as_is = "&amp;VLOOKUP(B18,Instruções!$F$6:$J$10,4,0)&amp;"_to_be AND "&amp;VLOOKUP(B18,Instruções!$F$6:$J$10,5,0)&amp;"_as_is = "&amp;VLOOKUP(B18,Instruções!$F$6:$J$10,5,0)&amp;"_to_be ")</f>
        <v xml:space="preserve">ON entty_id_as_is = entty_id_to_be </v>
      </c>
      <c r="K18" s="17" t="str">
        <f t="shared" si="2"/>
        <v xml:space="preserve">WHERE coalesce(cast(dbt_rpymnt_cpcty_ttl_as_is as string), '') &lt;&gt; coalesce(cast(dbt_rpymnt_cpcty_ttl_to_be as string), '') </v>
      </c>
      <c r="L18" s="17" t="str">
        <f t="shared" si="3"/>
        <v xml:space="preserve">SELECT count(*) AS NUM_REG_DIF FROM (SELECT entty_id as entty_id_as_is, dbt_rpymnt_cpcty_ttl as dbt_rpymnt_cpcty_ttl_as_is FROM cd_loan_tapes_bce.lt003_entity WHERE ref_date='2025-06-30' AND nome_perimetro= 'Individual IDComb' AND segmento= 'ESTR' AND ambito= 'PM' AND entidade='00100' AND cod_visao = 1) A  Inner join (SELECT entty_id as entty_id_to_be, dbt_rpymnt_cpcty_ttl as dbt_rpymnt_cpcty_ttl_to_be FROM bu_loantape_work.lt003_entity WHERE ref_date='2025-06-30' AND nome_perimetro= 'Individual IDComb' AND segmento= 'ESTR' AND ambito= 'PM' AND entidade='00100' AND cod_visao = 1) B ON entty_id_as_is = entty_id_to_be WHERE coalesce(cast(dbt_rpymnt_cpcty_ttl_as_is as string), '') &lt;&gt; coalesce(cast(dbt_rpymnt_cpcty_ttl_to_be as string), '') </v>
      </c>
      <c r="M18" s="17" t="s">
        <v>48</v>
      </c>
      <c r="N18" s="17" t="str">
        <f>"SELECT 'Validação de campos' as tipologia_teste, '"&amp;VLOOKUP(B18,Instruções!$F$6:$J$10,3,0)&amp;"' AS TABELA, '"&amp;E18&amp;"' AS CAMPO, '"&amp;Instruções!$D$7&amp;"' as ref_date, coalesce(NUM_REG_DIF, 0) AS NUM_REG_DIF FROM ("&amp;L18&amp;") A "</f>
        <v xml:space="preserve">SELECT 'Validação de campos' as tipologia_teste, 'lt003_entity' AS TABELA, 'dbt_rpymnt_cpcty_ttl' AS CAMPO, '2025-06-30' as ref_date, coalesce(NUM_REG_DIF, 0) AS NUM_REG_DIF FROM (SELECT count(*) AS NUM_REG_DIF FROM (SELECT entty_id as entty_id_as_is, dbt_rpymnt_cpcty_ttl as dbt_rpymnt_cpcty_ttl_as_is FROM cd_loan_tapes_bce.lt003_entity WHERE ref_date='2025-06-30' AND nome_perimetro= 'Individual IDComb' AND segmento= 'ESTR' AND ambito= 'PM' AND entidade='00100' AND cod_visao = 1) A  Inner join (SELECT entty_id as entty_id_to_be, dbt_rpymnt_cpcty_ttl as dbt_rpymnt_cpcty_ttl_to_be FROM bu_loantape_work.lt003_entity WHERE ref_date='2025-06-30' AND nome_perimetro= 'Individual IDComb' AND segmento= 'ESTR' AND ambito= 'PM' AND entidade='00100' AND cod_visao = 1) B ON entty_id_as_is = entty_id_to_be WHERE coalesce(cast(dbt_rpymnt_cpcty_ttl_as_is as string), '') &lt;&gt; coalesce(cast(dbt_rpymnt_cpcty_ttl_to_be as string), '') ) A </v>
      </c>
      <c r="O18" s="19" t="str">
        <f t="shared" si="4"/>
        <v>SELECT 'Validação de campos' as tipologia_teste, 'lt003_entity' AS TABELA, 'dbt_rpymnt_cpcty_ttl' AS CAMPO, '2025-06-30' as ref_date, coalesce(NUM_REG_DIF, 0) AS NUM_REG_DIF FROM (SELECT count(*) AS NUM_REG_DIF FROM (SELECT entty_id as entty_id_as_is, dbt_rpymnt_cpcty_ttl as dbt_rpymnt_cpcty_ttl_as_is FROM cd_loan_tapes_bce.lt003_entity WHERE ref_date='2025-06-30' AND nome_perimetro= 'Individual IDComb' AND segmento= 'ESTR' AND ambito= 'PM' AND entidade='00100' AND cod_visao = 1) A  Inner join (SELECT entty_id as entty_id_to_be, dbt_rpymnt_cpcty_ttl as dbt_rpymnt_cpcty_ttl_to_be FROM bu_loantape_work.lt003_entity WHERE ref_date='2025-06-30' AND nome_perimetro= 'Individual IDComb' AND segmento= 'ESTR' AND ambito= 'PM' AND entidade='00100' AND cod_visao = 1) B ON entty_id_as_is = entty_id_to_be WHERE coalesce(cast(dbt_rpymnt_cpcty_ttl_as_is as string), '') &lt;&gt; coalesce(cast(dbt_rpymnt_cpcty_ttl_to_be as string), '') ) A UNION ALL</v>
      </c>
      <c r="P18" s="17">
        <f t="shared" si="5"/>
        <v>15</v>
      </c>
    </row>
    <row r="19" spans="2:16" s="15" customFormat="1" ht="11.5" x14ac:dyDescent="0.25">
      <c r="B19" s="17" t="s">
        <v>11</v>
      </c>
      <c r="C19" s="17" t="str">
        <f>_xlfn.CONCAT(Instruções!$D$5,".",VLOOKUP(B19,Instruções!$F$5:$H$10,2,0))</f>
        <v>cd_loan_tapes_bce.lt003_entity</v>
      </c>
      <c r="D19" s="17" t="str">
        <f>_xlfn.CONCAT(Instruções!$D$6,".",VLOOKUP(B19,Instruções!$F$5:$H$10,3,0))</f>
        <v>bu_loantape_work.lt003_entity</v>
      </c>
      <c r="E19" s="17" t="s">
        <v>63</v>
      </c>
      <c r="F19" s="17" t="str">
        <f t="shared" si="0"/>
        <v>dbt_srvc_rt_as_is</v>
      </c>
      <c r="G19" s="17" t="str">
        <f t="shared" si="1"/>
        <v>dbt_srvc_rt_to_be</v>
      </c>
      <c r="H19" s="17" t="str">
        <f>IF(VLOOKUP(B19,Instruções!$F$6:$J$10,5,0)="",
"(SELECT "&amp;VLOOKUP(B19,Instruções!$F$6:$J$10,4,0)&amp;" as "&amp;VLOOKUP(B19,Instruções!$F$6:$J$10,4,0)&amp;"_as_is, "&amp;E19&amp;" as "&amp;F19&amp;" FROM "&amp;C19&amp;" WHERE "&amp;Instruções!$D$11&amp;") A ",
"(SELECT "&amp;VLOOKUP(B19,Instruções!$F$6:$J$10,4,0)&amp;" as "&amp;VLOOKUP(B19,Instruções!$F$6:$J$10,4,0)&amp;"_as_is, "&amp;VLOOKUP(B19,Instruções!$F$6:$J$10,5,0)&amp;" as "&amp;VLOOKUP(B19,Instruções!$F$6:$J$10,5,0)&amp;"_as_is,"&amp;E19&amp;" as "&amp;F19&amp;" FROM "&amp;C19&amp;" WHERE "&amp;Instruções!$D$11&amp;") A ")</f>
        <v xml:space="preserve">(SELECT entty_id as entty_id_as_is, dbt_srvc_rt as dbt_srvc_rt_as_is FROM cd_loan_tapes_bce.lt003_entity WHERE ref_date='2025-06-30' AND nome_perimetro= 'Individual IDComb' AND segmento= 'ESTR' AND ambito= 'PM' AND entidade='00100' AND cod_visao = 1) A </v>
      </c>
      <c r="I19" s="17" t="str">
        <f>IF(VLOOKUP(B19,Instruções!$F$6:$J$10,5,0)="",
"(SELECT "&amp;VLOOKUP(B19,Instruções!$F$6:$J$10,4,0)&amp;" as "&amp;VLOOKUP(B19,Instruções!$F$6:$J$10,4,0)&amp;"_to_be, "&amp;E19&amp;" as "&amp;G19&amp;" FROM "&amp;D19&amp;" WHERE "&amp;Instruções!$D$11&amp;") B ",
"(SELECT "&amp;VLOOKUP(B19,Instruções!$F$6:$J$10,4,0)&amp;" as "&amp;VLOOKUP(B19,Instruções!$F$6:$J$10,4,0)&amp;"_to_be, "&amp;VLOOKUP(B19,Instruções!$F$6:$J$10,5,0)&amp;" as "&amp;VLOOKUP(B19,Instruções!$F$6:$J$10,5,0)&amp;"_to_be,"&amp;E19&amp;" as "&amp;G19&amp;" FROM "&amp;D19&amp;" WHERE "&amp;Instruções!$D$11&amp;") B ")</f>
        <v xml:space="preserve">(SELECT entty_id as entty_id_to_be, dbt_srvc_rt as dbt_srvc_rt_to_be FROM bu_loantape_work.lt003_entity WHERE ref_date='2025-06-30' AND nome_perimetro= 'Individual IDComb' AND segmento= 'ESTR' AND ambito= 'PM' AND entidade='00100' AND cod_visao = 1) B </v>
      </c>
      <c r="J19" s="17" t="str">
        <f>IF(VLOOKUP(B19,Instruções!$F$6:$J$10,5,0)="",
"ON "&amp;VLOOKUP(B19,Instruções!$F$6:$J$10,4,0)&amp;"_as_is = "&amp;VLOOKUP(B19,Instruções!$F$6:$J$10,4,0)&amp;"_to_be ",
"ON "&amp;VLOOKUP(B19,Instruções!$F$6:$J$10,4,0)&amp;"_as_is = "&amp;VLOOKUP(B19,Instruções!$F$6:$J$10,4,0)&amp;"_to_be AND "&amp;VLOOKUP(B19,Instruções!$F$6:$J$10,5,0)&amp;"_as_is = "&amp;VLOOKUP(B19,Instruções!$F$6:$J$10,5,0)&amp;"_to_be ")</f>
        <v xml:space="preserve">ON entty_id_as_is = entty_id_to_be </v>
      </c>
      <c r="K19" s="17" t="str">
        <f t="shared" si="2"/>
        <v xml:space="preserve">WHERE coalesce(cast(dbt_srvc_rt_as_is as string), '') &lt;&gt; coalesce(cast(dbt_srvc_rt_to_be as string), '') </v>
      </c>
      <c r="L19" s="17" t="str">
        <f t="shared" si="3"/>
        <v xml:space="preserve">SELECT count(*) AS NUM_REG_DIF FROM (SELECT entty_id as entty_id_as_is, dbt_srvc_rt as dbt_srvc_rt_as_is FROM cd_loan_tapes_bce.lt003_entity WHERE ref_date='2025-06-30' AND nome_perimetro= 'Individual IDComb' AND segmento= 'ESTR' AND ambito= 'PM' AND entidade='00100' AND cod_visao = 1) A  Inner join (SELECT entty_id as entty_id_to_be, dbt_srvc_rt as dbt_srvc_rt_to_be FROM bu_loantape_work.lt003_entity WHERE ref_date='2025-06-30' AND nome_perimetro= 'Individual IDComb' AND segmento= 'ESTR' AND ambito= 'PM' AND entidade='00100' AND cod_visao = 1) B ON entty_id_as_is = entty_id_to_be WHERE coalesce(cast(dbt_srvc_rt_as_is as string), '') &lt;&gt; coalesce(cast(dbt_srvc_rt_to_be as string), '') </v>
      </c>
      <c r="M19" s="17" t="s">
        <v>48</v>
      </c>
      <c r="N19" s="17" t="str">
        <f>"SELECT 'Validação de campos' as tipologia_teste, '"&amp;VLOOKUP(B19,Instruções!$F$6:$J$10,3,0)&amp;"' AS TABELA, '"&amp;E19&amp;"' AS CAMPO, '"&amp;Instruções!$D$7&amp;"' as ref_date, coalesce(NUM_REG_DIF, 0) AS NUM_REG_DIF FROM ("&amp;L19&amp;") A "</f>
        <v xml:space="preserve">SELECT 'Validação de campos' as tipologia_teste, 'lt003_entity' AS TABELA, 'dbt_srvc_rt' AS CAMPO, '2025-06-30' as ref_date, coalesce(NUM_REG_DIF, 0) AS NUM_REG_DIF FROM (SELECT count(*) AS NUM_REG_DIF FROM (SELECT entty_id as entty_id_as_is, dbt_srvc_rt as dbt_srvc_rt_as_is FROM cd_loan_tapes_bce.lt003_entity WHERE ref_date='2025-06-30' AND nome_perimetro= 'Individual IDComb' AND segmento= 'ESTR' AND ambito= 'PM' AND entidade='00100' AND cod_visao = 1) A  Inner join (SELECT entty_id as entty_id_to_be, dbt_srvc_rt as dbt_srvc_rt_to_be FROM bu_loantape_work.lt003_entity WHERE ref_date='2025-06-30' AND nome_perimetro= 'Individual IDComb' AND segmento= 'ESTR' AND ambito= 'PM' AND entidade='00100' AND cod_visao = 1) B ON entty_id_as_is = entty_id_to_be WHERE coalesce(cast(dbt_srvc_rt_as_is as string), '') &lt;&gt; coalesce(cast(dbt_srvc_rt_to_be as string), '') ) A </v>
      </c>
      <c r="O19" s="19" t="str">
        <f t="shared" si="4"/>
        <v>SELECT 'Validação de campos' as tipologia_teste, 'lt003_entity' AS TABELA, 'dbt_srvc_rt' AS CAMPO, '2025-06-30' as ref_date, coalesce(NUM_REG_DIF, 0) AS NUM_REG_DIF FROM (SELECT count(*) AS NUM_REG_DIF FROM (SELECT entty_id as entty_id_as_is, dbt_srvc_rt as dbt_srvc_rt_as_is FROM cd_loan_tapes_bce.lt003_entity WHERE ref_date='2025-06-30' AND nome_perimetro= 'Individual IDComb' AND segmento= 'ESTR' AND ambito= 'PM' AND entidade='00100' AND cod_visao = 1) A  Inner join (SELECT entty_id as entty_id_to_be, dbt_srvc_rt as dbt_srvc_rt_to_be FROM bu_loantape_work.lt003_entity WHERE ref_date='2025-06-30' AND nome_perimetro= 'Individual IDComb' AND segmento= 'ESTR' AND ambito= 'PM' AND entidade='00100' AND cod_visao = 1) B ON entty_id_as_is = entty_id_to_be WHERE coalesce(cast(dbt_srvc_rt_as_is as string), '') &lt;&gt; coalesce(cast(dbt_srvc_rt_to_be as string), '') ) A UNION ALL</v>
      </c>
      <c r="P19" s="17">
        <f t="shared" si="5"/>
        <v>16</v>
      </c>
    </row>
    <row r="20" spans="2:16" s="15" customFormat="1" ht="11.5" x14ac:dyDescent="0.25">
      <c r="B20" s="17" t="s">
        <v>11</v>
      </c>
      <c r="C20" s="17" t="str">
        <f>_xlfn.CONCAT(Instruções!$D$5,".",VLOOKUP(B20,Instruções!$F$5:$H$10,2,0))</f>
        <v>cd_loan_tapes_bce.lt003_entity</v>
      </c>
      <c r="D20" s="17" t="str">
        <f>_xlfn.CONCAT(Instruções!$D$6,".",VLOOKUP(B20,Instruções!$F$5:$H$10,3,0))</f>
        <v>bu_loantape_work.lt003_entity</v>
      </c>
      <c r="E20" s="17" t="s">
        <v>64</v>
      </c>
      <c r="F20" s="17" t="str">
        <f t="shared" si="0"/>
        <v>dbt_srvc_rt_12m_as_is</v>
      </c>
      <c r="G20" s="17" t="str">
        <f t="shared" si="1"/>
        <v>dbt_srvc_rt_12m_to_be</v>
      </c>
      <c r="H20" s="17" t="str">
        <f>IF(VLOOKUP(B20,Instruções!$F$6:$J$10,5,0)="",
"(SELECT "&amp;VLOOKUP(B20,Instruções!$F$6:$J$10,4,0)&amp;" as "&amp;VLOOKUP(B20,Instruções!$F$6:$J$10,4,0)&amp;"_as_is, "&amp;E20&amp;" as "&amp;F20&amp;" FROM "&amp;C20&amp;" WHERE "&amp;Instruções!$D$11&amp;") A ",
"(SELECT "&amp;VLOOKUP(B20,Instruções!$F$6:$J$10,4,0)&amp;" as "&amp;VLOOKUP(B20,Instruções!$F$6:$J$10,4,0)&amp;"_as_is, "&amp;VLOOKUP(B20,Instruções!$F$6:$J$10,5,0)&amp;" as "&amp;VLOOKUP(B20,Instruções!$F$6:$J$10,5,0)&amp;"_as_is,"&amp;E20&amp;" as "&amp;F20&amp;" FROM "&amp;C20&amp;" WHERE "&amp;Instruções!$D$11&amp;") A ")</f>
        <v xml:space="preserve">(SELECT entty_id as entty_id_as_is, dbt_srvc_rt_12m as dbt_srvc_rt_12m_as_is FROM cd_loan_tapes_bce.lt003_entity WHERE ref_date='2025-06-30' AND nome_perimetro= 'Individual IDComb' AND segmento= 'ESTR' AND ambito= 'PM' AND entidade='00100' AND cod_visao = 1) A </v>
      </c>
      <c r="I20" s="17" t="str">
        <f>IF(VLOOKUP(B20,Instruções!$F$6:$J$10,5,0)="",
"(SELECT "&amp;VLOOKUP(B20,Instruções!$F$6:$J$10,4,0)&amp;" as "&amp;VLOOKUP(B20,Instruções!$F$6:$J$10,4,0)&amp;"_to_be, "&amp;E20&amp;" as "&amp;G20&amp;" FROM "&amp;D20&amp;" WHERE "&amp;Instruções!$D$11&amp;") B ",
"(SELECT "&amp;VLOOKUP(B20,Instruções!$F$6:$J$10,4,0)&amp;" as "&amp;VLOOKUP(B20,Instruções!$F$6:$J$10,4,0)&amp;"_to_be, "&amp;VLOOKUP(B20,Instruções!$F$6:$J$10,5,0)&amp;" as "&amp;VLOOKUP(B20,Instruções!$F$6:$J$10,5,0)&amp;"_to_be,"&amp;E20&amp;" as "&amp;G20&amp;" FROM "&amp;D20&amp;" WHERE "&amp;Instruções!$D$11&amp;") B ")</f>
        <v xml:space="preserve">(SELECT entty_id as entty_id_to_be, dbt_srvc_rt_12m as dbt_srvc_rt_12m_to_be FROM bu_loantape_work.lt003_entity WHERE ref_date='2025-06-30' AND nome_perimetro= 'Individual IDComb' AND segmento= 'ESTR' AND ambito= 'PM' AND entidade='00100' AND cod_visao = 1) B </v>
      </c>
      <c r="J20" s="17" t="str">
        <f>IF(VLOOKUP(B20,Instruções!$F$6:$J$10,5,0)="",
"ON "&amp;VLOOKUP(B20,Instruções!$F$6:$J$10,4,0)&amp;"_as_is = "&amp;VLOOKUP(B20,Instruções!$F$6:$J$10,4,0)&amp;"_to_be ",
"ON "&amp;VLOOKUP(B20,Instruções!$F$6:$J$10,4,0)&amp;"_as_is = "&amp;VLOOKUP(B20,Instruções!$F$6:$J$10,4,0)&amp;"_to_be AND "&amp;VLOOKUP(B20,Instruções!$F$6:$J$10,5,0)&amp;"_as_is = "&amp;VLOOKUP(B20,Instruções!$F$6:$J$10,5,0)&amp;"_to_be ")</f>
        <v xml:space="preserve">ON entty_id_as_is = entty_id_to_be </v>
      </c>
      <c r="K20" s="17" t="str">
        <f t="shared" si="2"/>
        <v xml:space="preserve">WHERE coalesce(cast(dbt_srvc_rt_12m_as_is as string), '') &lt;&gt; coalesce(cast(dbt_srvc_rt_12m_to_be as string), '') </v>
      </c>
      <c r="L20" s="17" t="str">
        <f t="shared" si="3"/>
        <v xml:space="preserve">SELECT count(*) AS NUM_REG_DIF FROM (SELECT entty_id as entty_id_as_is, dbt_srvc_rt_12m as dbt_srvc_rt_12m_as_is FROM cd_loan_tapes_bce.lt003_entity WHERE ref_date='2025-06-30' AND nome_perimetro= 'Individual IDComb' AND segmento= 'ESTR' AND ambito= 'PM' AND entidade='00100' AND cod_visao = 1) A  Inner join (SELECT entty_id as entty_id_to_be, dbt_srvc_rt_12m as dbt_srvc_rt_12m_to_be FROM bu_loantape_work.lt003_entity WHERE ref_date='2025-06-30' AND nome_perimetro= 'Individual IDComb' AND segmento= 'ESTR' AND ambito= 'PM' AND entidade='00100' AND cod_visao = 1) B ON entty_id_as_is = entty_id_to_be WHERE coalesce(cast(dbt_srvc_rt_12m_as_is as string), '') &lt;&gt; coalesce(cast(dbt_srvc_rt_12m_to_be as string), '') </v>
      </c>
      <c r="M20" s="17" t="s">
        <v>48</v>
      </c>
      <c r="N20" s="17" t="str">
        <f>"SELECT 'Validação de campos' as tipologia_teste, '"&amp;VLOOKUP(B20,Instruções!$F$6:$J$10,3,0)&amp;"' AS TABELA, '"&amp;E20&amp;"' AS CAMPO, '"&amp;Instruções!$D$7&amp;"' as ref_date, coalesce(NUM_REG_DIF, 0) AS NUM_REG_DIF FROM ("&amp;L20&amp;") A "</f>
        <v xml:space="preserve">SELECT 'Validação de campos' as tipologia_teste, 'lt003_entity' AS TABELA, 'dbt_srvc_rt_12m' AS CAMPO, '2025-06-30' as ref_date, coalesce(NUM_REG_DIF, 0) AS NUM_REG_DIF FROM (SELECT count(*) AS NUM_REG_DIF FROM (SELECT entty_id as entty_id_as_is, dbt_srvc_rt_12m as dbt_srvc_rt_12m_as_is FROM cd_loan_tapes_bce.lt003_entity WHERE ref_date='2025-06-30' AND nome_perimetro= 'Individual IDComb' AND segmento= 'ESTR' AND ambito= 'PM' AND entidade='00100' AND cod_visao = 1) A  Inner join (SELECT entty_id as entty_id_to_be, dbt_srvc_rt_12m as dbt_srvc_rt_12m_to_be FROM bu_loantape_work.lt003_entity WHERE ref_date='2025-06-30' AND nome_perimetro= 'Individual IDComb' AND segmento= 'ESTR' AND ambito= 'PM' AND entidade='00100' AND cod_visao = 1) B ON entty_id_as_is = entty_id_to_be WHERE coalesce(cast(dbt_srvc_rt_12m_as_is as string), '') &lt;&gt; coalesce(cast(dbt_srvc_rt_12m_to_be as string), '') ) A </v>
      </c>
      <c r="O20" s="19" t="str">
        <f t="shared" si="4"/>
        <v>SELECT 'Validação de campos' as tipologia_teste, 'lt003_entity' AS TABELA, 'dbt_srvc_rt_12m' AS CAMPO, '2025-06-30' as ref_date, coalesce(NUM_REG_DIF, 0) AS NUM_REG_DIF FROM (SELECT count(*) AS NUM_REG_DIF FROM (SELECT entty_id as entty_id_as_is, dbt_srvc_rt_12m as dbt_srvc_rt_12m_as_is FROM cd_loan_tapes_bce.lt003_entity WHERE ref_date='2025-06-30' AND nome_perimetro= 'Individual IDComb' AND segmento= 'ESTR' AND ambito= 'PM' AND entidade='00100' AND cod_visao = 1) A  Inner join (SELECT entty_id as entty_id_to_be, dbt_srvc_rt_12m as dbt_srvc_rt_12m_to_be FROM bu_loantape_work.lt003_entity WHERE ref_date='2025-06-30' AND nome_perimetro= 'Individual IDComb' AND segmento= 'ESTR' AND ambito= 'PM' AND entidade='00100' AND cod_visao = 1) B ON entty_id_as_is = entty_id_to_be WHERE coalesce(cast(dbt_srvc_rt_12m_as_is as string), '') &lt;&gt; coalesce(cast(dbt_srvc_rt_12m_to_be as string), '') ) A UNION ALL</v>
      </c>
      <c r="P20" s="17">
        <f t="shared" si="5"/>
        <v>17</v>
      </c>
    </row>
    <row r="21" spans="2:16" s="15" customFormat="1" ht="11.5" x14ac:dyDescent="0.25">
      <c r="B21" s="17" t="s">
        <v>11</v>
      </c>
      <c r="C21" s="17" t="str">
        <f>_xlfn.CONCAT(Instruções!$D$5,".",VLOOKUP(B21,Instruções!$F$5:$H$10,2,0))</f>
        <v>cd_loan_tapes_bce.lt003_entity</v>
      </c>
      <c r="D21" s="17" t="str">
        <f>_xlfn.CONCAT(Instruções!$D$6,".",VLOOKUP(B21,Instruções!$F$5:$H$10,3,0))</f>
        <v>bu_loantape_work.lt003_entity</v>
      </c>
      <c r="E21" s="17" t="s">
        <v>65</v>
      </c>
      <c r="F21" s="17" t="str">
        <f t="shared" si="0"/>
        <v>dcsd_as_is</v>
      </c>
      <c r="G21" s="17" t="str">
        <f t="shared" si="1"/>
        <v>dcsd_to_be</v>
      </c>
      <c r="H21" s="17" t="str">
        <f>IF(VLOOKUP(B21,Instruções!$F$6:$J$10,5,0)="",
"(SELECT "&amp;VLOOKUP(B21,Instruções!$F$6:$J$10,4,0)&amp;" as "&amp;VLOOKUP(B21,Instruções!$F$6:$J$10,4,0)&amp;"_as_is, "&amp;E21&amp;" as "&amp;F21&amp;" FROM "&amp;C21&amp;" WHERE "&amp;Instruções!$D$11&amp;") A ",
"(SELECT "&amp;VLOOKUP(B21,Instruções!$F$6:$J$10,4,0)&amp;" as "&amp;VLOOKUP(B21,Instruções!$F$6:$J$10,4,0)&amp;"_as_is, "&amp;VLOOKUP(B21,Instruções!$F$6:$J$10,5,0)&amp;" as "&amp;VLOOKUP(B21,Instruções!$F$6:$J$10,5,0)&amp;"_as_is,"&amp;E21&amp;" as "&amp;F21&amp;" FROM "&amp;C21&amp;" WHERE "&amp;Instruções!$D$11&amp;") A ")</f>
        <v xml:space="preserve">(SELECT entty_id as entty_id_as_is, dcsd as dcsd_as_is FROM cd_loan_tapes_bce.lt003_entity WHERE ref_date='2025-06-30' AND nome_perimetro= 'Individual IDComb' AND segmento= 'ESTR' AND ambito= 'PM' AND entidade='00100' AND cod_visao = 1) A </v>
      </c>
      <c r="I21" s="17" t="str">
        <f>IF(VLOOKUP(B21,Instruções!$F$6:$J$10,5,0)="",
"(SELECT "&amp;VLOOKUP(B21,Instruções!$F$6:$J$10,4,0)&amp;" as "&amp;VLOOKUP(B21,Instruções!$F$6:$J$10,4,0)&amp;"_to_be, "&amp;E21&amp;" as "&amp;G21&amp;" FROM "&amp;D21&amp;" WHERE "&amp;Instruções!$D$11&amp;") B ",
"(SELECT "&amp;VLOOKUP(B21,Instruções!$F$6:$J$10,4,0)&amp;" as "&amp;VLOOKUP(B21,Instruções!$F$6:$J$10,4,0)&amp;"_to_be, "&amp;VLOOKUP(B21,Instruções!$F$6:$J$10,5,0)&amp;" as "&amp;VLOOKUP(B21,Instruções!$F$6:$J$10,5,0)&amp;"_to_be,"&amp;E21&amp;" as "&amp;G21&amp;" FROM "&amp;D21&amp;" WHERE "&amp;Instruções!$D$11&amp;") B ")</f>
        <v xml:space="preserve">(SELECT entty_id as entty_id_to_be, dcsd as dcsd_to_be FROM bu_loantape_work.lt003_entity WHERE ref_date='2025-06-30' AND nome_perimetro= 'Individual IDComb' AND segmento= 'ESTR' AND ambito= 'PM' AND entidade='00100' AND cod_visao = 1) B </v>
      </c>
      <c r="J21" s="17" t="str">
        <f>IF(VLOOKUP(B21,Instruções!$F$6:$J$10,5,0)="",
"ON "&amp;VLOOKUP(B21,Instruções!$F$6:$J$10,4,0)&amp;"_as_is = "&amp;VLOOKUP(B21,Instruções!$F$6:$J$10,4,0)&amp;"_to_be ",
"ON "&amp;VLOOKUP(B21,Instruções!$F$6:$J$10,4,0)&amp;"_as_is = "&amp;VLOOKUP(B21,Instruções!$F$6:$J$10,4,0)&amp;"_to_be AND "&amp;VLOOKUP(B21,Instruções!$F$6:$J$10,5,0)&amp;"_as_is = "&amp;VLOOKUP(B21,Instruções!$F$6:$J$10,5,0)&amp;"_to_be ")</f>
        <v xml:space="preserve">ON entty_id_as_is = entty_id_to_be </v>
      </c>
      <c r="K21" s="17" t="str">
        <f t="shared" si="2"/>
        <v xml:space="preserve">WHERE coalesce(cast(dcsd_as_is as string), '') &lt;&gt; coalesce(cast(dcsd_to_be as string), '') </v>
      </c>
      <c r="L21" s="17" t="str">
        <f t="shared" si="3"/>
        <v xml:space="preserve">SELECT count(*) AS NUM_REG_DIF FROM (SELECT entty_id as entty_id_as_is, dcsd as dcsd_as_is FROM cd_loan_tapes_bce.lt003_entity WHERE ref_date='2025-06-30' AND nome_perimetro= 'Individual IDComb' AND segmento= 'ESTR' AND ambito= 'PM' AND entidade='00100' AND cod_visao = 1) A  Inner join (SELECT entty_id as entty_id_to_be, dcsd as dcsd_to_be FROM bu_loantape_work.lt003_entity WHERE ref_date='2025-06-30' AND nome_perimetro= 'Individual IDComb' AND segmento= 'ESTR' AND ambito= 'PM' AND entidade='00100' AND cod_visao = 1) B ON entty_id_as_is = entty_id_to_be WHERE coalesce(cast(dcsd_as_is as string), '') &lt;&gt; coalesce(cast(dcsd_to_be as string), '') </v>
      </c>
      <c r="M21" s="17" t="s">
        <v>48</v>
      </c>
      <c r="N21" s="17" t="str">
        <f>"SELECT 'Validação de campos' as tipologia_teste, '"&amp;VLOOKUP(B21,Instruções!$F$6:$J$10,3,0)&amp;"' AS TABELA, '"&amp;E21&amp;"' AS CAMPO, '"&amp;Instruções!$D$7&amp;"' as ref_date, coalesce(NUM_REG_DIF, 0) AS NUM_REG_DIF FROM ("&amp;L21&amp;") A "</f>
        <v xml:space="preserve">SELECT 'Validação de campos' as tipologia_teste, 'lt003_entity' AS TABELA, 'dcsd' AS CAMPO, '2025-06-30' as ref_date, coalesce(NUM_REG_DIF, 0) AS NUM_REG_DIF FROM (SELECT count(*) AS NUM_REG_DIF FROM (SELECT entty_id as entty_id_as_is, dcsd as dcsd_as_is FROM cd_loan_tapes_bce.lt003_entity WHERE ref_date='2025-06-30' AND nome_perimetro= 'Individual IDComb' AND segmento= 'ESTR' AND ambito= 'PM' AND entidade='00100' AND cod_visao = 1) A  Inner join (SELECT entty_id as entty_id_to_be, dcsd as dcsd_to_be FROM bu_loantape_work.lt003_entity WHERE ref_date='2025-06-30' AND nome_perimetro= 'Individual IDComb' AND segmento= 'ESTR' AND ambito= 'PM' AND entidade='00100' AND cod_visao = 1) B ON entty_id_as_is = entty_id_to_be WHERE coalesce(cast(dcsd_as_is as string), '') &lt;&gt; coalesce(cast(dcsd_to_be as string), '') ) A </v>
      </c>
      <c r="O21" s="19" t="str">
        <f t="shared" si="4"/>
        <v>SELECT 'Validação de campos' as tipologia_teste, 'lt003_entity' AS TABELA, 'dcsd' AS CAMPO, '2025-06-30' as ref_date, coalesce(NUM_REG_DIF, 0) AS NUM_REG_DIF FROM (SELECT count(*) AS NUM_REG_DIF FROM (SELECT entty_id as entty_id_as_is, dcsd as dcsd_as_is FROM cd_loan_tapes_bce.lt003_entity WHERE ref_date='2025-06-30' AND nome_perimetro= 'Individual IDComb' AND segmento= 'ESTR' AND ambito= 'PM' AND entidade='00100' AND cod_visao = 1) A  Inner join (SELECT entty_id as entty_id_to_be, dcsd as dcsd_to_be FROM bu_loantape_work.lt003_entity WHERE ref_date='2025-06-30' AND nome_perimetro= 'Individual IDComb' AND segmento= 'ESTR' AND ambito= 'PM' AND entidade='00100' AND cod_visao = 1) B ON entty_id_as_is = entty_id_to_be WHERE coalesce(cast(dcsd_as_is as string), '') &lt;&gt; coalesce(cast(dcsd_to_be as string), '') ) A UNION ALL</v>
      </c>
      <c r="P21" s="17">
        <f t="shared" si="5"/>
        <v>18</v>
      </c>
    </row>
    <row r="22" spans="2:16" s="15" customFormat="1" ht="11.5" x14ac:dyDescent="0.25">
      <c r="B22" s="17" t="s">
        <v>11</v>
      </c>
      <c r="C22" s="17" t="str">
        <f>_xlfn.CONCAT(Instruções!$D$5,".",VLOOKUP(B22,Instruções!$F$5:$H$10,2,0))</f>
        <v>cd_loan_tapes_bce.lt003_entity</v>
      </c>
      <c r="D22" s="17" t="str">
        <f>_xlfn.CONCAT(Instruções!$D$6,".",VLOOKUP(B22,Instruções!$F$5:$H$10,3,0))</f>
        <v>bu_loantape_work.lt003_entity</v>
      </c>
      <c r="E22" s="17" t="s">
        <v>66</v>
      </c>
      <c r="F22" s="17" t="str">
        <f t="shared" si="0"/>
        <v>dflt_stts_as_is</v>
      </c>
      <c r="G22" s="17" t="str">
        <f t="shared" si="1"/>
        <v>dflt_stts_to_be</v>
      </c>
      <c r="H22" s="17" t="str">
        <f>IF(VLOOKUP(B22,Instruções!$F$6:$J$10,5,0)="",
"(SELECT "&amp;VLOOKUP(B22,Instruções!$F$6:$J$10,4,0)&amp;" as "&amp;VLOOKUP(B22,Instruções!$F$6:$J$10,4,0)&amp;"_as_is, "&amp;E22&amp;" as "&amp;F22&amp;" FROM "&amp;C22&amp;" WHERE "&amp;Instruções!$D$11&amp;") A ",
"(SELECT "&amp;VLOOKUP(B22,Instruções!$F$6:$J$10,4,0)&amp;" as "&amp;VLOOKUP(B22,Instruções!$F$6:$J$10,4,0)&amp;"_as_is, "&amp;VLOOKUP(B22,Instruções!$F$6:$J$10,5,0)&amp;" as "&amp;VLOOKUP(B22,Instruções!$F$6:$J$10,5,0)&amp;"_as_is,"&amp;E22&amp;" as "&amp;F22&amp;" FROM "&amp;C22&amp;" WHERE "&amp;Instruções!$D$11&amp;") A ")</f>
        <v xml:space="preserve">(SELECT entty_id as entty_id_as_is, dflt_stts as dflt_stts_as_is FROM cd_loan_tapes_bce.lt003_entity WHERE ref_date='2025-06-30' AND nome_perimetro= 'Individual IDComb' AND segmento= 'ESTR' AND ambito= 'PM' AND entidade='00100' AND cod_visao = 1) A </v>
      </c>
      <c r="I22" s="17" t="str">
        <f>IF(VLOOKUP(B22,Instruções!$F$6:$J$10,5,0)="",
"(SELECT "&amp;VLOOKUP(B22,Instruções!$F$6:$J$10,4,0)&amp;" as "&amp;VLOOKUP(B22,Instruções!$F$6:$J$10,4,0)&amp;"_to_be, "&amp;E22&amp;" as "&amp;G22&amp;" FROM "&amp;D22&amp;" WHERE "&amp;Instruções!$D$11&amp;") B ",
"(SELECT "&amp;VLOOKUP(B22,Instruções!$F$6:$J$10,4,0)&amp;" as "&amp;VLOOKUP(B22,Instruções!$F$6:$J$10,4,0)&amp;"_to_be, "&amp;VLOOKUP(B22,Instruções!$F$6:$J$10,5,0)&amp;" as "&amp;VLOOKUP(B22,Instruções!$F$6:$J$10,5,0)&amp;"_to_be,"&amp;E22&amp;" as "&amp;G22&amp;" FROM "&amp;D22&amp;" WHERE "&amp;Instruções!$D$11&amp;") B ")</f>
        <v xml:space="preserve">(SELECT entty_id as entty_id_to_be, dflt_stts as dflt_stts_to_be FROM bu_loantape_work.lt003_entity WHERE ref_date='2025-06-30' AND nome_perimetro= 'Individual IDComb' AND segmento= 'ESTR' AND ambito= 'PM' AND entidade='00100' AND cod_visao = 1) B </v>
      </c>
      <c r="J22" s="17" t="str">
        <f>IF(VLOOKUP(B22,Instruções!$F$6:$J$10,5,0)="",
"ON "&amp;VLOOKUP(B22,Instruções!$F$6:$J$10,4,0)&amp;"_as_is = "&amp;VLOOKUP(B22,Instruções!$F$6:$J$10,4,0)&amp;"_to_be ",
"ON "&amp;VLOOKUP(B22,Instruções!$F$6:$J$10,4,0)&amp;"_as_is = "&amp;VLOOKUP(B22,Instruções!$F$6:$J$10,4,0)&amp;"_to_be AND "&amp;VLOOKUP(B22,Instruções!$F$6:$J$10,5,0)&amp;"_as_is = "&amp;VLOOKUP(B22,Instruções!$F$6:$J$10,5,0)&amp;"_to_be ")</f>
        <v xml:space="preserve">ON entty_id_as_is = entty_id_to_be </v>
      </c>
      <c r="K22" s="17" t="str">
        <f t="shared" si="2"/>
        <v xml:space="preserve">WHERE coalesce(cast(dflt_stts_as_is as string), '') &lt;&gt; coalesce(cast(dflt_stts_to_be as string), '') </v>
      </c>
      <c r="L22" s="17" t="str">
        <f t="shared" si="3"/>
        <v xml:space="preserve">SELECT count(*) AS NUM_REG_DIF FROM (SELECT entty_id as entty_id_as_is, dflt_stts as dflt_stts_as_is FROM cd_loan_tapes_bce.lt003_entity WHERE ref_date='2025-06-30' AND nome_perimetro= 'Individual IDComb' AND segmento= 'ESTR' AND ambito= 'PM' AND entidade='00100' AND cod_visao = 1) A  Inner join (SELECT entty_id as entty_id_to_be, dflt_stts as dflt_stts_to_be FROM bu_loantape_work.lt003_entity WHERE ref_date='2025-06-30' AND nome_perimetro= 'Individual IDComb' AND segmento= 'ESTR' AND ambito= 'PM' AND entidade='00100' AND cod_visao = 1) B ON entty_id_as_is = entty_id_to_be WHERE coalesce(cast(dflt_stts_as_is as string), '') &lt;&gt; coalesce(cast(dflt_stts_to_be as string), '') </v>
      </c>
      <c r="M22" s="17" t="s">
        <v>48</v>
      </c>
      <c r="N22" s="17" t="str">
        <f>"SELECT 'Validação de campos' as tipologia_teste, '"&amp;VLOOKUP(B22,Instruções!$F$6:$J$10,3,0)&amp;"' AS TABELA, '"&amp;E22&amp;"' AS CAMPO, '"&amp;Instruções!$D$7&amp;"' as ref_date, coalesce(NUM_REG_DIF, 0) AS NUM_REG_DIF FROM ("&amp;L22&amp;") A "</f>
        <v xml:space="preserve">SELECT 'Validação de campos' as tipologia_teste, 'lt003_entity' AS TABELA, 'dflt_stts' AS CAMPO, '2025-06-30' as ref_date, coalesce(NUM_REG_DIF, 0) AS NUM_REG_DIF FROM (SELECT count(*) AS NUM_REG_DIF FROM (SELECT entty_id as entty_id_as_is, dflt_stts as dflt_stts_as_is FROM cd_loan_tapes_bce.lt003_entity WHERE ref_date='2025-06-30' AND nome_perimetro= 'Individual IDComb' AND segmento= 'ESTR' AND ambito= 'PM' AND entidade='00100' AND cod_visao = 1) A  Inner join (SELECT entty_id as entty_id_to_be, dflt_stts as dflt_stts_to_be FROM bu_loantape_work.lt003_entity WHERE ref_date='2025-06-30' AND nome_perimetro= 'Individual IDComb' AND segmento= 'ESTR' AND ambito= 'PM' AND entidade='00100' AND cod_visao = 1) B ON entty_id_as_is = entty_id_to_be WHERE coalesce(cast(dflt_stts_as_is as string), '') &lt;&gt; coalesce(cast(dflt_stts_to_be as string), '') ) A </v>
      </c>
      <c r="O22" s="19" t="str">
        <f t="shared" si="4"/>
        <v>SELECT 'Validação de campos' as tipologia_teste, 'lt003_entity' AS TABELA, 'dflt_stts' AS CAMPO, '2025-06-30' as ref_date, coalesce(NUM_REG_DIF, 0) AS NUM_REG_DIF FROM (SELECT count(*) AS NUM_REG_DIF FROM (SELECT entty_id as entty_id_as_is, dflt_stts as dflt_stts_as_is FROM cd_loan_tapes_bce.lt003_entity WHERE ref_date='2025-06-30' AND nome_perimetro= 'Individual IDComb' AND segmento= 'ESTR' AND ambito= 'PM' AND entidade='00100' AND cod_visao = 1) A  Inner join (SELECT entty_id as entty_id_to_be, dflt_stts as dflt_stts_to_be FROM bu_loantape_work.lt003_entity WHERE ref_date='2025-06-30' AND nome_perimetro= 'Individual IDComb' AND segmento= 'ESTR' AND ambito= 'PM' AND entidade='00100' AND cod_visao = 1) B ON entty_id_as_is = entty_id_to_be WHERE coalesce(cast(dflt_stts_as_is as string), '') &lt;&gt; coalesce(cast(dflt_stts_to_be as string), '') ) A UNION ALL</v>
      </c>
      <c r="P22" s="17">
        <f t="shared" si="5"/>
        <v>19</v>
      </c>
    </row>
    <row r="23" spans="2:16" s="15" customFormat="1" ht="11.5" x14ac:dyDescent="0.25">
      <c r="B23" s="17" t="s">
        <v>11</v>
      </c>
      <c r="C23" s="17" t="str">
        <f>_xlfn.CONCAT(Instruções!$D$5,".",VLOOKUP(B23,Instruções!$F$5:$H$10,2,0))</f>
        <v>cd_loan_tapes_bce.lt003_entity</v>
      </c>
      <c r="D23" s="17" t="str">
        <f>_xlfn.CONCAT(Instruções!$D$6,".",VLOOKUP(B23,Instruções!$F$5:$H$10,3,0))</f>
        <v>bu_loantape_work.lt003_entity</v>
      </c>
      <c r="E23" s="17" t="s">
        <v>67</v>
      </c>
      <c r="F23" s="17" t="str">
        <f t="shared" si="0"/>
        <v>dt_brth_as_is</v>
      </c>
      <c r="G23" s="17" t="str">
        <f t="shared" si="1"/>
        <v>dt_brth_to_be</v>
      </c>
      <c r="H23" s="17" t="str">
        <f>IF(VLOOKUP(B23,Instruções!$F$6:$J$10,5,0)="",
"(SELECT "&amp;VLOOKUP(B23,Instruções!$F$6:$J$10,4,0)&amp;" as "&amp;VLOOKUP(B23,Instruções!$F$6:$J$10,4,0)&amp;"_as_is, "&amp;E23&amp;" as "&amp;F23&amp;" FROM "&amp;C23&amp;" WHERE "&amp;Instruções!$D$11&amp;") A ",
"(SELECT "&amp;VLOOKUP(B23,Instruções!$F$6:$J$10,4,0)&amp;" as "&amp;VLOOKUP(B23,Instruções!$F$6:$J$10,4,0)&amp;"_as_is, "&amp;VLOOKUP(B23,Instruções!$F$6:$J$10,5,0)&amp;" as "&amp;VLOOKUP(B23,Instruções!$F$6:$J$10,5,0)&amp;"_as_is,"&amp;E23&amp;" as "&amp;F23&amp;" FROM "&amp;C23&amp;" WHERE "&amp;Instruções!$D$11&amp;") A ")</f>
        <v xml:space="preserve">(SELECT entty_id as entty_id_as_is, dt_brth as dt_brth_as_is FROM cd_loan_tapes_bce.lt003_entity WHERE ref_date='2025-06-30' AND nome_perimetro= 'Individual IDComb' AND segmento= 'ESTR' AND ambito= 'PM' AND entidade='00100' AND cod_visao = 1) A </v>
      </c>
      <c r="I23" s="17" t="str">
        <f>IF(VLOOKUP(B23,Instruções!$F$6:$J$10,5,0)="",
"(SELECT "&amp;VLOOKUP(B23,Instruções!$F$6:$J$10,4,0)&amp;" as "&amp;VLOOKUP(B23,Instruções!$F$6:$J$10,4,0)&amp;"_to_be, "&amp;E23&amp;" as "&amp;G23&amp;" FROM "&amp;D23&amp;" WHERE "&amp;Instruções!$D$11&amp;") B ",
"(SELECT "&amp;VLOOKUP(B23,Instruções!$F$6:$J$10,4,0)&amp;" as "&amp;VLOOKUP(B23,Instruções!$F$6:$J$10,4,0)&amp;"_to_be, "&amp;VLOOKUP(B23,Instruções!$F$6:$J$10,5,0)&amp;" as "&amp;VLOOKUP(B23,Instruções!$F$6:$J$10,5,0)&amp;"_to_be,"&amp;E23&amp;" as "&amp;G23&amp;" FROM "&amp;D23&amp;" WHERE "&amp;Instruções!$D$11&amp;") B ")</f>
        <v xml:space="preserve">(SELECT entty_id as entty_id_to_be, dt_brth as dt_brth_to_be FROM bu_loantape_work.lt003_entity WHERE ref_date='2025-06-30' AND nome_perimetro= 'Individual IDComb' AND segmento= 'ESTR' AND ambito= 'PM' AND entidade='00100' AND cod_visao = 1) B </v>
      </c>
      <c r="J23" s="17" t="str">
        <f>IF(VLOOKUP(B23,Instruções!$F$6:$J$10,5,0)="",
"ON "&amp;VLOOKUP(B23,Instruções!$F$6:$J$10,4,0)&amp;"_as_is = "&amp;VLOOKUP(B23,Instruções!$F$6:$J$10,4,0)&amp;"_to_be ",
"ON "&amp;VLOOKUP(B23,Instruções!$F$6:$J$10,4,0)&amp;"_as_is = "&amp;VLOOKUP(B23,Instruções!$F$6:$J$10,4,0)&amp;"_to_be AND "&amp;VLOOKUP(B23,Instruções!$F$6:$J$10,5,0)&amp;"_as_is = "&amp;VLOOKUP(B23,Instruções!$F$6:$J$10,5,0)&amp;"_to_be ")</f>
        <v xml:space="preserve">ON entty_id_as_is = entty_id_to_be </v>
      </c>
      <c r="K23" s="17" t="str">
        <f t="shared" si="2"/>
        <v xml:space="preserve">WHERE coalesce(cast(dt_brth_as_is as string), '') &lt;&gt; coalesce(cast(dt_brth_to_be as string), '') </v>
      </c>
      <c r="L23" s="17" t="str">
        <f t="shared" si="3"/>
        <v xml:space="preserve">SELECT count(*) AS NUM_REG_DIF FROM (SELECT entty_id as entty_id_as_is, dt_brth as dt_brth_as_is FROM cd_loan_tapes_bce.lt003_entity WHERE ref_date='2025-06-30' AND nome_perimetro= 'Individual IDComb' AND segmento= 'ESTR' AND ambito= 'PM' AND entidade='00100' AND cod_visao = 1) A  Inner join (SELECT entty_id as entty_id_to_be, dt_brth as dt_brth_to_be FROM bu_loantape_work.lt003_entity WHERE ref_date='2025-06-30' AND nome_perimetro= 'Individual IDComb' AND segmento= 'ESTR' AND ambito= 'PM' AND entidade='00100' AND cod_visao = 1) B ON entty_id_as_is = entty_id_to_be WHERE coalesce(cast(dt_brth_as_is as string), '') &lt;&gt; coalesce(cast(dt_brth_to_be as string), '') </v>
      </c>
      <c r="M23" s="17" t="s">
        <v>48</v>
      </c>
      <c r="N23" s="17" t="str">
        <f>"SELECT 'Validação de campos' as tipologia_teste, '"&amp;VLOOKUP(B23,Instruções!$F$6:$J$10,3,0)&amp;"' AS TABELA, '"&amp;E23&amp;"' AS CAMPO, '"&amp;Instruções!$D$7&amp;"' as ref_date, coalesce(NUM_REG_DIF, 0) AS NUM_REG_DIF FROM ("&amp;L23&amp;") A "</f>
        <v xml:space="preserve">SELECT 'Validação de campos' as tipologia_teste, 'lt003_entity' AS TABELA, 'dt_brth' AS CAMPO, '2025-06-30' as ref_date, coalesce(NUM_REG_DIF, 0) AS NUM_REG_DIF FROM (SELECT count(*) AS NUM_REG_DIF FROM (SELECT entty_id as entty_id_as_is, dt_brth as dt_brth_as_is FROM cd_loan_tapes_bce.lt003_entity WHERE ref_date='2025-06-30' AND nome_perimetro= 'Individual IDComb' AND segmento= 'ESTR' AND ambito= 'PM' AND entidade='00100' AND cod_visao = 1) A  Inner join (SELECT entty_id as entty_id_to_be, dt_brth as dt_brth_to_be FROM bu_loantape_work.lt003_entity WHERE ref_date='2025-06-30' AND nome_perimetro= 'Individual IDComb' AND segmento= 'ESTR' AND ambito= 'PM' AND entidade='00100' AND cod_visao = 1) B ON entty_id_as_is = entty_id_to_be WHERE coalesce(cast(dt_brth_as_is as string), '') &lt;&gt; coalesce(cast(dt_brth_to_be as string), '') ) A </v>
      </c>
      <c r="O23" s="19" t="str">
        <f t="shared" si="4"/>
        <v>SELECT 'Validação de campos' as tipologia_teste, 'lt003_entity' AS TABELA, 'dt_brth' AS CAMPO, '2025-06-30' as ref_date, coalesce(NUM_REG_DIF, 0) AS NUM_REG_DIF FROM (SELECT count(*) AS NUM_REG_DIF FROM (SELECT entty_id as entty_id_as_is, dt_brth as dt_brth_as_is FROM cd_loan_tapes_bce.lt003_entity WHERE ref_date='2025-06-30' AND nome_perimetro= 'Individual IDComb' AND segmento= 'ESTR' AND ambito= 'PM' AND entidade='00100' AND cod_visao = 1) A  Inner join (SELECT entty_id as entty_id_to_be, dt_brth as dt_brth_to_be FROM bu_loantape_work.lt003_entity WHERE ref_date='2025-06-30' AND nome_perimetro= 'Individual IDComb' AND segmento= 'ESTR' AND ambito= 'PM' AND entidade='00100' AND cod_visao = 1) B ON entty_id_as_is = entty_id_to_be WHERE coalesce(cast(dt_brth_as_is as string), '') &lt;&gt; coalesce(cast(dt_brth_to_be as string), '') ) A UNION ALL</v>
      </c>
      <c r="P23" s="17">
        <f t="shared" si="5"/>
        <v>20</v>
      </c>
    </row>
    <row r="24" spans="2:16" s="15" customFormat="1" ht="11.5" x14ac:dyDescent="0.25">
      <c r="B24" s="17" t="s">
        <v>11</v>
      </c>
      <c r="C24" s="17" t="str">
        <f>_xlfn.CONCAT(Instruções!$D$5,".",VLOOKUP(B24,Instruções!$F$5:$H$10,2,0))</f>
        <v>cd_loan_tapes_bce.lt003_entity</v>
      </c>
      <c r="D24" s="17" t="str">
        <f>_xlfn.CONCAT(Instruções!$D$6,".",VLOOKUP(B24,Instruções!$F$5:$H$10,3,0))</f>
        <v>bu_loantape_work.lt003_entity</v>
      </c>
      <c r="E24" s="17" t="s">
        <v>68</v>
      </c>
      <c r="F24" s="17" t="str">
        <f t="shared" si="0"/>
        <v>dt_dflt_stts_as_is</v>
      </c>
      <c r="G24" s="17" t="str">
        <f t="shared" si="1"/>
        <v>dt_dflt_stts_to_be</v>
      </c>
      <c r="H24" s="17" t="str">
        <f>IF(VLOOKUP(B24,Instruções!$F$6:$J$10,5,0)="",
"(SELECT "&amp;VLOOKUP(B24,Instruções!$F$6:$J$10,4,0)&amp;" as "&amp;VLOOKUP(B24,Instruções!$F$6:$J$10,4,0)&amp;"_as_is, "&amp;E24&amp;" as "&amp;F24&amp;" FROM "&amp;C24&amp;" WHERE "&amp;Instruções!$D$11&amp;") A ",
"(SELECT "&amp;VLOOKUP(B24,Instruções!$F$6:$J$10,4,0)&amp;" as "&amp;VLOOKUP(B24,Instruções!$F$6:$J$10,4,0)&amp;"_as_is, "&amp;VLOOKUP(B24,Instruções!$F$6:$J$10,5,0)&amp;" as "&amp;VLOOKUP(B24,Instruções!$F$6:$J$10,5,0)&amp;"_as_is,"&amp;E24&amp;" as "&amp;F24&amp;" FROM "&amp;C24&amp;" WHERE "&amp;Instruções!$D$11&amp;") A ")</f>
        <v xml:space="preserve">(SELECT entty_id as entty_id_as_is, dt_dflt_stts as dt_dflt_stts_as_is FROM cd_loan_tapes_bce.lt003_entity WHERE ref_date='2025-06-30' AND nome_perimetro= 'Individual IDComb' AND segmento= 'ESTR' AND ambito= 'PM' AND entidade='00100' AND cod_visao = 1) A </v>
      </c>
      <c r="I24" s="17" t="str">
        <f>IF(VLOOKUP(B24,Instruções!$F$6:$J$10,5,0)="",
"(SELECT "&amp;VLOOKUP(B24,Instruções!$F$6:$J$10,4,0)&amp;" as "&amp;VLOOKUP(B24,Instruções!$F$6:$J$10,4,0)&amp;"_to_be, "&amp;E24&amp;" as "&amp;G24&amp;" FROM "&amp;D24&amp;" WHERE "&amp;Instruções!$D$11&amp;") B ",
"(SELECT "&amp;VLOOKUP(B24,Instruções!$F$6:$J$10,4,0)&amp;" as "&amp;VLOOKUP(B24,Instruções!$F$6:$J$10,4,0)&amp;"_to_be, "&amp;VLOOKUP(B24,Instruções!$F$6:$J$10,5,0)&amp;" as "&amp;VLOOKUP(B24,Instruções!$F$6:$J$10,5,0)&amp;"_to_be,"&amp;E24&amp;" as "&amp;G24&amp;" FROM "&amp;D24&amp;" WHERE "&amp;Instruções!$D$11&amp;") B ")</f>
        <v xml:space="preserve">(SELECT entty_id as entty_id_to_be, dt_dflt_stts as dt_dflt_stts_to_be FROM bu_loantape_work.lt003_entity WHERE ref_date='2025-06-30' AND nome_perimetro= 'Individual IDComb' AND segmento= 'ESTR' AND ambito= 'PM' AND entidade='00100' AND cod_visao = 1) B </v>
      </c>
      <c r="J24" s="17" t="str">
        <f>IF(VLOOKUP(B24,Instruções!$F$6:$J$10,5,0)="",
"ON "&amp;VLOOKUP(B24,Instruções!$F$6:$J$10,4,0)&amp;"_as_is = "&amp;VLOOKUP(B24,Instruções!$F$6:$J$10,4,0)&amp;"_to_be ",
"ON "&amp;VLOOKUP(B24,Instruções!$F$6:$J$10,4,0)&amp;"_as_is = "&amp;VLOOKUP(B24,Instruções!$F$6:$J$10,4,0)&amp;"_to_be AND "&amp;VLOOKUP(B24,Instruções!$F$6:$J$10,5,0)&amp;"_as_is = "&amp;VLOOKUP(B24,Instruções!$F$6:$J$10,5,0)&amp;"_to_be ")</f>
        <v xml:space="preserve">ON entty_id_as_is = entty_id_to_be </v>
      </c>
      <c r="K24" s="17" t="str">
        <f t="shared" si="2"/>
        <v xml:space="preserve">WHERE coalesce(cast(dt_dflt_stts_as_is as string), '') &lt;&gt; coalesce(cast(dt_dflt_stts_to_be as string), '') </v>
      </c>
      <c r="L24" s="17" t="str">
        <f t="shared" si="3"/>
        <v xml:space="preserve">SELECT count(*) AS NUM_REG_DIF FROM (SELECT entty_id as entty_id_as_is, dt_dflt_stts as dt_dflt_stts_as_is FROM cd_loan_tapes_bce.lt003_entity WHERE ref_date='2025-06-30' AND nome_perimetro= 'Individual IDComb' AND segmento= 'ESTR' AND ambito= 'PM' AND entidade='00100' AND cod_visao = 1) A  Inner join (SELECT entty_id as entty_id_to_be, dt_dflt_stts as dt_dflt_stts_to_be FROM bu_loantape_work.lt003_entity WHERE ref_date='2025-06-30' AND nome_perimetro= 'Individual IDComb' AND segmento= 'ESTR' AND ambito= 'PM' AND entidade='00100' AND cod_visao = 1) B ON entty_id_as_is = entty_id_to_be WHERE coalesce(cast(dt_dflt_stts_as_is as string), '') &lt;&gt; coalesce(cast(dt_dflt_stts_to_be as string), '') </v>
      </c>
      <c r="M24" s="17" t="s">
        <v>48</v>
      </c>
      <c r="N24" s="17" t="str">
        <f>"SELECT 'Validação de campos' as tipologia_teste, '"&amp;VLOOKUP(B24,Instruções!$F$6:$J$10,3,0)&amp;"' AS TABELA, '"&amp;E24&amp;"' AS CAMPO, '"&amp;Instruções!$D$7&amp;"' as ref_date, coalesce(NUM_REG_DIF, 0) AS NUM_REG_DIF FROM ("&amp;L24&amp;") A "</f>
        <v xml:space="preserve">SELECT 'Validação de campos' as tipologia_teste, 'lt003_entity' AS TABELA, 'dt_dflt_stts' AS CAMPO, '2025-06-30' as ref_date, coalesce(NUM_REG_DIF, 0) AS NUM_REG_DIF FROM (SELECT count(*) AS NUM_REG_DIF FROM (SELECT entty_id as entty_id_as_is, dt_dflt_stts as dt_dflt_stts_as_is FROM cd_loan_tapes_bce.lt003_entity WHERE ref_date='2025-06-30' AND nome_perimetro= 'Individual IDComb' AND segmento= 'ESTR' AND ambito= 'PM' AND entidade='00100' AND cod_visao = 1) A  Inner join (SELECT entty_id as entty_id_to_be, dt_dflt_stts as dt_dflt_stts_to_be FROM bu_loantape_work.lt003_entity WHERE ref_date='2025-06-30' AND nome_perimetro= 'Individual IDComb' AND segmento= 'ESTR' AND ambito= 'PM' AND entidade='00100' AND cod_visao = 1) B ON entty_id_as_is = entty_id_to_be WHERE coalesce(cast(dt_dflt_stts_as_is as string), '') &lt;&gt; coalesce(cast(dt_dflt_stts_to_be as string), '') ) A </v>
      </c>
      <c r="O24" s="19" t="str">
        <f t="shared" si="4"/>
        <v>SELECT 'Validação de campos' as tipologia_teste, 'lt003_entity' AS TABELA, 'dt_dflt_stts' AS CAMPO, '2025-06-30' as ref_date, coalesce(NUM_REG_DIF, 0) AS NUM_REG_DIF FROM (SELECT count(*) AS NUM_REG_DIF FROM (SELECT entty_id as entty_id_as_is, dt_dflt_stts as dt_dflt_stts_as_is FROM cd_loan_tapes_bce.lt003_entity WHERE ref_date='2025-06-30' AND nome_perimetro= 'Individual IDComb' AND segmento= 'ESTR' AND ambito= 'PM' AND entidade='00100' AND cod_visao = 1) A  Inner join (SELECT entty_id as entty_id_to_be, dt_dflt_stts as dt_dflt_stts_to_be FROM bu_loantape_work.lt003_entity WHERE ref_date='2025-06-30' AND nome_perimetro= 'Individual IDComb' AND segmento= 'ESTR' AND ambito= 'PM' AND entidade='00100' AND cod_visao = 1) B ON entty_id_as_is = entty_id_to_be WHERE coalesce(cast(dt_dflt_stts_as_is as string), '') &lt;&gt; coalesce(cast(dt_dflt_stts_to_be as string), '') ) A UNION ALL</v>
      </c>
      <c r="P24" s="17">
        <f t="shared" si="5"/>
        <v>21</v>
      </c>
    </row>
    <row r="25" spans="2:16" s="15" customFormat="1" ht="11.5" x14ac:dyDescent="0.25">
      <c r="B25" s="17" t="s">
        <v>11</v>
      </c>
      <c r="C25" s="17" t="str">
        <f>_xlfn.CONCAT(Instruções!$D$5,".",VLOOKUP(B25,Instruções!$F$5:$H$10,2,0))</f>
        <v>cd_loan_tapes_bce.lt003_entity</v>
      </c>
      <c r="D25" s="17" t="str">
        <f>_xlfn.CONCAT(Instruções!$D$6,".",VLOOKUP(B25,Instruções!$F$5:$H$10,3,0))</f>
        <v>bu_loantape_work.lt003_entity</v>
      </c>
      <c r="E25" s="17" t="s">
        <v>69</v>
      </c>
      <c r="F25" s="17" t="str">
        <f t="shared" si="0"/>
        <v>dt_fnncl_sttmts_as_is</v>
      </c>
      <c r="G25" s="17" t="str">
        <f t="shared" si="1"/>
        <v>dt_fnncl_sttmts_to_be</v>
      </c>
      <c r="H25" s="17" t="str">
        <f>IF(VLOOKUP(B25,Instruções!$F$6:$J$10,5,0)="",
"(SELECT "&amp;VLOOKUP(B25,Instruções!$F$6:$J$10,4,0)&amp;" as "&amp;VLOOKUP(B25,Instruções!$F$6:$J$10,4,0)&amp;"_as_is, "&amp;E25&amp;" as "&amp;F25&amp;" FROM "&amp;C25&amp;" WHERE "&amp;Instruções!$D$11&amp;") A ",
"(SELECT "&amp;VLOOKUP(B25,Instruções!$F$6:$J$10,4,0)&amp;" as "&amp;VLOOKUP(B25,Instruções!$F$6:$J$10,4,0)&amp;"_as_is, "&amp;VLOOKUP(B25,Instruções!$F$6:$J$10,5,0)&amp;" as "&amp;VLOOKUP(B25,Instruções!$F$6:$J$10,5,0)&amp;"_as_is,"&amp;E25&amp;" as "&amp;F25&amp;" FROM "&amp;C25&amp;" WHERE "&amp;Instruções!$D$11&amp;") A ")</f>
        <v xml:space="preserve">(SELECT entty_id as entty_id_as_is, dt_fnncl_sttmts as dt_fnncl_sttmts_as_is FROM cd_loan_tapes_bce.lt003_entity WHERE ref_date='2025-06-30' AND nome_perimetro= 'Individual IDComb' AND segmento= 'ESTR' AND ambito= 'PM' AND entidade='00100' AND cod_visao = 1) A </v>
      </c>
      <c r="I25" s="17" t="str">
        <f>IF(VLOOKUP(B25,Instruções!$F$6:$J$10,5,0)="",
"(SELECT "&amp;VLOOKUP(B25,Instruções!$F$6:$J$10,4,0)&amp;" as "&amp;VLOOKUP(B25,Instruções!$F$6:$J$10,4,0)&amp;"_to_be, "&amp;E25&amp;" as "&amp;G25&amp;" FROM "&amp;D25&amp;" WHERE "&amp;Instruções!$D$11&amp;") B ",
"(SELECT "&amp;VLOOKUP(B25,Instruções!$F$6:$J$10,4,0)&amp;" as "&amp;VLOOKUP(B25,Instruções!$F$6:$J$10,4,0)&amp;"_to_be, "&amp;VLOOKUP(B25,Instruções!$F$6:$J$10,5,0)&amp;" as "&amp;VLOOKUP(B25,Instruções!$F$6:$J$10,5,0)&amp;"_to_be,"&amp;E25&amp;" as "&amp;G25&amp;" FROM "&amp;D25&amp;" WHERE "&amp;Instruções!$D$11&amp;") B ")</f>
        <v xml:space="preserve">(SELECT entty_id as entty_id_to_be, dt_fnncl_sttmts as dt_fnncl_sttmts_to_be FROM bu_loantape_work.lt003_entity WHERE ref_date='2025-06-30' AND nome_perimetro= 'Individual IDComb' AND segmento= 'ESTR' AND ambito= 'PM' AND entidade='00100' AND cod_visao = 1) B </v>
      </c>
      <c r="J25" s="17" t="str">
        <f>IF(VLOOKUP(B25,Instruções!$F$6:$J$10,5,0)="",
"ON "&amp;VLOOKUP(B25,Instruções!$F$6:$J$10,4,0)&amp;"_as_is = "&amp;VLOOKUP(B25,Instruções!$F$6:$J$10,4,0)&amp;"_to_be ",
"ON "&amp;VLOOKUP(B25,Instruções!$F$6:$J$10,4,0)&amp;"_as_is = "&amp;VLOOKUP(B25,Instruções!$F$6:$J$10,4,0)&amp;"_to_be AND "&amp;VLOOKUP(B25,Instruções!$F$6:$J$10,5,0)&amp;"_as_is = "&amp;VLOOKUP(B25,Instruções!$F$6:$J$10,5,0)&amp;"_to_be ")</f>
        <v xml:space="preserve">ON entty_id_as_is = entty_id_to_be </v>
      </c>
      <c r="K25" s="17" t="str">
        <f t="shared" si="2"/>
        <v xml:space="preserve">WHERE coalesce(cast(dt_fnncl_sttmts_as_is as string), '') &lt;&gt; coalesce(cast(dt_fnncl_sttmts_to_be as string), '') </v>
      </c>
      <c r="L25" s="17" t="str">
        <f t="shared" si="3"/>
        <v xml:space="preserve">SELECT count(*) AS NUM_REG_DIF FROM (SELECT entty_id as entty_id_as_is, dt_fnncl_sttmts as dt_fnncl_sttmts_as_is FROM cd_loan_tapes_bce.lt003_entity WHERE ref_date='2025-06-30' AND nome_perimetro= 'Individual IDComb' AND segmento= 'ESTR' AND ambito= 'PM' AND entidade='00100' AND cod_visao = 1) A  Inner join (SELECT entty_id as entty_id_to_be, dt_fnncl_sttmts as dt_fnncl_sttmts_to_be FROM bu_loantape_work.lt003_entity WHERE ref_date='2025-06-30' AND nome_perimetro= 'Individual IDComb' AND segmento= 'ESTR' AND ambito= 'PM' AND entidade='00100' AND cod_visao = 1) B ON entty_id_as_is = entty_id_to_be WHERE coalesce(cast(dt_fnncl_sttmts_as_is as string), '') &lt;&gt; coalesce(cast(dt_fnncl_sttmts_to_be as string), '') </v>
      </c>
      <c r="M25" s="17" t="s">
        <v>48</v>
      </c>
      <c r="N25" s="17" t="str">
        <f>"SELECT 'Validação de campos' as tipologia_teste, '"&amp;VLOOKUP(B25,Instruções!$F$6:$J$10,3,0)&amp;"' AS TABELA, '"&amp;E25&amp;"' AS CAMPO, '"&amp;Instruções!$D$7&amp;"' as ref_date, coalesce(NUM_REG_DIF, 0) AS NUM_REG_DIF FROM ("&amp;L25&amp;") A "</f>
        <v xml:space="preserve">SELECT 'Validação de campos' as tipologia_teste, 'lt003_entity' AS TABELA, 'dt_fnncl_sttmts' AS CAMPO, '2025-06-30' as ref_date, coalesce(NUM_REG_DIF, 0) AS NUM_REG_DIF FROM (SELECT count(*) AS NUM_REG_DIF FROM (SELECT entty_id as entty_id_as_is, dt_fnncl_sttmts as dt_fnncl_sttmts_as_is FROM cd_loan_tapes_bce.lt003_entity WHERE ref_date='2025-06-30' AND nome_perimetro= 'Individual IDComb' AND segmento= 'ESTR' AND ambito= 'PM' AND entidade='00100' AND cod_visao = 1) A  Inner join (SELECT entty_id as entty_id_to_be, dt_fnncl_sttmts as dt_fnncl_sttmts_to_be FROM bu_loantape_work.lt003_entity WHERE ref_date='2025-06-30' AND nome_perimetro= 'Individual IDComb' AND segmento= 'ESTR' AND ambito= 'PM' AND entidade='00100' AND cod_visao = 1) B ON entty_id_as_is = entty_id_to_be WHERE coalesce(cast(dt_fnncl_sttmts_as_is as string), '') &lt;&gt; coalesce(cast(dt_fnncl_sttmts_to_be as string), '') ) A </v>
      </c>
      <c r="O25" s="19" t="str">
        <f t="shared" si="4"/>
        <v>SELECT 'Validação de campos' as tipologia_teste, 'lt003_entity' AS TABELA, 'dt_fnncl_sttmts' AS CAMPO, '2025-06-30' as ref_date, coalesce(NUM_REG_DIF, 0) AS NUM_REG_DIF FROM (SELECT count(*) AS NUM_REG_DIF FROM (SELECT entty_id as entty_id_as_is, dt_fnncl_sttmts as dt_fnncl_sttmts_as_is FROM cd_loan_tapes_bce.lt003_entity WHERE ref_date='2025-06-30' AND nome_perimetro= 'Individual IDComb' AND segmento= 'ESTR' AND ambito= 'PM' AND entidade='00100' AND cod_visao = 1) A  Inner join (SELECT entty_id as entty_id_to_be, dt_fnncl_sttmts as dt_fnncl_sttmts_to_be FROM bu_loantape_work.lt003_entity WHERE ref_date='2025-06-30' AND nome_perimetro= 'Individual IDComb' AND segmento= 'ESTR' AND ambito= 'PM' AND entidade='00100' AND cod_visao = 1) B ON entty_id_as_is = entty_id_to_be WHERE coalesce(cast(dt_fnncl_sttmts_as_is as string), '') &lt;&gt; coalesce(cast(dt_fnncl_sttmts_to_be as string), '') ) A UNION ALL</v>
      </c>
      <c r="P25" s="17">
        <f t="shared" si="5"/>
        <v>22</v>
      </c>
    </row>
    <row r="26" spans="2:16" s="15" customFormat="1" ht="11.5" x14ac:dyDescent="0.25">
      <c r="B26" s="17" t="s">
        <v>11</v>
      </c>
      <c r="C26" s="17" t="str">
        <f>_xlfn.CONCAT(Instruções!$D$5,".",VLOOKUP(B26,Instruções!$F$5:$H$10,2,0))</f>
        <v>cd_loan_tapes_bce.lt003_entity</v>
      </c>
      <c r="D26" s="17" t="str">
        <f>_xlfn.CONCAT(Instruções!$D$6,".",VLOOKUP(B26,Instruções!$F$5:$H$10,3,0))</f>
        <v>bu_loantape_work.lt003_entity</v>
      </c>
      <c r="E26" s="17" t="s">
        <v>70</v>
      </c>
      <c r="F26" s="17" t="str">
        <f t="shared" si="0"/>
        <v>dt_fnncl_sttmts_prvs_as_is</v>
      </c>
      <c r="G26" s="17" t="str">
        <f t="shared" si="1"/>
        <v>dt_fnncl_sttmts_prvs_to_be</v>
      </c>
      <c r="H26" s="17" t="str">
        <f>IF(VLOOKUP(B26,Instruções!$F$6:$J$10,5,0)="",
"(SELECT "&amp;VLOOKUP(B26,Instruções!$F$6:$J$10,4,0)&amp;" as "&amp;VLOOKUP(B26,Instruções!$F$6:$J$10,4,0)&amp;"_as_is, "&amp;E26&amp;" as "&amp;F26&amp;" FROM "&amp;C26&amp;" WHERE "&amp;Instruções!$D$11&amp;") A ",
"(SELECT "&amp;VLOOKUP(B26,Instruções!$F$6:$J$10,4,0)&amp;" as "&amp;VLOOKUP(B26,Instruções!$F$6:$J$10,4,0)&amp;"_as_is, "&amp;VLOOKUP(B26,Instruções!$F$6:$J$10,5,0)&amp;" as "&amp;VLOOKUP(B26,Instruções!$F$6:$J$10,5,0)&amp;"_as_is,"&amp;E26&amp;" as "&amp;F26&amp;" FROM "&amp;C26&amp;" WHERE "&amp;Instruções!$D$11&amp;") A ")</f>
        <v xml:space="preserve">(SELECT entty_id as entty_id_as_is, dt_fnncl_sttmts_prvs as dt_fnncl_sttmts_prvs_as_is FROM cd_loan_tapes_bce.lt003_entity WHERE ref_date='2025-06-30' AND nome_perimetro= 'Individual IDComb' AND segmento= 'ESTR' AND ambito= 'PM' AND entidade='00100' AND cod_visao = 1) A </v>
      </c>
      <c r="I26" s="17" t="str">
        <f>IF(VLOOKUP(B26,Instruções!$F$6:$J$10,5,0)="",
"(SELECT "&amp;VLOOKUP(B26,Instruções!$F$6:$J$10,4,0)&amp;" as "&amp;VLOOKUP(B26,Instruções!$F$6:$J$10,4,0)&amp;"_to_be, "&amp;E26&amp;" as "&amp;G26&amp;" FROM "&amp;D26&amp;" WHERE "&amp;Instruções!$D$11&amp;") B ",
"(SELECT "&amp;VLOOKUP(B26,Instruções!$F$6:$J$10,4,0)&amp;" as "&amp;VLOOKUP(B26,Instruções!$F$6:$J$10,4,0)&amp;"_to_be, "&amp;VLOOKUP(B26,Instruções!$F$6:$J$10,5,0)&amp;" as "&amp;VLOOKUP(B26,Instruções!$F$6:$J$10,5,0)&amp;"_to_be,"&amp;E26&amp;" as "&amp;G26&amp;" FROM "&amp;D26&amp;" WHERE "&amp;Instruções!$D$11&amp;") B ")</f>
        <v xml:space="preserve">(SELECT entty_id as entty_id_to_be, dt_fnncl_sttmts_prvs as dt_fnncl_sttmts_prvs_to_be FROM bu_loantape_work.lt003_entity WHERE ref_date='2025-06-30' AND nome_perimetro= 'Individual IDComb' AND segmento= 'ESTR' AND ambito= 'PM' AND entidade='00100' AND cod_visao = 1) B </v>
      </c>
      <c r="J26" s="17" t="str">
        <f>IF(VLOOKUP(B26,Instruções!$F$6:$J$10,5,0)="",
"ON "&amp;VLOOKUP(B26,Instruções!$F$6:$J$10,4,0)&amp;"_as_is = "&amp;VLOOKUP(B26,Instruções!$F$6:$J$10,4,0)&amp;"_to_be ",
"ON "&amp;VLOOKUP(B26,Instruções!$F$6:$J$10,4,0)&amp;"_as_is = "&amp;VLOOKUP(B26,Instruções!$F$6:$J$10,4,0)&amp;"_to_be AND "&amp;VLOOKUP(B26,Instruções!$F$6:$J$10,5,0)&amp;"_as_is = "&amp;VLOOKUP(B26,Instruções!$F$6:$J$10,5,0)&amp;"_to_be ")</f>
        <v xml:space="preserve">ON entty_id_as_is = entty_id_to_be </v>
      </c>
      <c r="K26" s="17" t="str">
        <f t="shared" si="2"/>
        <v xml:space="preserve">WHERE coalesce(cast(dt_fnncl_sttmts_prvs_as_is as string), '') &lt;&gt; coalesce(cast(dt_fnncl_sttmts_prvs_to_be as string), '') </v>
      </c>
      <c r="L26" s="17" t="str">
        <f t="shared" si="3"/>
        <v xml:space="preserve">SELECT count(*) AS NUM_REG_DIF FROM (SELECT entty_id as entty_id_as_is, dt_fnncl_sttmts_prvs as dt_fnncl_sttmts_prvs_as_is FROM cd_loan_tapes_bce.lt003_entity WHERE ref_date='2025-06-30' AND nome_perimetro= 'Individual IDComb' AND segmento= 'ESTR' AND ambito= 'PM' AND entidade='00100' AND cod_visao = 1) A  Inner join (SELECT entty_id as entty_id_to_be, dt_fnncl_sttmts_prvs as dt_fnncl_sttmts_prvs_to_be FROM bu_loantape_work.lt003_entity WHERE ref_date='2025-06-30' AND nome_perimetro= 'Individual IDComb' AND segmento= 'ESTR' AND ambito= 'PM' AND entidade='00100' AND cod_visao = 1) B ON entty_id_as_is = entty_id_to_be WHERE coalesce(cast(dt_fnncl_sttmts_prvs_as_is as string), '') &lt;&gt; coalesce(cast(dt_fnncl_sttmts_prvs_to_be as string), '') </v>
      </c>
      <c r="M26" s="17" t="s">
        <v>48</v>
      </c>
      <c r="N26" s="17" t="str">
        <f>"SELECT 'Validação de campos' as tipologia_teste, '"&amp;VLOOKUP(B26,Instruções!$F$6:$J$10,3,0)&amp;"' AS TABELA, '"&amp;E26&amp;"' AS CAMPO, '"&amp;Instruções!$D$7&amp;"' as ref_date, coalesce(NUM_REG_DIF, 0) AS NUM_REG_DIF FROM ("&amp;L26&amp;") A "</f>
        <v xml:space="preserve">SELECT 'Validação de campos' as tipologia_teste, 'lt003_entity' AS TABELA, 'dt_fnncl_sttmts_prvs' AS CAMPO, '2025-06-30' as ref_date, coalesce(NUM_REG_DIF, 0) AS NUM_REG_DIF FROM (SELECT count(*) AS NUM_REG_DIF FROM (SELECT entty_id as entty_id_as_is, dt_fnncl_sttmts_prvs as dt_fnncl_sttmts_prvs_as_is FROM cd_loan_tapes_bce.lt003_entity WHERE ref_date='2025-06-30' AND nome_perimetro= 'Individual IDComb' AND segmento= 'ESTR' AND ambito= 'PM' AND entidade='00100' AND cod_visao = 1) A  Inner join (SELECT entty_id as entty_id_to_be, dt_fnncl_sttmts_prvs as dt_fnncl_sttmts_prvs_to_be FROM bu_loantape_work.lt003_entity WHERE ref_date='2025-06-30' AND nome_perimetro= 'Individual IDComb' AND segmento= 'ESTR' AND ambito= 'PM' AND entidade='00100' AND cod_visao = 1) B ON entty_id_as_is = entty_id_to_be WHERE coalesce(cast(dt_fnncl_sttmts_prvs_as_is as string), '') &lt;&gt; coalesce(cast(dt_fnncl_sttmts_prvs_to_be as string), '') ) A </v>
      </c>
      <c r="O26" s="19" t="str">
        <f t="shared" si="4"/>
        <v>SELECT 'Validação de campos' as tipologia_teste, 'lt003_entity' AS TABELA, 'dt_fnncl_sttmts_prvs' AS CAMPO, '2025-06-30' as ref_date, coalesce(NUM_REG_DIF, 0) AS NUM_REG_DIF FROM (SELECT count(*) AS NUM_REG_DIF FROM (SELECT entty_id as entty_id_as_is, dt_fnncl_sttmts_prvs as dt_fnncl_sttmts_prvs_as_is FROM cd_loan_tapes_bce.lt003_entity WHERE ref_date='2025-06-30' AND nome_perimetro= 'Individual IDComb' AND segmento= 'ESTR' AND ambito= 'PM' AND entidade='00100' AND cod_visao = 1) A  Inner join (SELECT entty_id as entty_id_to_be, dt_fnncl_sttmts_prvs as dt_fnncl_sttmts_prvs_to_be FROM bu_loantape_work.lt003_entity WHERE ref_date='2025-06-30' AND nome_perimetro= 'Individual IDComb' AND segmento= 'ESTR' AND ambito= 'PM' AND entidade='00100' AND cod_visao = 1) B ON entty_id_as_is = entty_id_to_be WHERE coalesce(cast(dt_fnncl_sttmts_prvs_as_is as string), '') &lt;&gt; coalesce(cast(dt_fnncl_sttmts_prvs_to_be as string), '') ) A UNION ALL</v>
      </c>
      <c r="P26" s="17">
        <f t="shared" si="5"/>
        <v>23</v>
      </c>
    </row>
    <row r="27" spans="2:16" s="15" customFormat="1" ht="11.5" x14ac:dyDescent="0.25">
      <c r="B27" s="17" t="s">
        <v>11</v>
      </c>
      <c r="C27" s="17" t="str">
        <f>_xlfn.CONCAT(Instruções!$D$5,".",VLOOKUP(B27,Instruções!$F$5:$H$10,2,0))</f>
        <v>cd_loan_tapes_bce.lt003_entity</v>
      </c>
      <c r="D27" s="17" t="str">
        <f>_xlfn.CONCAT(Instruções!$D$6,".",VLOOKUP(B27,Instruções!$F$5:$H$10,3,0))</f>
        <v>bu_loantape_work.lt003_entity</v>
      </c>
      <c r="E27" s="17" t="s">
        <v>71</v>
      </c>
      <c r="F27" s="17" t="str">
        <f t="shared" si="0"/>
        <v>dt_intrnl_rtng_as_is</v>
      </c>
      <c r="G27" s="17" t="str">
        <f t="shared" si="1"/>
        <v>dt_intrnl_rtng_to_be</v>
      </c>
      <c r="H27" s="17" t="str">
        <f>IF(VLOOKUP(B27,Instruções!$F$6:$J$10,5,0)="",
"(SELECT "&amp;VLOOKUP(B27,Instruções!$F$6:$J$10,4,0)&amp;" as "&amp;VLOOKUP(B27,Instruções!$F$6:$J$10,4,0)&amp;"_as_is, "&amp;E27&amp;" as "&amp;F27&amp;" FROM "&amp;C27&amp;" WHERE "&amp;Instruções!$D$11&amp;") A ",
"(SELECT "&amp;VLOOKUP(B27,Instruções!$F$6:$J$10,4,0)&amp;" as "&amp;VLOOKUP(B27,Instruções!$F$6:$J$10,4,0)&amp;"_as_is, "&amp;VLOOKUP(B27,Instruções!$F$6:$J$10,5,0)&amp;" as "&amp;VLOOKUP(B27,Instruções!$F$6:$J$10,5,0)&amp;"_as_is,"&amp;E27&amp;" as "&amp;F27&amp;" FROM "&amp;C27&amp;" WHERE "&amp;Instruções!$D$11&amp;") A ")</f>
        <v xml:space="preserve">(SELECT entty_id as entty_id_as_is, dt_intrnl_rtng as dt_intrnl_rtng_as_is FROM cd_loan_tapes_bce.lt003_entity WHERE ref_date='2025-06-30' AND nome_perimetro= 'Individual IDComb' AND segmento= 'ESTR' AND ambito= 'PM' AND entidade='00100' AND cod_visao = 1) A </v>
      </c>
      <c r="I27" s="17" t="str">
        <f>IF(VLOOKUP(B27,Instruções!$F$6:$J$10,5,0)="",
"(SELECT "&amp;VLOOKUP(B27,Instruções!$F$6:$J$10,4,0)&amp;" as "&amp;VLOOKUP(B27,Instruções!$F$6:$J$10,4,0)&amp;"_to_be, "&amp;E27&amp;" as "&amp;G27&amp;" FROM "&amp;D27&amp;" WHERE "&amp;Instruções!$D$11&amp;") B ",
"(SELECT "&amp;VLOOKUP(B27,Instruções!$F$6:$J$10,4,0)&amp;" as "&amp;VLOOKUP(B27,Instruções!$F$6:$J$10,4,0)&amp;"_to_be, "&amp;VLOOKUP(B27,Instruções!$F$6:$J$10,5,0)&amp;" as "&amp;VLOOKUP(B27,Instruções!$F$6:$J$10,5,0)&amp;"_to_be,"&amp;E27&amp;" as "&amp;G27&amp;" FROM "&amp;D27&amp;" WHERE "&amp;Instruções!$D$11&amp;") B ")</f>
        <v xml:space="preserve">(SELECT entty_id as entty_id_to_be, dt_intrnl_rtng as dt_intrnl_rtng_to_be FROM bu_loantape_work.lt003_entity WHERE ref_date='2025-06-30' AND nome_perimetro= 'Individual IDComb' AND segmento= 'ESTR' AND ambito= 'PM' AND entidade='00100' AND cod_visao = 1) B </v>
      </c>
      <c r="J27" s="17" t="str">
        <f>IF(VLOOKUP(B27,Instruções!$F$6:$J$10,5,0)="",
"ON "&amp;VLOOKUP(B27,Instruções!$F$6:$J$10,4,0)&amp;"_as_is = "&amp;VLOOKUP(B27,Instruções!$F$6:$J$10,4,0)&amp;"_to_be ",
"ON "&amp;VLOOKUP(B27,Instruções!$F$6:$J$10,4,0)&amp;"_as_is = "&amp;VLOOKUP(B27,Instruções!$F$6:$J$10,4,0)&amp;"_to_be AND "&amp;VLOOKUP(B27,Instruções!$F$6:$J$10,5,0)&amp;"_as_is = "&amp;VLOOKUP(B27,Instruções!$F$6:$J$10,5,0)&amp;"_to_be ")</f>
        <v xml:space="preserve">ON entty_id_as_is = entty_id_to_be </v>
      </c>
      <c r="K27" s="17" t="str">
        <f t="shared" si="2"/>
        <v xml:space="preserve">WHERE coalesce(cast(dt_intrnl_rtng_as_is as string), '') &lt;&gt; coalesce(cast(dt_intrnl_rtng_to_be as string), '') </v>
      </c>
      <c r="L27" s="17" t="str">
        <f t="shared" si="3"/>
        <v xml:space="preserve">SELECT count(*) AS NUM_REG_DIF FROM (SELECT entty_id as entty_id_as_is, dt_intrnl_rtng as dt_intrnl_rtng_as_is FROM cd_loan_tapes_bce.lt003_entity WHERE ref_date='2025-06-30' AND nome_perimetro= 'Individual IDComb' AND segmento= 'ESTR' AND ambito= 'PM' AND entidade='00100' AND cod_visao = 1) A  Inner join (SELECT entty_id as entty_id_to_be, dt_intrnl_rtng as dt_intrnl_rtng_to_be FROM bu_loantape_work.lt003_entity WHERE ref_date='2025-06-30' AND nome_perimetro= 'Individual IDComb' AND segmento= 'ESTR' AND ambito= 'PM' AND entidade='00100' AND cod_visao = 1) B ON entty_id_as_is = entty_id_to_be WHERE coalesce(cast(dt_intrnl_rtng_as_is as string), '') &lt;&gt; coalesce(cast(dt_intrnl_rtng_to_be as string), '') </v>
      </c>
      <c r="M27" s="17" t="s">
        <v>48</v>
      </c>
      <c r="N27" s="17" t="str">
        <f>"SELECT 'Validação de campos' as tipologia_teste, '"&amp;VLOOKUP(B27,Instruções!$F$6:$J$10,3,0)&amp;"' AS TABELA, '"&amp;E27&amp;"' AS CAMPO, '"&amp;Instruções!$D$7&amp;"' as ref_date, coalesce(NUM_REG_DIF, 0) AS NUM_REG_DIF FROM ("&amp;L27&amp;") A "</f>
        <v xml:space="preserve">SELECT 'Validação de campos' as tipologia_teste, 'lt003_entity' AS TABELA, 'dt_intrnl_rtng' AS CAMPO, '2025-06-30' as ref_date, coalesce(NUM_REG_DIF, 0) AS NUM_REG_DIF FROM (SELECT count(*) AS NUM_REG_DIF FROM (SELECT entty_id as entty_id_as_is, dt_intrnl_rtng as dt_intrnl_rtng_as_is FROM cd_loan_tapes_bce.lt003_entity WHERE ref_date='2025-06-30' AND nome_perimetro= 'Individual IDComb' AND segmento= 'ESTR' AND ambito= 'PM' AND entidade='00100' AND cod_visao = 1) A  Inner join (SELECT entty_id as entty_id_to_be, dt_intrnl_rtng as dt_intrnl_rtng_to_be FROM bu_loantape_work.lt003_entity WHERE ref_date='2025-06-30' AND nome_perimetro= 'Individual IDComb' AND segmento= 'ESTR' AND ambito= 'PM' AND entidade='00100' AND cod_visao = 1) B ON entty_id_as_is = entty_id_to_be WHERE coalesce(cast(dt_intrnl_rtng_as_is as string), '') &lt;&gt; coalesce(cast(dt_intrnl_rtng_to_be as string), '') ) A </v>
      </c>
      <c r="O27" s="19" t="str">
        <f t="shared" si="4"/>
        <v>SELECT 'Validação de campos' as tipologia_teste, 'lt003_entity' AS TABELA, 'dt_intrnl_rtng' AS CAMPO, '2025-06-30' as ref_date, coalesce(NUM_REG_DIF, 0) AS NUM_REG_DIF FROM (SELECT count(*) AS NUM_REG_DIF FROM (SELECT entty_id as entty_id_as_is, dt_intrnl_rtng as dt_intrnl_rtng_as_is FROM cd_loan_tapes_bce.lt003_entity WHERE ref_date='2025-06-30' AND nome_perimetro= 'Individual IDComb' AND segmento= 'ESTR' AND ambito= 'PM' AND entidade='00100' AND cod_visao = 1) A  Inner join (SELECT entty_id as entty_id_to_be, dt_intrnl_rtng as dt_intrnl_rtng_to_be FROM bu_loantape_work.lt003_entity WHERE ref_date='2025-06-30' AND nome_perimetro= 'Individual IDComb' AND segmento= 'ESTR' AND ambito= 'PM' AND entidade='00100' AND cod_visao = 1) B ON entty_id_as_is = entty_id_to_be WHERE coalesce(cast(dt_intrnl_rtng_as_is as string), '') &lt;&gt; coalesce(cast(dt_intrnl_rtng_to_be as string), '') ) A UNION ALL</v>
      </c>
      <c r="P27" s="17">
        <f t="shared" si="5"/>
        <v>24</v>
      </c>
    </row>
    <row r="28" spans="2:16" s="15" customFormat="1" ht="11.5" x14ac:dyDescent="0.25">
      <c r="B28" s="17" t="s">
        <v>11</v>
      </c>
      <c r="C28" s="17" t="str">
        <f>_xlfn.CONCAT(Instruções!$D$5,".",VLOOKUP(B28,Instruções!$F$5:$H$10,2,0))</f>
        <v>cd_loan_tapes_bce.lt003_entity</v>
      </c>
      <c r="D28" s="17" t="str">
        <f>_xlfn.CONCAT(Instruções!$D$6,".",VLOOKUP(B28,Instruções!$F$5:$H$10,3,0))</f>
        <v>bu_loantape_work.lt003_entity</v>
      </c>
      <c r="E28" s="17" t="s">
        <v>72</v>
      </c>
      <c r="F28" s="17" t="str">
        <f t="shared" si="0"/>
        <v>dt_inttn_lgl_prcdngs_le_as_is</v>
      </c>
      <c r="G28" s="17" t="str">
        <f t="shared" si="1"/>
        <v>dt_inttn_lgl_prcdngs_le_to_be</v>
      </c>
      <c r="H28" s="17" t="str">
        <f>IF(VLOOKUP(B28,Instruções!$F$6:$J$10,5,0)="",
"(SELECT "&amp;VLOOKUP(B28,Instruções!$F$6:$J$10,4,0)&amp;" as "&amp;VLOOKUP(B28,Instruções!$F$6:$J$10,4,0)&amp;"_as_is, "&amp;E28&amp;" as "&amp;F28&amp;" FROM "&amp;C28&amp;" WHERE "&amp;Instruções!$D$11&amp;") A ",
"(SELECT "&amp;VLOOKUP(B28,Instruções!$F$6:$J$10,4,0)&amp;" as "&amp;VLOOKUP(B28,Instruções!$F$6:$J$10,4,0)&amp;"_as_is, "&amp;VLOOKUP(B28,Instruções!$F$6:$J$10,5,0)&amp;" as "&amp;VLOOKUP(B28,Instruções!$F$6:$J$10,5,0)&amp;"_as_is,"&amp;E28&amp;" as "&amp;F28&amp;" FROM "&amp;C28&amp;" WHERE "&amp;Instruções!$D$11&amp;") A ")</f>
        <v xml:space="preserve">(SELECT entty_id as entty_id_as_is, dt_inttn_lgl_prcdngs_le as dt_inttn_lgl_prcdngs_le_as_is FROM cd_loan_tapes_bce.lt003_entity WHERE ref_date='2025-06-30' AND nome_perimetro= 'Individual IDComb' AND segmento= 'ESTR' AND ambito= 'PM' AND entidade='00100' AND cod_visao = 1) A </v>
      </c>
      <c r="I28" s="17" t="str">
        <f>IF(VLOOKUP(B28,Instruções!$F$6:$J$10,5,0)="",
"(SELECT "&amp;VLOOKUP(B28,Instruções!$F$6:$J$10,4,0)&amp;" as "&amp;VLOOKUP(B28,Instruções!$F$6:$J$10,4,0)&amp;"_to_be, "&amp;E28&amp;" as "&amp;G28&amp;" FROM "&amp;D28&amp;" WHERE "&amp;Instruções!$D$11&amp;") B ",
"(SELECT "&amp;VLOOKUP(B28,Instruções!$F$6:$J$10,4,0)&amp;" as "&amp;VLOOKUP(B28,Instruções!$F$6:$J$10,4,0)&amp;"_to_be, "&amp;VLOOKUP(B28,Instruções!$F$6:$J$10,5,0)&amp;" as "&amp;VLOOKUP(B28,Instruções!$F$6:$J$10,5,0)&amp;"_to_be,"&amp;E28&amp;" as "&amp;G28&amp;" FROM "&amp;D28&amp;" WHERE "&amp;Instruções!$D$11&amp;") B ")</f>
        <v xml:space="preserve">(SELECT entty_id as entty_id_to_be, dt_inttn_lgl_prcdngs_le as dt_inttn_lgl_prcdngs_le_to_be FROM bu_loantape_work.lt003_entity WHERE ref_date='2025-06-30' AND nome_perimetro= 'Individual IDComb' AND segmento= 'ESTR' AND ambito= 'PM' AND entidade='00100' AND cod_visao = 1) B </v>
      </c>
      <c r="J28" s="17" t="str">
        <f>IF(VLOOKUP(B28,Instruções!$F$6:$J$10,5,0)="",
"ON "&amp;VLOOKUP(B28,Instruções!$F$6:$J$10,4,0)&amp;"_as_is = "&amp;VLOOKUP(B28,Instruções!$F$6:$J$10,4,0)&amp;"_to_be ",
"ON "&amp;VLOOKUP(B28,Instruções!$F$6:$J$10,4,0)&amp;"_as_is = "&amp;VLOOKUP(B28,Instruções!$F$6:$J$10,4,0)&amp;"_to_be AND "&amp;VLOOKUP(B28,Instruções!$F$6:$J$10,5,0)&amp;"_as_is = "&amp;VLOOKUP(B28,Instruções!$F$6:$J$10,5,0)&amp;"_to_be ")</f>
        <v xml:space="preserve">ON entty_id_as_is = entty_id_to_be </v>
      </c>
      <c r="K28" s="17" t="str">
        <f t="shared" si="2"/>
        <v xml:space="preserve">WHERE coalesce(cast(dt_inttn_lgl_prcdngs_le_as_is as string), '') &lt;&gt; coalesce(cast(dt_inttn_lgl_prcdngs_le_to_be as string), '') </v>
      </c>
      <c r="L28" s="17" t="str">
        <f t="shared" si="3"/>
        <v xml:space="preserve">SELECT count(*) AS NUM_REG_DIF FROM (SELECT entty_id as entty_id_as_is, dt_inttn_lgl_prcdngs_le as dt_inttn_lgl_prcdngs_le_as_is FROM cd_loan_tapes_bce.lt003_entity WHERE ref_date='2025-06-30' AND nome_perimetro= 'Individual IDComb' AND segmento= 'ESTR' AND ambito= 'PM' AND entidade='00100' AND cod_visao = 1) A  Inner join (SELECT entty_id as entty_id_to_be, dt_inttn_lgl_prcdngs_le as dt_inttn_lgl_prcdngs_le_to_be FROM bu_loantape_work.lt003_entity WHERE ref_date='2025-06-30' AND nome_perimetro= 'Individual IDComb' AND segmento= 'ESTR' AND ambito= 'PM' AND entidade='00100' AND cod_visao = 1) B ON entty_id_as_is = entty_id_to_be WHERE coalesce(cast(dt_inttn_lgl_prcdngs_le_as_is as string), '') &lt;&gt; coalesce(cast(dt_inttn_lgl_prcdngs_le_to_be as string), '') </v>
      </c>
      <c r="M28" s="17" t="s">
        <v>48</v>
      </c>
      <c r="N28" s="17" t="str">
        <f>"SELECT 'Validação de campos' as tipologia_teste, '"&amp;VLOOKUP(B28,Instruções!$F$6:$J$10,3,0)&amp;"' AS TABELA, '"&amp;E28&amp;"' AS CAMPO, '"&amp;Instruções!$D$7&amp;"' as ref_date, coalesce(NUM_REG_DIF, 0) AS NUM_REG_DIF FROM ("&amp;L28&amp;") A "</f>
        <v xml:space="preserve">SELECT 'Validação de campos' as tipologia_teste, 'lt003_entity' AS TABELA, 'dt_inttn_lgl_prcdngs_le' AS CAMPO, '2025-06-30' as ref_date, coalesce(NUM_REG_DIF, 0) AS NUM_REG_DIF FROM (SELECT count(*) AS NUM_REG_DIF FROM (SELECT entty_id as entty_id_as_is, dt_inttn_lgl_prcdngs_le as dt_inttn_lgl_prcdngs_le_as_is FROM cd_loan_tapes_bce.lt003_entity WHERE ref_date='2025-06-30' AND nome_perimetro= 'Individual IDComb' AND segmento= 'ESTR' AND ambito= 'PM' AND entidade='00100' AND cod_visao = 1) A  Inner join (SELECT entty_id as entty_id_to_be, dt_inttn_lgl_prcdngs_le as dt_inttn_lgl_prcdngs_le_to_be FROM bu_loantape_work.lt003_entity WHERE ref_date='2025-06-30' AND nome_perimetro= 'Individual IDComb' AND segmento= 'ESTR' AND ambito= 'PM' AND entidade='00100' AND cod_visao = 1) B ON entty_id_as_is = entty_id_to_be WHERE coalesce(cast(dt_inttn_lgl_prcdngs_le_as_is as string), '') &lt;&gt; coalesce(cast(dt_inttn_lgl_prcdngs_le_to_be as string), '') ) A </v>
      </c>
      <c r="O28" s="19" t="str">
        <f t="shared" si="4"/>
        <v>SELECT 'Validação de campos' as tipologia_teste, 'lt003_entity' AS TABELA, 'dt_inttn_lgl_prcdngs_le' AS CAMPO, '2025-06-30' as ref_date, coalesce(NUM_REG_DIF, 0) AS NUM_REG_DIF FROM (SELECT count(*) AS NUM_REG_DIF FROM (SELECT entty_id as entty_id_as_is, dt_inttn_lgl_prcdngs_le as dt_inttn_lgl_prcdngs_le_as_is FROM cd_loan_tapes_bce.lt003_entity WHERE ref_date='2025-06-30' AND nome_perimetro= 'Individual IDComb' AND segmento= 'ESTR' AND ambito= 'PM' AND entidade='00100' AND cod_visao = 1) A  Inner join (SELECT entty_id as entty_id_to_be, dt_inttn_lgl_prcdngs_le as dt_inttn_lgl_prcdngs_le_to_be FROM bu_loantape_work.lt003_entity WHERE ref_date='2025-06-30' AND nome_perimetro= 'Individual IDComb' AND segmento= 'ESTR' AND ambito= 'PM' AND entidade='00100' AND cod_visao = 1) B ON entty_id_as_is = entty_id_to_be WHERE coalesce(cast(dt_inttn_lgl_prcdngs_le_as_is as string), '') &lt;&gt; coalesce(cast(dt_inttn_lgl_prcdngs_le_to_be as string), '') ) A UNION ALL</v>
      </c>
      <c r="P28" s="17">
        <f t="shared" si="5"/>
        <v>25</v>
      </c>
    </row>
    <row r="29" spans="2:16" s="15" customFormat="1" ht="11.5" x14ac:dyDescent="0.25">
      <c r="B29" s="17" t="s">
        <v>11</v>
      </c>
      <c r="C29" s="17" t="str">
        <f>_xlfn.CONCAT(Instruções!$D$5,".",VLOOKUP(B29,Instruções!$F$5:$H$10,2,0))</f>
        <v>cd_loan_tapes_bce.lt003_entity</v>
      </c>
      <c r="D29" s="17" t="str">
        <f>_xlfn.CONCAT(Instruções!$D$6,".",VLOOKUP(B29,Instruções!$F$5:$H$10,3,0))</f>
        <v>bu_loantape_work.lt003_entity</v>
      </c>
      <c r="E29" s="17" t="s">
        <v>73</v>
      </c>
      <c r="F29" s="17" t="str">
        <f t="shared" si="0"/>
        <v>dt_prfrmng_stts_le_as_is</v>
      </c>
      <c r="G29" s="17" t="str">
        <f t="shared" si="1"/>
        <v>dt_prfrmng_stts_le_to_be</v>
      </c>
      <c r="H29" s="17" t="str">
        <f>IF(VLOOKUP(B29,Instruções!$F$6:$J$10,5,0)="",
"(SELECT "&amp;VLOOKUP(B29,Instruções!$F$6:$J$10,4,0)&amp;" as "&amp;VLOOKUP(B29,Instruções!$F$6:$J$10,4,0)&amp;"_as_is, "&amp;E29&amp;" as "&amp;F29&amp;" FROM "&amp;C29&amp;" WHERE "&amp;Instruções!$D$11&amp;") A ",
"(SELECT "&amp;VLOOKUP(B29,Instruções!$F$6:$J$10,4,0)&amp;" as "&amp;VLOOKUP(B29,Instruções!$F$6:$J$10,4,0)&amp;"_as_is, "&amp;VLOOKUP(B29,Instruções!$F$6:$J$10,5,0)&amp;" as "&amp;VLOOKUP(B29,Instruções!$F$6:$J$10,5,0)&amp;"_as_is,"&amp;E29&amp;" as "&amp;F29&amp;" FROM "&amp;C29&amp;" WHERE "&amp;Instruções!$D$11&amp;") A ")</f>
        <v xml:space="preserve">(SELECT entty_id as entty_id_as_is, dt_prfrmng_stts_le as dt_prfrmng_stts_le_as_is FROM cd_loan_tapes_bce.lt003_entity WHERE ref_date='2025-06-30' AND nome_perimetro= 'Individual IDComb' AND segmento= 'ESTR' AND ambito= 'PM' AND entidade='00100' AND cod_visao = 1) A </v>
      </c>
      <c r="I29" s="17" t="str">
        <f>IF(VLOOKUP(B29,Instruções!$F$6:$J$10,5,0)="",
"(SELECT "&amp;VLOOKUP(B29,Instruções!$F$6:$J$10,4,0)&amp;" as "&amp;VLOOKUP(B29,Instruções!$F$6:$J$10,4,0)&amp;"_to_be, "&amp;E29&amp;" as "&amp;G29&amp;" FROM "&amp;D29&amp;" WHERE "&amp;Instruções!$D$11&amp;") B ",
"(SELECT "&amp;VLOOKUP(B29,Instruções!$F$6:$J$10,4,0)&amp;" as "&amp;VLOOKUP(B29,Instruções!$F$6:$J$10,4,0)&amp;"_to_be, "&amp;VLOOKUP(B29,Instruções!$F$6:$J$10,5,0)&amp;" as "&amp;VLOOKUP(B29,Instruções!$F$6:$J$10,5,0)&amp;"_to_be,"&amp;E29&amp;" as "&amp;G29&amp;" FROM "&amp;D29&amp;" WHERE "&amp;Instruções!$D$11&amp;") B ")</f>
        <v xml:space="preserve">(SELECT entty_id as entty_id_to_be, dt_prfrmng_stts_le as dt_prfrmng_stts_le_to_be FROM bu_loantape_work.lt003_entity WHERE ref_date='2025-06-30' AND nome_perimetro= 'Individual IDComb' AND segmento= 'ESTR' AND ambito= 'PM' AND entidade='00100' AND cod_visao = 1) B </v>
      </c>
      <c r="J29" s="17" t="str">
        <f>IF(VLOOKUP(B29,Instruções!$F$6:$J$10,5,0)="",
"ON "&amp;VLOOKUP(B29,Instruções!$F$6:$J$10,4,0)&amp;"_as_is = "&amp;VLOOKUP(B29,Instruções!$F$6:$J$10,4,0)&amp;"_to_be ",
"ON "&amp;VLOOKUP(B29,Instruções!$F$6:$J$10,4,0)&amp;"_as_is = "&amp;VLOOKUP(B29,Instruções!$F$6:$J$10,4,0)&amp;"_to_be AND "&amp;VLOOKUP(B29,Instruções!$F$6:$J$10,5,0)&amp;"_as_is = "&amp;VLOOKUP(B29,Instruções!$F$6:$J$10,5,0)&amp;"_to_be ")</f>
        <v xml:space="preserve">ON entty_id_as_is = entty_id_to_be </v>
      </c>
      <c r="K29" s="17" t="str">
        <f t="shared" si="2"/>
        <v xml:space="preserve">WHERE coalesce(cast(dt_prfrmng_stts_le_as_is as string), '') &lt;&gt; coalesce(cast(dt_prfrmng_stts_le_to_be as string), '') </v>
      </c>
      <c r="L29" s="17" t="str">
        <f t="shared" si="3"/>
        <v xml:space="preserve">SELECT count(*) AS NUM_REG_DIF FROM (SELECT entty_id as entty_id_as_is, dt_prfrmng_stts_le as dt_prfrmng_stts_le_as_is FROM cd_loan_tapes_bce.lt003_entity WHERE ref_date='2025-06-30' AND nome_perimetro= 'Individual IDComb' AND segmento= 'ESTR' AND ambito= 'PM' AND entidade='00100' AND cod_visao = 1) A  Inner join (SELECT entty_id as entty_id_to_be, dt_prfrmng_stts_le as dt_prfrmng_stts_le_to_be FROM bu_loantape_work.lt003_entity WHERE ref_date='2025-06-30' AND nome_perimetro= 'Individual IDComb' AND segmento= 'ESTR' AND ambito= 'PM' AND entidade='00100' AND cod_visao = 1) B ON entty_id_as_is = entty_id_to_be WHERE coalesce(cast(dt_prfrmng_stts_le_as_is as string), '') &lt;&gt; coalesce(cast(dt_prfrmng_stts_le_to_be as string), '') </v>
      </c>
      <c r="M29" s="17" t="s">
        <v>48</v>
      </c>
      <c r="N29" s="17" t="str">
        <f>"SELECT 'Validação de campos' as tipologia_teste, '"&amp;VLOOKUP(B29,Instruções!$F$6:$J$10,3,0)&amp;"' AS TABELA, '"&amp;E29&amp;"' AS CAMPO, '"&amp;Instruções!$D$7&amp;"' as ref_date, coalesce(NUM_REG_DIF, 0) AS NUM_REG_DIF FROM ("&amp;L29&amp;") A "</f>
        <v xml:space="preserve">SELECT 'Validação de campos' as tipologia_teste, 'lt003_entity' AS TABELA, 'dt_prfrmng_stts_le' AS CAMPO, '2025-06-30' as ref_date, coalesce(NUM_REG_DIF, 0) AS NUM_REG_DIF FROM (SELECT count(*) AS NUM_REG_DIF FROM (SELECT entty_id as entty_id_as_is, dt_prfrmng_stts_le as dt_prfrmng_stts_le_as_is FROM cd_loan_tapes_bce.lt003_entity WHERE ref_date='2025-06-30' AND nome_perimetro= 'Individual IDComb' AND segmento= 'ESTR' AND ambito= 'PM' AND entidade='00100' AND cod_visao = 1) A  Inner join (SELECT entty_id as entty_id_to_be, dt_prfrmng_stts_le as dt_prfrmng_stts_le_to_be FROM bu_loantape_work.lt003_entity WHERE ref_date='2025-06-30' AND nome_perimetro= 'Individual IDComb' AND segmento= 'ESTR' AND ambito= 'PM' AND entidade='00100' AND cod_visao = 1) B ON entty_id_as_is = entty_id_to_be WHERE coalesce(cast(dt_prfrmng_stts_le_as_is as string), '') &lt;&gt; coalesce(cast(dt_prfrmng_stts_le_to_be as string), '') ) A </v>
      </c>
      <c r="O29" s="19" t="str">
        <f t="shared" si="4"/>
        <v>SELECT 'Validação de campos' as tipologia_teste, 'lt003_entity' AS TABELA, 'dt_prfrmng_stts_le' AS CAMPO, '2025-06-30' as ref_date, coalesce(NUM_REG_DIF, 0) AS NUM_REG_DIF FROM (SELECT count(*) AS NUM_REG_DIF FROM (SELECT entty_id as entty_id_as_is, dt_prfrmng_stts_le as dt_prfrmng_stts_le_as_is FROM cd_loan_tapes_bce.lt003_entity WHERE ref_date='2025-06-30' AND nome_perimetro= 'Individual IDComb' AND segmento= 'ESTR' AND ambito= 'PM' AND entidade='00100' AND cod_visao = 1) A  Inner join (SELECT entty_id as entty_id_to_be, dt_prfrmng_stts_le as dt_prfrmng_stts_le_to_be FROM bu_loantape_work.lt003_entity WHERE ref_date='2025-06-30' AND nome_perimetro= 'Individual IDComb' AND segmento= 'ESTR' AND ambito= 'PM' AND entidade='00100' AND cod_visao = 1) B ON entty_id_as_is = entty_id_to_be WHERE coalesce(cast(dt_prfrmng_stts_le_as_is as string), '') &lt;&gt; coalesce(cast(dt_prfrmng_stts_le_to_be as string), '') ) A UNION ALL</v>
      </c>
      <c r="P29" s="17">
        <f t="shared" si="5"/>
        <v>26</v>
      </c>
    </row>
    <row r="30" spans="2:16" s="15" customFormat="1" ht="11.5" x14ac:dyDescent="0.25">
      <c r="B30" s="17" t="s">
        <v>11</v>
      </c>
      <c r="C30" s="17" t="str">
        <f>_xlfn.CONCAT(Instruções!$D$5,".",VLOOKUP(B30,Instruções!$F$5:$H$10,2,0))</f>
        <v>cd_loan_tapes_bce.lt003_entity</v>
      </c>
      <c r="D30" s="17" t="str">
        <f>_xlfn.CONCAT(Instruções!$D$6,".",VLOOKUP(B30,Instruções!$F$5:$H$10,3,0))</f>
        <v>bu_loantape_work.lt003_entity</v>
      </c>
      <c r="E30" s="17" t="s">
        <v>74</v>
      </c>
      <c r="F30" s="17" t="str">
        <f t="shared" si="0"/>
        <v>ebitda_as_is</v>
      </c>
      <c r="G30" s="17" t="str">
        <f t="shared" si="1"/>
        <v>ebitda_to_be</v>
      </c>
      <c r="H30" s="17" t="str">
        <f>IF(VLOOKUP(B30,Instruções!$F$6:$J$10,5,0)="",
"(SELECT "&amp;VLOOKUP(B30,Instruções!$F$6:$J$10,4,0)&amp;" as "&amp;VLOOKUP(B30,Instruções!$F$6:$J$10,4,0)&amp;"_as_is, "&amp;E30&amp;" as "&amp;F30&amp;" FROM "&amp;C30&amp;" WHERE "&amp;Instruções!$D$11&amp;") A ",
"(SELECT "&amp;VLOOKUP(B30,Instruções!$F$6:$J$10,4,0)&amp;" as "&amp;VLOOKUP(B30,Instruções!$F$6:$J$10,4,0)&amp;"_as_is, "&amp;VLOOKUP(B30,Instruções!$F$6:$J$10,5,0)&amp;" as "&amp;VLOOKUP(B30,Instruções!$F$6:$J$10,5,0)&amp;"_as_is,"&amp;E30&amp;" as "&amp;F30&amp;" FROM "&amp;C30&amp;" WHERE "&amp;Instruções!$D$11&amp;") A ")</f>
        <v xml:space="preserve">(SELECT entty_id as entty_id_as_is, ebitda as ebitda_as_is FROM cd_loan_tapes_bce.lt003_entity WHERE ref_date='2025-06-30' AND nome_perimetro= 'Individual IDComb' AND segmento= 'ESTR' AND ambito= 'PM' AND entidade='00100' AND cod_visao = 1) A </v>
      </c>
      <c r="I30" s="17" t="str">
        <f>IF(VLOOKUP(B30,Instruções!$F$6:$J$10,5,0)="",
"(SELECT "&amp;VLOOKUP(B30,Instruções!$F$6:$J$10,4,0)&amp;" as "&amp;VLOOKUP(B30,Instruções!$F$6:$J$10,4,0)&amp;"_to_be, "&amp;E30&amp;" as "&amp;G30&amp;" FROM "&amp;D30&amp;" WHERE "&amp;Instruções!$D$11&amp;") B ",
"(SELECT "&amp;VLOOKUP(B30,Instruções!$F$6:$J$10,4,0)&amp;" as "&amp;VLOOKUP(B30,Instruções!$F$6:$J$10,4,0)&amp;"_to_be, "&amp;VLOOKUP(B30,Instruções!$F$6:$J$10,5,0)&amp;" as "&amp;VLOOKUP(B30,Instruções!$F$6:$J$10,5,0)&amp;"_to_be,"&amp;E30&amp;" as "&amp;G30&amp;" FROM "&amp;D30&amp;" WHERE "&amp;Instruções!$D$11&amp;") B ")</f>
        <v xml:space="preserve">(SELECT entty_id as entty_id_to_be, ebitda as ebitda_to_be FROM bu_loantape_work.lt003_entity WHERE ref_date='2025-06-30' AND nome_perimetro= 'Individual IDComb' AND segmento= 'ESTR' AND ambito= 'PM' AND entidade='00100' AND cod_visao = 1) B </v>
      </c>
      <c r="J30" s="17" t="str">
        <f>IF(VLOOKUP(B30,Instruções!$F$6:$J$10,5,0)="",
"ON "&amp;VLOOKUP(B30,Instruções!$F$6:$J$10,4,0)&amp;"_as_is = "&amp;VLOOKUP(B30,Instruções!$F$6:$J$10,4,0)&amp;"_to_be ",
"ON "&amp;VLOOKUP(B30,Instruções!$F$6:$J$10,4,0)&amp;"_as_is = "&amp;VLOOKUP(B30,Instruções!$F$6:$J$10,4,0)&amp;"_to_be AND "&amp;VLOOKUP(B30,Instruções!$F$6:$J$10,5,0)&amp;"_as_is = "&amp;VLOOKUP(B30,Instruções!$F$6:$J$10,5,0)&amp;"_to_be ")</f>
        <v xml:space="preserve">ON entty_id_as_is = entty_id_to_be </v>
      </c>
      <c r="K30" s="17" t="str">
        <f t="shared" si="2"/>
        <v xml:space="preserve">WHERE coalesce(cast(ebitda_as_is as string), '') &lt;&gt; coalesce(cast(ebitda_to_be as string), '') </v>
      </c>
      <c r="L30" s="17" t="str">
        <f t="shared" si="3"/>
        <v xml:space="preserve">SELECT count(*) AS NUM_REG_DIF FROM (SELECT entty_id as entty_id_as_is, ebitda as ebitda_as_is FROM cd_loan_tapes_bce.lt003_entity WHERE ref_date='2025-06-30' AND nome_perimetro= 'Individual IDComb' AND segmento= 'ESTR' AND ambito= 'PM' AND entidade='00100' AND cod_visao = 1) A  Inner join (SELECT entty_id as entty_id_to_be, ebitda as ebitda_to_be FROM bu_loantape_work.lt003_entity WHERE ref_date='2025-06-30' AND nome_perimetro= 'Individual IDComb' AND segmento= 'ESTR' AND ambito= 'PM' AND entidade='00100' AND cod_visao = 1) B ON entty_id_as_is = entty_id_to_be WHERE coalesce(cast(ebitda_as_is as string), '') &lt;&gt; coalesce(cast(ebitda_to_be as string), '') </v>
      </c>
      <c r="M30" s="17" t="s">
        <v>48</v>
      </c>
      <c r="N30" s="17" t="str">
        <f>"SELECT 'Validação de campos' as tipologia_teste, '"&amp;VLOOKUP(B30,Instruções!$F$6:$J$10,3,0)&amp;"' AS TABELA, '"&amp;E30&amp;"' AS CAMPO, '"&amp;Instruções!$D$7&amp;"' as ref_date, coalesce(NUM_REG_DIF, 0) AS NUM_REG_DIF FROM ("&amp;L30&amp;") A "</f>
        <v xml:space="preserve">SELECT 'Validação de campos' as tipologia_teste, 'lt003_entity' AS TABELA, 'ebitda' AS CAMPO, '2025-06-30' as ref_date, coalesce(NUM_REG_DIF, 0) AS NUM_REG_DIF FROM (SELECT count(*) AS NUM_REG_DIF FROM (SELECT entty_id as entty_id_as_is, ebitda as ebitda_as_is FROM cd_loan_tapes_bce.lt003_entity WHERE ref_date='2025-06-30' AND nome_perimetro= 'Individual IDComb' AND segmento= 'ESTR' AND ambito= 'PM' AND entidade='00100' AND cod_visao = 1) A  Inner join (SELECT entty_id as entty_id_to_be, ebitda as ebitda_to_be FROM bu_loantape_work.lt003_entity WHERE ref_date='2025-06-30' AND nome_perimetro= 'Individual IDComb' AND segmento= 'ESTR' AND ambito= 'PM' AND entidade='00100' AND cod_visao = 1) B ON entty_id_as_is = entty_id_to_be WHERE coalesce(cast(ebitda_as_is as string), '') &lt;&gt; coalesce(cast(ebitda_to_be as string), '') ) A </v>
      </c>
      <c r="O30" s="19" t="str">
        <f t="shared" si="4"/>
        <v>SELECT 'Validação de campos' as tipologia_teste, 'lt003_entity' AS TABELA, 'ebitda' AS CAMPO, '2025-06-30' as ref_date, coalesce(NUM_REG_DIF, 0) AS NUM_REG_DIF FROM (SELECT count(*) AS NUM_REG_DIF FROM (SELECT entty_id as entty_id_as_is, ebitda as ebitda_as_is FROM cd_loan_tapes_bce.lt003_entity WHERE ref_date='2025-06-30' AND nome_perimetro= 'Individual IDComb' AND segmento= 'ESTR' AND ambito= 'PM' AND entidade='00100' AND cod_visao = 1) A  Inner join (SELECT entty_id as entty_id_to_be, ebitda as ebitda_to_be FROM bu_loantape_work.lt003_entity WHERE ref_date='2025-06-30' AND nome_perimetro= 'Individual IDComb' AND segmento= 'ESTR' AND ambito= 'PM' AND entidade='00100' AND cod_visao = 1) B ON entty_id_as_is = entty_id_to_be WHERE coalesce(cast(ebitda_as_is as string), '') &lt;&gt; coalesce(cast(ebitda_to_be as string), '') ) A UNION ALL</v>
      </c>
      <c r="P30" s="17">
        <f t="shared" si="5"/>
        <v>27</v>
      </c>
    </row>
    <row r="31" spans="2:16" s="15" customFormat="1" ht="11.5" x14ac:dyDescent="0.25">
      <c r="B31" s="17" t="s">
        <v>11</v>
      </c>
      <c r="C31" s="17" t="str">
        <f>_xlfn.CONCAT(Instruções!$D$5,".",VLOOKUP(B31,Instruções!$F$5:$H$10,2,0))</f>
        <v>cd_loan_tapes_bce.lt003_entity</v>
      </c>
      <c r="D31" s="17" t="str">
        <f>_xlfn.CONCAT(Instruções!$D$6,".",VLOOKUP(B31,Instruções!$F$5:$H$10,3,0))</f>
        <v>bu_loantape_work.lt003_entity</v>
      </c>
      <c r="E31" s="17" t="s">
        <v>75</v>
      </c>
      <c r="F31" s="17" t="str">
        <f t="shared" si="0"/>
        <v>ebitda_prvs_as_is</v>
      </c>
      <c r="G31" s="17" t="str">
        <f t="shared" si="1"/>
        <v>ebitda_prvs_to_be</v>
      </c>
      <c r="H31" s="17" t="str">
        <f>IF(VLOOKUP(B31,Instruções!$F$6:$J$10,5,0)="",
"(SELECT "&amp;VLOOKUP(B31,Instruções!$F$6:$J$10,4,0)&amp;" as "&amp;VLOOKUP(B31,Instruções!$F$6:$J$10,4,0)&amp;"_as_is, "&amp;E31&amp;" as "&amp;F31&amp;" FROM "&amp;C31&amp;" WHERE "&amp;Instruções!$D$11&amp;") A ",
"(SELECT "&amp;VLOOKUP(B31,Instruções!$F$6:$J$10,4,0)&amp;" as "&amp;VLOOKUP(B31,Instruções!$F$6:$J$10,4,0)&amp;"_as_is, "&amp;VLOOKUP(B31,Instruções!$F$6:$J$10,5,0)&amp;" as "&amp;VLOOKUP(B31,Instruções!$F$6:$J$10,5,0)&amp;"_as_is,"&amp;E31&amp;" as "&amp;F31&amp;" FROM "&amp;C31&amp;" WHERE "&amp;Instruções!$D$11&amp;") A ")</f>
        <v xml:space="preserve">(SELECT entty_id as entty_id_as_is, ebitda_prvs as ebitda_prvs_as_is FROM cd_loan_tapes_bce.lt003_entity WHERE ref_date='2025-06-30' AND nome_perimetro= 'Individual IDComb' AND segmento= 'ESTR' AND ambito= 'PM' AND entidade='00100' AND cod_visao = 1) A </v>
      </c>
      <c r="I31" s="17" t="str">
        <f>IF(VLOOKUP(B31,Instruções!$F$6:$J$10,5,0)="",
"(SELECT "&amp;VLOOKUP(B31,Instruções!$F$6:$J$10,4,0)&amp;" as "&amp;VLOOKUP(B31,Instruções!$F$6:$J$10,4,0)&amp;"_to_be, "&amp;E31&amp;" as "&amp;G31&amp;" FROM "&amp;D31&amp;" WHERE "&amp;Instruções!$D$11&amp;") B ",
"(SELECT "&amp;VLOOKUP(B31,Instruções!$F$6:$J$10,4,0)&amp;" as "&amp;VLOOKUP(B31,Instruções!$F$6:$J$10,4,0)&amp;"_to_be, "&amp;VLOOKUP(B31,Instruções!$F$6:$J$10,5,0)&amp;" as "&amp;VLOOKUP(B31,Instruções!$F$6:$J$10,5,0)&amp;"_to_be,"&amp;E31&amp;" as "&amp;G31&amp;" FROM "&amp;D31&amp;" WHERE "&amp;Instruções!$D$11&amp;") B ")</f>
        <v xml:space="preserve">(SELECT entty_id as entty_id_to_be, ebitda_prvs as ebitda_prvs_to_be FROM bu_loantape_work.lt003_entity WHERE ref_date='2025-06-30' AND nome_perimetro= 'Individual IDComb' AND segmento= 'ESTR' AND ambito= 'PM' AND entidade='00100' AND cod_visao = 1) B </v>
      </c>
      <c r="J31" s="17" t="str">
        <f>IF(VLOOKUP(B31,Instruções!$F$6:$J$10,5,0)="",
"ON "&amp;VLOOKUP(B31,Instruções!$F$6:$J$10,4,0)&amp;"_as_is = "&amp;VLOOKUP(B31,Instruções!$F$6:$J$10,4,0)&amp;"_to_be ",
"ON "&amp;VLOOKUP(B31,Instruções!$F$6:$J$10,4,0)&amp;"_as_is = "&amp;VLOOKUP(B31,Instruções!$F$6:$J$10,4,0)&amp;"_to_be AND "&amp;VLOOKUP(B31,Instruções!$F$6:$J$10,5,0)&amp;"_as_is = "&amp;VLOOKUP(B31,Instruções!$F$6:$J$10,5,0)&amp;"_to_be ")</f>
        <v xml:space="preserve">ON entty_id_as_is = entty_id_to_be </v>
      </c>
      <c r="K31" s="17" t="str">
        <f t="shared" si="2"/>
        <v xml:space="preserve">WHERE coalesce(cast(ebitda_prvs_as_is as string), '') &lt;&gt; coalesce(cast(ebitda_prvs_to_be as string), '') </v>
      </c>
      <c r="L31" s="17" t="str">
        <f t="shared" si="3"/>
        <v xml:space="preserve">SELECT count(*) AS NUM_REG_DIF FROM (SELECT entty_id as entty_id_as_is, ebitda_prvs as ebitda_prvs_as_is FROM cd_loan_tapes_bce.lt003_entity WHERE ref_date='2025-06-30' AND nome_perimetro= 'Individual IDComb' AND segmento= 'ESTR' AND ambito= 'PM' AND entidade='00100' AND cod_visao = 1) A  Inner join (SELECT entty_id as entty_id_to_be, ebitda_prvs as ebitda_prvs_to_be FROM bu_loantape_work.lt003_entity WHERE ref_date='2025-06-30' AND nome_perimetro= 'Individual IDComb' AND segmento= 'ESTR' AND ambito= 'PM' AND entidade='00100' AND cod_visao = 1) B ON entty_id_as_is = entty_id_to_be WHERE coalesce(cast(ebitda_prvs_as_is as string), '') &lt;&gt; coalesce(cast(ebitda_prvs_to_be as string), '') </v>
      </c>
      <c r="M31" s="17" t="s">
        <v>48</v>
      </c>
      <c r="N31" s="17" t="str">
        <f>"SELECT 'Validação de campos' as tipologia_teste, '"&amp;VLOOKUP(B31,Instruções!$F$6:$J$10,3,0)&amp;"' AS TABELA, '"&amp;E31&amp;"' AS CAMPO, '"&amp;Instruções!$D$7&amp;"' as ref_date, coalesce(NUM_REG_DIF, 0) AS NUM_REG_DIF FROM ("&amp;L31&amp;") A "</f>
        <v xml:space="preserve">SELECT 'Validação de campos' as tipologia_teste, 'lt003_entity' AS TABELA, 'ebitda_prvs' AS CAMPO, '2025-06-30' as ref_date, coalesce(NUM_REG_DIF, 0) AS NUM_REG_DIF FROM (SELECT count(*) AS NUM_REG_DIF FROM (SELECT entty_id as entty_id_as_is, ebitda_prvs as ebitda_prvs_as_is FROM cd_loan_tapes_bce.lt003_entity WHERE ref_date='2025-06-30' AND nome_perimetro= 'Individual IDComb' AND segmento= 'ESTR' AND ambito= 'PM' AND entidade='00100' AND cod_visao = 1) A  Inner join (SELECT entty_id as entty_id_to_be, ebitda_prvs as ebitda_prvs_to_be FROM bu_loantape_work.lt003_entity WHERE ref_date='2025-06-30' AND nome_perimetro= 'Individual IDComb' AND segmento= 'ESTR' AND ambito= 'PM' AND entidade='00100' AND cod_visao = 1) B ON entty_id_as_is = entty_id_to_be WHERE coalesce(cast(ebitda_prvs_as_is as string), '') &lt;&gt; coalesce(cast(ebitda_prvs_to_be as string), '') ) A </v>
      </c>
      <c r="O31" s="19" t="str">
        <f t="shared" si="4"/>
        <v>SELECT 'Validação de campos' as tipologia_teste, 'lt003_entity' AS TABELA, 'ebitda_prvs' AS CAMPO, '2025-06-30' as ref_date, coalesce(NUM_REG_DIF, 0) AS NUM_REG_DIF FROM (SELECT count(*) AS NUM_REG_DIF FROM (SELECT entty_id as entty_id_as_is, ebitda_prvs as ebitda_prvs_as_is FROM cd_loan_tapes_bce.lt003_entity WHERE ref_date='2025-06-30' AND nome_perimetro= 'Individual IDComb' AND segmento= 'ESTR' AND ambito= 'PM' AND entidade='00100' AND cod_visao = 1) A  Inner join (SELECT entty_id as entty_id_to_be, ebitda_prvs as ebitda_prvs_to_be FROM bu_loantape_work.lt003_entity WHERE ref_date='2025-06-30' AND nome_perimetro= 'Individual IDComb' AND segmento= 'ESTR' AND ambito= 'PM' AND entidade='00100' AND cod_visao = 1) B ON entty_id_as_is = entty_id_to_be WHERE coalesce(cast(ebitda_prvs_as_is as string), '') &lt;&gt; coalesce(cast(ebitda_prvs_to_be as string), '') ) A UNION ALL</v>
      </c>
      <c r="P31" s="17">
        <f t="shared" si="5"/>
        <v>28</v>
      </c>
    </row>
    <row r="32" spans="2:16" s="15" customFormat="1" ht="11.5" x14ac:dyDescent="0.25">
      <c r="B32" s="17" t="s">
        <v>11</v>
      </c>
      <c r="C32" s="17" t="str">
        <f>_xlfn.CONCAT(Instruções!$D$5,".",VLOOKUP(B32,Instruções!$F$5:$H$10,2,0))</f>
        <v>cd_loan_tapes_bce.lt003_entity</v>
      </c>
      <c r="D32" s="17" t="str">
        <f>_xlfn.CONCAT(Instruções!$D$6,".",VLOOKUP(B32,Instruções!$F$5:$H$10,3,0))</f>
        <v>bu_loantape_work.lt003_entity</v>
      </c>
      <c r="E32" s="17" t="s">
        <v>76</v>
      </c>
      <c r="F32" s="17" t="str">
        <f t="shared" si="0"/>
        <v>ec_grp_id_as_is</v>
      </c>
      <c r="G32" s="17" t="str">
        <f t="shared" si="1"/>
        <v>ec_grp_id_to_be</v>
      </c>
      <c r="H32" s="17" t="str">
        <f>IF(VLOOKUP(B32,Instruções!$F$6:$J$10,5,0)="",
"(SELECT "&amp;VLOOKUP(B32,Instruções!$F$6:$J$10,4,0)&amp;" as "&amp;VLOOKUP(B32,Instruções!$F$6:$J$10,4,0)&amp;"_as_is, "&amp;E32&amp;" as "&amp;F32&amp;" FROM "&amp;C32&amp;" WHERE "&amp;Instruções!$D$11&amp;") A ",
"(SELECT "&amp;VLOOKUP(B32,Instruções!$F$6:$J$10,4,0)&amp;" as "&amp;VLOOKUP(B32,Instruções!$F$6:$J$10,4,0)&amp;"_as_is, "&amp;VLOOKUP(B32,Instruções!$F$6:$J$10,5,0)&amp;" as "&amp;VLOOKUP(B32,Instruções!$F$6:$J$10,5,0)&amp;"_as_is,"&amp;E32&amp;" as "&amp;F32&amp;" FROM "&amp;C32&amp;" WHERE "&amp;Instruções!$D$11&amp;") A ")</f>
        <v xml:space="preserve">(SELECT entty_id as entty_id_as_is, ec_grp_id as ec_grp_id_as_is FROM cd_loan_tapes_bce.lt003_entity WHERE ref_date='2025-06-30' AND nome_perimetro= 'Individual IDComb' AND segmento= 'ESTR' AND ambito= 'PM' AND entidade='00100' AND cod_visao = 1) A </v>
      </c>
      <c r="I32" s="17" t="str">
        <f>IF(VLOOKUP(B32,Instruções!$F$6:$J$10,5,0)="",
"(SELECT "&amp;VLOOKUP(B32,Instruções!$F$6:$J$10,4,0)&amp;" as "&amp;VLOOKUP(B32,Instruções!$F$6:$J$10,4,0)&amp;"_to_be, "&amp;E32&amp;" as "&amp;G32&amp;" FROM "&amp;D32&amp;" WHERE "&amp;Instruções!$D$11&amp;") B ",
"(SELECT "&amp;VLOOKUP(B32,Instruções!$F$6:$J$10,4,0)&amp;" as "&amp;VLOOKUP(B32,Instruções!$F$6:$J$10,4,0)&amp;"_to_be, "&amp;VLOOKUP(B32,Instruções!$F$6:$J$10,5,0)&amp;" as "&amp;VLOOKUP(B32,Instruções!$F$6:$J$10,5,0)&amp;"_to_be,"&amp;E32&amp;" as "&amp;G32&amp;" FROM "&amp;D32&amp;" WHERE "&amp;Instruções!$D$11&amp;") B ")</f>
        <v xml:space="preserve">(SELECT entty_id as entty_id_to_be, ec_grp_id as ec_grp_id_to_be FROM bu_loantape_work.lt003_entity WHERE ref_date='2025-06-30' AND nome_perimetro= 'Individual IDComb' AND segmento= 'ESTR' AND ambito= 'PM' AND entidade='00100' AND cod_visao = 1) B </v>
      </c>
      <c r="J32" s="17" t="str">
        <f>IF(VLOOKUP(B32,Instruções!$F$6:$J$10,5,0)="",
"ON "&amp;VLOOKUP(B32,Instruções!$F$6:$J$10,4,0)&amp;"_as_is = "&amp;VLOOKUP(B32,Instruções!$F$6:$J$10,4,0)&amp;"_to_be ",
"ON "&amp;VLOOKUP(B32,Instruções!$F$6:$J$10,4,0)&amp;"_as_is = "&amp;VLOOKUP(B32,Instruções!$F$6:$J$10,4,0)&amp;"_to_be AND "&amp;VLOOKUP(B32,Instruções!$F$6:$J$10,5,0)&amp;"_as_is = "&amp;VLOOKUP(B32,Instruções!$F$6:$J$10,5,0)&amp;"_to_be ")</f>
        <v xml:space="preserve">ON entty_id_as_is = entty_id_to_be </v>
      </c>
      <c r="K32" s="17" t="str">
        <f t="shared" si="2"/>
        <v xml:space="preserve">WHERE coalesce(cast(ec_grp_id_as_is as string), '') &lt;&gt; coalesce(cast(ec_grp_id_to_be as string), '') </v>
      </c>
      <c r="L32" s="17" t="str">
        <f t="shared" si="3"/>
        <v xml:space="preserve">SELECT count(*) AS NUM_REG_DIF FROM (SELECT entty_id as entty_id_as_is, ec_grp_id as ec_grp_id_as_is FROM cd_loan_tapes_bce.lt003_entity WHERE ref_date='2025-06-30' AND nome_perimetro= 'Individual IDComb' AND segmento= 'ESTR' AND ambito= 'PM' AND entidade='00100' AND cod_visao = 1) A  Inner join (SELECT entty_id as entty_id_to_be, ec_grp_id as ec_grp_id_to_be FROM bu_loantape_work.lt003_entity WHERE ref_date='2025-06-30' AND nome_perimetro= 'Individual IDComb' AND segmento= 'ESTR' AND ambito= 'PM' AND entidade='00100' AND cod_visao = 1) B ON entty_id_as_is = entty_id_to_be WHERE coalesce(cast(ec_grp_id_as_is as string), '') &lt;&gt; coalesce(cast(ec_grp_id_to_be as string), '') </v>
      </c>
      <c r="M32" s="17" t="s">
        <v>48</v>
      </c>
      <c r="N32" s="17" t="str">
        <f>"SELECT 'Validação de campos' as tipologia_teste, '"&amp;VLOOKUP(B32,Instruções!$F$6:$J$10,3,0)&amp;"' AS TABELA, '"&amp;E32&amp;"' AS CAMPO, '"&amp;Instruções!$D$7&amp;"' as ref_date, coalesce(NUM_REG_DIF, 0) AS NUM_REG_DIF FROM ("&amp;L32&amp;") A "</f>
        <v xml:space="preserve">SELECT 'Validação de campos' as tipologia_teste, 'lt003_entity' AS TABELA, 'ec_grp_id' AS CAMPO, '2025-06-30' as ref_date, coalesce(NUM_REG_DIF, 0) AS NUM_REG_DIF FROM (SELECT count(*) AS NUM_REG_DIF FROM (SELECT entty_id as entty_id_as_is, ec_grp_id as ec_grp_id_as_is FROM cd_loan_tapes_bce.lt003_entity WHERE ref_date='2025-06-30' AND nome_perimetro= 'Individual IDComb' AND segmento= 'ESTR' AND ambito= 'PM' AND entidade='00100' AND cod_visao = 1) A  Inner join (SELECT entty_id as entty_id_to_be, ec_grp_id as ec_grp_id_to_be FROM bu_loantape_work.lt003_entity WHERE ref_date='2025-06-30' AND nome_perimetro= 'Individual IDComb' AND segmento= 'ESTR' AND ambito= 'PM' AND entidade='00100' AND cod_visao = 1) B ON entty_id_as_is = entty_id_to_be WHERE coalesce(cast(ec_grp_id_as_is as string), '') &lt;&gt; coalesce(cast(ec_grp_id_to_be as string), '') ) A </v>
      </c>
      <c r="O32" s="19" t="str">
        <f t="shared" si="4"/>
        <v>SELECT 'Validação de campos' as tipologia_teste, 'lt003_entity' AS TABELA, 'ec_grp_id' AS CAMPO, '2025-06-30' as ref_date, coalesce(NUM_REG_DIF, 0) AS NUM_REG_DIF FROM (SELECT count(*) AS NUM_REG_DIF FROM (SELECT entty_id as entty_id_as_is, ec_grp_id as ec_grp_id_as_is FROM cd_loan_tapes_bce.lt003_entity WHERE ref_date='2025-06-30' AND nome_perimetro= 'Individual IDComb' AND segmento= 'ESTR' AND ambito= 'PM' AND entidade='00100' AND cod_visao = 1) A  Inner join (SELECT entty_id as entty_id_to_be, ec_grp_id as ec_grp_id_to_be FROM bu_loantape_work.lt003_entity WHERE ref_date='2025-06-30' AND nome_perimetro= 'Individual IDComb' AND segmento= 'ESTR' AND ambito= 'PM' AND entidade='00100' AND cod_visao = 1) B ON entty_id_as_is = entty_id_to_be WHERE coalesce(cast(ec_grp_id_as_is as string), '') &lt;&gt; coalesce(cast(ec_grp_id_to_be as string), '') ) A UNION ALL</v>
      </c>
      <c r="P32" s="17">
        <f t="shared" si="5"/>
        <v>29</v>
      </c>
    </row>
    <row r="33" spans="2:16" s="15" customFormat="1" ht="11.5" x14ac:dyDescent="0.25">
      <c r="B33" s="17" t="s">
        <v>11</v>
      </c>
      <c r="C33" s="17" t="str">
        <f>_xlfn.CONCAT(Instruções!$D$5,".",VLOOKUP(B33,Instruções!$F$5:$H$10,2,0))</f>
        <v>cd_loan_tapes_bce.lt003_entity</v>
      </c>
      <c r="D33" s="17" t="str">
        <f>_xlfn.CONCAT(Instruções!$D$6,".",VLOOKUP(B33,Instruções!$F$5:$H$10,3,0))</f>
        <v>bu_loantape_work.lt003_entity</v>
      </c>
      <c r="E33" s="17" t="s">
        <v>77</v>
      </c>
      <c r="F33" s="17" t="str">
        <f t="shared" si="0"/>
        <v>ec_grp_nm_as_is</v>
      </c>
      <c r="G33" s="17" t="str">
        <f t="shared" si="1"/>
        <v>ec_grp_nm_to_be</v>
      </c>
      <c r="H33" s="17" t="str">
        <f>IF(VLOOKUP(B33,Instruções!$F$6:$J$10,5,0)="",
"(SELECT "&amp;VLOOKUP(B33,Instruções!$F$6:$J$10,4,0)&amp;" as "&amp;VLOOKUP(B33,Instruções!$F$6:$J$10,4,0)&amp;"_as_is, "&amp;E33&amp;" as "&amp;F33&amp;" FROM "&amp;C33&amp;" WHERE "&amp;Instruções!$D$11&amp;") A ",
"(SELECT "&amp;VLOOKUP(B33,Instruções!$F$6:$J$10,4,0)&amp;" as "&amp;VLOOKUP(B33,Instruções!$F$6:$J$10,4,0)&amp;"_as_is, "&amp;VLOOKUP(B33,Instruções!$F$6:$J$10,5,0)&amp;" as "&amp;VLOOKUP(B33,Instruções!$F$6:$J$10,5,0)&amp;"_as_is,"&amp;E33&amp;" as "&amp;F33&amp;" FROM "&amp;C33&amp;" WHERE "&amp;Instruções!$D$11&amp;") A ")</f>
        <v xml:space="preserve">(SELECT entty_id as entty_id_as_is, ec_grp_nm as ec_grp_nm_as_is FROM cd_loan_tapes_bce.lt003_entity WHERE ref_date='2025-06-30' AND nome_perimetro= 'Individual IDComb' AND segmento= 'ESTR' AND ambito= 'PM' AND entidade='00100' AND cod_visao = 1) A </v>
      </c>
      <c r="I33" s="17" t="str">
        <f>IF(VLOOKUP(B33,Instruções!$F$6:$J$10,5,0)="",
"(SELECT "&amp;VLOOKUP(B33,Instruções!$F$6:$J$10,4,0)&amp;" as "&amp;VLOOKUP(B33,Instruções!$F$6:$J$10,4,0)&amp;"_to_be, "&amp;E33&amp;" as "&amp;G33&amp;" FROM "&amp;D33&amp;" WHERE "&amp;Instruções!$D$11&amp;") B ",
"(SELECT "&amp;VLOOKUP(B33,Instruções!$F$6:$J$10,4,0)&amp;" as "&amp;VLOOKUP(B33,Instruções!$F$6:$J$10,4,0)&amp;"_to_be, "&amp;VLOOKUP(B33,Instruções!$F$6:$J$10,5,0)&amp;" as "&amp;VLOOKUP(B33,Instruções!$F$6:$J$10,5,0)&amp;"_to_be,"&amp;E33&amp;" as "&amp;G33&amp;" FROM "&amp;D33&amp;" WHERE "&amp;Instruções!$D$11&amp;") B ")</f>
        <v xml:space="preserve">(SELECT entty_id as entty_id_to_be, ec_grp_nm as ec_grp_nm_to_be FROM bu_loantape_work.lt003_entity WHERE ref_date='2025-06-30' AND nome_perimetro= 'Individual IDComb' AND segmento= 'ESTR' AND ambito= 'PM' AND entidade='00100' AND cod_visao = 1) B </v>
      </c>
      <c r="J33" s="17" t="str">
        <f>IF(VLOOKUP(B33,Instruções!$F$6:$J$10,5,0)="",
"ON "&amp;VLOOKUP(B33,Instruções!$F$6:$J$10,4,0)&amp;"_as_is = "&amp;VLOOKUP(B33,Instruções!$F$6:$J$10,4,0)&amp;"_to_be ",
"ON "&amp;VLOOKUP(B33,Instruções!$F$6:$J$10,4,0)&amp;"_as_is = "&amp;VLOOKUP(B33,Instruções!$F$6:$J$10,4,0)&amp;"_to_be AND "&amp;VLOOKUP(B33,Instruções!$F$6:$J$10,5,0)&amp;"_as_is = "&amp;VLOOKUP(B33,Instruções!$F$6:$J$10,5,0)&amp;"_to_be ")</f>
        <v xml:space="preserve">ON entty_id_as_is = entty_id_to_be </v>
      </c>
      <c r="K33" s="17" t="str">
        <f t="shared" si="2"/>
        <v xml:space="preserve">WHERE coalesce(cast(ec_grp_nm_as_is as string), '') &lt;&gt; coalesce(cast(ec_grp_nm_to_be as string), '') </v>
      </c>
      <c r="L33" s="17" t="str">
        <f t="shared" si="3"/>
        <v xml:space="preserve">SELECT count(*) AS NUM_REG_DIF FROM (SELECT entty_id as entty_id_as_is, ec_grp_nm as ec_grp_nm_as_is FROM cd_loan_tapes_bce.lt003_entity WHERE ref_date='2025-06-30' AND nome_perimetro= 'Individual IDComb' AND segmento= 'ESTR' AND ambito= 'PM' AND entidade='00100' AND cod_visao = 1) A  Inner join (SELECT entty_id as entty_id_to_be, ec_grp_nm as ec_grp_nm_to_be FROM bu_loantape_work.lt003_entity WHERE ref_date='2025-06-30' AND nome_perimetro= 'Individual IDComb' AND segmento= 'ESTR' AND ambito= 'PM' AND entidade='00100' AND cod_visao = 1) B ON entty_id_as_is = entty_id_to_be WHERE coalesce(cast(ec_grp_nm_as_is as string), '') &lt;&gt; coalesce(cast(ec_grp_nm_to_be as string), '') </v>
      </c>
      <c r="M33" s="17" t="s">
        <v>48</v>
      </c>
      <c r="N33" s="17" t="str">
        <f>"SELECT 'Validação de campos' as tipologia_teste, '"&amp;VLOOKUP(B33,Instruções!$F$6:$J$10,3,0)&amp;"' AS TABELA, '"&amp;E33&amp;"' AS CAMPO, '"&amp;Instruções!$D$7&amp;"' as ref_date, coalesce(NUM_REG_DIF, 0) AS NUM_REG_DIF FROM ("&amp;L33&amp;") A "</f>
        <v xml:space="preserve">SELECT 'Validação de campos' as tipologia_teste, 'lt003_entity' AS TABELA, 'ec_grp_nm' AS CAMPO, '2025-06-30' as ref_date, coalesce(NUM_REG_DIF, 0) AS NUM_REG_DIF FROM (SELECT count(*) AS NUM_REG_DIF FROM (SELECT entty_id as entty_id_as_is, ec_grp_nm as ec_grp_nm_as_is FROM cd_loan_tapes_bce.lt003_entity WHERE ref_date='2025-06-30' AND nome_perimetro= 'Individual IDComb' AND segmento= 'ESTR' AND ambito= 'PM' AND entidade='00100' AND cod_visao = 1) A  Inner join (SELECT entty_id as entty_id_to_be, ec_grp_nm as ec_grp_nm_to_be FROM bu_loantape_work.lt003_entity WHERE ref_date='2025-06-30' AND nome_perimetro= 'Individual IDComb' AND segmento= 'ESTR' AND ambito= 'PM' AND entidade='00100' AND cod_visao = 1) B ON entty_id_as_is = entty_id_to_be WHERE coalesce(cast(ec_grp_nm_as_is as string), '') &lt;&gt; coalesce(cast(ec_grp_nm_to_be as string), '') ) A </v>
      </c>
      <c r="O33" s="19" t="str">
        <f t="shared" si="4"/>
        <v>SELECT 'Validação de campos' as tipologia_teste, 'lt003_entity' AS TABELA, 'ec_grp_nm' AS CAMPO, '2025-06-30' as ref_date, coalesce(NUM_REG_DIF, 0) AS NUM_REG_DIF FROM (SELECT count(*) AS NUM_REG_DIF FROM (SELECT entty_id as entty_id_as_is, ec_grp_nm as ec_grp_nm_as_is FROM cd_loan_tapes_bce.lt003_entity WHERE ref_date='2025-06-30' AND nome_perimetro= 'Individual IDComb' AND segmento= 'ESTR' AND ambito= 'PM' AND entidade='00100' AND cod_visao = 1) A  Inner join (SELECT entty_id as entty_id_to_be, ec_grp_nm as ec_grp_nm_to_be FROM bu_loantape_work.lt003_entity WHERE ref_date='2025-06-30' AND nome_perimetro= 'Individual IDComb' AND segmento= 'ESTR' AND ambito= 'PM' AND entidade='00100' AND cod_visao = 1) B ON entty_id_as_is = entty_id_to_be WHERE coalesce(cast(ec_grp_nm_as_is as string), '') &lt;&gt; coalesce(cast(ec_grp_nm_to_be as string), '') ) A UNION ALL</v>
      </c>
      <c r="P33" s="17">
        <f t="shared" si="5"/>
        <v>30</v>
      </c>
    </row>
    <row r="34" spans="2:16" s="15" customFormat="1" ht="11.5" x14ac:dyDescent="0.25">
      <c r="B34" s="17" t="s">
        <v>11</v>
      </c>
      <c r="C34" s="17" t="str">
        <f>_xlfn.CONCAT(Instruções!$D$5,".",VLOOKUP(B34,Instruções!$F$5:$H$10,2,0))</f>
        <v>cd_loan_tapes_bce.lt003_entity</v>
      </c>
      <c r="D34" s="17" t="str">
        <f>_xlfn.CONCAT(Instruções!$D$6,".",VLOOKUP(B34,Instruções!$F$5:$H$10,3,0))</f>
        <v>bu_loantape_work.lt003_entity</v>
      </c>
      <c r="E34" s="17" t="s">
        <v>78</v>
      </c>
      <c r="F34" s="17" t="str">
        <f t="shared" si="0"/>
        <v>ecnmc_actvty_as_is</v>
      </c>
      <c r="G34" s="17" t="str">
        <f t="shared" si="1"/>
        <v>ecnmc_actvty_to_be</v>
      </c>
      <c r="H34" s="17" t="str">
        <f>IF(VLOOKUP(B34,Instruções!$F$6:$J$10,5,0)="",
"(SELECT "&amp;VLOOKUP(B34,Instruções!$F$6:$J$10,4,0)&amp;" as "&amp;VLOOKUP(B34,Instruções!$F$6:$J$10,4,0)&amp;"_as_is, "&amp;E34&amp;" as "&amp;F34&amp;" FROM "&amp;C34&amp;" WHERE "&amp;Instruções!$D$11&amp;") A ",
"(SELECT "&amp;VLOOKUP(B34,Instruções!$F$6:$J$10,4,0)&amp;" as "&amp;VLOOKUP(B34,Instruções!$F$6:$J$10,4,0)&amp;"_as_is, "&amp;VLOOKUP(B34,Instruções!$F$6:$J$10,5,0)&amp;" as "&amp;VLOOKUP(B34,Instruções!$F$6:$J$10,5,0)&amp;"_as_is,"&amp;E34&amp;" as "&amp;F34&amp;" FROM "&amp;C34&amp;" WHERE "&amp;Instruções!$D$11&amp;") A ")</f>
        <v xml:space="preserve">(SELECT entty_id as entty_id_as_is, ecnmc_actvty as ecnmc_actvty_as_is FROM cd_loan_tapes_bce.lt003_entity WHERE ref_date='2025-06-30' AND nome_perimetro= 'Individual IDComb' AND segmento= 'ESTR' AND ambito= 'PM' AND entidade='00100' AND cod_visao = 1) A </v>
      </c>
      <c r="I34" s="17" t="str">
        <f>IF(VLOOKUP(B34,Instruções!$F$6:$J$10,5,0)="",
"(SELECT "&amp;VLOOKUP(B34,Instruções!$F$6:$J$10,4,0)&amp;" as "&amp;VLOOKUP(B34,Instruções!$F$6:$J$10,4,0)&amp;"_to_be, "&amp;E34&amp;" as "&amp;G34&amp;" FROM "&amp;D34&amp;" WHERE "&amp;Instruções!$D$11&amp;") B ",
"(SELECT "&amp;VLOOKUP(B34,Instruções!$F$6:$J$10,4,0)&amp;" as "&amp;VLOOKUP(B34,Instruções!$F$6:$J$10,4,0)&amp;"_to_be, "&amp;VLOOKUP(B34,Instruções!$F$6:$J$10,5,0)&amp;" as "&amp;VLOOKUP(B34,Instruções!$F$6:$J$10,5,0)&amp;"_to_be,"&amp;E34&amp;" as "&amp;G34&amp;" FROM "&amp;D34&amp;" WHERE "&amp;Instruções!$D$11&amp;") B ")</f>
        <v xml:space="preserve">(SELECT entty_id as entty_id_to_be, ecnmc_actvty as ecnmc_actvty_to_be FROM bu_loantape_work.lt003_entity WHERE ref_date='2025-06-30' AND nome_perimetro= 'Individual IDComb' AND segmento= 'ESTR' AND ambito= 'PM' AND entidade='00100' AND cod_visao = 1) B </v>
      </c>
      <c r="J34" s="17" t="str">
        <f>IF(VLOOKUP(B34,Instruções!$F$6:$J$10,5,0)="",
"ON "&amp;VLOOKUP(B34,Instruções!$F$6:$J$10,4,0)&amp;"_as_is = "&amp;VLOOKUP(B34,Instruções!$F$6:$J$10,4,0)&amp;"_to_be ",
"ON "&amp;VLOOKUP(B34,Instruções!$F$6:$J$10,4,0)&amp;"_as_is = "&amp;VLOOKUP(B34,Instruções!$F$6:$J$10,4,0)&amp;"_to_be AND "&amp;VLOOKUP(B34,Instruções!$F$6:$J$10,5,0)&amp;"_as_is = "&amp;VLOOKUP(B34,Instruções!$F$6:$J$10,5,0)&amp;"_to_be ")</f>
        <v xml:space="preserve">ON entty_id_as_is = entty_id_to_be </v>
      </c>
      <c r="K34" s="17" t="str">
        <f t="shared" si="2"/>
        <v xml:space="preserve">WHERE coalesce(cast(ecnmc_actvty_as_is as string), '') &lt;&gt; coalesce(cast(ecnmc_actvty_to_be as string), '') </v>
      </c>
      <c r="L34" s="17" t="str">
        <f t="shared" si="3"/>
        <v xml:space="preserve">SELECT count(*) AS NUM_REG_DIF FROM (SELECT entty_id as entty_id_as_is, ecnmc_actvty as ecnmc_actvty_as_is FROM cd_loan_tapes_bce.lt003_entity WHERE ref_date='2025-06-30' AND nome_perimetro= 'Individual IDComb' AND segmento= 'ESTR' AND ambito= 'PM' AND entidade='00100' AND cod_visao = 1) A  Inner join (SELECT entty_id as entty_id_to_be, ecnmc_actvty as ecnmc_actvty_to_be FROM bu_loantape_work.lt003_entity WHERE ref_date='2025-06-30' AND nome_perimetro= 'Individual IDComb' AND segmento= 'ESTR' AND ambito= 'PM' AND entidade='00100' AND cod_visao = 1) B ON entty_id_as_is = entty_id_to_be WHERE coalesce(cast(ecnmc_actvty_as_is as string), '') &lt;&gt; coalesce(cast(ecnmc_actvty_to_be as string), '') </v>
      </c>
      <c r="M34" s="17" t="s">
        <v>48</v>
      </c>
      <c r="N34" s="17" t="str">
        <f>"SELECT 'Validação de campos' as tipologia_teste, '"&amp;VLOOKUP(B34,Instruções!$F$6:$J$10,3,0)&amp;"' AS TABELA, '"&amp;E34&amp;"' AS CAMPO, '"&amp;Instruções!$D$7&amp;"' as ref_date, coalesce(NUM_REG_DIF, 0) AS NUM_REG_DIF FROM ("&amp;L34&amp;") A "</f>
        <v xml:space="preserve">SELECT 'Validação de campos' as tipologia_teste, 'lt003_entity' AS TABELA, 'ecnmc_actvty' AS CAMPO, '2025-06-30' as ref_date, coalesce(NUM_REG_DIF, 0) AS NUM_REG_DIF FROM (SELECT count(*) AS NUM_REG_DIF FROM (SELECT entty_id as entty_id_as_is, ecnmc_actvty as ecnmc_actvty_as_is FROM cd_loan_tapes_bce.lt003_entity WHERE ref_date='2025-06-30' AND nome_perimetro= 'Individual IDComb' AND segmento= 'ESTR' AND ambito= 'PM' AND entidade='00100' AND cod_visao = 1) A  Inner join (SELECT entty_id as entty_id_to_be, ecnmc_actvty as ecnmc_actvty_to_be FROM bu_loantape_work.lt003_entity WHERE ref_date='2025-06-30' AND nome_perimetro= 'Individual IDComb' AND segmento= 'ESTR' AND ambito= 'PM' AND entidade='00100' AND cod_visao = 1) B ON entty_id_as_is = entty_id_to_be WHERE coalesce(cast(ecnmc_actvty_as_is as string), '') &lt;&gt; coalesce(cast(ecnmc_actvty_to_be as string), '') ) A </v>
      </c>
      <c r="O34" s="19" t="str">
        <f t="shared" si="4"/>
        <v>SELECT 'Validação de campos' as tipologia_teste, 'lt003_entity' AS TABELA, 'ecnmc_actvty' AS CAMPO, '2025-06-30' as ref_date, coalesce(NUM_REG_DIF, 0) AS NUM_REG_DIF FROM (SELECT count(*) AS NUM_REG_DIF FROM (SELECT entty_id as entty_id_as_is, ecnmc_actvty as ecnmc_actvty_as_is FROM cd_loan_tapes_bce.lt003_entity WHERE ref_date='2025-06-30' AND nome_perimetro= 'Individual IDComb' AND segmento= 'ESTR' AND ambito= 'PM' AND entidade='00100' AND cod_visao = 1) A  Inner join (SELECT entty_id as entty_id_to_be, ecnmc_actvty as ecnmc_actvty_to_be FROM bu_loantape_work.lt003_entity WHERE ref_date='2025-06-30' AND nome_perimetro= 'Individual IDComb' AND segmento= 'ESTR' AND ambito= 'PM' AND entidade='00100' AND cod_visao = 1) B ON entty_id_as_is = entty_id_to_be WHERE coalesce(cast(ecnmc_actvty_as_is as string), '') &lt;&gt; coalesce(cast(ecnmc_actvty_to_be as string), '') ) A UNION ALL</v>
      </c>
      <c r="P34" s="17">
        <f t="shared" si="5"/>
        <v>31</v>
      </c>
    </row>
    <row r="35" spans="2:16" s="15" customFormat="1" ht="11.5" x14ac:dyDescent="0.25">
      <c r="B35" s="17" t="s">
        <v>11</v>
      </c>
      <c r="C35" s="17" t="str">
        <f>_xlfn.CONCAT(Instruções!$D$5,".",VLOOKUP(B35,Instruções!$F$5:$H$10,2,0))</f>
        <v>cd_loan_tapes_bce.lt003_entity</v>
      </c>
      <c r="D35" s="17" t="str">
        <f>_xlfn.CONCAT(Instruções!$D$6,".",VLOOKUP(B35,Instruções!$F$5:$H$10,3,0))</f>
        <v>bu_loantape_work.lt003_entity</v>
      </c>
      <c r="E35" s="17" t="s">
        <v>79</v>
      </c>
      <c r="F35" s="17" t="str">
        <f t="shared" si="0"/>
        <v>emplymnt_stts_as_is</v>
      </c>
      <c r="G35" s="17" t="str">
        <f t="shared" si="1"/>
        <v>emplymnt_stts_to_be</v>
      </c>
      <c r="H35" s="17" t="str">
        <f>IF(VLOOKUP(B35,Instruções!$F$6:$J$10,5,0)="",
"(SELECT "&amp;VLOOKUP(B35,Instruções!$F$6:$J$10,4,0)&amp;" as "&amp;VLOOKUP(B35,Instruções!$F$6:$J$10,4,0)&amp;"_as_is, "&amp;E35&amp;" as "&amp;F35&amp;" FROM "&amp;C35&amp;" WHERE "&amp;Instruções!$D$11&amp;") A ",
"(SELECT "&amp;VLOOKUP(B35,Instruções!$F$6:$J$10,4,0)&amp;" as "&amp;VLOOKUP(B35,Instruções!$F$6:$J$10,4,0)&amp;"_as_is, "&amp;VLOOKUP(B35,Instruções!$F$6:$J$10,5,0)&amp;" as "&amp;VLOOKUP(B35,Instruções!$F$6:$J$10,5,0)&amp;"_as_is,"&amp;E35&amp;" as "&amp;F35&amp;" FROM "&amp;C35&amp;" WHERE "&amp;Instruções!$D$11&amp;") A ")</f>
        <v xml:space="preserve">(SELECT entty_id as entty_id_as_is, emplymnt_stts as emplymnt_stts_as_is FROM cd_loan_tapes_bce.lt003_entity WHERE ref_date='2025-06-30' AND nome_perimetro= 'Individual IDComb' AND segmento= 'ESTR' AND ambito= 'PM' AND entidade='00100' AND cod_visao = 1) A </v>
      </c>
      <c r="I35" s="17" t="str">
        <f>IF(VLOOKUP(B35,Instruções!$F$6:$J$10,5,0)="",
"(SELECT "&amp;VLOOKUP(B35,Instruções!$F$6:$J$10,4,0)&amp;" as "&amp;VLOOKUP(B35,Instruções!$F$6:$J$10,4,0)&amp;"_to_be, "&amp;E35&amp;" as "&amp;G35&amp;" FROM "&amp;D35&amp;" WHERE "&amp;Instruções!$D$11&amp;") B ",
"(SELECT "&amp;VLOOKUP(B35,Instruções!$F$6:$J$10,4,0)&amp;" as "&amp;VLOOKUP(B35,Instruções!$F$6:$J$10,4,0)&amp;"_to_be, "&amp;VLOOKUP(B35,Instruções!$F$6:$J$10,5,0)&amp;" as "&amp;VLOOKUP(B35,Instruções!$F$6:$J$10,5,0)&amp;"_to_be,"&amp;E35&amp;" as "&amp;G35&amp;" FROM "&amp;D35&amp;" WHERE "&amp;Instruções!$D$11&amp;") B ")</f>
        <v xml:space="preserve">(SELECT entty_id as entty_id_to_be, emplymnt_stts as emplymnt_stts_to_be FROM bu_loantape_work.lt003_entity WHERE ref_date='2025-06-30' AND nome_perimetro= 'Individual IDComb' AND segmento= 'ESTR' AND ambito= 'PM' AND entidade='00100' AND cod_visao = 1) B </v>
      </c>
      <c r="J35" s="17" t="str">
        <f>IF(VLOOKUP(B35,Instruções!$F$6:$J$10,5,0)="",
"ON "&amp;VLOOKUP(B35,Instruções!$F$6:$J$10,4,0)&amp;"_as_is = "&amp;VLOOKUP(B35,Instruções!$F$6:$J$10,4,0)&amp;"_to_be ",
"ON "&amp;VLOOKUP(B35,Instruções!$F$6:$J$10,4,0)&amp;"_as_is = "&amp;VLOOKUP(B35,Instruções!$F$6:$J$10,4,0)&amp;"_to_be AND "&amp;VLOOKUP(B35,Instruções!$F$6:$J$10,5,0)&amp;"_as_is = "&amp;VLOOKUP(B35,Instruções!$F$6:$J$10,5,0)&amp;"_to_be ")</f>
        <v xml:space="preserve">ON entty_id_as_is = entty_id_to_be </v>
      </c>
      <c r="K35" s="17" t="str">
        <f t="shared" si="2"/>
        <v xml:space="preserve">WHERE coalesce(cast(emplymnt_stts_as_is as string), '') &lt;&gt; coalesce(cast(emplymnt_stts_to_be as string), '') </v>
      </c>
      <c r="L35" s="17" t="str">
        <f t="shared" si="3"/>
        <v xml:space="preserve">SELECT count(*) AS NUM_REG_DIF FROM (SELECT entty_id as entty_id_as_is, emplymnt_stts as emplymnt_stts_as_is FROM cd_loan_tapes_bce.lt003_entity WHERE ref_date='2025-06-30' AND nome_perimetro= 'Individual IDComb' AND segmento= 'ESTR' AND ambito= 'PM' AND entidade='00100' AND cod_visao = 1) A  Inner join (SELECT entty_id as entty_id_to_be, emplymnt_stts as emplymnt_stts_to_be FROM bu_loantape_work.lt003_entity WHERE ref_date='2025-06-30' AND nome_perimetro= 'Individual IDComb' AND segmento= 'ESTR' AND ambito= 'PM' AND entidade='00100' AND cod_visao = 1) B ON entty_id_as_is = entty_id_to_be WHERE coalesce(cast(emplymnt_stts_as_is as string), '') &lt;&gt; coalesce(cast(emplymnt_stts_to_be as string), '') </v>
      </c>
      <c r="M35" s="17" t="s">
        <v>48</v>
      </c>
      <c r="N35" s="17" t="str">
        <f>"SELECT 'Validação de campos' as tipologia_teste, '"&amp;VLOOKUP(B35,Instruções!$F$6:$J$10,3,0)&amp;"' AS TABELA, '"&amp;E35&amp;"' AS CAMPO, '"&amp;Instruções!$D$7&amp;"' as ref_date, coalesce(NUM_REG_DIF, 0) AS NUM_REG_DIF FROM ("&amp;L35&amp;") A "</f>
        <v xml:space="preserve">SELECT 'Validação de campos' as tipologia_teste, 'lt003_entity' AS TABELA, 'emplymnt_stts' AS CAMPO, '2025-06-30' as ref_date, coalesce(NUM_REG_DIF, 0) AS NUM_REG_DIF FROM (SELECT count(*) AS NUM_REG_DIF FROM (SELECT entty_id as entty_id_as_is, emplymnt_stts as emplymnt_stts_as_is FROM cd_loan_tapes_bce.lt003_entity WHERE ref_date='2025-06-30' AND nome_perimetro= 'Individual IDComb' AND segmento= 'ESTR' AND ambito= 'PM' AND entidade='00100' AND cod_visao = 1) A  Inner join (SELECT entty_id as entty_id_to_be, emplymnt_stts as emplymnt_stts_to_be FROM bu_loantape_work.lt003_entity WHERE ref_date='2025-06-30' AND nome_perimetro= 'Individual IDComb' AND segmento= 'ESTR' AND ambito= 'PM' AND entidade='00100' AND cod_visao = 1) B ON entty_id_as_is = entty_id_to_be WHERE coalesce(cast(emplymnt_stts_as_is as string), '') &lt;&gt; coalesce(cast(emplymnt_stts_to_be as string), '') ) A </v>
      </c>
      <c r="O35" s="19" t="str">
        <f t="shared" si="4"/>
        <v>SELECT 'Validação de campos' as tipologia_teste, 'lt003_entity' AS TABELA, 'emplymnt_stts' AS CAMPO, '2025-06-30' as ref_date, coalesce(NUM_REG_DIF, 0) AS NUM_REG_DIF FROM (SELECT count(*) AS NUM_REG_DIF FROM (SELECT entty_id as entty_id_as_is, emplymnt_stts as emplymnt_stts_as_is FROM cd_loan_tapes_bce.lt003_entity WHERE ref_date='2025-06-30' AND nome_perimetro= 'Individual IDComb' AND segmento= 'ESTR' AND ambito= 'PM' AND entidade='00100' AND cod_visao = 1) A  Inner join (SELECT entty_id as entty_id_to_be, emplymnt_stts as emplymnt_stts_to_be FROM bu_loantape_work.lt003_entity WHERE ref_date='2025-06-30' AND nome_perimetro= 'Individual IDComb' AND segmento= 'ESTR' AND ambito= 'PM' AND entidade='00100' AND cod_visao = 1) B ON entty_id_as_is = entty_id_to_be WHERE coalesce(cast(emplymnt_stts_as_is as string), '') &lt;&gt; coalesce(cast(emplymnt_stts_to_be as string), '') ) A UNION ALL</v>
      </c>
      <c r="P35" s="17">
        <f t="shared" si="5"/>
        <v>32</v>
      </c>
    </row>
    <row r="36" spans="2:16" s="15" customFormat="1" ht="11.5" x14ac:dyDescent="0.25">
      <c r="B36" s="17" t="s">
        <v>11</v>
      </c>
      <c r="C36" s="17" t="str">
        <f>_xlfn.CONCAT(Instruções!$D$5,".",VLOOKUP(B36,Instruções!$F$5:$H$10,2,0))</f>
        <v>cd_loan_tapes_bce.lt003_entity</v>
      </c>
      <c r="D36" s="17" t="str">
        <f>_xlfn.CONCAT(Instruções!$D$6,".",VLOOKUP(B36,Instruções!$F$5:$H$10,3,0))</f>
        <v>bu_loantape_work.lt003_entity</v>
      </c>
      <c r="E36" s="17" t="s">
        <v>80</v>
      </c>
      <c r="F36" s="17" t="str">
        <f t="shared" si="0"/>
        <v>emplymnt_stts_intrnl_as_is</v>
      </c>
      <c r="G36" s="17" t="str">
        <f t="shared" si="1"/>
        <v>emplymnt_stts_intrnl_to_be</v>
      </c>
      <c r="H36" s="17" t="str">
        <f>IF(VLOOKUP(B36,Instruções!$F$6:$J$10,5,0)="",
"(SELECT "&amp;VLOOKUP(B36,Instruções!$F$6:$J$10,4,0)&amp;" as "&amp;VLOOKUP(B36,Instruções!$F$6:$J$10,4,0)&amp;"_as_is, "&amp;E36&amp;" as "&amp;F36&amp;" FROM "&amp;C36&amp;" WHERE "&amp;Instruções!$D$11&amp;") A ",
"(SELECT "&amp;VLOOKUP(B36,Instruções!$F$6:$J$10,4,0)&amp;" as "&amp;VLOOKUP(B36,Instruções!$F$6:$J$10,4,0)&amp;"_as_is, "&amp;VLOOKUP(B36,Instruções!$F$6:$J$10,5,0)&amp;" as "&amp;VLOOKUP(B36,Instruções!$F$6:$J$10,5,0)&amp;"_as_is,"&amp;E36&amp;" as "&amp;F36&amp;" FROM "&amp;C36&amp;" WHERE "&amp;Instruções!$D$11&amp;") A ")</f>
        <v xml:space="preserve">(SELECT entty_id as entty_id_as_is, emplymnt_stts_intrnl as emplymnt_stts_intrnl_as_is FROM cd_loan_tapes_bce.lt003_entity WHERE ref_date='2025-06-30' AND nome_perimetro= 'Individual IDComb' AND segmento= 'ESTR' AND ambito= 'PM' AND entidade='00100' AND cod_visao = 1) A </v>
      </c>
      <c r="I36" s="17" t="str">
        <f>IF(VLOOKUP(B36,Instruções!$F$6:$J$10,5,0)="",
"(SELECT "&amp;VLOOKUP(B36,Instruções!$F$6:$J$10,4,0)&amp;" as "&amp;VLOOKUP(B36,Instruções!$F$6:$J$10,4,0)&amp;"_to_be, "&amp;E36&amp;" as "&amp;G36&amp;" FROM "&amp;D36&amp;" WHERE "&amp;Instruções!$D$11&amp;") B ",
"(SELECT "&amp;VLOOKUP(B36,Instruções!$F$6:$J$10,4,0)&amp;" as "&amp;VLOOKUP(B36,Instruções!$F$6:$J$10,4,0)&amp;"_to_be, "&amp;VLOOKUP(B36,Instruções!$F$6:$J$10,5,0)&amp;" as "&amp;VLOOKUP(B36,Instruções!$F$6:$J$10,5,0)&amp;"_to_be,"&amp;E36&amp;" as "&amp;G36&amp;" FROM "&amp;D36&amp;" WHERE "&amp;Instruções!$D$11&amp;") B ")</f>
        <v xml:space="preserve">(SELECT entty_id as entty_id_to_be, emplymnt_stts_intrnl as emplymnt_stts_intrnl_to_be FROM bu_loantape_work.lt003_entity WHERE ref_date='2025-06-30' AND nome_perimetro= 'Individual IDComb' AND segmento= 'ESTR' AND ambito= 'PM' AND entidade='00100' AND cod_visao = 1) B </v>
      </c>
      <c r="J36" s="17" t="str">
        <f>IF(VLOOKUP(B36,Instruções!$F$6:$J$10,5,0)="",
"ON "&amp;VLOOKUP(B36,Instruções!$F$6:$J$10,4,0)&amp;"_as_is = "&amp;VLOOKUP(B36,Instruções!$F$6:$J$10,4,0)&amp;"_to_be ",
"ON "&amp;VLOOKUP(B36,Instruções!$F$6:$J$10,4,0)&amp;"_as_is = "&amp;VLOOKUP(B36,Instruções!$F$6:$J$10,4,0)&amp;"_to_be AND "&amp;VLOOKUP(B36,Instruções!$F$6:$J$10,5,0)&amp;"_as_is = "&amp;VLOOKUP(B36,Instruções!$F$6:$J$10,5,0)&amp;"_to_be ")</f>
        <v xml:space="preserve">ON entty_id_as_is = entty_id_to_be </v>
      </c>
      <c r="K36" s="17" t="str">
        <f t="shared" si="2"/>
        <v xml:space="preserve">WHERE coalesce(cast(emplymnt_stts_intrnl_as_is as string), '') &lt;&gt; coalesce(cast(emplymnt_stts_intrnl_to_be as string), '') </v>
      </c>
      <c r="L36" s="17" t="str">
        <f t="shared" si="3"/>
        <v xml:space="preserve">SELECT count(*) AS NUM_REG_DIF FROM (SELECT entty_id as entty_id_as_is, emplymnt_stts_intrnl as emplymnt_stts_intrnl_as_is FROM cd_loan_tapes_bce.lt003_entity WHERE ref_date='2025-06-30' AND nome_perimetro= 'Individual IDComb' AND segmento= 'ESTR' AND ambito= 'PM' AND entidade='00100' AND cod_visao = 1) A  Inner join (SELECT entty_id as entty_id_to_be, emplymnt_stts_intrnl as emplymnt_stts_intrnl_to_be FROM bu_loantape_work.lt003_entity WHERE ref_date='2025-06-30' AND nome_perimetro= 'Individual IDComb' AND segmento= 'ESTR' AND ambito= 'PM' AND entidade='00100' AND cod_visao = 1) B ON entty_id_as_is = entty_id_to_be WHERE coalesce(cast(emplymnt_stts_intrnl_as_is as string), '') &lt;&gt; coalesce(cast(emplymnt_stts_intrnl_to_be as string), '') </v>
      </c>
      <c r="M36" s="17" t="s">
        <v>48</v>
      </c>
      <c r="N36" s="17" t="str">
        <f>"SELECT 'Validação de campos' as tipologia_teste, '"&amp;VLOOKUP(B36,Instruções!$F$6:$J$10,3,0)&amp;"' AS TABELA, '"&amp;E36&amp;"' AS CAMPO, '"&amp;Instruções!$D$7&amp;"' as ref_date, coalesce(NUM_REG_DIF, 0) AS NUM_REG_DIF FROM ("&amp;L36&amp;") A "</f>
        <v xml:space="preserve">SELECT 'Validação de campos' as tipologia_teste, 'lt003_entity' AS TABELA, 'emplymnt_stts_intrnl' AS CAMPO, '2025-06-30' as ref_date, coalesce(NUM_REG_DIF, 0) AS NUM_REG_DIF FROM (SELECT count(*) AS NUM_REG_DIF FROM (SELECT entty_id as entty_id_as_is, emplymnt_stts_intrnl as emplymnt_stts_intrnl_as_is FROM cd_loan_tapes_bce.lt003_entity WHERE ref_date='2025-06-30' AND nome_perimetro= 'Individual IDComb' AND segmento= 'ESTR' AND ambito= 'PM' AND entidade='00100' AND cod_visao = 1) A  Inner join (SELECT entty_id as entty_id_to_be, emplymnt_stts_intrnl as emplymnt_stts_intrnl_to_be FROM bu_loantape_work.lt003_entity WHERE ref_date='2025-06-30' AND nome_perimetro= 'Individual IDComb' AND segmento= 'ESTR' AND ambito= 'PM' AND entidade='00100' AND cod_visao = 1) B ON entty_id_as_is = entty_id_to_be WHERE coalesce(cast(emplymnt_stts_intrnl_as_is as string), '') &lt;&gt; coalesce(cast(emplymnt_stts_intrnl_to_be as string), '') ) A </v>
      </c>
      <c r="O36" s="19" t="str">
        <f t="shared" si="4"/>
        <v>SELECT 'Validação de campos' as tipologia_teste, 'lt003_entity' AS TABELA, 'emplymnt_stts_intrnl' AS CAMPO, '2025-06-30' as ref_date, coalesce(NUM_REG_DIF, 0) AS NUM_REG_DIF FROM (SELECT count(*) AS NUM_REG_DIF FROM (SELECT entty_id as entty_id_as_is, emplymnt_stts_intrnl as emplymnt_stts_intrnl_as_is FROM cd_loan_tapes_bce.lt003_entity WHERE ref_date='2025-06-30' AND nome_perimetro= 'Individual IDComb' AND segmento= 'ESTR' AND ambito= 'PM' AND entidade='00100' AND cod_visao = 1) A  Inner join (SELECT entty_id as entty_id_to_be, emplymnt_stts_intrnl as emplymnt_stts_intrnl_to_be FROM bu_loantape_work.lt003_entity WHERE ref_date='2025-06-30' AND nome_perimetro= 'Individual IDComb' AND segmento= 'ESTR' AND ambito= 'PM' AND entidade='00100' AND cod_visao = 1) B ON entty_id_as_is = entty_id_to_be WHERE coalesce(cast(emplymnt_stts_intrnl_as_is as string), '') &lt;&gt; coalesce(cast(emplymnt_stts_intrnl_to_be as string), '') ) A UNION ALL</v>
      </c>
      <c r="P36" s="17">
        <f t="shared" si="5"/>
        <v>33</v>
      </c>
    </row>
    <row r="37" spans="2:16" s="15" customFormat="1" ht="11.5" x14ac:dyDescent="0.25">
      <c r="B37" s="17" t="s">
        <v>11</v>
      </c>
      <c r="C37" s="17" t="str">
        <f>_xlfn.CONCAT(Instruções!$D$5,".",VLOOKUP(B37,Instruções!$F$5:$H$10,2,0))</f>
        <v>cd_loan_tapes_bce.lt003_entity</v>
      </c>
      <c r="D37" s="17" t="str">
        <f>_xlfn.CONCAT(Instruções!$D$6,".",VLOOKUP(B37,Instruções!$F$5:$H$10,3,0))</f>
        <v>bu_loantape_work.lt003_entity</v>
      </c>
      <c r="E37" s="17" t="s">
        <v>81</v>
      </c>
      <c r="F37" s="17" t="str">
        <f t="shared" si="0"/>
        <v>entrprs_sz_le_as_is</v>
      </c>
      <c r="G37" s="17" t="str">
        <f t="shared" si="1"/>
        <v>entrprs_sz_le_to_be</v>
      </c>
      <c r="H37" s="17" t="str">
        <f>IF(VLOOKUP(B37,Instruções!$F$6:$J$10,5,0)="",
"(SELECT "&amp;VLOOKUP(B37,Instruções!$F$6:$J$10,4,0)&amp;" as "&amp;VLOOKUP(B37,Instruções!$F$6:$J$10,4,0)&amp;"_as_is, "&amp;E37&amp;" as "&amp;F37&amp;" FROM "&amp;C37&amp;" WHERE "&amp;Instruções!$D$11&amp;") A ",
"(SELECT "&amp;VLOOKUP(B37,Instruções!$F$6:$J$10,4,0)&amp;" as "&amp;VLOOKUP(B37,Instruções!$F$6:$J$10,4,0)&amp;"_as_is, "&amp;VLOOKUP(B37,Instruções!$F$6:$J$10,5,0)&amp;" as "&amp;VLOOKUP(B37,Instruções!$F$6:$J$10,5,0)&amp;"_as_is,"&amp;E37&amp;" as "&amp;F37&amp;" FROM "&amp;C37&amp;" WHERE "&amp;Instruções!$D$11&amp;") A ")</f>
        <v xml:space="preserve">(SELECT entty_id as entty_id_as_is, entrprs_sz_le as entrprs_sz_le_as_is FROM cd_loan_tapes_bce.lt003_entity WHERE ref_date='2025-06-30' AND nome_perimetro= 'Individual IDComb' AND segmento= 'ESTR' AND ambito= 'PM' AND entidade='00100' AND cod_visao = 1) A </v>
      </c>
      <c r="I37" s="17" t="str">
        <f>IF(VLOOKUP(B37,Instruções!$F$6:$J$10,5,0)="",
"(SELECT "&amp;VLOOKUP(B37,Instruções!$F$6:$J$10,4,0)&amp;" as "&amp;VLOOKUP(B37,Instruções!$F$6:$J$10,4,0)&amp;"_to_be, "&amp;E37&amp;" as "&amp;G37&amp;" FROM "&amp;D37&amp;" WHERE "&amp;Instruções!$D$11&amp;") B ",
"(SELECT "&amp;VLOOKUP(B37,Instruções!$F$6:$J$10,4,0)&amp;" as "&amp;VLOOKUP(B37,Instruções!$F$6:$J$10,4,0)&amp;"_to_be, "&amp;VLOOKUP(B37,Instruções!$F$6:$J$10,5,0)&amp;" as "&amp;VLOOKUP(B37,Instruções!$F$6:$J$10,5,0)&amp;"_to_be,"&amp;E37&amp;" as "&amp;G37&amp;" FROM "&amp;D37&amp;" WHERE "&amp;Instruções!$D$11&amp;") B ")</f>
        <v xml:space="preserve">(SELECT entty_id as entty_id_to_be, entrprs_sz_le as entrprs_sz_le_to_be FROM bu_loantape_work.lt003_entity WHERE ref_date='2025-06-30' AND nome_perimetro= 'Individual IDComb' AND segmento= 'ESTR' AND ambito= 'PM' AND entidade='00100' AND cod_visao = 1) B </v>
      </c>
      <c r="J37" s="17" t="str">
        <f>IF(VLOOKUP(B37,Instruções!$F$6:$J$10,5,0)="",
"ON "&amp;VLOOKUP(B37,Instruções!$F$6:$J$10,4,0)&amp;"_as_is = "&amp;VLOOKUP(B37,Instruções!$F$6:$J$10,4,0)&amp;"_to_be ",
"ON "&amp;VLOOKUP(B37,Instruções!$F$6:$J$10,4,0)&amp;"_as_is = "&amp;VLOOKUP(B37,Instruções!$F$6:$J$10,4,0)&amp;"_to_be AND "&amp;VLOOKUP(B37,Instruções!$F$6:$J$10,5,0)&amp;"_as_is = "&amp;VLOOKUP(B37,Instruções!$F$6:$J$10,5,0)&amp;"_to_be ")</f>
        <v xml:space="preserve">ON entty_id_as_is = entty_id_to_be </v>
      </c>
      <c r="K37" s="17" t="str">
        <f t="shared" si="2"/>
        <v xml:space="preserve">WHERE coalesce(cast(entrprs_sz_le_as_is as string), '') &lt;&gt; coalesce(cast(entrprs_sz_le_to_be as string), '') </v>
      </c>
      <c r="L37" s="17" t="str">
        <f t="shared" si="3"/>
        <v xml:space="preserve">SELECT count(*) AS NUM_REG_DIF FROM (SELECT entty_id as entty_id_as_is, entrprs_sz_le as entrprs_sz_le_as_is FROM cd_loan_tapes_bce.lt003_entity WHERE ref_date='2025-06-30' AND nome_perimetro= 'Individual IDComb' AND segmento= 'ESTR' AND ambito= 'PM' AND entidade='00100' AND cod_visao = 1) A  Inner join (SELECT entty_id as entty_id_to_be, entrprs_sz_le as entrprs_sz_le_to_be FROM bu_loantape_work.lt003_entity WHERE ref_date='2025-06-30' AND nome_perimetro= 'Individual IDComb' AND segmento= 'ESTR' AND ambito= 'PM' AND entidade='00100' AND cod_visao = 1) B ON entty_id_as_is = entty_id_to_be WHERE coalesce(cast(entrprs_sz_le_as_is as string), '') &lt;&gt; coalesce(cast(entrprs_sz_le_to_be as string), '') </v>
      </c>
      <c r="M37" s="17" t="s">
        <v>48</v>
      </c>
      <c r="N37" s="17" t="str">
        <f>"SELECT 'Validação de campos' as tipologia_teste, '"&amp;VLOOKUP(B37,Instruções!$F$6:$J$10,3,0)&amp;"' AS TABELA, '"&amp;E37&amp;"' AS CAMPO, '"&amp;Instruções!$D$7&amp;"' as ref_date, coalesce(NUM_REG_DIF, 0) AS NUM_REG_DIF FROM ("&amp;L37&amp;") A "</f>
        <v xml:space="preserve">SELECT 'Validação de campos' as tipologia_teste, 'lt003_entity' AS TABELA, 'entrprs_sz_le' AS CAMPO, '2025-06-30' as ref_date, coalesce(NUM_REG_DIF, 0) AS NUM_REG_DIF FROM (SELECT count(*) AS NUM_REG_DIF FROM (SELECT entty_id as entty_id_as_is, entrprs_sz_le as entrprs_sz_le_as_is FROM cd_loan_tapes_bce.lt003_entity WHERE ref_date='2025-06-30' AND nome_perimetro= 'Individual IDComb' AND segmento= 'ESTR' AND ambito= 'PM' AND entidade='00100' AND cod_visao = 1) A  Inner join (SELECT entty_id as entty_id_to_be, entrprs_sz_le as entrprs_sz_le_to_be FROM bu_loantape_work.lt003_entity WHERE ref_date='2025-06-30' AND nome_perimetro= 'Individual IDComb' AND segmento= 'ESTR' AND ambito= 'PM' AND entidade='00100' AND cod_visao = 1) B ON entty_id_as_is = entty_id_to_be WHERE coalesce(cast(entrprs_sz_le_as_is as string), '') &lt;&gt; coalesce(cast(entrprs_sz_le_to_be as string), '') ) A </v>
      </c>
      <c r="O37" s="19" t="str">
        <f t="shared" si="4"/>
        <v>SELECT 'Validação de campos' as tipologia_teste, 'lt003_entity' AS TABELA, 'entrprs_sz_le' AS CAMPO, '2025-06-30' as ref_date, coalesce(NUM_REG_DIF, 0) AS NUM_REG_DIF FROM (SELECT count(*) AS NUM_REG_DIF FROM (SELECT entty_id as entty_id_as_is, entrprs_sz_le as entrprs_sz_le_as_is FROM cd_loan_tapes_bce.lt003_entity WHERE ref_date='2025-06-30' AND nome_perimetro= 'Individual IDComb' AND segmento= 'ESTR' AND ambito= 'PM' AND entidade='00100' AND cod_visao = 1) A  Inner join (SELECT entty_id as entty_id_to_be, entrprs_sz_le as entrprs_sz_le_to_be FROM bu_loantape_work.lt003_entity WHERE ref_date='2025-06-30' AND nome_perimetro= 'Individual IDComb' AND segmento= 'ESTR' AND ambito= 'PM' AND entidade='00100' AND cod_visao = 1) B ON entty_id_as_is = entty_id_to_be WHERE coalesce(cast(entrprs_sz_le_as_is as string), '') &lt;&gt; coalesce(cast(entrprs_sz_le_to_be as string), '') ) A UNION ALL</v>
      </c>
      <c r="P37" s="17">
        <f t="shared" si="5"/>
        <v>34</v>
      </c>
    </row>
    <row r="38" spans="2:16" s="15" customFormat="1" ht="11.5" x14ac:dyDescent="0.25">
      <c r="B38" s="17" t="s">
        <v>11</v>
      </c>
      <c r="C38" s="17" t="str">
        <f>_xlfn.CONCAT(Instruções!$D$5,".",VLOOKUP(B38,Instruções!$F$5:$H$10,2,0))</f>
        <v>cd_loan_tapes_bce.lt003_entity</v>
      </c>
      <c r="D38" s="17" t="str">
        <f>_xlfn.CONCAT(Instruções!$D$6,".",VLOOKUP(B38,Instruções!$F$5:$H$10,3,0))</f>
        <v>bu_loantape_work.lt003_entity</v>
      </c>
      <c r="E38" s="17" t="s">
        <v>82</v>
      </c>
      <c r="F38" s="17" t="str">
        <f t="shared" ref="F38:F53" si="6">E38&amp;"_as_is"</f>
        <v>entty_nm_as_is</v>
      </c>
      <c r="G38" s="17" t="str">
        <f t="shared" ref="G38:G53" si="7">E38&amp;"_to_be"</f>
        <v>entty_nm_to_be</v>
      </c>
      <c r="H38" s="17" t="str">
        <f>IF(VLOOKUP(B38,Instruções!$F$6:$J$10,5,0)="",
"(SELECT "&amp;VLOOKUP(B38,Instruções!$F$6:$J$10,4,0)&amp;" as "&amp;VLOOKUP(B38,Instruções!$F$6:$J$10,4,0)&amp;"_as_is, "&amp;E38&amp;" as "&amp;F38&amp;" FROM "&amp;C38&amp;" WHERE "&amp;Instruções!$D$11&amp;") A ",
"(SELECT "&amp;VLOOKUP(B38,Instruções!$F$6:$J$10,4,0)&amp;" as "&amp;VLOOKUP(B38,Instruções!$F$6:$J$10,4,0)&amp;"_as_is, "&amp;VLOOKUP(B38,Instruções!$F$6:$J$10,5,0)&amp;" as "&amp;VLOOKUP(B38,Instruções!$F$6:$J$10,5,0)&amp;"_as_is,"&amp;E38&amp;" as "&amp;F38&amp;" FROM "&amp;C38&amp;" WHERE "&amp;Instruções!$D$11&amp;") A ")</f>
        <v xml:space="preserve">(SELECT entty_id as entty_id_as_is, entty_nm as entty_nm_as_is FROM cd_loan_tapes_bce.lt003_entity WHERE ref_date='2025-06-30' AND nome_perimetro= 'Individual IDComb' AND segmento= 'ESTR' AND ambito= 'PM' AND entidade='00100' AND cod_visao = 1) A </v>
      </c>
      <c r="I38" s="17" t="str">
        <f>IF(VLOOKUP(B38,Instruções!$F$6:$J$10,5,0)="",
"(SELECT "&amp;VLOOKUP(B38,Instruções!$F$6:$J$10,4,0)&amp;" as "&amp;VLOOKUP(B38,Instruções!$F$6:$J$10,4,0)&amp;"_to_be, "&amp;E38&amp;" as "&amp;G38&amp;" FROM "&amp;D38&amp;" WHERE "&amp;Instruções!$D$11&amp;") B ",
"(SELECT "&amp;VLOOKUP(B38,Instruções!$F$6:$J$10,4,0)&amp;" as "&amp;VLOOKUP(B38,Instruções!$F$6:$J$10,4,0)&amp;"_to_be, "&amp;VLOOKUP(B38,Instruções!$F$6:$J$10,5,0)&amp;" as "&amp;VLOOKUP(B38,Instruções!$F$6:$J$10,5,0)&amp;"_to_be,"&amp;E38&amp;" as "&amp;G38&amp;" FROM "&amp;D38&amp;" WHERE "&amp;Instruções!$D$11&amp;") B ")</f>
        <v xml:space="preserve">(SELECT entty_id as entty_id_to_be, entty_nm as entty_nm_to_be FROM bu_loantape_work.lt003_entity WHERE ref_date='2025-06-30' AND nome_perimetro= 'Individual IDComb' AND segmento= 'ESTR' AND ambito= 'PM' AND entidade='00100' AND cod_visao = 1) B </v>
      </c>
      <c r="J38" s="17" t="str">
        <f>IF(VLOOKUP(B38,Instruções!$F$6:$J$10,5,0)="",
"ON "&amp;VLOOKUP(B38,Instruções!$F$6:$J$10,4,0)&amp;"_as_is = "&amp;VLOOKUP(B38,Instruções!$F$6:$J$10,4,0)&amp;"_to_be ",
"ON "&amp;VLOOKUP(B38,Instruções!$F$6:$J$10,4,0)&amp;"_as_is = "&amp;VLOOKUP(B38,Instruções!$F$6:$J$10,4,0)&amp;"_to_be AND "&amp;VLOOKUP(B38,Instruções!$F$6:$J$10,5,0)&amp;"_as_is = "&amp;VLOOKUP(B38,Instruções!$F$6:$J$10,5,0)&amp;"_to_be ")</f>
        <v xml:space="preserve">ON entty_id_as_is = entty_id_to_be </v>
      </c>
      <c r="K38" s="17" t="str">
        <f t="shared" ref="K38:K53" si="8">"WHERE coalesce(cast("&amp;F38&amp;" as string), '') &lt;&gt; coalesce(cast("&amp;G38&amp;" as string), '') "</f>
        <v xml:space="preserve">WHERE coalesce(cast(entty_nm_as_is as string), '') &lt;&gt; coalesce(cast(entty_nm_to_be as string), '') </v>
      </c>
      <c r="L38" s="17" t="str">
        <f t="shared" si="3"/>
        <v xml:space="preserve">SELECT count(*) AS NUM_REG_DIF FROM (SELECT entty_id as entty_id_as_is, entty_nm as entty_nm_as_is FROM cd_loan_tapes_bce.lt003_entity WHERE ref_date='2025-06-30' AND nome_perimetro= 'Individual IDComb' AND segmento= 'ESTR' AND ambito= 'PM' AND entidade='00100' AND cod_visao = 1) A  Inner join (SELECT entty_id as entty_id_to_be, entty_nm as entty_nm_to_be FROM bu_loantape_work.lt003_entity WHERE ref_date='2025-06-30' AND nome_perimetro= 'Individual IDComb' AND segmento= 'ESTR' AND ambito= 'PM' AND entidade='00100' AND cod_visao = 1) B ON entty_id_as_is = entty_id_to_be WHERE coalesce(cast(entty_nm_as_is as string), '') &lt;&gt; coalesce(cast(entty_nm_to_be as string), '') </v>
      </c>
      <c r="M38" s="17" t="s">
        <v>48</v>
      </c>
      <c r="N38" s="17" t="str">
        <f>"SELECT 'Validação de campos' as tipologia_teste, '"&amp;VLOOKUP(B38,Instruções!$F$6:$J$10,3,0)&amp;"' AS TABELA, '"&amp;E38&amp;"' AS CAMPO, '"&amp;Instruções!$D$7&amp;"' as ref_date, coalesce(NUM_REG_DIF, 0) AS NUM_REG_DIF FROM ("&amp;L38&amp;") A "</f>
        <v xml:space="preserve">SELECT 'Validação de campos' as tipologia_teste, 'lt003_entity' AS TABELA, 'entty_nm' AS CAMPO, '2025-06-30' as ref_date, coalesce(NUM_REG_DIF, 0) AS NUM_REG_DIF FROM (SELECT count(*) AS NUM_REG_DIF FROM (SELECT entty_id as entty_id_as_is, entty_nm as entty_nm_as_is FROM cd_loan_tapes_bce.lt003_entity WHERE ref_date='2025-06-30' AND nome_perimetro= 'Individual IDComb' AND segmento= 'ESTR' AND ambito= 'PM' AND entidade='00100' AND cod_visao = 1) A  Inner join (SELECT entty_id as entty_id_to_be, entty_nm as entty_nm_to_be FROM bu_loantape_work.lt003_entity WHERE ref_date='2025-06-30' AND nome_perimetro= 'Individual IDComb' AND segmento= 'ESTR' AND ambito= 'PM' AND entidade='00100' AND cod_visao = 1) B ON entty_id_as_is = entty_id_to_be WHERE coalesce(cast(entty_nm_as_is as string), '') &lt;&gt; coalesce(cast(entty_nm_to_be as string), '') ) A </v>
      </c>
      <c r="O38" s="19" t="str">
        <f t="shared" si="4"/>
        <v>SELECT 'Validação de campos' as tipologia_teste, 'lt003_entity' AS TABELA, 'entty_nm' AS CAMPO, '2025-06-30' as ref_date, coalesce(NUM_REG_DIF, 0) AS NUM_REG_DIF FROM (SELECT count(*) AS NUM_REG_DIF FROM (SELECT entty_id as entty_id_as_is, entty_nm as entty_nm_as_is FROM cd_loan_tapes_bce.lt003_entity WHERE ref_date='2025-06-30' AND nome_perimetro= 'Individual IDComb' AND segmento= 'ESTR' AND ambito= 'PM' AND entidade='00100' AND cod_visao = 1) A  Inner join (SELECT entty_id as entty_id_to_be, entty_nm as entty_nm_to_be FROM bu_loantape_work.lt003_entity WHERE ref_date='2025-06-30' AND nome_perimetro= 'Individual IDComb' AND segmento= 'ESTR' AND ambito= 'PM' AND entidade='00100' AND cod_visao = 1) B ON entty_id_as_is = entty_id_to_be WHERE coalesce(cast(entty_nm_as_is as string), '') &lt;&gt; coalesce(cast(entty_nm_to_be as string), '') ) A UNION ALL</v>
      </c>
      <c r="P38" s="17">
        <f t="shared" si="5"/>
        <v>35</v>
      </c>
    </row>
    <row r="39" spans="2:16" s="15" customFormat="1" ht="11.5" x14ac:dyDescent="0.25">
      <c r="B39" s="17" t="s">
        <v>11</v>
      </c>
      <c r="C39" s="17" t="str">
        <f>_xlfn.CONCAT(Instruções!$D$5,".",VLOOKUP(B39,Instruções!$F$5:$H$10,2,0))</f>
        <v>cd_loan_tapes_bce.lt003_entity</v>
      </c>
      <c r="D39" s="17" t="str">
        <f>_xlfn.CONCAT(Instruções!$D$6,".",VLOOKUP(B39,Instruções!$F$5:$H$10,3,0))</f>
        <v>bu_loantape_work.lt003_entity</v>
      </c>
      <c r="E39" s="17" t="s">
        <v>83</v>
      </c>
      <c r="F39" s="17" t="str">
        <f t="shared" si="6"/>
        <v>eqty_as_is</v>
      </c>
      <c r="G39" s="17" t="str">
        <f t="shared" si="7"/>
        <v>eqty_to_be</v>
      </c>
      <c r="H39" s="17" t="str">
        <f>IF(VLOOKUP(B39,Instruções!$F$6:$J$10,5,0)="",
"(SELECT "&amp;VLOOKUP(B39,Instruções!$F$6:$J$10,4,0)&amp;" as "&amp;VLOOKUP(B39,Instruções!$F$6:$J$10,4,0)&amp;"_as_is, "&amp;E39&amp;" as "&amp;F39&amp;" FROM "&amp;C39&amp;" WHERE "&amp;Instruções!$D$11&amp;") A ",
"(SELECT "&amp;VLOOKUP(B39,Instruções!$F$6:$J$10,4,0)&amp;" as "&amp;VLOOKUP(B39,Instruções!$F$6:$J$10,4,0)&amp;"_as_is, "&amp;VLOOKUP(B39,Instruções!$F$6:$J$10,5,0)&amp;" as "&amp;VLOOKUP(B39,Instruções!$F$6:$J$10,5,0)&amp;"_as_is,"&amp;E39&amp;" as "&amp;F39&amp;" FROM "&amp;C39&amp;" WHERE "&amp;Instruções!$D$11&amp;") A ")</f>
        <v xml:space="preserve">(SELECT entty_id as entty_id_as_is, eqty as eqty_as_is FROM cd_loan_tapes_bce.lt003_entity WHERE ref_date='2025-06-30' AND nome_perimetro= 'Individual IDComb' AND segmento= 'ESTR' AND ambito= 'PM' AND entidade='00100' AND cod_visao = 1) A </v>
      </c>
      <c r="I39" s="17" t="str">
        <f>IF(VLOOKUP(B39,Instruções!$F$6:$J$10,5,0)="",
"(SELECT "&amp;VLOOKUP(B39,Instruções!$F$6:$J$10,4,0)&amp;" as "&amp;VLOOKUP(B39,Instruções!$F$6:$J$10,4,0)&amp;"_to_be, "&amp;E39&amp;" as "&amp;G39&amp;" FROM "&amp;D39&amp;" WHERE "&amp;Instruções!$D$11&amp;") B ",
"(SELECT "&amp;VLOOKUP(B39,Instruções!$F$6:$J$10,4,0)&amp;" as "&amp;VLOOKUP(B39,Instruções!$F$6:$J$10,4,0)&amp;"_to_be, "&amp;VLOOKUP(B39,Instruções!$F$6:$J$10,5,0)&amp;" as "&amp;VLOOKUP(B39,Instruções!$F$6:$J$10,5,0)&amp;"_to_be,"&amp;E39&amp;" as "&amp;G39&amp;" FROM "&amp;D39&amp;" WHERE "&amp;Instruções!$D$11&amp;") B ")</f>
        <v xml:space="preserve">(SELECT entty_id as entty_id_to_be, eqty as eqty_to_be FROM bu_loantape_work.lt003_entity WHERE ref_date='2025-06-30' AND nome_perimetro= 'Individual IDComb' AND segmento= 'ESTR' AND ambito= 'PM' AND entidade='00100' AND cod_visao = 1) B </v>
      </c>
      <c r="J39" s="17" t="str">
        <f>IF(VLOOKUP(B39,Instruções!$F$6:$J$10,5,0)="",
"ON "&amp;VLOOKUP(B39,Instruções!$F$6:$J$10,4,0)&amp;"_as_is = "&amp;VLOOKUP(B39,Instruções!$F$6:$J$10,4,0)&amp;"_to_be ",
"ON "&amp;VLOOKUP(B39,Instruções!$F$6:$J$10,4,0)&amp;"_as_is = "&amp;VLOOKUP(B39,Instruções!$F$6:$J$10,4,0)&amp;"_to_be AND "&amp;VLOOKUP(B39,Instruções!$F$6:$J$10,5,0)&amp;"_as_is = "&amp;VLOOKUP(B39,Instruções!$F$6:$J$10,5,0)&amp;"_to_be ")</f>
        <v xml:space="preserve">ON entty_id_as_is = entty_id_to_be </v>
      </c>
      <c r="K39" s="17" t="str">
        <f t="shared" si="8"/>
        <v xml:space="preserve">WHERE coalesce(cast(eqty_as_is as string), '') &lt;&gt; coalesce(cast(eqty_to_be as string), '') </v>
      </c>
      <c r="L39" s="17" t="str">
        <f t="shared" si="3"/>
        <v xml:space="preserve">SELECT count(*) AS NUM_REG_DIF FROM (SELECT entty_id as entty_id_as_is, eqty as eqty_as_is FROM cd_loan_tapes_bce.lt003_entity WHERE ref_date='2025-06-30' AND nome_perimetro= 'Individual IDComb' AND segmento= 'ESTR' AND ambito= 'PM' AND entidade='00100' AND cod_visao = 1) A  Inner join (SELECT entty_id as entty_id_to_be, eqty as eqty_to_be FROM bu_loantape_work.lt003_entity WHERE ref_date='2025-06-30' AND nome_perimetro= 'Individual IDComb' AND segmento= 'ESTR' AND ambito= 'PM' AND entidade='00100' AND cod_visao = 1) B ON entty_id_as_is = entty_id_to_be WHERE coalesce(cast(eqty_as_is as string), '') &lt;&gt; coalesce(cast(eqty_to_be as string), '') </v>
      </c>
      <c r="M39" s="17" t="s">
        <v>48</v>
      </c>
      <c r="N39" s="17" t="str">
        <f>"SELECT 'Validação de campos' as tipologia_teste, '"&amp;VLOOKUP(B39,Instruções!$F$6:$J$10,3,0)&amp;"' AS TABELA, '"&amp;E39&amp;"' AS CAMPO, '"&amp;Instruções!$D$7&amp;"' as ref_date, coalesce(NUM_REG_DIF, 0) AS NUM_REG_DIF FROM ("&amp;L39&amp;") A "</f>
        <v xml:space="preserve">SELECT 'Validação de campos' as tipologia_teste, 'lt003_entity' AS TABELA, 'eqty' AS CAMPO, '2025-06-30' as ref_date, coalesce(NUM_REG_DIF, 0) AS NUM_REG_DIF FROM (SELECT count(*) AS NUM_REG_DIF FROM (SELECT entty_id as entty_id_as_is, eqty as eqty_as_is FROM cd_loan_tapes_bce.lt003_entity WHERE ref_date='2025-06-30' AND nome_perimetro= 'Individual IDComb' AND segmento= 'ESTR' AND ambito= 'PM' AND entidade='00100' AND cod_visao = 1) A  Inner join (SELECT entty_id as entty_id_to_be, eqty as eqty_to_be FROM bu_loantape_work.lt003_entity WHERE ref_date='2025-06-30' AND nome_perimetro= 'Individual IDComb' AND segmento= 'ESTR' AND ambito= 'PM' AND entidade='00100' AND cod_visao = 1) B ON entty_id_as_is = entty_id_to_be WHERE coalesce(cast(eqty_as_is as string), '') &lt;&gt; coalesce(cast(eqty_to_be as string), '') ) A </v>
      </c>
      <c r="O39" s="19" t="str">
        <f t="shared" si="4"/>
        <v>SELECT 'Validação de campos' as tipologia_teste, 'lt003_entity' AS TABELA, 'eqty' AS CAMPO, '2025-06-30' as ref_date, coalesce(NUM_REG_DIF, 0) AS NUM_REG_DIF FROM (SELECT count(*) AS NUM_REG_DIF FROM (SELECT entty_id as entty_id_as_is, eqty as eqty_as_is FROM cd_loan_tapes_bce.lt003_entity WHERE ref_date='2025-06-30' AND nome_perimetro= 'Individual IDComb' AND segmento= 'ESTR' AND ambito= 'PM' AND entidade='00100' AND cod_visao = 1) A  Inner join (SELECT entty_id as entty_id_to_be, eqty as eqty_to_be FROM bu_loantape_work.lt003_entity WHERE ref_date='2025-06-30' AND nome_perimetro= 'Individual IDComb' AND segmento= 'ESTR' AND ambito= 'PM' AND entidade='00100' AND cod_visao = 1) B ON entty_id_as_is = entty_id_to_be WHERE coalesce(cast(eqty_as_is as string), '') &lt;&gt; coalesce(cast(eqty_to_be as string), '') ) A UNION ALL</v>
      </c>
      <c r="P39" s="17">
        <f t="shared" si="5"/>
        <v>36</v>
      </c>
    </row>
    <row r="40" spans="2:16" s="15" customFormat="1" ht="11.5" x14ac:dyDescent="0.25">
      <c r="B40" s="17" t="s">
        <v>11</v>
      </c>
      <c r="C40" s="17" t="str">
        <f>_xlfn.CONCAT(Instruções!$D$5,".",VLOOKUP(B40,Instruções!$F$5:$H$10,2,0))</f>
        <v>cd_loan_tapes_bce.lt003_entity</v>
      </c>
      <c r="D40" s="17" t="str">
        <f>_xlfn.CONCAT(Instruções!$D$6,".",VLOOKUP(B40,Instruções!$F$5:$H$10,3,0))</f>
        <v>bu_loantape_work.lt003_entity</v>
      </c>
      <c r="E40" s="17" t="s">
        <v>84</v>
      </c>
      <c r="F40" s="17" t="str">
        <f t="shared" si="6"/>
        <v>eqty_prvs_as_is</v>
      </c>
      <c r="G40" s="17" t="str">
        <f t="shared" si="7"/>
        <v>eqty_prvs_to_be</v>
      </c>
      <c r="H40" s="17" t="str">
        <f>IF(VLOOKUP(B40,Instruções!$F$6:$J$10,5,0)="",
"(SELECT "&amp;VLOOKUP(B40,Instruções!$F$6:$J$10,4,0)&amp;" as "&amp;VLOOKUP(B40,Instruções!$F$6:$J$10,4,0)&amp;"_as_is, "&amp;E40&amp;" as "&amp;F40&amp;" FROM "&amp;C40&amp;" WHERE "&amp;Instruções!$D$11&amp;") A ",
"(SELECT "&amp;VLOOKUP(B40,Instruções!$F$6:$J$10,4,0)&amp;" as "&amp;VLOOKUP(B40,Instruções!$F$6:$J$10,4,0)&amp;"_as_is, "&amp;VLOOKUP(B40,Instruções!$F$6:$J$10,5,0)&amp;" as "&amp;VLOOKUP(B40,Instruções!$F$6:$J$10,5,0)&amp;"_as_is,"&amp;E40&amp;" as "&amp;F40&amp;" FROM "&amp;C40&amp;" WHERE "&amp;Instruções!$D$11&amp;") A ")</f>
        <v xml:space="preserve">(SELECT entty_id as entty_id_as_is, eqty_prvs as eqty_prvs_as_is FROM cd_loan_tapes_bce.lt003_entity WHERE ref_date='2025-06-30' AND nome_perimetro= 'Individual IDComb' AND segmento= 'ESTR' AND ambito= 'PM' AND entidade='00100' AND cod_visao = 1) A </v>
      </c>
      <c r="I40" s="17" t="str">
        <f>IF(VLOOKUP(B40,Instruções!$F$6:$J$10,5,0)="",
"(SELECT "&amp;VLOOKUP(B40,Instruções!$F$6:$J$10,4,0)&amp;" as "&amp;VLOOKUP(B40,Instruções!$F$6:$J$10,4,0)&amp;"_to_be, "&amp;E40&amp;" as "&amp;G40&amp;" FROM "&amp;D40&amp;" WHERE "&amp;Instruções!$D$11&amp;") B ",
"(SELECT "&amp;VLOOKUP(B40,Instruções!$F$6:$J$10,4,0)&amp;" as "&amp;VLOOKUP(B40,Instruções!$F$6:$J$10,4,0)&amp;"_to_be, "&amp;VLOOKUP(B40,Instruções!$F$6:$J$10,5,0)&amp;" as "&amp;VLOOKUP(B40,Instruções!$F$6:$J$10,5,0)&amp;"_to_be,"&amp;E40&amp;" as "&amp;G40&amp;" FROM "&amp;D40&amp;" WHERE "&amp;Instruções!$D$11&amp;") B ")</f>
        <v xml:space="preserve">(SELECT entty_id as entty_id_to_be, eqty_prvs as eqty_prvs_to_be FROM bu_loantape_work.lt003_entity WHERE ref_date='2025-06-30' AND nome_perimetro= 'Individual IDComb' AND segmento= 'ESTR' AND ambito= 'PM' AND entidade='00100' AND cod_visao = 1) B </v>
      </c>
      <c r="J40" s="17" t="str">
        <f>IF(VLOOKUP(B40,Instruções!$F$6:$J$10,5,0)="",
"ON "&amp;VLOOKUP(B40,Instruções!$F$6:$J$10,4,0)&amp;"_as_is = "&amp;VLOOKUP(B40,Instruções!$F$6:$J$10,4,0)&amp;"_to_be ",
"ON "&amp;VLOOKUP(B40,Instruções!$F$6:$J$10,4,0)&amp;"_as_is = "&amp;VLOOKUP(B40,Instruções!$F$6:$J$10,4,0)&amp;"_to_be AND "&amp;VLOOKUP(B40,Instruções!$F$6:$J$10,5,0)&amp;"_as_is = "&amp;VLOOKUP(B40,Instruções!$F$6:$J$10,5,0)&amp;"_to_be ")</f>
        <v xml:space="preserve">ON entty_id_as_is = entty_id_to_be </v>
      </c>
      <c r="K40" s="17" t="str">
        <f t="shared" si="8"/>
        <v xml:space="preserve">WHERE coalesce(cast(eqty_prvs_as_is as string), '') &lt;&gt; coalesce(cast(eqty_prvs_to_be as string), '') </v>
      </c>
      <c r="L40" s="17" t="str">
        <f t="shared" si="3"/>
        <v xml:space="preserve">SELECT count(*) AS NUM_REG_DIF FROM (SELECT entty_id as entty_id_as_is, eqty_prvs as eqty_prvs_as_is FROM cd_loan_tapes_bce.lt003_entity WHERE ref_date='2025-06-30' AND nome_perimetro= 'Individual IDComb' AND segmento= 'ESTR' AND ambito= 'PM' AND entidade='00100' AND cod_visao = 1) A  Inner join (SELECT entty_id as entty_id_to_be, eqty_prvs as eqty_prvs_to_be FROM bu_loantape_work.lt003_entity WHERE ref_date='2025-06-30' AND nome_perimetro= 'Individual IDComb' AND segmento= 'ESTR' AND ambito= 'PM' AND entidade='00100' AND cod_visao = 1) B ON entty_id_as_is = entty_id_to_be WHERE coalesce(cast(eqty_prvs_as_is as string), '') &lt;&gt; coalesce(cast(eqty_prvs_to_be as string), '') </v>
      </c>
      <c r="M40" s="17" t="s">
        <v>48</v>
      </c>
      <c r="N40" s="17" t="str">
        <f>"SELECT 'Validação de campos' as tipologia_teste, '"&amp;VLOOKUP(B40,Instruções!$F$6:$J$10,3,0)&amp;"' AS TABELA, '"&amp;E40&amp;"' AS CAMPO, '"&amp;Instruções!$D$7&amp;"' as ref_date, coalesce(NUM_REG_DIF, 0) AS NUM_REG_DIF FROM ("&amp;L40&amp;") A "</f>
        <v xml:space="preserve">SELECT 'Validação de campos' as tipologia_teste, 'lt003_entity' AS TABELA, 'eqty_prvs' AS CAMPO, '2025-06-30' as ref_date, coalesce(NUM_REG_DIF, 0) AS NUM_REG_DIF FROM (SELECT count(*) AS NUM_REG_DIF FROM (SELECT entty_id as entty_id_as_is, eqty_prvs as eqty_prvs_as_is FROM cd_loan_tapes_bce.lt003_entity WHERE ref_date='2025-06-30' AND nome_perimetro= 'Individual IDComb' AND segmento= 'ESTR' AND ambito= 'PM' AND entidade='00100' AND cod_visao = 1) A  Inner join (SELECT entty_id as entty_id_to_be, eqty_prvs as eqty_prvs_to_be FROM bu_loantape_work.lt003_entity WHERE ref_date='2025-06-30' AND nome_perimetro= 'Individual IDComb' AND segmento= 'ESTR' AND ambito= 'PM' AND entidade='00100' AND cod_visao = 1) B ON entty_id_as_is = entty_id_to_be WHERE coalesce(cast(eqty_prvs_as_is as string), '') &lt;&gt; coalesce(cast(eqty_prvs_to_be as string), '') ) A </v>
      </c>
      <c r="O40" s="19" t="str">
        <f t="shared" si="4"/>
        <v>SELECT 'Validação de campos' as tipologia_teste, 'lt003_entity' AS TABELA, 'eqty_prvs' AS CAMPO, '2025-06-30' as ref_date, coalesce(NUM_REG_DIF, 0) AS NUM_REG_DIF FROM (SELECT count(*) AS NUM_REG_DIF FROM (SELECT entty_id as entty_id_as_is, eqty_prvs as eqty_prvs_as_is FROM cd_loan_tapes_bce.lt003_entity WHERE ref_date='2025-06-30' AND nome_perimetro= 'Individual IDComb' AND segmento= 'ESTR' AND ambito= 'PM' AND entidade='00100' AND cod_visao = 1) A  Inner join (SELECT entty_id as entty_id_to_be, eqty_prvs as eqty_prvs_to_be FROM bu_loantape_work.lt003_entity WHERE ref_date='2025-06-30' AND nome_perimetro= 'Individual IDComb' AND segmento= 'ESTR' AND ambito= 'PM' AND entidade='00100' AND cod_visao = 1) B ON entty_id_as_is = entty_id_to_be WHERE coalesce(cast(eqty_prvs_as_is as string), '') &lt;&gt; coalesce(cast(eqty_prvs_to_be as string), '') ) A UNION ALL</v>
      </c>
      <c r="P40" s="17">
        <f t="shared" si="5"/>
        <v>37</v>
      </c>
    </row>
    <row r="41" spans="2:16" s="15" customFormat="1" ht="11.5" x14ac:dyDescent="0.25">
      <c r="B41" s="17" t="s">
        <v>11</v>
      </c>
      <c r="C41" s="17" t="str">
        <f>_xlfn.CONCAT(Instruções!$D$5,".",VLOOKUP(B41,Instruções!$F$5:$H$10,2,0))</f>
        <v>cd_loan_tapes_bce.lt003_entity</v>
      </c>
      <c r="D41" s="17" t="str">
        <f>_xlfn.CONCAT(Instruções!$D$6,".",VLOOKUP(B41,Instruções!$F$5:$H$10,3,0))</f>
        <v>bu_loantape_work.lt003_entity</v>
      </c>
      <c r="E41" s="17" t="s">
        <v>85</v>
      </c>
      <c r="F41" s="17" t="str">
        <f t="shared" si="6"/>
        <v>dt_extrnl_rtng_as_is</v>
      </c>
      <c r="G41" s="17" t="str">
        <f t="shared" si="7"/>
        <v>dt_extrnl_rtng_to_be</v>
      </c>
      <c r="H41" s="17" t="str">
        <f>IF(VLOOKUP(B41,Instruções!$F$6:$J$10,5,0)="",
"(SELECT "&amp;VLOOKUP(B41,Instruções!$F$6:$J$10,4,0)&amp;" as "&amp;VLOOKUP(B41,Instruções!$F$6:$J$10,4,0)&amp;"_as_is, "&amp;E41&amp;" as "&amp;F41&amp;" FROM "&amp;C41&amp;" WHERE "&amp;Instruções!$D$11&amp;") A ",
"(SELECT "&amp;VLOOKUP(B41,Instruções!$F$6:$J$10,4,0)&amp;" as "&amp;VLOOKUP(B41,Instruções!$F$6:$J$10,4,0)&amp;"_as_is, "&amp;VLOOKUP(B41,Instruções!$F$6:$J$10,5,0)&amp;" as "&amp;VLOOKUP(B41,Instruções!$F$6:$J$10,5,0)&amp;"_as_is,"&amp;E41&amp;" as "&amp;F41&amp;" FROM "&amp;C41&amp;" WHERE "&amp;Instruções!$D$11&amp;") A ")</f>
        <v xml:space="preserve">(SELECT entty_id as entty_id_as_is, dt_extrnl_rtng as dt_extrnl_rtng_as_is FROM cd_loan_tapes_bce.lt003_entity WHERE ref_date='2025-06-30' AND nome_perimetro= 'Individual IDComb' AND segmento= 'ESTR' AND ambito= 'PM' AND entidade='00100' AND cod_visao = 1) A </v>
      </c>
      <c r="I41" s="17" t="str">
        <f>IF(VLOOKUP(B41,Instruções!$F$6:$J$10,5,0)="",
"(SELECT "&amp;VLOOKUP(B41,Instruções!$F$6:$J$10,4,0)&amp;" as "&amp;VLOOKUP(B41,Instruções!$F$6:$J$10,4,0)&amp;"_to_be, "&amp;E41&amp;" as "&amp;G41&amp;" FROM "&amp;D41&amp;" WHERE "&amp;Instruções!$D$11&amp;") B ",
"(SELECT "&amp;VLOOKUP(B41,Instruções!$F$6:$J$10,4,0)&amp;" as "&amp;VLOOKUP(B41,Instruções!$F$6:$J$10,4,0)&amp;"_to_be, "&amp;VLOOKUP(B41,Instruções!$F$6:$J$10,5,0)&amp;" as "&amp;VLOOKUP(B41,Instruções!$F$6:$J$10,5,0)&amp;"_to_be,"&amp;E41&amp;" as "&amp;G41&amp;" FROM "&amp;D41&amp;" WHERE "&amp;Instruções!$D$11&amp;") B ")</f>
        <v xml:space="preserve">(SELECT entty_id as entty_id_to_be, dt_extrnl_rtng as dt_extrnl_rtng_to_be FROM bu_loantape_work.lt003_entity WHERE ref_date='2025-06-30' AND nome_perimetro= 'Individual IDComb' AND segmento= 'ESTR' AND ambito= 'PM' AND entidade='00100' AND cod_visao = 1) B </v>
      </c>
      <c r="J41" s="17" t="str">
        <f>IF(VLOOKUP(B41,Instruções!$F$6:$J$10,5,0)="",
"ON "&amp;VLOOKUP(B41,Instruções!$F$6:$J$10,4,0)&amp;"_as_is = "&amp;VLOOKUP(B41,Instruções!$F$6:$J$10,4,0)&amp;"_to_be ",
"ON "&amp;VLOOKUP(B41,Instruções!$F$6:$J$10,4,0)&amp;"_as_is = "&amp;VLOOKUP(B41,Instruções!$F$6:$J$10,4,0)&amp;"_to_be AND "&amp;VLOOKUP(B41,Instruções!$F$6:$J$10,5,0)&amp;"_as_is = "&amp;VLOOKUP(B41,Instruções!$F$6:$J$10,5,0)&amp;"_to_be ")</f>
        <v xml:space="preserve">ON entty_id_as_is = entty_id_to_be </v>
      </c>
      <c r="K41" s="17" t="str">
        <f t="shared" si="8"/>
        <v xml:space="preserve">WHERE coalesce(cast(dt_extrnl_rtng_as_is as string), '') &lt;&gt; coalesce(cast(dt_extrnl_rtng_to_be as string), '') </v>
      </c>
      <c r="L41" s="17" t="str">
        <f t="shared" si="3"/>
        <v xml:space="preserve">SELECT count(*) AS NUM_REG_DIF FROM (SELECT entty_id as entty_id_as_is, dt_extrnl_rtng as dt_extrnl_rtng_as_is FROM cd_loan_tapes_bce.lt003_entity WHERE ref_date='2025-06-30' AND nome_perimetro= 'Individual IDComb' AND segmento= 'ESTR' AND ambito= 'PM' AND entidade='00100' AND cod_visao = 1) A  Inner join (SELECT entty_id as entty_id_to_be, dt_extrnl_rtng as dt_extrnl_rtng_to_be FROM bu_loantape_work.lt003_entity WHERE ref_date='2025-06-30' AND nome_perimetro= 'Individual IDComb' AND segmento= 'ESTR' AND ambito= 'PM' AND entidade='00100' AND cod_visao = 1) B ON entty_id_as_is = entty_id_to_be WHERE coalesce(cast(dt_extrnl_rtng_as_is as string), '') &lt;&gt; coalesce(cast(dt_extrnl_rtng_to_be as string), '') </v>
      </c>
      <c r="M41" s="17" t="s">
        <v>48</v>
      </c>
      <c r="N41" s="17" t="str">
        <f>"SELECT 'Validação de campos' as tipologia_teste, '"&amp;VLOOKUP(B41,Instruções!$F$6:$J$10,3,0)&amp;"' AS TABELA, '"&amp;E41&amp;"' AS CAMPO, '"&amp;Instruções!$D$7&amp;"' as ref_date, coalesce(NUM_REG_DIF, 0) AS NUM_REG_DIF FROM ("&amp;L41&amp;") A "</f>
        <v xml:space="preserve">SELECT 'Validação de campos' as tipologia_teste, 'lt003_entity' AS TABELA, 'dt_extrnl_rtng' AS CAMPO, '2025-06-30' as ref_date, coalesce(NUM_REG_DIF, 0) AS NUM_REG_DIF FROM (SELECT count(*) AS NUM_REG_DIF FROM (SELECT entty_id as entty_id_as_is, dt_extrnl_rtng as dt_extrnl_rtng_as_is FROM cd_loan_tapes_bce.lt003_entity WHERE ref_date='2025-06-30' AND nome_perimetro= 'Individual IDComb' AND segmento= 'ESTR' AND ambito= 'PM' AND entidade='00100' AND cod_visao = 1) A  Inner join (SELECT entty_id as entty_id_to_be, dt_extrnl_rtng as dt_extrnl_rtng_to_be FROM bu_loantape_work.lt003_entity WHERE ref_date='2025-06-30' AND nome_perimetro= 'Individual IDComb' AND segmento= 'ESTR' AND ambito= 'PM' AND entidade='00100' AND cod_visao = 1) B ON entty_id_as_is = entty_id_to_be WHERE coalesce(cast(dt_extrnl_rtng_as_is as string), '') &lt;&gt; coalesce(cast(dt_extrnl_rtng_to_be as string), '') ) A </v>
      </c>
      <c r="O41" s="19" t="str">
        <f t="shared" si="4"/>
        <v>SELECT 'Validação de campos' as tipologia_teste, 'lt003_entity' AS TABELA, 'dt_extrnl_rtng' AS CAMPO, '2025-06-30' as ref_date, coalesce(NUM_REG_DIF, 0) AS NUM_REG_DIF FROM (SELECT count(*) AS NUM_REG_DIF FROM (SELECT entty_id as entty_id_as_is, dt_extrnl_rtng as dt_extrnl_rtng_as_is FROM cd_loan_tapes_bce.lt003_entity WHERE ref_date='2025-06-30' AND nome_perimetro= 'Individual IDComb' AND segmento= 'ESTR' AND ambito= 'PM' AND entidade='00100' AND cod_visao = 1) A  Inner join (SELECT entty_id as entty_id_to_be, dt_extrnl_rtng as dt_extrnl_rtng_to_be FROM bu_loantape_work.lt003_entity WHERE ref_date='2025-06-30' AND nome_perimetro= 'Individual IDComb' AND segmento= 'ESTR' AND ambito= 'PM' AND entidade='00100' AND cod_visao = 1) B ON entty_id_as_is = entty_id_to_be WHERE coalesce(cast(dt_extrnl_rtng_as_is as string), '') &lt;&gt; coalesce(cast(dt_extrnl_rtng_to_be as string), '') ) A UNION ALL</v>
      </c>
      <c r="P41" s="17">
        <f t="shared" si="5"/>
        <v>38</v>
      </c>
    </row>
    <row r="42" spans="2:16" s="15" customFormat="1" ht="11.5" x14ac:dyDescent="0.25">
      <c r="B42" s="17" t="s">
        <v>11</v>
      </c>
      <c r="C42" s="17" t="str">
        <f>_xlfn.CONCAT(Instruções!$D$5,".",VLOOKUP(B42,Instruções!$F$5:$H$10,2,0))</f>
        <v>cd_loan_tapes_bce.lt003_entity</v>
      </c>
      <c r="D42" s="17" t="str">
        <f>_xlfn.CONCAT(Instruções!$D$6,".",VLOOKUP(B42,Instruções!$F$5:$H$10,3,0))</f>
        <v>bu_loantape_work.lt003_entity</v>
      </c>
      <c r="E42" s="17" t="s">
        <v>86</v>
      </c>
      <c r="F42" s="17" t="str">
        <f t="shared" si="6"/>
        <v>extrnl_rtng_as_is</v>
      </c>
      <c r="G42" s="17" t="str">
        <f t="shared" si="7"/>
        <v>extrnl_rtng_to_be</v>
      </c>
      <c r="H42" s="17" t="str">
        <f>IF(VLOOKUP(B42,Instruções!$F$6:$J$10,5,0)="",
"(SELECT "&amp;VLOOKUP(B42,Instruções!$F$6:$J$10,4,0)&amp;" as "&amp;VLOOKUP(B42,Instruções!$F$6:$J$10,4,0)&amp;"_as_is, "&amp;E42&amp;" as "&amp;F42&amp;" FROM "&amp;C42&amp;" WHERE "&amp;Instruções!$D$11&amp;") A ",
"(SELECT "&amp;VLOOKUP(B42,Instruções!$F$6:$J$10,4,0)&amp;" as "&amp;VLOOKUP(B42,Instruções!$F$6:$J$10,4,0)&amp;"_as_is, "&amp;VLOOKUP(B42,Instruções!$F$6:$J$10,5,0)&amp;" as "&amp;VLOOKUP(B42,Instruções!$F$6:$J$10,5,0)&amp;"_as_is,"&amp;E42&amp;" as "&amp;F42&amp;" FROM "&amp;C42&amp;" WHERE "&amp;Instruções!$D$11&amp;") A ")</f>
        <v xml:space="preserve">(SELECT entty_id as entty_id_as_is, extrnl_rtng as extrnl_rtng_as_is FROM cd_loan_tapes_bce.lt003_entity WHERE ref_date='2025-06-30' AND nome_perimetro= 'Individual IDComb' AND segmento= 'ESTR' AND ambito= 'PM' AND entidade='00100' AND cod_visao = 1) A </v>
      </c>
      <c r="I42" s="17" t="str">
        <f>IF(VLOOKUP(B42,Instruções!$F$6:$J$10,5,0)="",
"(SELECT "&amp;VLOOKUP(B42,Instruções!$F$6:$J$10,4,0)&amp;" as "&amp;VLOOKUP(B42,Instruções!$F$6:$J$10,4,0)&amp;"_to_be, "&amp;E42&amp;" as "&amp;G42&amp;" FROM "&amp;D42&amp;" WHERE "&amp;Instruções!$D$11&amp;") B ",
"(SELECT "&amp;VLOOKUP(B42,Instruções!$F$6:$J$10,4,0)&amp;" as "&amp;VLOOKUP(B42,Instruções!$F$6:$J$10,4,0)&amp;"_to_be, "&amp;VLOOKUP(B42,Instruções!$F$6:$J$10,5,0)&amp;" as "&amp;VLOOKUP(B42,Instruções!$F$6:$J$10,5,0)&amp;"_to_be,"&amp;E42&amp;" as "&amp;G42&amp;" FROM "&amp;D42&amp;" WHERE "&amp;Instruções!$D$11&amp;") B ")</f>
        <v xml:space="preserve">(SELECT entty_id as entty_id_to_be, extrnl_rtng as extrnl_rtng_to_be FROM bu_loantape_work.lt003_entity WHERE ref_date='2025-06-30' AND nome_perimetro= 'Individual IDComb' AND segmento= 'ESTR' AND ambito= 'PM' AND entidade='00100' AND cod_visao = 1) B </v>
      </c>
      <c r="J42" s="17" t="str">
        <f>IF(VLOOKUP(B42,Instruções!$F$6:$J$10,5,0)="",
"ON "&amp;VLOOKUP(B42,Instruções!$F$6:$J$10,4,0)&amp;"_as_is = "&amp;VLOOKUP(B42,Instruções!$F$6:$J$10,4,0)&amp;"_to_be ",
"ON "&amp;VLOOKUP(B42,Instruções!$F$6:$J$10,4,0)&amp;"_as_is = "&amp;VLOOKUP(B42,Instruções!$F$6:$J$10,4,0)&amp;"_to_be AND "&amp;VLOOKUP(B42,Instruções!$F$6:$J$10,5,0)&amp;"_as_is = "&amp;VLOOKUP(B42,Instruções!$F$6:$J$10,5,0)&amp;"_to_be ")</f>
        <v xml:space="preserve">ON entty_id_as_is = entty_id_to_be </v>
      </c>
      <c r="K42" s="17" t="str">
        <f t="shared" si="8"/>
        <v xml:space="preserve">WHERE coalesce(cast(extrnl_rtng_as_is as string), '') &lt;&gt; coalesce(cast(extrnl_rtng_to_be as string), '') </v>
      </c>
      <c r="L42" s="17" t="str">
        <f t="shared" si="3"/>
        <v xml:space="preserve">SELECT count(*) AS NUM_REG_DIF FROM (SELECT entty_id as entty_id_as_is, extrnl_rtng as extrnl_rtng_as_is FROM cd_loan_tapes_bce.lt003_entity WHERE ref_date='2025-06-30' AND nome_perimetro= 'Individual IDComb' AND segmento= 'ESTR' AND ambito= 'PM' AND entidade='00100' AND cod_visao = 1) A  Inner join (SELECT entty_id as entty_id_to_be, extrnl_rtng as extrnl_rtng_to_be FROM bu_loantape_work.lt003_entity WHERE ref_date='2025-06-30' AND nome_perimetro= 'Individual IDComb' AND segmento= 'ESTR' AND ambito= 'PM' AND entidade='00100' AND cod_visao = 1) B ON entty_id_as_is = entty_id_to_be WHERE coalesce(cast(extrnl_rtng_as_is as string), '') &lt;&gt; coalesce(cast(extrnl_rtng_to_be as string), '') </v>
      </c>
      <c r="M42" s="17" t="s">
        <v>48</v>
      </c>
      <c r="N42" s="17" t="str">
        <f>"SELECT 'Validação de campos' as tipologia_teste, '"&amp;VLOOKUP(B42,Instruções!$F$6:$J$10,3,0)&amp;"' AS TABELA, '"&amp;E42&amp;"' AS CAMPO, '"&amp;Instruções!$D$7&amp;"' as ref_date, coalesce(NUM_REG_DIF, 0) AS NUM_REG_DIF FROM ("&amp;L42&amp;") A "</f>
        <v xml:space="preserve">SELECT 'Validação de campos' as tipologia_teste, 'lt003_entity' AS TABELA, 'extrnl_rtng' AS CAMPO, '2025-06-30' as ref_date, coalesce(NUM_REG_DIF, 0) AS NUM_REG_DIF FROM (SELECT count(*) AS NUM_REG_DIF FROM (SELECT entty_id as entty_id_as_is, extrnl_rtng as extrnl_rtng_as_is FROM cd_loan_tapes_bce.lt003_entity WHERE ref_date='2025-06-30' AND nome_perimetro= 'Individual IDComb' AND segmento= 'ESTR' AND ambito= 'PM' AND entidade='00100' AND cod_visao = 1) A  Inner join (SELECT entty_id as entty_id_to_be, extrnl_rtng as extrnl_rtng_to_be FROM bu_loantape_work.lt003_entity WHERE ref_date='2025-06-30' AND nome_perimetro= 'Individual IDComb' AND segmento= 'ESTR' AND ambito= 'PM' AND entidade='00100' AND cod_visao = 1) B ON entty_id_as_is = entty_id_to_be WHERE coalesce(cast(extrnl_rtng_as_is as string), '') &lt;&gt; coalesce(cast(extrnl_rtng_to_be as string), '') ) A </v>
      </c>
      <c r="O42" s="19" t="str">
        <f t="shared" si="4"/>
        <v>SELECT 'Validação de campos' as tipologia_teste, 'lt003_entity' AS TABELA, 'extrnl_rtng' AS CAMPO, '2025-06-30' as ref_date, coalesce(NUM_REG_DIF, 0) AS NUM_REG_DIF FROM (SELECT count(*) AS NUM_REG_DIF FROM (SELECT entty_id as entty_id_as_is, extrnl_rtng as extrnl_rtng_as_is FROM cd_loan_tapes_bce.lt003_entity WHERE ref_date='2025-06-30' AND nome_perimetro= 'Individual IDComb' AND segmento= 'ESTR' AND ambito= 'PM' AND entidade='00100' AND cod_visao = 1) A  Inner join (SELECT entty_id as entty_id_to_be, extrnl_rtng as extrnl_rtng_to_be FROM bu_loantape_work.lt003_entity WHERE ref_date='2025-06-30' AND nome_perimetro= 'Individual IDComb' AND segmento= 'ESTR' AND ambito= 'PM' AND entidade='00100' AND cod_visao = 1) B ON entty_id_as_is = entty_id_to_be WHERE coalesce(cast(extrnl_rtng_as_is as string), '') &lt;&gt; coalesce(cast(extrnl_rtng_to_be as string), '') ) A UNION ALL</v>
      </c>
      <c r="P42" s="17">
        <f t="shared" si="5"/>
        <v>39</v>
      </c>
    </row>
    <row r="43" spans="2:16" s="15" customFormat="1" ht="11.5" x14ac:dyDescent="0.25">
      <c r="B43" s="17" t="s">
        <v>11</v>
      </c>
      <c r="C43" s="17" t="str">
        <f>_xlfn.CONCAT(Instruções!$D$5,".",VLOOKUP(B43,Instruções!$F$5:$H$10,2,0))</f>
        <v>cd_loan_tapes_bce.lt003_entity</v>
      </c>
      <c r="D43" s="17" t="str">
        <f>_xlfn.CONCAT(Instruções!$D$6,".",VLOOKUP(B43,Instruções!$F$5:$H$10,3,0))</f>
        <v>bu_loantape_work.lt003_entity</v>
      </c>
      <c r="E43" s="17" t="s">
        <v>87</v>
      </c>
      <c r="F43" s="17" t="str">
        <f t="shared" si="6"/>
        <v>extrnl_rtng_nm_as_is</v>
      </c>
      <c r="G43" s="17" t="str">
        <f t="shared" si="7"/>
        <v>extrnl_rtng_nm_to_be</v>
      </c>
      <c r="H43" s="17" t="str">
        <f>IF(VLOOKUP(B43,Instruções!$F$6:$J$10,5,0)="",
"(SELECT "&amp;VLOOKUP(B43,Instruções!$F$6:$J$10,4,0)&amp;" as "&amp;VLOOKUP(B43,Instruções!$F$6:$J$10,4,0)&amp;"_as_is, "&amp;E43&amp;" as "&amp;F43&amp;" FROM "&amp;C43&amp;" WHERE "&amp;Instruções!$D$11&amp;") A ",
"(SELECT "&amp;VLOOKUP(B43,Instruções!$F$6:$J$10,4,0)&amp;" as "&amp;VLOOKUP(B43,Instruções!$F$6:$J$10,4,0)&amp;"_as_is, "&amp;VLOOKUP(B43,Instruções!$F$6:$J$10,5,0)&amp;" as "&amp;VLOOKUP(B43,Instruções!$F$6:$J$10,5,0)&amp;"_as_is,"&amp;E43&amp;" as "&amp;F43&amp;" FROM "&amp;C43&amp;" WHERE "&amp;Instruções!$D$11&amp;") A ")</f>
        <v xml:space="preserve">(SELECT entty_id as entty_id_as_is, extrnl_rtng_nm as extrnl_rtng_nm_as_is FROM cd_loan_tapes_bce.lt003_entity WHERE ref_date='2025-06-30' AND nome_perimetro= 'Individual IDComb' AND segmento= 'ESTR' AND ambito= 'PM' AND entidade='00100' AND cod_visao = 1) A </v>
      </c>
      <c r="I43" s="17" t="str">
        <f>IF(VLOOKUP(B43,Instruções!$F$6:$J$10,5,0)="",
"(SELECT "&amp;VLOOKUP(B43,Instruções!$F$6:$J$10,4,0)&amp;" as "&amp;VLOOKUP(B43,Instruções!$F$6:$J$10,4,0)&amp;"_to_be, "&amp;E43&amp;" as "&amp;G43&amp;" FROM "&amp;D43&amp;" WHERE "&amp;Instruções!$D$11&amp;") B ",
"(SELECT "&amp;VLOOKUP(B43,Instruções!$F$6:$J$10,4,0)&amp;" as "&amp;VLOOKUP(B43,Instruções!$F$6:$J$10,4,0)&amp;"_to_be, "&amp;VLOOKUP(B43,Instruções!$F$6:$J$10,5,0)&amp;" as "&amp;VLOOKUP(B43,Instruções!$F$6:$J$10,5,0)&amp;"_to_be,"&amp;E43&amp;" as "&amp;G43&amp;" FROM "&amp;D43&amp;" WHERE "&amp;Instruções!$D$11&amp;") B ")</f>
        <v xml:space="preserve">(SELECT entty_id as entty_id_to_be, extrnl_rtng_nm as extrnl_rtng_nm_to_be FROM bu_loantape_work.lt003_entity WHERE ref_date='2025-06-30' AND nome_perimetro= 'Individual IDComb' AND segmento= 'ESTR' AND ambito= 'PM' AND entidade='00100' AND cod_visao = 1) B </v>
      </c>
      <c r="J43" s="17" t="str">
        <f>IF(VLOOKUP(B43,Instruções!$F$6:$J$10,5,0)="",
"ON "&amp;VLOOKUP(B43,Instruções!$F$6:$J$10,4,0)&amp;"_as_is = "&amp;VLOOKUP(B43,Instruções!$F$6:$J$10,4,0)&amp;"_to_be ",
"ON "&amp;VLOOKUP(B43,Instruções!$F$6:$J$10,4,0)&amp;"_as_is = "&amp;VLOOKUP(B43,Instruções!$F$6:$J$10,4,0)&amp;"_to_be AND "&amp;VLOOKUP(B43,Instruções!$F$6:$J$10,5,0)&amp;"_as_is = "&amp;VLOOKUP(B43,Instruções!$F$6:$J$10,5,0)&amp;"_to_be ")</f>
        <v xml:space="preserve">ON entty_id_as_is = entty_id_to_be </v>
      </c>
      <c r="K43" s="17" t="str">
        <f t="shared" si="8"/>
        <v xml:space="preserve">WHERE coalesce(cast(extrnl_rtng_nm_as_is as string), '') &lt;&gt; coalesce(cast(extrnl_rtng_nm_to_be as string), '') </v>
      </c>
      <c r="L43" s="17" t="str">
        <f t="shared" si="3"/>
        <v xml:space="preserve">SELECT count(*) AS NUM_REG_DIF FROM (SELECT entty_id as entty_id_as_is, extrnl_rtng_nm as extrnl_rtng_nm_as_is FROM cd_loan_tapes_bce.lt003_entity WHERE ref_date='2025-06-30' AND nome_perimetro= 'Individual IDComb' AND segmento= 'ESTR' AND ambito= 'PM' AND entidade='00100' AND cod_visao = 1) A  Inner join (SELECT entty_id as entty_id_to_be, extrnl_rtng_nm as extrnl_rtng_nm_to_be FROM bu_loantape_work.lt003_entity WHERE ref_date='2025-06-30' AND nome_perimetro= 'Individual IDComb' AND segmento= 'ESTR' AND ambito= 'PM' AND entidade='00100' AND cod_visao = 1) B ON entty_id_as_is = entty_id_to_be WHERE coalesce(cast(extrnl_rtng_nm_as_is as string), '') &lt;&gt; coalesce(cast(extrnl_rtng_nm_to_be as string), '') </v>
      </c>
      <c r="M43" s="17" t="s">
        <v>48</v>
      </c>
      <c r="N43" s="17" t="str">
        <f>"SELECT 'Validação de campos' as tipologia_teste, '"&amp;VLOOKUP(B43,Instruções!$F$6:$J$10,3,0)&amp;"' AS TABELA, '"&amp;E43&amp;"' AS CAMPO, '"&amp;Instruções!$D$7&amp;"' as ref_date, coalesce(NUM_REG_DIF, 0) AS NUM_REG_DIF FROM ("&amp;L43&amp;") A "</f>
        <v xml:space="preserve">SELECT 'Validação de campos' as tipologia_teste, 'lt003_entity' AS TABELA, 'extrnl_rtng_nm' AS CAMPO, '2025-06-30' as ref_date, coalesce(NUM_REG_DIF, 0) AS NUM_REG_DIF FROM (SELECT count(*) AS NUM_REG_DIF FROM (SELECT entty_id as entty_id_as_is, extrnl_rtng_nm as extrnl_rtng_nm_as_is FROM cd_loan_tapes_bce.lt003_entity WHERE ref_date='2025-06-30' AND nome_perimetro= 'Individual IDComb' AND segmento= 'ESTR' AND ambito= 'PM' AND entidade='00100' AND cod_visao = 1) A  Inner join (SELECT entty_id as entty_id_to_be, extrnl_rtng_nm as extrnl_rtng_nm_to_be FROM bu_loantape_work.lt003_entity WHERE ref_date='2025-06-30' AND nome_perimetro= 'Individual IDComb' AND segmento= 'ESTR' AND ambito= 'PM' AND entidade='00100' AND cod_visao = 1) B ON entty_id_as_is = entty_id_to_be WHERE coalesce(cast(extrnl_rtng_nm_as_is as string), '') &lt;&gt; coalesce(cast(extrnl_rtng_nm_to_be as string), '') ) A </v>
      </c>
      <c r="O43" s="19" t="str">
        <f t="shared" si="4"/>
        <v>SELECT 'Validação de campos' as tipologia_teste, 'lt003_entity' AS TABELA, 'extrnl_rtng_nm' AS CAMPO, '2025-06-30' as ref_date, coalesce(NUM_REG_DIF, 0) AS NUM_REG_DIF FROM (SELECT count(*) AS NUM_REG_DIF FROM (SELECT entty_id as entty_id_as_is, extrnl_rtng_nm as extrnl_rtng_nm_as_is FROM cd_loan_tapes_bce.lt003_entity WHERE ref_date='2025-06-30' AND nome_perimetro= 'Individual IDComb' AND segmento= 'ESTR' AND ambito= 'PM' AND entidade='00100' AND cod_visao = 1) A  Inner join (SELECT entty_id as entty_id_to_be, extrnl_rtng_nm as extrnl_rtng_nm_to_be FROM bu_loantape_work.lt003_entity WHERE ref_date='2025-06-30' AND nome_perimetro= 'Individual IDComb' AND segmento= 'ESTR' AND ambito= 'PM' AND entidade='00100' AND cod_visao = 1) B ON entty_id_as_is = entty_id_to_be WHERE coalesce(cast(extrnl_rtng_nm_as_is as string), '') &lt;&gt; coalesce(cast(extrnl_rtng_nm_to_be as string), '') ) A UNION ALL</v>
      </c>
      <c r="P43" s="17">
        <f t="shared" si="5"/>
        <v>40</v>
      </c>
    </row>
    <row r="44" spans="2:16" s="15" customFormat="1" ht="11.5" x14ac:dyDescent="0.25">
      <c r="B44" s="17" t="s">
        <v>11</v>
      </c>
      <c r="C44" s="17" t="str">
        <f>_xlfn.CONCAT(Instruções!$D$5,".",VLOOKUP(B44,Instruções!$F$5:$H$10,2,0))</f>
        <v>cd_loan_tapes_bce.lt003_entity</v>
      </c>
      <c r="D44" s="17" t="str">
        <f>_xlfn.CONCAT(Instruções!$D$6,".",VLOOKUP(B44,Instruções!$F$5:$H$10,3,0))</f>
        <v>bu_loantape_work.lt003_entity</v>
      </c>
      <c r="E44" s="17" t="s">
        <v>88</v>
      </c>
      <c r="F44" s="17" t="str">
        <f t="shared" si="6"/>
        <v>flg_bnkrptcy_in_grp_as_is</v>
      </c>
      <c r="G44" s="17" t="str">
        <f t="shared" si="7"/>
        <v>flg_bnkrptcy_in_grp_to_be</v>
      </c>
      <c r="H44" s="17" t="str">
        <f>IF(VLOOKUP(B44,Instruções!$F$6:$J$10,5,0)="",
"(SELECT "&amp;VLOOKUP(B44,Instruções!$F$6:$J$10,4,0)&amp;" as "&amp;VLOOKUP(B44,Instruções!$F$6:$J$10,4,0)&amp;"_as_is, "&amp;E44&amp;" as "&amp;F44&amp;" FROM "&amp;C44&amp;" WHERE "&amp;Instruções!$D$11&amp;") A ",
"(SELECT "&amp;VLOOKUP(B44,Instruções!$F$6:$J$10,4,0)&amp;" as "&amp;VLOOKUP(B44,Instruções!$F$6:$J$10,4,0)&amp;"_as_is, "&amp;VLOOKUP(B44,Instruções!$F$6:$J$10,5,0)&amp;" as "&amp;VLOOKUP(B44,Instruções!$F$6:$J$10,5,0)&amp;"_as_is,"&amp;E44&amp;" as "&amp;F44&amp;" FROM "&amp;C44&amp;" WHERE "&amp;Instruções!$D$11&amp;") A ")</f>
        <v xml:space="preserve">(SELECT entty_id as entty_id_as_is, flg_bnkrptcy_in_grp as flg_bnkrptcy_in_grp_as_is FROM cd_loan_tapes_bce.lt003_entity WHERE ref_date='2025-06-30' AND nome_perimetro= 'Individual IDComb' AND segmento= 'ESTR' AND ambito= 'PM' AND entidade='00100' AND cod_visao = 1) A </v>
      </c>
      <c r="I44" s="17" t="str">
        <f>IF(VLOOKUP(B44,Instruções!$F$6:$J$10,5,0)="",
"(SELECT "&amp;VLOOKUP(B44,Instruções!$F$6:$J$10,4,0)&amp;" as "&amp;VLOOKUP(B44,Instruções!$F$6:$J$10,4,0)&amp;"_to_be, "&amp;E44&amp;" as "&amp;G44&amp;" FROM "&amp;D44&amp;" WHERE "&amp;Instruções!$D$11&amp;") B ",
"(SELECT "&amp;VLOOKUP(B44,Instruções!$F$6:$J$10,4,0)&amp;" as "&amp;VLOOKUP(B44,Instruções!$F$6:$J$10,4,0)&amp;"_to_be, "&amp;VLOOKUP(B44,Instruções!$F$6:$J$10,5,0)&amp;" as "&amp;VLOOKUP(B44,Instruções!$F$6:$J$10,5,0)&amp;"_to_be,"&amp;E44&amp;" as "&amp;G44&amp;" FROM "&amp;D44&amp;" WHERE "&amp;Instruções!$D$11&amp;") B ")</f>
        <v xml:space="preserve">(SELECT entty_id as entty_id_to_be, flg_bnkrptcy_in_grp as flg_bnkrptcy_in_grp_to_be FROM bu_loantape_work.lt003_entity WHERE ref_date='2025-06-30' AND nome_perimetro= 'Individual IDComb' AND segmento= 'ESTR' AND ambito= 'PM' AND entidade='00100' AND cod_visao = 1) B </v>
      </c>
      <c r="J44" s="17" t="str">
        <f>IF(VLOOKUP(B44,Instruções!$F$6:$J$10,5,0)="",
"ON "&amp;VLOOKUP(B44,Instruções!$F$6:$J$10,4,0)&amp;"_as_is = "&amp;VLOOKUP(B44,Instruções!$F$6:$J$10,4,0)&amp;"_to_be ",
"ON "&amp;VLOOKUP(B44,Instruções!$F$6:$J$10,4,0)&amp;"_as_is = "&amp;VLOOKUP(B44,Instruções!$F$6:$J$10,4,0)&amp;"_to_be AND "&amp;VLOOKUP(B44,Instruções!$F$6:$J$10,5,0)&amp;"_as_is = "&amp;VLOOKUP(B44,Instruções!$F$6:$J$10,5,0)&amp;"_to_be ")</f>
        <v xml:space="preserve">ON entty_id_as_is = entty_id_to_be </v>
      </c>
      <c r="K44" s="17" t="str">
        <f t="shared" si="8"/>
        <v xml:space="preserve">WHERE coalesce(cast(flg_bnkrptcy_in_grp_as_is as string), '') &lt;&gt; coalesce(cast(flg_bnkrptcy_in_grp_to_be as string), '') </v>
      </c>
      <c r="L44" s="17" t="str">
        <f t="shared" si="3"/>
        <v xml:space="preserve">SELECT count(*) AS NUM_REG_DIF FROM (SELECT entty_id as entty_id_as_is, flg_bnkrptcy_in_grp as flg_bnkrptcy_in_grp_as_is FROM cd_loan_tapes_bce.lt003_entity WHERE ref_date='2025-06-30' AND nome_perimetro= 'Individual IDComb' AND segmento= 'ESTR' AND ambito= 'PM' AND entidade='00100' AND cod_visao = 1) A  Inner join (SELECT entty_id as entty_id_to_be, flg_bnkrptcy_in_grp as flg_bnkrptcy_in_grp_to_be FROM bu_loantape_work.lt003_entity WHERE ref_date='2025-06-30' AND nome_perimetro= 'Individual IDComb' AND segmento= 'ESTR' AND ambito= 'PM' AND entidade='00100' AND cod_visao = 1) B ON entty_id_as_is = entty_id_to_be WHERE coalesce(cast(flg_bnkrptcy_in_grp_as_is as string), '') &lt;&gt; coalesce(cast(flg_bnkrptcy_in_grp_to_be as string), '') </v>
      </c>
      <c r="M44" s="17" t="s">
        <v>48</v>
      </c>
      <c r="N44" s="17" t="str">
        <f>"SELECT 'Validação de campos' as tipologia_teste, '"&amp;VLOOKUP(B44,Instruções!$F$6:$J$10,3,0)&amp;"' AS TABELA, '"&amp;E44&amp;"' AS CAMPO, '"&amp;Instruções!$D$7&amp;"' as ref_date, coalesce(NUM_REG_DIF, 0) AS NUM_REG_DIF FROM ("&amp;L44&amp;") A "</f>
        <v xml:space="preserve">SELECT 'Validação de campos' as tipologia_teste, 'lt003_entity' AS TABELA, 'flg_bnkrptcy_in_grp' AS CAMPO, '2025-06-30' as ref_date, coalesce(NUM_REG_DIF, 0) AS NUM_REG_DIF FROM (SELECT count(*) AS NUM_REG_DIF FROM (SELECT entty_id as entty_id_as_is, flg_bnkrptcy_in_grp as flg_bnkrptcy_in_grp_as_is FROM cd_loan_tapes_bce.lt003_entity WHERE ref_date='2025-06-30' AND nome_perimetro= 'Individual IDComb' AND segmento= 'ESTR' AND ambito= 'PM' AND entidade='00100' AND cod_visao = 1) A  Inner join (SELECT entty_id as entty_id_to_be, flg_bnkrptcy_in_grp as flg_bnkrptcy_in_grp_to_be FROM bu_loantape_work.lt003_entity WHERE ref_date='2025-06-30' AND nome_perimetro= 'Individual IDComb' AND segmento= 'ESTR' AND ambito= 'PM' AND entidade='00100' AND cod_visao = 1) B ON entty_id_as_is = entty_id_to_be WHERE coalesce(cast(flg_bnkrptcy_in_grp_as_is as string), '') &lt;&gt; coalesce(cast(flg_bnkrptcy_in_grp_to_be as string), '') ) A </v>
      </c>
      <c r="O44" s="19" t="str">
        <f t="shared" si="4"/>
        <v>SELECT 'Validação de campos' as tipologia_teste, 'lt003_entity' AS TABELA, 'flg_bnkrptcy_in_grp' AS CAMPO, '2025-06-30' as ref_date, coalesce(NUM_REG_DIF, 0) AS NUM_REG_DIF FROM (SELECT count(*) AS NUM_REG_DIF FROM (SELECT entty_id as entty_id_as_is, flg_bnkrptcy_in_grp as flg_bnkrptcy_in_grp_as_is FROM cd_loan_tapes_bce.lt003_entity WHERE ref_date='2025-06-30' AND nome_perimetro= 'Individual IDComb' AND segmento= 'ESTR' AND ambito= 'PM' AND entidade='00100' AND cod_visao = 1) A  Inner join (SELECT entty_id as entty_id_to_be, flg_bnkrptcy_in_grp as flg_bnkrptcy_in_grp_to_be FROM bu_loantape_work.lt003_entity WHERE ref_date='2025-06-30' AND nome_perimetro= 'Individual IDComb' AND segmento= 'ESTR' AND ambito= 'PM' AND entidade='00100' AND cod_visao = 1) B ON entty_id_as_is = entty_id_to_be WHERE coalesce(cast(flg_bnkrptcy_in_grp_as_is as string), '') &lt;&gt; coalesce(cast(flg_bnkrptcy_in_grp_to_be as string), '') ) A UNION ALL</v>
      </c>
      <c r="P44" s="17">
        <f t="shared" si="5"/>
        <v>41</v>
      </c>
    </row>
    <row r="45" spans="2:16" s="15" customFormat="1" ht="11.5" x14ac:dyDescent="0.25">
      <c r="B45" s="17" t="s">
        <v>11</v>
      </c>
      <c r="C45" s="17" t="str">
        <f>_xlfn.CONCAT(Instruções!$D$5,".",VLOOKUP(B45,Instruções!$F$5:$H$10,2,0))</f>
        <v>cd_loan_tapes_bce.lt003_entity</v>
      </c>
      <c r="D45" s="17" t="str">
        <f>_xlfn.CONCAT(Instruções!$D$6,".",VLOOKUP(B45,Instruções!$F$5:$H$10,3,0))</f>
        <v>bu_loantape_work.lt003_entity</v>
      </c>
      <c r="E45" s="17" t="s">
        <v>89</v>
      </c>
      <c r="F45" s="17" t="str">
        <f t="shared" si="6"/>
        <v>flg_hgh_cds_as_is</v>
      </c>
      <c r="G45" s="17" t="str">
        <f t="shared" si="7"/>
        <v>flg_hgh_cds_to_be</v>
      </c>
      <c r="H45" s="17" t="str">
        <f>IF(VLOOKUP(B45,Instruções!$F$6:$J$10,5,0)="",
"(SELECT "&amp;VLOOKUP(B45,Instruções!$F$6:$J$10,4,0)&amp;" as "&amp;VLOOKUP(B45,Instruções!$F$6:$J$10,4,0)&amp;"_as_is, "&amp;E45&amp;" as "&amp;F45&amp;" FROM "&amp;C45&amp;" WHERE "&amp;Instruções!$D$11&amp;") A ",
"(SELECT "&amp;VLOOKUP(B45,Instruções!$F$6:$J$10,4,0)&amp;" as "&amp;VLOOKUP(B45,Instruções!$F$6:$J$10,4,0)&amp;"_as_is, "&amp;VLOOKUP(B45,Instruções!$F$6:$J$10,5,0)&amp;" as "&amp;VLOOKUP(B45,Instruções!$F$6:$J$10,5,0)&amp;"_as_is,"&amp;E45&amp;" as "&amp;F45&amp;" FROM "&amp;C45&amp;" WHERE "&amp;Instruções!$D$11&amp;") A ")</f>
        <v xml:space="preserve">(SELECT entty_id as entty_id_as_is, flg_hgh_cds as flg_hgh_cds_as_is FROM cd_loan_tapes_bce.lt003_entity WHERE ref_date='2025-06-30' AND nome_perimetro= 'Individual IDComb' AND segmento= 'ESTR' AND ambito= 'PM' AND entidade='00100' AND cod_visao = 1) A </v>
      </c>
      <c r="I45" s="17" t="str">
        <f>IF(VLOOKUP(B45,Instruções!$F$6:$J$10,5,0)="",
"(SELECT "&amp;VLOOKUP(B45,Instruções!$F$6:$J$10,4,0)&amp;" as "&amp;VLOOKUP(B45,Instruções!$F$6:$J$10,4,0)&amp;"_to_be, "&amp;E45&amp;" as "&amp;G45&amp;" FROM "&amp;D45&amp;" WHERE "&amp;Instruções!$D$11&amp;") B ",
"(SELECT "&amp;VLOOKUP(B45,Instruções!$F$6:$J$10,4,0)&amp;" as "&amp;VLOOKUP(B45,Instruções!$F$6:$J$10,4,0)&amp;"_to_be, "&amp;VLOOKUP(B45,Instruções!$F$6:$J$10,5,0)&amp;" as "&amp;VLOOKUP(B45,Instruções!$F$6:$J$10,5,0)&amp;"_to_be,"&amp;E45&amp;" as "&amp;G45&amp;" FROM "&amp;D45&amp;" WHERE "&amp;Instruções!$D$11&amp;") B ")</f>
        <v xml:space="preserve">(SELECT entty_id as entty_id_to_be, flg_hgh_cds as flg_hgh_cds_to_be FROM bu_loantape_work.lt003_entity WHERE ref_date='2025-06-30' AND nome_perimetro= 'Individual IDComb' AND segmento= 'ESTR' AND ambito= 'PM' AND entidade='00100' AND cod_visao = 1) B </v>
      </c>
      <c r="J45" s="17" t="str">
        <f>IF(VLOOKUP(B45,Instruções!$F$6:$J$10,5,0)="",
"ON "&amp;VLOOKUP(B45,Instruções!$F$6:$J$10,4,0)&amp;"_as_is = "&amp;VLOOKUP(B45,Instruções!$F$6:$J$10,4,0)&amp;"_to_be ",
"ON "&amp;VLOOKUP(B45,Instruções!$F$6:$J$10,4,0)&amp;"_as_is = "&amp;VLOOKUP(B45,Instruções!$F$6:$J$10,4,0)&amp;"_to_be AND "&amp;VLOOKUP(B45,Instruções!$F$6:$J$10,5,0)&amp;"_as_is = "&amp;VLOOKUP(B45,Instruções!$F$6:$J$10,5,0)&amp;"_to_be ")</f>
        <v xml:space="preserve">ON entty_id_as_is = entty_id_to_be </v>
      </c>
      <c r="K45" s="17" t="str">
        <f t="shared" si="8"/>
        <v xml:space="preserve">WHERE coalesce(cast(flg_hgh_cds_as_is as string), '') &lt;&gt; coalesce(cast(flg_hgh_cds_to_be as string), '') </v>
      </c>
      <c r="L45" s="17" t="str">
        <f t="shared" si="3"/>
        <v xml:space="preserve">SELECT count(*) AS NUM_REG_DIF FROM (SELECT entty_id as entty_id_as_is, flg_hgh_cds as flg_hgh_cds_as_is FROM cd_loan_tapes_bce.lt003_entity WHERE ref_date='2025-06-30' AND nome_perimetro= 'Individual IDComb' AND segmento= 'ESTR' AND ambito= 'PM' AND entidade='00100' AND cod_visao = 1) A  Inner join (SELECT entty_id as entty_id_to_be, flg_hgh_cds as flg_hgh_cds_to_be FROM bu_loantape_work.lt003_entity WHERE ref_date='2025-06-30' AND nome_perimetro= 'Individual IDComb' AND segmento= 'ESTR' AND ambito= 'PM' AND entidade='00100' AND cod_visao = 1) B ON entty_id_as_is = entty_id_to_be WHERE coalesce(cast(flg_hgh_cds_as_is as string), '') &lt;&gt; coalesce(cast(flg_hgh_cds_to_be as string), '') </v>
      </c>
      <c r="M45" s="17" t="s">
        <v>48</v>
      </c>
      <c r="N45" s="17" t="str">
        <f>"SELECT 'Validação de campos' as tipologia_teste, '"&amp;VLOOKUP(B45,Instruções!$F$6:$J$10,3,0)&amp;"' AS TABELA, '"&amp;E45&amp;"' AS CAMPO, '"&amp;Instruções!$D$7&amp;"' as ref_date, coalesce(NUM_REG_DIF, 0) AS NUM_REG_DIF FROM ("&amp;L45&amp;") A "</f>
        <v xml:space="preserve">SELECT 'Validação de campos' as tipologia_teste, 'lt003_entity' AS TABELA, 'flg_hgh_cds' AS CAMPO, '2025-06-30' as ref_date, coalesce(NUM_REG_DIF, 0) AS NUM_REG_DIF FROM (SELECT count(*) AS NUM_REG_DIF FROM (SELECT entty_id as entty_id_as_is, flg_hgh_cds as flg_hgh_cds_as_is FROM cd_loan_tapes_bce.lt003_entity WHERE ref_date='2025-06-30' AND nome_perimetro= 'Individual IDComb' AND segmento= 'ESTR' AND ambito= 'PM' AND entidade='00100' AND cod_visao = 1) A  Inner join (SELECT entty_id as entty_id_to_be, flg_hgh_cds as flg_hgh_cds_to_be FROM bu_loantape_work.lt003_entity WHERE ref_date='2025-06-30' AND nome_perimetro= 'Individual IDComb' AND segmento= 'ESTR' AND ambito= 'PM' AND entidade='00100' AND cod_visao = 1) B ON entty_id_as_is = entty_id_to_be WHERE coalesce(cast(flg_hgh_cds_as_is as string), '') &lt;&gt; coalesce(cast(flg_hgh_cds_to_be as string), '') ) A </v>
      </c>
      <c r="O45" s="19" t="str">
        <f t="shared" si="4"/>
        <v>SELECT 'Validação de campos' as tipologia_teste, 'lt003_entity' AS TABELA, 'flg_hgh_cds' AS CAMPO, '2025-06-30' as ref_date, coalesce(NUM_REG_DIF, 0) AS NUM_REG_DIF FROM (SELECT count(*) AS NUM_REG_DIF FROM (SELECT entty_id as entty_id_as_is, flg_hgh_cds as flg_hgh_cds_as_is FROM cd_loan_tapes_bce.lt003_entity WHERE ref_date='2025-06-30' AND nome_perimetro= 'Individual IDComb' AND segmento= 'ESTR' AND ambito= 'PM' AND entidade='00100' AND cod_visao = 1) A  Inner join (SELECT entty_id as entty_id_to_be, flg_hgh_cds as flg_hgh_cds_to_be FROM bu_loantape_work.lt003_entity WHERE ref_date='2025-06-30' AND nome_perimetro= 'Individual IDComb' AND segmento= 'ESTR' AND ambito= 'PM' AND entidade='00100' AND cod_visao = 1) B ON entty_id_as_is = entty_id_to_be WHERE coalesce(cast(flg_hgh_cds_as_is as string), '') &lt;&gt; coalesce(cast(flg_hgh_cds_to_be as string), '') ) A UNION ALL</v>
      </c>
      <c r="P45" s="17">
        <f t="shared" si="5"/>
        <v>42</v>
      </c>
    </row>
    <row r="46" spans="2:16" s="15" customFormat="1" ht="11.5" x14ac:dyDescent="0.25">
      <c r="B46" s="17" t="s">
        <v>11</v>
      </c>
      <c r="C46" s="17" t="str">
        <f>_xlfn.CONCAT(Instruções!$D$5,".",VLOOKUP(B46,Instruções!$F$5:$H$10,2,0))</f>
        <v>cd_loan_tapes_bce.lt003_entity</v>
      </c>
      <c r="D46" s="17" t="str">
        <f>_xlfn.CONCAT(Instruções!$D$6,".",VLOOKUP(B46,Instruções!$F$5:$H$10,3,0))</f>
        <v>bu_loantape_work.lt003_entity</v>
      </c>
      <c r="E46" s="17" t="s">
        <v>90</v>
      </c>
      <c r="F46" s="17" t="str">
        <f t="shared" si="6"/>
        <v>flg_isda_crdt_evnt_as_is</v>
      </c>
      <c r="G46" s="17" t="str">
        <f t="shared" si="7"/>
        <v>flg_isda_crdt_evnt_to_be</v>
      </c>
      <c r="H46" s="17" t="str">
        <f>IF(VLOOKUP(B46,Instruções!$F$6:$J$10,5,0)="",
"(SELECT "&amp;VLOOKUP(B46,Instruções!$F$6:$J$10,4,0)&amp;" as "&amp;VLOOKUP(B46,Instruções!$F$6:$J$10,4,0)&amp;"_as_is, "&amp;E46&amp;" as "&amp;F46&amp;" FROM "&amp;C46&amp;" WHERE "&amp;Instruções!$D$11&amp;") A ",
"(SELECT "&amp;VLOOKUP(B46,Instruções!$F$6:$J$10,4,0)&amp;" as "&amp;VLOOKUP(B46,Instruções!$F$6:$J$10,4,0)&amp;"_as_is, "&amp;VLOOKUP(B46,Instruções!$F$6:$J$10,5,0)&amp;" as "&amp;VLOOKUP(B46,Instruções!$F$6:$J$10,5,0)&amp;"_as_is,"&amp;E46&amp;" as "&amp;F46&amp;" FROM "&amp;C46&amp;" WHERE "&amp;Instruções!$D$11&amp;") A ")</f>
        <v xml:space="preserve">(SELECT entty_id as entty_id_as_is, flg_isda_crdt_evnt as flg_isda_crdt_evnt_as_is FROM cd_loan_tapes_bce.lt003_entity WHERE ref_date='2025-06-30' AND nome_perimetro= 'Individual IDComb' AND segmento= 'ESTR' AND ambito= 'PM' AND entidade='00100' AND cod_visao = 1) A </v>
      </c>
      <c r="I46" s="17" t="str">
        <f>IF(VLOOKUP(B46,Instruções!$F$6:$J$10,5,0)="",
"(SELECT "&amp;VLOOKUP(B46,Instruções!$F$6:$J$10,4,0)&amp;" as "&amp;VLOOKUP(B46,Instruções!$F$6:$J$10,4,0)&amp;"_to_be, "&amp;E46&amp;" as "&amp;G46&amp;" FROM "&amp;D46&amp;" WHERE "&amp;Instruções!$D$11&amp;") B ",
"(SELECT "&amp;VLOOKUP(B46,Instruções!$F$6:$J$10,4,0)&amp;" as "&amp;VLOOKUP(B46,Instruções!$F$6:$J$10,4,0)&amp;"_to_be, "&amp;VLOOKUP(B46,Instruções!$F$6:$J$10,5,0)&amp;" as "&amp;VLOOKUP(B46,Instruções!$F$6:$J$10,5,0)&amp;"_to_be,"&amp;E46&amp;" as "&amp;G46&amp;" FROM "&amp;D46&amp;" WHERE "&amp;Instruções!$D$11&amp;") B ")</f>
        <v xml:space="preserve">(SELECT entty_id as entty_id_to_be, flg_isda_crdt_evnt as flg_isda_crdt_evnt_to_be FROM bu_loantape_work.lt003_entity WHERE ref_date='2025-06-30' AND nome_perimetro= 'Individual IDComb' AND segmento= 'ESTR' AND ambito= 'PM' AND entidade='00100' AND cod_visao = 1) B </v>
      </c>
      <c r="J46" s="17" t="str">
        <f>IF(VLOOKUP(B46,Instruções!$F$6:$J$10,5,0)="",
"ON "&amp;VLOOKUP(B46,Instruções!$F$6:$J$10,4,0)&amp;"_as_is = "&amp;VLOOKUP(B46,Instruções!$F$6:$J$10,4,0)&amp;"_to_be ",
"ON "&amp;VLOOKUP(B46,Instruções!$F$6:$J$10,4,0)&amp;"_as_is = "&amp;VLOOKUP(B46,Instruções!$F$6:$J$10,4,0)&amp;"_to_be AND "&amp;VLOOKUP(B46,Instruções!$F$6:$J$10,5,0)&amp;"_as_is = "&amp;VLOOKUP(B46,Instruções!$F$6:$J$10,5,0)&amp;"_to_be ")</f>
        <v xml:space="preserve">ON entty_id_as_is = entty_id_to_be </v>
      </c>
      <c r="K46" s="17" t="str">
        <f t="shared" si="8"/>
        <v xml:space="preserve">WHERE coalesce(cast(flg_isda_crdt_evnt_as_is as string), '') &lt;&gt; coalesce(cast(flg_isda_crdt_evnt_to_be as string), '') </v>
      </c>
      <c r="L46" s="17" t="str">
        <f t="shared" si="3"/>
        <v xml:space="preserve">SELECT count(*) AS NUM_REG_DIF FROM (SELECT entty_id as entty_id_as_is, flg_isda_crdt_evnt as flg_isda_crdt_evnt_as_is FROM cd_loan_tapes_bce.lt003_entity WHERE ref_date='2025-06-30' AND nome_perimetro= 'Individual IDComb' AND segmento= 'ESTR' AND ambito= 'PM' AND entidade='00100' AND cod_visao = 1) A  Inner join (SELECT entty_id as entty_id_to_be, flg_isda_crdt_evnt as flg_isda_crdt_evnt_to_be FROM bu_loantape_work.lt003_entity WHERE ref_date='2025-06-30' AND nome_perimetro= 'Individual IDComb' AND segmento= 'ESTR' AND ambito= 'PM' AND entidade='00100' AND cod_visao = 1) B ON entty_id_as_is = entty_id_to_be WHERE coalesce(cast(flg_isda_crdt_evnt_as_is as string), '') &lt;&gt; coalesce(cast(flg_isda_crdt_evnt_to_be as string), '') </v>
      </c>
      <c r="M46" s="17" t="s">
        <v>48</v>
      </c>
      <c r="N46" s="17" t="str">
        <f>"SELECT 'Validação de campos' as tipologia_teste, '"&amp;VLOOKUP(B46,Instruções!$F$6:$J$10,3,0)&amp;"' AS TABELA, '"&amp;E46&amp;"' AS CAMPO, '"&amp;Instruções!$D$7&amp;"' as ref_date, coalesce(NUM_REG_DIF, 0) AS NUM_REG_DIF FROM ("&amp;L46&amp;") A "</f>
        <v xml:space="preserve">SELECT 'Validação de campos' as tipologia_teste, 'lt003_entity' AS TABELA, 'flg_isda_crdt_evnt' AS CAMPO, '2025-06-30' as ref_date, coalesce(NUM_REG_DIF, 0) AS NUM_REG_DIF FROM (SELECT count(*) AS NUM_REG_DIF FROM (SELECT entty_id as entty_id_as_is, flg_isda_crdt_evnt as flg_isda_crdt_evnt_as_is FROM cd_loan_tapes_bce.lt003_entity WHERE ref_date='2025-06-30' AND nome_perimetro= 'Individual IDComb' AND segmento= 'ESTR' AND ambito= 'PM' AND entidade='00100' AND cod_visao = 1) A  Inner join (SELECT entty_id as entty_id_to_be, flg_isda_crdt_evnt as flg_isda_crdt_evnt_to_be FROM bu_loantape_work.lt003_entity WHERE ref_date='2025-06-30' AND nome_perimetro= 'Individual IDComb' AND segmento= 'ESTR' AND ambito= 'PM' AND entidade='00100' AND cod_visao = 1) B ON entty_id_as_is = entty_id_to_be WHERE coalesce(cast(flg_isda_crdt_evnt_as_is as string), '') &lt;&gt; coalesce(cast(flg_isda_crdt_evnt_to_be as string), '') ) A </v>
      </c>
      <c r="O46" s="19" t="str">
        <f t="shared" si="4"/>
        <v>SELECT 'Validação de campos' as tipologia_teste, 'lt003_entity' AS TABELA, 'flg_isda_crdt_evnt' AS CAMPO, '2025-06-30' as ref_date, coalesce(NUM_REG_DIF, 0) AS NUM_REG_DIF FROM (SELECT count(*) AS NUM_REG_DIF FROM (SELECT entty_id as entty_id_as_is, flg_isda_crdt_evnt as flg_isda_crdt_evnt_as_is FROM cd_loan_tapes_bce.lt003_entity WHERE ref_date='2025-06-30' AND nome_perimetro= 'Individual IDComb' AND segmento= 'ESTR' AND ambito= 'PM' AND entidade='00100' AND cod_visao = 1) A  Inner join (SELECT entty_id as entty_id_to_be, flg_isda_crdt_evnt as flg_isda_crdt_evnt_to_be FROM bu_loantape_work.lt003_entity WHERE ref_date='2025-06-30' AND nome_perimetro= 'Individual IDComb' AND segmento= 'ESTR' AND ambito= 'PM' AND entidade='00100' AND cod_visao = 1) B ON entty_id_as_is = entty_id_to_be WHERE coalesce(cast(flg_isda_crdt_evnt_as_is as string), '') &lt;&gt; coalesce(cast(flg_isda_crdt_evnt_to_be as string), '') ) A UNION ALL</v>
      </c>
      <c r="P46" s="17">
        <f t="shared" si="5"/>
        <v>43</v>
      </c>
    </row>
    <row r="47" spans="2:16" s="15" customFormat="1" ht="11.5" x14ac:dyDescent="0.25">
      <c r="B47" s="17" t="s">
        <v>11</v>
      </c>
      <c r="C47" s="17" t="str">
        <f>_xlfn.CONCAT(Instruções!$D$5,".",VLOOKUP(B47,Instruções!$F$5:$H$10,2,0))</f>
        <v>cd_loan_tapes_bce.lt003_entity</v>
      </c>
      <c r="D47" s="17" t="str">
        <f>_xlfn.CONCAT(Instruções!$D$6,".",VLOOKUP(B47,Instruções!$F$5:$H$10,3,0))</f>
        <v>bu_loantape_work.lt003_entity</v>
      </c>
      <c r="E47" s="17" t="s">
        <v>91</v>
      </c>
      <c r="F47" s="17" t="str">
        <f t="shared" si="6"/>
        <v>flg_nn_accrl_as_is</v>
      </c>
      <c r="G47" s="17" t="str">
        <f t="shared" si="7"/>
        <v>flg_nn_accrl_to_be</v>
      </c>
      <c r="H47" s="17" t="str">
        <f>IF(VLOOKUP(B47,Instruções!$F$6:$J$10,5,0)="",
"(SELECT "&amp;VLOOKUP(B47,Instruções!$F$6:$J$10,4,0)&amp;" as "&amp;VLOOKUP(B47,Instruções!$F$6:$J$10,4,0)&amp;"_as_is, "&amp;E47&amp;" as "&amp;F47&amp;" FROM "&amp;C47&amp;" WHERE "&amp;Instruções!$D$11&amp;") A ",
"(SELECT "&amp;VLOOKUP(B47,Instruções!$F$6:$J$10,4,0)&amp;" as "&amp;VLOOKUP(B47,Instruções!$F$6:$J$10,4,0)&amp;"_as_is, "&amp;VLOOKUP(B47,Instruções!$F$6:$J$10,5,0)&amp;" as "&amp;VLOOKUP(B47,Instruções!$F$6:$J$10,5,0)&amp;"_as_is,"&amp;E47&amp;" as "&amp;F47&amp;" FROM "&amp;C47&amp;" WHERE "&amp;Instruções!$D$11&amp;") A ")</f>
        <v xml:space="preserve">(SELECT entty_id as entty_id_as_is, flg_nn_accrl as flg_nn_accrl_as_is FROM cd_loan_tapes_bce.lt003_entity WHERE ref_date='2025-06-30' AND nome_perimetro= 'Individual IDComb' AND segmento= 'ESTR' AND ambito= 'PM' AND entidade='00100' AND cod_visao = 1) A </v>
      </c>
      <c r="I47" s="17" t="str">
        <f>IF(VLOOKUP(B47,Instruções!$F$6:$J$10,5,0)="",
"(SELECT "&amp;VLOOKUP(B47,Instruções!$F$6:$J$10,4,0)&amp;" as "&amp;VLOOKUP(B47,Instruções!$F$6:$J$10,4,0)&amp;"_to_be, "&amp;E47&amp;" as "&amp;G47&amp;" FROM "&amp;D47&amp;" WHERE "&amp;Instruções!$D$11&amp;") B ",
"(SELECT "&amp;VLOOKUP(B47,Instruções!$F$6:$J$10,4,0)&amp;" as "&amp;VLOOKUP(B47,Instruções!$F$6:$J$10,4,0)&amp;"_to_be, "&amp;VLOOKUP(B47,Instruções!$F$6:$J$10,5,0)&amp;" as "&amp;VLOOKUP(B47,Instruções!$F$6:$J$10,5,0)&amp;"_to_be,"&amp;E47&amp;" as "&amp;G47&amp;" FROM "&amp;D47&amp;" WHERE "&amp;Instruções!$D$11&amp;") B ")</f>
        <v xml:space="preserve">(SELECT entty_id as entty_id_to_be, flg_nn_accrl as flg_nn_accrl_to_be FROM bu_loantape_work.lt003_entity WHERE ref_date='2025-06-30' AND nome_perimetro= 'Individual IDComb' AND segmento= 'ESTR' AND ambito= 'PM' AND entidade='00100' AND cod_visao = 1) B </v>
      </c>
      <c r="J47" s="17" t="str">
        <f>IF(VLOOKUP(B47,Instruções!$F$6:$J$10,5,0)="",
"ON "&amp;VLOOKUP(B47,Instruções!$F$6:$J$10,4,0)&amp;"_as_is = "&amp;VLOOKUP(B47,Instruções!$F$6:$J$10,4,0)&amp;"_to_be ",
"ON "&amp;VLOOKUP(B47,Instruções!$F$6:$J$10,4,0)&amp;"_as_is = "&amp;VLOOKUP(B47,Instruções!$F$6:$J$10,4,0)&amp;"_to_be AND "&amp;VLOOKUP(B47,Instruções!$F$6:$J$10,5,0)&amp;"_as_is = "&amp;VLOOKUP(B47,Instruções!$F$6:$J$10,5,0)&amp;"_to_be ")</f>
        <v xml:space="preserve">ON entty_id_as_is = entty_id_to_be </v>
      </c>
      <c r="K47" s="17" t="str">
        <f t="shared" si="8"/>
        <v xml:space="preserve">WHERE coalesce(cast(flg_nn_accrl_as_is as string), '') &lt;&gt; coalesce(cast(flg_nn_accrl_to_be as string), '') </v>
      </c>
      <c r="L47" s="17" t="str">
        <f t="shared" si="3"/>
        <v xml:space="preserve">SELECT count(*) AS NUM_REG_DIF FROM (SELECT entty_id as entty_id_as_is, flg_nn_accrl as flg_nn_accrl_as_is FROM cd_loan_tapes_bce.lt003_entity WHERE ref_date='2025-06-30' AND nome_perimetro= 'Individual IDComb' AND segmento= 'ESTR' AND ambito= 'PM' AND entidade='00100' AND cod_visao = 1) A  Inner join (SELECT entty_id as entty_id_to_be, flg_nn_accrl as flg_nn_accrl_to_be FROM bu_loantape_work.lt003_entity WHERE ref_date='2025-06-30' AND nome_perimetro= 'Individual IDComb' AND segmento= 'ESTR' AND ambito= 'PM' AND entidade='00100' AND cod_visao = 1) B ON entty_id_as_is = entty_id_to_be WHERE coalesce(cast(flg_nn_accrl_as_is as string), '') &lt;&gt; coalesce(cast(flg_nn_accrl_to_be as string), '') </v>
      </c>
      <c r="M47" s="17" t="s">
        <v>48</v>
      </c>
      <c r="N47" s="17" t="str">
        <f>"SELECT 'Validação de campos' as tipologia_teste, '"&amp;VLOOKUP(B47,Instruções!$F$6:$J$10,3,0)&amp;"' AS TABELA, '"&amp;E47&amp;"' AS CAMPO, '"&amp;Instruções!$D$7&amp;"' as ref_date, coalesce(NUM_REG_DIF, 0) AS NUM_REG_DIF FROM ("&amp;L47&amp;") A "</f>
        <v xml:space="preserve">SELECT 'Validação de campos' as tipologia_teste, 'lt003_entity' AS TABELA, 'flg_nn_accrl' AS CAMPO, '2025-06-30' as ref_date, coalesce(NUM_REG_DIF, 0) AS NUM_REG_DIF FROM (SELECT count(*) AS NUM_REG_DIF FROM (SELECT entty_id as entty_id_as_is, flg_nn_accrl as flg_nn_accrl_as_is FROM cd_loan_tapes_bce.lt003_entity WHERE ref_date='2025-06-30' AND nome_perimetro= 'Individual IDComb' AND segmento= 'ESTR' AND ambito= 'PM' AND entidade='00100' AND cod_visao = 1) A  Inner join (SELECT entty_id as entty_id_to_be, flg_nn_accrl as flg_nn_accrl_to_be FROM bu_loantape_work.lt003_entity WHERE ref_date='2025-06-30' AND nome_perimetro= 'Individual IDComb' AND segmento= 'ESTR' AND ambito= 'PM' AND entidade='00100' AND cod_visao = 1) B ON entty_id_as_is = entty_id_to_be WHERE coalesce(cast(flg_nn_accrl_as_is as string), '') &lt;&gt; coalesce(cast(flg_nn_accrl_to_be as string), '') ) A </v>
      </c>
      <c r="O47" s="19" t="str">
        <f t="shared" si="4"/>
        <v>SELECT 'Validação de campos' as tipologia_teste, 'lt003_entity' AS TABELA, 'flg_nn_accrl' AS CAMPO, '2025-06-30' as ref_date, coalesce(NUM_REG_DIF, 0) AS NUM_REG_DIF FROM (SELECT count(*) AS NUM_REG_DIF FROM (SELECT entty_id as entty_id_as_is, flg_nn_accrl as flg_nn_accrl_as_is FROM cd_loan_tapes_bce.lt003_entity WHERE ref_date='2025-06-30' AND nome_perimetro= 'Individual IDComb' AND segmento= 'ESTR' AND ambito= 'PM' AND entidade='00100' AND cod_visao = 1) A  Inner join (SELECT entty_id as entty_id_to_be, flg_nn_accrl as flg_nn_accrl_to_be FROM bu_loantape_work.lt003_entity WHERE ref_date='2025-06-30' AND nome_perimetro= 'Individual IDComb' AND segmento= 'ESTR' AND ambito= 'PM' AND entidade='00100' AND cod_visao = 1) B ON entty_id_as_is = entty_id_to_be WHERE coalesce(cast(flg_nn_accrl_as_is as string), '') &lt;&gt; coalesce(cast(flg_nn_accrl_to_be as string), '') ) A UNION ALL</v>
      </c>
      <c r="P47" s="17">
        <f t="shared" si="5"/>
        <v>44</v>
      </c>
    </row>
    <row r="48" spans="2:16" s="15" customFormat="1" ht="11.5" x14ac:dyDescent="0.25">
      <c r="B48" s="17" t="s">
        <v>11</v>
      </c>
      <c r="C48" s="17" t="str">
        <f>_xlfn.CONCAT(Instruções!$D$5,".",VLOOKUP(B48,Instruções!$F$5:$H$10,2,0))</f>
        <v>cd_loan_tapes_bce.lt003_entity</v>
      </c>
      <c r="D48" s="17" t="str">
        <f>_xlfn.CONCAT(Instruções!$D$6,".",VLOOKUP(B48,Instruções!$F$5:$H$10,3,0))</f>
        <v>bu_loantape_work.lt003_entity</v>
      </c>
      <c r="E48" s="17" t="s">
        <v>92</v>
      </c>
      <c r="F48" s="17" t="str">
        <f t="shared" si="6"/>
        <v>flg_rqst_bnkrptcy_as_is</v>
      </c>
      <c r="G48" s="17" t="str">
        <f t="shared" si="7"/>
        <v>flg_rqst_bnkrptcy_to_be</v>
      </c>
      <c r="H48" s="17" t="str">
        <f>IF(VLOOKUP(B48,Instruções!$F$6:$J$10,5,0)="",
"(SELECT "&amp;VLOOKUP(B48,Instruções!$F$6:$J$10,4,0)&amp;" as "&amp;VLOOKUP(B48,Instruções!$F$6:$J$10,4,0)&amp;"_as_is, "&amp;E48&amp;" as "&amp;F48&amp;" FROM "&amp;C48&amp;" WHERE "&amp;Instruções!$D$11&amp;") A ",
"(SELECT "&amp;VLOOKUP(B48,Instruções!$F$6:$J$10,4,0)&amp;" as "&amp;VLOOKUP(B48,Instruções!$F$6:$J$10,4,0)&amp;"_as_is, "&amp;VLOOKUP(B48,Instruções!$F$6:$J$10,5,0)&amp;" as "&amp;VLOOKUP(B48,Instruções!$F$6:$J$10,5,0)&amp;"_as_is,"&amp;E48&amp;" as "&amp;F48&amp;" FROM "&amp;C48&amp;" WHERE "&amp;Instruções!$D$11&amp;") A ")</f>
        <v xml:space="preserve">(SELECT entty_id as entty_id_as_is, flg_rqst_bnkrptcy as flg_rqst_bnkrptcy_as_is FROM cd_loan_tapes_bce.lt003_entity WHERE ref_date='2025-06-30' AND nome_perimetro= 'Individual IDComb' AND segmento= 'ESTR' AND ambito= 'PM' AND entidade='00100' AND cod_visao = 1) A </v>
      </c>
      <c r="I48" s="17" t="str">
        <f>IF(VLOOKUP(B48,Instruções!$F$6:$J$10,5,0)="",
"(SELECT "&amp;VLOOKUP(B48,Instruções!$F$6:$J$10,4,0)&amp;" as "&amp;VLOOKUP(B48,Instruções!$F$6:$J$10,4,0)&amp;"_to_be, "&amp;E48&amp;" as "&amp;G48&amp;" FROM "&amp;D48&amp;" WHERE "&amp;Instruções!$D$11&amp;") B ",
"(SELECT "&amp;VLOOKUP(B48,Instruções!$F$6:$J$10,4,0)&amp;" as "&amp;VLOOKUP(B48,Instruções!$F$6:$J$10,4,0)&amp;"_to_be, "&amp;VLOOKUP(B48,Instruções!$F$6:$J$10,5,0)&amp;" as "&amp;VLOOKUP(B48,Instruções!$F$6:$J$10,5,0)&amp;"_to_be,"&amp;E48&amp;" as "&amp;G48&amp;" FROM "&amp;D48&amp;" WHERE "&amp;Instruções!$D$11&amp;") B ")</f>
        <v xml:space="preserve">(SELECT entty_id as entty_id_to_be, flg_rqst_bnkrptcy as flg_rqst_bnkrptcy_to_be FROM bu_loantape_work.lt003_entity WHERE ref_date='2025-06-30' AND nome_perimetro= 'Individual IDComb' AND segmento= 'ESTR' AND ambito= 'PM' AND entidade='00100' AND cod_visao = 1) B </v>
      </c>
      <c r="J48" s="17" t="str">
        <f>IF(VLOOKUP(B48,Instruções!$F$6:$J$10,5,0)="",
"ON "&amp;VLOOKUP(B48,Instruções!$F$6:$J$10,4,0)&amp;"_as_is = "&amp;VLOOKUP(B48,Instruções!$F$6:$J$10,4,0)&amp;"_to_be ",
"ON "&amp;VLOOKUP(B48,Instruções!$F$6:$J$10,4,0)&amp;"_as_is = "&amp;VLOOKUP(B48,Instruções!$F$6:$J$10,4,0)&amp;"_to_be AND "&amp;VLOOKUP(B48,Instruções!$F$6:$J$10,5,0)&amp;"_as_is = "&amp;VLOOKUP(B48,Instruções!$F$6:$J$10,5,0)&amp;"_to_be ")</f>
        <v xml:space="preserve">ON entty_id_as_is = entty_id_to_be </v>
      </c>
      <c r="K48" s="17" t="str">
        <f t="shared" si="8"/>
        <v xml:space="preserve">WHERE coalesce(cast(flg_rqst_bnkrptcy_as_is as string), '') &lt;&gt; coalesce(cast(flg_rqst_bnkrptcy_to_be as string), '') </v>
      </c>
      <c r="L48" s="17" t="str">
        <f t="shared" si="3"/>
        <v xml:space="preserve">SELECT count(*) AS NUM_REG_DIF FROM (SELECT entty_id as entty_id_as_is, flg_rqst_bnkrptcy as flg_rqst_bnkrptcy_as_is FROM cd_loan_tapes_bce.lt003_entity WHERE ref_date='2025-06-30' AND nome_perimetro= 'Individual IDComb' AND segmento= 'ESTR' AND ambito= 'PM' AND entidade='00100' AND cod_visao = 1) A  Inner join (SELECT entty_id as entty_id_to_be, flg_rqst_bnkrptcy as flg_rqst_bnkrptcy_to_be FROM bu_loantape_work.lt003_entity WHERE ref_date='2025-06-30' AND nome_perimetro= 'Individual IDComb' AND segmento= 'ESTR' AND ambito= 'PM' AND entidade='00100' AND cod_visao = 1) B ON entty_id_as_is = entty_id_to_be WHERE coalesce(cast(flg_rqst_bnkrptcy_as_is as string), '') &lt;&gt; coalesce(cast(flg_rqst_bnkrptcy_to_be as string), '') </v>
      </c>
      <c r="M48" s="17" t="s">
        <v>48</v>
      </c>
      <c r="N48" s="17" t="str">
        <f>"SELECT 'Validação de campos' as tipologia_teste, '"&amp;VLOOKUP(B48,Instruções!$F$6:$J$10,3,0)&amp;"' AS TABELA, '"&amp;E48&amp;"' AS CAMPO, '"&amp;Instruções!$D$7&amp;"' as ref_date, coalesce(NUM_REG_DIF, 0) AS NUM_REG_DIF FROM ("&amp;L48&amp;") A "</f>
        <v xml:space="preserve">SELECT 'Validação de campos' as tipologia_teste, 'lt003_entity' AS TABELA, 'flg_rqst_bnkrptcy' AS CAMPO, '2025-06-30' as ref_date, coalesce(NUM_REG_DIF, 0) AS NUM_REG_DIF FROM (SELECT count(*) AS NUM_REG_DIF FROM (SELECT entty_id as entty_id_as_is, flg_rqst_bnkrptcy as flg_rqst_bnkrptcy_as_is FROM cd_loan_tapes_bce.lt003_entity WHERE ref_date='2025-06-30' AND nome_perimetro= 'Individual IDComb' AND segmento= 'ESTR' AND ambito= 'PM' AND entidade='00100' AND cod_visao = 1) A  Inner join (SELECT entty_id as entty_id_to_be, flg_rqst_bnkrptcy as flg_rqst_bnkrptcy_to_be FROM bu_loantape_work.lt003_entity WHERE ref_date='2025-06-30' AND nome_perimetro= 'Individual IDComb' AND segmento= 'ESTR' AND ambito= 'PM' AND entidade='00100' AND cod_visao = 1) B ON entty_id_as_is = entty_id_to_be WHERE coalesce(cast(flg_rqst_bnkrptcy_as_is as string), '') &lt;&gt; coalesce(cast(flg_rqst_bnkrptcy_to_be as string), '') ) A </v>
      </c>
      <c r="O48" s="19" t="str">
        <f t="shared" si="4"/>
        <v>SELECT 'Validação de campos' as tipologia_teste, 'lt003_entity' AS TABELA, 'flg_rqst_bnkrptcy' AS CAMPO, '2025-06-30' as ref_date, coalesce(NUM_REG_DIF, 0) AS NUM_REG_DIF FROM (SELECT count(*) AS NUM_REG_DIF FROM (SELECT entty_id as entty_id_as_is, flg_rqst_bnkrptcy as flg_rqst_bnkrptcy_as_is FROM cd_loan_tapes_bce.lt003_entity WHERE ref_date='2025-06-30' AND nome_perimetro= 'Individual IDComb' AND segmento= 'ESTR' AND ambito= 'PM' AND entidade='00100' AND cod_visao = 1) A  Inner join (SELECT entty_id as entty_id_to_be, flg_rqst_bnkrptcy as flg_rqst_bnkrptcy_to_be FROM bu_loantape_work.lt003_entity WHERE ref_date='2025-06-30' AND nome_perimetro= 'Individual IDComb' AND segmento= 'ESTR' AND ambito= 'PM' AND entidade='00100' AND cod_visao = 1) B ON entty_id_as_is = entty_id_to_be WHERE coalesce(cast(flg_rqst_bnkrptcy_as_is as string), '') &lt;&gt; coalesce(cast(flg_rqst_bnkrptcy_to_be as string), '') ) A UNION ALL</v>
      </c>
      <c r="P48" s="17">
        <f t="shared" si="5"/>
        <v>45</v>
      </c>
    </row>
    <row r="49" spans="2:16" s="15" customFormat="1" ht="11.5" x14ac:dyDescent="0.25">
      <c r="B49" s="17" t="s">
        <v>11</v>
      </c>
      <c r="C49" s="17" t="str">
        <f>_xlfn.CONCAT(Instruções!$D$5,".",VLOOKUP(B49,Instruções!$F$5:$H$10,2,0))</f>
        <v>cd_loan_tapes_bce.lt003_entity</v>
      </c>
      <c r="D49" s="17" t="str">
        <f>_xlfn.CONCAT(Instruções!$D$6,".",VLOOKUP(B49,Instruções!$F$5:$H$10,3,0))</f>
        <v>bu_loantape_work.lt003_entity</v>
      </c>
      <c r="E49" s="17" t="s">
        <v>93</v>
      </c>
      <c r="F49" s="17" t="str">
        <f t="shared" si="6"/>
        <v>flg_rqst_dstrssd_rstrctrng_as_is</v>
      </c>
      <c r="G49" s="17" t="str">
        <f t="shared" si="7"/>
        <v>flg_rqst_dstrssd_rstrctrng_to_be</v>
      </c>
      <c r="H49" s="17" t="str">
        <f>IF(VLOOKUP(B49,Instruções!$F$6:$J$10,5,0)="",
"(SELECT "&amp;VLOOKUP(B49,Instruções!$F$6:$J$10,4,0)&amp;" as "&amp;VLOOKUP(B49,Instruções!$F$6:$J$10,4,0)&amp;"_as_is, "&amp;E49&amp;" as "&amp;F49&amp;" FROM "&amp;C49&amp;" WHERE "&amp;Instruções!$D$11&amp;") A ",
"(SELECT "&amp;VLOOKUP(B49,Instruções!$F$6:$J$10,4,0)&amp;" as "&amp;VLOOKUP(B49,Instruções!$F$6:$J$10,4,0)&amp;"_as_is, "&amp;VLOOKUP(B49,Instruções!$F$6:$J$10,5,0)&amp;" as "&amp;VLOOKUP(B49,Instruções!$F$6:$J$10,5,0)&amp;"_as_is,"&amp;E49&amp;" as "&amp;F49&amp;" FROM "&amp;C49&amp;" WHERE "&amp;Instruções!$D$11&amp;") A ")</f>
        <v xml:space="preserve">(SELECT entty_id as entty_id_as_is, flg_rqst_dstrssd_rstrctrng as flg_rqst_dstrssd_rstrctrng_as_is FROM cd_loan_tapes_bce.lt003_entity WHERE ref_date='2025-06-30' AND nome_perimetro= 'Individual IDComb' AND segmento= 'ESTR' AND ambito= 'PM' AND entidade='00100' AND cod_visao = 1) A </v>
      </c>
      <c r="I49" s="17" t="str">
        <f>IF(VLOOKUP(B49,Instruções!$F$6:$J$10,5,0)="",
"(SELECT "&amp;VLOOKUP(B49,Instruções!$F$6:$J$10,4,0)&amp;" as "&amp;VLOOKUP(B49,Instruções!$F$6:$J$10,4,0)&amp;"_to_be, "&amp;E49&amp;" as "&amp;G49&amp;" FROM "&amp;D49&amp;" WHERE "&amp;Instruções!$D$11&amp;") B ",
"(SELECT "&amp;VLOOKUP(B49,Instruções!$F$6:$J$10,4,0)&amp;" as "&amp;VLOOKUP(B49,Instruções!$F$6:$J$10,4,0)&amp;"_to_be, "&amp;VLOOKUP(B49,Instruções!$F$6:$J$10,5,0)&amp;" as "&amp;VLOOKUP(B49,Instruções!$F$6:$J$10,5,0)&amp;"_to_be,"&amp;E49&amp;" as "&amp;G49&amp;" FROM "&amp;D49&amp;" WHERE "&amp;Instruções!$D$11&amp;") B ")</f>
        <v xml:space="preserve">(SELECT entty_id as entty_id_to_be, flg_rqst_dstrssd_rstrctrng as flg_rqst_dstrssd_rstrctrng_to_be FROM bu_loantape_work.lt003_entity WHERE ref_date='2025-06-30' AND nome_perimetro= 'Individual IDComb' AND segmento= 'ESTR' AND ambito= 'PM' AND entidade='00100' AND cod_visao = 1) B </v>
      </c>
      <c r="J49" s="17" t="str">
        <f>IF(VLOOKUP(B49,Instruções!$F$6:$J$10,5,0)="",
"ON "&amp;VLOOKUP(B49,Instruções!$F$6:$J$10,4,0)&amp;"_as_is = "&amp;VLOOKUP(B49,Instruções!$F$6:$J$10,4,0)&amp;"_to_be ",
"ON "&amp;VLOOKUP(B49,Instruções!$F$6:$J$10,4,0)&amp;"_as_is = "&amp;VLOOKUP(B49,Instruções!$F$6:$J$10,4,0)&amp;"_to_be AND "&amp;VLOOKUP(B49,Instruções!$F$6:$J$10,5,0)&amp;"_as_is = "&amp;VLOOKUP(B49,Instruções!$F$6:$J$10,5,0)&amp;"_to_be ")</f>
        <v xml:space="preserve">ON entty_id_as_is = entty_id_to_be </v>
      </c>
      <c r="K49" s="17" t="str">
        <f t="shared" si="8"/>
        <v xml:space="preserve">WHERE coalesce(cast(flg_rqst_dstrssd_rstrctrng_as_is as string), '') &lt;&gt; coalesce(cast(flg_rqst_dstrssd_rstrctrng_to_be as string), '') </v>
      </c>
      <c r="L49" s="17" t="str">
        <f t="shared" si="3"/>
        <v xml:space="preserve">SELECT count(*) AS NUM_REG_DIF FROM (SELECT entty_id as entty_id_as_is, flg_rqst_dstrssd_rstrctrng as flg_rqst_dstrssd_rstrctrng_as_is FROM cd_loan_tapes_bce.lt003_entity WHERE ref_date='2025-06-30' AND nome_perimetro= 'Individual IDComb' AND segmento= 'ESTR' AND ambito= 'PM' AND entidade='00100' AND cod_visao = 1) A  Inner join (SELECT entty_id as entty_id_to_be, flg_rqst_dstrssd_rstrctrng as flg_rqst_dstrssd_rstrctrng_to_be FROM bu_loantape_work.lt003_entity WHERE ref_date='2025-06-30' AND nome_perimetro= 'Individual IDComb' AND segmento= 'ESTR' AND ambito= 'PM' AND entidade='00100' AND cod_visao = 1) B ON entty_id_as_is = entty_id_to_be WHERE coalesce(cast(flg_rqst_dstrssd_rstrctrng_as_is as string), '') &lt;&gt; coalesce(cast(flg_rqst_dstrssd_rstrctrng_to_be as string), '') </v>
      </c>
      <c r="M49" s="17" t="s">
        <v>48</v>
      </c>
      <c r="N49" s="17" t="str">
        <f>"SELECT 'Validação de campos' as tipologia_teste, '"&amp;VLOOKUP(B49,Instruções!$F$6:$J$10,3,0)&amp;"' AS TABELA, '"&amp;E49&amp;"' AS CAMPO, '"&amp;Instruções!$D$7&amp;"' as ref_date, coalesce(NUM_REG_DIF, 0) AS NUM_REG_DIF FROM ("&amp;L49&amp;") A "</f>
        <v xml:space="preserve">SELECT 'Validação de campos' as tipologia_teste, 'lt003_entity' AS TABELA, 'flg_rqst_dstrssd_rstrctrng' AS CAMPO, '2025-06-30' as ref_date, coalesce(NUM_REG_DIF, 0) AS NUM_REG_DIF FROM (SELECT count(*) AS NUM_REG_DIF FROM (SELECT entty_id as entty_id_as_is, flg_rqst_dstrssd_rstrctrng as flg_rqst_dstrssd_rstrctrng_as_is FROM cd_loan_tapes_bce.lt003_entity WHERE ref_date='2025-06-30' AND nome_perimetro= 'Individual IDComb' AND segmento= 'ESTR' AND ambito= 'PM' AND entidade='00100' AND cod_visao = 1) A  Inner join (SELECT entty_id as entty_id_to_be, flg_rqst_dstrssd_rstrctrng as flg_rqst_dstrssd_rstrctrng_to_be FROM bu_loantape_work.lt003_entity WHERE ref_date='2025-06-30' AND nome_perimetro= 'Individual IDComb' AND segmento= 'ESTR' AND ambito= 'PM' AND entidade='00100' AND cod_visao = 1) B ON entty_id_as_is = entty_id_to_be WHERE coalesce(cast(flg_rqst_dstrssd_rstrctrng_as_is as string), '') &lt;&gt; coalesce(cast(flg_rqst_dstrssd_rstrctrng_to_be as string), '') ) A </v>
      </c>
      <c r="O49" s="19" t="str">
        <f t="shared" si="4"/>
        <v>SELECT 'Validação de campos' as tipologia_teste, 'lt003_entity' AS TABELA, 'flg_rqst_dstrssd_rstrctrng' AS CAMPO, '2025-06-30' as ref_date, coalesce(NUM_REG_DIF, 0) AS NUM_REG_DIF FROM (SELECT count(*) AS NUM_REG_DIF FROM (SELECT entty_id as entty_id_as_is, flg_rqst_dstrssd_rstrctrng as flg_rqst_dstrssd_rstrctrng_as_is FROM cd_loan_tapes_bce.lt003_entity WHERE ref_date='2025-06-30' AND nome_perimetro= 'Individual IDComb' AND segmento= 'ESTR' AND ambito= 'PM' AND entidade='00100' AND cod_visao = 1) A  Inner join (SELECT entty_id as entty_id_to_be, flg_rqst_dstrssd_rstrctrng as flg_rqst_dstrssd_rstrctrng_to_be FROM bu_loantape_work.lt003_entity WHERE ref_date='2025-06-30' AND nome_perimetro= 'Individual IDComb' AND segmento= 'ESTR' AND ambito= 'PM' AND entidade='00100' AND cod_visao = 1) B ON entty_id_as_is = entty_id_to_be WHERE coalesce(cast(flg_rqst_dstrssd_rstrctrng_as_is as string), '') &lt;&gt; coalesce(cast(flg_rqst_dstrssd_rstrctrng_to_be as string), '') ) A UNION ALL</v>
      </c>
      <c r="P49" s="17">
        <f t="shared" si="5"/>
        <v>46</v>
      </c>
    </row>
    <row r="50" spans="2:16" s="15" customFormat="1" ht="11.5" x14ac:dyDescent="0.25">
      <c r="B50" s="17" t="s">
        <v>11</v>
      </c>
      <c r="C50" s="17" t="str">
        <f>_xlfn.CONCAT(Instruções!$D$5,".",VLOOKUP(B50,Instruções!$F$5:$H$10,2,0))</f>
        <v>cd_loan_tapes_bce.lt003_entity</v>
      </c>
      <c r="D50" s="17" t="str">
        <f>_xlfn.CONCAT(Instruções!$D$6,".",VLOOKUP(B50,Instruções!$F$5:$H$10,3,0))</f>
        <v>bu_loantape_work.lt003_entity</v>
      </c>
      <c r="E50" s="17" t="s">
        <v>94</v>
      </c>
      <c r="F50" s="17" t="str">
        <f t="shared" si="6"/>
        <v>flg_rqst_emrgncy_fndng_as_is</v>
      </c>
      <c r="G50" s="17" t="str">
        <f t="shared" si="7"/>
        <v>flg_rqst_emrgncy_fndng_to_be</v>
      </c>
      <c r="H50" s="17" t="str">
        <f>IF(VLOOKUP(B50,Instruções!$F$6:$J$10,5,0)="",
"(SELECT "&amp;VLOOKUP(B50,Instruções!$F$6:$J$10,4,0)&amp;" as "&amp;VLOOKUP(B50,Instruções!$F$6:$J$10,4,0)&amp;"_as_is, "&amp;E50&amp;" as "&amp;F50&amp;" FROM "&amp;C50&amp;" WHERE "&amp;Instruções!$D$11&amp;") A ",
"(SELECT "&amp;VLOOKUP(B50,Instruções!$F$6:$J$10,4,0)&amp;" as "&amp;VLOOKUP(B50,Instruções!$F$6:$J$10,4,0)&amp;"_as_is, "&amp;VLOOKUP(B50,Instruções!$F$6:$J$10,5,0)&amp;" as "&amp;VLOOKUP(B50,Instruções!$F$6:$J$10,5,0)&amp;"_as_is,"&amp;E50&amp;" as "&amp;F50&amp;" FROM "&amp;C50&amp;" WHERE "&amp;Instruções!$D$11&amp;") A ")</f>
        <v xml:space="preserve">(SELECT entty_id as entty_id_as_is, flg_rqst_emrgncy_fndng as flg_rqst_emrgncy_fndng_as_is FROM cd_loan_tapes_bce.lt003_entity WHERE ref_date='2025-06-30' AND nome_perimetro= 'Individual IDComb' AND segmento= 'ESTR' AND ambito= 'PM' AND entidade='00100' AND cod_visao = 1) A </v>
      </c>
      <c r="I50" s="17" t="str">
        <f>IF(VLOOKUP(B50,Instruções!$F$6:$J$10,5,0)="",
"(SELECT "&amp;VLOOKUP(B50,Instruções!$F$6:$J$10,4,0)&amp;" as "&amp;VLOOKUP(B50,Instruções!$F$6:$J$10,4,0)&amp;"_to_be, "&amp;E50&amp;" as "&amp;G50&amp;" FROM "&amp;D50&amp;" WHERE "&amp;Instruções!$D$11&amp;") B ",
"(SELECT "&amp;VLOOKUP(B50,Instruções!$F$6:$J$10,4,0)&amp;" as "&amp;VLOOKUP(B50,Instruções!$F$6:$J$10,4,0)&amp;"_to_be, "&amp;VLOOKUP(B50,Instruções!$F$6:$J$10,5,0)&amp;" as "&amp;VLOOKUP(B50,Instruções!$F$6:$J$10,5,0)&amp;"_to_be,"&amp;E50&amp;" as "&amp;G50&amp;" FROM "&amp;D50&amp;" WHERE "&amp;Instruções!$D$11&amp;") B ")</f>
        <v xml:space="preserve">(SELECT entty_id as entty_id_to_be, flg_rqst_emrgncy_fndng as flg_rqst_emrgncy_fndng_to_be FROM bu_loantape_work.lt003_entity WHERE ref_date='2025-06-30' AND nome_perimetro= 'Individual IDComb' AND segmento= 'ESTR' AND ambito= 'PM' AND entidade='00100' AND cod_visao = 1) B </v>
      </c>
      <c r="J50" s="17" t="str">
        <f>IF(VLOOKUP(B50,Instruções!$F$6:$J$10,5,0)="",
"ON "&amp;VLOOKUP(B50,Instruções!$F$6:$J$10,4,0)&amp;"_as_is = "&amp;VLOOKUP(B50,Instruções!$F$6:$J$10,4,0)&amp;"_to_be ",
"ON "&amp;VLOOKUP(B50,Instruções!$F$6:$J$10,4,0)&amp;"_as_is = "&amp;VLOOKUP(B50,Instruções!$F$6:$J$10,4,0)&amp;"_to_be AND "&amp;VLOOKUP(B50,Instruções!$F$6:$J$10,5,0)&amp;"_as_is = "&amp;VLOOKUP(B50,Instruções!$F$6:$J$10,5,0)&amp;"_to_be ")</f>
        <v xml:space="preserve">ON entty_id_as_is = entty_id_to_be </v>
      </c>
      <c r="K50" s="17" t="str">
        <f t="shared" si="8"/>
        <v xml:space="preserve">WHERE coalesce(cast(flg_rqst_emrgncy_fndng_as_is as string), '') &lt;&gt; coalesce(cast(flg_rqst_emrgncy_fndng_to_be as string), '') </v>
      </c>
      <c r="L50" s="17" t="str">
        <f t="shared" si="3"/>
        <v xml:space="preserve">SELECT count(*) AS NUM_REG_DIF FROM (SELECT entty_id as entty_id_as_is, flg_rqst_emrgncy_fndng as flg_rqst_emrgncy_fndng_as_is FROM cd_loan_tapes_bce.lt003_entity WHERE ref_date='2025-06-30' AND nome_perimetro= 'Individual IDComb' AND segmento= 'ESTR' AND ambito= 'PM' AND entidade='00100' AND cod_visao = 1) A  Inner join (SELECT entty_id as entty_id_to_be, flg_rqst_emrgncy_fndng as flg_rqst_emrgncy_fndng_to_be FROM bu_loantape_work.lt003_entity WHERE ref_date='2025-06-30' AND nome_perimetro= 'Individual IDComb' AND segmento= 'ESTR' AND ambito= 'PM' AND entidade='00100' AND cod_visao = 1) B ON entty_id_as_is = entty_id_to_be WHERE coalesce(cast(flg_rqst_emrgncy_fndng_as_is as string), '') &lt;&gt; coalesce(cast(flg_rqst_emrgncy_fndng_to_be as string), '') </v>
      </c>
      <c r="M50" s="17" t="s">
        <v>48</v>
      </c>
      <c r="N50" s="17" t="str">
        <f>"SELECT 'Validação de campos' as tipologia_teste, '"&amp;VLOOKUP(B50,Instruções!$F$6:$J$10,3,0)&amp;"' AS TABELA, '"&amp;E50&amp;"' AS CAMPO, '"&amp;Instruções!$D$7&amp;"' as ref_date, coalesce(NUM_REG_DIF, 0) AS NUM_REG_DIF FROM ("&amp;L50&amp;") A "</f>
        <v xml:space="preserve">SELECT 'Validação de campos' as tipologia_teste, 'lt003_entity' AS TABELA, 'flg_rqst_emrgncy_fndng' AS CAMPO, '2025-06-30' as ref_date, coalesce(NUM_REG_DIF, 0) AS NUM_REG_DIF FROM (SELECT count(*) AS NUM_REG_DIF FROM (SELECT entty_id as entty_id_as_is, flg_rqst_emrgncy_fndng as flg_rqst_emrgncy_fndng_as_is FROM cd_loan_tapes_bce.lt003_entity WHERE ref_date='2025-06-30' AND nome_perimetro= 'Individual IDComb' AND segmento= 'ESTR' AND ambito= 'PM' AND entidade='00100' AND cod_visao = 1) A  Inner join (SELECT entty_id as entty_id_to_be, flg_rqst_emrgncy_fndng as flg_rqst_emrgncy_fndng_to_be FROM bu_loantape_work.lt003_entity WHERE ref_date='2025-06-30' AND nome_perimetro= 'Individual IDComb' AND segmento= 'ESTR' AND ambito= 'PM' AND entidade='00100' AND cod_visao = 1) B ON entty_id_as_is = entty_id_to_be WHERE coalesce(cast(flg_rqst_emrgncy_fndng_as_is as string), '') &lt;&gt; coalesce(cast(flg_rqst_emrgncy_fndng_to_be as string), '') ) A </v>
      </c>
      <c r="O50" s="19" t="str">
        <f t="shared" si="4"/>
        <v>SELECT 'Validação de campos' as tipologia_teste, 'lt003_entity' AS TABELA, 'flg_rqst_emrgncy_fndng' AS CAMPO, '2025-06-30' as ref_date, coalesce(NUM_REG_DIF, 0) AS NUM_REG_DIF FROM (SELECT count(*) AS NUM_REG_DIF FROM (SELECT entty_id as entty_id_as_is, flg_rqst_emrgncy_fndng as flg_rqst_emrgncy_fndng_as_is FROM cd_loan_tapes_bce.lt003_entity WHERE ref_date='2025-06-30' AND nome_perimetro= 'Individual IDComb' AND segmento= 'ESTR' AND ambito= 'PM' AND entidade='00100' AND cod_visao = 1) A  Inner join (SELECT entty_id as entty_id_to_be, flg_rqst_emrgncy_fndng as flg_rqst_emrgncy_fndng_to_be FROM bu_loantape_work.lt003_entity WHERE ref_date='2025-06-30' AND nome_perimetro= 'Individual IDComb' AND segmento= 'ESTR' AND ambito= 'PM' AND entidade='00100' AND cod_visao = 1) B ON entty_id_as_is = entty_id_to_be WHERE coalesce(cast(flg_rqst_emrgncy_fndng_as_is as string), '') &lt;&gt; coalesce(cast(flg_rqst_emrgncy_fndng_to_be as string), '') ) A UNION ALL</v>
      </c>
      <c r="P50" s="17">
        <f t="shared" si="5"/>
        <v>47</v>
      </c>
    </row>
    <row r="51" spans="2:16" s="15" customFormat="1" ht="11.5" x14ac:dyDescent="0.25">
      <c r="B51" s="17" t="s">
        <v>11</v>
      </c>
      <c r="C51" s="17" t="str">
        <f>_xlfn.CONCAT(Instruções!$D$5,".",VLOOKUP(B51,Instruções!$F$5:$H$10,2,0))</f>
        <v>cd_loan_tapes_bce.lt003_entity</v>
      </c>
      <c r="D51" s="17" t="str">
        <f>_xlfn.CONCAT(Instruções!$D$6,".",VLOOKUP(B51,Instruções!$F$5:$H$10,3,0))</f>
        <v>bu_loantape_work.lt003_entity</v>
      </c>
      <c r="E51" s="17" t="s">
        <v>95</v>
      </c>
      <c r="F51" s="17" t="str">
        <f t="shared" si="6"/>
        <v>flg_sll_wth_lss_as_is</v>
      </c>
      <c r="G51" s="17" t="str">
        <f t="shared" si="7"/>
        <v>flg_sll_wth_lss_to_be</v>
      </c>
      <c r="H51" s="17" t="str">
        <f>IF(VLOOKUP(B51,Instruções!$F$6:$J$10,5,0)="",
"(SELECT "&amp;VLOOKUP(B51,Instruções!$F$6:$J$10,4,0)&amp;" as "&amp;VLOOKUP(B51,Instruções!$F$6:$J$10,4,0)&amp;"_as_is, "&amp;E51&amp;" as "&amp;F51&amp;" FROM "&amp;C51&amp;" WHERE "&amp;Instruções!$D$11&amp;") A ",
"(SELECT "&amp;VLOOKUP(B51,Instruções!$F$6:$J$10,4,0)&amp;" as "&amp;VLOOKUP(B51,Instruções!$F$6:$J$10,4,0)&amp;"_as_is, "&amp;VLOOKUP(B51,Instruções!$F$6:$J$10,5,0)&amp;" as "&amp;VLOOKUP(B51,Instruções!$F$6:$J$10,5,0)&amp;"_as_is,"&amp;E51&amp;" as "&amp;F51&amp;" FROM "&amp;C51&amp;" WHERE "&amp;Instruções!$D$11&amp;") A ")</f>
        <v xml:space="preserve">(SELECT entty_id as entty_id_as_is, flg_sll_wth_lss as flg_sll_wth_lss_as_is FROM cd_loan_tapes_bce.lt003_entity WHERE ref_date='2025-06-30' AND nome_perimetro= 'Individual IDComb' AND segmento= 'ESTR' AND ambito= 'PM' AND entidade='00100' AND cod_visao = 1) A </v>
      </c>
      <c r="I51" s="17" t="str">
        <f>IF(VLOOKUP(B51,Instruções!$F$6:$J$10,5,0)="",
"(SELECT "&amp;VLOOKUP(B51,Instruções!$F$6:$J$10,4,0)&amp;" as "&amp;VLOOKUP(B51,Instruções!$F$6:$J$10,4,0)&amp;"_to_be, "&amp;E51&amp;" as "&amp;G51&amp;" FROM "&amp;D51&amp;" WHERE "&amp;Instruções!$D$11&amp;") B ",
"(SELECT "&amp;VLOOKUP(B51,Instruções!$F$6:$J$10,4,0)&amp;" as "&amp;VLOOKUP(B51,Instruções!$F$6:$J$10,4,0)&amp;"_to_be, "&amp;VLOOKUP(B51,Instruções!$F$6:$J$10,5,0)&amp;" as "&amp;VLOOKUP(B51,Instruções!$F$6:$J$10,5,0)&amp;"_to_be,"&amp;E51&amp;" as "&amp;G51&amp;" FROM "&amp;D51&amp;" WHERE "&amp;Instruções!$D$11&amp;") B ")</f>
        <v xml:space="preserve">(SELECT entty_id as entty_id_to_be, flg_sll_wth_lss as flg_sll_wth_lss_to_be FROM bu_loantape_work.lt003_entity WHERE ref_date='2025-06-30' AND nome_perimetro= 'Individual IDComb' AND segmento= 'ESTR' AND ambito= 'PM' AND entidade='00100' AND cod_visao = 1) B </v>
      </c>
      <c r="J51" s="17" t="str">
        <f>IF(VLOOKUP(B51,Instruções!$F$6:$J$10,5,0)="",
"ON "&amp;VLOOKUP(B51,Instruções!$F$6:$J$10,4,0)&amp;"_as_is = "&amp;VLOOKUP(B51,Instruções!$F$6:$J$10,4,0)&amp;"_to_be ",
"ON "&amp;VLOOKUP(B51,Instruções!$F$6:$J$10,4,0)&amp;"_as_is = "&amp;VLOOKUP(B51,Instruções!$F$6:$J$10,4,0)&amp;"_to_be AND "&amp;VLOOKUP(B51,Instruções!$F$6:$J$10,5,0)&amp;"_as_is = "&amp;VLOOKUP(B51,Instruções!$F$6:$J$10,5,0)&amp;"_to_be ")</f>
        <v xml:space="preserve">ON entty_id_as_is = entty_id_to_be </v>
      </c>
      <c r="K51" s="17" t="str">
        <f t="shared" si="8"/>
        <v xml:space="preserve">WHERE coalesce(cast(flg_sll_wth_lss_as_is as string), '') &lt;&gt; coalesce(cast(flg_sll_wth_lss_to_be as string), '') </v>
      </c>
      <c r="L51" s="17" t="str">
        <f t="shared" si="3"/>
        <v xml:space="preserve">SELECT count(*) AS NUM_REG_DIF FROM (SELECT entty_id as entty_id_as_is, flg_sll_wth_lss as flg_sll_wth_lss_as_is FROM cd_loan_tapes_bce.lt003_entity WHERE ref_date='2025-06-30' AND nome_perimetro= 'Individual IDComb' AND segmento= 'ESTR' AND ambito= 'PM' AND entidade='00100' AND cod_visao = 1) A  Inner join (SELECT entty_id as entty_id_to_be, flg_sll_wth_lss as flg_sll_wth_lss_to_be FROM bu_loantape_work.lt003_entity WHERE ref_date='2025-06-30' AND nome_perimetro= 'Individual IDComb' AND segmento= 'ESTR' AND ambito= 'PM' AND entidade='00100' AND cod_visao = 1) B ON entty_id_as_is = entty_id_to_be WHERE coalesce(cast(flg_sll_wth_lss_as_is as string), '') &lt;&gt; coalesce(cast(flg_sll_wth_lss_to_be as string), '') </v>
      </c>
      <c r="M51" s="17" t="s">
        <v>48</v>
      </c>
      <c r="N51" s="17" t="str">
        <f>"SELECT 'Validação de campos' as tipologia_teste, '"&amp;VLOOKUP(B51,Instruções!$F$6:$J$10,3,0)&amp;"' AS TABELA, '"&amp;E51&amp;"' AS CAMPO, '"&amp;Instruções!$D$7&amp;"' as ref_date, coalesce(NUM_REG_DIF, 0) AS NUM_REG_DIF FROM ("&amp;L51&amp;") A "</f>
        <v xml:space="preserve">SELECT 'Validação de campos' as tipologia_teste, 'lt003_entity' AS TABELA, 'flg_sll_wth_lss' AS CAMPO, '2025-06-30' as ref_date, coalesce(NUM_REG_DIF, 0) AS NUM_REG_DIF FROM (SELECT count(*) AS NUM_REG_DIF FROM (SELECT entty_id as entty_id_as_is, flg_sll_wth_lss as flg_sll_wth_lss_as_is FROM cd_loan_tapes_bce.lt003_entity WHERE ref_date='2025-06-30' AND nome_perimetro= 'Individual IDComb' AND segmento= 'ESTR' AND ambito= 'PM' AND entidade='00100' AND cod_visao = 1) A  Inner join (SELECT entty_id as entty_id_to_be, flg_sll_wth_lss as flg_sll_wth_lss_to_be FROM bu_loantape_work.lt003_entity WHERE ref_date='2025-06-30' AND nome_perimetro= 'Individual IDComb' AND segmento= 'ESTR' AND ambito= 'PM' AND entidade='00100' AND cod_visao = 1) B ON entty_id_as_is = entty_id_to_be WHERE coalesce(cast(flg_sll_wth_lss_as_is as string), '') &lt;&gt; coalesce(cast(flg_sll_wth_lss_to_be as string), '') ) A </v>
      </c>
      <c r="O51" s="19" t="str">
        <f t="shared" si="4"/>
        <v>SELECT 'Validação de campos' as tipologia_teste, 'lt003_entity' AS TABELA, 'flg_sll_wth_lss' AS CAMPO, '2025-06-30' as ref_date, coalesce(NUM_REG_DIF, 0) AS NUM_REG_DIF FROM (SELECT count(*) AS NUM_REG_DIF FROM (SELECT entty_id as entty_id_as_is, flg_sll_wth_lss as flg_sll_wth_lss_as_is FROM cd_loan_tapes_bce.lt003_entity WHERE ref_date='2025-06-30' AND nome_perimetro= 'Individual IDComb' AND segmento= 'ESTR' AND ambito= 'PM' AND entidade='00100' AND cod_visao = 1) A  Inner join (SELECT entty_id as entty_id_to_be, flg_sll_wth_lss as flg_sll_wth_lss_to_be FROM bu_loantape_work.lt003_entity WHERE ref_date='2025-06-30' AND nome_perimetro= 'Individual IDComb' AND segmento= 'ESTR' AND ambito= 'PM' AND entidade='00100' AND cod_visao = 1) B ON entty_id_as_is = entty_id_to_be WHERE coalesce(cast(flg_sll_wth_lss_as_is as string), '') &lt;&gt; coalesce(cast(flg_sll_wth_lss_to_be as string), '') ) A UNION ALL</v>
      </c>
      <c r="P51" s="17">
        <f t="shared" si="5"/>
        <v>48</v>
      </c>
    </row>
    <row r="52" spans="2:16" s="15" customFormat="1" ht="11.5" x14ac:dyDescent="0.25">
      <c r="B52" s="17" t="s">
        <v>11</v>
      </c>
      <c r="C52" s="17" t="str">
        <f>_xlfn.CONCAT(Instruções!$D$5,".",VLOOKUP(B52,Instruções!$F$5:$H$10,2,0))</f>
        <v>cd_loan_tapes_bce.lt003_entity</v>
      </c>
      <c r="D52" s="17" t="str">
        <f>_xlfn.CONCAT(Instruções!$D$6,".",VLOOKUP(B52,Instruções!$F$5:$H$10,3,0))</f>
        <v>bu_loantape_work.lt003_entity</v>
      </c>
      <c r="E52" s="17" t="s">
        <v>96</v>
      </c>
      <c r="F52" s="17" t="str">
        <f t="shared" si="6"/>
        <v>fr_csh_flw_as_is</v>
      </c>
      <c r="G52" s="17" t="str">
        <f t="shared" si="7"/>
        <v>fr_csh_flw_to_be</v>
      </c>
      <c r="H52" s="17" t="str">
        <f>IF(VLOOKUP(B52,Instruções!$F$6:$J$10,5,0)="",
"(SELECT "&amp;VLOOKUP(B52,Instruções!$F$6:$J$10,4,0)&amp;" as "&amp;VLOOKUP(B52,Instruções!$F$6:$J$10,4,0)&amp;"_as_is, "&amp;E52&amp;" as "&amp;F52&amp;" FROM "&amp;C52&amp;" WHERE "&amp;Instruções!$D$11&amp;") A ",
"(SELECT "&amp;VLOOKUP(B52,Instruções!$F$6:$J$10,4,0)&amp;" as "&amp;VLOOKUP(B52,Instruções!$F$6:$J$10,4,0)&amp;"_as_is, "&amp;VLOOKUP(B52,Instruções!$F$6:$J$10,5,0)&amp;" as "&amp;VLOOKUP(B52,Instruções!$F$6:$J$10,5,0)&amp;"_as_is,"&amp;E52&amp;" as "&amp;F52&amp;" FROM "&amp;C52&amp;" WHERE "&amp;Instruções!$D$11&amp;") A ")</f>
        <v xml:space="preserve">(SELECT entty_id as entty_id_as_is, fr_csh_flw as fr_csh_flw_as_is FROM cd_loan_tapes_bce.lt003_entity WHERE ref_date='2025-06-30' AND nome_perimetro= 'Individual IDComb' AND segmento= 'ESTR' AND ambito= 'PM' AND entidade='00100' AND cod_visao = 1) A </v>
      </c>
      <c r="I52" s="17" t="str">
        <f>IF(VLOOKUP(B52,Instruções!$F$6:$J$10,5,0)="",
"(SELECT "&amp;VLOOKUP(B52,Instruções!$F$6:$J$10,4,0)&amp;" as "&amp;VLOOKUP(B52,Instruções!$F$6:$J$10,4,0)&amp;"_to_be, "&amp;E52&amp;" as "&amp;G52&amp;" FROM "&amp;D52&amp;" WHERE "&amp;Instruções!$D$11&amp;") B ",
"(SELECT "&amp;VLOOKUP(B52,Instruções!$F$6:$J$10,4,0)&amp;" as "&amp;VLOOKUP(B52,Instruções!$F$6:$J$10,4,0)&amp;"_to_be, "&amp;VLOOKUP(B52,Instruções!$F$6:$J$10,5,0)&amp;" as "&amp;VLOOKUP(B52,Instruções!$F$6:$J$10,5,0)&amp;"_to_be,"&amp;E52&amp;" as "&amp;G52&amp;" FROM "&amp;D52&amp;" WHERE "&amp;Instruções!$D$11&amp;") B ")</f>
        <v xml:space="preserve">(SELECT entty_id as entty_id_to_be, fr_csh_flw as fr_csh_flw_to_be FROM bu_loantape_work.lt003_entity WHERE ref_date='2025-06-30' AND nome_perimetro= 'Individual IDComb' AND segmento= 'ESTR' AND ambito= 'PM' AND entidade='00100' AND cod_visao = 1) B </v>
      </c>
      <c r="J52" s="17" t="str">
        <f>IF(VLOOKUP(B52,Instruções!$F$6:$J$10,5,0)="",
"ON "&amp;VLOOKUP(B52,Instruções!$F$6:$J$10,4,0)&amp;"_as_is = "&amp;VLOOKUP(B52,Instruções!$F$6:$J$10,4,0)&amp;"_to_be ",
"ON "&amp;VLOOKUP(B52,Instruções!$F$6:$J$10,4,0)&amp;"_as_is = "&amp;VLOOKUP(B52,Instruções!$F$6:$J$10,4,0)&amp;"_to_be AND "&amp;VLOOKUP(B52,Instruções!$F$6:$J$10,5,0)&amp;"_as_is = "&amp;VLOOKUP(B52,Instruções!$F$6:$J$10,5,0)&amp;"_to_be ")</f>
        <v xml:space="preserve">ON entty_id_as_is = entty_id_to_be </v>
      </c>
      <c r="K52" s="17" t="str">
        <f t="shared" si="8"/>
        <v xml:space="preserve">WHERE coalesce(cast(fr_csh_flw_as_is as string), '') &lt;&gt; coalesce(cast(fr_csh_flw_to_be as string), '') </v>
      </c>
      <c r="L52" s="17" t="str">
        <f t="shared" si="3"/>
        <v xml:space="preserve">SELECT count(*) AS NUM_REG_DIF FROM (SELECT entty_id as entty_id_as_is, fr_csh_flw as fr_csh_flw_as_is FROM cd_loan_tapes_bce.lt003_entity WHERE ref_date='2025-06-30' AND nome_perimetro= 'Individual IDComb' AND segmento= 'ESTR' AND ambito= 'PM' AND entidade='00100' AND cod_visao = 1) A  Inner join (SELECT entty_id as entty_id_to_be, fr_csh_flw as fr_csh_flw_to_be FROM bu_loantape_work.lt003_entity WHERE ref_date='2025-06-30' AND nome_perimetro= 'Individual IDComb' AND segmento= 'ESTR' AND ambito= 'PM' AND entidade='00100' AND cod_visao = 1) B ON entty_id_as_is = entty_id_to_be WHERE coalesce(cast(fr_csh_flw_as_is as string), '') &lt;&gt; coalesce(cast(fr_csh_flw_to_be as string), '') </v>
      </c>
      <c r="M52" s="17" t="s">
        <v>48</v>
      </c>
      <c r="N52" s="17" t="str">
        <f>"SELECT 'Validação de campos' as tipologia_teste, '"&amp;VLOOKUP(B52,Instruções!$F$6:$J$10,3,0)&amp;"' AS TABELA, '"&amp;E52&amp;"' AS CAMPO, '"&amp;Instruções!$D$7&amp;"' as ref_date, coalesce(NUM_REG_DIF, 0) AS NUM_REG_DIF FROM ("&amp;L52&amp;") A "</f>
        <v xml:space="preserve">SELECT 'Validação de campos' as tipologia_teste, 'lt003_entity' AS TABELA, 'fr_csh_flw' AS CAMPO, '2025-06-30' as ref_date, coalesce(NUM_REG_DIF, 0) AS NUM_REG_DIF FROM (SELECT count(*) AS NUM_REG_DIF FROM (SELECT entty_id as entty_id_as_is, fr_csh_flw as fr_csh_flw_as_is FROM cd_loan_tapes_bce.lt003_entity WHERE ref_date='2025-06-30' AND nome_perimetro= 'Individual IDComb' AND segmento= 'ESTR' AND ambito= 'PM' AND entidade='00100' AND cod_visao = 1) A  Inner join (SELECT entty_id as entty_id_to_be, fr_csh_flw as fr_csh_flw_to_be FROM bu_loantape_work.lt003_entity WHERE ref_date='2025-06-30' AND nome_perimetro= 'Individual IDComb' AND segmento= 'ESTR' AND ambito= 'PM' AND entidade='00100' AND cod_visao = 1) B ON entty_id_as_is = entty_id_to_be WHERE coalesce(cast(fr_csh_flw_as_is as string), '') &lt;&gt; coalesce(cast(fr_csh_flw_to_be as string), '') ) A </v>
      </c>
      <c r="O52" s="19" t="str">
        <f t="shared" si="4"/>
        <v>SELECT 'Validação de campos' as tipologia_teste, 'lt003_entity' AS TABELA, 'fr_csh_flw' AS CAMPO, '2025-06-30' as ref_date, coalesce(NUM_REG_DIF, 0) AS NUM_REG_DIF FROM (SELECT count(*) AS NUM_REG_DIF FROM (SELECT entty_id as entty_id_as_is, fr_csh_flw as fr_csh_flw_as_is FROM cd_loan_tapes_bce.lt003_entity WHERE ref_date='2025-06-30' AND nome_perimetro= 'Individual IDComb' AND segmento= 'ESTR' AND ambito= 'PM' AND entidade='00100' AND cod_visao = 1) A  Inner join (SELECT entty_id as entty_id_to_be, fr_csh_flw as fr_csh_flw_to_be FROM bu_loantape_work.lt003_entity WHERE ref_date='2025-06-30' AND nome_perimetro= 'Individual IDComb' AND segmento= 'ESTR' AND ambito= 'PM' AND entidade='00100' AND cod_visao = 1) B ON entty_id_as_is = entty_id_to_be WHERE coalesce(cast(fr_csh_flw_as_is as string), '') &lt;&gt; coalesce(cast(fr_csh_flw_to_be as string), '') ) A UNION ALL</v>
      </c>
      <c r="P52" s="17">
        <f t="shared" si="5"/>
        <v>49</v>
      </c>
    </row>
    <row r="53" spans="2:16" s="15" customFormat="1" ht="11.5" x14ac:dyDescent="0.25">
      <c r="B53" s="17" t="s">
        <v>11</v>
      </c>
      <c r="C53" s="17" t="str">
        <f>_xlfn.CONCAT(Instruções!$D$5,".",VLOOKUP(B53,Instruções!$F$5:$H$10,2,0))</f>
        <v>cd_loan_tapes_bce.lt003_entity</v>
      </c>
      <c r="D53" s="17" t="str">
        <f>_xlfn.CONCAT(Instruções!$D$6,".",VLOOKUP(B53,Instruções!$F$5:$H$10,3,0))</f>
        <v>bu_loantape_work.lt003_entity</v>
      </c>
      <c r="E53" s="17" t="s">
        <v>97</v>
      </c>
      <c r="F53" s="17" t="str">
        <f t="shared" si="6"/>
        <v>fr_csh_flw_t1_as_is</v>
      </c>
      <c r="G53" s="17" t="str">
        <f t="shared" si="7"/>
        <v>fr_csh_flw_t1_to_be</v>
      </c>
      <c r="H53" s="17" t="str">
        <f>IF(VLOOKUP(B53,Instruções!$F$6:$J$10,5,0)="",
"(SELECT "&amp;VLOOKUP(B53,Instruções!$F$6:$J$10,4,0)&amp;" as "&amp;VLOOKUP(B53,Instruções!$F$6:$J$10,4,0)&amp;"_as_is, "&amp;E53&amp;" as "&amp;F53&amp;" FROM "&amp;C53&amp;" WHERE "&amp;Instruções!$D$11&amp;") A ",
"(SELECT "&amp;VLOOKUP(B53,Instruções!$F$6:$J$10,4,0)&amp;" as "&amp;VLOOKUP(B53,Instruções!$F$6:$J$10,4,0)&amp;"_as_is, "&amp;VLOOKUP(B53,Instruções!$F$6:$J$10,5,0)&amp;" as "&amp;VLOOKUP(B53,Instruções!$F$6:$J$10,5,0)&amp;"_as_is,"&amp;E53&amp;" as "&amp;F53&amp;" FROM "&amp;C53&amp;" WHERE "&amp;Instruções!$D$11&amp;") A ")</f>
        <v xml:space="preserve">(SELECT entty_id as entty_id_as_is, fr_csh_flw_t1 as fr_csh_flw_t1_as_is FROM cd_loan_tapes_bce.lt003_entity WHERE ref_date='2025-06-30' AND nome_perimetro= 'Individual IDComb' AND segmento= 'ESTR' AND ambito= 'PM' AND entidade='00100' AND cod_visao = 1) A </v>
      </c>
      <c r="I53" s="17" t="str">
        <f>IF(VLOOKUP(B53,Instruções!$F$6:$J$10,5,0)="",
"(SELECT "&amp;VLOOKUP(B53,Instruções!$F$6:$J$10,4,0)&amp;" as "&amp;VLOOKUP(B53,Instruções!$F$6:$J$10,4,0)&amp;"_to_be, "&amp;E53&amp;" as "&amp;G53&amp;" FROM "&amp;D53&amp;" WHERE "&amp;Instruções!$D$11&amp;") B ",
"(SELECT "&amp;VLOOKUP(B53,Instruções!$F$6:$J$10,4,0)&amp;" as "&amp;VLOOKUP(B53,Instruções!$F$6:$J$10,4,0)&amp;"_to_be, "&amp;VLOOKUP(B53,Instruções!$F$6:$J$10,5,0)&amp;" as "&amp;VLOOKUP(B53,Instruções!$F$6:$J$10,5,0)&amp;"_to_be,"&amp;E53&amp;" as "&amp;G53&amp;" FROM "&amp;D53&amp;" WHERE "&amp;Instruções!$D$11&amp;") B ")</f>
        <v xml:space="preserve">(SELECT entty_id as entty_id_to_be, fr_csh_flw_t1 as fr_csh_flw_t1_to_be FROM bu_loantape_work.lt003_entity WHERE ref_date='2025-06-30' AND nome_perimetro= 'Individual IDComb' AND segmento= 'ESTR' AND ambito= 'PM' AND entidade='00100' AND cod_visao = 1) B </v>
      </c>
      <c r="J53" s="17" t="str">
        <f>IF(VLOOKUP(B53,Instruções!$F$6:$J$10,5,0)="",
"ON "&amp;VLOOKUP(B53,Instruções!$F$6:$J$10,4,0)&amp;"_as_is = "&amp;VLOOKUP(B53,Instruções!$F$6:$J$10,4,0)&amp;"_to_be ",
"ON "&amp;VLOOKUP(B53,Instruções!$F$6:$J$10,4,0)&amp;"_as_is = "&amp;VLOOKUP(B53,Instruções!$F$6:$J$10,4,0)&amp;"_to_be AND "&amp;VLOOKUP(B53,Instruções!$F$6:$J$10,5,0)&amp;"_as_is = "&amp;VLOOKUP(B53,Instruções!$F$6:$J$10,5,0)&amp;"_to_be ")</f>
        <v xml:space="preserve">ON entty_id_as_is = entty_id_to_be </v>
      </c>
      <c r="K53" s="17" t="str">
        <f t="shared" si="8"/>
        <v xml:space="preserve">WHERE coalesce(cast(fr_csh_flw_t1_as_is as string), '') &lt;&gt; coalesce(cast(fr_csh_flw_t1_to_be as string), '') </v>
      </c>
      <c r="L53" s="17" t="str">
        <f t="shared" si="3"/>
        <v xml:space="preserve">SELECT count(*) AS NUM_REG_DIF FROM (SELECT entty_id as entty_id_as_is, fr_csh_flw_t1 as fr_csh_flw_t1_as_is FROM cd_loan_tapes_bce.lt003_entity WHERE ref_date='2025-06-30' AND nome_perimetro= 'Individual IDComb' AND segmento= 'ESTR' AND ambito= 'PM' AND entidade='00100' AND cod_visao = 1) A  Inner join (SELECT entty_id as entty_id_to_be, fr_csh_flw_t1 as fr_csh_flw_t1_to_be FROM bu_loantape_work.lt003_entity WHERE ref_date='2025-06-30' AND nome_perimetro= 'Individual IDComb' AND segmento= 'ESTR' AND ambito= 'PM' AND entidade='00100' AND cod_visao = 1) B ON entty_id_as_is = entty_id_to_be WHERE coalesce(cast(fr_csh_flw_t1_as_is as string), '') &lt;&gt; coalesce(cast(fr_csh_flw_t1_to_be as string), '') </v>
      </c>
      <c r="M53" s="17" t="s">
        <v>48</v>
      </c>
      <c r="N53" s="17" t="str">
        <f>"SELECT 'Validação de campos' as tipologia_teste, '"&amp;VLOOKUP(B53,Instruções!$F$6:$J$10,3,0)&amp;"' AS TABELA, '"&amp;E53&amp;"' AS CAMPO, '"&amp;Instruções!$D$7&amp;"' as ref_date, coalesce(NUM_REG_DIF, 0) AS NUM_REG_DIF FROM ("&amp;L53&amp;") A "</f>
        <v xml:space="preserve">SELECT 'Validação de campos' as tipologia_teste, 'lt003_entity' AS TABELA, 'fr_csh_flw_t1' AS CAMPO, '2025-06-30' as ref_date, coalesce(NUM_REG_DIF, 0) AS NUM_REG_DIF FROM (SELECT count(*) AS NUM_REG_DIF FROM (SELECT entty_id as entty_id_as_is, fr_csh_flw_t1 as fr_csh_flw_t1_as_is FROM cd_loan_tapes_bce.lt003_entity WHERE ref_date='2025-06-30' AND nome_perimetro= 'Individual IDComb' AND segmento= 'ESTR' AND ambito= 'PM' AND entidade='00100' AND cod_visao = 1) A  Inner join (SELECT entty_id as entty_id_to_be, fr_csh_flw_t1 as fr_csh_flw_t1_to_be FROM bu_loantape_work.lt003_entity WHERE ref_date='2025-06-30' AND nome_perimetro= 'Individual IDComb' AND segmento= 'ESTR' AND ambito= 'PM' AND entidade='00100' AND cod_visao = 1) B ON entty_id_as_is = entty_id_to_be WHERE coalesce(cast(fr_csh_flw_t1_as_is as string), '') &lt;&gt; coalesce(cast(fr_csh_flw_t1_to_be as string), '') ) A </v>
      </c>
      <c r="O53" s="19" t="str">
        <f t="shared" si="4"/>
        <v xml:space="preserve">SELECT 'Validação de campos' as tipologia_teste, 'lt003_entity' AS TABELA, 'fr_csh_flw_t1' AS CAMPO, '2025-06-30' as ref_date, coalesce(NUM_REG_DIF, 0) AS NUM_REG_DIF FROM (SELECT count(*) AS NUM_REG_DIF FROM (SELECT entty_id as entty_id_as_is, fr_csh_flw_t1 as fr_csh_flw_t1_as_is FROM cd_loan_tapes_bce.lt003_entity WHERE ref_date='2025-06-30' AND nome_perimetro= 'Individual IDComb' AND segmento= 'ESTR' AND ambito= 'PM' AND entidade='00100' AND cod_visao = 1) A  Inner join (SELECT entty_id as entty_id_to_be, fr_csh_flw_t1 as fr_csh_flw_t1_to_be FROM bu_loantape_work.lt003_entity WHERE ref_date='2025-06-30' AND nome_perimetro= 'Individual IDComb' AND segmento= 'ESTR' AND ambito= 'PM' AND entidade='00100' AND cod_visao = 1) B ON entty_id_as_is = entty_id_to_be WHERE coalesce(cast(fr_csh_flw_t1_as_is as string), '') &lt;&gt; coalesce(cast(fr_csh_flw_t1_to_be as string), '') ) A </v>
      </c>
      <c r="P53" s="17">
        <f t="shared" si="5"/>
        <v>50</v>
      </c>
    </row>
    <row r="54" spans="2:16" s="15" customFormat="1" ht="11.5" x14ac:dyDescent="0.25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9"/>
      <c r="P54" s="18"/>
    </row>
    <row r="55" spans="2:16" s="15" customFormat="1" ht="11.5" x14ac:dyDescent="0.25">
      <c r="B55" s="17" t="s">
        <v>11</v>
      </c>
      <c r="C55" s="17" t="str">
        <f>_xlfn.CONCAT(Instruções!$D$5,".",VLOOKUP(B55,Instruções!$F$5:$H$10,2,0))</f>
        <v>cd_loan_tapes_bce.lt003_entity</v>
      </c>
      <c r="D55" s="17" t="str">
        <f>_xlfn.CONCAT(Instruções!$D$6,".",VLOOKUP(B55,Instruções!$F$5:$H$10,3,0))</f>
        <v>bu_loantape_work.lt003_entity</v>
      </c>
      <c r="E55" s="17" t="s">
        <v>98</v>
      </c>
      <c r="F55" s="17" t="str">
        <f t="shared" ref="F55:F67" si="9">E55&amp;"_as_is"</f>
        <v>fr_csh_flw_t2_as_is</v>
      </c>
      <c r="G55" s="17" t="str">
        <f t="shared" ref="G55:G67" si="10">E55&amp;"_to_be"</f>
        <v>fr_csh_flw_t2_to_be</v>
      </c>
      <c r="H55" s="17" t="str">
        <f>IF(VLOOKUP(B55,Instruções!$F$6:$J$10,5,0)="",
"(SELECT "&amp;VLOOKUP(B55,Instruções!$F$6:$J$10,4,0)&amp;" as "&amp;VLOOKUP(B55,Instruções!$F$6:$J$10,4,0)&amp;"_as_is, "&amp;E55&amp;" as "&amp;F55&amp;" FROM "&amp;C55&amp;" WHERE "&amp;Instruções!$D$11&amp;") A ",
"(SELECT "&amp;VLOOKUP(B55,Instruções!$F$6:$J$10,4,0)&amp;" as "&amp;VLOOKUP(B55,Instruções!$F$6:$J$10,4,0)&amp;"_as_is, "&amp;VLOOKUP(B55,Instruções!$F$6:$J$10,5,0)&amp;" as "&amp;VLOOKUP(B55,Instruções!$F$6:$J$10,5,0)&amp;"_as_is,"&amp;E55&amp;" as "&amp;F55&amp;" FROM "&amp;C55&amp;" WHERE "&amp;Instruções!$D$11&amp;") A ")</f>
        <v xml:space="preserve">(SELECT entty_id as entty_id_as_is, fr_csh_flw_t2 as fr_csh_flw_t2_as_is FROM cd_loan_tapes_bce.lt003_entity WHERE ref_date='2025-06-30' AND nome_perimetro= 'Individual IDComb' AND segmento= 'ESTR' AND ambito= 'PM' AND entidade='00100' AND cod_visao = 1) A </v>
      </c>
      <c r="I55" s="17" t="str">
        <f>IF(VLOOKUP(B55,Instruções!$F$6:$J$10,5,0)="",
"(SELECT "&amp;VLOOKUP(B55,Instruções!$F$6:$J$10,4,0)&amp;" as "&amp;VLOOKUP(B55,Instruções!$F$6:$J$10,4,0)&amp;"_to_be, "&amp;E55&amp;" as "&amp;G55&amp;" FROM "&amp;D55&amp;" WHERE "&amp;Instruções!$D$11&amp;") B ",
"(SELECT "&amp;VLOOKUP(B55,Instruções!$F$6:$J$10,4,0)&amp;" as "&amp;VLOOKUP(B55,Instruções!$F$6:$J$10,4,0)&amp;"_to_be, "&amp;VLOOKUP(B55,Instruções!$F$6:$J$10,5,0)&amp;" as "&amp;VLOOKUP(B55,Instruções!$F$6:$J$10,5,0)&amp;"_to_be,"&amp;E55&amp;" as "&amp;G55&amp;" FROM "&amp;D55&amp;" WHERE "&amp;Instruções!$D$11&amp;") B ")</f>
        <v xml:space="preserve">(SELECT entty_id as entty_id_to_be, fr_csh_flw_t2 as fr_csh_flw_t2_to_be FROM bu_loantape_work.lt003_entity WHERE ref_date='2025-06-30' AND nome_perimetro= 'Individual IDComb' AND segmento= 'ESTR' AND ambito= 'PM' AND entidade='00100' AND cod_visao = 1) B </v>
      </c>
      <c r="J55" s="17" t="str">
        <f>IF(VLOOKUP(B55,Instruções!$F$6:$J$10,5,0)="",
"ON "&amp;VLOOKUP(B55,Instruções!$F$6:$J$10,4,0)&amp;"_as_is = "&amp;VLOOKUP(B55,Instruções!$F$6:$J$10,4,0)&amp;"_to_be ",
"ON "&amp;VLOOKUP(B55,Instruções!$F$6:$J$10,4,0)&amp;"_as_is = "&amp;VLOOKUP(B55,Instruções!$F$6:$J$10,4,0)&amp;"_to_be AND "&amp;VLOOKUP(B55,Instruções!$F$6:$J$10,5,0)&amp;"_as_is = "&amp;VLOOKUP(B55,Instruções!$F$6:$J$10,5,0)&amp;"_to_be ")</f>
        <v xml:space="preserve">ON entty_id_as_is = entty_id_to_be </v>
      </c>
      <c r="K55" s="17" t="str">
        <f t="shared" ref="K55:K67" si="11">"WHERE coalesce(cast("&amp;F55&amp;" as string), '') &lt;&gt; coalesce(cast("&amp;G55&amp;" as string), '') "</f>
        <v xml:space="preserve">WHERE coalesce(cast(fr_csh_flw_t2_as_is as string), '') &lt;&gt; coalesce(cast(fr_csh_flw_t2_to_be as string), '') </v>
      </c>
      <c r="L55" s="17" t="str">
        <f t="shared" si="3"/>
        <v xml:space="preserve">SELECT count(*) AS NUM_REG_DIF FROM (SELECT entty_id as entty_id_as_is, fr_csh_flw_t2 as fr_csh_flw_t2_as_is FROM cd_loan_tapes_bce.lt003_entity WHERE ref_date='2025-06-30' AND nome_perimetro= 'Individual IDComb' AND segmento= 'ESTR' AND ambito= 'PM' AND entidade='00100' AND cod_visao = 1) A  Inner join (SELECT entty_id as entty_id_to_be, fr_csh_flw_t2 as fr_csh_flw_t2_to_be FROM bu_loantape_work.lt003_entity WHERE ref_date='2025-06-30' AND nome_perimetro= 'Individual IDComb' AND segmento= 'ESTR' AND ambito= 'PM' AND entidade='00100' AND cod_visao = 1) B ON entty_id_as_is = entty_id_to_be WHERE coalesce(cast(fr_csh_flw_t2_as_is as string), '') &lt;&gt; coalesce(cast(fr_csh_flw_t2_to_be as string), '') </v>
      </c>
      <c r="M55" s="17" t="s">
        <v>48</v>
      </c>
      <c r="N55" s="17" t="str">
        <f>"SELECT 'Validação de campos' as tipologia_teste, '"&amp;VLOOKUP(B55,Instruções!$F$6:$J$10,3,0)&amp;"' AS TABELA, '"&amp;E55&amp;"' AS CAMPO, '"&amp;Instruções!$D$7&amp;"' as ref_date, coalesce(NUM_REG_DIF, 0) AS NUM_REG_DIF FROM ("&amp;L55&amp;") A "</f>
        <v xml:space="preserve">SELECT 'Validação de campos' as tipologia_teste, 'lt003_entity' AS TABELA, 'fr_csh_flw_t2' AS CAMPO, '2025-06-30' as ref_date, coalesce(NUM_REG_DIF, 0) AS NUM_REG_DIF FROM (SELECT count(*) AS NUM_REG_DIF FROM (SELECT entty_id as entty_id_as_is, fr_csh_flw_t2 as fr_csh_flw_t2_as_is FROM cd_loan_tapes_bce.lt003_entity WHERE ref_date='2025-06-30' AND nome_perimetro= 'Individual IDComb' AND segmento= 'ESTR' AND ambito= 'PM' AND entidade='00100' AND cod_visao = 1) A  Inner join (SELECT entty_id as entty_id_to_be, fr_csh_flw_t2 as fr_csh_flw_t2_to_be FROM bu_loantape_work.lt003_entity WHERE ref_date='2025-06-30' AND nome_perimetro= 'Individual IDComb' AND segmento= 'ESTR' AND ambito= 'PM' AND entidade='00100' AND cod_visao = 1) B ON entty_id_as_is = entty_id_to_be WHERE coalesce(cast(fr_csh_flw_t2_as_is as string), '') &lt;&gt; coalesce(cast(fr_csh_flw_t2_to_be as string), '') ) A </v>
      </c>
      <c r="O55" s="19" t="str">
        <f>IF(O56="",N55,N55&amp;$O$3)</f>
        <v>SELECT 'Validação de campos' as tipologia_teste, 'lt003_entity' AS TABELA, 'fr_csh_flw_t2' AS CAMPO, '2025-06-30' as ref_date, coalesce(NUM_REG_DIF, 0) AS NUM_REG_DIF FROM (SELECT count(*) AS NUM_REG_DIF FROM (SELECT entty_id as entty_id_as_is, fr_csh_flw_t2 as fr_csh_flw_t2_as_is FROM cd_loan_tapes_bce.lt003_entity WHERE ref_date='2025-06-30' AND nome_perimetro= 'Individual IDComb' AND segmento= 'ESTR' AND ambito= 'PM' AND entidade='00100' AND cod_visao = 1) A  Inner join (SELECT entty_id as entty_id_to_be, fr_csh_flw_t2 as fr_csh_flw_t2_to_be FROM bu_loantape_work.lt003_entity WHERE ref_date='2025-06-30' AND nome_perimetro= 'Individual IDComb' AND segmento= 'ESTR' AND ambito= 'PM' AND entidade='00100' AND cod_visao = 1) B ON entty_id_as_is = entty_id_to_be WHERE coalesce(cast(fr_csh_flw_t2_as_is as string), '') &lt;&gt; coalesce(cast(fr_csh_flw_t2_to_be as string), '') ) A UNION ALL</v>
      </c>
      <c r="P55" s="17">
        <f>P54+1</f>
        <v>1</v>
      </c>
    </row>
    <row r="56" spans="2:16" s="15" customFormat="1" ht="11.5" x14ac:dyDescent="0.25">
      <c r="B56" s="17" t="s">
        <v>11</v>
      </c>
      <c r="C56" s="17" t="str">
        <f>_xlfn.CONCAT(Instruções!$D$5,".",VLOOKUP(B56,Instruções!$F$5:$H$10,2,0))</f>
        <v>cd_loan_tapes_bce.lt003_entity</v>
      </c>
      <c r="D56" s="17" t="str">
        <f>_xlfn.CONCAT(Instruções!$D$6,".",VLOOKUP(B56,Instruções!$F$5:$H$10,3,0))</f>
        <v>bu_loantape_work.lt003_entity</v>
      </c>
      <c r="E56" s="17" t="s">
        <v>99</v>
      </c>
      <c r="F56" s="17" t="str">
        <f t="shared" si="9"/>
        <v>fr_csh_flw_t3_as_is</v>
      </c>
      <c r="G56" s="17" t="str">
        <f t="shared" si="10"/>
        <v>fr_csh_flw_t3_to_be</v>
      </c>
      <c r="H56" s="17" t="str">
        <f>IF(VLOOKUP(B56,Instruções!$F$6:$J$10,5,0)="",
"(SELECT "&amp;VLOOKUP(B56,Instruções!$F$6:$J$10,4,0)&amp;" as "&amp;VLOOKUP(B56,Instruções!$F$6:$J$10,4,0)&amp;"_as_is, "&amp;E56&amp;" as "&amp;F56&amp;" FROM "&amp;C56&amp;" WHERE "&amp;Instruções!$D$11&amp;") A ",
"(SELECT "&amp;VLOOKUP(B56,Instruções!$F$6:$J$10,4,0)&amp;" as "&amp;VLOOKUP(B56,Instruções!$F$6:$J$10,4,0)&amp;"_as_is, "&amp;VLOOKUP(B56,Instruções!$F$6:$J$10,5,0)&amp;" as "&amp;VLOOKUP(B56,Instruções!$F$6:$J$10,5,0)&amp;"_as_is,"&amp;E56&amp;" as "&amp;F56&amp;" FROM "&amp;C56&amp;" WHERE "&amp;Instruções!$D$11&amp;") A ")</f>
        <v xml:space="preserve">(SELECT entty_id as entty_id_as_is, fr_csh_flw_t3 as fr_csh_flw_t3_as_is FROM cd_loan_tapes_bce.lt003_entity WHERE ref_date='2025-06-30' AND nome_perimetro= 'Individual IDComb' AND segmento= 'ESTR' AND ambito= 'PM' AND entidade='00100' AND cod_visao = 1) A </v>
      </c>
      <c r="I56" s="17" t="str">
        <f>IF(VLOOKUP(B56,Instruções!$F$6:$J$10,5,0)="",
"(SELECT "&amp;VLOOKUP(B56,Instruções!$F$6:$J$10,4,0)&amp;" as "&amp;VLOOKUP(B56,Instruções!$F$6:$J$10,4,0)&amp;"_to_be, "&amp;E56&amp;" as "&amp;G56&amp;" FROM "&amp;D56&amp;" WHERE "&amp;Instruções!$D$11&amp;") B ",
"(SELECT "&amp;VLOOKUP(B56,Instruções!$F$6:$J$10,4,0)&amp;" as "&amp;VLOOKUP(B56,Instruções!$F$6:$J$10,4,0)&amp;"_to_be, "&amp;VLOOKUP(B56,Instruções!$F$6:$J$10,5,0)&amp;" as "&amp;VLOOKUP(B56,Instruções!$F$6:$J$10,5,0)&amp;"_to_be,"&amp;E56&amp;" as "&amp;G56&amp;" FROM "&amp;D56&amp;" WHERE "&amp;Instruções!$D$11&amp;") B ")</f>
        <v xml:space="preserve">(SELECT entty_id as entty_id_to_be, fr_csh_flw_t3 as fr_csh_flw_t3_to_be FROM bu_loantape_work.lt003_entity WHERE ref_date='2025-06-30' AND nome_perimetro= 'Individual IDComb' AND segmento= 'ESTR' AND ambito= 'PM' AND entidade='00100' AND cod_visao = 1) B </v>
      </c>
      <c r="J56" s="17" t="str">
        <f>IF(VLOOKUP(B56,Instruções!$F$6:$J$10,5,0)="",
"ON "&amp;VLOOKUP(B56,Instruções!$F$6:$J$10,4,0)&amp;"_as_is = "&amp;VLOOKUP(B56,Instruções!$F$6:$J$10,4,0)&amp;"_to_be ",
"ON "&amp;VLOOKUP(B56,Instruções!$F$6:$J$10,4,0)&amp;"_as_is = "&amp;VLOOKUP(B56,Instruções!$F$6:$J$10,4,0)&amp;"_to_be AND "&amp;VLOOKUP(B56,Instruções!$F$6:$J$10,5,0)&amp;"_as_is = "&amp;VLOOKUP(B56,Instruções!$F$6:$J$10,5,0)&amp;"_to_be ")</f>
        <v xml:space="preserve">ON entty_id_as_is = entty_id_to_be </v>
      </c>
      <c r="K56" s="17" t="str">
        <f t="shared" si="11"/>
        <v xml:space="preserve">WHERE coalesce(cast(fr_csh_flw_t3_as_is as string), '') &lt;&gt; coalesce(cast(fr_csh_flw_t3_to_be as string), '') </v>
      </c>
      <c r="L56" s="17" t="str">
        <f t="shared" si="3"/>
        <v xml:space="preserve">SELECT count(*) AS NUM_REG_DIF FROM (SELECT entty_id as entty_id_as_is, fr_csh_flw_t3 as fr_csh_flw_t3_as_is FROM cd_loan_tapes_bce.lt003_entity WHERE ref_date='2025-06-30' AND nome_perimetro= 'Individual IDComb' AND segmento= 'ESTR' AND ambito= 'PM' AND entidade='00100' AND cod_visao = 1) A  Inner join (SELECT entty_id as entty_id_to_be, fr_csh_flw_t3 as fr_csh_flw_t3_to_be FROM bu_loantape_work.lt003_entity WHERE ref_date='2025-06-30' AND nome_perimetro= 'Individual IDComb' AND segmento= 'ESTR' AND ambito= 'PM' AND entidade='00100' AND cod_visao = 1) B ON entty_id_as_is = entty_id_to_be WHERE coalesce(cast(fr_csh_flw_t3_as_is as string), '') &lt;&gt; coalesce(cast(fr_csh_flw_t3_to_be as string), '') </v>
      </c>
      <c r="M56" s="17" t="s">
        <v>48</v>
      </c>
      <c r="N56" s="17" t="str">
        <f>"SELECT 'Validação de campos' as tipologia_teste, '"&amp;VLOOKUP(B56,Instruções!$F$6:$J$10,3,0)&amp;"' AS TABELA, '"&amp;E56&amp;"' AS CAMPO, '"&amp;Instruções!$D$7&amp;"' as ref_date, coalesce(NUM_REG_DIF, 0) AS NUM_REG_DIF FROM ("&amp;L56&amp;") A "</f>
        <v xml:space="preserve">SELECT 'Validação de campos' as tipologia_teste, 'lt003_entity' AS TABELA, 'fr_csh_flw_t3' AS CAMPO, '2025-06-30' as ref_date, coalesce(NUM_REG_DIF, 0) AS NUM_REG_DIF FROM (SELECT count(*) AS NUM_REG_DIF FROM (SELECT entty_id as entty_id_as_is, fr_csh_flw_t3 as fr_csh_flw_t3_as_is FROM cd_loan_tapes_bce.lt003_entity WHERE ref_date='2025-06-30' AND nome_perimetro= 'Individual IDComb' AND segmento= 'ESTR' AND ambito= 'PM' AND entidade='00100' AND cod_visao = 1) A  Inner join (SELECT entty_id as entty_id_to_be, fr_csh_flw_t3 as fr_csh_flw_t3_to_be FROM bu_loantape_work.lt003_entity WHERE ref_date='2025-06-30' AND nome_perimetro= 'Individual IDComb' AND segmento= 'ESTR' AND ambito= 'PM' AND entidade='00100' AND cod_visao = 1) B ON entty_id_as_is = entty_id_to_be WHERE coalesce(cast(fr_csh_flw_t3_as_is as string), '') &lt;&gt; coalesce(cast(fr_csh_flw_t3_to_be as string), '') ) A </v>
      </c>
      <c r="O56" s="19" t="str">
        <f t="shared" ref="O56:O111" si="12">IF(O57="",N56,N56&amp;$O$3)</f>
        <v>SELECT 'Validação de campos' as tipologia_teste, 'lt003_entity' AS TABELA, 'fr_csh_flw_t3' AS CAMPO, '2025-06-30' as ref_date, coalesce(NUM_REG_DIF, 0) AS NUM_REG_DIF FROM (SELECT count(*) AS NUM_REG_DIF FROM (SELECT entty_id as entty_id_as_is, fr_csh_flw_t3 as fr_csh_flw_t3_as_is FROM cd_loan_tapes_bce.lt003_entity WHERE ref_date='2025-06-30' AND nome_perimetro= 'Individual IDComb' AND segmento= 'ESTR' AND ambito= 'PM' AND entidade='00100' AND cod_visao = 1) A  Inner join (SELECT entty_id as entty_id_to_be, fr_csh_flw_t3 as fr_csh_flw_t3_to_be FROM bu_loantape_work.lt003_entity WHERE ref_date='2025-06-30' AND nome_perimetro= 'Individual IDComb' AND segmento= 'ESTR' AND ambito= 'PM' AND entidade='00100' AND cod_visao = 1) B ON entty_id_as_is = entty_id_to_be WHERE coalesce(cast(fr_csh_flw_t3_as_is as string), '') &lt;&gt; coalesce(cast(fr_csh_flw_t3_to_be as string), '') ) A UNION ALL</v>
      </c>
      <c r="P56" s="17">
        <f t="shared" si="5"/>
        <v>2</v>
      </c>
    </row>
    <row r="57" spans="2:16" s="15" customFormat="1" ht="11.5" x14ac:dyDescent="0.25">
      <c r="B57" s="17" t="s">
        <v>11</v>
      </c>
      <c r="C57" s="17" t="str">
        <f>_xlfn.CONCAT(Instruções!$D$5,".",VLOOKUP(B57,Instruções!$F$5:$H$10,2,0))</f>
        <v>cd_loan_tapes_bce.lt003_entity</v>
      </c>
      <c r="D57" s="17" t="str">
        <f>_xlfn.CONCAT(Instruções!$D$6,".",VLOOKUP(B57,Instruções!$F$5:$H$10,3,0))</f>
        <v>bu_loantape_work.lt003_entity</v>
      </c>
      <c r="E57" s="17" t="s">
        <v>100</v>
      </c>
      <c r="F57" s="17" t="str">
        <f t="shared" si="9"/>
        <v>gcc_prnt_id_as_is</v>
      </c>
      <c r="G57" s="17" t="str">
        <f t="shared" si="10"/>
        <v>gcc_prnt_id_to_be</v>
      </c>
      <c r="H57" s="17" t="str">
        <f>IF(VLOOKUP(B57,Instruções!$F$6:$J$10,5,0)="",
"(SELECT "&amp;VLOOKUP(B57,Instruções!$F$6:$J$10,4,0)&amp;" as "&amp;VLOOKUP(B57,Instruções!$F$6:$J$10,4,0)&amp;"_as_is, "&amp;E57&amp;" as "&amp;F57&amp;" FROM "&amp;C57&amp;" WHERE "&amp;Instruções!$D$11&amp;") A ",
"(SELECT "&amp;VLOOKUP(B57,Instruções!$F$6:$J$10,4,0)&amp;" as "&amp;VLOOKUP(B57,Instruções!$F$6:$J$10,4,0)&amp;"_as_is, "&amp;VLOOKUP(B57,Instruções!$F$6:$J$10,5,0)&amp;" as "&amp;VLOOKUP(B57,Instruções!$F$6:$J$10,5,0)&amp;"_as_is,"&amp;E57&amp;" as "&amp;F57&amp;" FROM "&amp;C57&amp;" WHERE "&amp;Instruções!$D$11&amp;") A ")</f>
        <v xml:space="preserve">(SELECT entty_id as entty_id_as_is, gcc_prnt_id as gcc_prnt_id_as_is FROM cd_loan_tapes_bce.lt003_entity WHERE ref_date='2025-06-30' AND nome_perimetro= 'Individual IDComb' AND segmento= 'ESTR' AND ambito= 'PM' AND entidade='00100' AND cod_visao = 1) A </v>
      </c>
      <c r="I57" s="17" t="str">
        <f>IF(VLOOKUP(B57,Instruções!$F$6:$J$10,5,0)="",
"(SELECT "&amp;VLOOKUP(B57,Instruções!$F$6:$J$10,4,0)&amp;" as "&amp;VLOOKUP(B57,Instruções!$F$6:$J$10,4,0)&amp;"_to_be, "&amp;E57&amp;" as "&amp;G57&amp;" FROM "&amp;D57&amp;" WHERE "&amp;Instruções!$D$11&amp;") B ",
"(SELECT "&amp;VLOOKUP(B57,Instruções!$F$6:$J$10,4,0)&amp;" as "&amp;VLOOKUP(B57,Instruções!$F$6:$J$10,4,0)&amp;"_to_be, "&amp;VLOOKUP(B57,Instruções!$F$6:$J$10,5,0)&amp;" as "&amp;VLOOKUP(B57,Instruções!$F$6:$J$10,5,0)&amp;"_to_be,"&amp;E57&amp;" as "&amp;G57&amp;" FROM "&amp;D57&amp;" WHERE "&amp;Instruções!$D$11&amp;") B ")</f>
        <v xml:space="preserve">(SELECT entty_id as entty_id_to_be, gcc_prnt_id as gcc_prnt_id_to_be FROM bu_loantape_work.lt003_entity WHERE ref_date='2025-06-30' AND nome_perimetro= 'Individual IDComb' AND segmento= 'ESTR' AND ambito= 'PM' AND entidade='00100' AND cod_visao = 1) B </v>
      </c>
      <c r="J57" s="17" t="str">
        <f>IF(VLOOKUP(B57,Instruções!$F$6:$J$10,5,0)="",
"ON "&amp;VLOOKUP(B57,Instruções!$F$6:$J$10,4,0)&amp;"_as_is = "&amp;VLOOKUP(B57,Instruções!$F$6:$J$10,4,0)&amp;"_to_be ",
"ON "&amp;VLOOKUP(B57,Instruções!$F$6:$J$10,4,0)&amp;"_as_is = "&amp;VLOOKUP(B57,Instruções!$F$6:$J$10,4,0)&amp;"_to_be AND "&amp;VLOOKUP(B57,Instruções!$F$6:$J$10,5,0)&amp;"_as_is = "&amp;VLOOKUP(B57,Instruções!$F$6:$J$10,5,0)&amp;"_to_be ")</f>
        <v xml:space="preserve">ON entty_id_as_is = entty_id_to_be </v>
      </c>
      <c r="K57" s="17" t="str">
        <f t="shared" si="11"/>
        <v xml:space="preserve">WHERE coalesce(cast(gcc_prnt_id_as_is as string), '') &lt;&gt; coalesce(cast(gcc_prnt_id_to_be as string), '') </v>
      </c>
      <c r="L57" s="17" t="str">
        <f t="shared" si="3"/>
        <v xml:space="preserve">SELECT count(*) AS NUM_REG_DIF FROM (SELECT entty_id as entty_id_as_is, gcc_prnt_id as gcc_prnt_id_as_is FROM cd_loan_tapes_bce.lt003_entity WHERE ref_date='2025-06-30' AND nome_perimetro= 'Individual IDComb' AND segmento= 'ESTR' AND ambito= 'PM' AND entidade='00100' AND cod_visao = 1) A  Inner join (SELECT entty_id as entty_id_to_be, gcc_prnt_id as gcc_prnt_id_to_be FROM bu_loantape_work.lt003_entity WHERE ref_date='2025-06-30' AND nome_perimetro= 'Individual IDComb' AND segmento= 'ESTR' AND ambito= 'PM' AND entidade='00100' AND cod_visao = 1) B ON entty_id_as_is = entty_id_to_be WHERE coalesce(cast(gcc_prnt_id_as_is as string), '') &lt;&gt; coalesce(cast(gcc_prnt_id_to_be as string), '') </v>
      </c>
      <c r="M57" s="17" t="s">
        <v>48</v>
      </c>
      <c r="N57" s="17" t="str">
        <f>"SELECT 'Validação de campos' as tipologia_teste, '"&amp;VLOOKUP(B57,Instruções!$F$6:$J$10,3,0)&amp;"' AS TABELA, '"&amp;E57&amp;"' AS CAMPO, '"&amp;Instruções!$D$7&amp;"' as ref_date, coalesce(NUM_REG_DIF, 0) AS NUM_REG_DIF FROM ("&amp;L57&amp;") A "</f>
        <v xml:space="preserve">SELECT 'Validação de campos' as tipologia_teste, 'lt003_entity' AS TABELA, 'gcc_prnt_id' AS CAMPO, '2025-06-30' as ref_date, coalesce(NUM_REG_DIF, 0) AS NUM_REG_DIF FROM (SELECT count(*) AS NUM_REG_DIF FROM (SELECT entty_id as entty_id_as_is, gcc_prnt_id as gcc_prnt_id_as_is FROM cd_loan_tapes_bce.lt003_entity WHERE ref_date='2025-06-30' AND nome_perimetro= 'Individual IDComb' AND segmento= 'ESTR' AND ambito= 'PM' AND entidade='00100' AND cod_visao = 1) A  Inner join (SELECT entty_id as entty_id_to_be, gcc_prnt_id as gcc_prnt_id_to_be FROM bu_loantape_work.lt003_entity WHERE ref_date='2025-06-30' AND nome_perimetro= 'Individual IDComb' AND segmento= 'ESTR' AND ambito= 'PM' AND entidade='00100' AND cod_visao = 1) B ON entty_id_as_is = entty_id_to_be WHERE coalesce(cast(gcc_prnt_id_as_is as string), '') &lt;&gt; coalesce(cast(gcc_prnt_id_to_be as string), '') ) A </v>
      </c>
      <c r="O57" s="19" t="str">
        <f t="shared" si="12"/>
        <v>SELECT 'Validação de campos' as tipologia_teste, 'lt003_entity' AS TABELA, 'gcc_prnt_id' AS CAMPO, '2025-06-30' as ref_date, coalesce(NUM_REG_DIF, 0) AS NUM_REG_DIF FROM (SELECT count(*) AS NUM_REG_DIF FROM (SELECT entty_id as entty_id_as_is, gcc_prnt_id as gcc_prnt_id_as_is FROM cd_loan_tapes_bce.lt003_entity WHERE ref_date='2025-06-30' AND nome_perimetro= 'Individual IDComb' AND segmento= 'ESTR' AND ambito= 'PM' AND entidade='00100' AND cod_visao = 1) A  Inner join (SELECT entty_id as entty_id_to_be, gcc_prnt_id as gcc_prnt_id_to_be FROM bu_loantape_work.lt003_entity WHERE ref_date='2025-06-30' AND nome_perimetro= 'Individual IDComb' AND segmento= 'ESTR' AND ambito= 'PM' AND entidade='00100' AND cod_visao = 1) B ON entty_id_as_is = entty_id_to_be WHERE coalesce(cast(gcc_prnt_id_as_is as string), '') &lt;&gt; coalesce(cast(gcc_prnt_id_to_be as string), '') ) A UNION ALL</v>
      </c>
      <c r="P57" s="17">
        <f t="shared" si="5"/>
        <v>3</v>
      </c>
    </row>
    <row r="58" spans="2:16" s="15" customFormat="1" ht="11.5" x14ac:dyDescent="0.25">
      <c r="B58" s="17" t="s">
        <v>11</v>
      </c>
      <c r="C58" s="17" t="str">
        <f>_xlfn.CONCAT(Instruções!$D$5,".",VLOOKUP(B58,Instruções!$F$5:$H$10,2,0))</f>
        <v>cd_loan_tapes_bce.lt003_entity</v>
      </c>
      <c r="D58" s="17" t="str">
        <f>_xlfn.CONCAT(Instruções!$D$6,".",VLOOKUP(B58,Instruções!$F$5:$H$10,3,0))</f>
        <v>bu_loantape_work.lt003_entity</v>
      </c>
      <c r="E58" s="17" t="s">
        <v>101</v>
      </c>
      <c r="F58" s="17" t="str">
        <f t="shared" si="9"/>
        <v>gcc_prnt_nm_as_is</v>
      </c>
      <c r="G58" s="17" t="str">
        <f t="shared" si="10"/>
        <v>gcc_prnt_nm_to_be</v>
      </c>
      <c r="H58" s="17" t="str">
        <f>IF(VLOOKUP(B58,Instruções!$F$6:$J$10,5,0)="",
"(SELECT "&amp;VLOOKUP(B58,Instruções!$F$6:$J$10,4,0)&amp;" as "&amp;VLOOKUP(B58,Instruções!$F$6:$J$10,4,0)&amp;"_as_is, "&amp;E58&amp;" as "&amp;F58&amp;" FROM "&amp;C58&amp;" WHERE "&amp;Instruções!$D$11&amp;") A ",
"(SELECT "&amp;VLOOKUP(B58,Instruções!$F$6:$J$10,4,0)&amp;" as "&amp;VLOOKUP(B58,Instruções!$F$6:$J$10,4,0)&amp;"_as_is, "&amp;VLOOKUP(B58,Instruções!$F$6:$J$10,5,0)&amp;" as "&amp;VLOOKUP(B58,Instruções!$F$6:$J$10,5,0)&amp;"_as_is,"&amp;E58&amp;" as "&amp;F58&amp;" FROM "&amp;C58&amp;" WHERE "&amp;Instruções!$D$11&amp;") A ")</f>
        <v xml:space="preserve">(SELECT entty_id as entty_id_as_is, gcc_prnt_nm as gcc_prnt_nm_as_is FROM cd_loan_tapes_bce.lt003_entity WHERE ref_date='2025-06-30' AND nome_perimetro= 'Individual IDComb' AND segmento= 'ESTR' AND ambito= 'PM' AND entidade='00100' AND cod_visao = 1) A </v>
      </c>
      <c r="I58" s="17" t="str">
        <f>IF(VLOOKUP(B58,Instruções!$F$6:$J$10,5,0)="",
"(SELECT "&amp;VLOOKUP(B58,Instruções!$F$6:$J$10,4,0)&amp;" as "&amp;VLOOKUP(B58,Instruções!$F$6:$J$10,4,0)&amp;"_to_be, "&amp;E58&amp;" as "&amp;G58&amp;" FROM "&amp;D58&amp;" WHERE "&amp;Instruções!$D$11&amp;") B ",
"(SELECT "&amp;VLOOKUP(B58,Instruções!$F$6:$J$10,4,0)&amp;" as "&amp;VLOOKUP(B58,Instruções!$F$6:$J$10,4,0)&amp;"_to_be, "&amp;VLOOKUP(B58,Instruções!$F$6:$J$10,5,0)&amp;" as "&amp;VLOOKUP(B58,Instruções!$F$6:$J$10,5,0)&amp;"_to_be,"&amp;E58&amp;" as "&amp;G58&amp;" FROM "&amp;D58&amp;" WHERE "&amp;Instruções!$D$11&amp;") B ")</f>
        <v xml:space="preserve">(SELECT entty_id as entty_id_to_be, gcc_prnt_nm as gcc_prnt_nm_to_be FROM bu_loantape_work.lt003_entity WHERE ref_date='2025-06-30' AND nome_perimetro= 'Individual IDComb' AND segmento= 'ESTR' AND ambito= 'PM' AND entidade='00100' AND cod_visao = 1) B </v>
      </c>
      <c r="J58" s="17" t="str">
        <f>IF(VLOOKUP(B58,Instruções!$F$6:$J$10,5,0)="",
"ON "&amp;VLOOKUP(B58,Instruções!$F$6:$J$10,4,0)&amp;"_as_is = "&amp;VLOOKUP(B58,Instruções!$F$6:$J$10,4,0)&amp;"_to_be ",
"ON "&amp;VLOOKUP(B58,Instruções!$F$6:$J$10,4,0)&amp;"_as_is = "&amp;VLOOKUP(B58,Instruções!$F$6:$J$10,4,0)&amp;"_to_be AND "&amp;VLOOKUP(B58,Instruções!$F$6:$J$10,5,0)&amp;"_as_is = "&amp;VLOOKUP(B58,Instruções!$F$6:$J$10,5,0)&amp;"_to_be ")</f>
        <v xml:space="preserve">ON entty_id_as_is = entty_id_to_be </v>
      </c>
      <c r="K58" s="17" t="str">
        <f t="shared" si="11"/>
        <v xml:space="preserve">WHERE coalesce(cast(gcc_prnt_nm_as_is as string), '') &lt;&gt; coalesce(cast(gcc_prnt_nm_to_be as string), '') </v>
      </c>
      <c r="L58" s="17" t="str">
        <f t="shared" si="3"/>
        <v xml:space="preserve">SELECT count(*) AS NUM_REG_DIF FROM (SELECT entty_id as entty_id_as_is, gcc_prnt_nm as gcc_prnt_nm_as_is FROM cd_loan_tapes_bce.lt003_entity WHERE ref_date='2025-06-30' AND nome_perimetro= 'Individual IDComb' AND segmento= 'ESTR' AND ambito= 'PM' AND entidade='00100' AND cod_visao = 1) A  Inner join (SELECT entty_id as entty_id_to_be, gcc_prnt_nm as gcc_prnt_nm_to_be FROM bu_loantape_work.lt003_entity WHERE ref_date='2025-06-30' AND nome_perimetro= 'Individual IDComb' AND segmento= 'ESTR' AND ambito= 'PM' AND entidade='00100' AND cod_visao = 1) B ON entty_id_as_is = entty_id_to_be WHERE coalesce(cast(gcc_prnt_nm_as_is as string), '') &lt;&gt; coalesce(cast(gcc_prnt_nm_to_be as string), '') </v>
      </c>
      <c r="M58" s="17" t="s">
        <v>48</v>
      </c>
      <c r="N58" s="17" t="str">
        <f>"SELECT 'Validação de campos' as tipologia_teste, '"&amp;VLOOKUP(B58,Instruções!$F$6:$J$10,3,0)&amp;"' AS TABELA, '"&amp;E58&amp;"' AS CAMPO, '"&amp;Instruções!$D$7&amp;"' as ref_date, coalesce(NUM_REG_DIF, 0) AS NUM_REG_DIF FROM ("&amp;L58&amp;") A "</f>
        <v xml:space="preserve">SELECT 'Validação de campos' as tipologia_teste, 'lt003_entity' AS TABELA, 'gcc_prnt_nm' AS CAMPO, '2025-06-30' as ref_date, coalesce(NUM_REG_DIF, 0) AS NUM_REG_DIF FROM (SELECT count(*) AS NUM_REG_DIF FROM (SELECT entty_id as entty_id_as_is, gcc_prnt_nm as gcc_prnt_nm_as_is FROM cd_loan_tapes_bce.lt003_entity WHERE ref_date='2025-06-30' AND nome_perimetro= 'Individual IDComb' AND segmento= 'ESTR' AND ambito= 'PM' AND entidade='00100' AND cod_visao = 1) A  Inner join (SELECT entty_id as entty_id_to_be, gcc_prnt_nm as gcc_prnt_nm_to_be FROM bu_loantape_work.lt003_entity WHERE ref_date='2025-06-30' AND nome_perimetro= 'Individual IDComb' AND segmento= 'ESTR' AND ambito= 'PM' AND entidade='00100' AND cod_visao = 1) B ON entty_id_as_is = entty_id_to_be WHERE coalesce(cast(gcc_prnt_nm_as_is as string), '') &lt;&gt; coalesce(cast(gcc_prnt_nm_to_be as string), '') ) A </v>
      </c>
      <c r="O58" s="19" t="str">
        <f t="shared" si="12"/>
        <v>SELECT 'Validação de campos' as tipologia_teste, 'lt003_entity' AS TABELA, 'gcc_prnt_nm' AS CAMPO, '2025-06-30' as ref_date, coalesce(NUM_REG_DIF, 0) AS NUM_REG_DIF FROM (SELECT count(*) AS NUM_REG_DIF FROM (SELECT entty_id as entty_id_as_is, gcc_prnt_nm as gcc_prnt_nm_as_is FROM cd_loan_tapes_bce.lt003_entity WHERE ref_date='2025-06-30' AND nome_perimetro= 'Individual IDComb' AND segmento= 'ESTR' AND ambito= 'PM' AND entidade='00100' AND cod_visao = 1) A  Inner join (SELECT entty_id as entty_id_to_be, gcc_prnt_nm as gcc_prnt_nm_to_be FROM bu_loantape_work.lt003_entity WHERE ref_date='2025-06-30' AND nome_perimetro= 'Individual IDComb' AND segmento= 'ESTR' AND ambito= 'PM' AND entidade='00100' AND cod_visao = 1) B ON entty_id_as_is = entty_id_to_be WHERE coalesce(cast(gcc_prnt_nm_as_is as string), '') &lt;&gt; coalesce(cast(gcc_prnt_nm_to_be as string), '') ) A UNION ALL</v>
      </c>
      <c r="P58" s="17">
        <f t="shared" si="5"/>
        <v>4</v>
      </c>
    </row>
    <row r="59" spans="2:16" s="15" customFormat="1" ht="11.5" x14ac:dyDescent="0.25">
      <c r="B59" s="17" t="s">
        <v>11</v>
      </c>
      <c r="C59" s="17" t="str">
        <f>_xlfn.CONCAT(Instruções!$D$5,".",VLOOKUP(B59,Instruções!$F$5:$H$10,2,0))</f>
        <v>cd_loan_tapes_bce.lt003_entity</v>
      </c>
      <c r="D59" s="17" t="str">
        <f>_xlfn.CONCAT(Instruções!$D$6,".",VLOOKUP(B59,Instruções!$F$5:$H$10,3,0))</f>
        <v>bu_loantape_work.lt003_entity</v>
      </c>
      <c r="E59" s="17" t="s">
        <v>102</v>
      </c>
      <c r="F59" s="17" t="str">
        <f t="shared" si="9"/>
        <v>gdwill_as_is</v>
      </c>
      <c r="G59" s="17" t="str">
        <f t="shared" si="10"/>
        <v>gdwill_to_be</v>
      </c>
      <c r="H59" s="17" t="str">
        <f>IF(VLOOKUP(B59,Instruções!$F$6:$J$10,5,0)="",
"(SELECT "&amp;VLOOKUP(B59,Instruções!$F$6:$J$10,4,0)&amp;" as "&amp;VLOOKUP(B59,Instruções!$F$6:$J$10,4,0)&amp;"_as_is, "&amp;E59&amp;" as "&amp;F59&amp;" FROM "&amp;C59&amp;" WHERE "&amp;Instruções!$D$11&amp;") A ",
"(SELECT "&amp;VLOOKUP(B59,Instruções!$F$6:$J$10,4,0)&amp;" as "&amp;VLOOKUP(B59,Instruções!$F$6:$J$10,4,0)&amp;"_as_is, "&amp;VLOOKUP(B59,Instruções!$F$6:$J$10,5,0)&amp;" as "&amp;VLOOKUP(B59,Instruções!$F$6:$J$10,5,0)&amp;"_as_is,"&amp;E59&amp;" as "&amp;F59&amp;" FROM "&amp;C59&amp;" WHERE "&amp;Instruções!$D$11&amp;") A ")</f>
        <v xml:space="preserve">(SELECT entty_id as entty_id_as_is, gdwill as gdwill_as_is FROM cd_loan_tapes_bce.lt003_entity WHERE ref_date='2025-06-30' AND nome_perimetro= 'Individual IDComb' AND segmento= 'ESTR' AND ambito= 'PM' AND entidade='00100' AND cod_visao = 1) A </v>
      </c>
      <c r="I59" s="17" t="str">
        <f>IF(VLOOKUP(B59,Instruções!$F$6:$J$10,5,0)="",
"(SELECT "&amp;VLOOKUP(B59,Instruções!$F$6:$J$10,4,0)&amp;" as "&amp;VLOOKUP(B59,Instruções!$F$6:$J$10,4,0)&amp;"_to_be, "&amp;E59&amp;" as "&amp;G59&amp;" FROM "&amp;D59&amp;" WHERE "&amp;Instruções!$D$11&amp;") B ",
"(SELECT "&amp;VLOOKUP(B59,Instruções!$F$6:$J$10,4,0)&amp;" as "&amp;VLOOKUP(B59,Instruções!$F$6:$J$10,4,0)&amp;"_to_be, "&amp;VLOOKUP(B59,Instruções!$F$6:$J$10,5,0)&amp;" as "&amp;VLOOKUP(B59,Instruções!$F$6:$J$10,5,0)&amp;"_to_be,"&amp;E59&amp;" as "&amp;G59&amp;" FROM "&amp;D59&amp;" WHERE "&amp;Instruções!$D$11&amp;") B ")</f>
        <v xml:space="preserve">(SELECT entty_id as entty_id_to_be, gdwill as gdwill_to_be FROM bu_loantape_work.lt003_entity WHERE ref_date='2025-06-30' AND nome_perimetro= 'Individual IDComb' AND segmento= 'ESTR' AND ambito= 'PM' AND entidade='00100' AND cod_visao = 1) B </v>
      </c>
      <c r="J59" s="17" t="str">
        <f>IF(VLOOKUP(B59,Instruções!$F$6:$J$10,5,0)="",
"ON "&amp;VLOOKUP(B59,Instruções!$F$6:$J$10,4,0)&amp;"_as_is = "&amp;VLOOKUP(B59,Instruções!$F$6:$J$10,4,0)&amp;"_to_be ",
"ON "&amp;VLOOKUP(B59,Instruções!$F$6:$J$10,4,0)&amp;"_as_is = "&amp;VLOOKUP(B59,Instruções!$F$6:$J$10,4,0)&amp;"_to_be AND "&amp;VLOOKUP(B59,Instruções!$F$6:$J$10,5,0)&amp;"_as_is = "&amp;VLOOKUP(B59,Instruções!$F$6:$J$10,5,0)&amp;"_to_be ")</f>
        <v xml:space="preserve">ON entty_id_as_is = entty_id_to_be </v>
      </c>
      <c r="K59" s="17" t="str">
        <f t="shared" si="11"/>
        <v xml:space="preserve">WHERE coalesce(cast(gdwill_as_is as string), '') &lt;&gt; coalesce(cast(gdwill_to_be as string), '') </v>
      </c>
      <c r="L59" s="17" t="str">
        <f t="shared" si="3"/>
        <v xml:space="preserve">SELECT count(*) AS NUM_REG_DIF FROM (SELECT entty_id as entty_id_as_is, gdwill as gdwill_as_is FROM cd_loan_tapes_bce.lt003_entity WHERE ref_date='2025-06-30' AND nome_perimetro= 'Individual IDComb' AND segmento= 'ESTR' AND ambito= 'PM' AND entidade='00100' AND cod_visao = 1) A  Inner join (SELECT entty_id as entty_id_to_be, gdwill as gdwill_to_be FROM bu_loantape_work.lt003_entity WHERE ref_date='2025-06-30' AND nome_perimetro= 'Individual IDComb' AND segmento= 'ESTR' AND ambito= 'PM' AND entidade='00100' AND cod_visao = 1) B ON entty_id_as_is = entty_id_to_be WHERE coalesce(cast(gdwill_as_is as string), '') &lt;&gt; coalesce(cast(gdwill_to_be as string), '') </v>
      </c>
      <c r="M59" s="17" t="s">
        <v>48</v>
      </c>
      <c r="N59" s="17" t="str">
        <f>"SELECT 'Validação de campos' as tipologia_teste, '"&amp;VLOOKUP(B59,Instruções!$F$6:$J$10,3,0)&amp;"' AS TABELA, '"&amp;E59&amp;"' AS CAMPO, '"&amp;Instruções!$D$7&amp;"' as ref_date, coalesce(NUM_REG_DIF, 0) AS NUM_REG_DIF FROM ("&amp;L59&amp;") A "</f>
        <v xml:space="preserve">SELECT 'Validação de campos' as tipologia_teste, 'lt003_entity' AS TABELA, 'gdwill' AS CAMPO, '2025-06-30' as ref_date, coalesce(NUM_REG_DIF, 0) AS NUM_REG_DIF FROM (SELECT count(*) AS NUM_REG_DIF FROM (SELECT entty_id as entty_id_as_is, gdwill as gdwill_as_is FROM cd_loan_tapes_bce.lt003_entity WHERE ref_date='2025-06-30' AND nome_perimetro= 'Individual IDComb' AND segmento= 'ESTR' AND ambito= 'PM' AND entidade='00100' AND cod_visao = 1) A  Inner join (SELECT entty_id as entty_id_to_be, gdwill as gdwill_to_be FROM bu_loantape_work.lt003_entity WHERE ref_date='2025-06-30' AND nome_perimetro= 'Individual IDComb' AND segmento= 'ESTR' AND ambito= 'PM' AND entidade='00100' AND cod_visao = 1) B ON entty_id_as_is = entty_id_to_be WHERE coalesce(cast(gdwill_as_is as string), '') &lt;&gt; coalesce(cast(gdwill_to_be as string), '') ) A </v>
      </c>
      <c r="O59" s="19" t="str">
        <f t="shared" si="12"/>
        <v>SELECT 'Validação de campos' as tipologia_teste, 'lt003_entity' AS TABELA, 'gdwill' AS CAMPO, '2025-06-30' as ref_date, coalesce(NUM_REG_DIF, 0) AS NUM_REG_DIF FROM (SELECT count(*) AS NUM_REG_DIF FROM (SELECT entty_id as entty_id_as_is, gdwill as gdwill_as_is FROM cd_loan_tapes_bce.lt003_entity WHERE ref_date='2025-06-30' AND nome_perimetro= 'Individual IDComb' AND segmento= 'ESTR' AND ambito= 'PM' AND entidade='00100' AND cod_visao = 1) A  Inner join (SELECT entty_id as entty_id_to_be, gdwill as gdwill_to_be FROM bu_loantape_work.lt003_entity WHERE ref_date='2025-06-30' AND nome_perimetro= 'Individual IDComb' AND segmento= 'ESTR' AND ambito= 'PM' AND entidade='00100' AND cod_visao = 1) B ON entty_id_as_is = entty_id_to_be WHERE coalesce(cast(gdwill_as_is as string), '') &lt;&gt; coalesce(cast(gdwill_to_be as string), '') ) A UNION ALL</v>
      </c>
      <c r="P59" s="17">
        <f t="shared" si="5"/>
        <v>5</v>
      </c>
    </row>
    <row r="60" spans="2:16" s="15" customFormat="1" ht="11.5" x14ac:dyDescent="0.25">
      <c r="B60" s="17" t="s">
        <v>11</v>
      </c>
      <c r="C60" s="17" t="str">
        <f>_xlfn.CONCAT(Instruções!$D$5,".",VLOOKUP(B60,Instruções!$F$5:$H$10,2,0))</f>
        <v>cd_loan_tapes_bce.lt003_entity</v>
      </c>
      <c r="D60" s="17" t="str">
        <f>_xlfn.CONCAT(Instruções!$D$6,".",VLOOKUP(B60,Instruções!$F$5:$H$10,3,0))</f>
        <v>bu_loantape_work.lt003_entity</v>
      </c>
      <c r="E60" s="17" t="s">
        <v>103</v>
      </c>
      <c r="F60" s="17" t="str">
        <f t="shared" si="9"/>
        <v>gdwill_prvs_as_is</v>
      </c>
      <c r="G60" s="17" t="str">
        <f t="shared" si="10"/>
        <v>gdwill_prvs_to_be</v>
      </c>
      <c r="H60" s="17" t="str">
        <f>IF(VLOOKUP(B60,Instruções!$F$6:$J$10,5,0)="",
"(SELECT "&amp;VLOOKUP(B60,Instruções!$F$6:$J$10,4,0)&amp;" as "&amp;VLOOKUP(B60,Instruções!$F$6:$J$10,4,0)&amp;"_as_is, "&amp;E60&amp;" as "&amp;F60&amp;" FROM "&amp;C60&amp;" WHERE "&amp;Instruções!$D$11&amp;") A ",
"(SELECT "&amp;VLOOKUP(B60,Instruções!$F$6:$J$10,4,0)&amp;" as "&amp;VLOOKUP(B60,Instruções!$F$6:$J$10,4,0)&amp;"_as_is, "&amp;VLOOKUP(B60,Instruções!$F$6:$J$10,5,0)&amp;" as "&amp;VLOOKUP(B60,Instruções!$F$6:$J$10,5,0)&amp;"_as_is,"&amp;E60&amp;" as "&amp;F60&amp;" FROM "&amp;C60&amp;" WHERE "&amp;Instruções!$D$11&amp;") A ")</f>
        <v xml:space="preserve">(SELECT entty_id as entty_id_as_is, gdwill_prvs as gdwill_prvs_as_is FROM cd_loan_tapes_bce.lt003_entity WHERE ref_date='2025-06-30' AND nome_perimetro= 'Individual IDComb' AND segmento= 'ESTR' AND ambito= 'PM' AND entidade='00100' AND cod_visao = 1) A </v>
      </c>
      <c r="I60" s="17" t="str">
        <f>IF(VLOOKUP(B60,Instruções!$F$6:$J$10,5,0)="",
"(SELECT "&amp;VLOOKUP(B60,Instruções!$F$6:$J$10,4,0)&amp;" as "&amp;VLOOKUP(B60,Instruções!$F$6:$J$10,4,0)&amp;"_to_be, "&amp;E60&amp;" as "&amp;G60&amp;" FROM "&amp;D60&amp;" WHERE "&amp;Instruções!$D$11&amp;") B ",
"(SELECT "&amp;VLOOKUP(B60,Instruções!$F$6:$J$10,4,0)&amp;" as "&amp;VLOOKUP(B60,Instruções!$F$6:$J$10,4,0)&amp;"_to_be, "&amp;VLOOKUP(B60,Instruções!$F$6:$J$10,5,0)&amp;" as "&amp;VLOOKUP(B60,Instruções!$F$6:$J$10,5,0)&amp;"_to_be,"&amp;E60&amp;" as "&amp;G60&amp;" FROM "&amp;D60&amp;" WHERE "&amp;Instruções!$D$11&amp;") B ")</f>
        <v xml:space="preserve">(SELECT entty_id as entty_id_to_be, gdwill_prvs as gdwill_prvs_to_be FROM bu_loantape_work.lt003_entity WHERE ref_date='2025-06-30' AND nome_perimetro= 'Individual IDComb' AND segmento= 'ESTR' AND ambito= 'PM' AND entidade='00100' AND cod_visao = 1) B </v>
      </c>
      <c r="J60" s="17" t="str">
        <f>IF(VLOOKUP(B60,Instruções!$F$6:$J$10,5,0)="",
"ON "&amp;VLOOKUP(B60,Instruções!$F$6:$J$10,4,0)&amp;"_as_is = "&amp;VLOOKUP(B60,Instruções!$F$6:$J$10,4,0)&amp;"_to_be ",
"ON "&amp;VLOOKUP(B60,Instruções!$F$6:$J$10,4,0)&amp;"_as_is = "&amp;VLOOKUP(B60,Instruções!$F$6:$J$10,4,0)&amp;"_to_be AND "&amp;VLOOKUP(B60,Instruções!$F$6:$J$10,5,0)&amp;"_as_is = "&amp;VLOOKUP(B60,Instruções!$F$6:$J$10,5,0)&amp;"_to_be ")</f>
        <v xml:space="preserve">ON entty_id_as_is = entty_id_to_be </v>
      </c>
      <c r="K60" s="17" t="str">
        <f t="shared" si="11"/>
        <v xml:space="preserve">WHERE coalesce(cast(gdwill_prvs_as_is as string), '') &lt;&gt; coalesce(cast(gdwill_prvs_to_be as string), '') </v>
      </c>
      <c r="L60" s="17" t="str">
        <f t="shared" si="3"/>
        <v xml:space="preserve">SELECT count(*) AS NUM_REG_DIF FROM (SELECT entty_id as entty_id_as_is, gdwill_prvs as gdwill_prvs_as_is FROM cd_loan_tapes_bce.lt003_entity WHERE ref_date='2025-06-30' AND nome_perimetro= 'Individual IDComb' AND segmento= 'ESTR' AND ambito= 'PM' AND entidade='00100' AND cod_visao = 1) A  Inner join (SELECT entty_id as entty_id_to_be, gdwill_prvs as gdwill_prvs_to_be FROM bu_loantape_work.lt003_entity WHERE ref_date='2025-06-30' AND nome_perimetro= 'Individual IDComb' AND segmento= 'ESTR' AND ambito= 'PM' AND entidade='00100' AND cod_visao = 1) B ON entty_id_as_is = entty_id_to_be WHERE coalesce(cast(gdwill_prvs_as_is as string), '') &lt;&gt; coalesce(cast(gdwill_prvs_to_be as string), '') </v>
      </c>
      <c r="M60" s="17" t="s">
        <v>48</v>
      </c>
      <c r="N60" s="17" t="str">
        <f>"SELECT 'Validação de campos' as tipologia_teste, '"&amp;VLOOKUP(B60,Instruções!$F$6:$J$10,3,0)&amp;"' AS TABELA, '"&amp;E60&amp;"' AS CAMPO, '"&amp;Instruções!$D$7&amp;"' as ref_date, coalesce(NUM_REG_DIF, 0) AS NUM_REG_DIF FROM ("&amp;L60&amp;") A "</f>
        <v xml:space="preserve">SELECT 'Validação de campos' as tipologia_teste, 'lt003_entity' AS TABELA, 'gdwill_prvs' AS CAMPO, '2025-06-30' as ref_date, coalesce(NUM_REG_DIF, 0) AS NUM_REG_DIF FROM (SELECT count(*) AS NUM_REG_DIF FROM (SELECT entty_id as entty_id_as_is, gdwill_prvs as gdwill_prvs_as_is FROM cd_loan_tapes_bce.lt003_entity WHERE ref_date='2025-06-30' AND nome_perimetro= 'Individual IDComb' AND segmento= 'ESTR' AND ambito= 'PM' AND entidade='00100' AND cod_visao = 1) A  Inner join (SELECT entty_id as entty_id_to_be, gdwill_prvs as gdwill_prvs_to_be FROM bu_loantape_work.lt003_entity WHERE ref_date='2025-06-30' AND nome_perimetro= 'Individual IDComb' AND segmento= 'ESTR' AND ambito= 'PM' AND entidade='00100' AND cod_visao = 1) B ON entty_id_as_is = entty_id_to_be WHERE coalesce(cast(gdwill_prvs_as_is as string), '') &lt;&gt; coalesce(cast(gdwill_prvs_to_be as string), '') ) A </v>
      </c>
      <c r="O60" s="19" t="str">
        <f t="shared" si="12"/>
        <v>SELECT 'Validação de campos' as tipologia_teste, 'lt003_entity' AS TABELA, 'gdwill_prvs' AS CAMPO, '2025-06-30' as ref_date, coalesce(NUM_REG_DIF, 0) AS NUM_REG_DIF FROM (SELECT count(*) AS NUM_REG_DIF FROM (SELECT entty_id as entty_id_as_is, gdwill_prvs as gdwill_prvs_as_is FROM cd_loan_tapes_bce.lt003_entity WHERE ref_date='2025-06-30' AND nome_perimetro= 'Individual IDComb' AND segmento= 'ESTR' AND ambito= 'PM' AND entidade='00100' AND cod_visao = 1) A  Inner join (SELECT entty_id as entty_id_to_be, gdwill_prvs as gdwill_prvs_to_be FROM bu_loantape_work.lt003_entity WHERE ref_date='2025-06-30' AND nome_perimetro= 'Individual IDComb' AND segmento= 'ESTR' AND ambito= 'PM' AND entidade='00100' AND cod_visao = 1) B ON entty_id_as_is = entty_id_to_be WHERE coalesce(cast(gdwill_prvs_as_is as string), '') &lt;&gt; coalesce(cast(gdwill_prvs_to_be as string), '') ) A UNION ALL</v>
      </c>
      <c r="P60" s="17">
        <f t="shared" si="5"/>
        <v>6</v>
      </c>
    </row>
    <row r="61" spans="2:16" s="15" customFormat="1" ht="11.5" x14ac:dyDescent="0.25">
      <c r="B61" s="17" t="s">
        <v>11</v>
      </c>
      <c r="C61" s="17" t="str">
        <f>_xlfn.CONCAT(Instruções!$D$5,".",VLOOKUP(B61,Instruções!$F$5:$H$10,2,0))</f>
        <v>cd_loan_tapes_bce.lt003_entity</v>
      </c>
      <c r="D61" s="17" t="str">
        <f>_xlfn.CONCAT(Instruções!$D$6,".",VLOOKUP(B61,Instruções!$F$5:$H$10,3,0))</f>
        <v>bu_loantape_work.lt003_entity</v>
      </c>
      <c r="E61" s="17" t="s">
        <v>104</v>
      </c>
      <c r="F61" s="17" t="str">
        <f t="shared" si="9"/>
        <v>grp_ebitda_as_is</v>
      </c>
      <c r="G61" s="17" t="str">
        <f t="shared" si="10"/>
        <v>grp_ebitda_to_be</v>
      </c>
      <c r="H61" s="17" t="str">
        <f>IF(VLOOKUP(B61,Instruções!$F$6:$J$10,5,0)="",
"(SELECT "&amp;VLOOKUP(B61,Instruções!$F$6:$J$10,4,0)&amp;" as "&amp;VLOOKUP(B61,Instruções!$F$6:$J$10,4,0)&amp;"_as_is, "&amp;E61&amp;" as "&amp;F61&amp;" FROM "&amp;C61&amp;" WHERE "&amp;Instruções!$D$11&amp;") A ",
"(SELECT "&amp;VLOOKUP(B61,Instruções!$F$6:$J$10,4,0)&amp;" as "&amp;VLOOKUP(B61,Instruções!$F$6:$J$10,4,0)&amp;"_as_is, "&amp;VLOOKUP(B61,Instruções!$F$6:$J$10,5,0)&amp;" as "&amp;VLOOKUP(B61,Instruções!$F$6:$J$10,5,0)&amp;"_as_is,"&amp;E61&amp;" as "&amp;F61&amp;" FROM "&amp;C61&amp;" WHERE "&amp;Instruções!$D$11&amp;") A ")</f>
        <v xml:space="preserve">(SELECT entty_id as entty_id_as_is, grp_ebitda as grp_ebitda_as_is FROM cd_loan_tapes_bce.lt003_entity WHERE ref_date='2025-06-30' AND nome_perimetro= 'Individual IDComb' AND segmento= 'ESTR' AND ambito= 'PM' AND entidade='00100' AND cod_visao = 1) A </v>
      </c>
      <c r="I61" s="17" t="str">
        <f>IF(VLOOKUP(B61,Instruções!$F$6:$J$10,5,0)="",
"(SELECT "&amp;VLOOKUP(B61,Instruções!$F$6:$J$10,4,0)&amp;" as "&amp;VLOOKUP(B61,Instruções!$F$6:$J$10,4,0)&amp;"_to_be, "&amp;E61&amp;" as "&amp;G61&amp;" FROM "&amp;D61&amp;" WHERE "&amp;Instruções!$D$11&amp;") B ",
"(SELECT "&amp;VLOOKUP(B61,Instruções!$F$6:$J$10,4,0)&amp;" as "&amp;VLOOKUP(B61,Instruções!$F$6:$J$10,4,0)&amp;"_to_be, "&amp;VLOOKUP(B61,Instruções!$F$6:$J$10,5,0)&amp;" as "&amp;VLOOKUP(B61,Instruções!$F$6:$J$10,5,0)&amp;"_to_be,"&amp;E61&amp;" as "&amp;G61&amp;" FROM "&amp;D61&amp;" WHERE "&amp;Instruções!$D$11&amp;") B ")</f>
        <v xml:space="preserve">(SELECT entty_id as entty_id_to_be, grp_ebitda as grp_ebitda_to_be FROM bu_loantape_work.lt003_entity WHERE ref_date='2025-06-30' AND nome_perimetro= 'Individual IDComb' AND segmento= 'ESTR' AND ambito= 'PM' AND entidade='00100' AND cod_visao = 1) B </v>
      </c>
      <c r="J61" s="17" t="str">
        <f>IF(VLOOKUP(B61,Instruções!$F$6:$J$10,5,0)="",
"ON "&amp;VLOOKUP(B61,Instruções!$F$6:$J$10,4,0)&amp;"_as_is = "&amp;VLOOKUP(B61,Instruções!$F$6:$J$10,4,0)&amp;"_to_be ",
"ON "&amp;VLOOKUP(B61,Instruções!$F$6:$J$10,4,0)&amp;"_as_is = "&amp;VLOOKUP(B61,Instruções!$F$6:$J$10,4,0)&amp;"_to_be AND "&amp;VLOOKUP(B61,Instruções!$F$6:$J$10,5,0)&amp;"_as_is = "&amp;VLOOKUP(B61,Instruções!$F$6:$J$10,5,0)&amp;"_to_be ")</f>
        <v xml:space="preserve">ON entty_id_as_is = entty_id_to_be </v>
      </c>
      <c r="K61" s="17" t="str">
        <f t="shared" si="11"/>
        <v xml:space="preserve">WHERE coalesce(cast(grp_ebitda_as_is as string), '') &lt;&gt; coalesce(cast(grp_ebitda_to_be as string), '') </v>
      </c>
      <c r="L61" s="17" t="str">
        <f t="shared" si="3"/>
        <v xml:space="preserve">SELECT count(*) AS NUM_REG_DIF FROM (SELECT entty_id as entty_id_as_is, grp_ebitda as grp_ebitda_as_is FROM cd_loan_tapes_bce.lt003_entity WHERE ref_date='2025-06-30' AND nome_perimetro= 'Individual IDComb' AND segmento= 'ESTR' AND ambito= 'PM' AND entidade='00100' AND cod_visao = 1) A  Inner join (SELECT entty_id as entty_id_to_be, grp_ebitda as grp_ebitda_to_be FROM bu_loantape_work.lt003_entity WHERE ref_date='2025-06-30' AND nome_perimetro= 'Individual IDComb' AND segmento= 'ESTR' AND ambito= 'PM' AND entidade='00100' AND cod_visao = 1) B ON entty_id_as_is = entty_id_to_be WHERE coalesce(cast(grp_ebitda_as_is as string), '') &lt;&gt; coalesce(cast(grp_ebitda_to_be as string), '') </v>
      </c>
      <c r="M61" s="17" t="s">
        <v>48</v>
      </c>
      <c r="N61" s="17" t="str">
        <f>"SELECT 'Validação de campos' as tipologia_teste, '"&amp;VLOOKUP(B61,Instruções!$F$6:$J$10,3,0)&amp;"' AS TABELA, '"&amp;E61&amp;"' AS CAMPO, '"&amp;Instruções!$D$7&amp;"' as ref_date, coalesce(NUM_REG_DIF, 0) AS NUM_REG_DIF FROM ("&amp;L61&amp;") A "</f>
        <v xml:space="preserve">SELECT 'Validação de campos' as tipologia_teste, 'lt003_entity' AS TABELA, 'grp_ebitda' AS CAMPO, '2025-06-30' as ref_date, coalesce(NUM_REG_DIF, 0) AS NUM_REG_DIF FROM (SELECT count(*) AS NUM_REG_DIF FROM (SELECT entty_id as entty_id_as_is, grp_ebitda as grp_ebitda_as_is FROM cd_loan_tapes_bce.lt003_entity WHERE ref_date='2025-06-30' AND nome_perimetro= 'Individual IDComb' AND segmento= 'ESTR' AND ambito= 'PM' AND entidade='00100' AND cod_visao = 1) A  Inner join (SELECT entty_id as entty_id_to_be, grp_ebitda as grp_ebitda_to_be FROM bu_loantape_work.lt003_entity WHERE ref_date='2025-06-30' AND nome_perimetro= 'Individual IDComb' AND segmento= 'ESTR' AND ambito= 'PM' AND entidade='00100' AND cod_visao = 1) B ON entty_id_as_is = entty_id_to_be WHERE coalesce(cast(grp_ebitda_as_is as string), '') &lt;&gt; coalesce(cast(grp_ebitda_to_be as string), '') ) A </v>
      </c>
      <c r="O61" s="19" t="str">
        <f t="shared" si="12"/>
        <v>SELECT 'Validação de campos' as tipologia_teste, 'lt003_entity' AS TABELA, 'grp_ebitda' AS CAMPO, '2025-06-30' as ref_date, coalesce(NUM_REG_DIF, 0) AS NUM_REG_DIF FROM (SELECT count(*) AS NUM_REG_DIF FROM (SELECT entty_id as entty_id_as_is, grp_ebitda as grp_ebitda_as_is FROM cd_loan_tapes_bce.lt003_entity WHERE ref_date='2025-06-30' AND nome_perimetro= 'Individual IDComb' AND segmento= 'ESTR' AND ambito= 'PM' AND entidade='00100' AND cod_visao = 1) A  Inner join (SELECT entty_id as entty_id_to_be, grp_ebitda as grp_ebitda_to_be FROM bu_loantape_work.lt003_entity WHERE ref_date='2025-06-30' AND nome_perimetro= 'Individual IDComb' AND segmento= 'ESTR' AND ambito= 'PM' AND entidade='00100' AND cod_visao = 1) B ON entty_id_as_is = entty_id_to_be WHERE coalesce(cast(grp_ebitda_as_is as string), '') &lt;&gt; coalesce(cast(grp_ebitda_to_be as string), '') ) A UNION ALL</v>
      </c>
      <c r="P61" s="17">
        <f t="shared" si="5"/>
        <v>7</v>
      </c>
    </row>
    <row r="62" spans="2:16" s="15" customFormat="1" ht="11.5" x14ac:dyDescent="0.25">
      <c r="B62" s="17" t="s">
        <v>11</v>
      </c>
      <c r="C62" s="17" t="str">
        <f>_xlfn.CONCAT(Instruções!$D$5,".",VLOOKUP(B62,Instruções!$F$5:$H$10,2,0))</f>
        <v>cd_loan_tapes_bce.lt003_entity</v>
      </c>
      <c r="D62" s="17" t="str">
        <f>_xlfn.CONCAT(Instruções!$D$6,".",VLOOKUP(B62,Instruções!$F$5:$H$10,3,0))</f>
        <v>bu_loantape_work.lt003_entity</v>
      </c>
      <c r="E62" s="17" t="s">
        <v>105</v>
      </c>
      <c r="F62" s="17" t="str">
        <f t="shared" si="9"/>
        <v>grp_eqty_as_is</v>
      </c>
      <c r="G62" s="17" t="str">
        <f t="shared" si="10"/>
        <v>grp_eqty_to_be</v>
      </c>
      <c r="H62" s="17" t="str">
        <f>IF(VLOOKUP(B62,Instruções!$F$6:$J$10,5,0)="",
"(SELECT "&amp;VLOOKUP(B62,Instruções!$F$6:$J$10,4,0)&amp;" as "&amp;VLOOKUP(B62,Instruções!$F$6:$J$10,4,0)&amp;"_as_is, "&amp;E62&amp;" as "&amp;F62&amp;" FROM "&amp;C62&amp;" WHERE "&amp;Instruções!$D$11&amp;") A ",
"(SELECT "&amp;VLOOKUP(B62,Instruções!$F$6:$J$10,4,0)&amp;" as "&amp;VLOOKUP(B62,Instruções!$F$6:$J$10,4,0)&amp;"_as_is, "&amp;VLOOKUP(B62,Instruções!$F$6:$J$10,5,0)&amp;" as "&amp;VLOOKUP(B62,Instruções!$F$6:$J$10,5,0)&amp;"_as_is,"&amp;E62&amp;" as "&amp;F62&amp;" FROM "&amp;C62&amp;" WHERE "&amp;Instruções!$D$11&amp;") A ")</f>
        <v xml:space="preserve">(SELECT entty_id as entty_id_as_is, grp_eqty as grp_eqty_as_is FROM cd_loan_tapes_bce.lt003_entity WHERE ref_date='2025-06-30' AND nome_perimetro= 'Individual IDComb' AND segmento= 'ESTR' AND ambito= 'PM' AND entidade='00100' AND cod_visao = 1) A </v>
      </c>
      <c r="I62" s="17" t="str">
        <f>IF(VLOOKUP(B62,Instruções!$F$6:$J$10,5,0)="",
"(SELECT "&amp;VLOOKUP(B62,Instruções!$F$6:$J$10,4,0)&amp;" as "&amp;VLOOKUP(B62,Instruções!$F$6:$J$10,4,0)&amp;"_to_be, "&amp;E62&amp;" as "&amp;G62&amp;" FROM "&amp;D62&amp;" WHERE "&amp;Instruções!$D$11&amp;") B ",
"(SELECT "&amp;VLOOKUP(B62,Instruções!$F$6:$J$10,4,0)&amp;" as "&amp;VLOOKUP(B62,Instruções!$F$6:$J$10,4,0)&amp;"_to_be, "&amp;VLOOKUP(B62,Instruções!$F$6:$J$10,5,0)&amp;" as "&amp;VLOOKUP(B62,Instruções!$F$6:$J$10,5,0)&amp;"_to_be,"&amp;E62&amp;" as "&amp;G62&amp;" FROM "&amp;D62&amp;" WHERE "&amp;Instruções!$D$11&amp;") B ")</f>
        <v xml:space="preserve">(SELECT entty_id as entty_id_to_be, grp_eqty as grp_eqty_to_be FROM bu_loantape_work.lt003_entity WHERE ref_date='2025-06-30' AND nome_perimetro= 'Individual IDComb' AND segmento= 'ESTR' AND ambito= 'PM' AND entidade='00100' AND cod_visao = 1) B </v>
      </c>
      <c r="J62" s="17" t="str">
        <f>IF(VLOOKUP(B62,Instruções!$F$6:$J$10,5,0)="",
"ON "&amp;VLOOKUP(B62,Instruções!$F$6:$J$10,4,0)&amp;"_as_is = "&amp;VLOOKUP(B62,Instruções!$F$6:$J$10,4,0)&amp;"_to_be ",
"ON "&amp;VLOOKUP(B62,Instruções!$F$6:$J$10,4,0)&amp;"_as_is = "&amp;VLOOKUP(B62,Instruções!$F$6:$J$10,4,0)&amp;"_to_be AND "&amp;VLOOKUP(B62,Instruções!$F$6:$J$10,5,0)&amp;"_as_is = "&amp;VLOOKUP(B62,Instruções!$F$6:$J$10,5,0)&amp;"_to_be ")</f>
        <v xml:space="preserve">ON entty_id_as_is = entty_id_to_be </v>
      </c>
      <c r="K62" s="17" t="str">
        <f t="shared" si="11"/>
        <v xml:space="preserve">WHERE coalesce(cast(grp_eqty_as_is as string), '') &lt;&gt; coalesce(cast(grp_eqty_to_be as string), '') </v>
      </c>
      <c r="L62" s="17" t="str">
        <f t="shared" si="3"/>
        <v xml:space="preserve">SELECT count(*) AS NUM_REG_DIF FROM (SELECT entty_id as entty_id_as_is, grp_eqty as grp_eqty_as_is FROM cd_loan_tapes_bce.lt003_entity WHERE ref_date='2025-06-30' AND nome_perimetro= 'Individual IDComb' AND segmento= 'ESTR' AND ambito= 'PM' AND entidade='00100' AND cod_visao = 1) A  Inner join (SELECT entty_id as entty_id_to_be, grp_eqty as grp_eqty_to_be FROM bu_loantape_work.lt003_entity WHERE ref_date='2025-06-30' AND nome_perimetro= 'Individual IDComb' AND segmento= 'ESTR' AND ambito= 'PM' AND entidade='00100' AND cod_visao = 1) B ON entty_id_as_is = entty_id_to_be WHERE coalesce(cast(grp_eqty_as_is as string), '') &lt;&gt; coalesce(cast(grp_eqty_to_be as string), '') </v>
      </c>
      <c r="M62" s="17" t="s">
        <v>48</v>
      </c>
      <c r="N62" s="17" t="str">
        <f>"SELECT 'Validação de campos' as tipologia_teste, '"&amp;VLOOKUP(B62,Instruções!$F$6:$J$10,3,0)&amp;"' AS TABELA, '"&amp;E62&amp;"' AS CAMPO, '"&amp;Instruções!$D$7&amp;"' as ref_date, coalesce(NUM_REG_DIF, 0) AS NUM_REG_DIF FROM ("&amp;L62&amp;") A "</f>
        <v xml:space="preserve">SELECT 'Validação de campos' as tipologia_teste, 'lt003_entity' AS TABELA, 'grp_eqty' AS CAMPO, '2025-06-30' as ref_date, coalesce(NUM_REG_DIF, 0) AS NUM_REG_DIF FROM (SELECT count(*) AS NUM_REG_DIF FROM (SELECT entty_id as entty_id_as_is, grp_eqty as grp_eqty_as_is FROM cd_loan_tapes_bce.lt003_entity WHERE ref_date='2025-06-30' AND nome_perimetro= 'Individual IDComb' AND segmento= 'ESTR' AND ambito= 'PM' AND entidade='00100' AND cod_visao = 1) A  Inner join (SELECT entty_id as entty_id_to_be, grp_eqty as grp_eqty_to_be FROM bu_loantape_work.lt003_entity WHERE ref_date='2025-06-30' AND nome_perimetro= 'Individual IDComb' AND segmento= 'ESTR' AND ambito= 'PM' AND entidade='00100' AND cod_visao = 1) B ON entty_id_as_is = entty_id_to_be WHERE coalesce(cast(grp_eqty_as_is as string), '') &lt;&gt; coalesce(cast(grp_eqty_to_be as string), '') ) A </v>
      </c>
      <c r="O62" s="19" t="str">
        <f t="shared" si="12"/>
        <v>SELECT 'Validação de campos' as tipologia_teste, 'lt003_entity' AS TABELA, 'grp_eqty' AS CAMPO, '2025-06-30' as ref_date, coalesce(NUM_REG_DIF, 0) AS NUM_REG_DIF FROM (SELECT count(*) AS NUM_REG_DIF FROM (SELECT entty_id as entty_id_as_is, grp_eqty as grp_eqty_as_is FROM cd_loan_tapes_bce.lt003_entity WHERE ref_date='2025-06-30' AND nome_perimetro= 'Individual IDComb' AND segmento= 'ESTR' AND ambito= 'PM' AND entidade='00100' AND cod_visao = 1) A  Inner join (SELECT entty_id as entty_id_to_be, grp_eqty as grp_eqty_to_be FROM bu_loantape_work.lt003_entity WHERE ref_date='2025-06-30' AND nome_perimetro= 'Individual IDComb' AND segmento= 'ESTR' AND ambito= 'PM' AND entidade='00100' AND cod_visao = 1) B ON entty_id_as_is = entty_id_to_be WHERE coalesce(cast(grp_eqty_as_is as string), '') &lt;&gt; coalesce(cast(grp_eqty_to_be as string), '') ) A UNION ALL</v>
      </c>
      <c r="P62" s="17">
        <f t="shared" si="5"/>
        <v>8</v>
      </c>
    </row>
    <row r="63" spans="2:16" s="15" customFormat="1" ht="11.5" x14ac:dyDescent="0.25">
      <c r="B63" s="17" t="s">
        <v>11</v>
      </c>
      <c r="C63" s="17" t="str">
        <f>_xlfn.CONCAT(Instruções!$D$5,".",VLOOKUP(B63,Instruções!$F$5:$H$10,2,0))</f>
        <v>cd_loan_tapes_bce.lt003_entity</v>
      </c>
      <c r="D63" s="17" t="str">
        <f>_xlfn.CONCAT(Instruções!$D$6,".",VLOOKUP(B63,Instruções!$F$5:$H$10,3,0))</f>
        <v>bu_loantape_work.lt003_entity</v>
      </c>
      <c r="E63" s="17" t="s">
        <v>106</v>
      </c>
      <c r="F63" s="17" t="str">
        <f t="shared" si="9"/>
        <v>grp_nt_dbt_as_is</v>
      </c>
      <c r="G63" s="17" t="str">
        <f t="shared" si="10"/>
        <v>grp_nt_dbt_to_be</v>
      </c>
      <c r="H63" s="17" t="str">
        <f>IF(VLOOKUP(B63,Instruções!$F$6:$J$10,5,0)="",
"(SELECT "&amp;VLOOKUP(B63,Instruções!$F$6:$J$10,4,0)&amp;" as "&amp;VLOOKUP(B63,Instruções!$F$6:$J$10,4,0)&amp;"_as_is, "&amp;E63&amp;" as "&amp;F63&amp;" FROM "&amp;C63&amp;" WHERE "&amp;Instruções!$D$11&amp;") A ",
"(SELECT "&amp;VLOOKUP(B63,Instruções!$F$6:$J$10,4,0)&amp;" as "&amp;VLOOKUP(B63,Instruções!$F$6:$J$10,4,0)&amp;"_as_is, "&amp;VLOOKUP(B63,Instruções!$F$6:$J$10,5,0)&amp;" as "&amp;VLOOKUP(B63,Instruções!$F$6:$J$10,5,0)&amp;"_as_is,"&amp;E63&amp;" as "&amp;F63&amp;" FROM "&amp;C63&amp;" WHERE "&amp;Instruções!$D$11&amp;") A ")</f>
        <v xml:space="preserve">(SELECT entty_id as entty_id_as_is, grp_nt_dbt as grp_nt_dbt_as_is FROM cd_loan_tapes_bce.lt003_entity WHERE ref_date='2025-06-30' AND nome_perimetro= 'Individual IDComb' AND segmento= 'ESTR' AND ambito= 'PM' AND entidade='00100' AND cod_visao = 1) A </v>
      </c>
      <c r="I63" s="17" t="str">
        <f>IF(VLOOKUP(B63,Instruções!$F$6:$J$10,5,0)="",
"(SELECT "&amp;VLOOKUP(B63,Instruções!$F$6:$J$10,4,0)&amp;" as "&amp;VLOOKUP(B63,Instruções!$F$6:$J$10,4,0)&amp;"_to_be, "&amp;E63&amp;" as "&amp;G63&amp;" FROM "&amp;D63&amp;" WHERE "&amp;Instruções!$D$11&amp;") B ",
"(SELECT "&amp;VLOOKUP(B63,Instruções!$F$6:$J$10,4,0)&amp;" as "&amp;VLOOKUP(B63,Instruções!$F$6:$J$10,4,0)&amp;"_to_be, "&amp;VLOOKUP(B63,Instruções!$F$6:$J$10,5,0)&amp;" as "&amp;VLOOKUP(B63,Instruções!$F$6:$J$10,5,0)&amp;"_to_be,"&amp;E63&amp;" as "&amp;G63&amp;" FROM "&amp;D63&amp;" WHERE "&amp;Instruções!$D$11&amp;") B ")</f>
        <v xml:space="preserve">(SELECT entty_id as entty_id_to_be, grp_nt_dbt as grp_nt_dbt_to_be FROM bu_loantape_work.lt003_entity WHERE ref_date='2025-06-30' AND nome_perimetro= 'Individual IDComb' AND segmento= 'ESTR' AND ambito= 'PM' AND entidade='00100' AND cod_visao = 1) B </v>
      </c>
      <c r="J63" s="17" t="str">
        <f>IF(VLOOKUP(B63,Instruções!$F$6:$J$10,5,0)="",
"ON "&amp;VLOOKUP(B63,Instruções!$F$6:$J$10,4,0)&amp;"_as_is = "&amp;VLOOKUP(B63,Instruções!$F$6:$J$10,4,0)&amp;"_to_be ",
"ON "&amp;VLOOKUP(B63,Instruções!$F$6:$J$10,4,0)&amp;"_as_is = "&amp;VLOOKUP(B63,Instruções!$F$6:$J$10,4,0)&amp;"_to_be AND "&amp;VLOOKUP(B63,Instruções!$F$6:$J$10,5,0)&amp;"_as_is = "&amp;VLOOKUP(B63,Instruções!$F$6:$J$10,5,0)&amp;"_to_be ")</f>
        <v xml:space="preserve">ON entty_id_as_is = entty_id_to_be </v>
      </c>
      <c r="K63" s="17" t="str">
        <f t="shared" si="11"/>
        <v xml:space="preserve">WHERE coalesce(cast(grp_nt_dbt_as_is as string), '') &lt;&gt; coalesce(cast(grp_nt_dbt_to_be as string), '') </v>
      </c>
      <c r="L63" s="17" t="str">
        <f t="shared" si="3"/>
        <v xml:space="preserve">SELECT count(*) AS NUM_REG_DIF FROM (SELECT entty_id as entty_id_as_is, grp_nt_dbt as grp_nt_dbt_as_is FROM cd_loan_tapes_bce.lt003_entity WHERE ref_date='2025-06-30' AND nome_perimetro= 'Individual IDComb' AND segmento= 'ESTR' AND ambito= 'PM' AND entidade='00100' AND cod_visao = 1) A  Inner join (SELECT entty_id as entty_id_to_be, grp_nt_dbt as grp_nt_dbt_to_be FROM bu_loantape_work.lt003_entity WHERE ref_date='2025-06-30' AND nome_perimetro= 'Individual IDComb' AND segmento= 'ESTR' AND ambito= 'PM' AND entidade='00100' AND cod_visao = 1) B ON entty_id_as_is = entty_id_to_be WHERE coalesce(cast(grp_nt_dbt_as_is as string), '') &lt;&gt; coalesce(cast(grp_nt_dbt_to_be as string), '') </v>
      </c>
      <c r="M63" s="17" t="s">
        <v>48</v>
      </c>
      <c r="N63" s="17" t="str">
        <f>"SELECT 'Validação de campos' as tipologia_teste, '"&amp;VLOOKUP(B63,Instruções!$F$6:$J$10,3,0)&amp;"' AS TABELA, '"&amp;E63&amp;"' AS CAMPO, '"&amp;Instruções!$D$7&amp;"' as ref_date, coalesce(NUM_REG_DIF, 0) AS NUM_REG_DIF FROM ("&amp;L63&amp;") A "</f>
        <v xml:space="preserve">SELECT 'Validação de campos' as tipologia_teste, 'lt003_entity' AS TABELA, 'grp_nt_dbt' AS CAMPO, '2025-06-30' as ref_date, coalesce(NUM_REG_DIF, 0) AS NUM_REG_DIF FROM (SELECT count(*) AS NUM_REG_DIF FROM (SELECT entty_id as entty_id_as_is, grp_nt_dbt as grp_nt_dbt_as_is FROM cd_loan_tapes_bce.lt003_entity WHERE ref_date='2025-06-30' AND nome_perimetro= 'Individual IDComb' AND segmento= 'ESTR' AND ambito= 'PM' AND entidade='00100' AND cod_visao = 1) A  Inner join (SELECT entty_id as entty_id_to_be, grp_nt_dbt as grp_nt_dbt_to_be FROM bu_loantape_work.lt003_entity WHERE ref_date='2025-06-30' AND nome_perimetro= 'Individual IDComb' AND segmento= 'ESTR' AND ambito= 'PM' AND entidade='00100' AND cod_visao = 1) B ON entty_id_as_is = entty_id_to_be WHERE coalesce(cast(grp_nt_dbt_as_is as string), '') &lt;&gt; coalesce(cast(grp_nt_dbt_to_be as string), '') ) A </v>
      </c>
      <c r="O63" s="19" t="str">
        <f t="shared" si="12"/>
        <v>SELECT 'Validação de campos' as tipologia_teste, 'lt003_entity' AS TABELA, 'grp_nt_dbt' AS CAMPO, '2025-06-30' as ref_date, coalesce(NUM_REG_DIF, 0) AS NUM_REG_DIF FROM (SELECT count(*) AS NUM_REG_DIF FROM (SELECT entty_id as entty_id_as_is, grp_nt_dbt as grp_nt_dbt_as_is FROM cd_loan_tapes_bce.lt003_entity WHERE ref_date='2025-06-30' AND nome_perimetro= 'Individual IDComb' AND segmento= 'ESTR' AND ambito= 'PM' AND entidade='00100' AND cod_visao = 1) A  Inner join (SELECT entty_id as entty_id_to_be, grp_nt_dbt as grp_nt_dbt_to_be FROM bu_loantape_work.lt003_entity WHERE ref_date='2025-06-30' AND nome_perimetro= 'Individual IDComb' AND segmento= 'ESTR' AND ambito= 'PM' AND entidade='00100' AND cod_visao = 1) B ON entty_id_as_is = entty_id_to_be WHERE coalesce(cast(grp_nt_dbt_as_is as string), '') &lt;&gt; coalesce(cast(grp_nt_dbt_to_be as string), '') ) A UNION ALL</v>
      </c>
      <c r="P63" s="17">
        <f t="shared" si="5"/>
        <v>9</v>
      </c>
    </row>
    <row r="64" spans="2:16" s="15" customFormat="1" ht="11.5" x14ac:dyDescent="0.25">
      <c r="B64" s="17" t="s">
        <v>11</v>
      </c>
      <c r="C64" s="17" t="str">
        <f>_xlfn.CONCAT(Instruções!$D$5,".",VLOOKUP(B64,Instruções!$F$5:$H$10,2,0))</f>
        <v>cd_loan_tapes_bce.lt003_entity</v>
      </c>
      <c r="D64" s="17" t="str">
        <f>_xlfn.CONCAT(Instruções!$D$6,".",VLOOKUP(B64,Instruções!$F$5:$H$10,3,0))</f>
        <v>bu_loantape_work.lt003_entity</v>
      </c>
      <c r="E64" s="17" t="s">
        <v>107</v>
      </c>
      <c r="F64" s="17" t="str">
        <f t="shared" si="9"/>
        <v>grp_ttl_dbt_as_is</v>
      </c>
      <c r="G64" s="17" t="str">
        <f t="shared" si="10"/>
        <v>grp_ttl_dbt_to_be</v>
      </c>
      <c r="H64" s="17" t="str">
        <f>IF(VLOOKUP(B64,Instruções!$F$6:$J$10,5,0)="",
"(SELECT "&amp;VLOOKUP(B64,Instruções!$F$6:$J$10,4,0)&amp;" as "&amp;VLOOKUP(B64,Instruções!$F$6:$J$10,4,0)&amp;"_as_is, "&amp;E64&amp;" as "&amp;F64&amp;" FROM "&amp;C64&amp;" WHERE "&amp;Instruções!$D$11&amp;") A ",
"(SELECT "&amp;VLOOKUP(B64,Instruções!$F$6:$J$10,4,0)&amp;" as "&amp;VLOOKUP(B64,Instruções!$F$6:$J$10,4,0)&amp;"_as_is, "&amp;VLOOKUP(B64,Instruções!$F$6:$J$10,5,0)&amp;" as "&amp;VLOOKUP(B64,Instruções!$F$6:$J$10,5,0)&amp;"_as_is,"&amp;E64&amp;" as "&amp;F64&amp;" FROM "&amp;C64&amp;" WHERE "&amp;Instruções!$D$11&amp;") A ")</f>
        <v xml:space="preserve">(SELECT entty_id as entty_id_as_is, grp_ttl_dbt as grp_ttl_dbt_as_is FROM cd_loan_tapes_bce.lt003_entity WHERE ref_date='2025-06-30' AND nome_perimetro= 'Individual IDComb' AND segmento= 'ESTR' AND ambito= 'PM' AND entidade='00100' AND cod_visao = 1) A </v>
      </c>
      <c r="I64" s="17" t="str">
        <f>IF(VLOOKUP(B64,Instruções!$F$6:$J$10,5,0)="",
"(SELECT "&amp;VLOOKUP(B64,Instruções!$F$6:$J$10,4,0)&amp;" as "&amp;VLOOKUP(B64,Instruções!$F$6:$J$10,4,0)&amp;"_to_be, "&amp;E64&amp;" as "&amp;G64&amp;" FROM "&amp;D64&amp;" WHERE "&amp;Instruções!$D$11&amp;") B ",
"(SELECT "&amp;VLOOKUP(B64,Instruções!$F$6:$J$10,4,0)&amp;" as "&amp;VLOOKUP(B64,Instruções!$F$6:$J$10,4,0)&amp;"_to_be, "&amp;VLOOKUP(B64,Instruções!$F$6:$J$10,5,0)&amp;" as "&amp;VLOOKUP(B64,Instruções!$F$6:$J$10,5,0)&amp;"_to_be,"&amp;E64&amp;" as "&amp;G64&amp;" FROM "&amp;D64&amp;" WHERE "&amp;Instruções!$D$11&amp;") B ")</f>
        <v xml:space="preserve">(SELECT entty_id as entty_id_to_be, grp_ttl_dbt as grp_ttl_dbt_to_be FROM bu_loantape_work.lt003_entity WHERE ref_date='2025-06-30' AND nome_perimetro= 'Individual IDComb' AND segmento= 'ESTR' AND ambito= 'PM' AND entidade='00100' AND cod_visao = 1) B </v>
      </c>
      <c r="J64" s="17" t="str">
        <f>IF(VLOOKUP(B64,Instruções!$F$6:$J$10,5,0)="",
"ON "&amp;VLOOKUP(B64,Instruções!$F$6:$J$10,4,0)&amp;"_as_is = "&amp;VLOOKUP(B64,Instruções!$F$6:$J$10,4,0)&amp;"_to_be ",
"ON "&amp;VLOOKUP(B64,Instruções!$F$6:$J$10,4,0)&amp;"_as_is = "&amp;VLOOKUP(B64,Instruções!$F$6:$J$10,4,0)&amp;"_to_be AND "&amp;VLOOKUP(B64,Instruções!$F$6:$J$10,5,0)&amp;"_as_is = "&amp;VLOOKUP(B64,Instruções!$F$6:$J$10,5,0)&amp;"_to_be ")</f>
        <v xml:space="preserve">ON entty_id_as_is = entty_id_to_be </v>
      </c>
      <c r="K64" s="17" t="str">
        <f t="shared" si="11"/>
        <v xml:space="preserve">WHERE coalesce(cast(grp_ttl_dbt_as_is as string), '') &lt;&gt; coalesce(cast(grp_ttl_dbt_to_be as string), '') </v>
      </c>
      <c r="L64" s="17" t="str">
        <f t="shared" si="3"/>
        <v xml:space="preserve">SELECT count(*) AS NUM_REG_DIF FROM (SELECT entty_id as entty_id_as_is, grp_ttl_dbt as grp_ttl_dbt_as_is FROM cd_loan_tapes_bce.lt003_entity WHERE ref_date='2025-06-30' AND nome_perimetro= 'Individual IDComb' AND segmento= 'ESTR' AND ambito= 'PM' AND entidade='00100' AND cod_visao = 1) A  Inner join (SELECT entty_id as entty_id_to_be, grp_ttl_dbt as grp_ttl_dbt_to_be FROM bu_loantape_work.lt003_entity WHERE ref_date='2025-06-30' AND nome_perimetro= 'Individual IDComb' AND segmento= 'ESTR' AND ambito= 'PM' AND entidade='00100' AND cod_visao = 1) B ON entty_id_as_is = entty_id_to_be WHERE coalesce(cast(grp_ttl_dbt_as_is as string), '') &lt;&gt; coalesce(cast(grp_ttl_dbt_to_be as string), '') </v>
      </c>
      <c r="M64" s="17" t="s">
        <v>48</v>
      </c>
      <c r="N64" s="17" t="str">
        <f>"SELECT 'Validação de campos' as tipologia_teste, '"&amp;VLOOKUP(B64,Instruções!$F$6:$J$10,3,0)&amp;"' AS TABELA, '"&amp;E64&amp;"' AS CAMPO, '"&amp;Instruções!$D$7&amp;"' as ref_date, coalesce(NUM_REG_DIF, 0) AS NUM_REG_DIF FROM ("&amp;L64&amp;") A "</f>
        <v xml:space="preserve">SELECT 'Validação de campos' as tipologia_teste, 'lt003_entity' AS TABELA, 'grp_ttl_dbt' AS CAMPO, '2025-06-30' as ref_date, coalesce(NUM_REG_DIF, 0) AS NUM_REG_DIF FROM (SELECT count(*) AS NUM_REG_DIF FROM (SELECT entty_id as entty_id_as_is, grp_ttl_dbt as grp_ttl_dbt_as_is FROM cd_loan_tapes_bce.lt003_entity WHERE ref_date='2025-06-30' AND nome_perimetro= 'Individual IDComb' AND segmento= 'ESTR' AND ambito= 'PM' AND entidade='00100' AND cod_visao = 1) A  Inner join (SELECT entty_id as entty_id_to_be, grp_ttl_dbt as grp_ttl_dbt_to_be FROM bu_loantape_work.lt003_entity WHERE ref_date='2025-06-30' AND nome_perimetro= 'Individual IDComb' AND segmento= 'ESTR' AND ambito= 'PM' AND entidade='00100' AND cod_visao = 1) B ON entty_id_as_is = entty_id_to_be WHERE coalesce(cast(grp_ttl_dbt_as_is as string), '') &lt;&gt; coalesce(cast(grp_ttl_dbt_to_be as string), '') ) A </v>
      </c>
      <c r="O64" s="19" t="str">
        <f t="shared" si="12"/>
        <v>SELECT 'Validação de campos' as tipologia_teste, 'lt003_entity' AS TABELA, 'grp_ttl_dbt' AS CAMPO, '2025-06-30' as ref_date, coalesce(NUM_REG_DIF, 0) AS NUM_REG_DIF FROM (SELECT count(*) AS NUM_REG_DIF FROM (SELECT entty_id as entty_id_as_is, grp_ttl_dbt as grp_ttl_dbt_as_is FROM cd_loan_tapes_bce.lt003_entity WHERE ref_date='2025-06-30' AND nome_perimetro= 'Individual IDComb' AND segmento= 'ESTR' AND ambito= 'PM' AND entidade='00100' AND cod_visao = 1) A  Inner join (SELECT entty_id as entty_id_to_be, grp_ttl_dbt as grp_ttl_dbt_to_be FROM bu_loantape_work.lt003_entity WHERE ref_date='2025-06-30' AND nome_perimetro= 'Individual IDComb' AND segmento= 'ESTR' AND ambito= 'PM' AND entidade='00100' AND cod_visao = 1) B ON entty_id_as_is = entty_id_to_be WHERE coalesce(cast(grp_ttl_dbt_as_is as string), '') &lt;&gt; coalesce(cast(grp_ttl_dbt_to_be as string), '') ) A UNION ALL</v>
      </c>
      <c r="P64" s="17">
        <f t="shared" si="5"/>
        <v>10</v>
      </c>
    </row>
    <row r="65" spans="2:16" s="15" customFormat="1" ht="11.5" x14ac:dyDescent="0.25">
      <c r="B65" s="17" t="s">
        <v>11</v>
      </c>
      <c r="C65" s="17" t="str">
        <f>_xlfn.CONCAT(Instruções!$D$5,".",VLOOKUP(B65,Instruções!$F$5:$H$10,2,0))</f>
        <v>cd_loan_tapes_bce.lt003_entity</v>
      </c>
      <c r="D65" s="17" t="str">
        <f>_xlfn.CONCAT(Instruções!$D$6,".",VLOOKUP(B65,Instruções!$F$5:$H$10,3,0))</f>
        <v>bu_loantape_work.lt003_entity</v>
      </c>
      <c r="E65" s="17" t="s">
        <v>108</v>
      </c>
      <c r="F65" s="17" t="str">
        <f t="shared" si="9"/>
        <v>extrnl_rtng_prvs_as_is</v>
      </c>
      <c r="G65" s="17" t="str">
        <f t="shared" si="10"/>
        <v>extrnl_rtng_prvs_to_be</v>
      </c>
      <c r="H65" s="17" t="str">
        <f>IF(VLOOKUP(B65,Instruções!$F$6:$J$10,5,0)="",
"(SELECT "&amp;VLOOKUP(B65,Instruções!$F$6:$J$10,4,0)&amp;" as "&amp;VLOOKUP(B65,Instruções!$F$6:$J$10,4,0)&amp;"_as_is, "&amp;E65&amp;" as "&amp;F65&amp;" FROM "&amp;C65&amp;" WHERE "&amp;Instruções!$D$11&amp;") A ",
"(SELECT "&amp;VLOOKUP(B65,Instruções!$F$6:$J$10,4,0)&amp;" as "&amp;VLOOKUP(B65,Instruções!$F$6:$J$10,4,0)&amp;"_as_is, "&amp;VLOOKUP(B65,Instruções!$F$6:$J$10,5,0)&amp;" as "&amp;VLOOKUP(B65,Instruções!$F$6:$J$10,5,0)&amp;"_as_is,"&amp;E65&amp;" as "&amp;F65&amp;" FROM "&amp;C65&amp;" WHERE "&amp;Instruções!$D$11&amp;") A ")</f>
        <v xml:space="preserve">(SELECT entty_id as entty_id_as_is, extrnl_rtng_prvs as extrnl_rtng_prvs_as_is FROM cd_loan_tapes_bce.lt003_entity WHERE ref_date='2025-06-30' AND nome_perimetro= 'Individual IDComb' AND segmento= 'ESTR' AND ambito= 'PM' AND entidade='00100' AND cod_visao = 1) A </v>
      </c>
      <c r="I65" s="17" t="str">
        <f>IF(VLOOKUP(B65,Instruções!$F$6:$J$10,5,0)="",
"(SELECT "&amp;VLOOKUP(B65,Instruções!$F$6:$J$10,4,0)&amp;" as "&amp;VLOOKUP(B65,Instruções!$F$6:$J$10,4,0)&amp;"_to_be, "&amp;E65&amp;" as "&amp;G65&amp;" FROM "&amp;D65&amp;" WHERE "&amp;Instruções!$D$11&amp;") B ",
"(SELECT "&amp;VLOOKUP(B65,Instruções!$F$6:$J$10,4,0)&amp;" as "&amp;VLOOKUP(B65,Instruções!$F$6:$J$10,4,0)&amp;"_to_be, "&amp;VLOOKUP(B65,Instruções!$F$6:$J$10,5,0)&amp;" as "&amp;VLOOKUP(B65,Instruções!$F$6:$J$10,5,0)&amp;"_to_be,"&amp;E65&amp;" as "&amp;G65&amp;" FROM "&amp;D65&amp;" WHERE "&amp;Instruções!$D$11&amp;") B ")</f>
        <v xml:space="preserve">(SELECT entty_id as entty_id_to_be, extrnl_rtng_prvs as extrnl_rtng_prvs_to_be FROM bu_loantape_work.lt003_entity WHERE ref_date='2025-06-30' AND nome_perimetro= 'Individual IDComb' AND segmento= 'ESTR' AND ambito= 'PM' AND entidade='00100' AND cod_visao = 1) B </v>
      </c>
      <c r="J65" s="17" t="str">
        <f>IF(VLOOKUP(B65,Instruções!$F$6:$J$10,5,0)="",
"ON "&amp;VLOOKUP(B65,Instruções!$F$6:$J$10,4,0)&amp;"_as_is = "&amp;VLOOKUP(B65,Instruções!$F$6:$J$10,4,0)&amp;"_to_be ",
"ON "&amp;VLOOKUP(B65,Instruções!$F$6:$J$10,4,0)&amp;"_as_is = "&amp;VLOOKUP(B65,Instruções!$F$6:$J$10,4,0)&amp;"_to_be AND "&amp;VLOOKUP(B65,Instruções!$F$6:$J$10,5,0)&amp;"_as_is = "&amp;VLOOKUP(B65,Instruções!$F$6:$J$10,5,0)&amp;"_to_be ")</f>
        <v xml:space="preserve">ON entty_id_as_is = entty_id_to_be </v>
      </c>
      <c r="K65" s="17" t="str">
        <f t="shared" si="11"/>
        <v xml:space="preserve">WHERE coalesce(cast(extrnl_rtng_prvs_as_is as string), '') &lt;&gt; coalesce(cast(extrnl_rtng_prvs_to_be as string), '') </v>
      </c>
      <c r="L65" s="17" t="str">
        <f t="shared" si="3"/>
        <v xml:space="preserve">SELECT count(*) AS NUM_REG_DIF FROM (SELECT entty_id as entty_id_as_is, extrnl_rtng_prvs as extrnl_rtng_prvs_as_is FROM cd_loan_tapes_bce.lt003_entity WHERE ref_date='2025-06-30' AND nome_perimetro= 'Individual IDComb' AND segmento= 'ESTR' AND ambito= 'PM' AND entidade='00100' AND cod_visao = 1) A  Inner join (SELECT entty_id as entty_id_to_be, extrnl_rtng_prvs as extrnl_rtng_prvs_to_be FROM bu_loantape_work.lt003_entity WHERE ref_date='2025-06-30' AND nome_perimetro= 'Individual IDComb' AND segmento= 'ESTR' AND ambito= 'PM' AND entidade='00100' AND cod_visao = 1) B ON entty_id_as_is = entty_id_to_be WHERE coalesce(cast(extrnl_rtng_prvs_as_is as string), '') &lt;&gt; coalesce(cast(extrnl_rtng_prvs_to_be as string), '') </v>
      </c>
      <c r="M65" s="17" t="s">
        <v>48</v>
      </c>
      <c r="N65" s="17" t="str">
        <f>"SELECT 'Validação de campos' as tipologia_teste, '"&amp;VLOOKUP(B65,Instruções!$F$6:$J$10,3,0)&amp;"' AS TABELA, '"&amp;E65&amp;"' AS CAMPO, '"&amp;Instruções!$D$7&amp;"' as ref_date, coalesce(NUM_REG_DIF, 0) AS NUM_REG_DIF FROM ("&amp;L65&amp;") A "</f>
        <v xml:space="preserve">SELECT 'Validação de campos' as tipologia_teste, 'lt003_entity' AS TABELA, 'extrnl_rtng_prvs' AS CAMPO, '2025-06-30' as ref_date, coalesce(NUM_REG_DIF, 0) AS NUM_REG_DIF FROM (SELECT count(*) AS NUM_REG_DIF FROM (SELECT entty_id as entty_id_as_is, extrnl_rtng_prvs as extrnl_rtng_prvs_as_is FROM cd_loan_tapes_bce.lt003_entity WHERE ref_date='2025-06-30' AND nome_perimetro= 'Individual IDComb' AND segmento= 'ESTR' AND ambito= 'PM' AND entidade='00100' AND cod_visao = 1) A  Inner join (SELECT entty_id as entty_id_to_be, extrnl_rtng_prvs as extrnl_rtng_prvs_to_be FROM bu_loantape_work.lt003_entity WHERE ref_date='2025-06-30' AND nome_perimetro= 'Individual IDComb' AND segmento= 'ESTR' AND ambito= 'PM' AND entidade='00100' AND cod_visao = 1) B ON entty_id_as_is = entty_id_to_be WHERE coalesce(cast(extrnl_rtng_prvs_as_is as string), '') &lt;&gt; coalesce(cast(extrnl_rtng_prvs_to_be as string), '') ) A </v>
      </c>
      <c r="O65" s="19" t="str">
        <f t="shared" si="12"/>
        <v>SELECT 'Validação de campos' as tipologia_teste, 'lt003_entity' AS TABELA, 'extrnl_rtng_prvs' AS CAMPO, '2025-06-30' as ref_date, coalesce(NUM_REG_DIF, 0) AS NUM_REG_DIF FROM (SELECT count(*) AS NUM_REG_DIF FROM (SELECT entty_id as entty_id_as_is, extrnl_rtng_prvs as extrnl_rtng_prvs_as_is FROM cd_loan_tapes_bce.lt003_entity WHERE ref_date='2025-06-30' AND nome_perimetro= 'Individual IDComb' AND segmento= 'ESTR' AND ambito= 'PM' AND entidade='00100' AND cod_visao = 1) A  Inner join (SELECT entty_id as entty_id_to_be, extrnl_rtng_prvs as extrnl_rtng_prvs_to_be FROM bu_loantape_work.lt003_entity WHERE ref_date='2025-06-30' AND nome_perimetro= 'Individual IDComb' AND segmento= 'ESTR' AND ambito= 'PM' AND entidade='00100' AND cod_visao = 1) B ON entty_id_as_is = entty_id_to_be WHERE coalesce(cast(extrnl_rtng_prvs_as_is as string), '') &lt;&gt; coalesce(cast(extrnl_rtng_prvs_to_be as string), '') ) A UNION ALL</v>
      </c>
      <c r="P65" s="17">
        <f t="shared" si="5"/>
        <v>11</v>
      </c>
    </row>
    <row r="66" spans="2:16" s="15" customFormat="1" ht="11.5" x14ac:dyDescent="0.25">
      <c r="B66" s="17" t="s">
        <v>11</v>
      </c>
      <c r="C66" s="17" t="str">
        <f>_xlfn.CONCAT(Instruções!$D$5,".",VLOOKUP(B66,Instruções!$F$5:$H$10,2,0))</f>
        <v>cd_loan_tapes_bce.lt003_entity</v>
      </c>
      <c r="D66" s="17" t="str">
        <f>_xlfn.CONCAT(Instruções!$D$6,".",VLOOKUP(B66,Instruções!$F$5:$H$10,3,0))</f>
        <v>bu_loantape_work.lt003_entity</v>
      </c>
      <c r="E66" s="17" t="s">
        <v>109</v>
      </c>
      <c r="F66" s="17" t="str">
        <f t="shared" si="9"/>
        <v>incm_sc_as_is</v>
      </c>
      <c r="G66" s="17" t="str">
        <f t="shared" si="10"/>
        <v>incm_sc_to_be</v>
      </c>
      <c r="H66" s="17" t="str">
        <f>IF(VLOOKUP(B66,Instruções!$F$6:$J$10,5,0)="",
"(SELECT "&amp;VLOOKUP(B66,Instruções!$F$6:$J$10,4,0)&amp;" as "&amp;VLOOKUP(B66,Instruções!$F$6:$J$10,4,0)&amp;"_as_is, "&amp;E66&amp;" as "&amp;F66&amp;" FROM "&amp;C66&amp;" WHERE "&amp;Instruções!$D$11&amp;") A ",
"(SELECT "&amp;VLOOKUP(B66,Instruções!$F$6:$J$10,4,0)&amp;" as "&amp;VLOOKUP(B66,Instruções!$F$6:$J$10,4,0)&amp;"_as_is, "&amp;VLOOKUP(B66,Instruções!$F$6:$J$10,5,0)&amp;" as "&amp;VLOOKUP(B66,Instruções!$F$6:$J$10,5,0)&amp;"_as_is,"&amp;E66&amp;" as "&amp;F66&amp;" FROM "&amp;C66&amp;" WHERE "&amp;Instruções!$D$11&amp;") A ")</f>
        <v xml:space="preserve">(SELECT entty_id as entty_id_as_is, incm_sc as incm_sc_as_is FROM cd_loan_tapes_bce.lt003_entity WHERE ref_date='2025-06-30' AND nome_perimetro= 'Individual IDComb' AND segmento= 'ESTR' AND ambito= 'PM' AND entidade='00100' AND cod_visao = 1) A </v>
      </c>
      <c r="I66" s="17" t="str">
        <f>IF(VLOOKUP(B66,Instruções!$F$6:$J$10,5,0)="",
"(SELECT "&amp;VLOOKUP(B66,Instruções!$F$6:$J$10,4,0)&amp;" as "&amp;VLOOKUP(B66,Instruções!$F$6:$J$10,4,0)&amp;"_to_be, "&amp;E66&amp;" as "&amp;G66&amp;" FROM "&amp;D66&amp;" WHERE "&amp;Instruções!$D$11&amp;") B ",
"(SELECT "&amp;VLOOKUP(B66,Instruções!$F$6:$J$10,4,0)&amp;" as "&amp;VLOOKUP(B66,Instruções!$F$6:$J$10,4,0)&amp;"_to_be, "&amp;VLOOKUP(B66,Instruções!$F$6:$J$10,5,0)&amp;" as "&amp;VLOOKUP(B66,Instruções!$F$6:$J$10,5,0)&amp;"_to_be,"&amp;E66&amp;" as "&amp;G66&amp;" FROM "&amp;D66&amp;" WHERE "&amp;Instruções!$D$11&amp;") B ")</f>
        <v xml:space="preserve">(SELECT entty_id as entty_id_to_be, incm_sc as incm_sc_to_be FROM bu_loantape_work.lt003_entity WHERE ref_date='2025-06-30' AND nome_perimetro= 'Individual IDComb' AND segmento= 'ESTR' AND ambito= 'PM' AND entidade='00100' AND cod_visao = 1) B </v>
      </c>
      <c r="J66" s="17" t="str">
        <f>IF(VLOOKUP(B66,Instruções!$F$6:$J$10,5,0)="",
"ON "&amp;VLOOKUP(B66,Instruções!$F$6:$J$10,4,0)&amp;"_as_is = "&amp;VLOOKUP(B66,Instruções!$F$6:$J$10,4,0)&amp;"_to_be ",
"ON "&amp;VLOOKUP(B66,Instruções!$F$6:$J$10,4,0)&amp;"_as_is = "&amp;VLOOKUP(B66,Instruções!$F$6:$J$10,4,0)&amp;"_to_be AND "&amp;VLOOKUP(B66,Instruções!$F$6:$J$10,5,0)&amp;"_as_is = "&amp;VLOOKUP(B66,Instruções!$F$6:$J$10,5,0)&amp;"_to_be ")</f>
        <v xml:space="preserve">ON entty_id_as_is = entty_id_to_be </v>
      </c>
      <c r="K66" s="17" t="str">
        <f t="shared" si="11"/>
        <v xml:space="preserve">WHERE coalesce(cast(incm_sc_as_is as string), '') &lt;&gt; coalesce(cast(incm_sc_to_be as string), '') </v>
      </c>
      <c r="L66" s="17" t="str">
        <f t="shared" si="3"/>
        <v xml:space="preserve">SELECT count(*) AS NUM_REG_DIF FROM (SELECT entty_id as entty_id_as_is, incm_sc as incm_sc_as_is FROM cd_loan_tapes_bce.lt003_entity WHERE ref_date='2025-06-30' AND nome_perimetro= 'Individual IDComb' AND segmento= 'ESTR' AND ambito= 'PM' AND entidade='00100' AND cod_visao = 1) A  Inner join (SELECT entty_id as entty_id_to_be, incm_sc as incm_sc_to_be FROM bu_loantape_work.lt003_entity WHERE ref_date='2025-06-30' AND nome_perimetro= 'Individual IDComb' AND segmento= 'ESTR' AND ambito= 'PM' AND entidade='00100' AND cod_visao = 1) B ON entty_id_as_is = entty_id_to_be WHERE coalesce(cast(incm_sc_as_is as string), '') &lt;&gt; coalesce(cast(incm_sc_to_be as string), '') </v>
      </c>
      <c r="M66" s="17" t="s">
        <v>48</v>
      </c>
      <c r="N66" s="17" t="str">
        <f>"SELECT 'Validação de campos' as tipologia_teste, '"&amp;VLOOKUP(B66,Instruções!$F$6:$J$10,3,0)&amp;"' AS TABELA, '"&amp;E66&amp;"' AS CAMPO, '"&amp;Instruções!$D$7&amp;"' as ref_date, coalesce(NUM_REG_DIF, 0) AS NUM_REG_DIF FROM ("&amp;L66&amp;") A "</f>
        <v xml:space="preserve">SELECT 'Validação de campos' as tipologia_teste, 'lt003_entity' AS TABELA, 'incm_sc' AS CAMPO, '2025-06-30' as ref_date, coalesce(NUM_REG_DIF, 0) AS NUM_REG_DIF FROM (SELECT count(*) AS NUM_REG_DIF FROM (SELECT entty_id as entty_id_as_is, incm_sc as incm_sc_as_is FROM cd_loan_tapes_bce.lt003_entity WHERE ref_date='2025-06-30' AND nome_perimetro= 'Individual IDComb' AND segmento= 'ESTR' AND ambito= 'PM' AND entidade='00100' AND cod_visao = 1) A  Inner join (SELECT entty_id as entty_id_to_be, incm_sc as incm_sc_to_be FROM bu_loantape_work.lt003_entity WHERE ref_date='2025-06-30' AND nome_perimetro= 'Individual IDComb' AND segmento= 'ESTR' AND ambito= 'PM' AND entidade='00100' AND cod_visao = 1) B ON entty_id_as_is = entty_id_to_be WHERE coalesce(cast(incm_sc_as_is as string), '') &lt;&gt; coalesce(cast(incm_sc_to_be as string), '') ) A </v>
      </c>
      <c r="O66" s="19" t="str">
        <f t="shared" si="12"/>
        <v>SELECT 'Validação de campos' as tipologia_teste, 'lt003_entity' AS TABELA, 'incm_sc' AS CAMPO, '2025-06-30' as ref_date, coalesce(NUM_REG_DIF, 0) AS NUM_REG_DIF FROM (SELECT count(*) AS NUM_REG_DIF FROM (SELECT entty_id as entty_id_as_is, incm_sc as incm_sc_as_is FROM cd_loan_tapes_bce.lt003_entity WHERE ref_date='2025-06-30' AND nome_perimetro= 'Individual IDComb' AND segmento= 'ESTR' AND ambito= 'PM' AND entidade='00100' AND cod_visao = 1) A  Inner join (SELECT entty_id as entty_id_to_be, incm_sc as incm_sc_to_be FROM bu_loantape_work.lt003_entity WHERE ref_date='2025-06-30' AND nome_perimetro= 'Individual IDComb' AND segmento= 'ESTR' AND ambito= 'PM' AND entidade='00100' AND cod_visao = 1) B ON entty_id_as_is = entty_id_to_be WHERE coalesce(cast(incm_sc_as_is as string), '') &lt;&gt; coalesce(cast(incm_sc_to_be as string), '') ) A UNION ALL</v>
      </c>
      <c r="P66" s="17">
        <f t="shared" si="5"/>
        <v>12</v>
      </c>
    </row>
    <row r="67" spans="2:16" s="15" customFormat="1" ht="11.5" x14ac:dyDescent="0.25">
      <c r="B67" s="17" t="s">
        <v>11</v>
      </c>
      <c r="C67" s="17" t="str">
        <f>_xlfn.CONCAT(Instruções!$D$5,".",VLOOKUP(B67,Instruções!$F$5:$H$10,2,0))</f>
        <v>cd_loan_tapes_bce.lt003_entity</v>
      </c>
      <c r="D67" s="17" t="str">
        <f>_xlfn.CONCAT(Instruções!$D$6,".",VLOOKUP(B67,Instruções!$F$5:$H$10,3,0))</f>
        <v>bu_loantape_work.lt003_entity</v>
      </c>
      <c r="E67" s="17" t="s">
        <v>110</v>
      </c>
      <c r="F67" s="17" t="str">
        <f t="shared" si="9"/>
        <v>intrnl_rtng_as_is</v>
      </c>
      <c r="G67" s="17" t="str">
        <f t="shared" si="10"/>
        <v>intrnl_rtng_to_be</v>
      </c>
      <c r="H67" s="17" t="str">
        <f>IF(VLOOKUP(B67,Instruções!$F$6:$J$10,5,0)="",
"(SELECT "&amp;VLOOKUP(B67,Instruções!$F$6:$J$10,4,0)&amp;" as "&amp;VLOOKUP(B67,Instruções!$F$6:$J$10,4,0)&amp;"_as_is, "&amp;E67&amp;" as "&amp;F67&amp;" FROM "&amp;C67&amp;" WHERE "&amp;Instruções!$D$11&amp;") A ",
"(SELECT "&amp;VLOOKUP(B67,Instruções!$F$6:$J$10,4,0)&amp;" as "&amp;VLOOKUP(B67,Instruções!$F$6:$J$10,4,0)&amp;"_as_is, "&amp;VLOOKUP(B67,Instruções!$F$6:$J$10,5,0)&amp;" as "&amp;VLOOKUP(B67,Instruções!$F$6:$J$10,5,0)&amp;"_as_is,"&amp;E67&amp;" as "&amp;F67&amp;" FROM "&amp;C67&amp;" WHERE "&amp;Instruções!$D$11&amp;") A ")</f>
        <v xml:space="preserve">(SELECT entty_id as entty_id_as_is, intrnl_rtng as intrnl_rtng_as_is FROM cd_loan_tapes_bce.lt003_entity WHERE ref_date='2025-06-30' AND nome_perimetro= 'Individual IDComb' AND segmento= 'ESTR' AND ambito= 'PM' AND entidade='00100' AND cod_visao = 1) A </v>
      </c>
      <c r="I67" s="17" t="str">
        <f>IF(VLOOKUP(B67,Instruções!$F$6:$J$10,5,0)="",
"(SELECT "&amp;VLOOKUP(B67,Instruções!$F$6:$J$10,4,0)&amp;" as "&amp;VLOOKUP(B67,Instruções!$F$6:$J$10,4,0)&amp;"_to_be, "&amp;E67&amp;" as "&amp;G67&amp;" FROM "&amp;D67&amp;" WHERE "&amp;Instruções!$D$11&amp;") B ",
"(SELECT "&amp;VLOOKUP(B67,Instruções!$F$6:$J$10,4,0)&amp;" as "&amp;VLOOKUP(B67,Instruções!$F$6:$J$10,4,0)&amp;"_to_be, "&amp;VLOOKUP(B67,Instruções!$F$6:$J$10,5,0)&amp;" as "&amp;VLOOKUP(B67,Instruções!$F$6:$J$10,5,0)&amp;"_to_be,"&amp;E67&amp;" as "&amp;G67&amp;" FROM "&amp;D67&amp;" WHERE "&amp;Instruções!$D$11&amp;") B ")</f>
        <v xml:space="preserve">(SELECT entty_id as entty_id_to_be, intrnl_rtng as intrnl_rtng_to_be FROM bu_loantape_work.lt003_entity WHERE ref_date='2025-06-30' AND nome_perimetro= 'Individual IDComb' AND segmento= 'ESTR' AND ambito= 'PM' AND entidade='00100' AND cod_visao = 1) B </v>
      </c>
      <c r="J67" s="17" t="str">
        <f>IF(VLOOKUP(B67,Instruções!$F$6:$J$10,5,0)="",
"ON "&amp;VLOOKUP(B67,Instruções!$F$6:$J$10,4,0)&amp;"_as_is = "&amp;VLOOKUP(B67,Instruções!$F$6:$J$10,4,0)&amp;"_to_be ",
"ON "&amp;VLOOKUP(B67,Instruções!$F$6:$J$10,4,0)&amp;"_as_is = "&amp;VLOOKUP(B67,Instruções!$F$6:$J$10,4,0)&amp;"_to_be AND "&amp;VLOOKUP(B67,Instruções!$F$6:$J$10,5,0)&amp;"_as_is = "&amp;VLOOKUP(B67,Instruções!$F$6:$J$10,5,0)&amp;"_to_be ")</f>
        <v xml:space="preserve">ON entty_id_as_is = entty_id_to_be </v>
      </c>
      <c r="K67" s="17" t="str">
        <f t="shared" si="11"/>
        <v xml:space="preserve">WHERE coalesce(cast(intrnl_rtng_as_is as string), '') &lt;&gt; coalesce(cast(intrnl_rtng_to_be as string), '') </v>
      </c>
      <c r="L67" s="17" t="str">
        <f t="shared" si="3"/>
        <v xml:space="preserve">SELECT count(*) AS NUM_REG_DIF FROM (SELECT entty_id as entty_id_as_is, intrnl_rtng as intrnl_rtng_as_is FROM cd_loan_tapes_bce.lt003_entity WHERE ref_date='2025-06-30' AND nome_perimetro= 'Individual IDComb' AND segmento= 'ESTR' AND ambito= 'PM' AND entidade='00100' AND cod_visao = 1) A  Inner join (SELECT entty_id as entty_id_to_be, intrnl_rtng as intrnl_rtng_to_be FROM bu_loantape_work.lt003_entity WHERE ref_date='2025-06-30' AND nome_perimetro= 'Individual IDComb' AND segmento= 'ESTR' AND ambito= 'PM' AND entidade='00100' AND cod_visao = 1) B ON entty_id_as_is = entty_id_to_be WHERE coalesce(cast(intrnl_rtng_as_is as string), '') &lt;&gt; coalesce(cast(intrnl_rtng_to_be as string), '') </v>
      </c>
      <c r="M67" s="17" t="s">
        <v>48</v>
      </c>
      <c r="N67" s="17" t="str">
        <f>"SELECT 'Validação de campos' as tipologia_teste, '"&amp;VLOOKUP(B67,Instruções!$F$6:$J$10,3,0)&amp;"' AS TABELA, '"&amp;E67&amp;"' AS CAMPO, '"&amp;Instruções!$D$7&amp;"' as ref_date, coalesce(NUM_REG_DIF, 0) AS NUM_REG_DIF FROM ("&amp;L67&amp;") A "</f>
        <v xml:space="preserve">SELECT 'Validação de campos' as tipologia_teste, 'lt003_entity' AS TABELA, 'intrnl_rtng' AS CAMPO, '2025-06-30' as ref_date, coalesce(NUM_REG_DIF, 0) AS NUM_REG_DIF FROM (SELECT count(*) AS NUM_REG_DIF FROM (SELECT entty_id as entty_id_as_is, intrnl_rtng as intrnl_rtng_as_is FROM cd_loan_tapes_bce.lt003_entity WHERE ref_date='2025-06-30' AND nome_perimetro= 'Individual IDComb' AND segmento= 'ESTR' AND ambito= 'PM' AND entidade='00100' AND cod_visao = 1) A  Inner join (SELECT entty_id as entty_id_to_be, intrnl_rtng as intrnl_rtng_to_be FROM bu_loantape_work.lt003_entity WHERE ref_date='2025-06-30' AND nome_perimetro= 'Individual IDComb' AND segmento= 'ESTR' AND ambito= 'PM' AND entidade='00100' AND cod_visao = 1) B ON entty_id_as_is = entty_id_to_be WHERE coalesce(cast(intrnl_rtng_as_is as string), '') &lt;&gt; coalesce(cast(intrnl_rtng_to_be as string), '') ) A </v>
      </c>
      <c r="O67" s="19" t="str">
        <f t="shared" si="12"/>
        <v>SELECT 'Validação de campos' as tipologia_teste, 'lt003_entity' AS TABELA, 'intrnl_rtng' AS CAMPO, '2025-06-30' as ref_date, coalesce(NUM_REG_DIF, 0) AS NUM_REG_DIF FROM (SELECT count(*) AS NUM_REG_DIF FROM (SELECT entty_id as entty_id_as_is, intrnl_rtng as intrnl_rtng_as_is FROM cd_loan_tapes_bce.lt003_entity WHERE ref_date='2025-06-30' AND nome_perimetro= 'Individual IDComb' AND segmento= 'ESTR' AND ambito= 'PM' AND entidade='00100' AND cod_visao = 1) A  Inner join (SELECT entty_id as entty_id_to_be, intrnl_rtng as intrnl_rtng_to_be FROM bu_loantape_work.lt003_entity WHERE ref_date='2025-06-30' AND nome_perimetro= 'Individual IDComb' AND segmento= 'ESTR' AND ambito= 'PM' AND entidade='00100' AND cod_visao = 1) B ON entty_id_as_is = entty_id_to_be WHERE coalesce(cast(intrnl_rtng_as_is as string), '') &lt;&gt; coalesce(cast(intrnl_rtng_to_be as string), '') ) A UNION ALL</v>
      </c>
      <c r="P67" s="17">
        <f t="shared" si="5"/>
        <v>13</v>
      </c>
    </row>
    <row r="68" spans="2:16" s="15" customFormat="1" ht="11.5" x14ac:dyDescent="0.25">
      <c r="B68" s="17" t="s">
        <v>11</v>
      </c>
      <c r="C68" s="17" t="str">
        <f>_xlfn.CONCAT(Instruções!$D$5,".",VLOOKUP(B68,Instruções!$F$5:$H$10,2,0))</f>
        <v>cd_loan_tapes_bce.lt003_entity</v>
      </c>
      <c r="D68" s="17" t="str">
        <f>_xlfn.CONCAT(Instruções!$D$6,".",VLOOKUP(B68,Instruções!$F$5:$H$10,3,0))</f>
        <v>bu_loantape_work.lt003_entity</v>
      </c>
      <c r="E68" s="17" t="s">
        <v>111</v>
      </c>
      <c r="F68" s="17" t="str">
        <f t="shared" ref="F68:F132" si="13">E68&amp;"_as_is"</f>
        <v>intrnl_rtng_prvs_as_is</v>
      </c>
      <c r="G68" s="17" t="str">
        <f t="shared" ref="G68:G132" si="14">E68&amp;"_to_be"</f>
        <v>intrnl_rtng_prvs_to_be</v>
      </c>
      <c r="H68" s="17" t="str">
        <f>IF(VLOOKUP(B68,Instruções!$F$6:$J$10,5,0)="",
"(SELECT "&amp;VLOOKUP(B68,Instruções!$F$6:$J$10,4,0)&amp;" as "&amp;VLOOKUP(B68,Instruções!$F$6:$J$10,4,0)&amp;"_as_is, "&amp;E68&amp;" as "&amp;F68&amp;" FROM "&amp;C68&amp;" WHERE "&amp;Instruções!$D$11&amp;") A ",
"(SELECT "&amp;VLOOKUP(B68,Instruções!$F$6:$J$10,4,0)&amp;" as "&amp;VLOOKUP(B68,Instruções!$F$6:$J$10,4,0)&amp;"_as_is, "&amp;VLOOKUP(B68,Instruções!$F$6:$J$10,5,0)&amp;" as "&amp;VLOOKUP(B68,Instruções!$F$6:$J$10,5,0)&amp;"_as_is,"&amp;E68&amp;" as "&amp;F68&amp;" FROM "&amp;C68&amp;" WHERE "&amp;Instruções!$D$11&amp;") A ")</f>
        <v xml:space="preserve">(SELECT entty_id as entty_id_as_is, intrnl_rtng_prvs as intrnl_rtng_prvs_as_is FROM cd_loan_tapes_bce.lt003_entity WHERE ref_date='2025-06-30' AND nome_perimetro= 'Individual IDComb' AND segmento= 'ESTR' AND ambito= 'PM' AND entidade='00100' AND cod_visao = 1) A </v>
      </c>
      <c r="I68" s="17" t="str">
        <f>IF(VLOOKUP(B68,Instruções!$F$6:$J$10,5,0)="",
"(SELECT "&amp;VLOOKUP(B68,Instruções!$F$6:$J$10,4,0)&amp;" as "&amp;VLOOKUP(B68,Instruções!$F$6:$J$10,4,0)&amp;"_to_be, "&amp;E68&amp;" as "&amp;G68&amp;" FROM "&amp;D68&amp;" WHERE "&amp;Instruções!$D$11&amp;") B ",
"(SELECT "&amp;VLOOKUP(B68,Instruções!$F$6:$J$10,4,0)&amp;" as "&amp;VLOOKUP(B68,Instruções!$F$6:$J$10,4,0)&amp;"_to_be, "&amp;VLOOKUP(B68,Instruções!$F$6:$J$10,5,0)&amp;" as "&amp;VLOOKUP(B68,Instruções!$F$6:$J$10,5,0)&amp;"_to_be,"&amp;E68&amp;" as "&amp;G68&amp;" FROM "&amp;D68&amp;" WHERE "&amp;Instruções!$D$11&amp;") B ")</f>
        <v xml:space="preserve">(SELECT entty_id as entty_id_to_be, intrnl_rtng_prvs as intrnl_rtng_prvs_to_be FROM bu_loantape_work.lt003_entity WHERE ref_date='2025-06-30' AND nome_perimetro= 'Individual IDComb' AND segmento= 'ESTR' AND ambito= 'PM' AND entidade='00100' AND cod_visao = 1) B </v>
      </c>
      <c r="J68" s="17" t="str">
        <f>IF(VLOOKUP(B68,Instruções!$F$6:$J$10,5,0)="",
"ON "&amp;VLOOKUP(B68,Instruções!$F$6:$J$10,4,0)&amp;"_as_is = "&amp;VLOOKUP(B68,Instruções!$F$6:$J$10,4,0)&amp;"_to_be ",
"ON "&amp;VLOOKUP(B68,Instruções!$F$6:$J$10,4,0)&amp;"_as_is = "&amp;VLOOKUP(B68,Instruções!$F$6:$J$10,4,0)&amp;"_to_be AND "&amp;VLOOKUP(B68,Instruções!$F$6:$J$10,5,0)&amp;"_as_is = "&amp;VLOOKUP(B68,Instruções!$F$6:$J$10,5,0)&amp;"_to_be ")</f>
        <v xml:space="preserve">ON entty_id_as_is = entty_id_to_be </v>
      </c>
      <c r="K68" s="17" t="str">
        <f t="shared" ref="K68:K132" si="15">"WHERE coalesce(cast("&amp;F68&amp;" as string), '') &lt;&gt; coalesce(cast("&amp;G68&amp;" as string), '') "</f>
        <v xml:space="preserve">WHERE coalesce(cast(intrnl_rtng_prvs_as_is as string), '') &lt;&gt; coalesce(cast(intrnl_rtng_prvs_to_be as string), '') </v>
      </c>
      <c r="L68" s="17" t="str">
        <f t="shared" si="3"/>
        <v xml:space="preserve">SELECT count(*) AS NUM_REG_DIF FROM (SELECT entty_id as entty_id_as_is, intrnl_rtng_prvs as intrnl_rtng_prvs_as_is FROM cd_loan_tapes_bce.lt003_entity WHERE ref_date='2025-06-30' AND nome_perimetro= 'Individual IDComb' AND segmento= 'ESTR' AND ambito= 'PM' AND entidade='00100' AND cod_visao = 1) A  Inner join (SELECT entty_id as entty_id_to_be, intrnl_rtng_prvs as intrnl_rtng_prvs_to_be FROM bu_loantape_work.lt003_entity WHERE ref_date='2025-06-30' AND nome_perimetro= 'Individual IDComb' AND segmento= 'ESTR' AND ambito= 'PM' AND entidade='00100' AND cod_visao = 1) B ON entty_id_as_is = entty_id_to_be WHERE coalesce(cast(intrnl_rtng_prvs_as_is as string), '') &lt;&gt; coalesce(cast(intrnl_rtng_prvs_to_be as string), '') </v>
      </c>
      <c r="M68" s="17" t="s">
        <v>48</v>
      </c>
      <c r="N68" s="17" t="str">
        <f>"SELECT 'Validação de campos' as tipologia_teste, '"&amp;VLOOKUP(B68,Instruções!$F$6:$J$10,3,0)&amp;"' AS TABELA, '"&amp;E68&amp;"' AS CAMPO, '"&amp;Instruções!$D$7&amp;"' as ref_date, coalesce(NUM_REG_DIF, 0) AS NUM_REG_DIF FROM ("&amp;L68&amp;") A "</f>
        <v xml:space="preserve">SELECT 'Validação de campos' as tipologia_teste, 'lt003_entity' AS TABELA, 'intrnl_rtng_prvs' AS CAMPO, '2025-06-30' as ref_date, coalesce(NUM_REG_DIF, 0) AS NUM_REG_DIF FROM (SELECT count(*) AS NUM_REG_DIF FROM (SELECT entty_id as entty_id_as_is, intrnl_rtng_prvs as intrnl_rtng_prvs_as_is FROM cd_loan_tapes_bce.lt003_entity WHERE ref_date='2025-06-30' AND nome_perimetro= 'Individual IDComb' AND segmento= 'ESTR' AND ambito= 'PM' AND entidade='00100' AND cod_visao = 1) A  Inner join (SELECT entty_id as entty_id_to_be, intrnl_rtng_prvs as intrnl_rtng_prvs_to_be FROM bu_loantape_work.lt003_entity WHERE ref_date='2025-06-30' AND nome_perimetro= 'Individual IDComb' AND segmento= 'ESTR' AND ambito= 'PM' AND entidade='00100' AND cod_visao = 1) B ON entty_id_as_is = entty_id_to_be WHERE coalesce(cast(intrnl_rtng_prvs_as_is as string), '') &lt;&gt; coalesce(cast(intrnl_rtng_prvs_to_be as string), '') ) A </v>
      </c>
      <c r="O68" s="19" t="str">
        <f t="shared" si="12"/>
        <v>SELECT 'Validação de campos' as tipologia_teste, 'lt003_entity' AS TABELA, 'intrnl_rtng_prvs' AS CAMPO, '2025-06-30' as ref_date, coalesce(NUM_REG_DIF, 0) AS NUM_REG_DIF FROM (SELECT count(*) AS NUM_REG_DIF FROM (SELECT entty_id as entty_id_as_is, intrnl_rtng_prvs as intrnl_rtng_prvs_as_is FROM cd_loan_tapes_bce.lt003_entity WHERE ref_date='2025-06-30' AND nome_perimetro= 'Individual IDComb' AND segmento= 'ESTR' AND ambito= 'PM' AND entidade='00100' AND cod_visao = 1) A  Inner join (SELECT entty_id as entty_id_to_be, intrnl_rtng_prvs as intrnl_rtng_prvs_to_be FROM bu_loantape_work.lt003_entity WHERE ref_date='2025-06-30' AND nome_perimetro= 'Individual IDComb' AND segmento= 'ESTR' AND ambito= 'PM' AND entidade='00100' AND cod_visao = 1) B ON entty_id_as_is = entty_id_to_be WHERE coalesce(cast(intrnl_rtng_prvs_as_is as string), '') &lt;&gt; coalesce(cast(intrnl_rtng_prvs_to_be as string), '') ) A UNION ALL</v>
      </c>
      <c r="P68" s="17">
        <f t="shared" si="5"/>
        <v>14</v>
      </c>
    </row>
    <row r="69" spans="2:16" s="15" customFormat="1" ht="11.5" x14ac:dyDescent="0.25">
      <c r="B69" s="17" t="s">
        <v>11</v>
      </c>
      <c r="C69" s="17" t="str">
        <f>_xlfn.CONCAT(Instruções!$D$5,".",VLOOKUP(B69,Instruções!$F$5:$H$10,2,0))</f>
        <v>cd_loan_tapes_bce.lt003_entity</v>
      </c>
      <c r="D69" s="17" t="str">
        <f>_xlfn.CONCAT(Instruções!$D$6,".",VLOOKUP(B69,Instruções!$F$5:$H$10,3,0))</f>
        <v>bu_loantape_work.lt003_entity</v>
      </c>
      <c r="E69" s="17" t="s">
        <v>112</v>
      </c>
      <c r="F69" s="17" t="str">
        <f t="shared" si="13"/>
        <v>intrnl_sgmnt_as_is</v>
      </c>
      <c r="G69" s="17" t="str">
        <f t="shared" si="14"/>
        <v>intrnl_sgmnt_to_be</v>
      </c>
      <c r="H69" s="17" t="str">
        <f>IF(VLOOKUP(B69,Instruções!$F$6:$J$10,5,0)="",
"(SELECT "&amp;VLOOKUP(B69,Instruções!$F$6:$J$10,4,0)&amp;" as "&amp;VLOOKUP(B69,Instruções!$F$6:$J$10,4,0)&amp;"_as_is, "&amp;E69&amp;" as "&amp;F69&amp;" FROM "&amp;C69&amp;" WHERE "&amp;Instruções!$D$11&amp;") A ",
"(SELECT "&amp;VLOOKUP(B69,Instruções!$F$6:$J$10,4,0)&amp;" as "&amp;VLOOKUP(B69,Instruções!$F$6:$J$10,4,0)&amp;"_as_is, "&amp;VLOOKUP(B69,Instruções!$F$6:$J$10,5,0)&amp;" as "&amp;VLOOKUP(B69,Instruções!$F$6:$J$10,5,0)&amp;"_as_is,"&amp;E69&amp;" as "&amp;F69&amp;" FROM "&amp;C69&amp;" WHERE "&amp;Instruções!$D$11&amp;") A ")</f>
        <v xml:space="preserve">(SELECT entty_id as entty_id_as_is, intrnl_sgmnt as intrnl_sgmnt_as_is FROM cd_loan_tapes_bce.lt003_entity WHERE ref_date='2025-06-30' AND nome_perimetro= 'Individual IDComb' AND segmento= 'ESTR' AND ambito= 'PM' AND entidade='00100' AND cod_visao = 1) A </v>
      </c>
      <c r="I69" s="17" t="str">
        <f>IF(VLOOKUP(B69,Instruções!$F$6:$J$10,5,0)="",
"(SELECT "&amp;VLOOKUP(B69,Instruções!$F$6:$J$10,4,0)&amp;" as "&amp;VLOOKUP(B69,Instruções!$F$6:$J$10,4,0)&amp;"_to_be, "&amp;E69&amp;" as "&amp;G69&amp;" FROM "&amp;D69&amp;" WHERE "&amp;Instruções!$D$11&amp;") B ",
"(SELECT "&amp;VLOOKUP(B69,Instruções!$F$6:$J$10,4,0)&amp;" as "&amp;VLOOKUP(B69,Instruções!$F$6:$J$10,4,0)&amp;"_to_be, "&amp;VLOOKUP(B69,Instruções!$F$6:$J$10,5,0)&amp;" as "&amp;VLOOKUP(B69,Instruções!$F$6:$J$10,5,0)&amp;"_to_be,"&amp;E69&amp;" as "&amp;G69&amp;" FROM "&amp;D69&amp;" WHERE "&amp;Instruções!$D$11&amp;") B ")</f>
        <v xml:space="preserve">(SELECT entty_id as entty_id_to_be, intrnl_sgmnt as intrnl_sgmnt_to_be FROM bu_loantape_work.lt003_entity WHERE ref_date='2025-06-30' AND nome_perimetro= 'Individual IDComb' AND segmento= 'ESTR' AND ambito= 'PM' AND entidade='00100' AND cod_visao = 1) B </v>
      </c>
      <c r="J69" s="17" t="str">
        <f>IF(VLOOKUP(B69,Instruções!$F$6:$J$10,5,0)="",
"ON "&amp;VLOOKUP(B69,Instruções!$F$6:$J$10,4,0)&amp;"_as_is = "&amp;VLOOKUP(B69,Instruções!$F$6:$J$10,4,0)&amp;"_to_be ",
"ON "&amp;VLOOKUP(B69,Instruções!$F$6:$J$10,4,0)&amp;"_as_is = "&amp;VLOOKUP(B69,Instruções!$F$6:$J$10,4,0)&amp;"_to_be AND "&amp;VLOOKUP(B69,Instruções!$F$6:$J$10,5,0)&amp;"_as_is = "&amp;VLOOKUP(B69,Instruções!$F$6:$J$10,5,0)&amp;"_to_be ")</f>
        <v xml:space="preserve">ON entty_id_as_is = entty_id_to_be </v>
      </c>
      <c r="K69" s="17" t="str">
        <f t="shared" si="15"/>
        <v xml:space="preserve">WHERE coalesce(cast(intrnl_sgmnt_as_is as string), '') &lt;&gt; coalesce(cast(intrnl_sgmnt_to_be as string), '') </v>
      </c>
      <c r="L69" s="17" t="str">
        <f t="shared" ref="L69:L143" si="16">"SELECT count(*) AS NUM_REG_DIF FROM "&amp;H69&amp;" Inner join "&amp;I69&amp;J69&amp;K69</f>
        <v xml:space="preserve">SELECT count(*) AS NUM_REG_DIF FROM (SELECT entty_id as entty_id_as_is, intrnl_sgmnt as intrnl_sgmnt_as_is FROM cd_loan_tapes_bce.lt003_entity WHERE ref_date='2025-06-30' AND nome_perimetro= 'Individual IDComb' AND segmento= 'ESTR' AND ambito= 'PM' AND entidade='00100' AND cod_visao = 1) A  Inner join (SELECT entty_id as entty_id_to_be, intrnl_sgmnt as intrnl_sgmnt_to_be FROM bu_loantape_work.lt003_entity WHERE ref_date='2025-06-30' AND nome_perimetro= 'Individual IDComb' AND segmento= 'ESTR' AND ambito= 'PM' AND entidade='00100' AND cod_visao = 1) B ON entty_id_as_is = entty_id_to_be WHERE coalesce(cast(intrnl_sgmnt_as_is as string), '') &lt;&gt; coalesce(cast(intrnl_sgmnt_to_be as string), '') </v>
      </c>
      <c r="M69" s="17" t="s">
        <v>48</v>
      </c>
      <c r="N69" s="17" t="str">
        <f>"SELECT 'Validação de campos' as tipologia_teste, '"&amp;VLOOKUP(B69,Instruções!$F$6:$J$10,3,0)&amp;"' AS TABELA, '"&amp;E69&amp;"' AS CAMPO, '"&amp;Instruções!$D$7&amp;"' as ref_date, coalesce(NUM_REG_DIF, 0) AS NUM_REG_DIF FROM ("&amp;L69&amp;") A "</f>
        <v xml:space="preserve">SELECT 'Validação de campos' as tipologia_teste, 'lt003_entity' AS TABELA, 'intrnl_sgmnt' AS CAMPO, '2025-06-30' as ref_date, coalesce(NUM_REG_DIF, 0) AS NUM_REG_DIF FROM (SELECT count(*) AS NUM_REG_DIF FROM (SELECT entty_id as entty_id_as_is, intrnl_sgmnt as intrnl_sgmnt_as_is FROM cd_loan_tapes_bce.lt003_entity WHERE ref_date='2025-06-30' AND nome_perimetro= 'Individual IDComb' AND segmento= 'ESTR' AND ambito= 'PM' AND entidade='00100' AND cod_visao = 1) A  Inner join (SELECT entty_id as entty_id_to_be, intrnl_sgmnt as intrnl_sgmnt_to_be FROM bu_loantape_work.lt003_entity WHERE ref_date='2025-06-30' AND nome_perimetro= 'Individual IDComb' AND segmento= 'ESTR' AND ambito= 'PM' AND entidade='00100' AND cod_visao = 1) B ON entty_id_as_is = entty_id_to_be WHERE coalesce(cast(intrnl_sgmnt_as_is as string), '') &lt;&gt; coalesce(cast(intrnl_sgmnt_to_be as string), '') ) A </v>
      </c>
      <c r="O69" s="19" t="str">
        <f t="shared" si="12"/>
        <v>SELECT 'Validação de campos' as tipologia_teste, 'lt003_entity' AS TABELA, 'intrnl_sgmnt' AS CAMPO, '2025-06-30' as ref_date, coalesce(NUM_REG_DIF, 0) AS NUM_REG_DIF FROM (SELECT count(*) AS NUM_REG_DIF FROM (SELECT entty_id as entty_id_as_is, intrnl_sgmnt as intrnl_sgmnt_as_is FROM cd_loan_tapes_bce.lt003_entity WHERE ref_date='2025-06-30' AND nome_perimetro= 'Individual IDComb' AND segmento= 'ESTR' AND ambito= 'PM' AND entidade='00100' AND cod_visao = 1) A  Inner join (SELECT entty_id as entty_id_to_be, intrnl_sgmnt as intrnl_sgmnt_to_be FROM bu_loantape_work.lt003_entity WHERE ref_date='2025-06-30' AND nome_perimetro= 'Individual IDComb' AND segmento= 'ESTR' AND ambito= 'PM' AND entidade='00100' AND cod_visao = 1) B ON entty_id_as_is = entty_id_to_be WHERE coalesce(cast(intrnl_sgmnt_as_is as string), '') &lt;&gt; coalesce(cast(intrnl_sgmnt_to_be as string), '') ) A UNION ALL</v>
      </c>
      <c r="P69" s="17">
        <f t="shared" si="5"/>
        <v>15</v>
      </c>
    </row>
    <row r="70" spans="2:16" s="15" customFormat="1" ht="11.5" x14ac:dyDescent="0.25">
      <c r="B70" s="17" t="s">
        <v>11</v>
      </c>
      <c r="C70" s="17" t="str">
        <f>_xlfn.CONCAT(Instruções!$D$5,".",VLOOKUP(B70,Instruções!$F$5:$H$10,2,0))</f>
        <v>cd_loan_tapes_bce.lt003_entity</v>
      </c>
      <c r="D70" s="17" t="str">
        <f>_xlfn.CONCAT(Instruções!$D$6,".",VLOOKUP(B70,Instruções!$F$5:$H$10,3,0))</f>
        <v>bu_loantape_work.lt003_entity</v>
      </c>
      <c r="E70" s="17" t="s">
        <v>113</v>
      </c>
      <c r="F70" s="17" t="str">
        <f t="shared" si="13"/>
        <v>intrnl_unt_as_is</v>
      </c>
      <c r="G70" s="17" t="str">
        <f t="shared" si="14"/>
        <v>intrnl_unt_to_be</v>
      </c>
      <c r="H70" s="17" t="str">
        <f>IF(VLOOKUP(B70,Instruções!$F$6:$J$10,5,0)="",
"(SELECT "&amp;VLOOKUP(B70,Instruções!$F$6:$J$10,4,0)&amp;" as "&amp;VLOOKUP(B70,Instruções!$F$6:$J$10,4,0)&amp;"_as_is, "&amp;E70&amp;" as "&amp;F70&amp;" FROM "&amp;C70&amp;" WHERE "&amp;Instruções!$D$11&amp;") A ",
"(SELECT "&amp;VLOOKUP(B70,Instruções!$F$6:$J$10,4,0)&amp;" as "&amp;VLOOKUP(B70,Instruções!$F$6:$J$10,4,0)&amp;"_as_is, "&amp;VLOOKUP(B70,Instruções!$F$6:$J$10,5,0)&amp;" as "&amp;VLOOKUP(B70,Instruções!$F$6:$J$10,5,0)&amp;"_as_is,"&amp;E70&amp;" as "&amp;F70&amp;" FROM "&amp;C70&amp;" WHERE "&amp;Instruções!$D$11&amp;") A ")</f>
        <v xml:space="preserve">(SELECT entty_id as entty_id_as_is, intrnl_unt as intrnl_unt_as_is FROM cd_loan_tapes_bce.lt003_entity WHERE ref_date='2025-06-30' AND nome_perimetro= 'Individual IDComb' AND segmento= 'ESTR' AND ambito= 'PM' AND entidade='00100' AND cod_visao = 1) A </v>
      </c>
      <c r="I70" s="17" t="str">
        <f>IF(VLOOKUP(B70,Instruções!$F$6:$J$10,5,0)="",
"(SELECT "&amp;VLOOKUP(B70,Instruções!$F$6:$J$10,4,0)&amp;" as "&amp;VLOOKUP(B70,Instruções!$F$6:$J$10,4,0)&amp;"_to_be, "&amp;E70&amp;" as "&amp;G70&amp;" FROM "&amp;D70&amp;" WHERE "&amp;Instruções!$D$11&amp;") B ",
"(SELECT "&amp;VLOOKUP(B70,Instruções!$F$6:$J$10,4,0)&amp;" as "&amp;VLOOKUP(B70,Instruções!$F$6:$J$10,4,0)&amp;"_to_be, "&amp;VLOOKUP(B70,Instruções!$F$6:$J$10,5,0)&amp;" as "&amp;VLOOKUP(B70,Instruções!$F$6:$J$10,5,0)&amp;"_to_be,"&amp;E70&amp;" as "&amp;G70&amp;" FROM "&amp;D70&amp;" WHERE "&amp;Instruções!$D$11&amp;") B ")</f>
        <v xml:space="preserve">(SELECT entty_id as entty_id_to_be, intrnl_unt as intrnl_unt_to_be FROM bu_loantape_work.lt003_entity WHERE ref_date='2025-06-30' AND nome_perimetro= 'Individual IDComb' AND segmento= 'ESTR' AND ambito= 'PM' AND entidade='00100' AND cod_visao = 1) B </v>
      </c>
      <c r="J70" s="17" t="str">
        <f>IF(VLOOKUP(B70,Instruções!$F$6:$J$10,5,0)="",
"ON "&amp;VLOOKUP(B70,Instruções!$F$6:$J$10,4,0)&amp;"_as_is = "&amp;VLOOKUP(B70,Instruções!$F$6:$J$10,4,0)&amp;"_to_be ",
"ON "&amp;VLOOKUP(B70,Instruções!$F$6:$J$10,4,0)&amp;"_as_is = "&amp;VLOOKUP(B70,Instruções!$F$6:$J$10,4,0)&amp;"_to_be AND "&amp;VLOOKUP(B70,Instruções!$F$6:$J$10,5,0)&amp;"_as_is = "&amp;VLOOKUP(B70,Instruções!$F$6:$J$10,5,0)&amp;"_to_be ")</f>
        <v xml:space="preserve">ON entty_id_as_is = entty_id_to_be </v>
      </c>
      <c r="K70" s="17" t="str">
        <f t="shared" si="15"/>
        <v xml:space="preserve">WHERE coalesce(cast(intrnl_unt_as_is as string), '') &lt;&gt; coalesce(cast(intrnl_unt_to_be as string), '') </v>
      </c>
      <c r="L70" s="17" t="str">
        <f t="shared" si="16"/>
        <v xml:space="preserve">SELECT count(*) AS NUM_REG_DIF FROM (SELECT entty_id as entty_id_as_is, intrnl_unt as intrnl_unt_as_is FROM cd_loan_tapes_bce.lt003_entity WHERE ref_date='2025-06-30' AND nome_perimetro= 'Individual IDComb' AND segmento= 'ESTR' AND ambito= 'PM' AND entidade='00100' AND cod_visao = 1) A  Inner join (SELECT entty_id as entty_id_to_be, intrnl_unt as intrnl_unt_to_be FROM bu_loantape_work.lt003_entity WHERE ref_date='2025-06-30' AND nome_perimetro= 'Individual IDComb' AND segmento= 'ESTR' AND ambito= 'PM' AND entidade='00100' AND cod_visao = 1) B ON entty_id_as_is = entty_id_to_be WHERE coalesce(cast(intrnl_unt_as_is as string), '') &lt;&gt; coalesce(cast(intrnl_unt_to_be as string), '') </v>
      </c>
      <c r="M70" s="17" t="s">
        <v>48</v>
      </c>
      <c r="N70" s="17" t="str">
        <f>"SELECT 'Validação de campos' as tipologia_teste, '"&amp;VLOOKUP(B70,Instruções!$F$6:$J$10,3,0)&amp;"' AS TABELA, '"&amp;E70&amp;"' AS CAMPO, '"&amp;Instruções!$D$7&amp;"' as ref_date, coalesce(NUM_REG_DIF, 0) AS NUM_REG_DIF FROM ("&amp;L70&amp;") A "</f>
        <v xml:space="preserve">SELECT 'Validação de campos' as tipologia_teste, 'lt003_entity' AS TABELA, 'intrnl_unt' AS CAMPO, '2025-06-30' as ref_date, coalesce(NUM_REG_DIF, 0) AS NUM_REG_DIF FROM (SELECT count(*) AS NUM_REG_DIF FROM (SELECT entty_id as entty_id_as_is, intrnl_unt as intrnl_unt_as_is FROM cd_loan_tapes_bce.lt003_entity WHERE ref_date='2025-06-30' AND nome_perimetro= 'Individual IDComb' AND segmento= 'ESTR' AND ambito= 'PM' AND entidade='00100' AND cod_visao = 1) A  Inner join (SELECT entty_id as entty_id_to_be, intrnl_unt as intrnl_unt_to_be FROM bu_loantape_work.lt003_entity WHERE ref_date='2025-06-30' AND nome_perimetro= 'Individual IDComb' AND segmento= 'ESTR' AND ambito= 'PM' AND entidade='00100' AND cod_visao = 1) B ON entty_id_as_is = entty_id_to_be WHERE coalesce(cast(intrnl_unt_as_is as string), '') &lt;&gt; coalesce(cast(intrnl_unt_to_be as string), '') ) A </v>
      </c>
      <c r="O70" s="19" t="str">
        <f t="shared" si="12"/>
        <v>SELECT 'Validação de campos' as tipologia_teste, 'lt003_entity' AS TABELA, 'intrnl_unt' AS CAMPO, '2025-06-30' as ref_date, coalesce(NUM_REG_DIF, 0) AS NUM_REG_DIF FROM (SELECT count(*) AS NUM_REG_DIF FROM (SELECT entty_id as entty_id_as_is, intrnl_unt as intrnl_unt_as_is FROM cd_loan_tapes_bce.lt003_entity WHERE ref_date='2025-06-30' AND nome_perimetro= 'Individual IDComb' AND segmento= 'ESTR' AND ambito= 'PM' AND entidade='00100' AND cod_visao = 1) A  Inner join (SELECT entty_id as entty_id_to_be, intrnl_unt as intrnl_unt_to_be FROM bu_loantape_work.lt003_entity WHERE ref_date='2025-06-30' AND nome_perimetro= 'Individual IDComb' AND segmento= 'ESTR' AND ambito= 'PM' AND entidade='00100' AND cod_visao = 1) B ON entty_id_as_is = entty_id_to_be WHERE coalesce(cast(intrnl_unt_as_is as string), '') &lt;&gt; coalesce(cast(intrnl_unt_to_be as string), '') ) A UNION ALL</v>
      </c>
      <c r="P70" s="17">
        <f t="shared" si="5"/>
        <v>16</v>
      </c>
    </row>
    <row r="71" spans="2:16" s="15" customFormat="1" ht="11.5" x14ac:dyDescent="0.25">
      <c r="B71" s="17" t="s">
        <v>11</v>
      </c>
      <c r="C71" s="17" t="str">
        <f>_xlfn.CONCAT(Instruções!$D$5,".",VLOOKUP(B71,Instruções!$F$5:$H$10,2,0))</f>
        <v>cd_loan_tapes_bce.lt003_entity</v>
      </c>
      <c r="D71" s="17" t="str">
        <f>_xlfn.CONCAT(Instruções!$D$6,".",VLOOKUP(B71,Instruções!$F$5:$H$10,3,0))</f>
        <v>bu_loantape_work.lt003_entity</v>
      </c>
      <c r="E71" s="17" t="s">
        <v>114</v>
      </c>
      <c r="F71" s="17" t="str">
        <f t="shared" si="13"/>
        <v>lei_as_is</v>
      </c>
      <c r="G71" s="17" t="str">
        <f t="shared" si="14"/>
        <v>lei_to_be</v>
      </c>
      <c r="H71" s="17" t="str">
        <f>IF(VLOOKUP(B71,Instruções!$F$6:$J$10,5,0)="",
"(SELECT "&amp;VLOOKUP(B71,Instruções!$F$6:$J$10,4,0)&amp;" as "&amp;VLOOKUP(B71,Instruções!$F$6:$J$10,4,0)&amp;"_as_is, "&amp;E71&amp;" as "&amp;F71&amp;" FROM "&amp;C71&amp;" WHERE "&amp;Instruções!$D$11&amp;") A ",
"(SELECT "&amp;VLOOKUP(B71,Instruções!$F$6:$J$10,4,0)&amp;" as "&amp;VLOOKUP(B71,Instruções!$F$6:$J$10,4,0)&amp;"_as_is, "&amp;VLOOKUP(B71,Instruções!$F$6:$J$10,5,0)&amp;" as "&amp;VLOOKUP(B71,Instruções!$F$6:$J$10,5,0)&amp;"_as_is,"&amp;E71&amp;" as "&amp;F71&amp;" FROM "&amp;C71&amp;" WHERE "&amp;Instruções!$D$11&amp;") A ")</f>
        <v xml:space="preserve">(SELECT entty_id as entty_id_as_is, lei as lei_as_is FROM cd_loan_tapes_bce.lt003_entity WHERE ref_date='2025-06-30' AND nome_perimetro= 'Individual IDComb' AND segmento= 'ESTR' AND ambito= 'PM' AND entidade='00100' AND cod_visao = 1) A </v>
      </c>
      <c r="I71" s="17" t="str">
        <f>IF(VLOOKUP(B71,Instruções!$F$6:$J$10,5,0)="",
"(SELECT "&amp;VLOOKUP(B71,Instruções!$F$6:$J$10,4,0)&amp;" as "&amp;VLOOKUP(B71,Instruções!$F$6:$J$10,4,0)&amp;"_to_be, "&amp;E71&amp;" as "&amp;G71&amp;" FROM "&amp;D71&amp;" WHERE "&amp;Instruções!$D$11&amp;") B ",
"(SELECT "&amp;VLOOKUP(B71,Instruções!$F$6:$J$10,4,0)&amp;" as "&amp;VLOOKUP(B71,Instruções!$F$6:$J$10,4,0)&amp;"_to_be, "&amp;VLOOKUP(B71,Instruções!$F$6:$J$10,5,0)&amp;" as "&amp;VLOOKUP(B71,Instruções!$F$6:$J$10,5,0)&amp;"_to_be,"&amp;E71&amp;" as "&amp;G71&amp;" FROM "&amp;D71&amp;" WHERE "&amp;Instruções!$D$11&amp;") B ")</f>
        <v xml:space="preserve">(SELECT entty_id as entty_id_to_be, lei as lei_to_be FROM bu_loantape_work.lt003_entity WHERE ref_date='2025-06-30' AND nome_perimetro= 'Individual IDComb' AND segmento= 'ESTR' AND ambito= 'PM' AND entidade='00100' AND cod_visao = 1) B </v>
      </c>
      <c r="J71" s="17" t="str">
        <f>IF(VLOOKUP(B71,Instruções!$F$6:$J$10,5,0)="",
"ON "&amp;VLOOKUP(B71,Instruções!$F$6:$J$10,4,0)&amp;"_as_is = "&amp;VLOOKUP(B71,Instruções!$F$6:$J$10,4,0)&amp;"_to_be ",
"ON "&amp;VLOOKUP(B71,Instruções!$F$6:$J$10,4,0)&amp;"_as_is = "&amp;VLOOKUP(B71,Instruções!$F$6:$J$10,4,0)&amp;"_to_be AND "&amp;VLOOKUP(B71,Instruções!$F$6:$J$10,5,0)&amp;"_as_is = "&amp;VLOOKUP(B71,Instruções!$F$6:$J$10,5,0)&amp;"_to_be ")</f>
        <v xml:space="preserve">ON entty_id_as_is = entty_id_to_be </v>
      </c>
      <c r="K71" s="17" t="str">
        <f t="shared" si="15"/>
        <v xml:space="preserve">WHERE coalesce(cast(lei_as_is as string), '') &lt;&gt; coalesce(cast(lei_to_be as string), '') </v>
      </c>
      <c r="L71" s="17" t="str">
        <f t="shared" si="16"/>
        <v xml:space="preserve">SELECT count(*) AS NUM_REG_DIF FROM (SELECT entty_id as entty_id_as_is, lei as lei_as_is FROM cd_loan_tapes_bce.lt003_entity WHERE ref_date='2025-06-30' AND nome_perimetro= 'Individual IDComb' AND segmento= 'ESTR' AND ambito= 'PM' AND entidade='00100' AND cod_visao = 1) A  Inner join (SELECT entty_id as entty_id_to_be, lei as lei_to_be FROM bu_loantape_work.lt003_entity WHERE ref_date='2025-06-30' AND nome_perimetro= 'Individual IDComb' AND segmento= 'ESTR' AND ambito= 'PM' AND entidade='00100' AND cod_visao = 1) B ON entty_id_as_is = entty_id_to_be WHERE coalesce(cast(lei_as_is as string), '') &lt;&gt; coalesce(cast(lei_to_be as string), '') </v>
      </c>
      <c r="M71" s="17" t="s">
        <v>48</v>
      </c>
      <c r="N71" s="17" t="str">
        <f>"SELECT 'Validação de campos' as tipologia_teste, '"&amp;VLOOKUP(B71,Instruções!$F$6:$J$10,3,0)&amp;"' AS TABELA, '"&amp;E71&amp;"' AS CAMPO, '"&amp;Instruções!$D$7&amp;"' as ref_date, coalesce(NUM_REG_DIF, 0) AS NUM_REG_DIF FROM ("&amp;L71&amp;") A "</f>
        <v xml:space="preserve">SELECT 'Validação de campos' as tipologia_teste, 'lt003_entity' AS TABELA, 'lei' AS CAMPO, '2025-06-30' as ref_date, coalesce(NUM_REG_DIF, 0) AS NUM_REG_DIF FROM (SELECT count(*) AS NUM_REG_DIF FROM (SELECT entty_id as entty_id_as_is, lei as lei_as_is FROM cd_loan_tapes_bce.lt003_entity WHERE ref_date='2025-06-30' AND nome_perimetro= 'Individual IDComb' AND segmento= 'ESTR' AND ambito= 'PM' AND entidade='00100' AND cod_visao = 1) A  Inner join (SELECT entty_id as entty_id_to_be, lei as lei_to_be FROM bu_loantape_work.lt003_entity WHERE ref_date='2025-06-30' AND nome_perimetro= 'Individual IDComb' AND segmento= 'ESTR' AND ambito= 'PM' AND entidade='00100' AND cod_visao = 1) B ON entty_id_as_is = entty_id_to_be WHERE coalesce(cast(lei_as_is as string), '') &lt;&gt; coalesce(cast(lei_to_be as string), '') ) A </v>
      </c>
      <c r="O71" s="19" t="str">
        <f t="shared" si="12"/>
        <v>SELECT 'Validação de campos' as tipologia_teste, 'lt003_entity' AS TABELA, 'lei' AS CAMPO, '2025-06-30' as ref_date, coalesce(NUM_REG_DIF, 0) AS NUM_REG_DIF FROM (SELECT count(*) AS NUM_REG_DIF FROM (SELECT entty_id as entty_id_as_is, lei as lei_as_is FROM cd_loan_tapes_bce.lt003_entity WHERE ref_date='2025-06-30' AND nome_perimetro= 'Individual IDComb' AND segmento= 'ESTR' AND ambito= 'PM' AND entidade='00100' AND cod_visao = 1) A  Inner join (SELECT entty_id as entty_id_to_be, lei as lei_to_be FROM bu_loantape_work.lt003_entity WHERE ref_date='2025-06-30' AND nome_perimetro= 'Individual IDComb' AND segmento= 'ESTR' AND ambito= 'PM' AND entidade='00100' AND cod_visao = 1) B ON entty_id_as_is = entty_id_to_be WHERE coalesce(cast(lei_as_is as string), '') &lt;&gt; coalesce(cast(lei_to_be as string), '') ) A UNION ALL</v>
      </c>
      <c r="P71" s="17">
        <f t="shared" ref="P71:P133" si="17">P70+1</f>
        <v>17</v>
      </c>
    </row>
    <row r="72" spans="2:16" s="15" customFormat="1" ht="11.5" x14ac:dyDescent="0.25">
      <c r="B72" s="17" t="s">
        <v>11</v>
      </c>
      <c r="C72" s="17" t="str">
        <f>_xlfn.CONCAT(Instruções!$D$5,".",VLOOKUP(B72,Instruções!$F$5:$H$10,2,0))</f>
        <v>cd_loan_tapes_bce.lt003_entity</v>
      </c>
      <c r="D72" s="17" t="str">
        <f>_xlfn.CONCAT(Instruções!$D$6,".",VLOOKUP(B72,Instruções!$F$5:$H$10,3,0))</f>
        <v>bu_loantape_work.lt003_entity</v>
      </c>
      <c r="E72" s="17" t="s">
        <v>115</v>
      </c>
      <c r="F72" s="17" t="str">
        <f t="shared" si="13"/>
        <v>lgl_prcdng_stts_le_as_is</v>
      </c>
      <c r="G72" s="17" t="str">
        <f t="shared" si="14"/>
        <v>lgl_prcdng_stts_le_to_be</v>
      </c>
      <c r="H72" s="17" t="str">
        <f>IF(VLOOKUP(B72,Instruções!$F$6:$J$10,5,0)="",
"(SELECT "&amp;VLOOKUP(B72,Instruções!$F$6:$J$10,4,0)&amp;" as "&amp;VLOOKUP(B72,Instruções!$F$6:$J$10,4,0)&amp;"_as_is, "&amp;E72&amp;" as "&amp;F72&amp;" FROM "&amp;C72&amp;" WHERE "&amp;Instruções!$D$11&amp;") A ",
"(SELECT "&amp;VLOOKUP(B72,Instruções!$F$6:$J$10,4,0)&amp;" as "&amp;VLOOKUP(B72,Instruções!$F$6:$J$10,4,0)&amp;"_as_is, "&amp;VLOOKUP(B72,Instruções!$F$6:$J$10,5,0)&amp;" as "&amp;VLOOKUP(B72,Instruções!$F$6:$J$10,5,0)&amp;"_as_is,"&amp;E72&amp;" as "&amp;F72&amp;" FROM "&amp;C72&amp;" WHERE "&amp;Instruções!$D$11&amp;") A ")</f>
        <v xml:space="preserve">(SELECT entty_id as entty_id_as_is, lgl_prcdng_stts_le as lgl_prcdng_stts_le_as_is FROM cd_loan_tapes_bce.lt003_entity WHERE ref_date='2025-06-30' AND nome_perimetro= 'Individual IDComb' AND segmento= 'ESTR' AND ambito= 'PM' AND entidade='00100' AND cod_visao = 1) A </v>
      </c>
      <c r="I72" s="17" t="str">
        <f>IF(VLOOKUP(B72,Instruções!$F$6:$J$10,5,0)="",
"(SELECT "&amp;VLOOKUP(B72,Instruções!$F$6:$J$10,4,0)&amp;" as "&amp;VLOOKUP(B72,Instruções!$F$6:$J$10,4,0)&amp;"_to_be, "&amp;E72&amp;" as "&amp;G72&amp;" FROM "&amp;D72&amp;" WHERE "&amp;Instruções!$D$11&amp;") B ",
"(SELECT "&amp;VLOOKUP(B72,Instruções!$F$6:$J$10,4,0)&amp;" as "&amp;VLOOKUP(B72,Instruções!$F$6:$J$10,4,0)&amp;"_to_be, "&amp;VLOOKUP(B72,Instruções!$F$6:$J$10,5,0)&amp;" as "&amp;VLOOKUP(B72,Instruções!$F$6:$J$10,5,0)&amp;"_to_be,"&amp;E72&amp;" as "&amp;G72&amp;" FROM "&amp;D72&amp;" WHERE "&amp;Instruções!$D$11&amp;") B ")</f>
        <v xml:space="preserve">(SELECT entty_id as entty_id_to_be, lgl_prcdng_stts_le as lgl_prcdng_stts_le_to_be FROM bu_loantape_work.lt003_entity WHERE ref_date='2025-06-30' AND nome_perimetro= 'Individual IDComb' AND segmento= 'ESTR' AND ambito= 'PM' AND entidade='00100' AND cod_visao = 1) B </v>
      </c>
      <c r="J72" s="17" t="str">
        <f>IF(VLOOKUP(B72,Instruções!$F$6:$J$10,5,0)="",
"ON "&amp;VLOOKUP(B72,Instruções!$F$6:$J$10,4,0)&amp;"_as_is = "&amp;VLOOKUP(B72,Instruções!$F$6:$J$10,4,0)&amp;"_to_be ",
"ON "&amp;VLOOKUP(B72,Instruções!$F$6:$J$10,4,0)&amp;"_as_is = "&amp;VLOOKUP(B72,Instruções!$F$6:$J$10,4,0)&amp;"_to_be AND "&amp;VLOOKUP(B72,Instruções!$F$6:$J$10,5,0)&amp;"_as_is = "&amp;VLOOKUP(B72,Instruções!$F$6:$J$10,5,0)&amp;"_to_be ")</f>
        <v xml:space="preserve">ON entty_id_as_is = entty_id_to_be </v>
      </c>
      <c r="K72" s="17" t="str">
        <f t="shared" si="15"/>
        <v xml:space="preserve">WHERE coalesce(cast(lgl_prcdng_stts_le_as_is as string), '') &lt;&gt; coalesce(cast(lgl_prcdng_stts_le_to_be as string), '') </v>
      </c>
      <c r="L72" s="17" t="str">
        <f t="shared" si="16"/>
        <v xml:space="preserve">SELECT count(*) AS NUM_REG_DIF FROM (SELECT entty_id as entty_id_as_is, lgl_prcdng_stts_le as lgl_prcdng_stts_le_as_is FROM cd_loan_tapes_bce.lt003_entity WHERE ref_date='2025-06-30' AND nome_perimetro= 'Individual IDComb' AND segmento= 'ESTR' AND ambito= 'PM' AND entidade='00100' AND cod_visao = 1) A  Inner join (SELECT entty_id as entty_id_to_be, lgl_prcdng_stts_le as lgl_prcdng_stts_le_to_be FROM bu_loantape_work.lt003_entity WHERE ref_date='2025-06-30' AND nome_perimetro= 'Individual IDComb' AND segmento= 'ESTR' AND ambito= 'PM' AND entidade='00100' AND cod_visao = 1) B ON entty_id_as_is = entty_id_to_be WHERE coalesce(cast(lgl_prcdng_stts_le_as_is as string), '') &lt;&gt; coalesce(cast(lgl_prcdng_stts_le_to_be as string), '') </v>
      </c>
      <c r="M72" s="17" t="s">
        <v>48</v>
      </c>
      <c r="N72" s="17" t="str">
        <f>"SELECT 'Validação de campos' as tipologia_teste, '"&amp;VLOOKUP(B72,Instruções!$F$6:$J$10,3,0)&amp;"' AS TABELA, '"&amp;E72&amp;"' AS CAMPO, '"&amp;Instruções!$D$7&amp;"' as ref_date, coalesce(NUM_REG_DIF, 0) AS NUM_REG_DIF FROM ("&amp;L72&amp;") A "</f>
        <v xml:space="preserve">SELECT 'Validação de campos' as tipologia_teste, 'lt003_entity' AS TABELA, 'lgl_prcdng_stts_le' AS CAMPO, '2025-06-30' as ref_date, coalesce(NUM_REG_DIF, 0) AS NUM_REG_DIF FROM (SELECT count(*) AS NUM_REG_DIF FROM (SELECT entty_id as entty_id_as_is, lgl_prcdng_stts_le as lgl_prcdng_stts_le_as_is FROM cd_loan_tapes_bce.lt003_entity WHERE ref_date='2025-06-30' AND nome_perimetro= 'Individual IDComb' AND segmento= 'ESTR' AND ambito= 'PM' AND entidade='00100' AND cod_visao = 1) A  Inner join (SELECT entty_id as entty_id_to_be, lgl_prcdng_stts_le as lgl_prcdng_stts_le_to_be FROM bu_loantape_work.lt003_entity WHERE ref_date='2025-06-30' AND nome_perimetro= 'Individual IDComb' AND segmento= 'ESTR' AND ambito= 'PM' AND entidade='00100' AND cod_visao = 1) B ON entty_id_as_is = entty_id_to_be WHERE coalesce(cast(lgl_prcdng_stts_le_as_is as string), '') &lt;&gt; coalesce(cast(lgl_prcdng_stts_le_to_be as string), '') ) A </v>
      </c>
      <c r="O72" s="19" t="str">
        <f t="shared" si="12"/>
        <v>SELECT 'Validação de campos' as tipologia_teste, 'lt003_entity' AS TABELA, 'lgl_prcdng_stts_le' AS CAMPO, '2025-06-30' as ref_date, coalesce(NUM_REG_DIF, 0) AS NUM_REG_DIF FROM (SELECT count(*) AS NUM_REG_DIF FROM (SELECT entty_id as entty_id_as_is, lgl_prcdng_stts_le as lgl_prcdng_stts_le_as_is FROM cd_loan_tapes_bce.lt003_entity WHERE ref_date='2025-06-30' AND nome_perimetro= 'Individual IDComb' AND segmento= 'ESTR' AND ambito= 'PM' AND entidade='00100' AND cod_visao = 1) A  Inner join (SELECT entty_id as entty_id_to_be, lgl_prcdng_stts_le as lgl_prcdng_stts_le_to_be FROM bu_loantape_work.lt003_entity WHERE ref_date='2025-06-30' AND nome_perimetro= 'Individual IDComb' AND segmento= 'ESTR' AND ambito= 'PM' AND entidade='00100' AND cod_visao = 1) B ON entty_id_as_is = entty_id_to_be WHERE coalesce(cast(lgl_prcdng_stts_le_as_is as string), '') &lt;&gt; coalesce(cast(lgl_prcdng_stts_le_to_be as string), '') ) A UNION ALL</v>
      </c>
      <c r="P72" s="17">
        <f t="shared" si="17"/>
        <v>18</v>
      </c>
    </row>
    <row r="73" spans="2:16" s="15" customFormat="1" ht="11.5" x14ac:dyDescent="0.25">
      <c r="B73" s="17" t="s">
        <v>11</v>
      </c>
      <c r="C73" s="17" t="str">
        <f>_xlfn.CONCAT(Instruções!$D$5,".",VLOOKUP(B73,Instruções!$F$5:$H$10,2,0))</f>
        <v>cd_loan_tapes_bce.lt003_entity</v>
      </c>
      <c r="D73" s="17" t="str">
        <f>_xlfn.CONCAT(Instruções!$D$6,".",VLOOKUP(B73,Instruções!$F$5:$H$10,3,0))</f>
        <v>bu_loantape_work.lt003_entity</v>
      </c>
      <c r="E73" s="17" t="s">
        <v>116</v>
      </c>
      <c r="F73" s="17" t="str">
        <f t="shared" si="13"/>
        <v>lti_as_is</v>
      </c>
      <c r="G73" s="17" t="str">
        <f t="shared" si="14"/>
        <v>lti_to_be</v>
      </c>
      <c r="H73" s="17" t="str">
        <f>IF(VLOOKUP(B73,Instruções!$F$6:$J$10,5,0)="",
"(SELECT "&amp;VLOOKUP(B73,Instruções!$F$6:$J$10,4,0)&amp;" as "&amp;VLOOKUP(B73,Instruções!$F$6:$J$10,4,0)&amp;"_as_is, "&amp;E73&amp;" as "&amp;F73&amp;" FROM "&amp;C73&amp;" WHERE "&amp;Instruções!$D$11&amp;") A ",
"(SELECT "&amp;VLOOKUP(B73,Instruções!$F$6:$J$10,4,0)&amp;" as "&amp;VLOOKUP(B73,Instruções!$F$6:$J$10,4,0)&amp;"_as_is, "&amp;VLOOKUP(B73,Instruções!$F$6:$J$10,5,0)&amp;" as "&amp;VLOOKUP(B73,Instruções!$F$6:$J$10,5,0)&amp;"_as_is,"&amp;E73&amp;" as "&amp;F73&amp;" FROM "&amp;C73&amp;" WHERE "&amp;Instruções!$D$11&amp;") A ")</f>
        <v xml:space="preserve">(SELECT entty_id as entty_id_as_is, lti as lti_as_is FROM cd_loan_tapes_bce.lt003_entity WHERE ref_date='2025-06-30' AND nome_perimetro= 'Individual IDComb' AND segmento= 'ESTR' AND ambito= 'PM' AND entidade='00100' AND cod_visao = 1) A </v>
      </c>
      <c r="I73" s="17" t="str">
        <f>IF(VLOOKUP(B73,Instruções!$F$6:$J$10,5,0)="",
"(SELECT "&amp;VLOOKUP(B73,Instruções!$F$6:$J$10,4,0)&amp;" as "&amp;VLOOKUP(B73,Instruções!$F$6:$J$10,4,0)&amp;"_to_be, "&amp;E73&amp;" as "&amp;G73&amp;" FROM "&amp;D73&amp;" WHERE "&amp;Instruções!$D$11&amp;") B ",
"(SELECT "&amp;VLOOKUP(B73,Instruções!$F$6:$J$10,4,0)&amp;" as "&amp;VLOOKUP(B73,Instruções!$F$6:$J$10,4,0)&amp;"_to_be, "&amp;VLOOKUP(B73,Instruções!$F$6:$J$10,5,0)&amp;" as "&amp;VLOOKUP(B73,Instruções!$F$6:$J$10,5,0)&amp;"_to_be,"&amp;E73&amp;" as "&amp;G73&amp;" FROM "&amp;D73&amp;" WHERE "&amp;Instruções!$D$11&amp;") B ")</f>
        <v xml:space="preserve">(SELECT entty_id as entty_id_to_be, lti as lti_to_be FROM bu_loantape_work.lt003_entity WHERE ref_date='2025-06-30' AND nome_perimetro= 'Individual IDComb' AND segmento= 'ESTR' AND ambito= 'PM' AND entidade='00100' AND cod_visao = 1) B </v>
      </c>
      <c r="J73" s="17" t="str">
        <f>IF(VLOOKUP(B73,Instruções!$F$6:$J$10,5,0)="",
"ON "&amp;VLOOKUP(B73,Instruções!$F$6:$J$10,4,0)&amp;"_as_is = "&amp;VLOOKUP(B73,Instruções!$F$6:$J$10,4,0)&amp;"_to_be ",
"ON "&amp;VLOOKUP(B73,Instruções!$F$6:$J$10,4,0)&amp;"_as_is = "&amp;VLOOKUP(B73,Instruções!$F$6:$J$10,4,0)&amp;"_to_be AND "&amp;VLOOKUP(B73,Instruções!$F$6:$J$10,5,0)&amp;"_as_is = "&amp;VLOOKUP(B73,Instruções!$F$6:$J$10,5,0)&amp;"_to_be ")</f>
        <v xml:space="preserve">ON entty_id_as_is = entty_id_to_be </v>
      </c>
      <c r="K73" s="17" t="str">
        <f t="shared" si="15"/>
        <v xml:space="preserve">WHERE coalesce(cast(lti_as_is as string), '') &lt;&gt; coalesce(cast(lti_to_be as string), '') </v>
      </c>
      <c r="L73" s="17" t="str">
        <f t="shared" si="16"/>
        <v xml:space="preserve">SELECT count(*) AS NUM_REG_DIF FROM (SELECT entty_id as entty_id_as_is, lti as lti_as_is FROM cd_loan_tapes_bce.lt003_entity WHERE ref_date='2025-06-30' AND nome_perimetro= 'Individual IDComb' AND segmento= 'ESTR' AND ambito= 'PM' AND entidade='00100' AND cod_visao = 1) A  Inner join (SELECT entty_id as entty_id_to_be, lti as lti_to_be FROM bu_loantape_work.lt003_entity WHERE ref_date='2025-06-30' AND nome_perimetro= 'Individual IDComb' AND segmento= 'ESTR' AND ambito= 'PM' AND entidade='00100' AND cod_visao = 1) B ON entty_id_as_is = entty_id_to_be WHERE coalesce(cast(lti_as_is as string), '') &lt;&gt; coalesce(cast(lti_to_be as string), '') </v>
      </c>
      <c r="M73" s="17" t="s">
        <v>48</v>
      </c>
      <c r="N73" s="17" t="str">
        <f>"SELECT 'Validação de campos' as tipologia_teste, '"&amp;VLOOKUP(B73,Instruções!$F$6:$J$10,3,0)&amp;"' AS TABELA, '"&amp;E73&amp;"' AS CAMPO, '"&amp;Instruções!$D$7&amp;"' as ref_date, coalesce(NUM_REG_DIF, 0) AS NUM_REG_DIF FROM ("&amp;L73&amp;") A "</f>
        <v xml:space="preserve">SELECT 'Validação de campos' as tipologia_teste, 'lt003_entity' AS TABELA, 'lti' AS CAMPO, '2025-06-30' as ref_date, coalesce(NUM_REG_DIF, 0) AS NUM_REG_DIF FROM (SELECT count(*) AS NUM_REG_DIF FROM (SELECT entty_id as entty_id_as_is, lti as lti_as_is FROM cd_loan_tapes_bce.lt003_entity WHERE ref_date='2025-06-30' AND nome_perimetro= 'Individual IDComb' AND segmento= 'ESTR' AND ambito= 'PM' AND entidade='00100' AND cod_visao = 1) A  Inner join (SELECT entty_id as entty_id_to_be, lti as lti_to_be FROM bu_loantape_work.lt003_entity WHERE ref_date='2025-06-30' AND nome_perimetro= 'Individual IDComb' AND segmento= 'ESTR' AND ambito= 'PM' AND entidade='00100' AND cod_visao = 1) B ON entty_id_as_is = entty_id_to_be WHERE coalesce(cast(lti_as_is as string), '') &lt;&gt; coalesce(cast(lti_to_be as string), '') ) A </v>
      </c>
      <c r="O73" s="19" t="str">
        <f t="shared" si="12"/>
        <v>SELECT 'Validação de campos' as tipologia_teste, 'lt003_entity' AS TABELA, 'lti' AS CAMPO, '2025-06-30' as ref_date, coalesce(NUM_REG_DIF, 0) AS NUM_REG_DIF FROM (SELECT count(*) AS NUM_REG_DIF FROM (SELECT entty_id as entty_id_as_is, lti as lti_as_is FROM cd_loan_tapes_bce.lt003_entity WHERE ref_date='2025-06-30' AND nome_perimetro= 'Individual IDComb' AND segmento= 'ESTR' AND ambito= 'PM' AND entidade='00100' AND cod_visao = 1) A  Inner join (SELECT entty_id as entty_id_to_be, lti as lti_to_be FROM bu_loantape_work.lt003_entity WHERE ref_date='2025-06-30' AND nome_perimetro= 'Individual IDComb' AND segmento= 'ESTR' AND ambito= 'PM' AND entidade='00100' AND cod_visao = 1) B ON entty_id_as_is = entty_id_to_be WHERE coalesce(cast(lti_as_is as string), '') &lt;&gt; coalesce(cast(lti_to_be as string), '') ) A UNION ALL</v>
      </c>
      <c r="P73" s="17">
        <f t="shared" si="17"/>
        <v>19</v>
      </c>
    </row>
    <row r="74" spans="2:16" s="15" customFormat="1" ht="11.5" x14ac:dyDescent="0.25">
      <c r="B74" s="17" t="s">
        <v>11</v>
      </c>
      <c r="C74" s="17" t="str">
        <f>_xlfn.CONCAT(Instruções!$D$5,".",VLOOKUP(B74,Instruções!$F$5:$H$10,2,0))</f>
        <v>cd_loan_tapes_bce.lt003_entity</v>
      </c>
      <c r="D74" s="17" t="str">
        <f>_xlfn.CONCAT(Instruções!$D$6,".",VLOOKUP(B74,Instruções!$F$5:$H$10,3,0))</f>
        <v>bu_loantape_work.lt003_entity</v>
      </c>
      <c r="E74" s="17" t="s">
        <v>117</v>
      </c>
      <c r="F74" s="17" t="str">
        <f t="shared" si="13"/>
        <v>lvrg_as_is</v>
      </c>
      <c r="G74" s="17" t="str">
        <f t="shared" si="14"/>
        <v>lvrg_to_be</v>
      </c>
      <c r="H74" s="17" t="str">
        <f>IF(VLOOKUP(B74,Instruções!$F$6:$J$10,5,0)="",
"(SELECT "&amp;VLOOKUP(B74,Instruções!$F$6:$J$10,4,0)&amp;" as "&amp;VLOOKUP(B74,Instruções!$F$6:$J$10,4,0)&amp;"_as_is, "&amp;E74&amp;" as "&amp;F74&amp;" FROM "&amp;C74&amp;" WHERE "&amp;Instruções!$D$11&amp;") A ",
"(SELECT "&amp;VLOOKUP(B74,Instruções!$F$6:$J$10,4,0)&amp;" as "&amp;VLOOKUP(B74,Instruções!$F$6:$J$10,4,0)&amp;"_as_is, "&amp;VLOOKUP(B74,Instruções!$F$6:$J$10,5,0)&amp;" as "&amp;VLOOKUP(B74,Instruções!$F$6:$J$10,5,0)&amp;"_as_is,"&amp;E74&amp;" as "&amp;F74&amp;" FROM "&amp;C74&amp;" WHERE "&amp;Instruções!$D$11&amp;") A ")</f>
        <v xml:space="preserve">(SELECT entty_id as entty_id_as_is, lvrg as lvrg_as_is FROM cd_loan_tapes_bce.lt003_entity WHERE ref_date='2025-06-30' AND nome_perimetro= 'Individual IDComb' AND segmento= 'ESTR' AND ambito= 'PM' AND entidade='00100' AND cod_visao = 1) A </v>
      </c>
      <c r="I74" s="17" t="str">
        <f>IF(VLOOKUP(B74,Instruções!$F$6:$J$10,5,0)="",
"(SELECT "&amp;VLOOKUP(B74,Instruções!$F$6:$J$10,4,0)&amp;" as "&amp;VLOOKUP(B74,Instruções!$F$6:$J$10,4,0)&amp;"_to_be, "&amp;E74&amp;" as "&amp;G74&amp;" FROM "&amp;D74&amp;" WHERE "&amp;Instruções!$D$11&amp;") B ",
"(SELECT "&amp;VLOOKUP(B74,Instruções!$F$6:$J$10,4,0)&amp;" as "&amp;VLOOKUP(B74,Instruções!$F$6:$J$10,4,0)&amp;"_to_be, "&amp;VLOOKUP(B74,Instruções!$F$6:$J$10,5,0)&amp;" as "&amp;VLOOKUP(B74,Instruções!$F$6:$J$10,5,0)&amp;"_to_be,"&amp;E74&amp;" as "&amp;G74&amp;" FROM "&amp;D74&amp;" WHERE "&amp;Instruções!$D$11&amp;") B ")</f>
        <v xml:space="preserve">(SELECT entty_id as entty_id_to_be, lvrg as lvrg_to_be FROM bu_loantape_work.lt003_entity WHERE ref_date='2025-06-30' AND nome_perimetro= 'Individual IDComb' AND segmento= 'ESTR' AND ambito= 'PM' AND entidade='00100' AND cod_visao = 1) B </v>
      </c>
      <c r="J74" s="17" t="str">
        <f>IF(VLOOKUP(B74,Instruções!$F$6:$J$10,5,0)="",
"ON "&amp;VLOOKUP(B74,Instruções!$F$6:$J$10,4,0)&amp;"_as_is = "&amp;VLOOKUP(B74,Instruções!$F$6:$J$10,4,0)&amp;"_to_be ",
"ON "&amp;VLOOKUP(B74,Instruções!$F$6:$J$10,4,0)&amp;"_as_is = "&amp;VLOOKUP(B74,Instruções!$F$6:$J$10,4,0)&amp;"_to_be AND "&amp;VLOOKUP(B74,Instruções!$F$6:$J$10,5,0)&amp;"_as_is = "&amp;VLOOKUP(B74,Instruções!$F$6:$J$10,5,0)&amp;"_to_be ")</f>
        <v xml:space="preserve">ON entty_id_as_is = entty_id_to_be </v>
      </c>
      <c r="K74" s="17" t="str">
        <f t="shared" si="15"/>
        <v xml:space="preserve">WHERE coalesce(cast(lvrg_as_is as string), '') &lt;&gt; coalesce(cast(lvrg_to_be as string), '') </v>
      </c>
      <c r="L74" s="17" t="str">
        <f t="shared" si="16"/>
        <v xml:space="preserve">SELECT count(*) AS NUM_REG_DIF FROM (SELECT entty_id as entty_id_as_is, lvrg as lvrg_as_is FROM cd_loan_tapes_bce.lt003_entity WHERE ref_date='2025-06-30' AND nome_perimetro= 'Individual IDComb' AND segmento= 'ESTR' AND ambito= 'PM' AND entidade='00100' AND cod_visao = 1) A  Inner join (SELECT entty_id as entty_id_to_be, lvrg as lvrg_to_be FROM bu_loantape_work.lt003_entity WHERE ref_date='2025-06-30' AND nome_perimetro= 'Individual IDComb' AND segmento= 'ESTR' AND ambito= 'PM' AND entidade='00100' AND cod_visao = 1) B ON entty_id_as_is = entty_id_to_be WHERE coalesce(cast(lvrg_as_is as string), '') &lt;&gt; coalesce(cast(lvrg_to_be as string), '') </v>
      </c>
      <c r="M74" s="17" t="s">
        <v>48</v>
      </c>
      <c r="N74" s="17" t="str">
        <f>"SELECT 'Validação de campos' as tipologia_teste, '"&amp;VLOOKUP(B74,Instruções!$F$6:$J$10,3,0)&amp;"' AS TABELA, '"&amp;E74&amp;"' AS CAMPO, '"&amp;Instruções!$D$7&amp;"' as ref_date, coalesce(NUM_REG_DIF, 0) AS NUM_REG_DIF FROM ("&amp;L74&amp;") A "</f>
        <v xml:space="preserve">SELECT 'Validação de campos' as tipologia_teste, 'lt003_entity' AS TABELA, 'lvrg' AS CAMPO, '2025-06-30' as ref_date, coalesce(NUM_REG_DIF, 0) AS NUM_REG_DIF FROM (SELECT count(*) AS NUM_REG_DIF FROM (SELECT entty_id as entty_id_as_is, lvrg as lvrg_as_is FROM cd_loan_tapes_bce.lt003_entity WHERE ref_date='2025-06-30' AND nome_perimetro= 'Individual IDComb' AND segmento= 'ESTR' AND ambito= 'PM' AND entidade='00100' AND cod_visao = 1) A  Inner join (SELECT entty_id as entty_id_to_be, lvrg as lvrg_to_be FROM bu_loantape_work.lt003_entity WHERE ref_date='2025-06-30' AND nome_perimetro= 'Individual IDComb' AND segmento= 'ESTR' AND ambito= 'PM' AND entidade='00100' AND cod_visao = 1) B ON entty_id_as_is = entty_id_to_be WHERE coalesce(cast(lvrg_as_is as string), '') &lt;&gt; coalesce(cast(lvrg_to_be as string), '') ) A </v>
      </c>
      <c r="O74" s="19" t="str">
        <f t="shared" si="12"/>
        <v>SELECT 'Validação de campos' as tipologia_teste, 'lt003_entity' AS TABELA, 'lvrg' AS CAMPO, '2025-06-30' as ref_date, coalesce(NUM_REG_DIF, 0) AS NUM_REG_DIF FROM (SELECT count(*) AS NUM_REG_DIF FROM (SELECT entty_id as entty_id_as_is, lvrg as lvrg_as_is FROM cd_loan_tapes_bce.lt003_entity WHERE ref_date='2025-06-30' AND nome_perimetro= 'Individual IDComb' AND segmento= 'ESTR' AND ambito= 'PM' AND entidade='00100' AND cod_visao = 1) A  Inner join (SELECT entty_id as entty_id_to_be, lvrg as lvrg_to_be FROM bu_loantape_work.lt003_entity WHERE ref_date='2025-06-30' AND nome_perimetro= 'Individual IDComb' AND segmento= 'ESTR' AND ambito= 'PM' AND entidade='00100' AND cod_visao = 1) B ON entty_id_as_is = entty_id_to_be WHERE coalesce(cast(lvrg_as_is as string), '') &lt;&gt; coalesce(cast(lvrg_to_be as string), '') ) A UNION ALL</v>
      </c>
      <c r="P74" s="17">
        <f t="shared" si="17"/>
        <v>20</v>
      </c>
    </row>
    <row r="75" spans="2:16" s="15" customFormat="1" ht="11.5" x14ac:dyDescent="0.25">
      <c r="B75" s="17" t="s">
        <v>11</v>
      </c>
      <c r="C75" s="17" t="str">
        <f>_xlfn.CONCAT(Instruções!$D$5,".",VLOOKUP(B75,Instruções!$F$5:$H$10,2,0))</f>
        <v>cd_loan_tapes_bce.lt003_entity</v>
      </c>
      <c r="D75" s="17" t="str">
        <f>_xlfn.CONCAT(Instruções!$D$6,".",VLOOKUP(B75,Instruções!$F$5:$H$10,3,0))</f>
        <v>bu_loantape_work.lt003_entity</v>
      </c>
      <c r="E75" s="17" t="s">
        <v>118</v>
      </c>
      <c r="F75" s="17" t="str">
        <f t="shared" si="13"/>
        <v>lvrg_prvs_as_is</v>
      </c>
      <c r="G75" s="17" t="str">
        <f t="shared" si="14"/>
        <v>lvrg_prvs_to_be</v>
      </c>
      <c r="H75" s="17" t="str">
        <f>IF(VLOOKUP(B75,Instruções!$F$6:$J$10,5,0)="",
"(SELECT "&amp;VLOOKUP(B75,Instruções!$F$6:$J$10,4,0)&amp;" as "&amp;VLOOKUP(B75,Instruções!$F$6:$J$10,4,0)&amp;"_as_is, "&amp;E75&amp;" as "&amp;F75&amp;" FROM "&amp;C75&amp;" WHERE "&amp;Instruções!$D$11&amp;") A ",
"(SELECT "&amp;VLOOKUP(B75,Instruções!$F$6:$J$10,4,0)&amp;" as "&amp;VLOOKUP(B75,Instruções!$F$6:$J$10,4,0)&amp;"_as_is, "&amp;VLOOKUP(B75,Instruções!$F$6:$J$10,5,0)&amp;" as "&amp;VLOOKUP(B75,Instruções!$F$6:$J$10,5,0)&amp;"_as_is,"&amp;E75&amp;" as "&amp;F75&amp;" FROM "&amp;C75&amp;" WHERE "&amp;Instruções!$D$11&amp;") A ")</f>
        <v xml:space="preserve">(SELECT entty_id as entty_id_as_is, lvrg_prvs as lvrg_prvs_as_is FROM cd_loan_tapes_bce.lt003_entity WHERE ref_date='2025-06-30' AND nome_perimetro= 'Individual IDComb' AND segmento= 'ESTR' AND ambito= 'PM' AND entidade='00100' AND cod_visao = 1) A </v>
      </c>
      <c r="I75" s="17" t="str">
        <f>IF(VLOOKUP(B75,Instruções!$F$6:$J$10,5,0)="",
"(SELECT "&amp;VLOOKUP(B75,Instruções!$F$6:$J$10,4,0)&amp;" as "&amp;VLOOKUP(B75,Instruções!$F$6:$J$10,4,0)&amp;"_to_be, "&amp;E75&amp;" as "&amp;G75&amp;" FROM "&amp;D75&amp;" WHERE "&amp;Instruções!$D$11&amp;") B ",
"(SELECT "&amp;VLOOKUP(B75,Instruções!$F$6:$J$10,4,0)&amp;" as "&amp;VLOOKUP(B75,Instruções!$F$6:$J$10,4,0)&amp;"_to_be, "&amp;VLOOKUP(B75,Instruções!$F$6:$J$10,5,0)&amp;" as "&amp;VLOOKUP(B75,Instruções!$F$6:$J$10,5,0)&amp;"_to_be,"&amp;E75&amp;" as "&amp;G75&amp;" FROM "&amp;D75&amp;" WHERE "&amp;Instruções!$D$11&amp;") B ")</f>
        <v xml:space="preserve">(SELECT entty_id as entty_id_to_be, lvrg_prvs as lvrg_prvs_to_be FROM bu_loantape_work.lt003_entity WHERE ref_date='2025-06-30' AND nome_perimetro= 'Individual IDComb' AND segmento= 'ESTR' AND ambito= 'PM' AND entidade='00100' AND cod_visao = 1) B </v>
      </c>
      <c r="J75" s="17" t="str">
        <f>IF(VLOOKUP(B75,Instruções!$F$6:$J$10,5,0)="",
"ON "&amp;VLOOKUP(B75,Instruções!$F$6:$J$10,4,0)&amp;"_as_is = "&amp;VLOOKUP(B75,Instruções!$F$6:$J$10,4,0)&amp;"_to_be ",
"ON "&amp;VLOOKUP(B75,Instruções!$F$6:$J$10,4,0)&amp;"_as_is = "&amp;VLOOKUP(B75,Instruções!$F$6:$J$10,4,0)&amp;"_to_be AND "&amp;VLOOKUP(B75,Instruções!$F$6:$J$10,5,0)&amp;"_as_is = "&amp;VLOOKUP(B75,Instruções!$F$6:$J$10,5,0)&amp;"_to_be ")</f>
        <v xml:space="preserve">ON entty_id_as_is = entty_id_to_be </v>
      </c>
      <c r="K75" s="17" t="str">
        <f t="shared" si="15"/>
        <v xml:space="preserve">WHERE coalesce(cast(lvrg_prvs_as_is as string), '') &lt;&gt; coalesce(cast(lvrg_prvs_to_be as string), '') </v>
      </c>
      <c r="L75" s="17" t="str">
        <f t="shared" si="16"/>
        <v xml:space="preserve">SELECT count(*) AS NUM_REG_DIF FROM (SELECT entty_id as entty_id_as_is, lvrg_prvs as lvrg_prvs_as_is FROM cd_loan_tapes_bce.lt003_entity WHERE ref_date='2025-06-30' AND nome_perimetro= 'Individual IDComb' AND segmento= 'ESTR' AND ambito= 'PM' AND entidade='00100' AND cod_visao = 1) A  Inner join (SELECT entty_id as entty_id_to_be, lvrg_prvs as lvrg_prvs_to_be FROM bu_loantape_work.lt003_entity WHERE ref_date='2025-06-30' AND nome_perimetro= 'Individual IDComb' AND segmento= 'ESTR' AND ambito= 'PM' AND entidade='00100' AND cod_visao = 1) B ON entty_id_as_is = entty_id_to_be WHERE coalesce(cast(lvrg_prvs_as_is as string), '') &lt;&gt; coalesce(cast(lvrg_prvs_to_be as string), '') </v>
      </c>
      <c r="M75" s="17" t="s">
        <v>48</v>
      </c>
      <c r="N75" s="17" t="str">
        <f>"SELECT 'Validação de campos' as tipologia_teste, '"&amp;VLOOKUP(B75,Instruções!$F$6:$J$10,3,0)&amp;"' AS TABELA, '"&amp;E75&amp;"' AS CAMPO, '"&amp;Instruções!$D$7&amp;"' as ref_date, coalesce(NUM_REG_DIF, 0) AS NUM_REG_DIF FROM ("&amp;L75&amp;") A "</f>
        <v xml:space="preserve">SELECT 'Validação de campos' as tipologia_teste, 'lt003_entity' AS TABELA, 'lvrg_prvs' AS CAMPO, '2025-06-30' as ref_date, coalesce(NUM_REG_DIF, 0) AS NUM_REG_DIF FROM (SELECT count(*) AS NUM_REG_DIF FROM (SELECT entty_id as entty_id_as_is, lvrg_prvs as lvrg_prvs_as_is FROM cd_loan_tapes_bce.lt003_entity WHERE ref_date='2025-06-30' AND nome_perimetro= 'Individual IDComb' AND segmento= 'ESTR' AND ambito= 'PM' AND entidade='00100' AND cod_visao = 1) A  Inner join (SELECT entty_id as entty_id_to_be, lvrg_prvs as lvrg_prvs_to_be FROM bu_loantape_work.lt003_entity WHERE ref_date='2025-06-30' AND nome_perimetro= 'Individual IDComb' AND segmento= 'ESTR' AND ambito= 'PM' AND entidade='00100' AND cod_visao = 1) B ON entty_id_as_is = entty_id_to_be WHERE coalesce(cast(lvrg_prvs_as_is as string), '') &lt;&gt; coalesce(cast(lvrg_prvs_to_be as string), '') ) A </v>
      </c>
      <c r="O75" s="19" t="str">
        <f t="shared" si="12"/>
        <v>SELECT 'Validação de campos' as tipologia_teste, 'lt003_entity' AS TABELA, 'lvrg_prvs' AS CAMPO, '2025-06-30' as ref_date, coalesce(NUM_REG_DIF, 0) AS NUM_REG_DIF FROM (SELECT count(*) AS NUM_REG_DIF FROM (SELECT entty_id as entty_id_as_is, lvrg_prvs as lvrg_prvs_as_is FROM cd_loan_tapes_bce.lt003_entity WHERE ref_date='2025-06-30' AND nome_perimetro= 'Individual IDComb' AND segmento= 'ESTR' AND ambito= 'PM' AND entidade='00100' AND cod_visao = 1) A  Inner join (SELECT entty_id as entty_id_to_be, lvrg_prvs as lvrg_prvs_to_be FROM bu_loantape_work.lt003_entity WHERE ref_date='2025-06-30' AND nome_perimetro= 'Individual IDComb' AND segmento= 'ESTR' AND ambito= 'PM' AND entidade='00100' AND cod_visao = 1) B ON entty_id_as_is = entty_id_to_be WHERE coalesce(cast(lvrg_prvs_as_is as string), '') &lt;&gt; coalesce(cast(lvrg_prvs_to_be as string), '') ) A UNION ALL</v>
      </c>
      <c r="P75" s="17">
        <f t="shared" si="17"/>
        <v>21</v>
      </c>
    </row>
    <row r="76" spans="2:16" s="15" customFormat="1" ht="11.5" x14ac:dyDescent="0.25">
      <c r="B76" s="17" t="s">
        <v>11</v>
      </c>
      <c r="C76" s="17" t="str">
        <f>_xlfn.CONCAT(Instruções!$D$5,".",VLOOKUP(B76,Instruções!$F$5:$H$10,2,0))</f>
        <v>cd_loan_tapes_bce.lt003_entity</v>
      </c>
      <c r="D76" s="17" t="str">
        <f>_xlfn.CONCAT(Instruções!$D$6,".",VLOOKUP(B76,Instruções!$F$5:$H$10,3,0))</f>
        <v>bu_loantape_work.lt003_entity</v>
      </c>
      <c r="E76" s="17" t="s">
        <v>119</v>
      </c>
      <c r="F76" s="17" t="str">
        <f t="shared" si="13"/>
        <v>mnthl_incm_as_is</v>
      </c>
      <c r="G76" s="17" t="str">
        <f t="shared" si="14"/>
        <v>mnthl_incm_to_be</v>
      </c>
      <c r="H76" s="17" t="str">
        <f>IF(VLOOKUP(B76,Instruções!$F$6:$J$10,5,0)="",
"(SELECT "&amp;VLOOKUP(B76,Instruções!$F$6:$J$10,4,0)&amp;" as "&amp;VLOOKUP(B76,Instruções!$F$6:$J$10,4,0)&amp;"_as_is, "&amp;E76&amp;" as "&amp;F76&amp;" FROM "&amp;C76&amp;" WHERE "&amp;Instruções!$D$11&amp;") A ",
"(SELECT "&amp;VLOOKUP(B76,Instruções!$F$6:$J$10,4,0)&amp;" as "&amp;VLOOKUP(B76,Instruções!$F$6:$J$10,4,0)&amp;"_as_is, "&amp;VLOOKUP(B76,Instruções!$F$6:$J$10,5,0)&amp;" as "&amp;VLOOKUP(B76,Instruções!$F$6:$J$10,5,0)&amp;"_as_is,"&amp;E76&amp;" as "&amp;F76&amp;" FROM "&amp;C76&amp;" WHERE "&amp;Instruções!$D$11&amp;") A ")</f>
        <v xml:space="preserve">(SELECT entty_id as entty_id_as_is, mnthl_incm as mnthl_incm_as_is FROM cd_loan_tapes_bce.lt003_entity WHERE ref_date='2025-06-30' AND nome_perimetro= 'Individual IDComb' AND segmento= 'ESTR' AND ambito= 'PM' AND entidade='00100' AND cod_visao = 1) A </v>
      </c>
      <c r="I76" s="17" t="str">
        <f>IF(VLOOKUP(B76,Instruções!$F$6:$J$10,5,0)="",
"(SELECT "&amp;VLOOKUP(B76,Instruções!$F$6:$J$10,4,0)&amp;" as "&amp;VLOOKUP(B76,Instruções!$F$6:$J$10,4,0)&amp;"_to_be, "&amp;E76&amp;" as "&amp;G76&amp;" FROM "&amp;D76&amp;" WHERE "&amp;Instruções!$D$11&amp;") B ",
"(SELECT "&amp;VLOOKUP(B76,Instruções!$F$6:$J$10,4,0)&amp;" as "&amp;VLOOKUP(B76,Instruções!$F$6:$J$10,4,0)&amp;"_to_be, "&amp;VLOOKUP(B76,Instruções!$F$6:$J$10,5,0)&amp;" as "&amp;VLOOKUP(B76,Instruções!$F$6:$J$10,5,0)&amp;"_to_be,"&amp;E76&amp;" as "&amp;G76&amp;" FROM "&amp;D76&amp;" WHERE "&amp;Instruções!$D$11&amp;") B ")</f>
        <v xml:space="preserve">(SELECT entty_id as entty_id_to_be, mnthl_incm as mnthl_incm_to_be FROM bu_loantape_work.lt003_entity WHERE ref_date='2025-06-30' AND nome_perimetro= 'Individual IDComb' AND segmento= 'ESTR' AND ambito= 'PM' AND entidade='00100' AND cod_visao = 1) B </v>
      </c>
      <c r="J76" s="17" t="str">
        <f>IF(VLOOKUP(B76,Instruções!$F$6:$J$10,5,0)="",
"ON "&amp;VLOOKUP(B76,Instruções!$F$6:$J$10,4,0)&amp;"_as_is = "&amp;VLOOKUP(B76,Instruções!$F$6:$J$10,4,0)&amp;"_to_be ",
"ON "&amp;VLOOKUP(B76,Instruções!$F$6:$J$10,4,0)&amp;"_as_is = "&amp;VLOOKUP(B76,Instruções!$F$6:$J$10,4,0)&amp;"_to_be AND "&amp;VLOOKUP(B76,Instruções!$F$6:$J$10,5,0)&amp;"_as_is = "&amp;VLOOKUP(B76,Instruções!$F$6:$J$10,5,0)&amp;"_to_be ")</f>
        <v xml:space="preserve">ON entty_id_as_is = entty_id_to_be </v>
      </c>
      <c r="K76" s="17" t="str">
        <f t="shared" si="15"/>
        <v xml:space="preserve">WHERE coalesce(cast(mnthl_incm_as_is as string), '') &lt;&gt; coalesce(cast(mnthl_incm_to_be as string), '') </v>
      </c>
      <c r="L76" s="17" t="str">
        <f t="shared" si="16"/>
        <v xml:space="preserve">SELECT count(*) AS NUM_REG_DIF FROM (SELECT entty_id as entty_id_as_is, mnthl_incm as mnthl_incm_as_is FROM cd_loan_tapes_bce.lt003_entity WHERE ref_date='2025-06-30' AND nome_perimetro= 'Individual IDComb' AND segmento= 'ESTR' AND ambito= 'PM' AND entidade='00100' AND cod_visao = 1) A  Inner join (SELECT entty_id as entty_id_to_be, mnthl_incm as mnthl_incm_to_be FROM bu_loantape_work.lt003_entity WHERE ref_date='2025-06-30' AND nome_perimetro= 'Individual IDComb' AND segmento= 'ESTR' AND ambito= 'PM' AND entidade='00100' AND cod_visao = 1) B ON entty_id_as_is = entty_id_to_be WHERE coalesce(cast(mnthl_incm_as_is as string), '') &lt;&gt; coalesce(cast(mnthl_incm_to_be as string), '') </v>
      </c>
      <c r="M76" s="17" t="s">
        <v>48</v>
      </c>
      <c r="N76" s="17" t="str">
        <f>"SELECT 'Validação de campos' as tipologia_teste, '"&amp;VLOOKUP(B76,Instruções!$F$6:$J$10,3,0)&amp;"' AS TABELA, '"&amp;E76&amp;"' AS CAMPO, '"&amp;Instruções!$D$7&amp;"' as ref_date, coalesce(NUM_REG_DIF, 0) AS NUM_REG_DIF FROM ("&amp;L76&amp;") A "</f>
        <v xml:space="preserve">SELECT 'Validação de campos' as tipologia_teste, 'lt003_entity' AS TABELA, 'mnthl_incm' AS CAMPO, '2025-06-30' as ref_date, coalesce(NUM_REG_DIF, 0) AS NUM_REG_DIF FROM (SELECT count(*) AS NUM_REG_DIF FROM (SELECT entty_id as entty_id_as_is, mnthl_incm as mnthl_incm_as_is FROM cd_loan_tapes_bce.lt003_entity WHERE ref_date='2025-06-30' AND nome_perimetro= 'Individual IDComb' AND segmento= 'ESTR' AND ambito= 'PM' AND entidade='00100' AND cod_visao = 1) A  Inner join (SELECT entty_id as entty_id_to_be, mnthl_incm as mnthl_incm_to_be FROM bu_loantape_work.lt003_entity WHERE ref_date='2025-06-30' AND nome_perimetro= 'Individual IDComb' AND segmento= 'ESTR' AND ambito= 'PM' AND entidade='00100' AND cod_visao = 1) B ON entty_id_as_is = entty_id_to_be WHERE coalesce(cast(mnthl_incm_as_is as string), '') &lt;&gt; coalesce(cast(mnthl_incm_to_be as string), '') ) A </v>
      </c>
      <c r="O76" s="19" t="str">
        <f t="shared" si="12"/>
        <v>SELECT 'Validação de campos' as tipologia_teste, 'lt003_entity' AS TABELA, 'mnthl_incm' AS CAMPO, '2025-06-30' as ref_date, coalesce(NUM_REG_DIF, 0) AS NUM_REG_DIF FROM (SELECT count(*) AS NUM_REG_DIF FROM (SELECT entty_id as entty_id_as_is, mnthl_incm as mnthl_incm_as_is FROM cd_loan_tapes_bce.lt003_entity WHERE ref_date='2025-06-30' AND nome_perimetro= 'Individual IDComb' AND segmento= 'ESTR' AND ambito= 'PM' AND entidade='00100' AND cod_visao = 1) A  Inner join (SELECT entty_id as entty_id_to_be, mnthl_incm as mnthl_incm_to_be FROM bu_loantape_work.lt003_entity WHERE ref_date='2025-06-30' AND nome_perimetro= 'Individual IDComb' AND segmento= 'ESTR' AND ambito= 'PM' AND entidade='00100' AND cod_visao = 1) B ON entty_id_as_is = entty_id_to_be WHERE coalesce(cast(mnthl_incm_as_is as string), '') &lt;&gt; coalesce(cast(mnthl_incm_to_be as string), '') ) A UNION ALL</v>
      </c>
      <c r="P76" s="17">
        <f t="shared" si="17"/>
        <v>22</v>
      </c>
    </row>
    <row r="77" spans="2:16" s="15" customFormat="1" ht="11.5" x14ac:dyDescent="0.25">
      <c r="B77" s="17" t="s">
        <v>11</v>
      </c>
      <c r="C77" s="17" t="str">
        <f>_xlfn.CONCAT(Instruções!$D$5,".",VLOOKUP(B77,Instruções!$F$5:$H$10,2,0))</f>
        <v>cd_loan_tapes_bce.lt003_entity</v>
      </c>
      <c r="D77" s="17" t="str">
        <f>_xlfn.CONCAT(Instruções!$D$6,".",VLOOKUP(B77,Instruções!$F$5:$H$10,3,0))</f>
        <v>bu_loantape_work.lt003_entity</v>
      </c>
      <c r="E77" s="17" t="s">
        <v>120</v>
      </c>
      <c r="F77" s="17" t="str">
        <f t="shared" si="13"/>
        <v>mnthl_incm_slr_as_is</v>
      </c>
      <c r="G77" s="17" t="str">
        <f t="shared" si="14"/>
        <v>mnthl_incm_slr_to_be</v>
      </c>
      <c r="H77" s="17" t="str">
        <f>IF(VLOOKUP(B77,Instruções!$F$6:$J$10,5,0)="",
"(SELECT "&amp;VLOOKUP(B77,Instruções!$F$6:$J$10,4,0)&amp;" as "&amp;VLOOKUP(B77,Instruções!$F$6:$J$10,4,0)&amp;"_as_is, "&amp;E77&amp;" as "&amp;F77&amp;" FROM "&amp;C77&amp;" WHERE "&amp;Instruções!$D$11&amp;") A ",
"(SELECT "&amp;VLOOKUP(B77,Instruções!$F$6:$J$10,4,0)&amp;" as "&amp;VLOOKUP(B77,Instruções!$F$6:$J$10,4,0)&amp;"_as_is, "&amp;VLOOKUP(B77,Instruções!$F$6:$J$10,5,0)&amp;" as "&amp;VLOOKUP(B77,Instruções!$F$6:$J$10,5,0)&amp;"_as_is,"&amp;E77&amp;" as "&amp;F77&amp;" FROM "&amp;C77&amp;" WHERE "&amp;Instruções!$D$11&amp;") A ")</f>
        <v xml:space="preserve">(SELECT entty_id as entty_id_as_is, mnthl_incm_slr as mnthl_incm_slr_as_is FROM cd_loan_tapes_bce.lt003_entity WHERE ref_date='2025-06-30' AND nome_perimetro= 'Individual IDComb' AND segmento= 'ESTR' AND ambito= 'PM' AND entidade='00100' AND cod_visao = 1) A </v>
      </c>
      <c r="I77" s="17" t="str">
        <f>IF(VLOOKUP(B77,Instruções!$F$6:$J$10,5,0)="",
"(SELECT "&amp;VLOOKUP(B77,Instruções!$F$6:$J$10,4,0)&amp;" as "&amp;VLOOKUP(B77,Instruções!$F$6:$J$10,4,0)&amp;"_to_be, "&amp;E77&amp;" as "&amp;G77&amp;" FROM "&amp;D77&amp;" WHERE "&amp;Instruções!$D$11&amp;") B ",
"(SELECT "&amp;VLOOKUP(B77,Instruções!$F$6:$J$10,4,0)&amp;" as "&amp;VLOOKUP(B77,Instruções!$F$6:$J$10,4,0)&amp;"_to_be, "&amp;VLOOKUP(B77,Instruções!$F$6:$J$10,5,0)&amp;" as "&amp;VLOOKUP(B77,Instruções!$F$6:$J$10,5,0)&amp;"_to_be,"&amp;E77&amp;" as "&amp;G77&amp;" FROM "&amp;D77&amp;" WHERE "&amp;Instruções!$D$11&amp;") B ")</f>
        <v xml:space="preserve">(SELECT entty_id as entty_id_to_be, mnthl_incm_slr as mnthl_incm_slr_to_be FROM bu_loantape_work.lt003_entity WHERE ref_date='2025-06-30' AND nome_perimetro= 'Individual IDComb' AND segmento= 'ESTR' AND ambito= 'PM' AND entidade='00100' AND cod_visao = 1) B </v>
      </c>
      <c r="J77" s="17" t="str">
        <f>IF(VLOOKUP(B77,Instruções!$F$6:$J$10,5,0)="",
"ON "&amp;VLOOKUP(B77,Instruções!$F$6:$J$10,4,0)&amp;"_as_is = "&amp;VLOOKUP(B77,Instruções!$F$6:$J$10,4,0)&amp;"_to_be ",
"ON "&amp;VLOOKUP(B77,Instruções!$F$6:$J$10,4,0)&amp;"_as_is = "&amp;VLOOKUP(B77,Instruções!$F$6:$J$10,4,0)&amp;"_to_be AND "&amp;VLOOKUP(B77,Instruções!$F$6:$J$10,5,0)&amp;"_as_is = "&amp;VLOOKUP(B77,Instruções!$F$6:$J$10,5,0)&amp;"_to_be ")</f>
        <v xml:space="preserve">ON entty_id_as_is = entty_id_to_be </v>
      </c>
      <c r="K77" s="17" t="str">
        <f t="shared" si="15"/>
        <v xml:space="preserve">WHERE coalesce(cast(mnthl_incm_slr_as_is as string), '') &lt;&gt; coalesce(cast(mnthl_incm_slr_to_be as string), '') </v>
      </c>
      <c r="L77" s="17" t="str">
        <f t="shared" si="16"/>
        <v xml:space="preserve">SELECT count(*) AS NUM_REG_DIF FROM (SELECT entty_id as entty_id_as_is, mnthl_incm_slr as mnthl_incm_slr_as_is FROM cd_loan_tapes_bce.lt003_entity WHERE ref_date='2025-06-30' AND nome_perimetro= 'Individual IDComb' AND segmento= 'ESTR' AND ambito= 'PM' AND entidade='00100' AND cod_visao = 1) A  Inner join (SELECT entty_id as entty_id_to_be, mnthl_incm_slr as mnthl_incm_slr_to_be FROM bu_loantape_work.lt003_entity WHERE ref_date='2025-06-30' AND nome_perimetro= 'Individual IDComb' AND segmento= 'ESTR' AND ambito= 'PM' AND entidade='00100' AND cod_visao = 1) B ON entty_id_as_is = entty_id_to_be WHERE coalesce(cast(mnthl_incm_slr_as_is as string), '') &lt;&gt; coalesce(cast(mnthl_incm_slr_to_be as string), '') </v>
      </c>
      <c r="M77" s="17" t="s">
        <v>48</v>
      </c>
      <c r="N77" s="17" t="str">
        <f>"SELECT 'Validação de campos' as tipologia_teste, '"&amp;VLOOKUP(B77,Instruções!$F$6:$J$10,3,0)&amp;"' AS TABELA, '"&amp;E77&amp;"' AS CAMPO, '"&amp;Instruções!$D$7&amp;"' as ref_date, coalesce(NUM_REG_DIF, 0) AS NUM_REG_DIF FROM ("&amp;L77&amp;") A "</f>
        <v xml:space="preserve">SELECT 'Validação de campos' as tipologia_teste, 'lt003_entity' AS TABELA, 'mnthl_incm_slr' AS CAMPO, '2025-06-30' as ref_date, coalesce(NUM_REG_DIF, 0) AS NUM_REG_DIF FROM (SELECT count(*) AS NUM_REG_DIF FROM (SELECT entty_id as entty_id_as_is, mnthl_incm_slr as mnthl_incm_slr_as_is FROM cd_loan_tapes_bce.lt003_entity WHERE ref_date='2025-06-30' AND nome_perimetro= 'Individual IDComb' AND segmento= 'ESTR' AND ambito= 'PM' AND entidade='00100' AND cod_visao = 1) A  Inner join (SELECT entty_id as entty_id_to_be, mnthl_incm_slr as mnthl_incm_slr_to_be FROM bu_loantape_work.lt003_entity WHERE ref_date='2025-06-30' AND nome_perimetro= 'Individual IDComb' AND segmento= 'ESTR' AND ambito= 'PM' AND entidade='00100' AND cod_visao = 1) B ON entty_id_as_is = entty_id_to_be WHERE coalesce(cast(mnthl_incm_slr_as_is as string), '') &lt;&gt; coalesce(cast(mnthl_incm_slr_to_be as string), '') ) A </v>
      </c>
      <c r="O77" s="19" t="str">
        <f t="shared" si="12"/>
        <v>SELECT 'Validação de campos' as tipologia_teste, 'lt003_entity' AS TABELA, 'mnthl_incm_slr' AS CAMPO, '2025-06-30' as ref_date, coalesce(NUM_REG_DIF, 0) AS NUM_REG_DIF FROM (SELECT count(*) AS NUM_REG_DIF FROM (SELECT entty_id as entty_id_as_is, mnthl_incm_slr as mnthl_incm_slr_as_is FROM cd_loan_tapes_bce.lt003_entity WHERE ref_date='2025-06-30' AND nome_perimetro= 'Individual IDComb' AND segmento= 'ESTR' AND ambito= 'PM' AND entidade='00100' AND cod_visao = 1) A  Inner join (SELECT entty_id as entty_id_to_be, mnthl_incm_slr as mnthl_incm_slr_to_be FROM bu_loantape_work.lt003_entity WHERE ref_date='2025-06-30' AND nome_perimetro= 'Individual IDComb' AND segmento= 'ESTR' AND ambito= 'PM' AND entidade='00100' AND cod_visao = 1) B ON entty_id_as_is = entty_id_to_be WHERE coalesce(cast(mnthl_incm_slr_as_is as string), '') &lt;&gt; coalesce(cast(mnthl_incm_slr_to_be as string), '') ) A UNION ALL</v>
      </c>
      <c r="P77" s="17">
        <f t="shared" si="17"/>
        <v>23</v>
      </c>
    </row>
    <row r="78" spans="2:16" s="15" customFormat="1" ht="11.5" x14ac:dyDescent="0.25">
      <c r="B78" s="17" t="s">
        <v>11</v>
      </c>
      <c r="C78" s="17" t="str">
        <f>_xlfn.CONCAT(Instruções!$D$5,".",VLOOKUP(B78,Instruções!$F$5:$H$10,2,0))</f>
        <v>cd_loan_tapes_bce.lt003_entity</v>
      </c>
      <c r="D78" s="17" t="str">
        <f>_xlfn.CONCAT(Instruções!$D$6,".",VLOOKUP(B78,Instruções!$F$5:$H$10,3,0))</f>
        <v>bu_loantape_work.lt003_entity</v>
      </c>
      <c r="E78" s="17" t="s">
        <v>121</v>
      </c>
      <c r="F78" s="17" t="str">
        <f t="shared" si="13"/>
        <v>mnthl_trnvr_as_is</v>
      </c>
      <c r="G78" s="17" t="str">
        <f t="shared" si="14"/>
        <v>mnthl_trnvr_to_be</v>
      </c>
      <c r="H78" s="17" t="str">
        <f>IF(VLOOKUP(B78,Instruções!$F$6:$J$10,5,0)="",
"(SELECT "&amp;VLOOKUP(B78,Instruções!$F$6:$J$10,4,0)&amp;" as "&amp;VLOOKUP(B78,Instruções!$F$6:$J$10,4,0)&amp;"_as_is, "&amp;E78&amp;" as "&amp;F78&amp;" FROM "&amp;C78&amp;" WHERE "&amp;Instruções!$D$11&amp;") A ",
"(SELECT "&amp;VLOOKUP(B78,Instruções!$F$6:$J$10,4,0)&amp;" as "&amp;VLOOKUP(B78,Instruções!$F$6:$J$10,4,0)&amp;"_as_is, "&amp;VLOOKUP(B78,Instruções!$F$6:$J$10,5,0)&amp;" as "&amp;VLOOKUP(B78,Instruções!$F$6:$J$10,5,0)&amp;"_as_is,"&amp;E78&amp;" as "&amp;F78&amp;" FROM "&amp;C78&amp;" WHERE "&amp;Instruções!$D$11&amp;") A ")</f>
        <v xml:space="preserve">(SELECT entty_id as entty_id_as_is, mnthl_trnvr as mnthl_trnvr_as_is FROM cd_loan_tapes_bce.lt003_entity WHERE ref_date='2025-06-30' AND nome_perimetro= 'Individual IDComb' AND segmento= 'ESTR' AND ambito= 'PM' AND entidade='00100' AND cod_visao = 1) A </v>
      </c>
      <c r="I78" s="17" t="str">
        <f>IF(VLOOKUP(B78,Instruções!$F$6:$J$10,5,0)="",
"(SELECT "&amp;VLOOKUP(B78,Instruções!$F$6:$J$10,4,0)&amp;" as "&amp;VLOOKUP(B78,Instruções!$F$6:$J$10,4,0)&amp;"_to_be, "&amp;E78&amp;" as "&amp;G78&amp;" FROM "&amp;D78&amp;" WHERE "&amp;Instruções!$D$11&amp;") B ",
"(SELECT "&amp;VLOOKUP(B78,Instruções!$F$6:$J$10,4,0)&amp;" as "&amp;VLOOKUP(B78,Instruções!$F$6:$J$10,4,0)&amp;"_to_be, "&amp;VLOOKUP(B78,Instruções!$F$6:$J$10,5,0)&amp;" as "&amp;VLOOKUP(B78,Instruções!$F$6:$J$10,5,0)&amp;"_to_be,"&amp;E78&amp;" as "&amp;G78&amp;" FROM "&amp;D78&amp;" WHERE "&amp;Instruções!$D$11&amp;") B ")</f>
        <v xml:space="preserve">(SELECT entty_id as entty_id_to_be, mnthl_trnvr as mnthl_trnvr_to_be FROM bu_loantape_work.lt003_entity WHERE ref_date='2025-06-30' AND nome_perimetro= 'Individual IDComb' AND segmento= 'ESTR' AND ambito= 'PM' AND entidade='00100' AND cod_visao = 1) B </v>
      </c>
      <c r="J78" s="17" t="str">
        <f>IF(VLOOKUP(B78,Instruções!$F$6:$J$10,5,0)="",
"ON "&amp;VLOOKUP(B78,Instruções!$F$6:$J$10,4,0)&amp;"_as_is = "&amp;VLOOKUP(B78,Instruções!$F$6:$J$10,4,0)&amp;"_to_be ",
"ON "&amp;VLOOKUP(B78,Instruções!$F$6:$J$10,4,0)&amp;"_as_is = "&amp;VLOOKUP(B78,Instruções!$F$6:$J$10,4,0)&amp;"_to_be AND "&amp;VLOOKUP(B78,Instruções!$F$6:$J$10,5,0)&amp;"_as_is = "&amp;VLOOKUP(B78,Instruções!$F$6:$J$10,5,0)&amp;"_to_be ")</f>
        <v xml:space="preserve">ON entty_id_as_is = entty_id_to_be </v>
      </c>
      <c r="K78" s="17" t="str">
        <f t="shared" si="15"/>
        <v xml:space="preserve">WHERE coalesce(cast(mnthl_trnvr_as_is as string), '') &lt;&gt; coalesce(cast(mnthl_trnvr_to_be as string), '') </v>
      </c>
      <c r="L78" s="17" t="str">
        <f t="shared" si="16"/>
        <v xml:space="preserve">SELECT count(*) AS NUM_REG_DIF FROM (SELECT entty_id as entty_id_as_is, mnthl_trnvr as mnthl_trnvr_as_is FROM cd_loan_tapes_bce.lt003_entity WHERE ref_date='2025-06-30' AND nome_perimetro= 'Individual IDComb' AND segmento= 'ESTR' AND ambito= 'PM' AND entidade='00100' AND cod_visao = 1) A  Inner join (SELECT entty_id as entty_id_to_be, mnthl_trnvr as mnthl_trnvr_to_be FROM bu_loantape_work.lt003_entity WHERE ref_date='2025-06-30' AND nome_perimetro= 'Individual IDComb' AND segmento= 'ESTR' AND ambito= 'PM' AND entidade='00100' AND cod_visao = 1) B ON entty_id_as_is = entty_id_to_be WHERE coalesce(cast(mnthl_trnvr_as_is as string), '') &lt;&gt; coalesce(cast(mnthl_trnvr_to_be as string), '') </v>
      </c>
      <c r="M78" s="17" t="s">
        <v>48</v>
      </c>
      <c r="N78" s="17" t="str">
        <f>"SELECT 'Validação de campos' as tipologia_teste, '"&amp;VLOOKUP(B78,Instruções!$F$6:$J$10,3,0)&amp;"' AS TABELA, '"&amp;E78&amp;"' AS CAMPO, '"&amp;Instruções!$D$7&amp;"' as ref_date, coalesce(NUM_REG_DIF, 0) AS NUM_REG_DIF FROM ("&amp;L78&amp;") A "</f>
        <v xml:space="preserve">SELECT 'Validação de campos' as tipologia_teste, 'lt003_entity' AS TABELA, 'mnthl_trnvr' AS CAMPO, '2025-06-30' as ref_date, coalesce(NUM_REG_DIF, 0) AS NUM_REG_DIF FROM (SELECT count(*) AS NUM_REG_DIF FROM (SELECT entty_id as entty_id_as_is, mnthl_trnvr as mnthl_trnvr_as_is FROM cd_loan_tapes_bce.lt003_entity WHERE ref_date='2025-06-30' AND nome_perimetro= 'Individual IDComb' AND segmento= 'ESTR' AND ambito= 'PM' AND entidade='00100' AND cod_visao = 1) A  Inner join (SELECT entty_id as entty_id_to_be, mnthl_trnvr as mnthl_trnvr_to_be FROM bu_loantape_work.lt003_entity WHERE ref_date='2025-06-30' AND nome_perimetro= 'Individual IDComb' AND segmento= 'ESTR' AND ambito= 'PM' AND entidade='00100' AND cod_visao = 1) B ON entty_id_as_is = entty_id_to_be WHERE coalesce(cast(mnthl_trnvr_as_is as string), '') &lt;&gt; coalesce(cast(mnthl_trnvr_to_be as string), '') ) A </v>
      </c>
      <c r="O78" s="19" t="str">
        <f t="shared" si="12"/>
        <v>SELECT 'Validação de campos' as tipologia_teste, 'lt003_entity' AS TABELA, 'mnthl_trnvr' AS CAMPO, '2025-06-30' as ref_date, coalesce(NUM_REG_DIF, 0) AS NUM_REG_DIF FROM (SELECT count(*) AS NUM_REG_DIF FROM (SELECT entty_id as entty_id_as_is, mnthl_trnvr as mnthl_trnvr_as_is FROM cd_loan_tapes_bce.lt003_entity WHERE ref_date='2025-06-30' AND nome_perimetro= 'Individual IDComb' AND segmento= 'ESTR' AND ambito= 'PM' AND entidade='00100' AND cod_visao = 1) A  Inner join (SELECT entty_id as entty_id_to_be, mnthl_trnvr as mnthl_trnvr_to_be FROM bu_loantape_work.lt003_entity WHERE ref_date='2025-06-30' AND nome_perimetro= 'Individual IDComb' AND segmento= 'ESTR' AND ambito= 'PM' AND entidade='00100' AND cod_visao = 1) B ON entty_id_as_is = entty_id_to_be WHERE coalesce(cast(mnthl_trnvr_as_is as string), '') &lt;&gt; coalesce(cast(mnthl_trnvr_to_be as string), '') ) A UNION ALL</v>
      </c>
      <c r="P78" s="17">
        <f t="shared" si="17"/>
        <v>24</v>
      </c>
    </row>
    <row r="79" spans="2:16" s="15" customFormat="1" ht="11.5" x14ac:dyDescent="0.25">
      <c r="B79" s="17" t="s">
        <v>11</v>
      </c>
      <c r="C79" s="17" t="str">
        <f>_xlfn.CONCAT(Instruções!$D$5,".",VLOOKUP(B79,Instruções!$F$5:$H$10,2,0))</f>
        <v>cd_loan_tapes_bce.lt003_entity</v>
      </c>
      <c r="D79" s="17" t="str">
        <f>_xlfn.CONCAT(Instruções!$D$6,".",VLOOKUP(B79,Instruções!$F$5:$H$10,3,0))</f>
        <v>bu_loantape_work.lt003_entity</v>
      </c>
      <c r="E79" s="17" t="s">
        <v>122</v>
      </c>
      <c r="F79" s="17" t="str">
        <f t="shared" si="13"/>
        <v>nt_incm_as_is</v>
      </c>
      <c r="G79" s="17" t="str">
        <f t="shared" si="14"/>
        <v>nt_incm_to_be</v>
      </c>
      <c r="H79" s="17" t="str">
        <f>IF(VLOOKUP(B79,Instruções!$F$6:$J$10,5,0)="",
"(SELECT "&amp;VLOOKUP(B79,Instruções!$F$6:$J$10,4,0)&amp;" as "&amp;VLOOKUP(B79,Instruções!$F$6:$J$10,4,0)&amp;"_as_is, "&amp;E79&amp;" as "&amp;F79&amp;" FROM "&amp;C79&amp;" WHERE "&amp;Instruções!$D$11&amp;") A ",
"(SELECT "&amp;VLOOKUP(B79,Instruções!$F$6:$J$10,4,0)&amp;" as "&amp;VLOOKUP(B79,Instruções!$F$6:$J$10,4,0)&amp;"_as_is, "&amp;VLOOKUP(B79,Instruções!$F$6:$J$10,5,0)&amp;" as "&amp;VLOOKUP(B79,Instruções!$F$6:$J$10,5,0)&amp;"_as_is,"&amp;E79&amp;" as "&amp;F79&amp;" FROM "&amp;C79&amp;" WHERE "&amp;Instruções!$D$11&amp;") A ")</f>
        <v xml:space="preserve">(SELECT entty_id as entty_id_as_is, nt_incm as nt_incm_as_is FROM cd_loan_tapes_bce.lt003_entity WHERE ref_date='2025-06-30' AND nome_perimetro= 'Individual IDComb' AND segmento= 'ESTR' AND ambito= 'PM' AND entidade='00100' AND cod_visao = 1) A </v>
      </c>
      <c r="I79" s="17" t="str">
        <f>IF(VLOOKUP(B79,Instruções!$F$6:$J$10,5,0)="",
"(SELECT "&amp;VLOOKUP(B79,Instruções!$F$6:$J$10,4,0)&amp;" as "&amp;VLOOKUP(B79,Instruções!$F$6:$J$10,4,0)&amp;"_to_be, "&amp;E79&amp;" as "&amp;G79&amp;" FROM "&amp;D79&amp;" WHERE "&amp;Instruções!$D$11&amp;") B ",
"(SELECT "&amp;VLOOKUP(B79,Instruções!$F$6:$J$10,4,0)&amp;" as "&amp;VLOOKUP(B79,Instruções!$F$6:$J$10,4,0)&amp;"_to_be, "&amp;VLOOKUP(B79,Instruções!$F$6:$J$10,5,0)&amp;" as "&amp;VLOOKUP(B79,Instruções!$F$6:$J$10,5,0)&amp;"_to_be,"&amp;E79&amp;" as "&amp;G79&amp;" FROM "&amp;D79&amp;" WHERE "&amp;Instruções!$D$11&amp;") B ")</f>
        <v xml:space="preserve">(SELECT entty_id as entty_id_to_be, nt_incm as nt_incm_to_be FROM bu_loantape_work.lt003_entity WHERE ref_date='2025-06-30' AND nome_perimetro= 'Individual IDComb' AND segmento= 'ESTR' AND ambito= 'PM' AND entidade='00100' AND cod_visao = 1) B </v>
      </c>
      <c r="J79" s="17" t="str">
        <f>IF(VLOOKUP(B79,Instruções!$F$6:$J$10,5,0)="",
"ON "&amp;VLOOKUP(B79,Instruções!$F$6:$J$10,4,0)&amp;"_as_is = "&amp;VLOOKUP(B79,Instruções!$F$6:$J$10,4,0)&amp;"_to_be ",
"ON "&amp;VLOOKUP(B79,Instruções!$F$6:$J$10,4,0)&amp;"_as_is = "&amp;VLOOKUP(B79,Instruções!$F$6:$J$10,4,0)&amp;"_to_be AND "&amp;VLOOKUP(B79,Instruções!$F$6:$J$10,5,0)&amp;"_as_is = "&amp;VLOOKUP(B79,Instruções!$F$6:$J$10,5,0)&amp;"_to_be ")</f>
        <v xml:space="preserve">ON entty_id_as_is = entty_id_to_be </v>
      </c>
      <c r="K79" s="17" t="str">
        <f t="shared" si="15"/>
        <v xml:space="preserve">WHERE coalesce(cast(nt_incm_as_is as string), '') &lt;&gt; coalesce(cast(nt_incm_to_be as string), '') </v>
      </c>
      <c r="L79" s="17" t="str">
        <f t="shared" si="16"/>
        <v xml:space="preserve">SELECT count(*) AS NUM_REG_DIF FROM (SELECT entty_id as entty_id_as_is, nt_incm as nt_incm_as_is FROM cd_loan_tapes_bce.lt003_entity WHERE ref_date='2025-06-30' AND nome_perimetro= 'Individual IDComb' AND segmento= 'ESTR' AND ambito= 'PM' AND entidade='00100' AND cod_visao = 1) A  Inner join (SELECT entty_id as entty_id_to_be, nt_incm as nt_incm_to_be FROM bu_loantape_work.lt003_entity WHERE ref_date='2025-06-30' AND nome_perimetro= 'Individual IDComb' AND segmento= 'ESTR' AND ambito= 'PM' AND entidade='00100' AND cod_visao = 1) B ON entty_id_as_is = entty_id_to_be WHERE coalesce(cast(nt_incm_as_is as string), '') &lt;&gt; coalesce(cast(nt_incm_to_be as string), '') </v>
      </c>
      <c r="M79" s="17" t="s">
        <v>48</v>
      </c>
      <c r="N79" s="17" t="str">
        <f>"SELECT 'Validação de campos' as tipologia_teste, '"&amp;VLOOKUP(B79,Instruções!$F$6:$J$10,3,0)&amp;"' AS TABELA, '"&amp;E79&amp;"' AS CAMPO, '"&amp;Instruções!$D$7&amp;"' as ref_date, coalesce(NUM_REG_DIF, 0) AS NUM_REG_DIF FROM ("&amp;L79&amp;") A "</f>
        <v xml:space="preserve">SELECT 'Validação de campos' as tipologia_teste, 'lt003_entity' AS TABELA, 'nt_incm' AS CAMPO, '2025-06-30' as ref_date, coalesce(NUM_REG_DIF, 0) AS NUM_REG_DIF FROM (SELECT count(*) AS NUM_REG_DIF FROM (SELECT entty_id as entty_id_as_is, nt_incm as nt_incm_as_is FROM cd_loan_tapes_bce.lt003_entity WHERE ref_date='2025-06-30' AND nome_perimetro= 'Individual IDComb' AND segmento= 'ESTR' AND ambito= 'PM' AND entidade='00100' AND cod_visao = 1) A  Inner join (SELECT entty_id as entty_id_to_be, nt_incm as nt_incm_to_be FROM bu_loantape_work.lt003_entity WHERE ref_date='2025-06-30' AND nome_perimetro= 'Individual IDComb' AND segmento= 'ESTR' AND ambito= 'PM' AND entidade='00100' AND cod_visao = 1) B ON entty_id_as_is = entty_id_to_be WHERE coalesce(cast(nt_incm_as_is as string), '') &lt;&gt; coalesce(cast(nt_incm_to_be as string), '') ) A </v>
      </c>
      <c r="O79" s="19" t="str">
        <f t="shared" si="12"/>
        <v>SELECT 'Validação de campos' as tipologia_teste, 'lt003_entity' AS TABELA, 'nt_incm' AS CAMPO, '2025-06-30' as ref_date, coalesce(NUM_REG_DIF, 0) AS NUM_REG_DIF FROM (SELECT count(*) AS NUM_REG_DIF FROM (SELECT entty_id as entty_id_as_is, nt_incm as nt_incm_as_is FROM cd_loan_tapes_bce.lt003_entity WHERE ref_date='2025-06-30' AND nome_perimetro= 'Individual IDComb' AND segmento= 'ESTR' AND ambito= 'PM' AND entidade='00100' AND cod_visao = 1) A  Inner join (SELECT entty_id as entty_id_to_be, nt_incm as nt_incm_to_be FROM bu_loantape_work.lt003_entity WHERE ref_date='2025-06-30' AND nome_perimetro= 'Individual IDComb' AND segmento= 'ESTR' AND ambito= 'PM' AND entidade='00100' AND cod_visao = 1) B ON entty_id_as_is = entty_id_to_be WHERE coalesce(cast(nt_incm_as_is as string), '') &lt;&gt; coalesce(cast(nt_incm_to_be as string), '') ) A UNION ALL</v>
      </c>
      <c r="P79" s="17">
        <f t="shared" si="17"/>
        <v>25</v>
      </c>
    </row>
    <row r="80" spans="2:16" s="15" customFormat="1" ht="11.5" x14ac:dyDescent="0.25">
      <c r="B80" s="17" t="s">
        <v>11</v>
      </c>
      <c r="C80" s="17" t="str">
        <f>_xlfn.CONCAT(Instruções!$D$5,".",VLOOKUP(B80,Instruções!$F$5:$H$10,2,0))</f>
        <v>cd_loan_tapes_bce.lt003_entity</v>
      </c>
      <c r="D80" s="17" t="str">
        <f>_xlfn.CONCAT(Instruções!$D$6,".",VLOOKUP(B80,Instruções!$F$5:$H$10,3,0))</f>
        <v>bu_loantape_work.lt003_entity</v>
      </c>
      <c r="E80" s="17" t="s">
        <v>123</v>
      </c>
      <c r="F80" s="17" t="str">
        <f t="shared" si="13"/>
        <v>nt_incm_prvs_as_is</v>
      </c>
      <c r="G80" s="17" t="str">
        <f t="shared" si="14"/>
        <v>nt_incm_prvs_to_be</v>
      </c>
      <c r="H80" s="17" t="str">
        <f>IF(VLOOKUP(B80,Instruções!$F$6:$J$10,5,0)="",
"(SELECT "&amp;VLOOKUP(B80,Instruções!$F$6:$J$10,4,0)&amp;" as "&amp;VLOOKUP(B80,Instruções!$F$6:$J$10,4,0)&amp;"_as_is, "&amp;E80&amp;" as "&amp;F80&amp;" FROM "&amp;C80&amp;" WHERE "&amp;Instruções!$D$11&amp;") A ",
"(SELECT "&amp;VLOOKUP(B80,Instruções!$F$6:$J$10,4,0)&amp;" as "&amp;VLOOKUP(B80,Instruções!$F$6:$J$10,4,0)&amp;"_as_is, "&amp;VLOOKUP(B80,Instruções!$F$6:$J$10,5,0)&amp;" as "&amp;VLOOKUP(B80,Instruções!$F$6:$J$10,5,0)&amp;"_as_is,"&amp;E80&amp;" as "&amp;F80&amp;" FROM "&amp;C80&amp;" WHERE "&amp;Instruções!$D$11&amp;") A ")</f>
        <v xml:space="preserve">(SELECT entty_id as entty_id_as_is, nt_incm_prvs as nt_incm_prvs_as_is FROM cd_loan_tapes_bce.lt003_entity WHERE ref_date='2025-06-30' AND nome_perimetro= 'Individual IDComb' AND segmento= 'ESTR' AND ambito= 'PM' AND entidade='00100' AND cod_visao = 1) A </v>
      </c>
      <c r="I80" s="17" t="str">
        <f>IF(VLOOKUP(B80,Instruções!$F$6:$J$10,5,0)="",
"(SELECT "&amp;VLOOKUP(B80,Instruções!$F$6:$J$10,4,0)&amp;" as "&amp;VLOOKUP(B80,Instruções!$F$6:$J$10,4,0)&amp;"_to_be, "&amp;E80&amp;" as "&amp;G80&amp;" FROM "&amp;D80&amp;" WHERE "&amp;Instruções!$D$11&amp;") B ",
"(SELECT "&amp;VLOOKUP(B80,Instruções!$F$6:$J$10,4,0)&amp;" as "&amp;VLOOKUP(B80,Instruções!$F$6:$J$10,4,0)&amp;"_to_be, "&amp;VLOOKUP(B80,Instruções!$F$6:$J$10,5,0)&amp;" as "&amp;VLOOKUP(B80,Instruções!$F$6:$J$10,5,0)&amp;"_to_be,"&amp;E80&amp;" as "&amp;G80&amp;" FROM "&amp;D80&amp;" WHERE "&amp;Instruções!$D$11&amp;") B ")</f>
        <v xml:space="preserve">(SELECT entty_id as entty_id_to_be, nt_incm_prvs as nt_incm_prvs_to_be FROM bu_loantape_work.lt003_entity WHERE ref_date='2025-06-30' AND nome_perimetro= 'Individual IDComb' AND segmento= 'ESTR' AND ambito= 'PM' AND entidade='00100' AND cod_visao = 1) B </v>
      </c>
      <c r="J80" s="17" t="str">
        <f>IF(VLOOKUP(B80,Instruções!$F$6:$J$10,5,0)="",
"ON "&amp;VLOOKUP(B80,Instruções!$F$6:$J$10,4,0)&amp;"_as_is = "&amp;VLOOKUP(B80,Instruções!$F$6:$J$10,4,0)&amp;"_to_be ",
"ON "&amp;VLOOKUP(B80,Instruções!$F$6:$J$10,4,0)&amp;"_as_is = "&amp;VLOOKUP(B80,Instruções!$F$6:$J$10,4,0)&amp;"_to_be AND "&amp;VLOOKUP(B80,Instruções!$F$6:$J$10,5,0)&amp;"_as_is = "&amp;VLOOKUP(B80,Instruções!$F$6:$J$10,5,0)&amp;"_to_be ")</f>
        <v xml:space="preserve">ON entty_id_as_is = entty_id_to_be </v>
      </c>
      <c r="K80" s="17" t="str">
        <f t="shared" si="15"/>
        <v xml:space="preserve">WHERE coalesce(cast(nt_incm_prvs_as_is as string), '') &lt;&gt; coalesce(cast(nt_incm_prvs_to_be as string), '') </v>
      </c>
      <c r="L80" s="17" t="str">
        <f t="shared" si="16"/>
        <v xml:space="preserve">SELECT count(*) AS NUM_REG_DIF FROM (SELECT entty_id as entty_id_as_is, nt_incm_prvs as nt_incm_prvs_as_is FROM cd_loan_tapes_bce.lt003_entity WHERE ref_date='2025-06-30' AND nome_perimetro= 'Individual IDComb' AND segmento= 'ESTR' AND ambito= 'PM' AND entidade='00100' AND cod_visao = 1) A  Inner join (SELECT entty_id as entty_id_to_be, nt_incm_prvs as nt_incm_prvs_to_be FROM bu_loantape_work.lt003_entity WHERE ref_date='2025-06-30' AND nome_perimetro= 'Individual IDComb' AND segmento= 'ESTR' AND ambito= 'PM' AND entidade='00100' AND cod_visao = 1) B ON entty_id_as_is = entty_id_to_be WHERE coalesce(cast(nt_incm_prvs_as_is as string), '') &lt;&gt; coalesce(cast(nt_incm_prvs_to_be as string), '') </v>
      </c>
      <c r="M80" s="17" t="s">
        <v>48</v>
      </c>
      <c r="N80" s="17" t="str">
        <f>"SELECT 'Validação de campos' as tipologia_teste, '"&amp;VLOOKUP(B80,Instruções!$F$6:$J$10,3,0)&amp;"' AS TABELA, '"&amp;E80&amp;"' AS CAMPO, '"&amp;Instruções!$D$7&amp;"' as ref_date, coalesce(NUM_REG_DIF, 0) AS NUM_REG_DIF FROM ("&amp;L80&amp;") A "</f>
        <v xml:space="preserve">SELECT 'Validação de campos' as tipologia_teste, 'lt003_entity' AS TABELA, 'nt_incm_prvs' AS CAMPO, '2025-06-30' as ref_date, coalesce(NUM_REG_DIF, 0) AS NUM_REG_DIF FROM (SELECT count(*) AS NUM_REG_DIF FROM (SELECT entty_id as entty_id_as_is, nt_incm_prvs as nt_incm_prvs_as_is FROM cd_loan_tapes_bce.lt003_entity WHERE ref_date='2025-06-30' AND nome_perimetro= 'Individual IDComb' AND segmento= 'ESTR' AND ambito= 'PM' AND entidade='00100' AND cod_visao = 1) A  Inner join (SELECT entty_id as entty_id_to_be, nt_incm_prvs as nt_incm_prvs_to_be FROM bu_loantape_work.lt003_entity WHERE ref_date='2025-06-30' AND nome_perimetro= 'Individual IDComb' AND segmento= 'ESTR' AND ambito= 'PM' AND entidade='00100' AND cod_visao = 1) B ON entty_id_as_is = entty_id_to_be WHERE coalesce(cast(nt_incm_prvs_as_is as string), '') &lt;&gt; coalesce(cast(nt_incm_prvs_to_be as string), '') ) A </v>
      </c>
      <c r="O80" s="19" t="str">
        <f t="shared" si="12"/>
        <v>SELECT 'Validação de campos' as tipologia_teste, 'lt003_entity' AS TABELA, 'nt_incm_prvs' AS CAMPO, '2025-06-30' as ref_date, coalesce(NUM_REG_DIF, 0) AS NUM_REG_DIF FROM (SELECT count(*) AS NUM_REG_DIF FROM (SELECT entty_id as entty_id_as_is, nt_incm_prvs as nt_incm_prvs_as_is FROM cd_loan_tapes_bce.lt003_entity WHERE ref_date='2025-06-30' AND nome_perimetro= 'Individual IDComb' AND segmento= 'ESTR' AND ambito= 'PM' AND entidade='00100' AND cod_visao = 1) A  Inner join (SELECT entty_id as entty_id_to_be, nt_incm_prvs as nt_incm_prvs_to_be FROM bu_loantape_work.lt003_entity WHERE ref_date='2025-06-30' AND nome_perimetro= 'Individual IDComb' AND segmento= 'ESTR' AND ambito= 'PM' AND entidade='00100' AND cod_visao = 1) B ON entty_id_as_is = entty_id_to_be WHERE coalesce(cast(nt_incm_prvs_as_is as string), '') &lt;&gt; coalesce(cast(nt_incm_prvs_to_be as string), '') ) A UNION ALL</v>
      </c>
      <c r="P80" s="17">
        <f t="shared" si="17"/>
        <v>26</v>
      </c>
    </row>
    <row r="81" spans="2:16" s="15" customFormat="1" ht="11.5" x14ac:dyDescent="0.25">
      <c r="B81" s="17" t="s">
        <v>11</v>
      </c>
      <c r="C81" s="17" t="str">
        <f>_xlfn.CONCAT(Instruções!$D$5,".",VLOOKUP(B81,Instruções!$F$5:$H$10,2,0))</f>
        <v>cd_loan_tapes_bce.lt003_entity</v>
      </c>
      <c r="D81" s="17" t="str">
        <f>_xlfn.CONCAT(Instruções!$D$6,".",VLOOKUP(B81,Instruções!$F$5:$H$10,3,0))</f>
        <v>bu_loantape_work.lt003_entity</v>
      </c>
      <c r="E81" s="17" t="s">
        <v>124</v>
      </c>
      <c r="F81" s="17" t="str">
        <f t="shared" si="13"/>
        <v>osi_id_as_is</v>
      </c>
      <c r="G81" s="17" t="str">
        <f t="shared" si="14"/>
        <v>osi_id_to_be</v>
      </c>
      <c r="H81" s="17" t="str">
        <f>IF(VLOOKUP(B81,Instruções!$F$6:$J$10,5,0)="",
"(SELECT "&amp;VLOOKUP(B81,Instruções!$F$6:$J$10,4,0)&amp;" as "&amp;VLOOKUP(B81,Instruções!$F$6:$J$10,4,0)&amp;"_as_is, "&amp;E81&amp;" as "&amp;F81&amp;" FROM "&amp;C81&amp;" WHERE "&amp;Instruções!$D$11&amp;") A ",
"(SELECT "&amp;VLOOKUP(B81,Instruções!$F$6:$J$10,4,0)&amp;" as "&amp;VLOOKUP(B81,Instruções!$F$6:$J$10,4,0)&amp;"_as_is, "&amp;VLOOKUP(B81,Instruções!$F$6:$J$10,5,0)&amp;" as "&amp;VLOOKUP(B81,Instruções!$F$6:$J$10,5,0)&amp;"_as_is,"&amp;E81&amp;" as "&amp;F81&amp;" FROM "&amp;C81&amp;" WHERE "&amp;Instruções!$D$11&amp;") A ")</f>
        <v xml:space="preserve">(SELECT entty_id as entty_id_as_is, osi_id as osi_id_as_is FROM cd_loan_tapes_bce.lt003_entity WHERE ref_date='2025-06-30' AND nome_perimetro= 'Individual IDComb' AND segmento= 'ESTR' AND ambito= 'PM' AND entidade='00100' AND cod_visao = 1) A </v>
      </c>
      <c r="I81" s="17" t="str">
        <f>IF(VLOOKUP(B81,Instruções!$F$6:$J$10,5,0)="",
"(SELECT "&amp;VLOOKUP(B81,Instruções!$F$6:$J$10,4,0)&amp;" as "&amp;VLOOKUP(B81,Instruções!$F$6:$J$10,4,0)&amp;"_to_be, "&amp;E81&amp;" as "&amp;G81&amp;" FROM "&amp;D81&amp;" WHERE "&amp;Instruções!$D$11&amp;") B ",
"(SELECT "&amp;VLOOKUP(B81,Instruções!$F$6:$J$10,4,0)&amp;" as "&amp;VLOOKUP(B81,Instruções!$F$6:$J$10,4,0)&amp;"_to_be, "&amp;VLOOKUP(B81,Instruções!$F$6:$J$10,5,0)&amp;" as "&amp;VLOOKUP(B81,Instruções!$F$6:$J$10,5,0)&amp;"_to_be,"&amp;E81&amp;" as "&amp;G81&amp;" FROM "&amp;D81&amp;" WHERE "&amp;Instruções!$D$11&amp;") B ")</f>
        <v xml:space="preserve">(SELECT entty_id as entty_id_to_be, osi_id as osi_id_to_be FROM bu_loantape_work.lt003_entity WHERE ref_date='2025-06-30' AND nome_perimetro= 'Individual IDComb' AND segmento= 'ESTR' AND ambito= 'PM' AND entidade='00100' AND cod_visao = 1) B </v>
      </c>
      <c r="J81" s="17" t="str">
        <f>IF(VLOOKUP(B81,Instruções!$F$6:$J$10,5,0)="",
"ON "&amp;VLOOKUP(B81,Instruções!$F$6:$J$10,4,0)&amp;"_as_is = "&amp;VLOOKUP(B81,Instruções!$F$6:$J$10,4,0)&amp;"_to_be ",
"ON "&amp;VLOOKUP(B81,Instruções!$F$6:$J$10,4,0)&amp;"_as_is = "&amp;VLOOKUP(B81,Instruções!$F$6:$J$10,4,0)&amp;"_to_be AND "&amp;VLOOKUP(B81,Instruções!$F$6:$J$10,5,0)&amp;"_as_is = "&amp;VLOOKUP(B81,Instruções!$F$6:$J$10,5,0)&amp;"_to_be ")</f>
        <v xml:space="preserve">ON entty_id_as_is = entty_id_to_be </v>
      </c>
      <c r="K81" s="17" t="str">
        <f t="shared" si="15"/>
        <v xml:space="preserve">WHERE coalesce(cast(osi_id_as_is as string), '') &lt;&gt; coalesce(cast(osi_id_to_be as string), '') </v>
      </c>
      <c r="L81" s="17" t="str">
        <f t="shared" si="16"/>
        <v xml:space="preserve">SELECT count(*) AS NUM_REG_DIF FROM (SELECT entty_id as entty_id_as_is, osi_id as osi_id_as_is FROM cd_loan_tapes_bce.lt003_entity WHERE ref_date='2025-06-30' AND nome_perimetro= 'Individual IDComb' AND segmento= 'ESTR' AND ambito= 'PM' AND entidade='00100' AND cod_visao = 1) A  Inner join (SELECT entty_id as entty_id_to_be, osi_id as osi_id_to_be FROM bu_loantape_work.lt003_entity WHERE ref_date='2025-06-30' AND nome_perimetro= 'Individual IDComb' AND segmento= 'ESTR' AND ambito= 'PM' AND entidade='00100' AND cod_visao = 1) B ON entty_id_as_is = entty_id_to_be WHERE coalesce(cast(osi_id_as_is as string), '') &lt;&gt; coalesce(cast(osi_id_to_be as string), '') </v>
      </c>
      <c r="M81" s="17" t="s">
        <v>48</v>
      </c>
      <c r="N81" s="17" t="str">
        <f>"SELECT 'Validação de campos' as tipologia_teste, '"&amp;VLOOKUP(B81,Instruções!$F$6:$J$10,3,0)&amp;"' AS TABELA, '"&amp;E81&amp;"' AS CAMPO, '"&amp;Instruções!$D$7&amp;"' as ref_date, coalesce(NUM_REG_DIF, 0) AS NUM_REG_DIF FROM ("&amp;L81&amp;") A "</f>
        <v xml:space="preserve">SELECT 'Validação de campos' as tipologia_teste, 'lt003_entity' AS TABELA, 'osi_id' AS CAMPO, '2025-06-30' as ref_date, coalesce(NUM_REG_DIF, 0) AS NUM_REG_DIF FROM (SELECT count(*) AS NUM_REG_DIF FROM (SELECT entty_id as entty_id_as_is, osi_id as osi_id_as_is FROM cd_loan_tapes_bce.lt003_entity WHERE ref_date='2025-06-30' AND nome_perimetro= 'Individual IDComb' AND segmento= 'ESTR' AND ambito= 'PM' AND entidade='00100' AND cod_visao = 1) A  Inner join (SELECT entty_id as entty_id_to_be, osi_id as osi_id_to_be FROM bu_loantape_work.lt003_entity WHERE ref_date='2025-06-30' AND nome_perimetro= 'Individual IDComb' AND segmento= 'ESTR' AND ambito= 'PM' AND entidade='00100' AND cod_visao = 1) B ON entty_id_as_is = entty_id_to_be WHERE coalesce(cast(osi_id_as_is as string), '') &lt;&gt; coalesce(cast(osi_id_to_be as string), '') ) A </v>
      </c>
      <c r="O81" s="19" t="str">
        <f t="shared" si="12"/>
        <v>SELECT 'Validação de campos' as tipologia_teste, 'lt003_entity' AS TABELA, 'osi_id' AS CAMPO, '2025-06-30' as ref_date, coalesce(NUM_REG_DIF, 0) AS NUM_REG_DIF FROM (SELECT count(*) AS NUM_REG_DIF FROM (SELECT entty_id as entty_id_as_is, osi_id as osi_id_as_is FROM cd_loan_tapes_bce.lt003_entity WHERE ref_date='2025-06-30' AND nome_perimetro= 'Individual IDComb' AND segmento= 'ESTR' AND ambito= 'PM' AND entidade='00100' AND cod_visao = 1) A  Inner join (SELECT entty_id as entty_id_to_be, osi_id as osi_id_to_be FROM bu_loantape_work.lt003_entity WHERE ref_date='2025-06-30' AND nome_perimetro= 'Individual IDComb' AND segmento= 'ESTR' AND ambito= 'PM' AND entidade='00100' AND cod_visao = 1) B ON entty_id_as_is = entty_id_to_be WHERE coalesce(cast(osi_id_as_is as string), '') &lt;&gt; coalesce(cast(osi_id_to_be as string), '') ) A UNION ALL</v>
      </c>
      <c r="P81" s="17">
        <f t="shared" si="17"/>
        <v>27</v>
      </c>
    </row>
    <row r="82" spans="2:16" s="15" customFormat="1" ht="11.5" x14ac:dyDescent="0.25">
      <c r="B82" s="17" t="s">
        <v>11</v>
      </c>
      <c r="C82" s="17" t="str">
        <f>_xlfn.CONCAT(Instruções!$D$5,".",VLOOKUP(B82,Instruções!$F$5:$H$10,2,0))</f>
        <v>cd_loan_tapes_bce.lt003_entity</v>
      </c>
      <c r="D82" s="17" t="str">
        <f>_xlfn.CONCAT(Instruções!$D$6,".",VLOOKUP(B82,Instruções!$F$5:$H$10,3,0))</f>
        <v>bu_loantape_work.lt003_entity</v>
      </c>
      <c r="E82" s="17" t="s">
        <v>125</v>
      </c>
      <c r="F82" s="17" t="str">
        <f t="shared" si="13"/>
        <v>ownd_by_spnsr_as_is</v>
      </c>
      <c r="G82" s="17" t="str">
        <f t="shared" si="14"/>
        <v>ownd_by_spnsr_to_be</v>
      </c>
      <c r="H82" s="17" t="str">
        <f>IF(VLOOKUP(B82,Instruções!$F$6:$J$10,5,0)="",
"(SELECT "&amp;VLOOKUP(B82,Instruções!$F$6:$J$10,4,0)&amp;" as "&amp;VLOOKUP(B82,Instruções!$F$6:$J$10,4,0)&amp;"_as_is, "&amp;E82&amp;" as "&amp;F82&amp;" FROM "&amp;C82&amp;" WHERE "&amp;Instruções!$D$11&amp;") A ",
"(SELECT "&amp;VLOOKUP(B82,Instruções!$F$6:$J$10,4,0)&amp;" as "&amp;VLOOKUP(B82,Instruções!$F$6:$J$10,4,0)&amp;"_as_is, "&amp;VLOOKUP(B82,Instruções!$F$6:$J$10,5,0)&amp;" as "&amp;VLOOKUP(B82,Instruções!$F$6:$J$10,5,0)&amp;"_as_is,"&amp;E82&amp;" as "&amp;F82&amp;" FROM "&amp;C82&amp;" WHERE "&amp;Instruções!$D$11&amp;") A ")</f>
        <v xml:space="preserve">(SELECT entty_id as entty_id_as_is, ownd_by_spnsr as ownd_by_spnsr_as_is FROM cd_loan_tapes_bce.lt003_entity WHERE ref_date='2025-06-30' AND nome_perimetro= 'Individual IDComb' AND segmento= 'ESTR' AND ambito= 'PM' AND entidade='00100' AND cod_visao = 1) A </v>
      </c>
      <c r="I82" s="17" t="str">
        <f>IF(VLOOKUP(B82,Instruções!$F$6:$J$10,5,0)="",
"(SELECT "&amp;VLOOKUP(B82,Instruções!$F$6:$J$10,4,0)&amp;" as "&amp;VLOOKUP(B82,Instruções!$F$6:$J$10,4,0)&amp;"_to_be, "&amp;E82&amp;" as "&amp;G82&amp;" FROM "&amp;D82&amp;" WHERE "&amp;Instruções!$D$11&amp;") B ",
"(SELECT "&amp;VLOOKUP(B82,Instruções!$F$6:$J$10,4,0)&amp;" as "&amp;VLOOKUP(B82,Instruções!$F$6:$J$10,4,0)&amp;"_to_be, "&amp;VLOOKUP(B82,Instruções!$F$6:$J$10,5,0)&amp;" as "&amp;VLOOKUP(B82,Instruções!$F$6:$J$10,5,0)&amp;"_to_be,"&amp;E82&amp;" as "&amp;G82&amp;" FROM "&amp;D82&amp;" WHERE "&amp;Instruções!$D$11&amp;") B ")</f>
        <v xml:space="preserve">(SELECT entty_id as entty_id_to_be, ownd_by_spnsr as ownd_by_spnsr_to_be FROM bu_loantape_work.lt003_entity WHERE ref_date='2025-06-30' AND nome_perimetro= 'Individual IDComb' AND segmento= 'ESTR' AND ambito= 'PM' AND entidade='00100' AND cod_visao = 1) B </v>
      </c>
      <c r="J82" s="17" t="str">
        <f>IF(VLOOKUP(B82,Instruções!$F$6:$J$10,5,0)="",
"ON "&amp;VLOOKUP(B82,Instruções!$F$6:$J$10,4,0)&amp;"_as_is = "&amp;VLOOKUP(B82,Instruções!$F$6:$J$10,4,0)&amp;"_to_be ",
"ON "&amp;VLOOKUP(B82,Instruções!$F$6:$J$10,4,0)&amp;"_as_is = "&amp;VLOOKUP(B82,Instruções!$F$6:$J$10,4,0)&amp;"_to_be AND "&amp;VLOOKUP(B82,Instruções!$F$6:$J$10,5,0)&amp;"_as_is = "&amp;VLOOKUP(B82,Instruções!$F$6:$J$10,5,0)&amp;"_to_be ")</f>
        <v xml:space="preserve">ON entty_id_as_is = entty_id_to_be </v>
      </c>
      <c r="K82" s="17" t="str">
        <f t="shared" si="15"/>
        <v xml:space="preserve">WHERE coalesce(cast(ownd_by_spnsr_as_is as string), '') &lt;&gt; coalesce(cast(ownd_by_spnsr_to_be as string), '') </v>
      </c>
      <c r="L82" s="17" t="str">
        <f t="shared" si="16"/>
        <v xml:space="preserve">SELECT count(*) AS NUM_REG_DIF FROM (SELECT entty_id as entty_id_as_is, ownd_by_spnsr as ownd_by_spnsr_as_is FROM cd_loan_tapes_bce.lt003_entity WHERE ref_date='2025-06-30' AND nome_perimetro= 'Individual IDComb' AND segmento= 'ESTR' AND ambito= 'PM' AND entidade='00100' AND cod_visao = 1) A  Inner join (SELECT entty_id as entty_id_to_be, ownd_by_spnsr as ownd_by_spnsr_to_be FROM bu_loantape_work.lt003_entity WHERE ref_date='2025-06-30' AND nome_perimetro= 'Individual IDComb' AND segmento= 'ESTR' AND ambito= 'PM' AND entidade='00100' AND cod_visao = 1) B ON entty_id_as_is = entty_id_to_be WHERE coalesce(cast(ownd_by_spnsr_as_is as string), '') &lt;&gt; coalesce(cast(ownd_by_spnsr_to_be as string), '') </v>
      </c>
      <c r="M82" s="17" t="s">
        <v>48</v>
      </c>
      <c r="N82" s="17" t="str">
        <f>"SELECT 'Validação de campos' as tipologia_teste, '"&amp;VLOOKUP(B82,Instruções!$F$6:$J$10,3,0)&amp;"' AS TABELA, '"&amp;E82&amp;"' AS CAMPO, '"&amp;Instruções!$D$7&amp;"' as ref_date, coalesce(NUM_REG_DIF, 0) AS NUM_REG_DIF FROM ("&amp;L82&amp;") A "</f>
        <v xml:space="preserve">SELECT 'Validação de campos' as tipologia_teste, 'lt003_entity' AS TABELA, 'ownd_by_spnsr' AS CAMPO, '2025-06-30' as ref_date, coalesce(NUM_REG_DIF, 0) AS NUM_REG_DIF FROM (SELECT count(*) AS NUM_REG_DIF FROM (SELECT entty_id as entty_id_as_is, ownd_by_spnsr as ownd_by_spnsr_as_is FROM cd_loan_tapes_bce.lt003_entity WHERE ref_date='2025-06-30' AND nome_perimetro= 'Individual IDComb' AND segmento= 'ESTR' AND ambito= 'PM' AND entidade='00100' AND cod_visao = 1) A  Inner join (SELECT entty_id as entty_id_to_be, ownd_by_spnsr as ownd_by_spnsr_to_be FROM bu_loantape_work.lt003_entity WHERE ref_date='2025-06-30' AND nome_perimetro= 'Individual IDComb' AND segmento= 'ESTR' AND ambito= 'PM' AND entidade='00100' AND cod_visao = 1) B ON entty_id_as_is = entty_id_to_be WHERE coalesce(cast(ownd_by_spnsr_as_is as string), '') &lt;&gt; coalesce(cast(ownd_by_spnsr_to_be as string), '') ) A </v>
      </c>
      <c r="O82" s="19" t="str">
        <f t="shared" si="12"/>
        <v>SELECT 'Validação de campos' as tipologia_teste, 'lt003_entity' AS TABELA, 'ownd_by_spnsr' AS CAMPO, '2025-06-30' as ref_date, coalesce(NUM_REG_DIF, 0) AS NUM_REG_DIF FROM (SELECT count(*) AS NUM_REG_DIF FROM (SELECT entty_id as entty_id_as_is, ownd_by_spnsr as ownd_by_spnsr_as_is FROM cd_loan_tapes_bce.lt003_entity WHERE ref_date='2025-06-30' AND nome_perimetro= 'Individual IDComb' AND segmento= 'ESTR' AND ambito= 'PM' AND entidade='00100' AND cod_visao = 1) A  Inner join (SELECT entty_id as entty_id_to_be, ownd_by_spnsr as ownd_by_spnsr_to_be FROM bu_loantape_work.lt003_entity WHERE ref_date='2025-06-30' AND nome_perimetro= 'Individual IDComb' AND segmento= 'ESTR' AND ambito= 'PM' AND entidade='00100' AND cod_visao = 1) B ON entty_id_as_is = entty_id_to_be WHERE coalesce(cast(ownd_by_spnsr_as_is as string), '') &lt;&gt; coalesce(cast(ownd_by_spnsr_to_be as string), '') ) A UNION ALL</v>
      </c>
      <c r="P82" s="17">
        <f t="shared" si="17"/>
        <v>28</v>
      </c>
    </row>
    <row r="83" spans="2:16" s="15" customFormat="1" ht="11.5" x14ac:dyDescent="0.25">
      <c r="B83" s="17" t="s">
        <v>11</v>
      </c>
      <c r="C83" s="17" t="str">
        <f>_xlfn.CONCAT(Instruções!$D$5,".",VLOOKUP(B83,Instruções!$F$5:$H$10,2,0))</f>
        <v>cd_loan_tapes_bce.lt003_entity</v>
      </c>
      <c r="D83" s="17" t="str">
        <f>_xlfn.CONCAT(Instruções!$D$6,".",VLOOKUP(B83,Instruções!$F$5:$H$10,3,0))</f>
        <v>bu_loantape_work.lt003_entity</v>
      </c>
      <c r="E83" s="17" t="s">
        <v>126</v>
      </c>
      <c r="F83" s="17" t="str">
        <f t="shared" si="13"/>
        <v>pd_crr_rd_as_is</v>
      </c>
      <c r="G83" s="17" t="str">
        <f t="shared" si="14"/>
        <v>pd_crr_rd_to_be</v>
      </c>
      <c r="H83" s="17" t="str">
        <f>IF(VLOOKUP(B83,Instruções!$F$6:$J$10,5,0)="",
"(SELECT "&amp;VLOOKUP(B83,Instruções!$F$6:$J$10,4,0)&amp;" as "&amp;VLOOKUP(B83,Instruções!$F$6:$J$10,4,0)&amp;"_as_is, "&amp;E83&amp;" as "&amp;F83&amp;" FROM "&amp;C83&amp;" WHERE "&amp;Instruções!$D$11&amp;") A ",
"(SELECT "&amp;VLOOKUP(B83,Instruções!$F$6:$J$10,4,0)&amp;" as "&amp;VLOOKUP(B83,Instruções!$F$6:$J$10,4,0)&amp;"_as_is, "&amp;VLOOKUP(B83,Instruções!$F$6:$J$10,5,0)&amp;" as "&amp;VLOOKUP(B83,Instruções!$F$6:$J$10,5,0)&amp;"_as_is,"&amp;E83&amp;" as "&amp;F83&amp;" FROM "&amp;C83&amp;" WHERE "&amp;Instruções!$D$11&amp;") A ")</f>
        <v xml:space="preserve">(SELECT entty_id as entty_id_as_is, pd_crr_rd as pd_crr_rd_as_is FROM cd_loan_tapes_bce.lt003_entity WHERE ref_date='2025-06-30' AND nome_perimetro= 'Individual IDComb' AND segmento= 'ESTR' AND ambito= 'PM' AND entidade='00100' AND cod_visao = 1) A </v>
      </c>
      <c r="I83" s="17" t="str">
        <f>IF(VLOOKUP(B83,Instruções!$F$6:$J$10,5,0)="",
"(SELECT "&amp;VLOOKUP(B83,Instruções!$F$6:$J$10,4,0)&amp;" as "&amp;VLOOKUP(B83,Instruções!$F$6:$J$10,4,0)&amp;"_to_be, "&amp;E83&amp;" as "&amp;G83&amp;" FROM "&amp;D83&amp;" WHERE "&amp;Instruções!$D$11&amp;") B ",
"(SELECT "&amp;VLOOKUP(B83,Instruções!$F$6:$J$10,4,0)&amp;" as "&amp;VLOOKUP(B83,Instruções!$F$6:$J$10,4,0)&amp;"_to_be, "&amp;VLOOKUP(B83,Instruções!$F$6:$J$10,5,0)&amp;" as "&amp;VLOOKUP(B83,Instruções!$F$6:$J$10,5,0)&amp;"_to_be,"&amp;E83&amp;" as "&amp;G83&amp;" FROM "&amp;D83&amp;" WHERE "&amp;Instruções!$D$11&amp;") B ")</f>
        <v xml:space="preserve">(SELECT entty_id as entty_id_to_be, pd_crr_rd as pd_crr_rd_to_be FROM bu_loantape_work.lt003_entity WHERE ref_date='2025-06-30' AND nome_perimetro= 'Individual IDComb' AND segmento= 'ESTR' AND ambito= 'PM' AND entidade='00100' AND cod_visao = 1) B </v>
      </c>
      <c r="J83" s="17" t="str">
        <f>IF(VLOOKUP(B83,Instruções!$F$6:$J$10,5,0)="",
"ON "&amp;VLOOKUP(B83,Instruções!$F$6:$J$10,4,0)&amp;"_as_is = "&amp;VLOOKUP(B83,Instruções!$F$6:$J$10,4,0)&amp;"_to_be ",
"ON "&amp;VLOOKUP(B83,Instruções!$F$6:$J$10,4,0)&amp;"_as_is = "&amp;VLOOKUP(B83,Instruções!$F$6:$J$10,4,0)&amp;"_to_be AND "&amp;VLOOKUP(B83,Instruções!$F$6:$J$10,5,0)&amp;"_as_is = "&amp;VLOOKUP(B83,Instruções!$F$6:$J$10,5,0)&amp;"_to_be ")</f>
        <v xml:space="preserve">ON entty_id_as_is = entty_id_to_be </v>
      </c>
      <c r="K83" s="17" t="str">
        <f t="shared" si="15"/>
        <v xml:space="preserve">WHERE coalesce(cast(pd_crr_rd_as_is as string), '') &lt;&gt; coalesce(cast(pd_crr_rd_to_be as string), '') </v>
      </c>
      <c r="L83" s="17" t="str">
        <f t="shared" si="16"/>
        <v xml:space="preserve">SELECT count(*) AS NUM_REG_DIF FROM (SELECT entty_id as entty_id_as_is, pd_crr_rd as pd_crr_rd_as_is FROM cd_loan_tapes_bce.lt003_entity WHERE ref_date='2025-06-30' AND nome_perimetro= 'Individual IDComb' AND segmento= 'ESTR' AND ambito= 'PM' AND entidade='00100' AND cod_visao = 1) A  Inner join (SELECT entty_id as entty_id_to_be, pd_crr_rd as pd_crr_rd_to_be FROM bu_loantape_work.lt003_entity WHERE ref_date='2025-06-30' AND nome_perimetro= 'Individual IDComb' AND segmento= 'ESTR' AND ambito= 'PM' AND entidade='00100' AND cod_visao = 1) B ON entty_id_as_is = entty_id_to_be WHERE coalesce(cast(pd_crr_rd_as_is as string), '') &lt;&gt; coalesce(cast(pd_crr_rd_to_be as string), '') </v>
      </c>
      <c r="M83" s="17" t="s">
        <v>48</v>
      </c>
      <c r="N83" s="17" t="str">
        <f>"SELECT 'Validação de campos' as tipologia_teste, '"&amp;VLOOKUP(B83,Instruções!$F$6:$J$10,3,0)&amp;"' AS TABELA, '"&amp;E83&amp;"' AS CAMPO, '"&amp;Instruções!$D$7&amp;"' as ref_date, coalesce(NUM_REG_DIF, 0) AS NUM_REG_DIF FROM ("&amp;L83&amp;") A "</f>
        <v xml:space="preserve">SELECT 'Validação de campos' as tipologia_teste, 'lt003_entity' AS TABELA, 'pd_crr_rd' AS CAMPO, '2025-06-30' as ref_date, coalesce(NUM_REG_DIF, 0) AS NUM_REG_DIF FROM (SELECT count(*) AS NUM_REG_DIF FROM (SELECT entty_id as entty_id_as_is, pd_crr_rd as pd_crr_rd_as_is FROM cd_loan_tapes_bce.lt003_entity WHERE ref_date='2025-06-30' AND nome_perimetro= 'Individual IDComb' AND segmento= 'ESTR' AND ambito= 'PM' AND entidade='00100' AND cod_visao = 1) A  Inner join (SELECT entty_id as entty_id_to_be, pd_crr_rd as pd_crr_rd_to_be FROM bu_loantape_work.lt003_entity WHERE ref_date='2025-06-30' AND nome_perimetro= 'Individual IDComb' AND segmento= 'ESTR' AND ambito= 'PM' AND entidade='00100' AND cod_visao = 1) B ON entty_id_as_is = entty_id_to_be WHERE coalesce(cast(pd_crr_rd_as_is as string), '') &lt;&gt; coalesce(cast(pd_crr_rd_to_be as string), '') ) A </v>
      </c>
      <c r="O83" s="19" t="str">
        <f t="shared" si="12"/>
        <v>SELECT 'Validação de campos' as tipologia_teste, 'lt003_entity' AS TABELA, 'pd_crr_rd' AS CAMPO, '2025-06-30' as ref_date, coalesce(NUM_REG_DIF, 0) AS NUM_REG_DIF FROM (SELECT count(*) AS NUM_REG_DIF FROM (SELECT entty_id as entty_id_as_is, pd_crr_rd as pd_crr_rd_as_is FROM cd_loan_tapes_bce.lt003_entity WHERE ref_date='2025-06-30' AND nome_perimetro= 'Individual IDComb' AND segmento= 'ESTR' AND ambito= 'PM' AND entidade='00100' AND cod_visao = 1) A  Inner join (SELECT entty_id as entty_id_to_be, pd_crr_rd as pd_crr_rd_to_be FROM bu_loantape_work.lt003_entity WHERE ref_date='2025-06-30' AND nome_perimetro= 'Individual IDComb' AND segmento= 'ESTR' AND ambito= 'PM' AND entidade='00100' AND cod_visao = 1) B ON entty_id_as_is = entty_id_to_be WHERE coalesce(cast(pd_crr_rd_as_is as string), '') &lt;&gt; coalesce(cast(pd_crr_rd_to_be as string), '') ) A UNION ALL</v>
      </c>
      <c r="P83" s="17">
        <f t="shared" si="17"/>
        <v>29</v>
      </c>
    </row>
    <row r="84" spans="2:16" s="15" customFormat="1" ht="11.5" x14ac:dyDescent="0.25">
      <c r="B84" s="17" t="s">
        <v>11</v>
      </c>
      <c r="C84" s="17" t="str">
        <f>_xlfn.CONCAT(Instruções!$D$5,".",VLOOKUP(B84,Instruções!$F$5:$H$10,2,0))</f>
        <v>cd_loan_tapes_bce.lt003_entity</v>
      </c>
      <c r="D84" s="17" t="str">
        <f>_xlfn.CONCAT(Instruções!$D$6,".",VLOOKUP(B84,Instruções!$F$5:$H$10,3,0))</f>
        <v>bu_loantape_work.lt003_entity</v>
      </c>
      <c r="E84" s="17" t="s">
        <v>127</v>
      </c>
      <c r="F84" s="17" t="str">
        <f t="shared" si="13"/>
        <v>pd_crr_rd_t1_as_is</v>
      </c>
      <c r="G84" s="17" t="str">
        <f t="shared" si="14"/>
        <v>pd_crr_rd_t1_to_be</v>
      </c>
      <c r="H84" s="17" t="str">
        <f>IF(VLOOKUP(B84,Instruções!$F$6:$J$10,5,0)="",
"(SELECT "&amp;VLOOKUP(B84,Instruções!$F$6:$J$10,4,0)&amp;" as "&amp;VLOOKUP(B84,Instruções!$F$6:$J$10,4,0)&amp;"_as_is, "&amp;E84&amp;" as "&amp;F84&amp;" FROM "&amp;C84&amp;" WHERE "&amp;Instruções!$D$11&amp;") A ",
"(SELECT "&amp;VLOOKUP(B84,Instruções!$F$6:$J$10,4,0)&amp;" as "&amp;VLOOKUP(B84,Instruções!$F$6:$J$10,4,0)&amp;"_as_is, "&amp;VLOOKUP(B84,Instruções!$F$6:$J$10,5,0)&amp;" as "&amp;VLOOKUP(B84,Instruções!$F$6:$J$10,5,0)&amp;"_as_is,"&amp;E84&amp;" as "&amp;F84&amp;" FROM "&amp;C84&amp;" WHERE "&amp;Instruções!$D$11&amp;") A ")</f>
        <v xml:space="preserve">(SELECT entty_id as entty_id_as_is, pd_crr_rd_t1 as pd_crr_rd_t1_as_is FROM cd_loan_tapes_bce.lt003_entity WHERE ref_date='2025-06-30' AND nome_perimetro= 'Individual IDComb' AND segmento= 'ESTR' AND ambito= 'PM' AND entidade='00100' AND cod_visao = 1) A </v>
      </c>
      <c r="I84" s="17" t="str">
        <f>IF(VLOOKUP(B84,Instruções!$F$6:$J$10,5,0)="",
"(SELECT "&amp;VLOOKUP(B84,Instruções!$F$6:$J$10,4,0)&amp;" as "&amp;VLOOKUP(B84,Instruções!$F$6:$J$10,4,0)&amp;"_to_be, "&amp;E84&amp;" as "&amp;G84&amp;" FROM "&amp;D84&amp;" WHERE "&amp;Instruções!$D$11&amp;") B ",
"(SELECT "&amp;VLOOKUP(B84,Instruções!$F$6:$J$10,4,0)&amp;" as "&amp;VLOOKUP(B84,Instruções!$F$6:$J$10,4,0)&amp;"_to_be, "&amp;VLOOKUP(B84,Instruções!$F$6:$J$10,5,0)&amp;" as "&amp;VLOOKUP(B84,Instruções!$F$6:$J$10,5,0)&amp;"_to_be,"&amp;E84&amp;" as "&amp;G84&amp;" FROM "&amp;D84&amp;" WHERE "&amp;Instruções!$D$11&amp;") B ")</f>
        <v xml:space="preserve">(SELECT entty_id as entty_id_to_be, pd_crr_rd_t1 as pd_crr_rd_t1_to_be FROM bu_loantape_work.lt003_entity WHERE ref_date='2025-06-30' AND nome_perimetro= 'Individual IDComb' AND segmento= 'ESTR' AND ambito= 'PM' AND entidade='00100' AND cod_visao = 1) B </v>
      </c>
      <c r="J84" s="17" t="str">
        <f>IF(VLOOKUP(B84,Instruções!$F$6:$J$10,5,0)="",
"ON "&amp;VLOOKUP(B84,Instruções!$F$6:$J$10,4,0)&amp;"_as_is = "&amp;VLOOKUP(B84,Instruções!$F$6:$J$10,4,0)&amp;"_to_be ",
"ON "&amp;VLOOKUP(B84,Instruções!$F$6:$J$10,4,0)&amp;"_as_is = "&amp;VLOOKUP(B84,Instruções!$F$6:$J$10,4,0)&amp;"_to_be AND "&amp;VLOOKUP(B84,Instruções!$F$6:$J$10,5,0)&amp;"_as_is = "&amp;VLOOKUP(B84,Instruções!$F$6:$J$10,5,0)&amp;"_to_be ")</f>
        <v xml:space="preserve">ON entty_id_as_is = entty_id_to_be </v>
      </c>
      <c r="K84" s="17" t="str">
        <f t="shared" si="15"/>
        <v xml:space="preserve">WHERE coalesce(cast(pd_crr_rd_t1_as_is as string), '') &lt;&gt; coalesce(cast(pd_crr_rd_t1_to_be as string), '') </v>
      </c>
      <c r="L84" s="17" t="str">
        <f t="shared" si="16"/>
        <v xml:space="preserve">SELECT count(*) AS NUM_REG_DIF FROM (SELECT entty_id as entty_id_as_is, pd_crr_rd_t1 as pd_crr_rd_t1_as_is FROM cd_loan_tapes_bce.lt003_entity WHERE ref_date='2025-06-30' AND nome_perimetro= 'Individual IDComb' AND segmento= 'ESTR' AND ambito= 'PM' AND entidade='00100' AND cod_visao = 1) A  Inner join (SELECT entty_id as entty_id_to_be, pd_crr_rd_t1 as pd_crr_rd_t1_to_be FROM bu_loantape_work.lt003_entity WHERE ref_date='2025-06-30' AND nome_perimetro= 'Individual IDComb' AND segmento= 'ESTR' AND ambito= 'PM' AND entidade='00100' AND cod_visao = 1) B ON entty_id_as_is = entty_id_to_be WHERE coalesce(cast(pd_crr_rd_t1_as_is as string), '') &lt;&gt; coalesce(cast(pd_crr_rd_t1_to_be as string), '') </v>
      </c>
      <c r="M84" s="17" t="s">
        <v>48</v>
      </c>
      <c r="N84" s="17" t="str">
        <f>"SELECT 'Validação de campos' as tipologia_teste, '"&amp;VLOOKUP(B84,Instruções!$F$6:$J$10,3,0)&amp;"' AS TABELA, '"&amp;E84&amp;"' AS CAMPO, '"&amp;Instruções!$D$7&amp;"' as ref_date, coalesce(NUM_REG_DIF, 0) AS NUM_REG_DIF FROM ("&amp;L84&amp;") A "</f>
        <v xml:space="preserve">SELECT 'Validação de campos' as tipologia_teste, 'lt003_entity' AS TABELA, 'pd_crr_rd_t1' AS CAMPO, '2025-06-30' as ref_date, coalesce(NUM_REG_DIF, 0) AS NUM_REG_DIF FROM (SELECT count(*) AS NUM_REG_DIF FROM (SELECT entty_id as entty_id_as_is, pd_crr_rd_t1 as pd_crr_rd_t1_as_is FROM cd_loan_tapes_bce.lt003_entity WHERE ref_date='2025-06-30' AND nome_perimetro= 'Individual IDComb' AND segmento= 'ESTR' AND ambito= 'PM' AND entidade='00100' AND cod_visao = 1) A  Inner join (SELECT entty_id as entty_id_to_be, pd_crr_rd_t1 as pd_crr_rd_t1_to_be FROM bu_loantape_work.lt003_entity WHERE ref_date='2025-06-30' AND nome_perimetro= 'Individual IDComb' AND segmento= 'ESTR' AND ambito= 'PM' AND entidade='00100' AND cod_visao = 1) B ON entty_id_as_is = entty_id_to_be WHERE coalesce(cast(pd_crr_rd_t1_as_is as string), '') &lt;&gt; coalesce(cast(pd_crr_rd_t1_to_be as string), '') ) A </v>
      </c>
      <c r="O84" s="19" t="str">
        <f t="shared" si="12"/>
        <v>SELECT 'Validação de campos' as tipologia_teste, 'lt003_entity' AS TABELA, 'pd_crr_rd_t1' AS CAMPO, '2025-06-30' as ref_date, coalesce(NUM_REG_DIF, 0) AS NUM_REG_DIF FROM (SELECT count(*) AS NUM_REG_DIF FROM (SELECT entty_id as entty_id_as_is, pd_crr_rd_t1 as pd_crr_rd_t1_as_is FROM cd_loan_tapes_bce.lt003_entity WHERE ref_date='2025-06-30' AND nome_perimetro= 'Individual IDComb' AND segmento= 'ESTR' AND ambito= 'PM' AND entidade='00100' AND cod_visao = 1) A  Inner join (SELECT entty_id as entty_id_to_be, pd_crr_rd_t1 as pd_crr_rd_t1_to_be FROM bu_loantape_work.lt003_entity WHERE ref_date='2025-06-30' AND nome_perimetro= 'Individual IDComb' AND segmento= 'ESTR' AND ambito= 'PM' AND entidade='00100' AND cod_visao = 1) B ON entty_id_as_is = entty_id_to_be WHERE coalesce(cast(pd_crr_rd_t1_as_is as string), '') &lt;&gt; coalesce(cast(pd_crr_rd_t1_to_be as string), '') ) A UNION ALL</v>
      </c>
      <c r="P84" s="17">
        <f t="shared" si="17"/>
        <v>30</v>
      </c>
    </row>
    <row r="85" spans="2:16" s="15" customFormat="1" ht="11.5" x14ac:dyDescent="0.25">
      <c r="B85" s="17" t="s">
        <v>11</v>
      </c>
      <c r="C85" s="17" t="str">
        <f>_xlfn.CONCAT(Instruções!$D$5,".",VLOOKUP(B85,Instruções!$F$5:$H$10,2,0))</f>
        <v>cd_loan_tapes_bce.lt003_entity</v>
      </c>
      <c r="D85" s="17" t="str">
        <f>_xlfn.CONCAT(Instruções!$D$6,".",VLOOKUP(B85,Instruções!$F$5:$H$10,3,0))</f>
        <v>bu_loantape_work.lt003_entity</v>
      </c>
      <c r="E85" s="17" t="s">
        <v>128</v>
      </c>
      <c r="F85" s="17" t="str">
        <f t="shared" si="13"/>
        <v>pd_ifrs9_12m_rd_as_is</v>
      </c>
      <c r="G85" s="17" t="str">
        <f t="shared" si="14"/>
        <v>pd_ifrs9_12m_rd_to_be</v>
      </c>
      <c r="H85" s="17" t="str">
        <f>IF(VLOOKUP(B85,Instruções!$F$6:$J$10,5,0)="",
"(SELECT "&amp;VLOOKUP(B85,Instruções!$F$6:$J$10,4,0)&amp;" as "&amp;VLOOKUP(B85,Instruções!$F$6:$J$10,4,0)&amp;"_as_is, "&amp;E85&amp;" as "&amp;F85&amp;" FROM "&amp;C85&amp;" WHERE "&amp;Instruções!$D$11&amp;") A ",
"(SELECT "&amp;VLOOKUP(B85,Instruções!$F$6:$J$10,4,0)&amp;" as "&amp;VLOOKUP(B85,Instruções!$F$6:$J$10,4,0)&amp;"_as_is, "&amp;VLOOKUP(B85,Instruções!$F$6:$J$10,5,0)&amp;" as "&amp;VLOOKUP(B85,Instruções!$F$6:$J$10,5,0)&amp;"_as_is,"&amp;E85&amp;" as "&amp;F85&amp;" FROM "&amp;C85&amp;" WHERE "&amp;Instruções!$D$11&amp;") A ")</f>
        <v xml:space="preserve">(SELECT entty_id as entty_id_as_is, pd_ifrs9_12m_rd as pd_ifrs9_12m_rd_as_is FROM cd_loan_tapes_bce.lt003_entity WHERE ref_date='2025-06-30' AND nome_perimetro= 'Individual IDComb' AND segmento= 'ESTR' AND ambito= 'PM' AND entidade='00100' AND cod_visao = 1) A </v>
      </c>
      <c r="I85" s="17" t="str">
        <f>IF(VLOOKUP(B85,Instruções!$F$6:$J$10,5,0)="",
"(SELECT "&amp;VLOOKUP(B85,Instruções!$F$6:$J$10,4,0)&amp;" as "&amp;VLOOKUP(B85,Instruções!$F$6:$J$10,4,0)&amp;"_to_be, "&amp;E85&amp;" as "&amp;G85&amp;" FROM "&amp;D85&amp;" WHERE "&amp;Instruções!$D$11&amp;") B ",
"(SELECT "&amp;VLOOKUP(B85,Instruções!$F$6:$J$10,4,0)&amp;" as "&amp;VLOOKUP(B85,Instruções!$F$6:$J$10,4,0)&amp;"_to_be, "&amp;VLOOKUP(B85,Instruções!$F$6:$J$10,5,0)&amp;" as "&amp;VLOOKUP(B85,Instruções!$F$6:$J$10,5,0)&amp;"_to_be,"&amp;E85&amp;" as "&amp;G85&amp;" FROM "&amp;D85&amp;" WHERE "&amp;Instruções!$D$11&amp;") B ")</f>
        <v xml:space="preserve">(SELECT entty_id as entty_id_to_be, pd_ifrs9_12m_rd as pd_ifrs9_12m_rd_to_be FROM bu_loantape_work.lt003_entity WHERE ref_date='2025-06-30' AND nome_perimetro= 'Individual IDComb' AND segmento= 'ESTR' AND ambito= 'PM' AND entidade='00100' AND cod_visao = 1) B </v>
      </c>
      <c r="J85" s="17" t="str">
        <f>IF(VLOOKUP(B85,Instruções!$F$6:$J$10,5,0)="",
"ON "&amp;VLOOKUP(B85,Instruções!$F$6:$J$10,4,0)&amp;"_as_is = "&amp;VLOOKUP(B85,Instruções!$F$6:$J$10,4,0)&amp;"_to_be ",
"ON "&amp;VLOOKUP(B85,Instruções!$F$6:$J$10,4,0)&amp;"_as_is = "&amp;VLOOKUP(B85,Instruções!$F$6:$J$10,4,0)&amp;"_to_be AND "&amp;VLOOKUP(B85,Instruções!$F$6:$J$10,5,0)&amp;"_as_is = "&amp;VLOOKUP(B85,Instruções!$F$6:$J$10,5,0)&amp;"_to_be ")</f>
        <v xml:space="preserve">ON entty_id_as_is = entty_id_to_be </v>
      </c>
      <c r="K85" s="17" t="str">
        <f t="shared" si="15"/>
        <v xml:space="preserve">WHERE coalesce(cast(pd_ifrs9_12m_rd_as_is as string), '') &lt;&gt; coalesce(cast(pd_ifrs9_12m_rd_to_be as string), '') </v>
      </c>
      <c r="L85" s="17" t="str">
        <f t="shared" si="16"/>
        <v xml:space="preserve">SELECT count(*) AS NUM_REG_DIF FROM (SELECT entty_id as entty_id_as_is, pd_ifrs9_12m_rd as pd_ifrs9_12m_rd_as_is FROM cd_loan_tapes_bce.lt003_entity WHERE ref_date='2025-06-30' AND nome_perimetro= 'Individual IDComb' AND segmento= 'ESTR' AND ambito= 'PM' AND entidade='00100' AND cod_visao = 1) A  Inner join (SELECT entty_id as entty_id_to_be, pd_ifrs9_12m_rd as pd_ifrs9_12m_rd_to_be FROM bu_loantape_work.lt003_entity WHERE ref_date='2025-06-30' AND nome_perimetro= 'Individual IDComb' AND segmento= 'ESTR' AND ambito= 'PM' AND entidade='00100' AND cod_visao = 1) B ON entty_id_as_is = entty_id_to_be WHERE coalesce(cast(pd_ifrs9_12m_rd_as_is as string), '') &lt;&gt; coalesce(cast(pd_ifrs9_12m_rd_to_be as string), '') </v>
      </c>
      <c r="M85" s="17" t="s">
        <v>48</v>
      </c>
      <c r="N85" s="17" t="str">
        <f>"SELECT 'Validação de campos' as tipologia_teste, '"&amp;VLOOKUP(B85,Instruções!$F$6:$J$10,3,0)&amp;"' AS TABELA, '"&amp;E85&amp;"' AS CAMPO, '"&amp;Instruções!$D$7&amp;"' as ref_date, coalesce(NUM_REG_DIF, 0) AS NUM_REG_DIF FROM ("&amp;L85&amp;") A "</f>
        <v xml:space="preserve">SELECT 'Validação de campos' as tipologia_teste, 'lt003_entity' AS TABELA, 'pd_ifrs9_12m_rd' AS CAMPO, '2025-06-30' as ref_date, coalesce(NUM_REG_DIF, 0) AS NUM_REG_DIF FROM (SELECT count(*) AS NUM_REG_DIF FROM (SELECT entty_id as entty_id_as_is, pd_ifrs9_12m_rd as pd_ifrs9_12m_rd_as_is FROM cd_loan_tapes_bce.lt003_entity WHERE ref_date='2025-06-30' AND nome_perimetro= 'Individual IDComb' AND segmento= 'ESTR' AND ambito= 'PM' AND entidade='00100' AND cod_visao = 1) A  Inner join (SELECT entty_id as entty_id_to_be, pd_ifrs9_12m_rd as pd_ifrs9_12m_rd_to_be FROM bu_loantape_work.lt003_entity WHERE ref_date='2025-06-30' AND nome_perimetro= 'Individual IDComb' AND segmento= 'ESTR' AND ambito= 'PM' AND entidade='00100' AND cod_visao = 1) B ON entty_id_as_is = entty_id_to_be WHERE coalesce(cast(pd_ifrs9_12m_rd_as_is as string), '') &lt;&gt; coalesce(cast(pd_ifrs9_12m_rd_to_be as string), '') ) A </v>
      </c>
      <c r="O85" s="19" t="str">
        <f t="shared" si="12"/>
        <v>SELECT 'Validação de campos' as tipologia_teste, 'lt003_entity' AS TABELA, 'pd_ifrs9_12m_rd' AS CAMPO, '2025-06-30' as ref_date, coalesce(NUM_REG_DIF, 0) AS NUM_REG_DIF FROM (SELECT count(*) AS NUM_REG_DIF FROM (SELECT entty_id as entty_id_as_is, pd_ifrs9_12m_rd as pd_ifrs9_12m_rd_as_is FROM cd_loan_tapes_bce.lt003_entity WHERE ref_date='2025-06-30' AND nome_perimetro= 'Individual IDComb' AND segmento= 'ESTR' AND ambito= 'PM' AND entidade='00100' AND cod_visao = 1) A  Inner join (SELECT entty_id as entty_id_to_be, pd_ifrs9_12m_rd as pd_ifrs9_12m_rd_to_be FROM bu_loantape_work.lt003_entity WHERE ref_date='2025-06-30' AND nome_perimetro= 'Individual IDComb' AND segmento= 'ESTR' AND ambito= 'PM' AND entidade='00100' AND cod_visao = 1) B ON entty_id_as_is = entty_id_to_be WHERE coalesce(cast(pd_ifrs9_12m_rd_as_is as string), '') &lt;&gt; coalesce(cast(pd_ifrs9_12m_rd_to_be as string), '') ) A UNION ALL</v>
      </c>
      <c r="P85" s="17">
        <f t="shared" si="17"/>
        <v>31</v>
      </c>
    </row>
    <row r="86" spans="2:16" s="15" customFormat="1" ht="11.5" x14ac:dyDescent="0.25">
      <c r="B86" s="17" t="s">
        <v>11</v>
      </c>
      <c r="C86" s="17" t="str">
        <f>_xlfn.CONCAT(Instruções!$D$5,".",VLOOKUP(B86,Instruções!$F$5:$H$10,2,0))</f>
        <v>cd_loan_tapes_bce.lt003_entity</v>
      </c>
      <c r="D86" s="17" t="str">
        <f>_xlfn.CONCAT(Instruções!$D$6,".",VLOOKUP(B86,Instruções!$F$5:$H$10,3,0))</f>
        <v>bu_loantape_work.lt003_entity</v>
      </c>
      <c r="E86" s="17" t="s">
        <v>129</v>
      </c>
      <c r="F86" s="17" t="str">
        <f t="shared" si="13"/>
        <v>pd_ifrs9_12m_rd_t1_as_is</v>
      </c>
      <c r="G86" s="17" t="str">
        <f t="shared" si="14"/>
        <v>pd_ifrs9_12m_rd_t1_to_be</v>
      </c>
      <c r="H86" s="17" t="str">
        <f>IF(VLOOKUP(B86,Instruções!$F$6:$J$10,5,0)="",
"(SELECT "&amp;VLOOKUP(B86,Instruções!$F$6:$J$10,4,0)&amp;" as "&amp;VLOOKUP(B86,Instruções!$F$6:$J$10,4,0)&amp;"_as_is, "&amp;E86&amp;" as "&amp;F86&amp;" FROM "&amp;C86&amp;" WHERE "&amp;Instruções!$D$11&amp;") A ",
"(SELECT "&amp;VLOOKUP(B86,Instruções!$F$6:$J$10,4,0)&amp;" as "&amp;VLOOKUP(B86,Instruções!$F$6:$J$10,4,0)&amp;"_as_is, "&amp;VLOOKUP(B86,Instruções!$F$6:$J$10,5,0)&amp;" as "&amp;VLOOKUP(B86,Instruções!$F$6:$J$10,5,0)&amp;"_as_is,"&amp;E86&amp;" as "&amp;F86&amp;" FROM "&amp;C86&amp;" WHERE "&amp;Instruções!$D$11&amp;") A ")</f>
        <v xml:space="preserve">(SELECT entty_id as entty_id_as_is, pd_ifrs9_12m_rd_t1 as pd_ifrs9_12m_rd_t1_as_is FROM cd_loan_tapes_bce.lt003_entity WHERE ref_date='2025-06-30' AND nome_perimetro= 'Individual IDComb' AND segmento= 'ESTR' AND ambito= 'PM' AND entidade='00100' AND cod_visao = 1) A </v>
      </c>
      <c r="I86" s="17" t="str">
        <f>IF(VLOOKUP(B86,Instruções!$F$6:$J$10,5,0)="",
"(SELECT "&amp;VLOOKUP(B86,Instruções!$F$6:$J$10,4,0)&amp;" as "&amp;VLOOKUP(B86,Instruções!$F$6:$J$10,4,0)&amp;"_to_be, "&amp;E86&amp;" as "&amp;G86&amp;" FROM "&amp;D86&amp;" WHERE "&amp;Instruções!$D$11&amp;") B ",
"(SELECT "&amp;VLOOKUP(B86,Instruções!$F$6:$J$10,4,0)&amp;" as "&amp;VLOOKUP(B86,Instruções!$F$6:$J$10,4,0)&amp;"_to_be, "&amp;VLOOKUP(B86,Instruções!$F$6:$J$10,5,0)&amp;" as "&amp;VLOOKUP(B86,Instruções!$F$6:$J$10,5,0)&amp;"_to_be,"&amp;E86&amp;" as "&amp;G86&amp;" FROM "&amp;D86&amp;" WHERE "&amp;Instruções!$D$11&amp;") B ")</f>
        <v xml:space="preserve">(SELECT entty_id as entty_id_to_be, pd_ifrs9_12m_rd_t1 as pd_ifrs9_12m_rd_t1_to_be FROM bu_loantape_work.lt003_entity WHERE ref_date='2025-06-30' AND nome_perimetro= 'Individual IDComb' AND segmento= 'ESTR' AND ambito= 'PM' AND entidade='00100' AND cod_visao = 1) B </v>
      </c>
      <c r="J86" s="17" t="str">
        <f>IF(VLOOKUP(B86,Instruções!$F$6:$J$10,5,0)="",
"ON "&amp;VLOOKUP(B86,Instruções!$F$6:$J$10,4,0)&amp;"_as_is = "&amp;VLOOKUP(B86,Instruções!$F$6:$J$10,4,0)&amp;"_to_be ",
"ON "&amp;VLOOKUP(B86,Instruções!$F$6:$J$10,4,0)&amp;"_as_is = "&amp;VLOOKUP(B86,Instruções!$F$6:$J$10,4,0)&amp;"_to_be AND "&amp;VLOOKUP(B86,Instruções!$F$6:$J$10,5,0)&amp;"_as_is = "&amp;VLOOKUP(B86,Instruções!$F$6:$J$10,5,0)&amp;"_to_be ")</f>
        <v xml:space="preserve">ON entty_id_as_is = entty_id_to_be </v>
      </c>
      <c r="K86" s="17" t="str">
        <f t="shared" si="15"/>
        <v xml:space="preserve">WHERE coalesce(cast(pd_ifrs9_12m_rd_t1_as_is as string), '') &lt;&gt; coalesce(cast(pd_ifrs9_12m_rd_t1_to_be as string), '') </v>
      </c>
      <c r="L86" s="17" t="str">
        <f t="shared" si="16"/>
        <v xml:space="preserve">SELECT count(*) AS NUM_REG_DIF FROM (SELECT entty_id as entty_id_as_is, pd_ifrs9_12m_rd_t1 as pd_ifrs9_12m_rd_t1_as_is FROM cd_loan_tapes_bce.lt003_entity WHERE ref_date='2025-06-30' AND nome_perimetro= 'Individual IDComb' AND segmento= 'ESTR' AND ambito= 'PM' AND entidade='00100' AND cod_visao = 1) A  Inner join (SELECT entty_id as entty_id_to_be, pd_ifrs9_12m_rd_t1 as pd_ifrs9_12m_rd_t1_to_be FROM bu_loantape_work.lt003_entity WHERE ref_date='2025-06-30' AND nome_perimetro= 'Individual IDComb' AND segmento= 'ESTR' AND ambito= 'PM' AND entidade='00100' AND cod_visao = 1) B ON entty_id_as_is = entty_id_to_be WHERE coalesce(cast(pd_ifrs9_12m_rd_t1_as_is as string), '') &lt;&gt; coalesce(cast(pd_ifrs9_12m_rd_t1_to_be as string), '') </v>
      </c>
      <c r="M86" s="17" t="s">
        <v>48</v>
      </c>
      <c r="N86" s="17" t="str">
        <f>"SELECT 'Validação de campos' as tipologia_teste, '"&amp;VLOOKUP(B86,Instruções!$F$6:$J$10,3,0)&amp;"' AS TABELA, '"&amp;E86&amp;"' AS CAMPO, '"&amp;Instruções!$D$7&amp;"' as ref_date, coalesce(NUM_REG_DIF, 0) AS NUM_REG_DIF FROM ("&amp;L86&amp;") A "</f>
        <v xml:space="preserve">SELECT 'Validação de campos' as tipologia_teste, 'lt003_entity' AS TABELA, 'pd_ifrs9_12m_rd_t1' AS CAMPO, '2025-06-30' as ref_date, coalesce(NUM_REG_DIF, 0) AS NUM_REG_DIF FROM (SELECT count(*) AS NUM_REG_DIF FROM (SELECT entty_id as entty_id_as_is, pd_ifrs9_12m_rd_t1 as pd_ifrs9_12m_rd_t1_as_is FROM cd_loan_tapes_bce.lt003_entity WHERE ref_date='2025-06-30' AND nome_perimetro= 'Individual IDComb' AND segmento= 'ESTR' AND ambito= 'PM' AND entidade='00100' AND cod_visao = 1) A  Inner join (SELECT entty_id as entty_id_to_be, pd_ifrs9_12m_rd_t1 as pd_ifrs9_12m_rd_t1_to_be FROM bu_loantape_work.lt003_entity WHERE ref_date='2025-06-30' AND nome_perimetro= 'Individual IDComb' AND segmento= 'ESTR' AND ambito= 'PM' AND entidade='00100' AND cod_visao = 1) B ON entty_id_as_is = entty_id_to_be WHERE coalesce(cast(pd_ifrs9_12m_rd_t1_as_is as string), '') &lt;&gt; coalesce(cast(pd_ifrs9_12m_rd_t1_to_be as string), '') ) A </v>
      </c>
      <c r="O86" s="19" t="str">
        <f t="shared" si="12"/>
        <v>SELECT 'Validação de campos' as tipologia_teste, 'lt003_entity' AS TABELA, 'pd_ifrs9_12m_rd_t1' AS CAMPO, '2025-06-30' as ref_date, coalesce(NUM_REG_DIF, 0) AS NUM_REG_DIF FROM (SELECT count(*) AS NUM_REG_DIF FROM (SELECT entty_id as entty_id_as_is, pd_ifrs9_12m_rd_t1 as pd_ifrs9_12m_rd_t1_as_is FROM cd_loan_tapes_bce.lt003_entity WHERE ref_date='2025-06-30' AND nome_perimetro= 'Individual IDComb' AND segmento= 'ESTR' AND ambito= 'PM' AND entidade='00100' AND cod_visao = 1) A  Inner join (SELECT entty_id as entty_id_to_be, pd_ifrs9_12m_rd_t1 as pd_ifrs9_12m_rd_t1_to_be FROM bu_loantape_work.lt003_entity WHERE ref_date='2025-06-30' AND nome_perimetro= 'Individual IDComb' AND segmento= 'ESTR' AND ambito= 'PM' AND entidade='00100' AND cod_visao = 1) B ON entty_id_as_is = entty_id_to_be WHERE coalesce(cast(pd_ifrs9_12m_rd_t1_as_is as string), '') &lt;&gt; coalesce(cast(pd_ifrs9_12m_rd_t1_to_be as string), '') ) A UNION ALL</v>
      </c>
      <c r="P86" s="17">
        <f t="shared" si="17"/>
        <v>32</v>
      </c>
    </row>
    <row r="87" spans="2:16" s="15" customFormat="1" ht="11.5" x14ac:dyDescent="0.25">
      <c r="B87" s="17" t="s">
        <v>11</v>
      </c>
      <c r="C87" s="17" t="str">
        <f>_xlfn.CONCAT(Instruções!$D$5,".",VLOOKUP(B87,Instruções!$F$5:$H$10,2,0))</f>
        <v>cd_loan_tapes_bce.lt003_entity</v>
      </c>
      <c r="D87" s="17" t="str">
        <f>_xlfn.CONCAT(Instruções!$D$6,".",VLOOKUP(B87,Instruções!$F$5:$H$10,3,0))</f>
        <v>bu_loantape_work.lt003_entity</v>
      </c>
      <c r="E87" s="17" t="s">
        <v>130</v>
      </c>
      <c r="F87" s="17" t="str">
        <f t="shared" si="13"/>
        <v>prfrmng_stts_le_as_is</v>
      </c>
      <c r="G87" s="17" t="str">
        <f t="shared" si="14"/>
        <v>prfrmng_stts_le_to_be</v>
      </c>
      <c r="H87" s="17" t="str">
        <f>IF(VLOOKUP(B87,Instruções!$F$6:$J$10,5,0)="",
"(SELECT "&amp;VLOOKUP(B87,Instruções!$F$6:$J$10,4,0)&amp;" as "&amp;VLOOKUP(B87,Instruções!$F$6:$J$10,4,0)&amp;"_as_is, "&amp;E87&amp;" as "&amp;F87&amp;" FROM "&amp;C87&amp;" WHERE "&amp;Instruções!$D$11&amp;") A ",
"(SELECT "&amp;VLOOKUP(B87,Instruções!$F$6:$J$10,4,0)&amp;" as "&amp;VLOOKUP(B87,Instruções!$F$6:$J$10,4,0)&amp;"_as_is, "&amp;VLOOKUP(B87,Instruções!$F$6:$J$10,5,0)&amp;" as "&amp;VLOOKUP(B87,Instruções!$F$6:$J$10,5,0)&amp;"_as_is,"&amp;E87&amp;" as "&amp;F87&amp;" FROM "&amp;C87&amp;" WHERE "&amp;Instruções!$D$11&amp;") A ")</f>
        <v xml:space="preserve">(SELECT entty_id as entty_id_as_is, prfrmng_stts_le as prfrmng_stts_le_as_is FROM cd_loan_tapes_bce.lt003_entity WHERE ref_date='2025-06-30' AND nome_perimetro= 'Individual IDComb' AND segmento= 'ESTR' AND ambito= 'PM' AND entidade='00100' AND cod_visao = 1) A </v>
      </c>
      <c r="I87" s="17" t="str">
        <f>IF(VLOOKUP(B87,Instruções!$F$6:$J$10,5,0)="",
"(SELECT "&amp;VLOOKUP(B87,Instruções!$F$6:$J$10,4,0)&amp;" as "&amp;VLOOKUP(B87,Instruções!$F$6:$J$10,4,0)&amp;"_to_be, "&amp;E87&amp;" as "&amp;G87&amp;" FROM "&amp;D87&amp;" WHERE "&amp;Instruções!$D$11&amp;") B ",
"(SELECT "&amp;VLOOKUP(B87,Instruções!$F$6:$J$10,4,0)&amp;" as "&amp;VLOOKUP(B87,Instruções!$F$6:$J$10,4,0)&amp;"_to_be, "&amp;VLOOKUP(B87,Instruções!$F$6:$J$10,5,0)&amp;" as "&amp;VLOOKUP(B87,Instruções!$F$6:$J$10,5,0)&amp;"_to_be,"&amp;E87&amp;" as "&amp;G87&amp;" FROM "&amp;D87&amp;" WHERE "&amp;Instruções!$D$11&amp;") B ")</f>
        <v xml:space="preserve">(SELECT entty_id as entty_id_to_be, prfrmng_stts_le as prfrmng_stts_le_to_be FROM bu_loantape_work.lt003_entity WHERE ref_date='2025-06-30' AND nome_perimetro= 'Individual IDComb' AND segmento= 'ESTR' AND ambito= 'PM' AND entidade='00100' AND cod_visao = 1) B </v>
      </c>
      <c r="J87" s="17" t="str">
        <f>IF(VLOOKUP(B87,Instruções!$F$6:$J$10,5,0)="",
"ON "&amp;VLOOKUP(B87,Instruções!$F$6:$J$10,4,0)&amp;"_as_is = "&amp;VLOOKUP(B87,Instruções!$F$6:$J$10,4,0)&amp;"_to_be ",
"ON "&amp;VLOOKUP(B87,Instruções!$F$6:$J$10,4,0)&amp;"_as_is = "&amp;VLOOKUP(B87,Instruções!$F$6:$J$10,4,0)&amp;"_to_be AND "&amp;VLOOKUP(B87,Instruções!$F$6:$J$10,5,0)&amp;"_as_is = "&amp;VLOOKUP(B87,Instruções!$F$6:$J$10,5,0)&amp;"_to_be ")</f>
        <v xml:space="preserve">ON entty_id_as_is = entty_id_to_be </v>
      </c>
      <c r="K87" s="17" t="str">
        <f t="shared" si="15"/>
        <v xml:space="preserve">WHERE coalesce(cast(prfrmng_stts_le_as_is as string), '') &lt;&gt; coalesce(cast(prfrmng_stts_le_to_be as string), '') </v>
      </c>
      <c r="L87" s="17" t="str">
        <f t="shared" si="16"/>
        <v xml:space="preserve">SELECT count(*) AS NUM_REG_DIF FROM (SELECT entty_id as entty_id_as_is, prfrmng_stts_le as prfrmng_stts_le_as_is FROM cd_loan_tapes_bce.lt003_entity WHERE ref_date='2025-06-30' AND nome_perimetro= 'Individual IDComb' AND segmento= 'ESTR' AND ambito= 'PM' AND entidade='00100' AND cod_visao = 1) A  Inner join (SELECT entty_id as entty_id_to_be, prfrmng_stts_le as prfrmng_stts_le_to_be FROM bu_loantape_work.lt003_entity WHERE ref_date='2025-06-30' AND nome_perimetro= 'Individual IDComb' AND segmento= 'ESTR' AND ambito= 'PM' AND entidade='00100' AND cod_visao = 1) B ON entty_id_as_is = entty_id_to_be WHERE coalesce(cast(prfrmng_stts_le_as_is as string), '') &lt;&gt; coalesce(cast(prfrmng_stts_le_to_be as string), '') </v>
      </c>
      <c r="M87" s="17" t="s">
        <v>48</v>
      </c>
      <c r="N87" s="17" t="str">
        <f>"SELECT 'Validação de campos' as tipologia_teste, '"&amp;VLOOKUP(B87,Instruções!$F$6:$J$10,3,0)&amp;"' AS TABELA, '"&amp;E87&amp;"' AS CAMPO, '"&amp;Instruções!$D$7&amp;"' as ref_date, coalesce(NUM_REG_DIF, 0) AS NUM_REG_DIF FROM ("&amp;L87&amp;") A "</f>
        <v xml:space="preserve">SELECT 'Validação de campos' as tipologia_teste, 'lt003_entity' AS TABELA, 'prfrmng_stts_le' AS CAMPO, '2025-06-30' as ref_date, coalesce(NUM_REG_DIF, 0) AS NUM_REG_DIF FROM (SELECT count(*) AS NUM_REG_DIF FROM (SELECT entty_id as entty_id_as_is, prfrmng_stts_le as prfrmng_stts_le_as_is FROM cd_loan_tapes_bce.lt003_entity WHERE ref_date='2025-06-30' AND nome_perimetro= 'Individual IDComb' AND segmento= 'ESTR' AND ambito= 'PM' AND entidade='00100' AND cod_visao = 1) A  Inner join (SELECT entty_id as entty_id_to_be, prfrmng_stts_le as prfrmng_stts_le_to_be FROM bu_loantape_work.lt003_entity WHERE ref_date='2025-06-30' AND nome_perimetro= 'Individual IDComb' AND segmento= 'ESTR' AND ambito= 'PM' AND entidade='00100' AND cod_visao = 1) B ON entty_id_as_is = entty_id_to_be WHERE coalesce(cast(prfrmng_stts_le_as_is as string), '') &lt;&gt; coalesce(cast(prfrmng_stts_le_to_be as string), '') ) A </v>
      </c>
      <c r="O87" s="19" t="str">
        <f t="shared" si="12"/>
        <v>SELECT 'Validação de campos' as tipologia_teste, 'lt003_entity' AS TABELA, 'prfrmng_stts_le' AS CAMPO, '2025-06-30' as ref_date, coalesce(NUM_REG_DIF, 0) AS NUM_REG_DIF FROM (SELECT count(*) AS NUM_REG_DIF FROM (SELECT entty_id as entty_id_as_is, prfrmng_stts_le as prfrmng_stts_le_as_is FROM cd_loan_tapes_bce.lt003_entity WHERE ref_date='2025-06-30' AND nome_perimetro= 'Individual IDComb' AND segmento= 'ESTR' AND ambito= 'PM' AND entidade='00100' AND cod_visao = 1) A  Inner join (SELECT entty_id as entty_id_to_be, prfrmng_stts_le as prfrmng_stts_le_to_be FROM bu_loantape_work.lt003_entity WHERE ref_date='2025-06-30' AND nome_perimetro= 'Individual IDComb' AND segmento= 'ESTR' AND ambito= 'PM' AND entidade='00100' AND cod_visao = 1) B ON entty_id_as_is = entty_id_to_be WHERE coalesce(cast(prfrmng_stts_le_as_is as string), '') &lt;&gt; coalesce(cast(prfrmng_stts_le_to_be as string), '') ) A UNION ALL</v>
      </c>
      <c r="P87" s="17">
        <f t="shared" si="17"/>
        <v>33</v>
      </c>
    </row>
    <row r="88" spans="2:16" s="15" customFormat="1" ht="11.5" x14ac:dyDescent="0.25">
      <c r="B88" s="17" t="s">
        <v>11</v>
      </c>
      <c r="C88" s="17" t="str">
        <f>_xlfn.CONCAT(Instruções!$D$5,".",VLOOKUP(B88,Instruções!$F$5:$H$10,2,0))</f>
        <v>cd_loan_tapes_bce.lt003_entity</v>
      </c>
      <c r="D88" s="17" t="str">
        <f>_xlfn.CONCAT(Instruções!$D$6,".",VLOOKUP(B88,Instruções!$F$5:$H$10,3,0))</f>
        <v>bu_loantape_work.lt003_entity</v>
      </c>
      <c r="E88" s="17" t="s">
        <v>131</v>
      </c>
      <c r="F88" s="17" t="str">
        <f t="shared" si="13"/>
        <v>prsn_typ_as_is</v>
      </c>
      <c r="G88" s="17" t="str">
        <f t="shared" si="14"/>
        <v>prsn_typ_to_be</v>
      </c>
      <c r="H88" s="17" t="str">
        <f>IF(VLOOKUP(B88,Instruções!$F$6:$J$10,5,0)="",
"(SELECT "&amp;VLOOKUP(B88,Instruções!$F$6:$J$10,4,0)&amp;" as "&amp;VLOOKUP(B88,Instruções!$F$6:$J$10,4,0)&amp;"_as_is, "&amp;E88&amp;" as "&amp;F88&amp;" FROM "&amp;C88&amp;" WHERE "&amp;Instruções!$D$11&amp;") A ",
"(SELECT "&amp;VLOOKUP(B88,Instruções!$F$6:$J$10,4,0)&amp;" as "&amp;VLOOKUP(B88,Instruções!$F$6:$J$10,4,0)&amp;"_as_is, "&amp;VLOOKUP(B88,Instruções!$F$6:$J$10,5,0)&amp;" as "&amp;VLOOKUP(B88,Instruções!$F$6:$J$10,5,0)&amp;"_as_is,"&amp;E88&amp;" as "&amp;F88&amp;" FROM "&amp;C88&amp;" WHERE "&amp;Instruções!$D$11&amp;") A ")</f>
        <v xml:space="preserve">(SELECT entty_id as entty_id_as_is, prsn_typ as prsn_typ_as_is FROM cd_loan_tapes_bce.lt003_entity WHERE ref_date='2025-06-30' AND nome_perimetro= 'Individual IDComb' AND segmento= 'ESTR' AND ambito= 'PM' AND entidade='00100' AND cod_visao = 1) A </v>
      </c>
      <c r="I88" s="17" t="str">
        <f>IF(VLOOKUP(B88,Instruções!$F$6:$J$10,5,0)="",
"(SELECT "&amp;VLOOKUP(B88,Instruções!$F$6:$J$10,4,0)&amp;" as "&amp;VLOOKUP(B88,Instruções!$F$6:$J$10,4,0)&amp;"_to_be, "&amp;E88&amp;" as "&amp;G88&amp;" FROM "&amp;D88&amp;" WHERE "&amp;Instruções!$D$11&amp;") B ",
"(SELECT "&amp;VLOOKUP(B88,Instruções!$F$6:$J$10,4,0)&amp;" as "&amp;VLOOKUP(B88,Instruções!$F$6:$J$10,4,0)&amp;"_to_be, "&amp;VLOOKUP(B88,Instruções!$F$6:$J$10,5,0)&amp;" as "&amp;VLOOKUP(B88,Instruções!$F$6:$J$10,5,0)&amp;"_to_be,"&amp;E88&amp;" as "&amp;G88&amp;" FROM "&amp;D88&amp;" WHERE "&amp;Instruções!$D$11&amp;") B ")</f>
        <v xml:space="preserve">(SELECT entty_id as entty_id_to_be, prsn_typ as prsn_typ_to_be FROM bu_loantape_work.lt003_entity WHERE ref_date='2025-06-30' AND nome_perimetro= 'Individual IDComb' AND segmento= 'ESTR' AND ambito= 'PM' AND entidade='00100' AND cod_visao = 1) B </v>
      </c>
      <c r="J88" s="17" t="str">
        <f>IF(VLOOKUP(B88,Instruções!$F$6:$J$10,5,0)="",
"ON "&amp;VLOOKUP(B88,Instruções!$F$6:$J$10,4,0)&amp;"_as_is = "&amp;VLOOKUP(B88,Instruções!$F$6:$J$10,4,0)&amp;"_to_be ",
"ON "&amp;VLOOKUP(B88,Instruções!$F$6:$J$10,4,0)&amp;"_as_is = "&amp;VLOOKUP(B88,Instruções!$F$6:$J$10,4,0)&amp;"_to_be AND "&amp;VLOOKUP(B88,Instruções!$F$6:$J$10,5,0)&amp;"_as_is = "&amp;VLOOKUP(B88,Instruções!$F$6:$J$10,5,0)&amp;"_to_be ")</f>
        <v xml:space="preserve">ON entty_id_as_is = entty_id_to_be </v>
      </c>
      <c r="K88" s="17" t="str">
        <f t="shared" si="15"/>
        <v xml:space="preserve">WHERE coalesce(cast(prsn_typ_as_is as string), '') &lt;&gt; coalesce(cast(prsn_typ_to_be as string), '') </v>
      </c>
      <c r="L88" s="17" t="str">
        <f t="shared" si="16"/>
        <v xml:space="preserve">SELECT count(*) AS NUM_REG_DIF FROM (SELECT entty_id as entty_id_as_is, prsn_typ as prsn_typ_as_is FROM cd_loan_tapes_bce.lt003_entity WHERE ref_date='2025-06-30' AND nome_perimetro= 'Individual IDComb' AND segmento= 'ESTR' AND ambito= 'PM' AND entidade='00100' AND cod_visao = 1) A  Inner join (SELECT entty_id as entty_id_to_be, prsn_typ as prsn_typ_to_be FROM bu_loantape_work.lt003_entity WHERE ref_date='2025-06-30' AND nome_perimetro= 'Individual IDComb' AND segmento= 'ESTR' AND ambito= 'PM' AND entidade='00100' AND cod_visao = 1) B ON entty_id_as_is = entty_id_to_be WHERE coalesce(cast(prsn_typ_as_is as string), '') &lt;&gt; coalesce(cast(prsn_typ_to_be as string), '') </v>
      </c>
      <c r="M88" s="17" t="s">
        <v>48</v>
      </c>
      <c r="N88" s="17" t="str">
        <f>"SELECT 'Validação de campos' as tipologia_teste, '"&amp;VLOOKUP(B88,Instruções!$F$6:$J$10,3,0)&amp;"' AS TABELA, '"&amp;E88&amp;"' AS CAMPO, '"&amp;Instruções!$D$7&amp;"' as ref_date, coalesce(NUM_REG_DIF, 0) AS NUM_REG_DIF FROM ("&amp;L88&amp;") A "</f>
        <v xml:space="preserve">SELECT 'Validação de campos' as tipologia_teste, 'lt003_entity' AS TABELA, 'prsn_typ' AS CAMPO, '2025-06-30' as ref_date, coalesce(NUM_REG_DIF, 0) AS NUM_REG_DIF FROM (SELECT count(*) AS NUM_REG_DIF FROM (SELECT entty_id as entty_id_as_is, prsn_typ as prsn_typ_as_is FROM cd_loan_tapes_bce.lt003_entity WHERE ref_date='2025-06-30' AND nome_perimetro= 'Individual IDComb' AND segmento= 'ESTR' AND ambito= 'PM' AND entidade='00100' AND cod_visao = 1) A  Inner join (SELECT entty_id as entty_id_to_be, prsn_typ as prsn_typ_to_be FROM bu_loantape_work.lt003_entity WHERE ref_date='2025-06-30' AND nome_perimetro= 'Individual IDComb' AND segmento= 'ESTR' AND ambito= 'PM' AND entidade='00100' AND cod_visao = 1) B ON entty_id_as_is = entty_id_to_be WHERE coalesce(cast(prsn_typ_as_is as string), '') &lt;&gt; coalesce(cast(prsn_typ_to_be as string), '') ) A </v>
      </c>
      <c r="O88" s="19" t="str">
        <f t="shared" si="12"/>
        <v>SELECT 'Validação de campos' as tipologia_teste, 'lt003_entity' AS TABELA, 'prsn_typ' AS CAMPO, '2025-06-30' as ref_date, coalesce(NUM_REG_DIF, 0) AS NUM_REG_DIF FROM (SELECT count(*) AS NUM_REG_DIF FROM (SELECT entty_id as entty_id_as_is, prsn_typ as prsn_typ_as_is FROM cd_loan_tapes_bce.lt003_entity WHERE ref_date='2025-06-30' AND nome_perimetro= 'Individual IDComb' AND segmento= 'ESTR' AND ambito= 'PM' AND entidade='00100' AND cod_visao = 1) A  Inner join (SELECT entty_id as entty_id_to_be, prsn_typ as prsn_typ_to_be FROM bu_loantape_work.lt003_entity WHERE ref_date='2025-06-30' AND nome_perimetro= 'Individual IDComb' AND segmento= 'ESTR' AND ambito= 'PM' AND entidade='00100' AND cod_visao = 1) B ON entty_id_as_is = entty_id_to_be WHERE coalesce(cast(prsn_typ_as_is as string), '') &lt;&gt; coalesce(cast(prsn_typ_to_be as string), '') ) A UNION ALL</v>
      </c>
      <c r="P88" s="17">
        <f t="shared" si="17"/>
        <v>34</v>
      </c>
    </row>
    <row r="89" spans="2:16" s="15" customFormat="1" ht="11.5" x14ac:dyDescent="0.25">
      <c r="B89" s="17" t="s">
        <v>11</v>
      </c>
      <c r="C89" s="17" t="str">
        <f>_xlfn.CONCAT(Instruções!$D$5,".",VLOOKUP(B89,Instruções!$F$5:$H$10,2,0))</f>
        <v>cd_loan_tapes_bce.lt003_entity</v>
      </c>
      <c r="D89" s="17" t="str">
        <f>_xlfn.CONCAT(Instruções!$D$6,".",VLOOKUP(B89,Instruções!$F$5:$H$10,3,0))</f>
        <v>bu_loantape_work.lt003_entity</v>
      </c>
      <c r="E89" s="17" t="s">
        <v>132</v>
      </c>
      <c r="F89" s="17" t="str">
        <f t="shared" si="13"/>
        <v>rtng_mthd_as_is</v>
      </c>
      <c r="G89" s="17" t="str">
        <f t="shared" si="14"/>
        <v>rtng_mthd_to_be</v>
      </c>
      <c r="H89" s="17" t="str">
        <f>IF(VLOOKUP(B89,Instruções!$F$6:$J$10,5,0)="",
"(SELECT "&amp;VLOOKUP(B89,Instruções!$F$6:$J$10,4,0)&amp;" as "&amp;VLOOKUP(B89,Instruções!$F$6:$J$10,4,0)&amp;"_as_is, "&amp;E89&amp;" as "&amp;F89&amp;" FROM "&amp;C89&amp;" WHERE "&amp;Instruções!$D$11&amp;") A ",
"(SELECT "&amp;VLOOKUP(B89,Instruções!$F$6:$J$10,4,0)&amp;" as "&amp;VLOOKUP(B89,Instruções!$F$6:$J$10,4,0)&amp;"_as_is, "&amp;VLOOKUP(B89,Instruções!$F$6:$J$10,5,0)&amp;" as "&amp;VLOOKUP(B89,Instruções!$F$6:$J$10,5,0)&amp;"_as_is,"&amp;E89&amp;" as "&amp;F89&amp;" FROM "&amp;C89&amp;" WHERE "&amp;Instruções!$D$11&amp;") A ")</f>
        <v xml:space="preserve">(SELECT entty_id as entty_id_as_is, rtng_mthd as rtng_mthd_as_is FROM cd_loan_tapes_bce.lt003_entity WHERE ref_date='2025-06-30' AND nome_perimetro= 'Individual IDComb' AND segmento= 'ESTR' AND ambito= 'PM' AND entidade='00100' AND cod_visao = 1) A </v>
      </c>
      <c r="I89" s="17" t="str">
        <f>IF(VLOOKUP(B89,Instruções!$F$6:$J$10,5,0)="",
"(SELECT "&amp;VLOOKUP(B89,Instruções!$F$6:$J$10,4,0)&amp;" as "&amp;VLOOKUP(B89,Instruções!$F$6:$J$10,4,0)&amp;"_to_be, "&amp;E89&amp;" as "&amp;G89&amp;" FROM "&amp;D89&amp;" WHERE "&amp;Instruções!$D$11&amp;") B ",
"(SELECT "&amp;VLOOKUP(B89,Instruções!$F$6:$J$10,4,0)&amp;" as "&amp;VLOOKUP(B89,Instruções!$F$6:$J$10,4,0)&amp;"_to_be, "&amp;VLOOKUP(B89,Instruções!$F$6:$J$10,5,0)&amp;" as "&amp;VLOOKUP(B89,Instruções!$F$6:$J$10,5,0)&amp;"_to_be,"&amp;E89&amp;" as "&amp;G89&amp;" FROM "&amp;D89&amp;" WHERE "&amp;Instruções!$D$11&amp;") B ")</f>
        <v xml:space="preserve">(SELECT entty_id as entty_id_to_be, rtng_mthd as rtng_mthd_to_be FROM bu_loantape_work.lt003_entity WHERE ref_date='2025-06-30' AND nome_perimetro= 'Individual IDComb' AND segmento= 'ESTR' AND ambito= 'PM' AND entidade='00100' AND cod_visao = 1) B </v>
      </c>
      <c r="J89" s="17" t="str">
        <f>IF(VLOOKUP(B89,Instruções!$F$6:$J$10,5,0)="",
"ON "&amp;VLOOKUP(B89,Instruções!$F$6:$J$10,4,0)&amp;"_as_is = "&amp;VLOOKUP(B89,Instruções!$F$6:$J$10,4,0)&amp;"_to_be ",
"ON "&amp;VLOOKUP(B89,Instruções!$F$6:$J$10,4,0)&amp;"_as_is = "&amp;VLOOKUP(B89,Instruções!$F$6:$J$10,4,0)&amp;"_to_be AND "&amp;VLOOKUP(B89,Instruções!$F$6:$J$10,5,0)&amp;"_as_is = "&amp;VLOOKUP(B89,Instruções!$F$6:$J$10,5,0)&amp;"_to_be ")</f>
        <v xml:space="preserve">ON entty_id_as_is = entty_id_to_be </v>
      </c>
      <c r="K89" s="17" t="str">
        <f t="shared" si="15"/>
        <v xml:space="preserve">WHERE coalesce(cast(rtng_mthd_as_is as string), '') &lt;&gt; coalesce(cast(rtng_mthd_to_be as string), '') </v>
      </c>
      <c r="L89" s="17" t="str">
        <f t="shared" si="16"/>
        <v xml:space="preserve">SELECT count(*) AS NUM_REG_DIF FROM (SELECT entty_id as entty_id_as_is, rtng_mthd as rtng_mthd_as_is FROM cd_loan_tapes_bce.lt003_entity WHERE ref_date='2025-06-30' AND nome_perimetro= 'Individual IDComb' AND segmento= 'ESTR' AND ambito= 'PM' AND entidade='00100' AND cod_visao = 1) A  Inner join (SELECT entty_id as entty_id_to_be, rtng_mthd as rtng_mthd_to_be FROM bu_loantape_work.lt003_entity WHERE ref_date='2025-06-30' AND nome_perimetro= 'Individual IDComb' AND segmento= 'ESTR' AND ambito= 'PM' AND entidade='00100' AND cod_visao = 1) B ON entty_id_as_is = entty_id_to_be WHERE coalesce(cast(rtng_mthd_as_is as string), '') &lt;&gt; coalesce(cast(rtng_mthd_to_be as string), '') </v>
      </c>
      <c r="M89" s="17" t="s">
        <v>48</v>
      </c>
      <c r="N89" s="17" t="str">
        <f>"SELECT 'Validação de campos' as tipologia_teste, '"&amp;VLOOKUP(B89,Instruções!$F$6:$J$10,3,0)&amp;"' AS TABELA, '"&amp;E89&amp;"' AS CAMPO, '"&amp;Instruções!$D$7&amp;"' as ref_date, coalesce(NUM_REG_DIF, 0) AS NUM_REG_DIF FROM ("&amp;L89&amp;") A "</f>
        <v xml:space="preserve">SELECT 'Validação de campos' as tipologia_teste, 'lt003_entity' AS TABELA, 'rtng_mthd' AS CAMPO, '2025-06-30' as ref_date, coalesce(NUM_REG_DIF, 0) AS NUM_REG_DIF FROM (SELECT count(*) AS NUM_REG_DIF FROM (SELECT entty_id as entty_id_as_is, rtng_mthd as rtng_mthd_as_is FROM cd_loan_tapes_bce.lt003_entity WHERE ref_date='2025-06-30' AND nome_perimetro= 'Individual IDComb' AND segmento= 'ESTR' AND ambito= 'PM' AND entidade='00100' AND cod_visao = 1) A  Inner join (SELECT entty_id as entty_id_to_be, rtng_mthd as rtng_mthd_to_be FROM bu_loantape_work.lt003_entity WHERE ref_date='2025-06-30' AND nome_perimetro= 'Individual IDComb' AND segmento= 'ESTR' AND ambito= 'PM' AND entidade='00100' AND cod_visao = 1) B ON entty_id_as_is = entty_id_to_be WHERE coalesce(cast(rtng_mthd_as_is as string), '') &lt;&gt; coalesce(cast(rtng_mthd_to_be as string), '') ) A </v>
      </c>
      <c r="O89" s="19" t="str">
        <f t="shared" si="12"/>
        <v>SELECT 'Validação de campos' as tipologia_teste, 'lt003_entity' AS TABELA, 'rtng_mthd' AS CAMPO, '2025-06-30' as ref_date, coalesce(NUM_REG_DIF, 0) AS NUM_REG_DIF FROM (SELECT count(*) AS NUM_REG_DIF FROM (SELECT entty_id as entty_id_as_is, rtng_mthd as rtng_mthd_as_is FROM cd_loan_tapes_bce.lt003_entity WHERE ref_date='2025-06-30' AND nome_perimetro= 'Individual IDComb' AND segmento= 'ESTR' AND ambito= 'PM' AND entidade='00100' AND cod_visao = 1) A  Inner join (SELECT entty_id as entty_id_to_be, rtng_mthd as rtng_mthd_to_be FROM bu_loantape_work.lt003_entity WHERE ref_date='2025-06-30' AND nome_perimetro= 'Individual IDComb' AND segmento= 'ESTR' AND ambito= 'PM' AND entidade='00100' AND cod_visao = 1) B ON entty_id_as_is = entty_id_to_be WHERE coalesce(cast(rtng_mthd_as_is as string), '') &lt;&gt; coalesce(cast(rtng_mthd_to_be as string), '') ) A UNION ALL</v>
      </c>
      <c r="P89" s="17">
        <f t="shared" si="17"/>
        <v>35</v>
      </c>
    </row>
    <row r="90" spans="2:16" s="15" customFormat="1" ht="11.5" x14ac:dyDescent="0.25">
      <c r="B90" s="17" t="s">
        <v>11</v>
      </c>
      <c r="C90" s="17" t="str">
        <f>_xlfn.CONCAT(Instruções!$D$5,".",VLOOKUP(B90,Instruções!$F$5:$H$10,2,0))</f>
        <v>cd_loan_tapes_bce.lt003_entity</v>
      </c>
      <c r="D90" s="17" t="str">
        <f>_xlfn.CONCAT(Instruções!$D$6,".",VLOOKUP(B90,Instruções!$F$5:$H$10,3,0))</f>
        <v>bu_loantape_work.lt003_entity</v>
      </c>
      <c r="E90" s="17" t="s">
        <v>133</v>
      </c>
      <c r="F90" s="17" t="str">
        <f t="shared" si="13"/>
        <v>rtng_scl_as_is</v>
      </c>
      <c r="G90" s="17" t="str">
        <f t="shared" si="14"/>
        <v>rtng_scl_to_be</v>
      </c>
      <c r="H90" s="17" t="str">
        <f>IF(VLOOKUP(B90,Instruções!$F$6:$J$10,5,0)="",
"(SELECT "&amp;VLOOKUP(B90,Instruções!$F$6:$J$10,4,0)&amp;" as "&amp;VLOOKUP(B90,Instruções!$F$6:$J$10,4,0)&amp;"_as_is, "&amp;E90&amp;" as "&amp;F90&amp;" FROM "&amp;C90&amp;" WHERE "&amp;Instruções!$D$11&amp;") A ",
"(SELECT "&amp;VLOOKUP(B90,Instruções!$F$6:$J$10,4,0)&amp;" as "&amp;VLOOKUP(B90,Instruções!$F$6:$J$10,4,0)&amp;"_as_is, "&amp;VLOOKUP(B90,Instruções!$F$6:$J$10,5,0)&amp;" as "&amp;VLOOKUP(B90,Instruções!$F$6:$J$10,5,0)&amp;"_as_is,"&amp;E90&amp;" as "&amp;F90&amp;" FROM "&amp;C90&amp;" WHERE "&amp;Instruções!$D$11&amp;") A ")</f>
        <v xml:space="preserve">(SELECT entty_id as entty_id_as_is, rtng_scl as rtng_scl_as_is FROM cd_loan_tapes_bce.lt003_entity WHERE ref_date='2025-06-30' AND nome_perimetro= 'Individual IDComb' AND segmento= 'ESTR' AND ambito= 'PM' AND entidade='00100' AND cod_visao = 1) A </v>
      </c>
      <c r="I90" s="17" t="str">
        <f>IF(VLOOKUP(B90,Instruções!$F$6:$J$10,5,0)="",
"(SELECT "&amp;VLOOKUP(B90,Instruções!$F$6:$J$10,4,0)&amp;" as "&amp;VLOOKUP(B90,Instruções!$F$6:$J$10,4,0)&amp;"_to_be, "&amp;E90&amp;" as "&amp;G90&amp;" FROM "&amp;D90&amp;" WHERE "&amp;Instruções!$D$11&amp;") B ",
"(SELECT "&amp;VLOOKUP(B90,Instruções!$F$6:$J$10,4,0)&amp;" as "&amp;VLOOKUP(B90,Instruções!$F$6:$J$10,4,0)&amp;"_to_be, "&amp;VLOOKUP(B90,Instruções!$F$6:$J$10,5,0)&amp;" as "&amp;VLOOKUP(B90,Instruções!$F$6:$J$10,5,0)&amp;"_to_be,"&amp;E90&amp;" as "&amp;G90&amp;" FROM "&amp;D90&amp;" WHERE "&amp;Instruções!$D$11&amp;") B ")</f>
        <v xml:space="preserve">(SELECT entty_id as entty_id_to_be, rtng_scl as rtng_scl_to_be FROM bu_loantape_work.lt003_entity WHERE ref_date='2025-06-30' AND nome_perimetro= 'Individual IDComb' AND segmento= 'ESTR' AND ambito= 'PM' AND entidade='00100' AND cod_visao = 1) B </v>
      </c>
      <c r="J90" s="17" t="str">
        <f>IF(VLOOKUP(B90,Instruções!$F$6:$J$10,5,0)="",
"ON "&amp;VLOOKUP(B90,Instruções!$F$6:$J$10,4,0)&amp;"_as_is = "&amp;VLOOKUP(B90,Instruções!$F$6:$J$10,4,0)&amp;"_to_be ",
"ON "&amp;VLOOKUP(B90,Instruções!$F$6:$J$10,4,0)&amp;"_as_is = "&amp;VLOOKUP(B90,Instruções!$F$6:$J$10,4,0)&amp;"_to_be AND "&amp;VLOOKUP(B90,Instruções!$F$6:$J$10,5,0)&amp;"_as_is = "&amp;VLOOKUP(B90,Instruções!$F$6:$J$10,5,0)&amp;"_to_be ")</f>
        <v xml:space="preserve">ON entty_id_as_is = entty_id_to_be </v>
      </c>
      <c r="K90" s="17" t="str">
        <f t="shared" si="15"/>
        <v xml:space="preserve">WHERE coalesce(cast(rtng_scl_as_is as string), '') &lt;&gt; coalesce(cast(rtng_scl_to_be as string), '') </v>
      </c>
      <c r="L90" s="17" t="str">
        <f t="shared" si="16"/>
        <v xml:space="preserve">SELECT count(*) AS NUM_REG_DIF FROM (SELECT entty_id as entty_id_as_is, rtng_scl as rtng_scl_as_is FROM cd_loan_tapes_bce.lt003_entity WHERE ref_date='2025-06-30' AND nome_perimetro= 'Individual IDComb' AND segmento= 'ESTR' AND ambito= 'PM' AND entidade='00100' AND cod_visao = 1) A  Inner join (SELECT entty_id as entty_id_to_be, rtng_scl as rtng_scl_to_be FROM bu_loantape_work.lt003_entity WHERE ref_date='2025-06-30' AND nome_perimetro= 'Individual IDComb' AND segmento= 'ESTR' AND ambito= 'PM' AND entidade='00100' AND cod_visao = 1) B ON entty_id_as_is = entty_id_to_be WHERE coalesce(cast(rtng_scl_as_is as string), '') &lt;&gt; coalesce(cast(rtng_scl_to_be as string), '') </v>
      </c>
      <c r="M90" s="17" t="s">
        <v>48</v>
      </c>
      <c r="N90" s="17" t="str">
        <f>"SELECT 'Validação de campos' as tipologia_teste, '"&amp;VLOOKUP(B90,Instruções!$F$6:$J$10,3,0)&amp;"' AS TABELA, '"&amp;E90&amp;"' AS CAMPO, '"&amp;Instruções!$D$7&amp;"' as ref_date, coalesce(NUM_REG_DIF, 0) AS NUM_REG_DIF FROM ("&amp;L90&amp;") A "</f>
        <v xml:space="preserve">SELECT 'Validação de campos' as tipologia_teste, 'lt003_entity' AS TABELA, 'rtng_scl' AS CAMPO, '2025-06-30' as ref_date, coalesce(NUM_REG_DIF, 0) AS NUM_REG_DIF FROM (SELECT count(*) AS NUM_REG_DIF FROM (SELECT entty_id as entty_id_as_is, rtng_scl as rtng_scl_as_is FROM cd_loan_tapes_bce.lt003_entity WHERE ref_date='2025-06-30' AND nome_perimetro= 'Individual IDComb' AND segmento= 'ESTR' AND ambito= 'PM' AND entidade='00100' AND cod_visao = 1) A  Inner join (SELECT entty_id as entty_id_to_be, rtng_scl as rtng_scl_to_be FROM bu_loantape_work.lt003_entity WHERE ref_date='2025-06-30' AND nome_perimetro= 'Individual IDComb' AND segmento= 'ESTR' AND ambito= 'PM' AND entidade='00100' AND cod_visao = 1) B ON entty_id_as_is = entty_id_to_be WHERE coalesce(cast(rtng_scl_as_is as string), '') &lt;&gt; coalesce(cast(rtng_scl_to_be as string), '') ) A </v>
      </c>
      <c r="O90" s="19" t="str">
        <f t="shared" si="12"/>
        <v>SELECT 'Validação de campos' as tipologia_teste, 'lt003_entity' AS TABELA, 'rtng_scl' AS CAMPO, '2025-06-30' as ref_date, coalesce(NUM_REG_DIF, 0) AS NUM_REG_DIF FROM (SELECT count(*) AS NUM_REG_DIF FROM (SELECT entty_id as entty_id_as_is, rtng_scl as rtng_scl_as_is FROM cd_loan_tapes_bce.lt003_entity WHERE ref_date='2025-06-30' AND nome_perimetro= 'Individual IDComb' AND segmento= 'ESTR' AND ambito= 'PM' AND entidade='00100' AND cod_visao = 1) A  Inner join (SELECT entty_id as entty_id_to_be, rtng_scl as rtng_scl_to_be FROM bu_loantape_work.lt003_entity WHERE ref_date='2025-06-30' AND nome_perimetro= 'Individual IDComb' AND segmento= 'ESTR' AND ambito= 'PM' AND entidade='00100' AND cod_visao = 1) B ON entty_id_as_is = entty_id_to_be WHERE coalesce(cast(rtng_scl_as_is as string), '') &lt;&gt; coalesce(cast(rtng_scl_to_be as string), '') ) A UNION ALL</v>
      </c>
      <c r="P90" s="17">
        <f t="shared" si="17"/>
        <v>36</v>
      </c>
    </row>
    <row r="91" spans="2:16" s="15" customFormat="1" ht="11.5" x14ac:dyDescent="0.25">
      <c r="B91" s="17" t="s">
        <v>11</v>
      </c>
      <c r="C91" s="17" t="str">
        <f>_xlfn.CONCAT(Instruções!$D$5,".",VLOOKUP(B91,Instruções!$F$5:$H$10,2,0))</f>
        <v>cd_loan_tapes_bce.lt003_entity</v>
      </c>
      <c r="D91" s="17" t="str">
        <f>_xlfn.CONCAT(Instruções!$D$6,".",VLOOKUP(B91,Instruções!$F$5:$H$10,3,0))</f>
        <v>bu_loantape_work.lt003_entity</v>
      </c>
      <c r="E91" s="17" t="s">
        <v>134</v>
      </c>
      <c r="F91" s="17" t="str">
        <f t="shared" si="13"/>
        <v>sngl_prps_vhcl_as_is</v>
      </c>
      <c r="G91" s="17" t="str">
        <f t="shared" si="14"/>
        <v>sngl_prps_vhcl_to_be</v>
      </c>
      <c r="H91" s="17" t="str">
        <f>IF(VLOOKUP(B91,Instruções!$F$6:$J$10,5,0)="",
"(SELECT "&amp;VLOOKUP(B91,Instruções!$F$6:$J$10,4,0)&amp;" as "&amp;VLOOKUP(B91,Instruções!$F$6:$J$10,4,0)&amp;"_as_is, "&amp;E91&amp;" as "&amp;F91&amp;" FROM "&amp;C91&amp;" WHERE "&amp;Instruções!$D$11&amp;") A ",
"(SELECT "&amp;VLOOKUP(B91,Instruções!$F$6:$J$10,4,0)&amp;" as "&amp;VLOOKUP(B91,Instruções!$F$6:$J$10,4,0)&amp;"_as_is, "&amp;VLOOKUP(B91,Instruções!$F$6:$J$10,5,0)&amp;" as "&amp;VLOOKUP(B91,Instruções!$F$6:$J$10,5,0)&amp;"_as_is,"&amp;E91&amp;" as "&amp;F91&amp;" FROM "&amp;C91&amp;" WHERE "&amp;Instruções!$D$11&amp;") A ")</f>
        <v xml:space="preserve">(SELECT entty_id as entty_id_as_is, sngl_prps_vhcl as sngl_prps_vhcl_as_is FROM cd_loan_tapes_bce.lt003_entity WHERE ref_date='2025-06-30' AND nome_perimetro= 'Individual IDComb' AND segmento= 'ESTR' AND ambito= 'PM' AND entidade='00100' AND cod_visao = 1) A </v>
      </c>
      <c r="I91" s="17" t="str">
        <f>IF(VLOOKUP(B91,Instruções!$F$6:$J$10,5,0)="",
"(SELECT "&amp;VLOOKUP(B91,Instruções!$F$6:$J$10,4,0)&amp;" as "&amp;VLOOKUP(B91,Instruções!$F$6:$J$10,4,0)&amp;"_to_be, "&amp;E91&amp;" as "&amp;G91&amp;" FROM "&amp;D91&amp;" WHERE "&amp;Instruções!$D$11&amp;") B ",
"(SELECT "&amp;VLOOKUP(B91,Instruções!$F$6:$J$10,4,0)&amp;" as "&amp;VLOOKUP(B91,Instruções!$F$6:$J$10,4,0)&amp;"_to_be, "&amp;VLOOKUP(B91,Instruções!$F$6:$J$10,5,0)&amp;" as "&amp;VLOOKUP(B91,Instruções!$F$6:$J$10,5,0)&amp;"_to_be,"&amp;E91&amp;" as "&amp;G91&amp;" FROM "&amp;D91&amp;" WHERE "&amp;Instruções!$D$11&amp;") B ")</f>
        <v xml:space="preserve">(SELECT entty_id as entty_id_to_be, sngl_prps_vhcl as sngl_prps_vhcl_to_be FROM bu_loantape_work.lt003_entity WHERE ref_date='2025-06-30' AND nome_perimetro= 'Individual IDComb' AND segmento= 'ESTR' AND ambito= 'PM' AND entidade='00100' AND cod_visao = 1) B </v>
      </c>
      <c r="J91" s="17" t="str">
        <f>IF(VLOOKUP(B91,Instruções!$F$6:$J$10,5,0)="",
"ON "&amp;VLOOKUP(B91,Instruções!$F$6:$J$10,4,0)&amp;"_as_is = "&amp;VLOOKUP(B91,Instruções!$F$6:$J$10,4,0)&amp;"_to_be ",
"ON "&amp;VLOOKUP(B91,Instruções!$F$6:$J$10,4,0)&amp;"_as_is = "&amp;VLOOKUP(B91,Instruções!$F$6:$J$10,4,0)&amp;"_to_be AND "&amp;VLOOKUP(B91,Instruções!$F$6:$J$10,5,0)&amp;"_as_is = "&amp;VLOOKUP(B91,Instruções!$F$6:$J$10,5,0)&amp;"_to_be ")</f>
        <v xml:space="preserve">ON entty_id_as_is = entty_id_to_be </v>
      </c>
      <c r="K91" s="17" t="str">
        <f t="shared" si="15"/>
        <v xml:space="preserve">WHERE coalesce(cast(sngl_prps_vhcl_as_is as string), '') &lt;&gt; coalesce(cast(sngl_prps_vhcl_to_be as string), '') </v>
      </c>
      <c r="L91" s="17" t="str">
        <f t="shared" si="16"/>
        <v xml:space="preserve">SELECT count(*) AS NUM_REG_DIF FROM (SELECT entty_id as entty_id_as_is, sngl_prps_vhcl as sngl_prps_vhcl_as_is FROM cd_loan_tapes_bce.lt003_entity WHERE ref_date='2025-06-30' AND nome_perimetro= 'Individual IDComb' AND segmento= 'ESTR' AND ambito= 'PM' AND entidade='00100' AND cod_visao = 1) A  Inner join (SELECT entty_id as entty_id_to_be, sngl_prps_vhcl as sngl_prps_vhcl_to_be FROM bu_loantape_work.lt003_entity WHERE ref_date='2025-06-30' AND nome_perimetro= 'Individual IDComb' AND segmento= 'ESTR' AND ambito= 'PM' AND entidade='00100' AND cod_visao = 1) B ON entty_id_as_is = entty_id_to_be WHERE coalesce(cast(sngl_prps_vhcl_as_is as string), '') &lt;&gt; coalesce(cast(sngl_prps_vhcl_to_be as string), '') </v>
      </c>
      <c r="M91" s="17" t="s">
        <v>48</v>
      </c>
      <c r="N91" s="17" t="str">
        <f>"SELECT 'Validação de campos' as tipologia_teste, '"&amp;VLOOKUP(B91,Instruções!$F$6:$J$10,3,0)&amp;"' AS TABELA, '"&amp;E91&amp;"' AS CAMPO, '"&amp;Instruções!$D$7&amp;"' as ref_date, coalesce(NUM_REG_DIF, 0) AS NUM_REG_DIF FROM ("&amp;L91&amp;") A "</f>
        <v xml:space="preserve">SELECT 'Validação de campos' as tipologia_teste, 'lt003_entity' AS TABELA, 'sngl_prps_vhcl' AS CAMPO, '2025-06-30' as ref_date, coalesce(NUM_REG_DIF, 0) AS NUM_REG_DIF FROM (SELECT count(*) AS NUM_REG_DIF FROM (SELECT entty_id as entty_id_as_is, sngl_prps_vhcl as sngl_prps_vhcl_as_is FROM cd_loan_tapes_bce.lt003_entity WHERE ref_date='2025-06-30' AND nome_perimetro= 'Individual IDComb' AND segmento= 'ESTR' AND ambito= 'PM' AND entidade='00100' AND cod_visao = 1) A  Inner join (SELECT entty_id as entty_id_to_be, sngl_prps_vhcl as sngl_prps_vhcl_to_be FROM bu_loantape_work.lt003_entity WHERE ref_date='2025-06-30' AND nome_perimetro= 'Individual IDComb' AND segmento= 'ESTR' AND ambito= 'PM' AND entidade='00100' AND cod_visao = 1) B ON entty_id_as_is = entty_id_to_be WHERE coalesce(cast(sngl_prps_vhcl_as_is as string), '') &lt;&gt; coalesce(cast(sngl_prps_vhcl_to_be as string), '') ) A </v>
      </c>
      <c r="O91" s="19" t="str">
        <f t="shared" si="12"/>
        <v>SELECT 'Validação de campos' as tipologia_teste, 'lt003_entity' AS TABELA, 'sngl_prps_vhcl' AS CAMPO, '2025-06-30' as ref_date, coalesce(NUM_REG_DIF, 0) AS NUM_REG_DIF FROM (SELECT count(*) AS NUM_REG_DIF FROM (SELECT entty_id as entty_id_as_is, sngl_prps_vhcl as sngl_prps_vhcl_as_is FROM cd_loan_tapes_bce.lt003_entity WHERE ref_date='2025-06-30' AND nome_perimetro= 'Individual IDComb' AND segmento= 'ESTR' AND ambito= 'PM' AND entidade='00100' AND cod_visao = 1) A  Inner join (SELECT entty_id as entty_id_to_be, sngl_prps_vhcl as sngl_prps_vhcl_to_be FROM bu_loantape_work.lt003_entity WHERE ref_date='2025-06-30' AND nome_perimetro= 'Individual IDComb' AND segmento= 'ESTR' AND ambito= 'PM' AND entidade='00100' AND cod_visao = 1) B ON entty_id_as_is = entty_id_to_be WHERE coalesce(cast(sngl_prps_vhcl_as_is as string), '') &lt;&gt; coalesce(cast(sngl_prps_vhcl_to_be as string), '') ) A UNION ALL</v>
      </c>
      <c r="P91" s="17">
        <f t="shared" si="17"/>
        <v>37</v>
      </c>
    </row>
    <row r="92" spans="2:16" s="15" customFormat="1" ht="11.5" x14ac:dyDescent="0.25">
      <c r="B92" s="17" t="s">
        <v>11</v>
      </c>
      <c r="C92" s="17" t="str">
        <f>_xlfn.CONCAT(Instruções!$D$5,".",VLOOKUP(B92,Instruções!$F$5:$H$10,2,0))</f>
        <v>cd_loan_tapes_bce.lt003_entity</v>
      </c>
      <c r="D92" s="17" t="str">
        <f>_xlfn.CONCAT(Instruções!$D$6,".",VLOOKUP(B92,Instruções!$F$5:$H$10,3,0))</f>
        <v>bu_loantape_work.lt003_entity</v>
      </c>
      <c r="E92" s="17" t="s">
        <v>135</v>
      </c>
      <c r="F92" s="17" t="str">
        <f t="shared" si="13"/>
        <v>tax_id_as_is</v>
      </c>
      <c r="G92" s="17" t="str">
        <f t="shared" si="14"/>
        <v>tax_id_to_be</v>
      </c>
      <c r="H92" s="17" t="str">
        <f>IF(VLOOKUP(B92,Instruções!$F$6:$J$10,5,0)="",
"(SELECT "&amp;VLOOKUP(B92,Instruções!$F$6:$J$10,4,0)&amp;" as "&amp;VLOOKUP(B92,Instruções!$F$6:$J$10,4,0)&amp;"_as_is, "&amp;E92&amp;" as "&amp;F92&amp;" FROM "&amp;C92&amp;" WHERE "&amp;Instruções!$D$11&amp;") A ",
"(SELECT "&amp;VLOOKUP(B92,Instruções!$F$6:$J$10,4,0)&amp;" as "&amp;VLOOKUP(B92,Instruções!$F$6:$J$10,4,0)&amp;"_as_is, "&amp;VLOOKUP(B92,Instruções!$F$6:$J$10,5,0)&amp;" as "&amp;VLOOKUP(B92,Instruções!$F$6:$J$10,5,0)&amp;"_as_is,"&amp;E92&amp;" as "&amp;F92&amp;" FROM "&amp;C92&amp;" WHERE "&amp;Instruções!$D$11&amp;") A ")</f>
        <v xml:space="preserve">(SELECT entty_id as entty_id_as_is, tax_id as tax_id_as_is FROM cd_loan_tapes_bce.lt003_entity WHERE ref_date='2025-06-30' AND nome_perimetro= 'Individual IDComb' AND segmento= 'ESTR' AND ambito= 'PM' AND entidade='00100' AND cod_visao = 1) A </v>
      </c>
      <c r="I92" s="17" t="str">
        <f>IF(VLOOKUP(B92,Instruções!$F$6:$J$10,5,0)="",
"(SELECT "&amp;VLOOKUP(B92,Instruções!$F$6:$J$10,4,0)&amp;" as "&amp;VLOOKUP(B92,Instruções!$F$6:$J$10,4,0)&amp;"_to_be, "&amp;E92&amp;" as "&amp;G92&amp;" FROM "&amp;D92&amp;" WHERE "&amp;Instruções!$D$11&amp;") B ",
"(SELECT "&amp;VLOOKUP(B92,Instruções!$F$6:$J$10,4,0)&amp;" as "&amp;VLOOKUP(B92,Instruções!$F$6:$J$10,4,0)&amp;"_to_be, "&amp;VLOOKUP(B92,Instruções!$F$6:$J$10,5,0)&amp;" as "&amp;VLOOKUP(B92,Instruções!$F$6:$J$10,5,0)&amp;"_to_be,"&amp;E92&amp;" as "&amp;G92&amp;" FROM "&amp;D92&amp;" WHERE "&amp;Instruções!$D$11&amp;") B ")</f>
        <v xml:space="preserve">(SELECT entty_id as entty_id_to_be, tax_id as tax_id_to_be FROM bu_loantape_work.lt003_entity WHERE ref_date='2025-06-30' AND nome_perimetro= 'Individual IDComb' AND segmento= 'ESTR' AND ambito= 'PM' AND entidade='00100' AND cod_visao = 1) B </v>
      </c>
      <c r="J92" s="17" t="str">
        <f>IF(VLOOKUP(B92,Instruções!$F$6:$J$10,5,0)="",
"ON "&amp;VLOOKUP(B92,Instruções!$F$6:$J$10,4,0)&amp;"_as_is = "&amp;VLOOKUP(B92,Instruções!$F$6:$J$10,4,0)&amp;"_to_be ",
"ON "&amp;VLOOKUP(B92,Instruções!$F$6:$J$10,4,0)&amp;"_as_is = "&amp;VLOOKUP(B92,Instruções!$F$6:$J$10,4,0)&amp;"_to_be AND "&amp;VLOOKUP(B92,Instruções!$F$6:$J$10,5,0)&amp;"_as_is = "&amp;VLOOKUP(B92,Instruções!$F$6:$J$10,5,0)&amp;"_to_be ")</f>
        <v xml:space="preserve">ON entty_id_as_is = entty_id_to_be </v>
      </c>
      <c r="K92" s="17" t="str">
        <f t="shared" si="15"/>
        <v xml:space="preserve">WHERE coalesce(cast(tax_id_as_is as string), '') &lt;&gt; coalesce(cast(tax_id_to_be as string), '') </v>
      </c>
      <c r="L92" s="17" t="str">
        <f t="shared" si="16"/>
        <v xml:space="preserve">SELECT count(*) AS NUM_REG_DIF FROM (SELECT entty_id as entty_id_as_is, tax_id as tax_id_as_is FROM cd_loan_tapes_bce.lt003_entity WHERE ref_date='2025-06-30' AND nome_perimetro= 'Individual IDComb' AND segmento= 'ESTR' AND ambito= 'PM' AND entidade='00100' AND cod_visao = 1) A  Inner join (SELECT entty_id as entty_id_to_be, tax_id as tax_id_to_be FROM bu_loantape_work.lt003_entity WHERE ref_date='2025-06-30' AND nome_perimetro= 'Individual IDComb' AND segmento= 'ESTR' AND ambito= 'PM' AND entidade='00100' AND cod_visao = 1) B ON entty_id_as_is = entty_id_to_be WHERE coalesce(cast(tax_id_as_is as string), '') &lt;&gt; coalesce(cast(tax_id_to_be as string), '') </v>
      </c>
      <c r="M92" s="17" t="s">
        <v>48</v>
      </c>
      <c r="N92" s="17" t="str">
        <f>"SELECT 'Validação de campos' as tipologia_teste, '"&amp;VLOOKUP(B92,Instruções!$F$6:$J$10,3,0)&amp;"' AS TABELA, '"&amp;E92&amp;"' AS CAMPO, '"&amp;Instruções!$D$7&amp;"' as ref_date, coalesce(NUM_REG_DIF, 0) AS NUM_REG_DIF FROM ("&amp;L92&amp;") A "</f>
        <v xml:space="preserve">SELECT 'Validação de campos' as tipologia_teste, 'lt003_entity' AS TABELA, 'tax_id' AS CAMPO, '2025-06-30' as ref_date, coalesce(NUM_REG_DIF, 0) AS NUM_REG_DIF FROM (SELECT count(*) AS NUM_REG_DIF FROM (SELECT entty_id as entty_id_as_is, tax_id as tax_id_as_is FROM cd_loan_tapes_bce.lt003_entity WHERE ref_date='2025-06-30' AND nome_perimetro= 'Individual IDComb' AND segmento= 'ESTR' AND ambito= 'PM' AND entidade='00100' AND cod_visao = 1) A  Inner join (SELECT entty_id as entty_id_to_be, tax_id as tax_id_to_be FROM bu_loantape_work.lt003_entity WHERE ref_date='2025-06-30' AND nome_perimetro= 'Individual IDComb' AND segmento= 'ESTR' AND ambito= 'PM' AND entidade='00100' AND cod_visao = 1) B ON entty_id_as_is = entty_id_to_be WHERE coalesce(cast(tax_id_as_is as string), '') &lt;&gt; coalesce(cast(tax_id_to_be as string), '') ) A </v>
      </c>
      <c r="O92" s="19" t="str">
        <f t="shared" si="12"/>
        <v>SELECT 'Validação de campos' as tipologia_teste, 'lt003_entity' AS TABELA, 'tax_id' AS CAMPO, '2025-06-30' as ref_date, coalesce(NUM_REG_DIF, 0) AS NUM_REG_DIF FROM (SELECT count(*) AS NUM_REG_DIF FROM (SELECT entty_id as entty_id_as_is, tax_id as tax_id_as_is FROM cd_loan_tapes_bce.lt003_entity WHERE ref_date='2025-06-30' AND nome_perimetro= 'Individual IDComb' AND segmento= 'ESTR' AND ambito= 'PM' AND entidade='00100' AND cod_visao = 1) A  Inner join (SELECT entty_id as entty_id_to_be, tax_id as tax_id_to_be FROM bu_loantape_work.lt003_entity WHERE ref_date='2025-06-30' AND nome_perimetro= 'Individual IDComb' AND segmento= 'ESTR' AND ambito= 'PM' AND entidade='00100' AND cod_visao = 1) B ON entty_id_as_is = entty_id_to_be WHERE coalesce(cast(tax_id_as_is as string), '') &lt;&gt; coalesce(cast(tax_id_to_be as string), '') ) A UNION ALL</v>
      </c>
      <c r="P92" s="17">
        <f t="shared" si="17"/>
        <v>38</v>
      </c>
    </row>
    <row r="93" spans="2:16" s="15" customFormat="1" ht="11.5" x14ac:dyDescent="0.25">
      <c r="B93" s="17" t="s">
        <v>11</v>
      </c>
      <c r="C93" s="17" t="str">
        <f>_xlfn.CONCAT(Instruções!$D$5,".",VLOOKUP(B93,Instruções!$F$5:$H$10,2,0))</f>
        <v>cd_loan_tapes_bce.lt003_entity</v>
      </c>
      <c r="D93" s="17" t="str">
        <f>_xlfn.CONCAT(Instruções!$D$6,".",VLOOKUP(B93,Instruções!$F$5:$H$10,3,0))</f>
        <v>bu_loantape_work.lt003_entity</v>
      </c>
      <c r="E93" s="17" t="s">
        <v>136</v>
      </c>
      <c r="F93" s="17" t="str">
        <f t="shared" si="13"/>
        <v>ttl_dbt_as_is</v>
      </c>
      <c r="G93" s="17" t="str">
        <f t="shared" si="14"/>
        <v>ttl_dbt_to_be</v>
      </c>
      <c r="H93" s="17" t="str">
        <f>IF(VLOOKUP(B93,Instruções!$F$6:$J$10,5,0)="",
"(SELECT "&amp;VLOOKUP(B93,Instruções!$F$6:$J$10,4,0)&amp;" as "&amp;VLOOKUP(B93,Instruções!$F$6:$J$10,4,0)&amp;"_as_is, "&amp;E93&amp;" as "&amp;F93&amp;" FROM "&amp;C93&amp;" WHERE "&amp;Instruções!$D$11&amp;") A ",
"(SELECT "&amp;VLOOKUP(B93,Instruções!$F$6:$J$10,4,0)&amp;" as "&amp;VLOOKUP(B93,Instruções!$F$6:$J$10,4,0)&amp;"_as_is, "&amp;VLOOKUP(B93,Instruções!$F$6:$J$10,5,0)&amp;" as "&amp;VLOOKUP(B93,Instruções!$F$6:$J$10,5,0)&amp;"_as_is,"&amp;E93&amp;" as "&amp;F93&amp;" FROM "&amp;C93&amp;" WHERE "&amp;Instruções!$D$11&amp;") A ")</f>
        <v xml:space="preserve">(SELECT entty_id as entty_id_as_is, ttl_dbt as ttl_dbt_as_is FROM cd_loan_tapes_bce.lt003_entity WHERE ref_date='2025-06-30' AND nome_perimetro= 'Individual IDComb' AND segmento= 'ESTR' AND ambito= 'PM' AND entidade='00100' AND cod_visao = 1) A </v>
      </c>
      <c r="I93" s="17" t="str">
        <f>IF(VLOOKUP(B93,Instruções!$F$6:$J$10,5,0)="",
"(SELECT "&amp;VLOOKUP(B93,Instruções!$F$6:$J$10,4,0)&amp;" as "&amp;VLOOKUP(B93,Instruções!$F$6:$J$10,4,0)&amp;"_to_be, "&amp;E93&amp;" as "&amp;G93&amp;" FROM "&amp;D93&amp;" WHERE "&amp;Instruções!$D$11&amp;") B ",
"(SELECT "&amp;VLOOKUP(B93,Instruções!$F$6:$J$10,4,0)&amp;" as "&amp;VLOOKUP(B93,Instruções!$F$6:$J$10,4,0)&amp;"_to_be, "&amp;VLOOKUP(B93,Instruções!$F$6:$J$10,5,0)&amp;" as "&amp;VLOOKUP(B93,Instruções!$F$6:$J$10,5,0)&amp;"_to_be,"&amp;E93&amp;" as "&amp;G93&amp;" FROM "&amp;D93&amp;" WHERE "&amp;Instruções!$D$11&amp;") B ")</f>
        <v xml:space="preserve">(SELECT entty_id as entty_id_to_be, ttl_dbt as ttl_dbt_to_be FROM bu_loantape_work.lt003_entity WHERE ref_date='2025-06-30' AND nome_perimetro= 'Individual IDComb' AND segmento= 'ESTR' AND ambito= 'PM' AND entidade='00100' AND cod_visao = 1) B </v>
      </c>
      <c r="J93" s="17" t="str">
        <f>IF(VLOOKUP(B93,Instruções!$F$6:$J$10,5,0)="",
"ON "&amp;VLOOKUP(B93,Instruções!$F$6:$J$10,4,0)&amp;"_as_is = "&amp;VLOOKUP(B93,Instruções!$F$6:$J$10,4,0)&amp;"_to_be ",
"ON "&amp;VLOOKUP(B93,Instruções!$F$6:$J$10,4,0)&amp;"_as_is = "&amp;VLOOKUP(B93,Instruções!$F$6:$J$10,4,0)&amp;"_to_be AND "&amp;VLOOKUP(B93,Instruções!$F$6:$J$10,5,0)&amp;"_as_is = "&amp;VLOOKUP(B93,Instruções!$F$6:$J$10,5,0)&amp;"_to_be ")</f>
        <v xml:space="preserve">ON entty_id_as_is = entty_id_to_be </v>
      </c>
      <c r="K93" s="17" t="str">
        <f t="shared" si="15"/>
        <v xml:space="preserve">WHERE coalesce(cast(ttl_dbt_as_is as string), '') &lt;&gt; coalesce(cast(ttl_dbt_to_be as string), '') </v>
      </c>
      <c r="L93" s="17" t="str">
        <f t="shared" si="16"/>
        <v xml:space="preserve">SELECT count(*) AS NUM_REG_DIF FROM (SELECT entty_id as entty_id_as_is, ttl_dbt as ttl_dbt_as_is FROM cd_loan_tapes_bce.lt003_entity WHERE ref_date='2025-06-30' AND nome_perimetro= 'Individual IDComb' AND segmento= 'ESTR' AND ambito= 'PM' AND entidade='00100' AND cod_visao = 1) A  Inner join (SELECT entty_id as entty_id_to_be, ttl_dbt as ttl_dbt_to_be FROM bu_loantape_work.lt003_entity WHERE ref_date='2025-06-30' AND nome_perimetro= 'Individual IDComb' AND segmento= 'ESTR' AND ambito= 'PM' AND entidade='00100' AND cod_visao = 1) B ON entty_id_as_is = entty_id_to_be WHERE coalesce(cast(ttl_dbt_as_is as string), '') &lt;&gt; coalesce(cast(ttl_dbt_to_be as string), '') </v>
      </c>
      <c r="M93" s="17" t="s">
        <v>48</v>
      </c>
      <c r="N93" s="17" t="str">
        <f>"SELECT 'Validação de campos' as tipologia_teste, '"&amp;VLOOKUP(B93,Instruções!$F$6:$J$10,3,0)&amp;"' AS TABELA, '"&amp;E93&amp;"' AS CAMPO, '"&amp;Instruções!$D$7&amp;"' as ref_date, coalesce(NUM_REG_DIF, 0) AS NUM_REG_DIF FROM ("&amp;L93&amp;") A "</f>
        <v xml:space="preserve">SELECT 'Validação de campos' as tipologia_teste, 'lt003_entity' AS TABELA, 'ttl_dbt' AS CAMPO, '2025-06-30' as ref_date, coalesce(NUM_REG_DIF, 0) AS NUM_REG_DIF FROM (SELECT count(*) AS NUM_REG_DIF FROM (SELECT entty_id as entty_id_as_is, ttl_dbt as ttl_dbt_as_is FROM cd_loan_tapes_bce.lt003_entity WHERE ref_date='2025-06-30' AND nome_perimetro= 'Individual IDComb' AND segmento= 'ESTR' AND ambito= 'PM' AND entidade='00100' AND cod_visao = 1) A  Inner join (SELECT entty_id as entty_id_to_be, ttl_dbt as ttl_dbt_to_be FROM bu_loantape_work.lt003_entity WHERE ref_date='2025-06-30' AND nome_perimetro= 'Individual IDComb' AND segmento= 'ESTR' AND ambito= 'PM' AND entidade='00100' AND cod_visao = 1) B ON entty_id_as_is = entty_id_to_be WHERE coalesce(cast(ttl_dbt_as_is as string), '') &lt;&gt; coalesce(cast(ttl_dbt_to_be as string), '') ) A </v>
      </c>
      <c r="O93" s="19" t="str">
        <f t="shared" si="12"/>
        <v>SELECT 'Validação de campos' as tipologia_teste, 'lt003_entity' AS TABELA, 'ttl_dbt' AS CAMPO, '2025-06-30' as ref_date, coalesce(NUM_REG_DIF, 0) AS NUM_REG_DIF FROM (SELECT count(*) AS NUM_REG_DIF FROM (SELECT entty_id as entty_id_as_is, ttl_dbt as ttl_dbt_as_is FROM cd_loan_tapes_bce.lt003_entity WHERE ref_date='2025-06-30' AND nome_perimetro= 'Individual IDComb' AND segmento= 'ESTR' AND ambito= 'PM' AND entidade='00100' AND cod_visao = 1) A  Inner join (SELECT entty_id as entty_id_to_be, ttl_dbt as ttl_dbt_to_be FROM bu_loantape_work.lt003_entity WHERE ref_date='2025-06-30' AND nome_perimetro= 'Individual IDComb' AND segmento= 'ESTR' AND ambito= 'PM' AND entidade='00100' AND cod_visao = 1) B ON entty_id_as_is = entty_id_to_be WHERE coalesce(cast(ttl_dbt_as_is as string), '') &lt;&gt; coalesce(cast(ttl_dbt_to_be as string), '') ) A UNION ALL</v>
      </c>
      <c r="P93" s="17">
        <f t="shared" si="17"/>
        <v>39</v>
      </c>
    </row>
    <row r="94" spans="2:16" s="15" customFormat="1" ht="11.5" x14ac:dyDescent="0.25">
      <c r="B94" s="17" t="s">
        <v>11</v>
      </c>
      <c r="C94" s="17" t="str">
        <f>_xlfn.CONCAT(Instruções!$D$5,".",VLOOKUP(B94,Instruções!$F$5:$H$10,2,0))</f>
        <v>cd_loan_tapes_bce.lt003_entity</v>
      </c>
      <c r="D94" s="17" t="str">
        <f>_xlfn.CONCAT(Instruções!$D$6,".",VLOOKUP(B94,Instruções!$F$5:$H$10,3,0))</f>
        <v>bu_loantape_work.lt003_entity</v>
      </c>
      <c r="E94" s="17" t="s">
        <v>137</v>
      </c>
      <c r="F94" s="17" t="str">
        <f t="shared" si="13"/>
        <v>ttl_dbt_prvs_as_is</v>
      </c>
      <c r="G94" s="17" t="str">
        <f t="shared" si="14"/>
        <v>ttl_dbt_prvs_to_be</v>
      </c>
      <c r="H94" s="17" t="str">
        <f>IF(VLOOKUP(B94,Instruções!$F$6:$J$10,5,0)="",
"(SELECT "&amp;VLOOKUP(B94,Instruções!$F$6:$J$10,4,0)&amp;" as "&amp;VLOOKUP(B94,Instruções!$F$6:$J$10,4,0)&amp;"_as_is, "&amp;E94&amp;" as "&amp;F94&amp;" FROM "&amp;C94&amp;" WHERE "&amp;Instruções!$D$11&amp;") A ",
"(SELECT "&amp;VLOOKUP(B94,Instruções!$F$6:$J$10,4,0)&amp;" as "&amp;VLOOKUP(B94,Instruções!$F$6:$J$10,4,0)&amp;"_as_is, "&amp;VLOOKUP(B94,Instruções!$F$6:$J$10,5,0)&amp;" as "&amp;VLOOKUP(B94,Instruções!$F$6:$J$10,5,0)&amp;"_as_is,"&amp;E94&amp;" as "&amp;F94&amp;" FROM "&amp;C94&amp;" WHERE "&amp;Instruções!$D$11&amp;") A ")</f>
        <v xml:space="preserve">(SELECT entty_id as entty_id_as_is, ttl_dbt_prvs as ttl_dbt_prvs_as_is FROM cd_loan_tapes_bce.lt003_entity WHERE ref_date='2025-06-30' AND nome_perimetro= 'Individual IDComb' AND segmento= 'ESTR' AND ambito= 'PM' AND entidade='00100' AND cod_visao = 1) A </v>
      </c>
      <c r="I94" s="17" t="str">
        <f>IF(VLOOKUP(B94,Instruções!$F$6:$J$10,5,0)="",
"(SELECT "&amp;VLOOKUP(B94,Instruções!$F$6:$J$10,4,0)&amp;" as "&amp;VLOOKUP(B94,Instruções!$F$6:$J$10,4,0)&amp;"_to_be, "&amp;E94&amp;" as "&amp;G94&amp;" FROM "&amp;D94&amp;" WHERE "&amp;Instruções!$D$11&amp;") B ",
"(SELECT "&amp;VLOOKUP(B94,Instruções!$F$6:$J$10,4,0)&amp;" as "&amp;VLOOKUP(B94,Instruções!$F$6:$J$10,4,0)&amp;"_to_be, "&amp;VLOOKUP(B94,Instruções!$F$6:$J$10,5,0)&amp;" as "&amp;VLOOKUP(B94,Instruções!$F$6:$J$10,5,0)&amp;"_to_be,"&amp;E94&amp;" as "&amp;G94&amp;" FROM "&amp;D94&amp;" WHERE "&amp;Instruções!$D$11&amp;") B ")</f>
        <v xml:space="preserve">(SELECT entty_id as entty_id_to_be, ttl_dbt_prvs as ttl_dbt_prvs_to_be FROM bu_loantape_work.lt003_entity WHERE ref_date='2025-06-30' AND nome_perimetro= 'Individual IDComb' AND segmento= 'ESTR' AND ambito= 'PM' AND entidade='00100' AND cod_visao = 1) B </v>
      </c>
      <c r="J94" s="17" t="str">
        <f>IF(VLOOKUP(B94,Instruções!$F$6:$J$10,5,0)="",
"ON "&amp;VLOOKUP(B94,Instruções!$F$6:$J$10,4,0)&amp;"_as_is = "&amp;VLOOKUP(B94,Instruções!$F$6:$J$10,4,0)&amp;"_to_be ",
"ON "&amp;VLOOKUP(B94,Instruções!$F$6:$J$10,4,0)&amp;"_as_is = "&amp;VLOOKUP(B94,Instruções!$F$6:$J$10,4,0)&amp;"_to_be AND "&amp;VLOOKUP(B94,Instruções!$F$6:$J$10,5,0)&amp;"_as_is = "&amp;VLOOKUP(B94,Instruções!$F$6:$J$10,5,0)&amp;"_to_be ")</f>
        <v xml:space="preserve">ON entty_id_as_is = entty_id_to_be </v>
      </c>
      <c r="K94" s="17" t="str">
        <f t="shared" si="15"/>
        <v xml:space="preserve">WHERE coalesce(cast(ttl_dbt_prvs_as_is as string), '') &lt;&gt; coalesce(cast(ttl_dbt_prvs_to_be as string), '') </v>
      </c>
      <c r="L94" s="17" t="str">
        <f t="shared" si="16"/>
        <v xml:space="preserve">SELECT count(*) AS NUM_REG_DIF FROM (SELECT entty_id as entty_id_as_is, ttl_dbt_prvs as ttl_dbt_prvs_as_is FROM cd_loan_tapes_bce.lt003_entity WHERE ref_date='2025-06-30' AND nome_perimetro= 'Individual IDComb' AND segmento= 'ESTR' AND ambito= 'PM' AND entidade='00100' AND cod_visao = 1) A  Inner join (SELECT entty_id as entty_id_to_be, ttl_dbt_prvs as ttl_dbt_prvs_to_be FROM bu_loantape_work.lt003_entity WHERE ref_date='2025-06-30' AND nome_perimetro= 'Individual IDComb' AND segmento= 'ESTR' AND ambito= 'PM' AND entidade='00100' AND cod_visao = 1) B ON entty_id_as_is = entty_id_to_be WHERE coalesce(cast(ttl_dbt_prvs_as_is as string), '') &lt;&gt; coalesce(cast(ttl_dbt_prvs_to_be as string), '') </v>
      </c>
      <c r="M94" s="17" t="s">
        <v>48</v>
      </c>
      <c r="N94" s="17" t="str">
        <f>"SELECT 'Validação de campos' as tipologia_teste, '"&amp;VLOOKUP(B94,Instruções!$F$6:$J$10,3,0)&amp;"' AS TABELA, '"&amp;E94&amp;"' AS CAMPO, '"&amp;Instruções!$D$7&amp;"' as ref_date, coalesce(NUM_REG_DIF, 0) AS NUM_REG_DIF FROM ("&amp;L94&amp;") A "</f>
        <v xml:space="preserve">SELECT 'Validação de campos' as tipologia_teste, 'lt003_entity' AS TABELA, 'ttl_dbt_prvs' AS CAMPO, '2025-06-30' as ref_date, coalesce(NUM_REG_DIF, 0) AS NUM_REG_DIF FROM (SELECT count(*) AS NUM_REG_DIF FROM (SELECT entty_id as entty_id_as_is, ttl_dbt_prvs as ttl_dbt_prvs_as_is FROM cd_loan_tapes_bce.lt003_entity WHERE ref_date='2025-06-30' AND nome_perimetro= 'Individual IDComb' AND segmento= 'ESTR' AND ambito= 'PM' AND entidade='00100' AND cod_visao = 1) A  Inner join (SELECT entty_id as entty_id_to_be, ttl_dbt_prvs as ttl_dbt_prvs_to_be FROM bu_loantape_work.lt003_entity WHERE ref_date='2025-06-30' AND nome_perimetro= 'Individual IDComb' AND segmento= 'ESTR' AND ambito= 'PM' AND entidade='00100' AND cod_visao = 1) B ON entty_id_as_is = entty_id_to_be WHERE coalesce(cast(ttl_dbt_prvs_as_is as string), '') &lt;&gt; coalesce(cast(ttl_dbt_prvs_to_be as string), '') ) A </v>
      </c>
      <c r="O94" s="19" t="str">
        <f t="shared" si="12"/>
        <v>SELECT 'Validação de campos' as tipologia_teste, 'lt003_entity' AS TABELA, 'ttl_dbt_prvs' AS CAMPO, '2025-06-30' as ref_date, coalesce(NUM_REG_DIF, 0) AS NUM_REG_DIF FROM (SELECT count(*) AS NUM_REG_DIF FROM (SELECT entty_id as entty_id_as_is, ttl_dbt_prvs as ttl_dbt_prvs_as_is FROM cd_loan_tapes_bce.lt003_entity WHERE ref_date='2025-06-30' AND nome_perimetro= 'Individual IDComb' AND segmento= 'ESTR' AND ambito= 'PM' AND entidade='00100' AND cod_visao = 1) A  Inner join (SELECT entty_id as entty_id_to_be, ttl_dbt_prvs as ttl_dbt_prvs_to_be FROM bu_loantape_work.lt003_entity WHERE ref_date='2025-06-30' AND nome_perimetro= 'Individual IDComb' AND segmento= 'ESTR' AND ambito= 'PM' AND entidade='00100' AND cod_visao = 1) B ON entty_id_as_is = entty_id_to_be WHERE coalesce(cast(ttl_dbt_prvs_as_is as string), '') &lt;&gt; coalesce(cast(ttl_dbt_prvs_to_be as string), '') ) A UNION ALL</v>
      </c>
      <c r="P94" s="17">
        <f t="shared" si="17"/>
        <v>40</v>
      </c>
    </row>
    <row r="95" spans="2:16" s="15" customFormat="1" ht="11.5" x14ac:dyDescent="0.25">
      <c r="B95" s="17" t="s">
        <v>11</v>
      </c>
      <c r="C95" s="17" t="str">
        <f>_xlfn.CONCAT(Instruções!$D$5,".",VLOOKUP(B95,Instruções!$F$5:$H$10,2,0))</f>
        <v>cd_loan_tapes_bce.lt003_entity</v>
      </c>
      <c r="D95" s="17" t="str">
        <f>_xlfn.CONCAT(Instruções!$D$6,".",VLOOKUP(B95,Instruções!$F$5:$H$10,3,0))</f>
        <v>bu_loantape_work.lt003_entity</v>
      </c>
      <c r="E95" s="17" t="s">
        <v>138</v>
      </c>
      <c r="F95" s="17" t="str">
        <f t="shared" si="13"/>
        <v>ttl_intrst_pd_as_is</v>
      </c>
      <c r="G95" s="17" t="str">
        <f t="shared" si="14"/>
        <v>ttl_intrst_pd_to_be</v>
      </c>
      <c r="H95" s="17" t="str">
        <f>IF(VLOOKUP(B95,Instruções!$F$6:$J$10,5,0)="",
"(SELECT "&amp;VLOOKUP(B95,Instruções!$F$6:$J$10,4,0)&amp;" as "&amp;VLOOKUP(B95,Instruções!$F$6:$J$10,4,0)&amp;"_as_is, "&amp;E95&amp;" as "&amp;F95&amp;" FROM "&amp;C95&amp;" WHERE "&amp;Instruções!$D$11&amp;") A ",
"(SELECT "&amp;VLOOKUP(B95,Instruções!$F$6:$J$10,4,0)&amp;" as "&amp;VLOOKUP(B95,Instruções!$F$6:$J$10,4,0)&amp;"_as_is, "&amp;VLOOKUP(B95,Instruções!$F$6:$J$10,5,0)&amp;" as "&amp;VLOOKUP(B95,Instruções!$F$6:$J$10,5,0)&amp;"_as_is,"&amp;E95&amp;" as "&amp;F95&amp;" FROM "&amp;C95&amp;" WHERE "&amp;Instruções!$D$11&amp;") A ")</f>
        <v xml:space="preserve">(SELECT entty_id as entty_id_as_is, ttl_intrst_pd as ttl_intrst_pd_as_is FROM cd_loan_tapes_bce.lt003_entity WHERE ref_date='2025-06-30' AND nome_perimetro= 'Individual IDComb' AND segmento= 'ESTR' AND ambito= 'PM' AND entidade='00100' AND cod_visao = 1) A </v>
      </c>
      <c r="I95" s="17" t="str">
        <f>IF(VLOOKUP(B95,Instruções!$F$6:$J$10,5,0)="",
"(SELECT "&amp;VLOOKUP(B95,Instruções!$F$6:$J$10,4,0)&amp;" as "&amp;VLOOKUP(B95,Instruções!$F$6:$J$10,4,0)&amp;"_to_be, "&amp;E95&amp;" as "&amp;G95&amp;" FROM "&amp;D95&amp;" WHERE "&amp;Instruções!$D$11&amp;") B ",
"(SELECT "&amp;VLOOKUP(B95,Instruções!$F$6:$J$10,4,0)&amp;" as "&amp;VLOOKUP(B95,Instruções!$F$6:$J$10,4,0)&amp;"_to_be, "&amp;VLOOKUP(B95,Instruções!$F$6:$J$10,5,0)&amp;" as "&amp;VLOOKUP(B95,Instruções!$F$6:$J$10,5,0)&amp;"_to_be,"&amp;E95&amp;" as "&amp;G95&amp;" FROM "&amp;D95&amp;" WHERE "&amp;Instruções!$D$11&amp;") B ")</f>
        <v xml:space="preserve">(SELECT entty_id as entty_id_to_be, ttl_intrst_pd as ttl_intrst_pd_to_be FROM bu_loantape_work.lt003_entity WHERE ref_date='2025-06-30' AND nome_perimetro= 'Individual IDComb' AND segmento= 'ESTR' AND ambito= 'PM' AND entidade='00100' AND cod_visao = 1) B </v>
      </c>
      <c r="J95" s="17" t="str">
        <f>IF(VLOOKUP(B95,Instruções!$F$6:$J$10,5,0)="",
"ON "&amp;VLOOKUP(B95,Instruções!$F$6:$J$10,4,0)&amp;"_as_is = "&amp;VLOOKUP(B95,Instruções!$F$6:$J$10,4,0)&amp;"_to_be ",
"ON "&amp;VLOOKUP(B95,Instruções!$F$6:$J$10,4,0)&amp;"_as_is = "&amp;VLOOKUP(B95,Instruções!$F$6:$J$10,4,0)&amp;"_to_be AND "&amp;VLOOKUP(B95,Instruções!$F$6:$J$10,5,0)&amp;"_as_is = "&amp;VLOOKUP(B95,Instruções!$F$6:$J$10,5,0)&amp;"_to_be ")</f>
        <v xml:space="preserve">ON entty_id_as_is = entty_id_to_be </v>
      </c>
      <c r="K95" s="17" t="str">
        <f t="shared" si="15"/>
        <v xml:space="preserve">WHERE coalesce(cast(ttl_intrst_pd_as_is as string), '') &lt;&gt; coalesce(cast(ttl_intrst_pd_to_be as string), '') </v>
      </c>
      <c r="L95" s="17" t="str">
        <f t="shared" si="16"/>
        <v xml:space="preserve">SELECT count(*) AS NUM_REG_DIF FROM (SELECT entty_id as entty_id_as_is, ttl_intrst_pd as ttl_intrst_pd_as_is FROM cd_loan_tapes_bce.lt003_entity WHERE ref_date='2025-06-30' AND nome_perimetro= 'Individual IDComb' AND segmento= 'ESTR' AND ambito= 'PM' AND entidade='00100' AND cod_visao = 1) A  Inner join (SELECT entty_id as entty_id_to_be, ttl_intrst_pd as ttl_intrst_pd_to_be FROM bu_loantape_work.lt003_entity WHERE ref_date='2025-06-30' AND nome_perimetro= 'Individual IDComb' AND segmento= 'ESTR' AND ambito= 'PM' AND entidade='00100' AND cod_visao = 1) B ON entty_id_as_is = entty_id_to_be WHERE coalesce(cast(ttl_intrst_pd_as_is as string), '') &lt;&gt; coalesce(cast(ttl_intrst_pd_to_be as string), '') </v>
      </c>
      <c r="M95" s="17" t="s">
        <v>48</v>
      </c>
      <c r="N95" s="17" t="str">
        <f>"SELECT 'Validação de campos' as tipologia_teste, '"&amp;VLOOKUP(B95,Instruções!$F$6:$J$10,3,0)&amp;"' AS TABELA, '"&amp;E95&amp;"' AS CAMPO, '"&amp;Instruções!$D$7&amp;"' as ref_date, coalesce(NUM_REG_DIF, 0) AS NUM_REG_DIF FROM ("&amp;L95&amp;") A "</f>
        <v xml:space="preserve">SELECT 'Validação de campos' as tipologia_teste, 'lt003_entity' AS TABELA, 'ttl_intrst_pd' AS CAMPO, '2025-06-30' as ref_date, coalesce(NUM_REG_DIF, 0) AS NUM_REG_DIF FROM (SELECT count(*) AS NUM_REG_DIF FROM (SELECT entty_id as entty_id_as_is, ttl_intrst_pd as ttl_intrst_pd_as_is FROM cd_loan_tapes_bce.lt003_entity WHERE ref_date='2025-06-30' AND nome_perimetro= 'Individual IDComb' AND segmento= 'ESTR' AND ambito= 'PM' AND entidade='00100' AND cod_visao = 1) A  Inner join (SELECT entty_id as entty_id_to_be, ttl_intrst_pd as ttl_intrst_pd_to_be FROM bu_loantape_work.lt003_entity WHERE ref_date='2025-06-30' AND nome_perimetro= 'Individual IDComb' AND segmento= 'ESTR' AND ambito= 'PM' AND entidade='00100' AND cod_visao = 1) B ON entty_id_as_is = entty_id_to_be WHERE coalesce(cast(ttl_intrst_pd_as_is as string), '') &lt;&gt; coalesce(cast(ttl_intrst_pd_to_be as string), '') ) A </v>
      </c>
      <c r="O95" s="19" t="str">
        <f t="shared" si="12"/>
        <v>SELECT 'Validação de campos' as tipologia_teste, 'lt003_entity' AS TABELA, 'ttl_intrst_pd' AS CAMPO, '2025-06-30' as ref_date, coalesce(NUM_REG_DIF, 0) AS NUM_REG_DIF FROM (SELECT count(*) AS NUM_REG_DIF FROM (SELECT entty_id as entty_id_as_is, ttl_intrst_pd as ttl_intrst_pd_as_is FROM cd_loan_tapes_bce.lt003_entity WHERE ref_date='2025-06-30' AND nome_perimetro= 'Individual IDComb' AND segmento= 'ESTR' AND ambito= 'PM' AND entidade='00100' AND cod_visao = 1) A  Inner join (SELECT entty_id as entty_id_to_be, ttl_intrst_pd as ttl_intrst_pd_to_be FROM bu_loantape_work.lt003_entity WHERE ref_date='2025-06-30' AND nome_perimetro= 'Individual IDComb' AND segmento= 'ESTR' AND ambito= 'PM' AND entidade='00100' AND cod_visao = 1) B ON entty_id_as_is = entty_id_to_be WHERE coalesce(cast(ttl_intrst_pd_as_is as string), '') &lt;&gt; coalesce(cast(ttl_intrst_pd_to_be as string), '') ) A UNION ALL</v>
      </c>
      <c r="P95" s="17">
        <f t="shared" si="17"/>
        <v>41</v>
      </c>
    </row>
    <row r="96" spans="2:16" s="15" customFormat="1" ht="11.5" x14ac:dyDescent="0.25">
      <c r="B96" s="17" t="s">
        <v>11</v>
      </c>
      <c r="C96" s="17" t="str">
        <f>_xlfn.CONCAT(Instruções!$D$5,".",VLOOKUP(B96,Instruções!$F$5:$H$10,2,0))</f>
        <v>cd_loan_tapes_bce.lt003_entity</v>
      </c>
      <c r="D96" s="17" t="str">
        <f>_xlfn.CONCAT(Instruções!$D$6,".",VLOOKUP(B96,Instruções!$F$5:$H$10,3,0))</f>
        <v>bu_loantape_work.lt003_entity</v>
      </c>
      <c r="E96" s="17" t="s">
        <v>139</v>
      </c>
      <c r="F96" s="17" t="str">
        <f t="shared" si="13"/>
        <v>ttl_lvrg_rt_as_is</v>
      </c>
      <c r="G96" s="17" t="str">
        <f t="shared" si="14"/>
        <v>ttl_lvrg_rt_to_be</v>
      </c>
      <c r="H96" s="17" t="str">
        <f>IF(VLOOKUP(B96,Instruções!$F$6:$J$10,5,0)="",
"(SELECT "&amp;VLOOKUP(B96,Instruções!$F$6:$J$10,4,0)&amp;" as "&amp;VLOOKUP(B96,Instruções!$F$6:$J$10,4,0)&amp;"_as_is, "&amp;E96&amp;" as "&amp;F96&amp;" FROM "&amp;C96&amp;" WHERE "&amp;Instruções!$D$11&amp;") A ",
"(SELECT "&amp;VLOOKUP(B96,Instruções!$F$6:$J$10,4,0)&amp;" as "&amp;VLOOKUP(B96,Instruções!$F$6:$J$10,4,0)&amp;"_as_is, "&amp;VLOOKUP(B96,Instruções!$F$6:$J$10,5,0)&amp;" as "&amp;VLOOKUP(B96,Instruções!$F$6:$J$10,5,0)&amp;"_as_is,"&amp;E96&amp;" as "&amp;F96&amp;" FROM "&amp;C96&amp;" WHERE "&amp;Instruções!$D$11&amp;") A ")</f>
        <v xml:space="preserve">(SELECT entty_id as entty_id_as_is, ttl_lvrg_rt as ttl_lvrg_rt_as_is FROM cd_loan_tapes_bce.lt003_entity WHERE ref_date='2025-06-30' AND nome_perimetro= 'Individual IDComb' AND segmento= 'ESTR' AND ambito= 'PM' AND entidade='00100' AND cod_visao = 1) A </v>
      </c>
      <c r="I96" s="17" t="str">
        <f>IF(VLOOKUP(B96,Instruções!$F$6:$J$10,5,0)="",
"(SELECT "&amp;VLOOKUP(B96,Instruções!$F$6:$J$10,4,0)&amp;" as "&amp;VLOOKUP(B96,Instruções!$F$6:$J$10,4,0)&amp;"_to_be, "&amp;E96&amp;" as "&amp;G96&amp;" FROM "&amp;D96&amp;" WHERE "&amp;Instruções!$D$11&amp;") B ",
"(SELECT "&amp;VLOOKUP(B96,Instruções!$F$6:$J$10,4,0)&amp;" as "&amp;VLOOKUP(B96,Instruções!$F$6:$J$10,4,0)&amp;"_to_be, "&amp;VLOOKUP(B96,Instruções!$F$6:$J$10,5,0)&amp;" as "&amp;VLOOKUP(B96,Instruções!$F$6:$J$10,5,0)&amp;"_to_be,"&amp;E96&amp;" as "&amp;G96&amp;" FROM "&amp;D96&amp;" WHERE "&amp;Instruções!$D$11&amp;") B ")</f>
        <v xml:space="preserve">(SELECT entty_id as entty_id_to_be, ttl_lvrg_rt as ttl_lvrg_rt_to_be FROM bu_loantape_work.lt003_entity WHERE ref_date='2025-06-30' AND nome_perimetro= 'Individual IDComb' AND segmento= 'ESTR' AND ambito= 'PM' AND entidade='00100' AND cod_visao = 1) B </v>
      </c>
      <c r="J96" s="17" t="str">
        <f>IF(VLOOKUP(B96,Instruções!$F$6:$J$10,5,0)="",
"ON "&amp;VLOOKUP(B96,Instruções!$F$6:$J$10,4,0)&amp;"_as_is = "&amp;VLOOKUP(B96,Instruções!$F$6:$J$10,4,0)&amp;"_to_be ",
"ON "&amp;VLOOKUP(B96,Instruções!$F$6:$J$10,4,0)&amp;"_as_is = "&amp;VLOOKUP(B96,Instruções!$F$6:$J$10,4,0)&amp;"_to_be AND "&amp;VLOOKUP(B96,Instruções!$F$6:$J$10,5,0)&amp;"_as_is = "&amp;VLOOKUP(B96,Instruções!$F$6:$J$10,5,0)&amp;"_to_be ")</f>
        <v xml:space="preserve">ON entty_id_as_is = entty_id_to_be </v>
      </c>
      <c r="K96" s="17" t="str">
        <f t="shared" si="15"/>
        <v xml:space="preserve">WHERE coalesce(cast(ttl_lvrg_rt_as_is as string), '') &lt;&gt; coalesce(cast(ttl_lvrg_rt_to_be as string), '') </v>
      </c>
      <c r="L96" s="17" t="str">
        <f t="shared" si="16"/>
        <v xml:space="preserve">SELECT count(*) AS NUM_REG_DIF FROM (SELECT entty_id as entty_id_as_is, ttl_lvrg_rt as ttl_lvrg_rt_as_is FROM cd_loan_tapes_bce.lt003_entity WHERE ref_date='2025-06-30' AND nome_perimetro= 'Individual IDComb' AND segmento= 'ESTR' AND ambito= 'PM' AND entidade='00100' AND cod_visao = 1) A  Inner join (SELECT entty_id as entty_id_to_be, ttl_lvrg_rt as ttl_lvrg_rt_to_be FROM bu_loantape_work.lt003_entity WHERE ref_date='2025-06-30' AND nome_perimetro= 'Individual IDComb' AND segmento= 'ESTR' AND ambito= 'PM' AND entidade='00100' AND cod_visao = 1) B ON entty_id_as_is = entty_id_to_be WHERE coalesce(cast(ttl_lvrg_rt_as_is as string), '') &lt;&gt; coalesce(cast(ttl_lvrg_rt_to_be as string), '') </v>
      </c>
      <c r="M96" s="17" t="s">
        <v>48</v>
      </c>
      <c r="N96" s="17" t="str">
        <f>"SELECT 'Validação de campos' as tipologia_teste, '"&amp;VLOOKUP(B96,Instruções!$F$6:$J$10,3,0)&amp;"' AS TABELA, '"&amp;E96&amp;"' AS CAMPO, '"&amp;Instruções!$D$7&amp;"' as ref_date, coalesce(NUM_REG_DIF, 0) AS NUM_REG_DIF FROM ("&amp;L96&amp;") A "</f>
        <v xml:space="preserve">SELECT 'Validação de campos' as tipologia_teste, 'lt003_entity' AS TABELA, 'ttl_lvrg_rt' AS CAMPO, '2025-06-30' as ref_date, coalesce(NUM_REG_DIF, 0) AS NUM_REG_DIF FROM (SELECT count(*) AS NUM_REG_DIF FROM (SELECT entty_id as entty_id_as_is, ttl_lvrg_rt as ttl_lvrg_rt_as_is FROM cd_loan_tapes_bce.lt003_entity WHERE ref_date='2025-06-30' AND nome_perimetro= 'Individual IDComb' AND segmento= 'ESTR' AND ambito= 'PM' AND entidade='00100' AND cod_visao = 1) A  Inner join (SELECT entty_id as entty_id_to_be, ttl_lvrg_rt as ttl_lvrg_rt_to_be FROM bu_loantape_work.lt003_entity WHERE ref_date='2025-06-30' AND nome_perimetro= 'Individual IDComb' AND segmento= 'ESTR' AND ambito= 'PM' AND entidade='00100' AND cod_visao = 1) B ON entty_id_as_is = entty_id_to_be WHERE coalesce(cast(ttl_lvrg_rt_as_is as string), '') &lt;&gt; coalesce(cast(ttl_lvrg_rt_to_be as string), '') ) A </v>
      </c>
      <c r="O96" s="19" t="str">
        <f t="shared" si="12"/>
        <v>SELECT 'Validação de campos' as tipologia_teste, 'lt003_entity' AS TABELA, 'ttl_lvrg_rt' AS CAMPO, '2025-06-30' as ref_date, coalesce(NUM_REG_DIF, 0) AS NUM_REG_DIF FROM (SELECT count(*) AS NUM_REG_DIF FROM (SELECT entty_id as entty_id_as_is, ttl_lvrg_rt as ttl_lvrg_rt_as_is FROM cd_loan_tapes_bce.lt003_entity WHERE ref_date='2025-06-30' AND nome_perimetro= 'Individual IDComb' AND segmento= 'ESTR' AND ambito= 'PM' AND entidade='00100' AND cod_visao = 1) A  Inner join (SELECT entty_id as entty_id_to_be, ttl_lvrg_rt as ttl_lvrg_rt_to_be FROM bu_loantape_work.lt003_entity WHERE ref_date='2025-06-30' AND nome_perimetro= 'Individual IDComb' AND segmento= 'ESTR' AND ambito= 'PM' AND entidade='00100' AND cod_visao = 1) B ON entty_id_as_is = entty_id_to_be WHERE coalesce(cast(ttl_lvrg_rt_as_is as string), '') &lt;&gt; coalesce(cast(ttl_lvrg_rt_to_be as string), '') ) A UNION ALL</v>
      </c>
      <c r="P96" s="17">
        <f t="shared" si="17"/>
        <v>42</v>
      </c>
    </row>
    <row r="97" spans="2:16" s="15" customFormat="1" ht="11.5" x14ac:dyDescent="0.25">
      <c r="B97" s="17" t="s">
        <v>11</v>
      </c>
      <c r="C97" s="17" t="str">
        <f>_xlfn.CONCAT(Instruções!$D$5,".",VLOOKUP(B97,Instruções!$F$5:$H$10,2,0))</f>
        <v>cd_loan_tapes_bce.lt003_entity</v>
      </c>
      <c r="D97" s="17" t="str">
        <f>_xlfn.CONCAT(Instruções!$D$6,".",VLOOKUP(B97,Instruções!$F$5:$H$10,3,0))</f>
        <v>bu_loantape_work.lt003_entity</v>
      </c>
      <c r="E97" s="17" t="s">
        <v>140</v>
      </c>
      <c r="F97" s="17" t="str">
        <f t="shared" si="13"/>
        <v>ttl_lvrg_rt_prvs_as_is</v>
      </c>
      <c r="G97" s="17" t="str">
        <f t="shared" si="14"/>
        <v>ttl_lvrg_rt_prvs_to_be</v>
      </c>
      <c r="H97" s="17" t="str">
        <f>IF(VLOOKUP(B97,Instruções!$F$6:$J$10,5,0)="",
"(SELECT "&amp;VLOOKUP(B97,Instruções!$F$6:$J$10,4,0)&amp;" as "&amp;VLOOKUP(B97,Instruções!$F$6:$J$10,4,0)&amp;"_as_is, "&amp;E97&amp;" as "&amp;F97&amp;" FROM "&amp;C97&amp;" WHERE "&amp;Instruções!$D$11&amp;") A ",
"(SELECT "&amp;VLOOKUP(B97,Instruções!$F$6:$J$10,4,0)&amp;" as "&amp;VLOOKUP(B97,Instruções!$F$6:$J$10,4,0)&amp;"_as_is, "&amp;VLOOKUP(B97,Instruções!$F$6:$J$10,5,0)&amp;" as "&amp;VLOOKUP(B97,Instruções!$F$6:$J$10,5,0)&amp;"_as_is,"&amp;E97&amp;" as "&amp;F97&amp;" FROM "&amp;C97&amp;" WHERE "&amp;Instruções!$D$11&amp;") A ")</f>
        <v xml:space="preserve">(SELECT entty_id as entty_id_as_is, ttl_lvrg_rt_prvs as ttl_lvrg_rt_prvs_as_is FROM cd_loan_tapes_bce.lt003_entity WHERE ref_date='2025-06-30' AND nome_perimetro= 'Individual IDComb' AND segmento= 'ESTR' AND ambito= 'PM' AND entidade='00100' AND cod_visao = 1) A </v>
      </c>
      <c r="I97" s="17" t="str">
        <f>IF(VLOOKUP(B97,Instruções!$F$6:$J$10,5,0)="",
"(SELECT "&amp;VLOOKUP(B97,Instruções!$F$6:$J$10,4,0)&amp;" as "&amp;VLOOKUP(B97,Instruções!$F$6:$J$10,4,0)&amp;"_to_be, "&amp;E97&amp;" as "&amp;G97&amp;" FROM "&amp;D97&amp;" WHERE "&amp;Instruções!$D$11&amp;") B ",
"(SELECT "&amp;VLOOKUP(B97,Instruções!$F$6:$J$10,4,0)&amp;" as "&amp;VLOOKUP(B97,Instruções!$F$6:$J$10,4,0)&amp;"_to_be, "&amp;VLOOKUP(B97,Instruções!$F$6:$J$10,5,0)&amp;" as "&amp;VLOOKUP(B97,Instruções!$F$6:$J$10,5,0)&amp;"_to_be,"&amp;E97&amp;" as "&amp;G97&amp;" FROM "&amp;D97&amp;" WHERE "&amp;Instruções!$D$11&amp;") B ")</f>
        <v xml:space="preserve">(SELECT entty_id as entty_id_to_be, ttl_lvrg_rt_prvs as ttl_lvrg_rt_prvs_to_be FROM bu_loantape_work.lt003_entity WHERE ref_date='2025-06-30' AND nome_perimetro= 'Individual IDComb' AND segmento= 'ESTR' AND ambito= 'PM' AND entidade='00100' AND cod_visao = 1) B </v>
      </c>
      <c r="J97" s="17" t="str">
        <f>IF(VLOOKUP(B97,Instruções!$F$6:$J$10,5,0)="",
"ON "&amp;VLOOKUP(B97,Instruções!$F$6:$J$10,4,0)&amp;"_as_is = "&amp;VLOOKUP(B97,Instruções!$F$6:$J$10,4,0)&amp;"_to_be ",
"ON "&amp;VLOOKUP(B97,Instruções!$F$6:$J$10,4,0)&amp;"_as_is = "&amp;VLOOKUP(B97,Instruções!$F$6:$J$10,4,0)&amp;"_to_be AND "&amp;VLOOKUP(B97,Instruções!$F$6:$J$10,5,0)&amp;"_as_is = "&amp;VLOOKUP(B97,Instruções!$F$6:$J$10,5,0)&amp;"_to_be ")</f>
        <v xml:space="preserve">ON entty_id_as_is = entty_id_to_be </v>
      </c>
      <c r="K97" s="17" t="str">
        <f t="shared" si="15"/>
        <v xml:space="preserve">WHERE coalesce(cast(ttl_lvrg_rt_prvs_as_is as string), '') &lt;&gt; coalesce(cast(ttl_lvrg_rt_prvs_to_be as string), '') </v>
      </c>
      <c r="L97" s="17" t="str">
        <f t="shared" si="16"/>
        <v xml:space="preserve">SELECT count(*) AS NUM_REG_DIF FROM (SELECT entty_id as entty_id_as_is, ttl_lvrg_rt_prvs as ttl_lvrg_rt_prvs_as_is FROM cd_loan_tapes_bce.lt003_entity WHERE ref_date='2025-06-30' AND nome_perimetro= 'Individual IDComb' AND segmento= 'ESTR' AND ambito= 'PM' AND entidade='00100' AND cod_visao = 1) A  Inner join (SELECT entty_id as entty_id_to_be, ttl_lvrg_rt_prvs as ttl_lvrg_rt_prvs_to_be FROM bu_loantape_work.lt003_entity WHERE ref_date='2025-06-30' AND nome_perimetro= 'Individual IDComb' AND segmento= 'ESTR' AND ambito= 'PM' AND entidade='00100' AND cod_visao = 1) B ON entty_id_as_is = entty_id_to_be WHERE coalesce(cast(ttl_lvrg_rt_prvs_as_is as string), '') &lt;&gt; coalesce(cast(ttl_lvrg_rt_prvs_to_be as string), '') </v>
      </c>
      <c r="M97" s="17" t="s">
        <v>48</v>
      </c>
      <c r="N97" s="17" t="str">
        <f>"SELECT 'Validação de campos' as tipologia_teste, '"&amp;VLOOKUP(B97,Instruções!$F$6:$J$10,3,0)&amp;"' AS TABELA, '"&amp;E97&amp;"' AS CAMPO, '"&amp;Instruções!$D$7&amp;"' as ref_date, coalesce(NUM_REG_DIF, 0) AS NUM_REG_DIF FROM ("&amp;L97&amp;") A "</f>
        <v xml:space="preserve">SELECT 'Validação de campos' as tipologia_teste, 'lt003_entity' AS TABELA, 'ttl_lvrg_rt_prvs' AS CAMPO, '2025-06-30' as ref_date, coalesce(NUM_REG_DIF, 0) AS NUM_REG_DIF FROM (SELECT count(*) AS NUM_REG_DIF FROM (SELECT entty_id as entty_id_as_is, ttl_lvrg_rt_prvs as ttl_lvrg_rt_prvs_as_is FROM cd_loan_tapes_bce.lt003_entity WHERE ref_date='2025-06-30' AND nome_perimetro= 'Individual IDComb' AND segmento= 'ESTR' AND ambito= 'PM' AND entidade='00100' AND cod_visao = 1) A  Inner join (SELECT entty_id as entty_id_to_be, ttl_lvrg_rt_prvs as ttl_lvrg_rt_prvs_to_be FROM bu_loantape_work.lt003_entity WHERE ref_date='2025-06-30' AND nome_perimetro= 'Individual IDComb' AND segmento= 'ESTR' AND ambito= 'PM' AND entidade='00100' AND cod_visao = 1) B ON entty_id_as_is = entty_id_to_be WHERE coalesce(cast(ttl_lvrg_rt_prvs_as_is as string), '') &lt;&gt; coalesce(cast(ttl_lvrg_rt_prvs_to_be as string), '') ) A </v>
      </c>
      <c r="O97" s="19" t="str">
        <f t="shared" si="12"/>
        <v>SELECT 'Validação de campos' as tipologia_teste, 'lt003_entity' AS TABELA, 'ttl_lvrg_rt_prvs' AS CAMPO, '2025-06-30' as ref_date, coalesce(NUM_REG_DIF, 0) AS NUM_REG_DIF FROM (SELECT count(*) AS NUM_REG_DIF FROM (SELECT entty_id as entty_id_as_is, ttl_lvrg_rt_prvs as ttl_lvrg_rt_prvs_as_is FROM cd_loan_tapes_bce.lt003_entity WHERE ref_date='2025-06-30' AND nome_perimetro= 'Individual IDComb' AND segmento= 'ESTR' AND ambito= 'PM' AND entidade='00100' AND cod_visao = 1) A  Inner join (SELECT entty_id as entty_id_to_be, ttl_lvrg_rt_prvs as ttl_lvrg_rt_prvs_to_be FROM bu_loantape_work.lt003_entity WHERE ref_date='2025-06-30' AND nome_perimetro= 'Individual IDComb' AND segmento= 'ESTR' AND ambito= 'PM' AND entidade='00100' AND cod_visao = 1) B ON entty_id_as_is = entty_id_to_be WHERE coalesce(cast(ttl_lvrg_rt_prvs_as_is as string), '') &lt;&gt; coalesce(cast(ttl_lvrg_rt_prvs_to_be as string), '') ) A UNION ALL</v>
      </c>
      <c r="P97" s="17">
        <f t="shared" si="17"/>
        <v>43</v>
      </c>
    </row>
    <row r="98" spans="2:16" s="15" customFormat="1" ht="11.5" x14ac:dyDescent="0.25">
      <c r="B98" s="17" t="s">
        <v>11</v>
      </c>
      <c r="C98" s="17" t="str">
        <f>_xlfn.CONCAT(Instruções!$D$5,".",VLOOKUP(B98,Instruções!$F$5:$H$10,2,0))</f>
        <v>cd_loan_tapes_bce.lt003_entity</v>
      </c>
      <c r="D98" s="17" t="str">
        <f>_xlfn.CONCAT(Instruções!$D$6,".",VLOOKUP(B98,Instruções!$F$5:$H$10,3,0))</f>
        <v>bu_loantape_work.lt003_entity</v>
      </c>
      <c r="E98" s="17" t="s">
        <v>141</v>
      </c>
      <c r="F98" s="17" t="str">
        <f t="shared" si="13"/>
        <v>wtch_lst_as_is</v>
      </c>
      <c r="G98" s="17" t="str">
        <f t="shared" si="14"/>
        <v>wtch_lst_to_be</v>
      </c>
      <c r="H98" s="17" t="str">
        <f>IF(VLOOKUP(B98,Instruções!$F$6:$J$10,5,0)="",
"(SELECT "&amp;VLOOKUP(B98,Instruções!$F$6:$J$10,4,0)&amp;" as "&amp;VLOOKUP(B98,Instruções!$F$6:$J$10,4,0)&amp;"_as_is, "&amp;E98&amp;" as "&amp;F98&amp;" FROM "&amp;C98&amp;" WHERE "&amp;Instruções!$D$11&amp;") A ",
"(SELECT "&amp;VLOOKUP(B98,Instruções!$F$6:$J$10,4,0)&amp;" as "&amp;VLOOKUP(B98,Instruções!$F$6:$J$10,4,0)&amp;"_as_is, "&amp;VLOOKUP(B98,Instruções!$F$6:$J$10,5,0)&amp;" as "&amp;VLOOKUP(B98,Instruções!$F$6:$J$10,5,0)&amp;"_as_is,"&amp;E98&amp;" as "&amp;F98&amp;" FROM "&amp;C98&amp;" WHERE "&amp;Instruções!$D$11&amp;") A ")</f>
        <v xml:space="preserve">(SELECT entty_id as entty_id_as_is, wtch_lst as wtch_lst_as_is FROM cd_loan_tapes_bce.lt003_entity WHERE ref_date='2025-06-30' AND nome_perimetro= 'Individual IDComb' AND segmento= 'ESTR' AND ambito= 'PM' AND entidade='00100' AND cod_visao = 1) A </v>
      </c>
      <c r="I98" s="17" t="str">
        <f>IF(VLOOKUP(B98,Instruções!$F$6:$J$10,5,0)="",
"(SELECT "&amp;VLOOKUP(B98,Instruções!$F$6:$J$10,4,0)&amp;" as "&amp;VLOOKUP(B98,Instruções!$F$6:$J$10,4,0)&amp;"_to_be, "&amp;E98&amp;" as "&amp;G98&amp;" FROM "&amp;D98&amp;" WHERE "&amp;Instruções!$D$11&amp;") B ",
"(SELECT "&amp;VLOOKUP(B98,Instruções!$F$6:$J$10,4,0)&amp;" as "&amp;VLOOKUP(B98,Instruções!$F$6:$J$10,4,0)&amp;"_to_be, "&amp;VLOOKUP(B98,Instruções!$F$6:$J$10,5,0)&amp;" as "&amp;VLOOKUP(B98,Instruções!$F$6:$J$10,5,0)&amp;"_to_be,"&amp;E98&amp;" as "&amp;G98&amp;" FROM "&amp;D98&amp;" WHERE "&amp;Instruções!$D$11&amp;") B ")</f>
        <v xml:space="preserve">(SELECT entty_id as entty_id_to_be, wtch_lst as wtch_lst_to_be FROM bu_loantape_work.lt003_entity WHERE ref_date='2025-06-30' AND nome_perimetro= 'Individual IDComb' AND segmento= 'ESTR' AND ambito= 'PM' AND entidade='00100' AND cod_visao = 1) B </v>
      </c>
      <c r="J98" s="17" t="str">
        <f>IF(VLOOKUP(B98,Instruções!$F$6:$J$10,5,0)="",
"ON "&amp;VLOOKUP(B98,Instruções!$F$6:$J$10,4,0)&amp;"_as_is = "&amp;VLOOKUP(B98,Instruções!$F$6:$J$10,4,0)&amp;"_to_be ",
"ON "&amp;VLOOKUP(B98,Instruções!$F$6:$J$10,4,0)&amp;"_as_is = "&amp;VLOOKUP(B98,Instruções!$F$6:$J$10,4,0)&amp;"_to_be AND "&amp;VLOOKUP(B98,Instruções!$F$6:$J$10,5,0)&amp;"_as_is = "&amp;VLOOKUP(B98,Instruções!$F$6:$J$10,5,0)&amp;"_to_be ")</f>
        <v xml:space="preserve">ON entty_id_as_is = entty_id_to_be </v>
      </c>
      <c r="K98" s="17" t="str">
        <f t="shared" si="15"/>
        <v xml:space="preserve">WHERE coalesce(cast(wtch_lst_as_is as string), '') &lt;&gt; coalesce(cast(wtch_lst_to_be as string), '') </v>
      </c>
      <c r="L98" s="17" t="str">
        <f t="shared" si="16"/>
        <v xml:space="preserve">SELECT count(*) AS NUM_REG_DIF FROM (SELECT entty_id as entty_id_as_is, wtch_lst as wtch_lst_as_is FROM cd_loan_tapes_bce.lt003_entity WHERE ref_date='2025-06-30' AND nome_perimetro= 'Individual IDComb' AND segmento= 'ESTR' AND ambito= 'PM' AND entidade='00100' AND cod_visao = 1) A  Inner join (SELECT entty_id as entty_id_to_be, wtch_lst as wtch_lst_to_be FROM bu_loantape_work.lt003_entity WHERE ref_date='2025-06-30' AND nome_perimetro= 'Individual IDComb' AND segmento= 'ESTR' AND ambito= 'PM' AND entidade='00100' AND cod_visao = 1) B ON entty_id_as_is = entty_id_to_be WHERE coalesce(cast(wtch_lst_as_is as string), '') &lt;&gt; coalesce(cast(wtch_lst_to_be as string), '') </v>
      </c>
      <c r="M98" s="17" t="s">
        <v>48</v>
      </c>
      <c r="N98" s="17" t="str">
        <f>"SELECT 'Validação de campos' as tipologia_teste, '"&amp;VLOOKUP(B98,Instruções!$F$6:$J$10,3,0)&amp;"' AS TABELA, '"&amp;E98&amp;"' AS CAMPO, '"&amp;Instruções!$D$7&amp;"' as ref_date, coalesce(NUM_REG_DIF, 0) AS NUM_REG_DIF FROM ("&amp;L98&amp;") A "</f>
        <v xml:space="preserve">SELECT 'Validação de campos' as tipologia_teste, 'lt003_entity' AS TABELA, 'wtch_lst' AS CAMPO, '2025-06-30' as ref_date, coalesce(NUM_REG_DIF, 0) AS NUM_REG_DIF FROM (SELECT count(*) AS NUM_REG_DIF FROM (SELECT entty_id as entty_id_as_is, wtch_lst as wtch_lst_as_is FROM cd_loan_tapes_bce.lt003_entity WHERE ref_date='2025-06-30' AND nome_perimetro= 'Individual IDComb' AND segmento= 'ESTR' AND ambito= 'PM' AND entidade='00100' AND cod_visao = 1) A  Inner join (SELECT entty_id as entty_id_to_be, wtch_lst as wtch_lst_to_be FROM bu_loantape_work.lt003_entity WHERE ref_date='2025-06-30' AND nome_perimetro= 'Individual IDComb' AND segmento= 'ESTR' AND ambito= 'PM' AND entidade='00100' AND cod_visao = 1) B ON entty_id_as_is = entty_id_to_be WHERE coalesce(cast(wtch_lst_as_is as string), '') &lt;&gt; coalesce(cast(wtch_lst_to_be as string), '') ) A </v>
      </c>
      <c r="O98" s="19" t="str">
        <f t="shared" si="12"/>
        <v>SELECT 'Validação de campos' as tipologia_teste, 'lt003_entity' AS TABELA, 'wtch_lst' AS CAMPO, '2025-06-30' as ref_date, coalesce(NUM_REG_DIF, 0) AS NUM_REG_DIF FROM (SELECT count(*) AS NUM_REG_DIF FROM (SELECT entty_id as entty_id_as_is, wtch_lst as wtch_lst_as_is FROM cd_loan_tapes_bce.lt003_entity WHERE ref_date='2025-06-30' AND nome_perimetro= 'Individual IDComb' AND segmento= 'ESTR' AND ambito= 'PM' AND entidade='00100' AND cod_visao = 1) A  Inner join (SELECT entty_id as entty_id_to_be, wtch_lst as wtch_lst_to_be FROM bu_loantape_work.lt003_entity WHERE ref_date='2025-06-30' AND nome_perimetro= 'Individual IDComb' AND segmento= 'ESTR' AND ambito= 'PM' AND entidade='00100' AND cod_visao = 1) B ON entty_id_as_is = entty_id_to_be WHERE coalesce(cast(wtch_lst_as_is as string), '') &lt;&gt; coalesce(cast(wtch_lst_to_be as string), '') ) A UNION ALL</v>
      </c>
      <c r="P98" s="17">
        <f>P97+1</f>
        <v>44</v>
      </c>
    </row>
    <row r="99" spans="2:16" s="15" customFormat="1" ht="11.5" x14ac:dyDescent="0.25">
      <c r="B99" s="17" t="s">
        <v>11</v>
      </c>
      <c r="C99" s="17" t="str">
        <f>_xlfn.CONCAT(Instruções!$D$5,".",VLOOKUP(B99,Instruções!$F$5:$H$10,2,0))</f>
        <v>cd_loan_tapes_bce.lt003_entity</v>
      </c>
      <c r="D99" s="17" t="str">
        <f>_xlfn.CONCAT(Instruções!$D$6,".",VLOOKUP(B99,Instruções!$F$5:$H$10,3,0))</f>
        <v>bu_loantape_work.lt003_entity</v>
      </c>
      <c r="E99" s="17" t="s">
        <v>353</v>
      </c>
      <c r="F99" s="17" t="str">
        <f t="shared" ref="F99:F106" si="18">E99&amp;"_as_is"</f>
        <v>flln_angl_nrrw_dfntn_as_is</v>
      </c>
      <c r="G99" s="17" t="str">
        <f t="shared" ref="G99:G106" si="19">E99&amp;"_to_be"</f>
        <v>flln_angl_nrrw_dfntn_to_be</v>
      </c>
      <c r="H99" s="17" t="str">
        <f>IF(VLOOKUP(B99,Instruções!$F$6:$J$10,5,0)="",
"(SELECT "&amp;VLOOKUP(B99,Instruções!$F$6:$J$10,4,0)&amp;" as "&amp;VLOOKUP(B99,Instruções!$F$6:$J$10,4,0)&amp;"_as_is, "&amp;E99&amp;" as "&amp;F99&amp;" FROM "&amp;C99&amp;" WHERE "&amp;Instruções!$D$11&amp;") A ",
"(SELECT "&amp;VLOOKUP(B99,Instruções!$F$6:$J$10,4,0)&amp;" as "&amp;VLOOKUP(B99,Instruções!$F$6:$J$10,4,0)&amp;"_as_is, "&amp;VLOOKUP(B99,Instruções!$F$6:$J$10,5,0)&amp;" as "&amp;VLOOKUP(B99,Instruções!$F$6:$J$10,5,0)&amp;"_as_is,"&amp;E99&amp;" as "&amp;F99&amp;" FROM "&amp;C99&amp;" WHERE "&amp;Instruções!$D$11&amp;") A ")</f>
        <v xml:space="preserve">(SELECT entty_id as entty_id_as_is, flln_angl_nrrw_dfntn as flln_angl_nrrw_dfntn_as_is FROM cd_loan_tapes_bce.lt003_entity WHERE ref_date='2025-06-30' AND nome_perimetro= 'Individual IDComb' AND segmento= 'ESTR' AND ambito= 'PM' AND entidade='00100' AND cod_visao = 1) A </v>
      </c>
      <c r="I99" s="17" t="str">
        <f>IF(VLOOKUP(B99,Instruções!$F$6:$J$10,5,0)="",
"(SELECT "&amp;VLOOKUP(B99,Instruções!$F$6:$J$10,4,0)&amp;" as "&amp;VLOOKUP(B99,Instruções!$F$6:$J$10,4,0)&amp;"_to_be, "&amp;E99&amp;" as "&amp;G99&amp;" FROM "&amp;D99&amp;" WHERE "&amp;Instruções!$D$11&amp;") B ",
"(SELECT "&amp;VLOOKUP(B99,Instruções!$F$6:$J$10,4,0)&amp;" as "&amp;VLOOKUP(B99,Instruções!$F$6:$J$10,4,0)&amp;"_to_be, "&amp;VLOOKUP(B99,Instruções!$F$6:$J$10,5,0)&amp;" as "&amp;VLOOKUP(B99,Instruções!$F$6:$J$10,5,0)&amp;"_to_be,"&amp;E99&amp;" as "&amp;G99&amp;" FROM "&amp;D99&amp;" WHERE "&amp;Instruções!$D$11&amp;") B ")</f>
        <v xml:space="preserve">(SELECT entty_id as entty_id_to_be, flln_angl_nrrw_dfntn as flln_angl_nrrw_dfntn_to_be FROM bu_loantape_work.lt003_entity WHERE ref_date='2025-06-30' AND nome_perimetro= 'Individual IDComb' AND segmento= 'ESTR' AND ambito= 'PM' AND entidade='00100' AND cod_visao = 1) B </v>
      </c>
      <c r="J99" s="17" t="str">
        <f>IF(VLOOKUP(B99,Instruções!$F$6:$J$10,5,0)="",
"ON "&amp;VLOOKUP(B99,Instruções!$F$6:$J$10,4,0)&amp;"_as_is = "&amp;VLOOKUP(B99,Instruções!$F$6:$J$10,4,0)&amp;"_to_be ",
"ON "&amp;VLOOKUP(B99,Instruções!$F$6:$J$10,4,0)&amp;"_as_is = "&amp;VLOOKUP(B99,Instruções!$F$6:$J$10,4,0)&amp;"_to_be AND "&amp;VLOOKUP(B99,Instruções!$F$6:$J$10,5,0)&amp;"_as_is = "&amp;VLOOKUP(B99,Instruções!$F$6:$J$10,5,0)&amp;"_to_be ")</f>
        <v xml:space="preserve">ON entty_id_as_is = entty_id_to_be </v>
      </c>
      <c r="K99" s="17" t="str">
        <f t="shared" ref="K99:K106" si="20">"WHERE coalesce(cast("&amp;F99&amp;" as string), '') &lt;&gt; coalesce(cast("&amp;G99&amp;" as string), '') "</f>
        <v xml:space="preserve">WHERE coalesce(cast(flln_angl_nrrw_dfntn_as_is as string), '') &lt;&gt; coalesce(cast(flln_angl_nrrw_dfntn_to_be as string), '') </v>
      </c>
      <c r="L99" s="17" t="str">
        <f t="shared" ref="L99:L106" si="21">"SELECT count(*) AS NUM_REG_DIF FROM "&amp;H99&amp;" Inner join "&amp;I99&amp;J99&amp;K99</f>
        <v xml:space="preserve">SELECT count(*) AS NUM_REG_DIF FROM (SELECT entty_id as entty_id_as_is, flln_angl_nrrw_dfntn as flln_angl_nrrw_dfntn_as_is FROM cd_loan_tapes_bce.lt003_entity WHERE ref_date='2025-06-30' AND nome_perimetro= 'Individual IDComb' AND segmento= 'ESTR' AND ambito= 'PM' AND entidade='00100' AND cod_visao = 1) A  Inner join (SELECT entty_id as entty_id_to_be, flln_angl_nrrw_dfntn as flln_angl_nrrw_dfntn_to_be FROM bu_loantape_work.lt003_entity WHERE ref_date='2025-06-30' AND nome_perimetro= 'Individual IDComb' AND segmento= 'ESTR' AND ambito= 'PM' AND entidade='00100' AND cod_visao = 1) B ON entty_id_as_is = entty_id_to_be WHERE coalesce(cast(flln_angl_nrrw_dfntn_as_is as string), '') &lt;&gt; coalesce(cast(flln_angl_nrrw_dfntn_to_be as string), '') </v>
      </c>
      <c r="M99" s="17" t="s">
        <v>48</v>
      </c>
      <c r="N99" s="17" t="str">
        <f>"SELECT 'Validação de campos' as tipologia_teste, '"&amp;VLOOKUP(B99,Instruções!$F$6:$J$10,3,0)&amp;"' AS TABELA, '"&amp;E99&amp;"' AS CAMPO, '"&amp;Instruções!$D$7&amp;"' as ref_date, coalesce(NUM_REG_DIF, 0) AS NUM_REG_DIF FROM ("&amp;L99&amp;") A "</f>
        <v xml:space="preserve">SELECT 'Validação de campos' as tipologia_teste, 'lt003_entity' AS TABELA, 'flln_angl_nrrw_dfntn' AS CAMPO, '2025-06-30' as ref_date, coalesce(NUM_REG_DIF, 0) AS NUM_REG_DIF FROM (SELECT count(*) AS NUM_REG_DIF FROM (SELECT entty_id as entty_id_as_is, flln_angl_nrrw_dfntn as flln_angl_nrrw_dfntn_as_is FROM cd_loan_tapes_bce.lt003_entity WHERE ref_date='2025-06-30' AND nome_perimetro= 'Individual IDComb' AND segmento= 'ESTR' AND ambito= 'PM' AND entidade='00100' AND cod_visao = 1) A  Inner join (SELECT entty_id as entty_id_to_be, flln_angl_nrrw_dfntn as flln_angl_nrrw_dfntn_to_be FROM bu_loantape_work.lt003_entity WHERE ref_date='2025-06-30' AND nome_perimetro= 'Individual IDComb' AND segmento= 'ESTR' AND ambito= 'PM' AND entidade='00100' AND cod_visao = 1) B ON entty_id_as_is = entty_id_to_be WHERE coalesce(cast(flln_angl_nrrw_dfntn_as_is as string), '') &lt;&gt; coalesce(cast(flln_angl_nrrw_dfntn_to_be as string), '') ) A </v>
      </c>
      <c r="O99" s="19" t="str">
        <f t="shared" si="12"/>
        <v>SELECT 'Validação de campos' as tipologia_teste, 'lt003_entity' AS TABELA, 'flln_angl_nrrw_dfntn' AS CAMPO, '2025-06-30' as ref_date, coalesce(NUM_REG_DIF, 0) AS NUM_REG_DIF FROM (SELECT count(*) AS NUM_REG_DIF FROM (SELECT entty_id as entty_id_as_is, flln_angl_nrrw_dfntn as flln_angl_nrrw_dfntn_as_is FROM cd_loan_tapes_bce.lt003_entity WHERE ref_date='2025-06-30' AND nome_perimetro= 'Individual IDComb' AND segmento= 'ESTR' AND ambito= 'PM' AND entidade='00100' AND cod_visao = 1) A  Inner join (SELECT entty_id as entty_id_to_be, flln_angl_nrrw_dfntn as flln_angl_nrrw_dfntn_to_be FROM bu_loantape_work.lt003_entity WHERE ref_date='2025-06-30' AND nome_perimetro= 'Individual IDComb' AND segmento= 'ESTR' AND ambito= 'PM' AND entidade='00100' AND cod_visao = 1) B ON entty_id_as_is = entty_id_to_be WHERE coalesce(cast(flln_angl_nrrw_dfntn_as_is as string), '') &lt;&gt; coalesce(cast(flln_angl_nrrw_dfntn_to_be as string), '') ) A UNION ALL</v>
      </c>
      <c r="P99" s="17">
        <f t="shared" ref="P99:P111" si="22">P98+1</f>
        <v>45</v>
      </c>
    </row>
    <row r="100" spans="2:16" s="15" customFormat="1" ht="11.5" x14ac:dyDescent="0.25">
      <c r="B100" s="17" t="s">
        <v>11</v>
      </c>
      <c r="C100" s="17" t="str">
        <f>_xlfn.CONCAT(Instruções!$D$5,".",VLOOKUP(B100,Instruções!$F$5:$H$10,2,0))</f>
        <v>cd_loan_tapes_bce.lt003_entity</v>
      </c>
      <c r="D100" s="17" t="str">
        <f>_xlfn.CONCAT(Instruções!$D$6,".",VLOOKUP(B100,Instruções!$F$5:$H$10,3,0))</f>
        <v>bu_loantape_work.lt003_entity</v>
      </c>
      <c r="E100" s="17" t="s">
        <v>354</v>
      </c>
      <c r="F100" s="17" t="str">
        <f t="shared" si="18"/>
        <v>flln_angl_extndd_dfntn_as_is</v>
      </c>
      <c r="G100" s="17" t="str">
        <f t="shared" si="19"/>
        <v>flln_angl_extndd_dfntn_to_be</v>
      </c>
      <c r="H100" s="17" t="str">
        <f>IF(VLOOKUP(B100,Instruções!$F$6:$J$10,5,0)="",
"(SELECT "&amp;VLOOKUP(B100,Instruções!$F$6:$J$10,4,0)&amp;" as "&amp;VLOOKUP(B100,Instruções!$F$6:$J$10,4,0)&amp;"_as_is, "&amp;E100&amp;" as "&amp;F100&amp;" FROM "&amp;C100&amp;" WHERE "&amp;Instruções!$D$11&amp;") A ",
"(SELECT "&amp;VLOOKUP(B100,Instruções!$F$6:$J$10,4,0)&amp;" as "&amp;VLOOKUP(B100,Instruções!$F$6:$J$10,4,0)&amp;"_as_is, "&amp;VLOOKUP(B100,Instruções!$F$6:$J$10,5,0)&amp;" as "&amp;VLOOKUP(B100,Instruções!$F$6:$J$10,5,0)&amp;"_as_is,"&amp;E100&amp;" as "&amp;F100&amp;" FROM "&amp;C100&amp;" WHERE "&amp;Instruções!$D$11&amp;") A ")</f>
        <v xml:space="preserve">(SELECT entty_id as entty_id_as_is, flln_angl_extndd_dfntn as flln_angl_extndd_dfntn_as_is FROM cd_loan_tapes_bce.lt003_entity WHERE ref_date='2025-06-30' AND nome_perimetro= 'Individual IDComb' AND segmento= 'ESTR' AND ambito= 'PM' AND entidade='00100' AND cod_visao = 1) A </v>
      </c>
      <c r="I100" s="17" t="str">
        <f>IF(VLOOKUP(B100,Instruções!$F$6:$J$10,5,0)="",
"(SELECT "&amp;VLOOKUP(B100,Instruções!$F$6:$J$10,4,0)&amp;" as "&amp;VLOOKUP(B100,Instruções!$F$6:$J$10,4,0)&amp;"_to_be, "&amp;E100&amp;" as "&amp;G100&amp;" FROM "&amp;D100&amp;" WHERE "&amp;Instruções!$D$11&amp;") B ",
"(SELECT "&amp;VLOOKUP(B100,Instruções!$F$6:$J$10,4,0)&amp;" as "&amp;VLOOKUP(B100,Instruções!$F$6:$J$10,4,0)&amp;"_to_be, "&amp;VLOOKUP(B100,Instruções!$F$6:$J$10,5,0)&amp;" as "&amp;VLOOKUP(B100,Instruções!$F$6:$J$10,5,0)&amp;"_to_be,"&amp;E100&amp;" as "&amp;G100&amp;" FROM "&amp;D100&amp;" WHERE "&amp;Instruções!$D$11&amp;") B ")</f>
        <v xml:space="preserve">(SELECT entty_id as entty_id_to_be, flln_angl_extndd_dfntn as flln_angl_extndd_dfntn_to_be FROM bu_loantape_work.lt003_entity WHERE ref_date='2025-06-30' AND nome_perimetro= 'Individual IDComb' AND segmento= 'ESTR' AND ambito= 'PM' AND entidade='00100' AND cod_visao = 1) B </v>
      </c>
      <c r="J100" s="17" t="str">
        <f>IF(VLOOKUP(B100,Instruções!$F$6:$J$10,5,0)="",
"ON "&amp;VLOOKUP(B100,Instruções!$F$6:$J$10,4,0)&amp;"_as_is = "&amp;VLOOKUP(B100,Instruções!$F$6:$J$10,4,0)&amp;"_to_be ",
"ON "&amp;VLOOKUP(B100,Instruções!$F$6:$J$10,4,0)&amp;"_as_is = "&amp;VLOOKUP(B100,Instruções!$F$6:$J$10,4,0)&amp;"_to_be AND "&amp;VLOOKUP(B100,Instruções!$F$6:$J$10,5,0)&amp;"_as_is = "&amp;VLOOKUP(B100,Instruções!$F$6:$J$10,5,0)&amp;"_to_be ")</f>
        <v xml:space="preserve">ON entty_id_as_is = entty_id_to_be </v>
      </c>
      <c r="K100" s="17" t="str">
        <f t="shared" si="20"/>
        <v xml:space="preserve">WHERE coalesce(cast(flln_angl_extndd_dfntn_as_is as string), '') &lt;&gt; coalesce(cast(flln_angl_extndd_dfntn_to_be as string), '') </v>
      </c>
      <c r="L100" s="17" t="str">
        <f t="shared" si="21"/>
        <v xml:space="preserve">SELECT count(*) AS NUM_REG_DIF FROM (SELECT entty_id as entty_id_as_is, flln_angl_extndd_dfntn as flln_angl_extndd_dfntn_as_is FROM cd_loan_tapes_bce.lt003_entity WHERE ref_date='2025-06-30' AND nome_perimetro= 'Individual IDComb' AND segmento= 'ESTR' AND ambito= 'PM' AND entidade='00100' AND cod_visao = 1) A  Inner join (SELECT entty_id as entty_id_to_be, flln_angl_extndd_dfntn as flln_angl_extndd_dfntn_to_be FROM bu_loantape_work.lt003_entity WHERE ref_date='2025-06-30' AND nome_perimetro= 'Individual IDComb' AND segmento= 'ESTR' AND ambito= 'PM' AND entidade='00100' AND cod_visao = 1) B ON entty_id_as_is = entty_id_to_be WHERE coalesce(cast(flln_angl_extndd_dfntn_as_is as string), '') &lt;&gt; coalesce(cast(flln_angl_extndd_dfntn_to_be as string), '') </v>
      </c>
      <c r="M100" s="17" t="s">
        <v>48</v>
      </c>
      <c r="N100" s="17" t="str">
        <f>"SELECT 'Validação de campos' as tipologia_teste, '"&amp;VLOOKUP(B100,Instruções!$F$6:$J$10,3,0)&amp;"' AS TABELA, '"&amp;E100&amp;"' AS CAMPO, '"&amp;Instruções!$D$7&amp;"' as ref_date, coalesce(NUM_REG_DIF, 0) AS NUM_REG_DIF FROM ("&amp;L100&amp;") A "</f>
        <v xml:space="preserve">SELECT 'Validação de campos' as tipologia_teste, 'lt003_entity' AS TABELA, 'flln_angl_extndd_dfntn' AS CAMPO, '2025-06-30' as ref_date, coalesce(NUM_REG_DIF, 0) AS NUM_REG_DIF FROM (SELECT count(*) AS NUM_REG_DIF FROM (SELECT entty_id as entty_id_as_is, flln_angl_extndd_dfntn as flln_angl_extndd_dfntn_as_is FROM cd_loan_tapes_bce.lt003_entity WHERE ref_date='2025-06-30' AND nome_perimetro= 'Individual IDComb' AND segmento= 'ESTR' AND ambito= 'PM' AND entidade='00100' AND cod_visao = 1) A  Inner join (SELECT entty_id as entty_id_to_be, flln_angl_extndd_dfntn as flln_angl_extndd_dfntn_to_be FROM bu_loantape_work.lt003_entity WHERE ref_date='2025-06-30' AND nome_perimetro= 'Individual IDComb' AND segmento= 'ESTR' AND ambito= 'PM' AND entidade='00100' AND cod_visao = 1) B ON entty_id_as_is = entty_id_to_be WHERE coalesce(cast(flln_angl_extndd_dfntn_as_is as string), '') &lt;&gt; coalesce(cast(flln_angl_extndd_dfntn_to_be as string), '') ) A </v>
      </c>
      <c r="O100" s="19" t="str">
        <f t="shared" si="12"/>
        <v>SELECT 'Validação de campos' as tipologia_teste, 'lt003_entity' AS TABELA, 'flln_angl_extndd_dfntn' AS CAMPO, '2025-06-30' as ref_date, coalesce(NUM_REG_DIF, 0) AS NUM_REG_DIF FROM (SELECT count(*) AS NUM_REG_DIF FROM (SELECT entty_id as entty_id_as_is, flln_angl_extndd_dfntn as flln_angl_extndd_dfntn_as_is FROM cd_loan_tapes_bce.lt003_entity WHERE ref_date='2025-06-30' AND nome_perimetro= 'Individual IDComb' AND segmento= 'ESTR' AND ambito= 'PM' AND entidade='00100' AND cod_visao = 1) A  Inner join (SELECT entty_id as entty_id_to_be, flln_angl_extndd_dfntn as flln_angl_extndd_dfntn_to_be FROM bu_loantape_work.lt003_entity WHERE ref_date='2025-06-30' AND nome_perimetro= 'Individual IDComb' AND segmento= 'ESTR' AND ambito= 'PM' AND entidade='00100' AND cod_visao = 1) B ON entty_id_as_is = entty_id_to_be WHERE coalesce(cast(flln_angl_extndd_dfntn_as_is as string), '') &lt;&gt; coalesce(cast(flln_angl_extndd_dfntn_to_be as string), '') ) A UNION ALL</v>
      </c>
      <c r="P100" s="17">
        <f t="shared" si="22"/>
        <v>46</v>
      </c>
    </row>
    <row r="101" spans="2:16" s="15" customFormat="1" ht="11.5" x14ac:dyDescent="0.25">
      <c r="B101" s="17" t="s">
        <v>11</v>
      </c>
      <c r="C101" s="17" t="str">
        <f>_xlfn.CONCAT(Instruções!$D$5,".",VLOOKUP(B101,Instruções!$F$5:$H$10,2,0))</f>
        <v>cd_loan_tapes_bce.lt003_entity</v>
      </c>
      <c r="D101" s="17" t="str">
        <f>_xlfn.CONCAT(Instruções!$D$6,".",VLOOKUP(B101,Instruções!$F$5:$H$10,3,0))</f>
        <v>bu_loantape_work.lt003_entity</v>
      </c>
      <c r="E101" s="17" t="s">
        <v>355</v>
      </c>
      <c r="F101" s="17" t="str">
        <f t="shared" si="18"/>
        <v>rorac_as_is</v>
      </c>
      <c r="G101" s="17" t="str">
        <f t="shared" si="19"/>
        <v>rorac_to_be</v>
      </c>
      <c r="H101" s="17" t="str">
        <f>IF(VLOOKUP(B101,Instruções!$F$6:$J$10,5,0)="",
"(SELECT "&amp;VLOOKUP(B101,Instruções!$F$6:$J$10,4,0)&amp;" as "&amp;VLOOKUP(B101,Instruções!$F$6:$J$10,4,0)&amp;"_as_is, "&amp;E101&amp;" as "&amp;F101&amp;" FROM "&amp;C101&amp;" WHERE "&amp;Instruções!$D$11&amp;") A ",
"(SELECT "&amp;VLOOKUP(B101,Instruções!$F$6:$J$10,4,0)&amp;" as "&amp;VLOOKUP(B101,Instruções!$F$6:$J$10,4,0)&amp;"_as_is, "&amp;VLOOKUP(B101,Instruções!$F$6:$J$10,5,0)&amp;" as "&amp;VLOOKUP(B101,Instruções!$F$6:$J$10,5,0)&amp;"_as_is,"&amp;E101&amp;" as "&amp;F101&amp;" FROM "&amp;C101&amp;" WHERE "&amp;Instruções!$D$11&amp;") A ")</f>
        <v xml:space="preserve">(SELECT entty_id as entty_id_as_is, rorac as rorac_as_is FROM cd_loan_tapes_bce.lt003_entity WHERE ref_date='2025-06-30' AND nome_perimetro= 'Individual IDComb' AND segmento= 'ESTR' AND ambito= 'PM' AND entidade='00100' AND cod_visao = 1) A </v>
      </c>
      <c r="I101" s="17" t="str">
        <f>IF(VLOOKUP(B101,Instruções!$F$6:$J$10,5,0)="",
"(SELECT "&amp;VLOOKUP(B101,Instruções!$F$6:$J$10,4,0)&amp;" as "&amp;VLOOKUP(B101,Instruções!$F$6:$J$10,4,0)&amp;"_to_be, "&amp;E101&amp;" as "&amp;G101&amp;" FROM "&amp;D101&amp;" WHERE "&amp;Instruções!$D$11&amp;") B ",
"(SELECT "&amp;VLOOKUP(B101,Instruções!$F$6:$J$10,4,0)&amp;" as "&amp;VLOOKUP(B101,Instruções!$F$6:$J$10,4,0)&amp;"_to_be, "&amp;VLOOKUP(B101,Instruções!$F$6:$J$10,5,0)&amp;" as "&amp;VLOOKUP(B101,Instruções!$F$6:$J$10,5,0)&amp;"_to_be,"&amp;E101&amp;" as "&amp;G101&amp;" FROM "&amp;D101&amp;" WHERE "&amp;Instruções!$D$11&amp;") B ")</f>
        <v xml:space="preserve">(SELECT entty_id as entty_id_to_be, rorac as rorac_to_be FROM bu_loantape_work.lt003_entity WHERE ref_date='2025-06-30' AND nome_perimetro= 'Individual IDComb' AND segmento= 'ESTR' AND ambito= 'PM' AND entidade='00100' AND cod_visao = 1) B </v>
      </c>
      <c r="J101" s="17" t="str">
        <f>IF(VLOOKUP(B101,Instruções!$F$6:$J$10,5,0)="",
"ON "&amp;VLOOKUP(B101,Instruções!$F$6:$J$10,4,0)&amp;"_as_is = "&amp;VLOOKUP(B101,Instruções!$F$6:$J$10,4,0)&amp;"_to_be ",
"ON "&amp;VLOOKUP(B101,Instruções!$F$6:$J$10,4,0)&amp;"_as_is = "&amp;VLOOKUP(B101,Instruções!$F$6:$J$10,4,0)&amp;"_to_be AND "&amp;VLOOKUP(B101,Instruções!$F$6:$J$10,5,0)&amp;"_as_is = "&amp;VLOOKUP(B101,Instruções!$F$6:$J$10,5,0)&amp;"_to_be ")</f>
        <v xml:space="preserve">ON entty_id_as_is = entty_id_to_be </v>
      </c>
      <c r="K101" s="17" t="str">
        <f t="shared" si="20"/>
        <v xml:space="preserve">WHERE coalesce(cast(rorac_as_is as string), '') &lt;&gt; coalesce(cast(rorac_to_be as string), '') </v>
      </c>
      <c r="L101" s="17" t="str">
        <f t="shared" si="21"/>
        <v xml:space="preserve">SELECT count(*) AS NUM_REG_DIF FROM (SELECT entty_id as entty_id_as_is, rorac as rorac_as_is FROM cd_loan_tapes_bce.lt003_entity WHERE ref_date='2025-06-30' AND nome_perimetro= 'Individual IDComb' AND segmento= 'ESTR' AND ambito= 'PM' AND entidade='00100' AND cod_visao = 1) A  Inner join (SELECT entty_id as entty_id_to_be, rorac as rorac_to_be FROM bu_loantape_work.lt003_entity WHERE ref_date='2025-06-30' AND nome_perimetro= 'Individual IDComb' AND segmento= 'ESTR' AND ambito= 'PM' AND entidade='00100' AND cod_visao = 1) B ON entty_id_as_is = entty_id_to_be WHERE coalesce(cast(rorac_as_is as string), '') &lt;&gt; coalesce(cast(rorac_to_be as string), '') </v>
      </c>
      <c r="M101" s="17" t="s">
        <v>48</v>
      </c>
      <c r="N101" s="17" t="str">
        <f>"SELECT 'Validação de campos' as tipologia_teste, '"&amp;VLOOKUP(B101,Instruções!$F$6:$J$10,3,0)&amp;"' AS TABELA, '"&amp;E101&amp;"' AS CAMPO, '"&amp;Instruções!$D$7&amp;"' as ref_date, coalesce(NUM_REG_DIF, 0) AS NUM_REG_DIF FROM ("&amp;L101&amp;") A "</f>
        <v xml:space="preserve">SELECT 'Validação de campos' as tipologia_teste, 'lt003_entity' AS TABELA, 'rorac' AS CAMPO, '2025-06-30' as ref_date, coalesce(NUM_REG_DIF, 0) AS NUM_REG_DIF FROM (SELECT count(*) AS NUM_REG_DIF FROM (SELECT entty_id as entty_id_as_is, rorac as rorac_as_is FROM cd_loan_tapes_bce.lt003_entity WHERE ref_date='2025-06-30' AND nome_perimetro= 'Individual IDComb' AND segmento= 'ESTR' AND ambito= 'PM' AND entidade='00100' AND cod_visao = 1) A  Inner join (SELECT entty_id as entty_id_to_be, rorac as rorac_to_be FROM bu_loantape_work.lt003_entity WHERE ref_date='2025-06-30' AND nome_perimetro= 'Individual IDComb' AND segmento= 'ESTR' AND ambito= 'PM' AND entidade='00100' AND cod_visao = 1) B ON entty_id_as_is = entty_id_to_be WHERE coalesce(cast(rorac_as_is as string), '') &lt;&gt; coalesce(cast(rorac_to_be as string), '') ) A </v>
      </c>
      <c r="O101" s="19" t="str">
        <f t="shared" si="12"/>
        <v>SELECT 'Validação de campos' as tipologia_teste, 'lt003_entity' AS TABELA, 'rorac' AS CAMPO, '2025-06-30' as ref_date, coalesce(NUM_REG_DIF, 0) AS NUM_REG_DIF FROM (SELECT count(*) AS NUM_REG_DIF FROM (SELECT entty_id as entty_id_as_is, rorac as rorac_as_is FROM cd_loan_tapes_bce.lt003_entity WHERE ref_date='2025-06-30' AND nome_perimetro= 'Individual IDComb' AND segmento= 'ESTR' AND ambito= 'PM' AND entidade='00100' AND cod_visao = 1) A  Inner join (SELECT entty_id as entty_id_to_be, rorac as rorac_to_be FROM bu_loantape_work.lt003_entity WHERE ref_date='2025-06-30' AND nome_perimetro= 'Individual IDComb' AND segmento= 'ESTR' AND ambito= 'PM' AND entidade='00100' AND cod_visao = 1) B ON entty_id_as_is = entty_id_to_be WHERE coalesce(cast(rorac_as_is as string), '') &lt;&gt; coalesce(cast(rorac_to_be as string), '') ) A UNION ALL</v>
      </c>
      <c r="P101" s="17">
        <f t="shared" si="22"/>
        <v>47</v>
      </c>
    </row>
    <row r="102" spans="2:16" s="15" customFormat="1" ht="11.5" x14ac:dyDescent="0.25">
      <c r="B102" s="17" t="s">
        <v>11</v>
      </c>
      <c r="C102" s="17" t="str">
        <f>_xlfn.CONCAT(Instruções!$D$5,".",VLOOKUP(B102,Instruções!$F$5:$H$10,2,0))</f>
        <v>cd_loan_tapes_bce.lt003_entity</v>
      </c>
      <c r="D102" s="17" t="str">
        <f>_xlfn.CONCAT(Instruções!$D$6,".",VLOOKUP(B102,Instruções!$F$5:$H$10,3,0))</f>
        <v>bu_loantape_work.lt003_entity</v>
      </c>
      <c r="E102" s="17" t="s">
        <v>356</v>
      </c>
      <c r="F102" s="17" t="str">
        <f t="shared" si="18"/>
        <v>grp_rorac_as_is</v>
      </c>
      <c r="G102" s="17" t="str">
        <f t="shared" si="19"/>
        <v>grp_rorac_to_be</v>
      </c>
      <c r="H102" s="17" t="str">
        <f>IF(VLOOKUP(B102,Instruções!$F$6:$J$10,5,0)="",
"(SELECT "&amp;VLOOKUP(B102,Instruções!$F$6:$J$10,4,0)&amp;" as "&amp;VLOOKUP(B102,Instruções!$F$6:$J$10,4,0)&amp;"_as_is, "&amp;E102&amp;" as "&amp;F102&amp;" FROM "&amp;C102&amp;" WHERE "&amp;Instruções!$D$11&amp;") A ",
"(SELECT "&amp;VLOOKUP(B102,Instruções!$F$6:$J$10,4,0)&amp;" as "&amp;VLOOKUP(B102,Instruções!$F$6:$J$10,4,0)&amp;"_as_is, "&amp;VLOOKUP(B102,Instruções!$F$6:$J$10,5,0)&amp;" as "&amp;VLOOKUP(B102,Instruções!$F$6:$J$10,5,0)&amp;"_as_is,"&amp;E102&amp;" as "&amp;F102&amp;" FROM "&amp;C102&amp;" WHERE "&amp;Instruções!$D$11&amp;") A ")</f>
        <v xml:space="preserve">(SELECT entty_id as entty_id_as_is, grp_rorac as grp_rorac_as_is FROM cd_loan_tapes_bce.lt003_entity WHERE ref_date='2025-06-30' AND nome_perimetro= 'Individual IDComb' AND segmento= 'ESTR' AND ambito= 'PM' AND entidade='00100' AND cod_visao = 1) A </v>
      </c>
      <c r="I102" s="17" t="str">
        <f>IF(VLOOKUP(B102,Instruções!$F$6:$J$10,5,0)="",
"(SELECT "&amp;VLOOKUP(B102,Instruções!$F$6:$J$10,4,0)&amp;" as "&amp;VLOOKUP(B102,Instruções!$F$6:$J$10,4,0)&amp;"_to_be, "&amp;E102&amp;" as "&amp;G102&amp;" FROM "&amp;D102&amp;" WHERE "&amp;Instruções!$D$11&amp;") B ",
"(SELECT "&amp;VLOOKUP(B102,Instruções!$F$6:$J$10,4,0)&amp;" as "&amp;VLOOKUP(B102,Instruções!$F$6:$J$10,4,0)&amp;"_to_be, "&amp;VLOOKUP(B102,Instruções!$F$6:$J$10,5,0)&amp;" as "&amp;VLOOKUP(B102,Instruções!$F$6:$J$10,5,0)&amp;"_to_be,"&amp;E102&amp;" as "&amp;G102&amp;" FROM "&amp;D102&amp;" WHERE "&amp;Instruções!$D$11&amp;") B ")</f>
        <v xml:space="preserve">(SELECT entty_id as entty_id_to_be, grp_rorac as grp_rorac_to_be FROM bu_loantape_work.lt003_entity WHERE ref_date='2025-06-30' AND nome_perimetro= 'Individual IDComb' AND segmento= 'ESTR' AND ambito= 'PM' AND entidade='00100' AND cod_visao = 1) B </v>
      </c>
      <c r="J102" s="17" t="str">
        <f>IF(VLOOKUP(B102,Instruções!$F$6:$J$10,5,0)="",
"ON "&amp;VLOOKUP(B102,Instruções!$F$6:$J$10,4,0)&amp;"_as_is = "&amp;VLOOKUP(B102,Instruções!$F$6:$J$10,4,0)&amp;"_to_be ",
"ON "&amp;VLOOKUP(B102,Instruções!$F$6:$J$10,4,0)&amp;"_as_is = "&amp;VLOOKUP(B102,Instruções!$F$6:$J$10,4,0)&amp;"_to_be AND "&amp;VLOOKUP(B102,Instruções!$F$6:$J$10,5,0)&amp;"_as_is = "&amp;VLOOKUP(B102,Instruções!$F$6:$J$10,5,0)&amp;"_to_be ")</f>
        <v xml:space="preserve">ON entty_id_as_is = entty_id_to_be </v>
      </c>
      <c r="K102" s="17" t="str">
        <f t="shared" si="20"/>
        <v xml:space="preserve">WHERE coalesce(cast(grp_rorac_as_is as string), '') &lt;&gt; coalesce(cast(grp_rorac_to_be as string), '') </v>
      </c>
      <c r="L102" s="17" t="str">
        <f t="shared" si="21"/>
        <v xml:space="preserve">SELECT count(*) AS NUM_REG_DIF FROM (SELECT entty_id as entty_id_as_is, grp_rorac as grp_rorac_as_is FROM cd_loan_tapes_bce.lt003_entity WHERE ref_date='2025-06-30' AND nome_perimetro= 'Individual IDComb' AND segmento= 'ESTR' AND ambito= 'PM' AND entidade='00100' AND cod_visao = 1) A  Inner join (SELECT entty_id as entty_id_to_be, grp_rorac as grp_rorac_to_be FROM bu_loantape_work.lt003_entity WHERE ref_date='2025-06-30' AND nome_perimetro= 'Individual IDComb' AND segmento= 'ESTR' AND ambito= 'PM' AND entidade='00100' AND cod_visao = 1) B ON entty_id_as_is = entty_id_to_be WHERE coalesce(cast(grp_rorac_as_is as string), '') &lt;&gt; coalesce(cast(grp_rorac_to_be as string), '') </v>
      </c>
      <c r="M102" s="17" t="s">
        <v>48</v>
      </c>
      <c r="N102" s="17" t="str">
        <f>"SELECT 'Validação de campos' as tipologia_teste, '"&amp;VLOOKUP(B102,Instruções!$F$6:$J$10,3,0)&amp;"' AS TABELA, '"&amp;E102&amp;"' AS CAMPO, '"&amp;Instruções!$D$7&amp;"' as ref_date, coalesce(NUM_REG_DIF, 0) AS NUM_REG_DIF FROM ("&amp;L102&amp;") A "</f>
        <v xml:space="preserve">SELECT 'Validação de campos' as tipologia_teste, 'lt003_entity' AS TABELA, 'grp_rorac' AS CAMPO, '2025-06-30' as ref_date, coalesce(NUM_REG_DIF, 0) AS NUM_REG_DIF FROM (SELECT count(*) AS NUM_REG_DIF FROM (SELECT entty_id as entty_id_as_is, grp_rorac as grp_rorac_as_is FROM cd_loan_tapes_bce.lt003_entity WHERE ref_date='2025-06-30' AND nome_perimetro= 'Individual IDComb' AND segmento= 'ESTR' AND ambito= 'PM' AND entidade='00100' AND cod_visao = 1) A  Inner join (SELECT entty_id as entty_id_to_be, grp_rorac as grp_rorac_to_be FROM bu_loantape_work.lt003_entity WHERE ref_date='2025-06-30' AND nome_perimetro= 'Individual IDComb' AND segmento= 'ESTR' AND ambito= 'PM' AND entidade='00100' AND cod_visao = 1) B ON entty_id_as_is = entty_id_to_be WHERE coalesce(cast(grp_rorac_as_is as string), '') &lt;&gt; coalesce(cast(grp_rorac_to_be as string), '') ) A </v>
      </c>
      <c r="O102" s="19" t="str">
        <f t="shared" si="12"/>
        <v>SELECT 'Validação de campos' as tipologia_teste, 'lt003_entity' AS TABELA, 'grp_rorac' AS CAMPO, '2025-06-30' as ref_date, coalesce(NUM_REG_DIF, 0) AS NUM_REG_DIF FROM (SELECT count(*) AS NUM_REG_DIF FROM (SELECT entty_id as entty_id_as_is, grp_rorac as grp_rorac_as_is FROM cd_loan_tapes_bce.lt003_entity WHERE ref_date='2025-06-30' AND nome_perimetro= 'Individual IDComb' AND segmento= 'ESTR' AND ambito= 'PM' AND entidade='00100' AND cod_visao = 1) A  Inner join (SELECT entty_id as entty_id_to_be, grp_rorac as grp_rorac_to_be FROM bu_loantape_work.lt003_entity WHERE ref_date='2025-06-30' AND nome_perimetro= 'Individual IDComb' AND segmento= 'ESTR' AND ambito= 'PM' AND entidade='00100' AND cod_visao = 1) B ON entty_id_as_is = entty_id_to_be WHERE coalesce(cast(grp_rorac_as_is as string), '') &lt;&gt; coalesce(cast(grp_rorac_to_be as string), '') ) A UNION ALL</v>
      </c>
      <c r="P102" s="17">
        <f t="shared" si="22"/>
        <v>48</v>
      </c>
    </row>
    <row r="103" spans="2:16" s="15" customFormat="1" ht="11.5" x14ac:dyDescent="0.25">
      <c r="B103" s="17" t="s">
        <v>11</v>
      </c>
      <c r="C103" s="17" t="str">
        <f>_xlfn.CONCAT(Instruções!$D$5,".",VLOOKUP(B103,Instruções!$F$5:$H$10,2,0))</f>
        <v>cd_loan_tapes_bce.lt003_entity</v>
      </c>
      <c r="D103" s="17" t="str">
        <f>_xlfn.CONCAT(Instruções!$D$6,".",VLOOKUP(B103,Instruções!$F$5:$H$10,3,0))</f>
        <v>bu_loantape_work.lt003_entity</v>
      </c>
      <c r="E103" s="17" t="s">
        <v>357</v>
      </c>
      <c r="F103" s="17" t="str">
        <f t="shared" si="18"/>
        <v>rorwa_as_is</v>
      </c>
      <c r="G103" s="17" t="str">
        <f t="shared" si="19"/>
        <v>rorwa_to_be</v>
      </c>
      <c r="H103" s="17" t="str">
        <f>IF(VLOOKUP(B103,Instruções!$F$6:$J$10,5,0)="",
"(SELECT "&amp;VLOOKUP(B103,Instruções!$F$6:$J$10,4,0)&amp;" as "&amp;VLOOKUP(B103,Instruções!$F$6:$J$10,4,0)&amp;"_as_is, "&amp;E103&amp;" as "&amp;F103&amp;" FROM "&amp;C103&amp;" WHERE "&amp;Instruções!$D$11&amp;") A ",
"(SELECT "&amp;VLOOKUP(B103,Instruções!$F$6:$J$10,4,0)&amp;" as "&amp;VLOOKUP(B103,Instruções!$F$6:$J$10,4,0)&amp;"_as_is, "&amp;VLOOKUP(B103,Instruções!$F$6:$J$10,5,0)&amp;" as "&amp;VLOOKUP(B103,Instruções!$F$6:$J$10,5,0)&amp;"_as_is,"&amp;E103&amp;" as "&amp;F103&amp;" FROM "&amp;C103&amp;" WHERE "&amp;Instruções!$D$11&amp;") A ")</f>
        <v xml:space="preserve">(SELECT entty_id as entty_id_as_is, rorwa as rorwa_as_is FROM cd_loan_tapes_bce.lt003_entity WHERE ref_date='2025-06-30' AND nome_perimetro= 'Individual IDComb' AND segmento= 'ESTR' AND ambito= 'PM' AND entidade='00100' AND cod_visao = 1) A </v>
      </c>
      <c r="I103" s="17" t="str">
        <f>IF(VLOOKUP(B103,Instruções!$F$6:$J$10,5,0)="",
"(SELECT "&amp;VLOOKUP(B103,Instruções!$F$6:$J$10,4,0)&amp;" as "&amp;VLOOKUP(B103,Instruções!$F$6:$J$10,4,0)&amp;"_to_be, "&amp;E103&amp;" as "&amp;G103&amp;" FROM "&amp;D103&amp;" WHERE "&amp;Instruções!$D$11&amp;") B ",
"(SELECT "&amp;VLOOKUP(B103,Instruções!$F$6:$J$10,4,0)&amp;" as "&amp;VLOOKUP(B103,Instruções!$F$6:$J$10,4,0)&amp;"_to_be, "&amp;VLOOKUP(B103,Instruções!$F$6:$J$10,5,0)&amp;" as "&amp;VLOOKUP(B103,Instruções!$F$6:$J$10,5,0)&amp;"_to_be,"&amp;E103&amp;" as "&amp;G103&amp;" FROM "&amp;D103&amp;" WHERE "&amp;Instruções!$D$11&amp;") B ")</f>
        <v xml:space="preserve">(SELECT entty_id as entty_id_to_be, rorwa as rorwa_to_be FROM bu_loantape_work.lt003_entity WHERE ref_date='2025-06-30' AND nome_perimetro= 'Individual IDComb' AND segmento= 'ESTR' AND ambito= 'PM' AND entidade='00100' AND cod_visao = 1) B </v>
      </c>
      <c r="J103" s="17" t="str">
        <f>IF(VLOOKUP(B103,Instruções!$F$6:$J$10,5,0)="",
"ON "&amp;VLOOKUP(B103,Instruções!$F$6:$J$10,4,0)&amp;"_as_is = "&amp;VLOOKUP(B103,Instruções!$F$6:$J$10,4,0)&amp;"_to_be ",
"ON "&amp;VLOOKUP(B103,Instruções!$F$6:$J$10,4,0)&amp;"_as_is = "&amp;VLOOKUP(B103,Instruções!$F$6:$J$10,4,0)&amp;"_to_be AND "&amp;VLOOKUP(B103,Instruções!$F$6:$J$10,5,0)&amp;"_as_is = "&amp;VLOOKUP(B103,Instruções!$F$6:$J$10,5,0)&amp;"_to_be ")</f>
        <v xml:space="preserve">ON entty_id_as_is = entty_id_to_be </v>
      </c>
      <c r="K103" s="17" t="str">
        <f t="shared" si="20"/>
        <v xml:space="preserve">WHERE coalesce(cast(rorwa_as_is as string), '') &lt;&gt; coalesce(cast(rorwa_to_be as string), '') </v>
      </c>
      <c r="L103" s="17" t="str">
        <f t="shared" si="21"/>
        <v xml:space="preserve">SELECT count(*) AS NUM_REG_DIF FROM (SELECT entty_id as entty_id_as_is, rorwa as rorwa_as_is FROM cd_loan_tapes_bce.lt003_entity WHERE ref_date='2025-06-30' AND nome_perimetro= 'Individual IDComb' AND segmento= 'ESTR' AND ambito= 'PM' AND entidade='00100' AND cod_visao = 1) A  Inner join (SELECT entty_id as entty_id_to_be, rorwa as rorwa_to_be FROM bu_loantape_work.lt003_entity WHERE ref_date='2025-06-30' AND nome_perimetro= 'Individual IDComb' AND segmento= 'ESTR' AND ambito= 'PM' AND entidade='00100' AND cod_visao = 1) B ON entty_id_as_is = entty_id_to_be WHERE coalesce(cast(rorwa_as_is as string), '') &lt;&gt; coalesce(cast(rorwa_to_be as string), '') </v>
      </c>
      <c r="M103" s="17" t="s">
        <v>48</v>
      </c>
      <c r="N103" s="17" t="str">
        <f>"SELECT 'Validação de campos' as tipologia_teste, '"&amp;VLOOKUP(B103,Instruções!$F$6:$J$10,3,0)&amp;"' AS TABELA, '"&amp;E103&amp;"' AS CAMPO, '"&amp;Instruções!$D$7&amp;"' as ref_date, coalesce(NUM_REG_DIF, 0) AS NUM_REG_DIF FROM ("&amp;L103&amp;") A "</f>
        <v xml:space="preserve">SELECT 'Validação de campos' as tipologia_teste, 'lt003_entity' AS TABELA, 'rorwa' AS CAMPO, '2025-06-30' as ref_date, coalesce(NUM_REG_DIF, 0) AS NUM_REG_DIF FROM (SELECT count(*) AS NUM_REG_DIF FROM (SELECT entty_id as entty_id_as_is, rorwa as rorwa_as_is FROM cd_loan_tapes_bce.lt003_entity WHERE ref_date='2025-06-30' AND nome_perimetro= 'Individual IDComb' AND segmento= 'ESTR' AND ambito= 'PM' AND entidade='00100' AND cod_visao = 1) A  Inner join (SELECT entty_id as entty_id_to_be, rorwa as rorwa_to_be FROM bu_loantape_work.lt003_entity WHERE ref_date='2025-06-30' AND nome_perimetro= 'Individual IDComb' AND segmento= 'ESTR' AND ambito= 'PM' AND entidade='00100' AND cod_visao = 1) B ON entty_id_as_is = entty_id_to_be WHERE coalesce(cast(rorwa_as_is as string), '') &lt;&gt; coalesce(cast(rorwa_to_be as string), '') ) A </v>
      </c>
      <c r="O103" s="19" t="str">
        <f t="shared" si="12"/>
        <v>SELECT 'Validação de campos' as tipologia_teste, 'lt003_entity' AS TABELA, 'rorwa' AS CAMPO, '2025-06-30' as ref_date, coalesce(NUM_REG_DIF, 0) AS NUM_REG_DIF FROM (SELECT count(*) AS NUM_REG_DIF FROM (SELECT entty_id as entty_id_as_is, rorwa as rorwa_as_is FROM cd_loan_tapes_bce.lt003_entity WHERE ref_date='2025-06-30' AND nome_perimetro= 'Individual IDComb' AND segmento= 'ESTR' AND ambito= 'PM' AND entidade='00100' AND cod_visao = 1) A  Inner join (SELECT entty_id as entty_id_to_be, rorwa as rorwa_to_be FROM bu_loantape_work.lt003_entity WHERE ref_date='2025-06-30' AND nome_perimetro= 'Individual IDComb' AND segmento= 'ESTR' AND ambito= 'PM' AND entidade='00100' AND cod_visao = 1) B ON entty_id_as_is = entty_id_to_be WHERE coalesce(cast(rorwa_as_is as string), '') &lt;&gt; coalesce(cast(rorwa_to_be as string), '') ) A UNION ALL</v>
      </c>
      <c r="P103" s="17">
        <f t="shared" si="22"/>
        <v>49</v>
      </c>
    </row>
    <row r="104" spans="2:16" s="15" customFormat="1" ht="11.5" x14ac:dyDescent="0.25">
      <c r="B104" s="17" t="s">
        <v>11</v>
      </c>
      <c r="C104" s="17" t="str">
        <f>_xlfn.CONCAT(Instruções!$D$5,".",VLOOKUP(B104,Instruções!$F$5:$H$10,2,0))</f>
        <v>cd_loan_tapes_bce.lt003_entity</v>
      </c>
      <c r="D104" s="17" t="str">
        <f>_xlfn.CONCAT(Instruções!$D$6,".",VLOOKUP(B104,Instruções!$F$5:$H$10,3,0))</f>
        <v>bu_loantape_work.lt003_entity</v>
      </c>
      <c r="E104" s="17" t="s">
        <v>358</v>
      </c>
      <c r="F104" s="17" t="str">
        <f t="shared" si="18"/>
        <v>grp_rorwa_as_is</v>
      </c>
      <c r="G104" s="17" t="str">
        <f t="shared" si="19"/>
        <v>grp_rorwa_to_be</v>
      </c>
      <c r="H104" s="17" t="str">
        <f>IF(VLOOKUP(B104,Instruções!$F$6:$J$10,5,0)="",
"(SELECT "&amp;VLOOKUP(B104,Instruções!$F$6:$J$10,4,0)&amp;" as "&amp;VLOOKUP(B104,Instruções!$F$6:$J$10,4,0)&amp;"_as_is, "&amp;E104&amp;" as "&amp;F104&amp;" FROM "&amp;C104&amp;" WHERE "&amp;Instruções!$D$11&amp;") A ",
"(SELECT "&amp;VLOOKUP(B104,Instruções!$F$6:$J$10,4,0)&amp;" as "&amp;VLOOKUP(B104,Instruções!$F$6:$J$10,4,0)&amp;"_as_is, "&amp;VLOOKUP(B104,Instruções!$F$6:$J$10,5,0)&amp;" as "&amp;VLOOKUP(B104,Instruções!$F$6:$J$10,5,0)&amp;"_as_is,"&amp;E104&amp;" as "&amp;F104&amp;" FROM "&amp;C104&amp;" WHERE "&amp;Instruções!$D$11&amp;") A ")</f>
        <v xml:space="preserve">(SELECT entty_id as entty_id_as_is, grp_rorwa as grp_rorwa_as_is FROM cd_loan_tapes_bce.lt003_entity WHERE ref_date='2025-06-30' AND nome_perimetro= 'Individual IDComb' AND segmento= 'ESTR' AND ambito= 'PM' AND entidade='00100' AND cod_visao = 1) A </v>
      </c>
      <c r="I104" s="17" t="str">
        <f>IF(VLOOKUP(B104,Instruções!$F$6:$J$10,5,0)="",
"(SELECT "&amp;VLOOKUP(B104,Instruções!$F$6:$J$10,4,0)&amp;" as "&amp;VLOOKUP(B104,Instruções!$F$6:$J$10,4,0)&amp;"_to_be, "&amp;E104&amp;" as "&amp;G104&amp;" FROM "&amp;D104&amp;" WHERE "&amp;Instruções!$D$11&amp;") B ",
"(SELECT "&amp;VLOOKUP(B104,Instruções!$F$6:$J$10,4,0)&amp;" as "&amp;VLOOKUP(B104,Instruções!$F$6:$J$10,4,0)&amp;"_to_be, "&amp;VLOOKUP(B104,Instruções!$F$6:$J$10,5,0)&amp;" as "&amp;VLOOKUP(B104,Instruções!$F$6:$J$10,5,0)&amp;"_to_be,"&amp;E104&amp;" as "&amp;G104&amp;" FROM "&amp;D104&amp;" WHERE "&amp;Instruções!$D$11&amp;") B ")</f>
        <v xml:space="preserve">(SELECT entty_id as entty_id_to_be, grp_rorwa as grp_rorwa_to_be FROM bu_loantape_work.lt003_entity WHERE ref_date='2025-06-30' AND nome_perimetro= 'Individual IDComb' AND segmento= 'ESTR' AND ambito= 'PM' AND entidade='00100' AND cod_visao = 1) B </v>
      </c>
      <c r="J104" s="17" t="str">
        <f>IF(VLOOKUP(B104,Instruções!$F$6:$J$10,5,0)="",
"ON "&amp;VLOOKUP(B104,Instruções!$F$6:$J$10,4,0)&amp;"_as_is = "&amp;VLOOKUP(B104,Instruções!$F$6:$J$10,4,0)&amp;"_to_be ",
"ON "&amp;VLOOKUP(B104,Instruções!$F$6:$J$10,4,0)&amp;"_as_is = "&amp;VLOOKUP(B104,Instruções!$F$6:$J$10,4,0)&amp;"_to_be AND "&amp;VLOOKUP(B104,Instruções!$F$6:$J$10,5,0)&amp;"_as_is = "&amp;VLOOKUP(B104,Instruções!$F$6:$J$10,5,0)&amp;"_to_be ")</f>
        <v xml:space="preserve">ON entty_id_as_is = entty_id_to_be </v>
      </c>
      <c r="K104" s="17" t="str">
        <f t="shared" si="20"/>
        <v xml:space="preserve">WHERE coalesce(cast(grp_rorwa_as_is as string), '') &lt;&gt; coalesce(cast(grp_rorwa_to_be as string), '') </v>
      </c>
      <c r="L104" s="17" t="str">
        <f t="shared" si="21"/>
        <v xml:space="preserve">SELECT count(*) AS NUM_REG_DIF FROM (SELECT entty_id as entty_id_as_is, grp_rorwa as grp_rorwa_as_is FROM cd_loan_tapes_bce.lt003_entity WHERE ref_date='2025-06-30' AND nome_perimetro= 'Individual IDComb' AND segmento= 'ESTR' AND ambito= 'PM' AND entidade='00100' AND cod_visao = 1) A  Inner join (SELECT entty_id as entty_id_to_be, grp_rorwa as grp_rorwa_to_be FROM bu_loantape_work.lt003_entity WHERE ref_date='2025-06-30' AND nome_perimetro= 'Individual IDComb' AND segmento= 'ESTR' AND ambito= 'PM' AND entidade='00100' AND cod_visao = 1) B ON entty_id_as_is = entty_id_to_be WHERE coalesce(cast(grp_rorwa_as_is as string), '') &lt;&gt; coalesce(cast(grp_rorwa_to_be as string), '') </v>
      </c>
      <c r="M104" s="17" t="s">
        <v>48</v>
      </c>
      <c r="N104" s="17" t="str">
        <f>"SELECT 'Validação de campos' as tipologia_teste, '"&amp;VLOOKUP(B104,Instruções!$F$6:$J$10,3,0)&amp;"' AS TABELA, '"&amp;E104&amp;"' AS CAMPO, '"&amp;Instruções!$D$7&amp;"' as ref_date, coalesce(NUM_REG_DIF, 0) AS NUM_REG_DIF FROM ("&amp;L104&amp;") A "</f>
        <v xml:space="preserve">SELECT 'Validação de campos' as tipologia_teste, 'lt003_entity' AS TABELA, 'grp_rorwa' AS CAMPO, '2025-06-30' as ref_date, coalesce(NUM_REG_DIF, 0) AS NUM_REG_DIF FROM (SELECT count(*) AS NUM_REG_DIF FROM (SELECT entty_id as entty_id_as_is, grp_rorwa as grp_rorwa_as_is FROM cd_loan_tapes_bce.lt003_entity WHERE ref_date='2025-06-30' AND nome_perimetro= 'Individual IDComb' AND segmento= 'ESTR' AND ambito= 'PM' AND entidade='00100' AND cod_visao = 1) A  Inner join (SELECT entty_id as entty_id_to_be, grp_rorwa as grp_rorwa_to_be FROM bu_loantape_work.lt003_entity WHERE ref_date='2025-06-30' AND nome_perimetro= 'Individual IDComb' AND segmento= 'ESTR' AND ambito= 'PM' AND entidade='00100' AND cod_visao = 1) B ON entty_id_as_is = entty_id_to_be WHERE coalesce(cast(grp_rorwa_as_is as string), '') &lt;&gt; coalesce(cast(grp_rorwa_to_be as string), '') ) A </v>
      </c>
      <c r="O104" s="19" t="str">
        <f t="shared" si="12"/>
        <v>SELECT 'Validação de campos' as tipologia_teste, 'lt003_entity' AS TABELA, 'grp_rorwa' AS CAMPO, '2025-06-30' as ref_date, coalesce(NUM_REG_DIF, 0) AS NUM_REG_DIF FROM (SELECT count(*) AS NUM_REG_DIF FROM (SELECT entty_id as entty_id_as_is, grp_rorwa as grp_rorwa_as_is FROM cd_loan_tapes_bce.lt003_entity WHERE ref_date='2025-06-30' AND nome_perimetro= 'Individual IDComb' AND segmento= 'ESTR' AND ambito= 'PM' AND entidade='00100' AND cod_visao = 1) A  Inner join (SELECT entty_id as entty_id_to_be, grp_rorwa as grp_rorwa_to_be FROM bu_loantape_work.lt003_entity WHERE ref_date='2025-06-30' AND nome_perimetro= 'Individual IDComb' AND segmento= 'ESTR' AND ambito= 'PM' AND entidade='00100' AND cod_visao = 1) B ON entty_id_as_is = entty_id_to_be WHERE coalesce(cast(grp_rorwa_as_is as string), '') &lt;&gt; coalesce(cast(grp_rorwa_to_be as string), '') ) A UNION ALL</v>
      </c>
      <c r="P104" s="17">
        <f t="shared" si="22"/>
        <v>50</v>
      </c>
    </row>
    <row r="105" spans="2:16" s="15" customFormat="1" ht="11.5" x14ac:dyDescent="0.25">
      <c r="B105" s="17" t="s">
        <v>11</v>
      </c>
      <c r="C105" s="17" t="str">
        <f>_xlfn.CONCAT(Instruções!$D$5,".",VLOOKUP(B105,Instruções!$F$5:$H$10,2,0))</f>
        <v>cd_loan_tapes_bce.lt003_entity</v>
      </c>
      <c r="D105" s="17" t="str">
        <f>_xlfn.CONCAT(Instruções!$D$6,".",VLOOKUP(B105,Instruções!$F$5:$H$10,3,0))</f>
        <v>bu_loantape_work.lt003_entity</v>
      </c>
      <c r="E105" s="17" t="s">
        <v>359</v>
      </c>
      <c r="F105" s="17" t="str">
        <f t="shared" si="18"/>
        <v>scan_as_is</v>
      </c>
      <c r="G105" s="17" t="str">
        <f t="shared" si="19"/>
        <v>scan_to_be</v>
      </c>
      <c r="H105" s="17" t="str">
        <f>IF(VLOOKUP(B105,Instruções!$F$6:$J$10,5,0)="",
"(SELECT "&amp;VLOOKUP(B105,Instruções!$F$6:$J$10,4,0)&amp;" as "&amp;VLOOKUP(B105,Instruções!$F$6:$J$10,4,0)&amp;"_as_is, "&amp;E105&amp;" as "&amp;F105&amp;" FROM "&amp;C105&amp;" WHERE "&amp;Instruções!$D$11&amp;") A ",
"(SELECT "&amp;VLOOKUP(B105,Instruções!$F$6:$J$10,4,0)&amp;" as "&amp;VLOOKUP(B105,Instruções!$F$6:$J$10,4,0)&amp;"_as_is, "&amp;VLOOKUP(B105,Instruções!$F$6:$J$10,5,0)&amp;" as "&amp;VLOOKUP(B105,Instruções!$F$6:$J$10,5,0)&amp;"_as_is,"&amp;E105&amp;" as "&amp;F105&amp;" FROM "&amp;C105&amp;" WHERE "&amp;Instruções!$D$11&amp;") A ")</f>
        <v xml:space="preserve">(SELECT entty_id as entty_id_as_is, scan as scan_as_is FROM cd_loan_tapes_bce.lt003_entity WHERE ref_date='2025-06-30' AND nome_perimetro= 'Individual IDComb' AND segmento= 'ESTR' AND ambito= 'PM' AND entidade='00100' AND cod_visao = 1) A </v>
      </c>
      <c r="I105" s="17" t="str">
        <f>IF(VLOOKUP(B105,Instruções!$F$6:$J$10,5,0)="",
"(SELECT "&amp;VLOOKUP(B105,Instruções!$F$6:$J$10,4,0)&amp;" as "&amp;VLOOKUP(B105,Instruções!$F$6:$J$10,4,0)&amp;"_to_be, "&amp;E105&amp;" as "&amp;G105&amp;" FROM "&amp;D105&amp;" WHERE "&amp;Instruções!$D$11&amp;") B ",
"(SELECT "&amp;VLOOKUP(B105,Instruções!$F$6:$J$10,4,0)&amp;" as "&amp;VLOOKUP(B105,Instruções!$F$6:$J$10,4,0)&amp;"_to_be, "&amp;VLOOKUP(B105,Instruções!$F$6:$J$10,5,0)&amp;" as "&amp;VLOOKUP(B105,Instruções!$F$6:$J$10,5,0)&amp;"_to_be,"&amp;E105&amp;" as "&amp;G105&amp;" FROM "&amp;D105&amp;" WHERE "&amp;Instruções!$D$11&amp;") B ")</f>
        <v xml:space="preserve">(SELECT entty_id as entty_id_to_be, scan as scan_to_be FROM bu_loantape_work.lt003_entity WHERE ref_date='2025-06-30' AND nome_perimetro= 'Individual IDComb' AND segmento= 'ESTR' AND ambito= 'PM' AND entidade='00100' AND cod_visao = 1) B </v>
      </c>
      <c r="J105" s="17" t="str">
        <f>IF(VLOOKUP(B105,Instruções!$F$6:$J$10,5,0)="",
"ON "&amp;VLOOKUP(B105,Instruções!$F$6:$J$10,4,0)&amp;"_as_is = "&amp;VLOOKUP(B105,Instruções!$F$6:$J$10,4,0)&amp;"_to_be ",
"ON "&amp;VLOOKUP(B105,Instruções!$F$6:$J$10,4,0)&amp;"_as_is = "&amp;VLOOKUP(B105,Instruções!$F$6:$J$10,4,0)&amp;"_to_be AND "&amp;VLOOKUP(B105,Instruções!$F$6:$J$10,5,0)&amp;"_as_is = "&amp;VLOOKUP(B105,Instruções!$F$6:$J$10,5,0)&amp;"_to_be ")</f>
        <v xml:space="preserve">ON entty_id_as_is = entty_id_to_be </v>
      </c>
      <c r="K105" s="17" t="str">
        <f t="shared" si="20"/>
        <v xml:space="preserve">WHERE coalesce(cast(scan_as_is as string), '') &lt;&gt; coalesce(cast(scan_to_be as string), '') </v>
      </c>
      <c r="L105" s="17" t="str">
        <f t="shared" si="21"/>
        <v xml:space="preserve">SELECT count(*) AS NUM_REG_DIF FROM (SELECT entty_id as entty_id_as_is, scan as scan_as_is FROM cd_loan_tapes_bce.lt003_entity WHERE ref_date='2025-06-30' AND nome_perimetro= 'Individual IDComb' AND segmento= 'ESTR' AND ambito= 'PM' AND entidade='00100' AND cod_visao = 1) A  Inner join (SELECT entty_id as entty_id_to_be, scan as scan_to_be FROM bu_loantape_work.lt003_entity WHERE ref_date='2025-06-30' AND nome_perimetro= 'Individual IDComb' AND segmento= 'ESTR' AND ambito= 'PM' AND entidade='00100' AND cod_visao = 1) B ON entty_id_as_is = entty_id_to_be WHERE coalesce(cast(scan_as_is as string), '') &lt;&gt; coalesce(cast(scan_to_be as string), '') </v>
      </c>
      <c r="M105" s="17" t="s">
        <v>48</v>
      </c>
      <c r="N105" s="17" t="str">
        <f>"SELECT 'Validação de campos' as tipologia_teste, '"&amp;VLOOKUP(B105,Instruções!$F$6:$J$10,3,0)&amp;"' AS TABELA, '"&amp;E105&amp;"' AS CAMPO, '"&amp;Instruções!$D$7&amp;"' as ref_date, coalesce(NUM_REG_DIF, 0) AS NUM_REG_DIF FROM ("&amp;L105&amp;") A "</f>
        <v xml:space="preserve">SELECT 'Validação de campos' as tipologia_teste, 'lt003_entity' AS TABELA, 'scan' AS CAMPO, '2025-06-30' as ref_date, coalesce(NUM_REG_DIF, 0) AS NUM_REG_DIF FROM (SELECT count(*) AS NUM_REG_DIF FROM (SELECT entty_id as entty_id_as_is, scan as scan_as_is FROM cd_loan_tapes_bce.lt003_entity WHERE ref_date='2025-06-30' AND nome_perimetro= 'Individual IDComb' AND segmento= 'ESTR' AND ambito= 'PM' AND entidade='00100' AND cod_visao = 1) A  Inner join (SELECT entty_id as entty_id_to_be, scan as scan_to_be FROM bu_loantape_work.lt003_entity WHERE ref_date='2025-06-30' AND nome_perimetro= 'Individual IDComb' AND segmento= 'ESTR' AND ambito= 'PM' AND entidade='00100' AND cod_visao = 1) B ON entty_id_as_is = entty_id_to_be WHERE coalesce(cast(scan_as_is as string), '') &lt;&gt; coalesce(cast(scan_to_be as string), '') ) A </v>
      </c>
      <c r="O105" s="19" t="str">
        <f t="shared" si="12"/>
        <v>SELECT 'Validação de campos' as tipologia_teste, 'lt003_entity' AS TABELA, 'scan' AS CAMPO, '2025-06-30' as ref_date, coalesce(NUM_REG_DIF, 0) AS NUM_REG_DIF FROM (SELECT count(*) AS NUM_REG_DIF FROM (SELECT entty_id as entty_id_as_is, scan as scan_as_is FROM cd_loan_tapes_bce.lt003_entity WHERE ref_date='2025-06-30' AND nome_perimetro= 'Individual IDComb' AND segmento= 'ESTR' AND ambito= 'PM' AND entidade='00100' AND cod_visao = 1) A  Inner join (SELECT entty_id as entty_id_to_be, scan as scan_to_be FROM bu_loantape_work.lt003_entity WHERE ref_date='2025-06-30' AND nome_perimetro= 'Individual IDComb' AND segmento= 'ESTR' AND ambito= 'PM' AND entidade='00100' AND cod_visao = 1) B ON entty_id_as_is = entty_id_to_be WHERE coalesce(cast(scan_as_is as string), '') &lt;&gt; coalesce(cast(scan_to_be as string), '') ) A UNION ALL</v>
      </c>
      <c r="P105" s="17">
        <f t="shared" si="22"/>
        <v>51</v>
      </c>
    </row>
    <row r="106" spans="2:16" s="15" customFormat="1" ht="11.5" x14ac:dyDescent="0.25">
      <c r="B106" s="17" t="s">
        <v>11</v>
      </c>
      <c r="C106" s="17" t="str">
        <f>_xlfn.CONCAT(Instruções!$D$5,".",VLOOKUP(B106,Instruções!$F$5:$H$10,2,0))</f>
        <v>cd_loan_tapes_bce.lt003_entity</v>
      </c>
      <c r="D106" s="17" t="str">
        <f>_xlfn.CONCAT(Instruções!$D$6,".",VLOOKUP(B106,Instruções!$F$5:$H$10,3,0))</f>
        <v>bu_loantape_work.lt003_entity</v>
      </c>
      <c r="E106" s="17" t="s">
        <v>360</v>
      </c>
      <c r="F106" s="17" t="str">
        <f t="shared" si="18"/>
        <v>ttl_prmssbl_dbt_blnc_as_is</v>
      </c>
      <c r="G106" s="17" t="str">
        <f t="shared" si="19"/>
        <v>ttl_prmssbl_dbt_blnc_to_be</v>
      </c>
      <c r="H106" s="17" t="str">
        <f>IF(VLOOKUP(B106,Instruções!$F$6:$J$10,5,0)="",
"(SELECT "&amp;VLOOKUP(B106,Instruções!$F$6:$J$10,4,0)&amp;" as "&amp;VLOOKUP(B106,Instruções!$F$6:$J$10,4,0)&amp;"_as_is, "&amp;E106&amp;" as "&amp;F106&amp;" FROM "&amp;C106&amp;" WHERE "&amp;Instruções!$D$11&amp;") A ",
"(SELECT "&amp;VLOOKUP(B106,Instruções!$F$6:$J$10,4,0)&amp;" as "&amp;VLOOKUP(B106,Instruções!$F$6:$J$10,4,0)&amp;"_as_is, "&amp;VLOOKUP(B106,Instruções!$F$6:$J$10,5,0)&amp;" as "&amp;VLOOKUP(B106,Instruções!$F$6:$J$10,5,0)&amp;"_as_is,"&amp;E106&amp;" as "&amp;F106&amp;" FROM "&amp;C106&amp;" WHERE "&amp;Instruções!$D$11&amp;") A ")</f>
        <v xml:space="preserve">(SELECT entty_id as entty_id_as_is, ttl_prmssbl_dbt_blnc as ttl_prmssbl_dbt_blnc_as_is FROM cd_loan_tapes_bce.lt003_entity WHERE ref_date='2025-06-30' AND nome_perimetro= 'Individual IDComb' AND segmento= 'ESTR' AND ambito= 'PM' AND entidade='00100' AND cod_visao = 1) A </v>
      </c>
      <c r="I106" s="17" t="str">
        <f>IF(VLOOKUP(B106,Instruções!$F$6:$J$10,5,0)="",
"(SELECT "&amp;VLOOKUP(B106,Instruções!$F$6:$J$10,4,0)&amp;" as "&amp;VLOOKUP(B106,Instruções!$F$6:$J$10,4,0)&amp;"_to_be, "&amp;E106&amp;" as "&amp;G106&amp;" FROM "&amp;D106&amp;" WHERE "&amp;Instruções!$D$11&amp;") B ",
"(SELECT "&amp;VLOOKUP(B106,Instruções!$F$6:$J$10,4,0)&amp;" as "&amp;VLOOKUP(B106,Instruções!$F$6:$J$10,4,0)&amp;"_to_be, "&amp;VLOOKUP(B106,Instruções!$F$6:$J$10,5,0)&amp;" as "&amp;VLOOKUP(B106,Instruções!$F$6:$J$10,5,0)&amp;"_to_be,"&amp;E106&amp;" as "&amp;G106&amp;" FROM "&amp;D106&amp;" WHERE "&amp;Instruções!$D$11&amp;") B ")</f>
        <v xml:space="preserve">(SELECT entty_id as entty_id_to_be, ttl_prmssbl_dbt_blnc as ttl_prmssbl_dbt_blnc_to_be FROM bu_loantape_work.lt003_entity WHERE ref_date='2025-06-30' AND nome_perimetro= 'Individual IDComb' AND segmento= 'ESTR' AND ambito= 'PM' AND entidade='00100' AND cod_visao = 1) B </v>
      </c>
      <c r="J106" s="17" t="str">
        <f>IF(VLOOKUP(B106,Instruções!$F$6:$J$10,5,0)="",
"ON "&amp;VLOOKUP(B106,Instruções!$F$6:$J$10,4,0)&amp;"_as_is = "&amp;VLOOKUP(B106,Instruções!$F$6:$J$10,4,0)&amp;"_to_be ",
"ON "&amp;VLOOKUP(B106,Instruções!$F$6:$J$10,4,0)&amp;"_as_is = "&amp;VLOOKUP(B106,Instruções!$F$6:$J$10,4,0)&amp;"_to_be AND "&amp;VLOOKUP(B106,Instruções!$F$6:$J$10,5,0)&amp;"_as_is = "&amp;VLOOKUP(B106,Instruções!$F$6:$J$10,5,0)&amp;"_to_be ")</f>
        <v xml:space="preserve">ON entty_id_as_is = entty_id_to_be </v>
      </c>
      <c r="K106" s="17" t="str">
        <f t="shared" si="20"/>
        <v xml:space="preserve">WHERE coalesce(cast(ttl_prmssbl_dbt_blnc_as_is as string), '') &lt;&gt; coalesce(cast(ttl_prmssbl_dbt_blnc_to_be as string), '') </v>
      </c>
      <c r="L106" s="17" t="str">
        <f t="shared" si="21"/>
        <v xml:space="preserve">SELECT count(*) AS NUM_REG_DIF FROM (SELECT entty_id as entty_id_as_is, ttl_prmssbl_dbt_blnc as ttl_prmssbl_dbt_blnc_as_is FROM cd_loan_tapes_bce.lt003_entity WHERE ref_date='2025-06-30' AND nome_perimetro= 'Individual IDComb' AND segmento= 'ESTR' AND ambito= 'PM' AND entidade='00100' AND cod_visao = 1) A  Inner join (SELECT entty_id as entty_id_to_be, ttl_prmssbl_dbt_blnc as ttl_prmssbl_dbt_blnc_to_be FROM bu_loantape_work.lt003_entity WHERE ref_date='2025-06-30' AND nome_perimetro= 'Individual IDComb' AND segmento= 'ESTR' AND ambito= 'PM' AND entidade='00100' AND cod_visao = 1) B ON entty_id_as_is = entty_id_to_be WHERE coalesce(cast(ttl_prmssbl_dbt_blnc_as_is as string), '') &lt;&gt; coalesce(cast(ttl_prmssbl_dbt_blnc_to_be as string), '') </v>
      </c>
      <c r="M106" s="17" t="s">
        <v>48</v>
      </c>
      <c r="N106" s="17" t="str">
        <f>"SELECT 'Validação de campos' as tipologia_teste, '"&amp;VLOOKUP(B106,Instruções!$F$6:$J$10,3,0)&amp;"' AS TABELA, '"&amp;E106&amp;"' AS CAMPO, '"&amp;Instruções!$D$7&amp;"' as ref_date, coalesce(NUM_REG_DIF, 0) AS NUM_REG_DIF FROM ("&amp;L106&amp;") A "</f>
        <v xml:space="preserve">SELECT 'Validação de campos' as tipologia_teste, 'lt003_entity' AS TABELA, 'ttl_prmssbl_dbt_blnc' AS CAMPO, '2025-06-30' as ref_date, coalesce(NUM_REG_DIF, 0) AS NUM_REG_DIF FROM (SELECT count(*) AS NUM_REG_DIF FROM (SELECT entty_id as entty_id_as_is, ttl_prmssbl_dbt_blnc as ttl_prmssbl_dbt_blnc_as_is FROM cd_loan_tapes_bce.lt003_entity WHERE ref_date='2025-06-30' AND nome_perimetro= 'Individual IDComb' AND segmento= 'ESTR' AND ambito= 'PM' AND entidade='00100' AND cod_visao = 1) A  Inner join (SELECT entty_id as entty_id_to_be, ttl_prmssbl_dbt_blnc as ttl_prmssbl_dbt_blnc_to_be FROM bu_loantape_work.lt003_entity WHERE ref_date='2025-06-30' AND nome_perimetro= 'Individual IDComb' AND segmento= 'ESTR' AND ambito= 'PM' AND entidade='00100' AND cod_visao = 1) B ON entty_id_as_is = entty_id_to_be WHERE coalesce(cast(ttl_prmssbl_dbt_blnc_as_is as string), '') &lt;&gt; coalesce(cast(ttl_prmssbl_dbt_blnc_to_be as string), '') ) A </v>
      </c>
      <c r="O106" s="19" t="str">
        <f t="shared" si="12"/>
        <v>SELECT 'Validação de campos' as tipologia_teste, 'lt003_entity' AS TABELA, 'ttl_prmssbl_dbt_blnc' AS CAMPO, '2025-06-30' as ref_date, coalesce(NUM_REG_DIF, 0) AS NUM_REG_DIF FROM (SELECT count(*) AS NUM_REG_DIF FROM (SELECT entty_id as entty_id_as_is, ttl_prmssbl_dbt_blnc as ttl_prmssbl_dbt_blnc_as_is FROM cd_loan_tapes_bce.lt003_entity WHERE ref_date='2025-06-30' AND nome_perimetro= 'Individual IDComb' AND segmento= 'ESTR' AND ambito= 'PM' AND entidade='00100' AND cod_visao = 1) A  Inner join (SELECT entty_id as entty_id_to_be, ttl_prmssbl_dbt_blnc as ttl_prmssbl_dbt_blnc_to_be FROM bu_loantape_work.lt003_entity WHERE ref_date='2025-06-30' AND nome_perimetro= 'Individual IDComb' AND segmento= 'ESTR' AND ambito= 'PM' AND entidade='00100' AND cod_visao = 1) B ON entty_id_as_is = entty_id_to_be WHERE coalesce(cast(ttl_prmssbl_dbt_blnc_as_is as string), '') &lt;&gt; coalesce(cast(ttl_prmssbl_dbt_blnc_to_be as string), '') ) A UNION ALL</v>
      </c>
      <c r="P106" s="17">
        <f t="shared" si="22"/>
        <v>52</v>
      </c>
    </row>
    <row r="107" spans="2:16" s="15" customFormat="1" ht="11.5" x14ac:dyDescent="0.25">
      <c r="B107" s="17" t="s">
        <v>15</v>
      </c>
      <c r="C107" s="17" t="str">
        <f>_xlfn.CONCAT(Instruções!$D$5,".",VLOOKUP(B107,Instruções!$F$5:$H$10,2,0))</f>
        <v>cd_loan_tapes_bce.lt005_instr_ent</v>
      </c>
      <c r="D107" s="17" t="str">
        <f>_xlfn.CONCAT(Instruções!$D$6,".",VLOOKUP(B107,Instruções!$F$5:$H$10,3,0))</f>
        <v>bu_loantape_work.lt005_instr_ent</v>
      </c>
      <c r="E107" s="17" t="s">
        <v>57</v>
      </c>
      <c r="F107" s="17" t="str">
        <f t="shared" si="13"/>
        <v>cod_soc_as_is</v>
      </c>
      <c r="G107" s="17" t="str">
        <f t="shared" si="14"/>
        <v>cod_soc_to_be</v>
      </c>
      <c r="H107" s="17" t="str">
        <f>IF(VLOOKUP(B107,Instruções!$F$6:$J$10,5,0)="",
"(SELECT "&amp;VLOOKUP(B107,Instruções!$F$6:$J$10,4,0)&amp;" as "&amp;VLOOKUP(B107,Instruções!$F$6:$J$10,4,0)&amp;"_as_is, "&amp;E107&amp;" as "&amp;F107&amp;" FROM "&amp;C107&amp;" WHERE "&amp;Instruções!$D$11&amp;") A ",
"(SELECT "&amp;VLOOKUP(B107,Instruções!$F$6:$J$10,4,0)&amp;" as "&amp;VLOOKUP(B107,Instruções!$F$6:$J$10,4,0)&amp;"_as_is, "&amp;VLOOKUP(B107,Instruções!$F$6:$J$10,5,0)&amp;" as "&amp;VLOOKUP(B107,Instruções!$F$6:$J$10,5,0)&amp;"_as_is,"&amp;E107&amp;" as "&amp;F107&amp;" FROM "&amp;C107&amp;" WHERE "&amp;Instruções!$D$11&amp;") A ")</f>
        <v xml:space="preserve">(SELECT instrmnt_id as instrmnt_id_as_is, entty_id as entty_id_as_is,cod_soc as cod_soc_as_is FROM cd_loan_tapes_bce.lt005_instr_ent WHERE ref_date='2025-06-30' AND nome_perimetro= 'Individual IDComb' AND segmento= 'ESTR' AND ambito= 'PM' AND entidade='00100' AND cod_visao = 1) A </v>
      </c>
      <c r="I107" s="17" t="str">
        <f>IF(VLOOKUP(B107,Instruções!$F$6:$J$10,5,0)="",
"(SELECT "&amp;VLOOKUP(B107,Instruções!$F$6:$J$10,4,0)&amp;" as "&amp;VLOOKUP(B107,Instruções!$F$6:$J$10,4,0)&amp;"_to_be, "&amp;E107&amp;" as "&amp;G107&amp;" FROM "&amp;D107&amp;" WHERE "&amp;Instruções!$D$11&amp;") B ",
"(SELECT "&amp;VLOOKUP(B107,Instruções!$F$6:$J$10,4,0)&amp;" as "&amp;VLOOKUP(B107,Instruções!$F$6:$J$10,4,0)&amp;"_to_be, "&amp;VLOOKUP(B107,Instruções!$F$6:$J$10,5,0)&amp;" as "&amp;VLOOKUP(B107,Instruções!$F$6:$J$10,5,0)&amp;"_to_be,"&amp;E107&amp;" as "&amp;G107&amp;" FROM "&amp;D107&amp;" WHERE "&amp;Instruções!$D$11&amp;") B ")</f>
        <v xml:space="preserve">(SELECT instrmnt_id as instrmnt_id_to_be, entty_id as entty_id_to_be,cod_soc as cod_soc_to_be FROM bu_loantape_work.lt005_instr_ent WHERE ref_date='2025-06-30' AND nome_perimetro= 'Individual IDComb' AND segmento= 'ESTR' AND ambito= 'PM' AND entidade='00100' AND cod_visao = 1) B </v>
      </c>
      <c r="J107" s="17" t="str">
        <f>IF(VLOOKUP(B107,Instruções!$F$6:$J$10,5,0)="",
"ON "&amp;VLOOKUP(B107,Instruções!$F$6:$J$10,4,0)&amp;"_as_is = "&amp;VLOOKUP(B107,Instruções!$F$6:$J$10,4,0)&amp;"_to_be ",
"ON "&amp;VLOOKUP(B107,Instruções!$F$6:$J$10,4,0)&amp;"_as_is = "&amp;VLOOKUP(B107,Instruções!$F$6:$J$10,4,0)&amp;"_to_be AND "&amp;VLOOKUP(B107,Instruções!$F$6:$J$10,5,0)&amp;"_as_is = "&amp;VLOOKUP(B107,Instruções!$F$6:$J$10,5,0)&amp;"_to_be ")</f>
        <v xml:space="preserve">ON instrmnt_id_as_is = instrmnt_id_to_be AND entty_id_as_is = entty_id_to_be </v>
      </c>
      <c r="K107" s="17" t="str">
        <f t="shared" si="15"/>
        <v xml:space="preserve">WHERE coalesce(cast(cod_soc_as_is as string), '') &lt;&gt; coalesce(cast(cod_soc_to_be as string), '') </v>
      </c>
      <c r="L107" s="17" t="str">
        <f t="shared" si="16"/>
        <v xml:space="preserve">SELECT count(*) AS NUM_REG_DIF FROM (SELECT instrmnt_id as instrmnt_id_as_is, entty_id as entty_id_as_is,cod_soc as cod_soc_as_is FROM cd_loan_tapes_bce.lt005_instr_ent WHERE ref_date='2025-06-30' AND nome_perimetro= 'Individual IDComb' AND segmento= 'ESTR' AND ambito= 'PM' AND entidade='00100' AND cod_visao = 1) A  Inner join (SELECT instrmnt_id as instrmnt_id_to_be, entty_id as entty_id_to_be,cod_soc as cod_soc_to_be FROM bu_loantape_work.lt005_instr_ent WHERE ref_date='2025-06-30' AND nome_perimetro= 'Individual IDComb' AND segmento= 'ESTR' AND ambito= 'PM' AND entidade='00100' AND cod_visao = 1) B ON instrmnt_id_as_is = instrmnt_id_to_be AND entty_id_as_is = entty_id_to_be WHERE coalesce(cast(cod_soc_as_is as string), '') &lt;&gt; coalesce(cast(cod_soc_to_be as string), '') </v>
      </c>
      <c r="M107" s="17" t="s">
        <v>48</v>
      </c>
      <c r="N107" s="17" t="str">
        <f>"SELECT 'Validação de campos' as tipologia_teste, '"&amp;VLOOKUP(B107,Instruções!$F$6:$J$10,3,0)&amp;"' AS TABELA, '"&amp;E107&amp;"' AS CAMPO, '"&amp;Instruções!$D$7&amp;"' as ref_date, coalesce(NUM_REG_DIF, 0) AS NUM_REG_DIF FROM ("&amp;L107&amp;") A "</f>
        <v xml:space="preserve">SELECT 'Validação de campos' as tipologia_teste, 'lt005_instr_ent' AS TABELA, 'cod_soc' AS CAMPO, '2025-06-30' as ref_date, coalesce(NUM_REG_DIF, 0) AS NUM_REG_DIF FROM (SELECT count(*) AS NUM_REG_DIF FROM (SELECT instrmnt_id as instrmnt_id_as_is, entty_id as entty_id_as_is,cod_soc as cod_soc_as_is FROM cd_loan_tapes_bce.lt005_instr_ent WHERE ref_date='2025-06-30' AND nome_perimetro= 'Individual IDComb' AND segmento= 'ESTR' AND ambito= 'PM' AND entidade='00100' AND cod_visao = 1) A  Inner join (SELECT instrmnt_id as instrmnt_id_to_be, entty_id as entty_id_to_be,cod_soc as cod_soc_to_be FROM bu_loantape_work.lt005_instr_ent WHERE ref_date='2025-06-30' AND nome_perimetro= 'Individual IDComb' AND segmento= 'ESTR' AND ambito= 'PM' AND entidade='00100' AND cod_visao = 1) B ON instrmnt_id_as_is = instrmnt_id_to_be AND entty_id_as_is = entty_id_to_be WHERE coalesce(cast(cod_soc_as_is as string), '') &lt;&gt; coalesce(cast(cod_soc_to_be as string), '') ) A </v>
      </c>
      <c r="O107" s="19" t="str">
        <f t="shared" si="12"/>
        <v>SELECT 'Validação de campos' as tipologia_teste, 'lt005_instr_ent' AS TABELA, 'cod_soc' AS CAMPO, '2025-06-30' as ref_date, coalesce(NUM_REG_DIF, 0) AS NUM_REG_DIF FROM (SELECT count(*) AS NUM_REG_DIF FROM (SELECT instrmnt_id as instrmnt_id_as_is, entty_id as entty_id_as_is,cod_soc as cod_soc_as_is FROM cd_loan_tapes_bce.lt005_instr_ent WHERE ref_date='2025-06-30' AND nome_perimetro= 'Individual IDComb' AND segmento= 'ESTR' AND ambito= 'PM' AND entidade='00100' AND cod_visao = 1) A  Inner join (SELECT instrmnt_id as instrmnt_id_to_be, entty_id as entty_id_to_be,cod_soc as cod_soc_to_be FROM bu_loantape_work.lt005_instr_ent WHERE ref_date='2025-06-30' AND nome_perimetro= 'Individual IDComb' AND segmento= 'ESTR' AND ambito= 'PM' AND entidade='00100' AND cod_visao = 1) B ON instrmnt_id_as_is = instrmnt_id_to_be AND entty_id_as_is = entty_id_to_be WHERE coalesce(cast(cod_soc_as_is as string), '') &lt;&gt; coalesce(cast(cod_soc_to_be as string), '') ) A UNION ALL</v>
      </c>
      <c r="P107" s="17">
        <f t="shared" si="22"/>
        <v>53</v>
      </c>
    </row>
    <row r="108" spans="2:16" s="15" customFormat="1" ht="11.5" x14ac:dyDescent="0.25">
      <c r="B108" s="17" t="s">
        <v>15</v>
      </c>
      <c r="C108" s="17" t="str">
        <f>_xlfn.CONCAT(Instruções!$D$5,".",VLOOKUP(B108,Instruções!$F$5:$H$10,2,0))</f>
        <v>cd_loan_tapes_bce.lt005_instr_ent</v>
      </c>
      <c r="D108" s="17" t="str">
        <f>_xlfn.CONCAT(Instruções!$D$6,".",VLOOKUP(B108,Instruções!$F$5:$H$10,3,0))</f>
        <v>bu_loantape_work.lt005_instr_ent</v>
      </c>
      <c r="E108" s="17" t="s">
        <v>142</v>
      </c>
      <c r="F108" s="17" t="str">
        <f t="shared" si="13"/>
        <v>jnt_lblty_amnt_as_is</v>
      </c>
      <c r="G108" s="17" t="str">
        <f t="shared" si="14"/>
        <v>jnt_lblty_amnt_to_be</v>
      </c>
      <c r="H108" s="17" t="str">
        <f>IF(VLOOKUP(B108,Instruções!$F$6:$J$10,5,0)="",
"(SELECT "&amp;VLOOKUP(B108,Instruções!$F$6:$J$10,4,0)&amp;" as "&amp;VLOOKUP(B108,Instruções!$F$6:$J$10,4,0)&amp;"_as_is, "&amp;E108&amp;" as "&amp;F108&amp;" FROM "&amp;C108&amp;" WHERE "&amp;Instruções!$D$11&amp;") A ",
"(SELECT "&amp;VLOOKUP(B108,Instruções!$F$6:$J$10,4,0)&amp;" as "&amp;VLOOKUP(B108,Instruções!$F$6:$J$10,4,0)&amp;"_as_is, "&amp;VLOOKUP(B108,Instruções!$F$6:$J$10,5,0)&amp;" as "&amp;VLOOKUP(B108,Instruções!$F$6:$J$10,5,0)&amp;"_as_is,"&amp;E108&amp;" as "&amp;F108&amp;" FROM "&amp;C108&amp;" WHERE "&amp;Instruções!$D$11&amp;") A ")</f>
        <v xml:space="preserve">(SELECT instrmnt_id as instrmnt_id_as_is, entty_id as entty_id_as_is,jnt_lblty_amnt as jnt_lblty_amnt_as_is FROM cd_loan_tapes_bce.lt005_instr_ent WHERE ref_date='2025-06-30' AND nome_perimetro= 'Individual IDComb' AND segmento= 'ESTR' AND ambito= 'PM' AND entidade='00100' AND cod_visao = 1) A </v>
      </c>
      <c r="I108" s="17" t="str">
        <f>IF(VLOOKUP(B108,Instruções!$F$6:$J$10,5,0)="",
"(SELECT "&amp;VLOOKUP(B108,Instruções!$F$6:$J$10,4,0)&amp;" as "&amp;VLOOKUP(B108,Instruções!$F$6:$J$10,4,0)&amp;"_to_be, "&amp;E108&amp;" as "&amp;G108&amp;" FROM "&amp;D108&amp;" WHERE "&amp;Instruções!$D$11&amp;") B ",
"(SELECT "&amp;VLOOKUP(B108,Instruções!$F$6:$J$10,4,0)&amp;" as "&amp;VLOOKUP(B108,Instruções!$F$6:$J$10,4,0)&amp;"_to_be, "&amp;VLOOKUP(B108,Instruções!$F$6:$J$10,5,0)&amp;" as "&amp;VLOOKUP(B108,Instruções!$F$6:$J$10,5,0)&amp;"_to_be,"&amp;E108&amp;" as "&amp;G108&amp;" FROM "&amp;D108&amp;" WHERE "&amp;Instruções!$D$11&amp;") B ")</f>
        <v xml:space="preserve">(SELECT instrmnt_id as instrmnt_id_to_be, entty_id as entty_id_to_be,jnt_lblty_amnt as jnt_lblty_amnt_to_be FROM bu_loantape_work.lt005_instr_ent WHERE ref_date='2025-06-30' AND nome_perimetro= 'Individual IDComb' AND segmento= 'ESTR' AND ambito= 'PM' AND entidade='00100' AND cod_visao = 1) B </v>
      </c>
      <c r="J108" s="17" t="str">
        <f>IF(VLOOKUP(B108,Instruções!$F$6:$J$10,5,0)="",
"ON "&amp;VLOOKUP(B108,Instruções!$F$6:$J$10,4,0)&amp;"_as_is = "&amp;VLOOKUP(B108,Instruções!$F$6:$J$10,4,0)&amp;"_to_be ",
"ON "&amp;VLOOKUP(B108,Instruções!$F$6:$J$10,4,0)&amp;"_as_is = "&amp;VLOOKUP(B108,Instruções!$F$6:$J$10,4,0)&amp;"_to_be AND "&amp;VLOOKUP(B108,Instruções!$F$6:$J$10,5,0)&amp;"_as_is = "&amp;VLOOKUP(B108,Instruções!$F$6:$J$10,5,0)&amp;"_to_be ")</f>
        <v xml:space="preserve">ON instrmnt_id_as_is = instrmnt_id_to_be AND entty_id_as_is = entty_id_to_be </v>
      </c>
      <c r="K108" s="17" t="str">
        <f t="shared" si="15"/>
        <v xml:space="preserve">WHERE coalesce(cast(jnt_lblty_amnt_as_is as string), '') &lt;&gt; coalesce(cast(jnt_lblty_amnt_to_be as string), '') </v>
      </c>
      <c r="L108" s="17" t="str">
        <f t="shared" si="16"/>
        <v xml:space="preserve">SELECT count(*) AS NUM_REG_DIF FROM (SELECT instrmnt_id as instrmnt_id_as_is, entty_id as entty_id_as_is,jnt_lblty_amnt as jnt_lblty_amnt_as_is FROM cd_loan_tapes_bce.lt005_instr_ent WHERE ref_date='2025-06-30' AND nome_perimetro= 'Individual IDComb' AND segmento= 'ESTR' AND ambito= 'PM' AND entidade='00100' AND cod_visao = 1) A  Inner join (SELECT instrmnt_id as instrmnt_id_to_be, entty_id as entty_id_to_be,jnt_lblty_amnt as jnt_lblty_amnt_to_be FROM bu_loantape_work.lt005_instr_ent WHERE ref_date='2025-06-30' AND nome_perimetro= 'Individual IDComb' AND segmento= 'ESTR' AND ambito= 'PM' AND entidade='00100' AND cod_visao = 1) B ON instrmnt_id_as_is = instrmnt_id_to_be AND entty_id_as_is = entty_id_to_be WHERE coalesce(cast(jnt_lblty_amnt_as_is as string), '') &lt;&gt; coalesce(cast(jnt_lblty_amnt_to_be as string), '') </v>
      </c>
      <c r="M108" s="17" t="s">
        <v>48</v>
      </c>
      <c r="N108" s="17" t="str">
        <f>"SELECT 'Validação de campos' as tipologia_teste, '"&amp;VLOOKUP(B108,Instruções!$F$6:$J$10,3,0)&amp;"' AS TABELA, '"&amp;E108&amp;"' AS CAMPO, '"&amp;Instruções!$D$7&amp;"' as ref_date, coalesce(NUM_REG_DIF, 0) AS NUM_REG_DIF FROM ("&amp;L108&amp;") A "</f>
        <v xml:space="preserve">SELECT 'Validação de campos' as tipologia_teste, 'lt005_instr_ent' AS TABELA, 'jnt_lblty_amnt' AS CAMPO, '2025-06-30' as ref_date, coalesce(NUM_REG_DIF, 0) AS NUM_REG_DIF FROM (SELECT count(*) AS NUM_REG_DIF FROM (SELECT instrmnt_id as instrmnt_id_as_is, entty_id as entty_id_as_is,jnt_lblty_amnt as jnt_lblty_amnt_as_is FROM cd_loan_tapes_bce.lt005_instr_ent WHERE ref_date='2025-06-30' AND nome_perimetro= 'Individual IDComb' AND segmento= 'ESTR' AND ambito= 'PM' AND entidade='00100' AND cod_visao = 1) A  Inner join (SELECT instrmnt_id as instrmnt_id_to_be, entty_id as entty_id_to_be,jnt_lblty_amnt as jnt_lblty_amnt_to_be FROM bu_loantape_work.lt005_instr_ent WHERE ref_date='2025-06-30' AND nome_perimetro= 'Individual IDComb' AND segmento= 'ESTR' AND ambito= 'PM' AND entidade='00100' AND cod_visao = 1) B ON instrmnt_id_as_is = instrmnt_id_to_be AND entty_id_as_is = entty_id_to_be WHERE coalesce(cast(jnt_lblty_amnt_as_is as string), '') &lt;&gt; coalesce(cast(jnt_lblty_amnt_to_be as string), '') ) A </v>
      </c>
      <c r="O108" s="19" t="str">
        <f t="shared" si="12"/>
        <v>SELECT 'Validação de campos' as tipologia_teste, 'lt005_instr_ent' AS TABELA, 'jnt_lblty_amnt' AS CAMPO, '2025-06-30' as ref_date, coalesce(NUM_REG_DIF, 0) AS NUM_REG_DIF FROM (SELECT count(*) AS NUM_REG_DIF FROM (SELECT instrmnt_id as instrmnt_id_as_is, entty_id as entty_id_as_is,jnt_lblty_amnt as jnt_lblty_amnt_as_is FROM cd_loan_tapes_bce.lt005_instr_ent WHERE ref_date='2025-06-30' AND nome_perimetro= 'Individual IDComb' AND segmento= 'ESTR' AND ambito= 'PM' AND entidade='00100' AND cod_visao = 1) A  Inner join (SELECT instrmnt_id as instrmnt_id_to_be, entty_id as entty_id_to_be,jnt_lblty_amnt as jnt_lblty_amnt_to_be FROM bu_loantape_work.lt005_instr_ent WHERE ref_date='2025-06-30' AND nome_perimetro= 'Individual IDComb' AND segmento= 'ESTR' AND ambito= 'PM' AND entidade='00100' AND cod_visao = 1) B ON instrmnt_id_as_is = instrmnt_id_to_be AND entty_id_as_is = entty_id_to_be WHERE coalesce(cast(jnt_lblty_amnt_as_is as string), '') &lt;&gt; coalesce(cast(jnt_lblty_amnt_to_be as string), '') ) A UNION ALL</v>
      </c>
      <c r="P108" s="17">
        <f t="shared" si="22"/>
        <v>54</v>
      </c>
    </row>
    <row r="109" spans="2:16" s="15" customFormat="1" ht="11.5" x14ac:dyDescent="0.25">
      <c r="B109" s="17" t="s">
        <v>15</v>
      </c>
      <c r="C109" s="17" t="str">
        <f>_xlfn.CONCAT(Instruções!$D$5,".",VLOOKUP(B109,Instruções!$F$5:$H$10,2,0))</f>
        <v>cd_loan_tapes_bce.lt005_instr_ent</v>
      </c>
      <c r="D109" s="17" t="str">
        <f>_xlfn.CONCAT(Instruções!$D$6,".",VLOOKUP(B109,Instruções!$F$5:$H$10,3,0))</f>
        <v>bu_loantape_work.lt005_instr_ent</v>
      </c>
      <c r="E109" s="17" t="s">
        <v>143</v>
      </c>
      <c r="F109" s="17" t="str">
        <f t="shared" si="13"/>
        <v>mn_entty_id_as_is</v>
      </c>
      <c r="G109" s="17" t="str">
        <f t="shared" si="14"/>
        <v>mn_entty_id_to_be</v>
      </c>
      <c r="H109" s="17" t="str">
        <f>IF(VLOOKUP(B109,Instruções!$F$6:$J$10,5,0)="",
"(SELECT "&amp;VLOOKUP(B109,Instruções!$F$6:$J$10,4,0)&amp;" as "&amp;VLOOKUP(B109,Instruções!$F$6:$J$10,4,0)&amp;"_as_is, "&amp;E109&amp;" as "&amp;F109&amp;" FROM "&amp;C109&amp;" WHERE "&amp;Instruções!$D$11&amp;") A ",
"(SELECT "&amp;VLOOKUP(B109,Instruções!$F$6:$J$10,4,0)&amp;" as "&amp;VLOOKUP(B109,Instruções!$F$6:$J$10,4,0)&amp;"_as_is, "&amp;VLOOKUP(B109,Instruções!$F$6:$J$10,5,0)&amp;" as "&amp;VLOOKUP(B109,Instruções!$F$6:$J$10,5,0)&amp;"_as_is,"&amp;E109&amp;" as "&amp;F109&amp;" FROM "&amp;C109&amp;" WHERE "&amp;Instruções!$D$11&amp;") A ")</f>
        <v xml:space="preserve">(SELECT instrmnt_id as instrmnt_id_as_is, entty_id as entty_id_as_is,mn_entty_id as mn_entty_id_as_is FROM cd_loan_tapes_bce.lt005_instr_ent WHERE ref_date='2025-06-30' AND nome_perimetro= 'Individual IDComb' AND segmento= 'ESTR' AND ambito= 'PM' AND entidade='00100' AND cod_visao = 1) A </v>
      </c>
      <c r="I109" s="17" t="str">
        <f>IF(VLOOKUP(B109,Instruções!$F$6:$J$10,5,0)="",
"(SELECT "&amp;VLOOKUP(B109,Instruções!$F$6:$J$10,4,0)&amp;" as "&amp;VLOOKUP(B109,Instruções!$F$6:$J$10,4,0)&amp;"_to_be, "&amp;E109&amp;" as "&amp;G109&amp;" FROM "&amp;D109&amp;" WHERE "&amp;Instruções!$D$11&amp;") B ",
"(SELECT "&amp;VLOOKUP(B109,Instruções!$F$6:$J$10,4,0)&amp;" as "&amp;VLOOKUP(B109,Instruções!$F$6:$J$10,4,0)&amp;"_to_be, "&amp;VLOOKUP(B109,Instruções!$F$6:$J$10,5,0)&amp;" as "&amp;VLOOKUP(B109,Instruções!$F$6:$J$10,5,0)&amp;"_to_be,"&amp;E109&amp;" as "&amp;G109&amp;" FROM "&amp;D109&amp;" WHERE "&amp;Instruções!$D$11&amp;") B ")</f>
        <v xml:space="preserve">(SELECT instrmnt_id as instrmnt_id_to_be, entty_id as entty_id_to_be,mn_entty_id as mn_entty_id_to_be FROM bu_loantape_work.lt005_instr_ent WHERE ref_date='2025-06-30' AND nome_perimetro= 'Individual IDComb' AND segmento= 'ESTR' AND ambito= 'PM' AND entidade='00100' AND cod_visao = 1) B </v>
      </c>
      <c r="J109" s="17" t="str">
        <f>IF(VLOOKUP(B109,Instruções!$F$6:$J$10,5,0)="",
"ON "&amp;VLOOKUP(B109,Instruções!$F$6:$J$10,4,0)&amp;"_as_is = "&amp;VLOOKUP(B109,Instruções!$F$6:$J$10,4,0)&amp;"_to_be ",
"ON "&amp;VLOOKUP(B109,Instruções!$F$6:$J$10,4,0)&amp;"_as_is = "&amp;VLOOKUP(B109,Instruções!$F$6:$J$10,4,0)&amp;"_to_be AND "&amp;VLOOKUP(B109,Instruções!$F$6:$J$10,5,0)&amp;"_as_is = "&amp;VLOOKUP(B109,Instruções!$F$6:$J$10,5,0)&amp;"_to_be ")</f>
        <v xml:space="preserve">ON instrmnt_id_as_is = instrmnt_id_to_be AND entty_id_as_is = entty_id_to_be </v>
      </c>
      <c r="K109" s="17" t="str">
        <f t="shared" si="15"/>
        <v xml:space="preserve">WHERE coalesce(cast(mn_entty_id_as_is as string), '') &lt;&gt; coalesce(cast(mn_entty_id_to_be as string), '') </v>
      </c>
      <c r="L109" s="17" t="str">
        <f t="shared" si="16"/>
        <v xml:space="preserve">SELECT count(*) AS NUM_REG_DIF FROM (SELECT instrmnt_id as instrmnt_id_as_is, entty_id as entty_id_as_is,mn_entty_id as mn_entty_id_as_is FROM cd_loan_tapes_bce.lt005_instr_ent WHERE ref_date='2025-06-30' AND nome_perimetro= 'Individual IDComb' AND segmento= 'ESTR' AND ambito= 'PM' AND entidade='00100' AND cod_visao = 1) A  Inner join (SELECT instrmnt_id as instrmnt_id_to_be, entty_id as entty_id_to_be,mn_entty_id as mn_entty_id_to_be FROM bu_loantape_work.lt005_instr_ent WHERE ref_date='2025-06-30' AND nome_perimetro= 'Individual IDComb' AND segmento= 'ESTR' AND ambito= 'PM' AND entidade='00100' AND cod_visao = 1) B ON instrmnt_id_as_is = instrmnt_id_to_be AND entty_id_as_is = entty_id_to_be WHERE coalesce(cast(mn_entty_id_as_is as string), '') &lt;&gt; coalesce(cast(mn_entty_id_to_be as string), '') </v>
      </c>
      <c r="M109" s="17" t="s">
        <v>48</v>
      </c>
      <c r="N109" s="17" t="str">
        <f>"SELECT 'Validação de campos' as tipologia_teste, '"&amp;VLOOKUP(B109,Instruções!$F$6:$J$10,3,0)&amp;"' AS TABELA, '"&amp;E109&amp;"' AS CAMPO, '"&amp;Instruções!$D$7&amp;"' as ref_date, coalesce(NUM_REG_DIF, 0) AS NUM_REG_DIF FROM ("&amp;L109&amp;") A "</f>
        <v xml:space="preserve">SELECT 'Validação de campos' as tipologia_teste, 'lt005_instr_ent' AS TABELA, 'mn_entty_id' AS CAMPO, '2025-06-30' as ref_date, coalesce(NUM_REG_DIF, 0) AS NUM_REG_DIF FROM (SELECT count(*) AS NUM_REG_DIF FROM (SELECT instrmnt_id as instrmnt_id_as_is, entty_id as entty_id_as_is,mn_entty_id as mn_entty_id_as_is FROM cd_loan_tapes_bce.lt005_instr_ent WHERE ref_date='2025-06-30' AND nome_perimetro= 'Individual IDComb' AND segmento= 'ESTR' AND ambito= 'PM' AND entidade='00100' AND cod_visao = 1) A  Inner join (SELECT instrmnt_id as instrmnt_id_to_be, entty_id as entty_id_to_be,mn_entty_id as mn_entty_id_to_be FROM bu_loantape_work.lt005_instr_ent WHERE ref_date='2025-06-30' AND nome_perimetro= 'Individual IDComb' AND segmento= 'ESTR' AND ambito= 'PM' AND entidade='00100' AND cod_visao = 1) B ON instrmnt_id_as_is = instrmnt_id_to_be AND entty_id_as_is = entty_id_to_be WHERE coalesce(cast(mn_entty_id_as_is as string), '') &lt;&gt; coalesce(cast(mn_entty_id_to_be as string), '') ) A </v>
      </c>
      <c r="O109" s="19" t="str">
        <f t="shared" si="12"/>
        <v>SELECT 'Validação de campos' as tipologia_teste, 'lt005_instr_ent' AS TABELA, 'mn_entty_id' AS CAMPO, '2025-06-30' as ref_date, coalesce(NUM_REG_DIF, 0) AS NUM_REG_DIF FROM (SELECT count(*) AS NUM_REG_DIF FROM (SELECT instrmnt_id as instrmnt_id_as_is, entty_id as entty_id_as_is,mn_entty_id as mn_entty_id_as_is FROM cd_loan_tapes_bce.lt005_instr_ent WHERE ref_date='2025-06-30' AND nome_perimetro= 'Individual IDComb' AND segmento= 'ESTR' AND ambito= 'PM' AND entidade='00100' AND cod_visao = 1) A  Inner join (SELECT instrmnt_id as instrmnt_id_to_be, entty_id as entty_id_to_be,mn_entty_id as mn_entty_id_to_be FROM bu_loantape_work.lt005_instr_ent WHERE ref_date='2025-06-30' AND nome_perimetro= 'Individual IDComb' AND segmento= 'ESTR' AND ambito= 'PM' AND entidade='00100' AND cod_visao = 1) B ON instrmnt_id_as_is = instrmnt_id_to_be AND entty_id_as_is = entty_id_to_be WHERE coalesce(cast(mn_entty_id_as_is as string), '') &lt;&gt; coalesce(cast(mn_entty_id_to_be as string), '') ) A UNION ALL</v>
      </c>
      <c r="P109" s="17">
        <f t="shared" si="22"/>
        <v>55</v>
      </c>
    </row>
    <row r="110" spans="2:16" s="15" customFormat="1" ht="11.5" x14ac:dyDescent="0.25">
      <c r="B110" s="17" t="s">
        <v>19</v>
      </c>
      <c r="C110" s="17" t="str">
        <f>_xlfn.CONCAT(Instruções!$D$5,".",VLOOKUP(B110,Instruções!$F$5:$H$10,2,0))</f>
        <v>cd_loan_tapes_bce.lt006_instr_prot</v>
      </c>
      <c r="D110" s="17" t="str">
        <f>_xlfn.CONCAT(Instruções!$D$6,".",VLOOKUP(B110,Instruções!$F$5:$H$10,3,0))</f>
        <v>bu_loantape_work.lt006_instr_prot</v>
      </c>
      <c r="E110" s="17" t="s">
        <v>57</v>
      </c>
      <c r="F110" s="17" t="str">
        <f t="shared" si="13"/>
        <v>cod_soc_as_is</v>
      </c>
      <c r="G110" s="17" t="str">
        <f t="shared" si="14"/>
        <v>cod_soc_to_be</v>
      </c>
      <c r="H110" s="17" t="str">
        <f>IF(VLOOKUP(B110,Instruções!$F$6:$J$10,5,0)="",
"(SELECT "&amp;VLOOKUP(B110,Instruções!$F$6:$J$10,4,0)&amp;" as "&amp;VLOOKUP(B110,Instruções!$F$6:$J$10,4,0)&amp;"_as_is, "&amp;E110&amp;" as "&amp;F110&amp;" FROM "&amp;C110&amp;" WHERE "&amp;Instruções!$D$11&amp;") A ",
"(SELECT "&amp;VLOOKUP(B110,Instruções!$F$6:$J$10,4,0)&amp;" as "&amp;VLOOKUP(B110,Instruções!$F$6:$J$10,4,0)&amp;"_as_is, "&amp;VLOOKUP(B110,Instruções!$F$6:$J$10,5,0)&amp;" as "&amp;VLOOKUP(B110,Instruções!$F$6:$J$10,5,0)&amp;"_as_is,"&amp;E110&amp;" as "&amp;F110&amp;" FROM "&amp;C110&amp;" WHERE "&amp;Instruções!$D$11&amp;") A ")</f>
        <v xml:space="preserve">(SELECT instrmnt_id as instrmnt_id_as_is, prtctn_id as prtctn_id_as_is,cod_soc as cod_soc_as_is FROM cd_loan_tapes_bce.lt006_instr_prot WHERE ref_date='2025-06-30' AND nome_perimetro= 'Individual IDComb' AND segmento= 'ESTR' AND ambito= 'PM' AND entidade='00100' AND cod_visao = 1) A </v>
      </c>
      <c r="I110" s="17" t="str">
        <f>IF(VLOOKUP(B110,Instruções!$F$6:$J$10,5,0)="",
"(SELECT "&amp;VLOOKUP(B110,Instruções!$F$6:$J$10,4,0)&amp;" as "&amp;VLOOKUP(B110,Instruções!$F$6:$J$10,4,0)&amp;"_to_be, "&amp;E110&amp;" as "&amp;G110&amp;" FROM "&amp;D110&amp;" WHERE "&amp;Instruções!$D$11&amp;") B ",
"(SELECT "&amp;VLOOKUP(B110,Instruções!$F$6:$J$10,4,0)&amp;" as "&amp;VLOOKUP(B110,Instruções!$F$6:$J$10,4,0)&amp;"_to_be, "&amp;VLOOKUP(B110,Instruções!$F$6:$J$10,5,0)&amp;" as "&amp;VLOOKUP(B110,Instruções!$F$6:$J$10,5,0)&amp;"_to_be,"&amp;E110&amp;" as "&amp;G110&amp;" FROM "&amp;D110&amp;" WHERE "&amp;Instruções!$D$11&amp;") B ")</f>
        <v xml:space="preserve">(SELECT instrmnt_id as instrmnt_id_to_be, prtctn_id as prtctn_id_to_be,cod_soc as cod_soc_to_be FROM bu_loantape_work.lt006_instr_prot WHERE ref_date='2025-06-30' AND nome_perimetro= 'Individual IDComb' AND segmento= 'ESTR' AND ambito= 'PM' AND entidade='00100' AND cod_visao = 1) B </v>
      </c>
      <c r="J110" s="17" t="str">
        <f>IF(VLOOKUP(B110,Instruções!$F$6:$J$10,5,0)="",
"ON "&amp;VLOOKUP(B110,Instruções!$F$6:$J$10,4,0)&amp;"_as_is = "&amp;VLOOKUP(B110,Instruções!$F$6:$J$10,4,0)&amp;"_to_be ",
"ON "&amp;VLOOKUP(B110,Instruções!$F$6:$J$10,4,0)&amp;"_as_is = "&amp;VLOOKUP(B110,Instruções!$F$6:$J$10,4,0)&amp;"_to_be AND "&amp;VLOOKUP(B110,Instruções!$F$6:$J$10,5,0)&amp;"_as_is = "&amp;VLOOKUP(B110,Instruções!$F$6:$J$10,5,0)&amp;"_to_be ")</f>
        <v xml:space="preserve">ON instrmnt_id_as_is = instrmnt_id_to_be AND prtctn_id_as_is = prtctn_id_to_be </v>
      </c>
      <c r="K110" s="17" t="str">
        <f t="shared" si="15"/>
        <v xml:space="preserve">WHERE coalesce(cast(cod_soc_as_is as string), '') &lt;&gt; coalesce(cast(cod_soc_to_be as string), '') </v>
      </c>
      <c r="L110" s="17" t="str">
        <f t="shared" si="16"/>
        <v xml:space="preserve">SELECT count(*) AS NUM_REG_DIF FROM (SELECT instrmnt_id as instrmnt_id_as_is, prtctn_id as prtctn_id_as_is,cod_soc as cod_soc_as_is FROM cd_loan_tapes_bce.lt006_instr_prot WHERE ref_date='2025-06-30' AND nome_perimetro= 'Individual IDComb' AND segmento= 'ESTR' AND ambito= 'PM' AND entidade='00100' AND cod_visao = 1) A  Inner join (SELECT instrmnt_id as instrmnt_id_to_be, prtctn_id as prtctn_id_to_be,cod_soc as cod_soc_to_be FROM bu_loantape_work.lt006_instr_prot WHERE ref_date='2025-06-30' AND nome_perimetro= 'Individual IDComb' AND segmento= 'ESTR' AND ambito= 'PM' AND entidade='00100' AND cod_visao = 1) B ON instrmnt_id_as_is = instrmnt_id_to_be AND prtctn_id_as_is = prtctn_id_to_be WHERE coalesce(cast(cod_soc_as_is as string), '') &lt;&gt; coalesce(cast(cod_soc_to_be as string), '') </v>
      </c>
      <c r="M110" s="17" t="s">
        <v>48</v>
      </c>
      <c r="N110" s="17" t="str">
        <f>"SELECT 'Validação de campos' as tipologia_teste, '"&amp;VLOOKUP(B110,Instruções!$F$6:$J$10,3,0)&amp;"' AS TABELA, '"&amp;E110&amp;"' AS CAMPO, '"&amp;Instruções!$D$7&amp;"' as ref_date, coalesce(NUM_REG_DIF, 0) AS NUM_REG_DIF FROM ("&amp;L110&amp;") A "</f>
        <v xml:space="preserve">SELECT 'Validação de campos' as tipologia_teste, 'lt006_instr_prot' AS TABELA, 'cod_soc' AS CAMPO, '2025-06-30' as ref_date, coalesce(NUM_REG_DIF, 0) AS NUM_REG_DIF FROM (SELECT count(*) AS NUM_REG_DIF FROM (SELECT instrmnt_id as instrmnt_id_as_is, prtctn_id as prtctn_id_as_is,cod_soc as cod_soc_as_is FROM cd_loan_tapes_bce.lt006_instr_prot WHERE ref_date='2025-06-30' AND nome_perimetro= 'Individual IDComb' AND segmento= 'ESTR' AND ambito= 'PM' AND entidade='00100' AND cod_visao = 1) A  Inner join (SELECT instrmnt_id as instrmnt_id_to_be, prtctn_id as prtctn_id_to_be,cod_soc as cod_soc_to_be FROM bu_loantape_work.lt006_instr_prot WHERE ref_date='2025-06-30' AND nome_perimetro= 'Individual IDComb' AND segmento= 'ESTR' AND ambito= 'PM' AND entidade='00100' AND cod_visao = 1) B ON instrmnt_id_as_is = instrmnt_id_to_be AND prtctn_id_as_is = prtctn_id_to_be WHERE coalesce(cast(cod_soc_as_is as string), '') &lt;&gt; coalesce(cast(cod_soc_to_be as string), '') ) A </v>
      </c>
      <c r="O110" s="19" t="str">
        <f t="shared" si="12"/>
        <v>SELECT 'Validação de campos' as tipologia_teste, 'lt006_instr_prot' AS TABELA, 'cod_soc' AS CAMPO, '2025-06-30' as ref_date, coalesce(NUM_REG_DIF, 0) AS NUM_REG_DIF FROM (SELECT count(*) AS NUM_REG_DIF FROM (SELECT instrmnt_id as instrmnt_id_as_is, prtctn_id as prtctn_id_as_is,cod_soc as cod_soc_as_is FROM cd_loan_tapes_bce.lt006_instr_prot WHERE ref_date='2025-06-30' AND nome_perimetro= 'Individual IDComb' AND segmento= 'ESTR' AND ambito= 'PM' AND entidade='00100' AND cod_visao = 1) A  Inner join (SELECT instrmnt_id as instrmnt_id_to_be, prtctn_id as prtctn_id_to_be,cod_soc as cod_soc_to_be FROM bu_loantape_work.lt006_instr_prot WHERE ref_date='2025-06-30' AND nome_perimetro= 'Individual IDComb' AND segmento= 'ESTR' AND ambito= 'PM' AND entidade='00100' AND cod_visao = 1) B ON instrmnt_id_as_is = instrmnt_id_to_be AND prtctn_id_as_is = prtctn_id_to_be WHERE coalesce(cast(cod_soc_as_is as string), '') &lt;&gt; coalesce(cast(cod_soc_to_be as string), '') ) A UNION ALL</v>
      </c>
      <c r="P110" s="17">
        <f t="shared" si="22"/>
        <v>56</v>
      </c>
    </row>
    <row r="111" spans="2:16" s="15" customFormat="1" ht="11.5" x14ac:dyDescent="0.25">
      <c r="B111" s="17" t="s">
        <v>19</v>
      </c>
      <c r="C111" s="17" t="str">
        <f>_xlfn.CONCAT(Instruções!$D$5,".",VLOOKUP(B111,Instruções!$F$5:$H$10,2,0))</f>
        <v>cd_loan_tapes_bce.lt006_instr_prot</v>
      </c>
      <c r="D111" s="17" t="str">
        <f>_xlfn.CONCAT(Instruções!$D$6,".",VLOOKUP(B111,Instruções!$F$5:$H$10,3,0))</f>
        <v>bu_loantape_work.lt006_instr_prot</v>
      </c>
      <c r="E111" s="17" t="s">
        <v>144</v>
      </c>
      <c r="F111" s="17" t="str">
        <f t="shared" si="13"/>
        <v>prtctn_allctd_vl_as_is</v>
      </c>
      <c r="G111" s="17" t="str">
        <f t="shared" si="14"/>
        <v>prtctn_allctd_vl_to_be</v>
      </c>
      <c r="H111" s="17" t="str">
        <f>IF(VLOOKUP(B111,Instruções!$F$6:$J$10,5,0)="",
"(SELECT "&amp;VLOOKUP(B111,Instruções!$F$6:$J$10,4,0)&amp;" as "&amp;VLOOKUP(B111,Instruções!$F$6:$J$10,4,0)&amp;"_as_is, "&amp;E111&amp;" as "&amp;F111&amp;" FROM "&amp;C111&amp;" WHERE "&amp;Instruções!$D$11&amp;") A ",
"(SELECT "&amp;VLOOKUP(B111,Instruções!$F$6:$J$10,4,0)&amp;" as "&amp;VLOOKUP(B111,Instruções!$F$6:$J$10,4,0)&amp;"_as_is, "&amp;VLOOKUP(B111,Instruções!$F$6:$J$10,5,0)&amp;" as "&amp;VLOOKUP(B111,Instruções!$F$6:$J$10,5,0)&amp;"_as_is,"&amp;E111&amp;" as "&amp;F111&amp;" FROM "&amp;C111&amp;" WHERE "&amp;Instruções!$D$11&amp;") A ")</f>
        <v xml:space="preserve">(SELECT instrmnt_id as instrmnt_id_as_is, prtctn_id as prtctn_id_as_is,prtctn_allctd_vl as prtctn_allctd_vl_as_is FROM cd_loan_tapes_bce.lt006_instr_prot WHERE ref_date='2025-06-30' AND nome_perimetro= 'Individual IDComb' AND segmento= 'ESTR' AND ambito= 'PM' AND entidade='00100' AND cod_visao = 1) A </v>
      </c>
      <c r="I111" s="17" t="str">
        <f>IF(VLOOKUP(B111,Instruções!$F$6:$J$10,5,0)="",
"(SELECT "&amp;VLOOKUP(B111,Instruções!$F$6:$J$10,4,0)&amp;" as "&amp;VLOOKUP(B111,Instruções!$F$6:$J$10,4,0)&amp;"_to_be, "&amp;E111&amp;" as "&amp;G111&amp;" FROM "&amp;D111&amp;" WHERE "&amp;Instruções!$D$11&amp;") B ",
"(SELECT "&amp;VLOOKUP(B111,Instruções!$F$6:$J$10,4,0)&amp;" as "&amp;VLOOKUP(B111,Instruções!$F$6:$J$10,4,0)&amp;"_to_be, "&amp;VLOOKUP(B111,Instruções!$F$6:$J$10,5,0)&amp;" as "&amp;VLOOKUP(B111,Instruções!$F$6:$J$10,5,0)&amp;"_to_be,"&amp;E111&amp;" as "&amp;G111&amp;" FROM "&amp;D111&amp;" WHERE "&amp;Instruções!$D$11&amp;") B ")</f>
        <v xml:space="preserve">(SELECT instrmnt_id as instrmnt_id_to_be, prtctn_id as prtctn_id_to_be,prtctn_allctd_vl as prtctn_allctd_vl_to_be FROM bu_loantape_work.lt006_instr_prot WHERE ref_date='2025-06-30' AND nome_perimetro= 'Individual IDComb' AND segmento= 'ESTR' AND ambito= 'PM' AND entidade='00100' AND cod_visao = 1) B </v>
      </c>
      <c r="J111" s="17" t="str">
        <f>IF(VLOOKUP(B111,Instruções!$F$6:$J$10,5,0)="",
"ON "&amp;VLOOKUP(B111,Instruções!$F$6:$J$10,4,0)&amp;"_as_is = "&amp;VLOOKUP(B111,Instruções!$F$6:$J$10,4,0)&amp;"_to_be ",
"ON "&amp;VLOOKUP(B111,Instruções!$F$6:$J$10,4,0)&amp;"_as_is = "&amp;VLOOKUP(B111,Instruções!$F$6:$J$10,4,0)&amp;"_to_be AND "&amp;VLOOKUP(B111,Instruções!$F$6:$J$10,5,0)&amp;"_as_is = "&amp;VLOOKUP(B111,Instruções!$F$6:$J$10,5,0)&amp;"_to_be ")</f>
        <v xml:space="preserve">ON instrmnt_id_as_is = instrmnt_id_to_be AND prtctn_id_as_is = prtctn_id_to_be </v>
      </c>
      <c r="K111" s="17" t="str">
        <f t="shared" si="15"/>
        <v xml:space="preserve">WHERE coalesce(cast(prtctn_allctd_vl_as_is as string), '') &lt;&gt; coalesce(cast(prtctn_allctd_vl_to_be as string), '') </v>
      </c>
      <c r="L111" s="17" t="str">
        <f t="shared" si="16"/>
        <v xml:space="preserve">SELECT count(*) AS NUM_REG_DIF FROM (SELECT instrmnt_id as instrmnt_id_as_is, prtctn_id as prtctn_id_as_is,prtctn_allctd_vl as prtctn_allctd_vl_as_is FROM cd_loan_tapes_bce.lt006_instr_prot WHERE ref_date='2025-06-30' AND nome_perimetro= 'Individual IDComb' AND segmento= 'ESTR' AND ambito= 'PM' AND entidade='00100' AND cod_visao = 1) A  Inner join (SELECT instrmnt_id as instrmnt_id_to_be, prtctn_id as prtctn_id_to_be,prtctn_allctd_vl as prtctn_allctd_vl_to_be FROM bu_loantape_work.lt006_instr_prot WHERE ref_date='2025-06-30' AND nome_perimetro= 'Individual IDComb' AND segmento= 'ESTR' AND ambito= 'PM' AND entidade='00100' AND cod_visao = 1) B ON instrmnt_id_as_is = instrmnt_id_to_be AND prtctn_id_as_is = prtctn_id_to_be WHERE coalesce(cast(prtctn_allctd_vl_as_is as string), '') &lt;&gt; coalesce(cast(prtctn_allctd_vl_to_be as string), '') </v>
      </c>
      <c r="M111" s="17" t="s">
        <v>48</v>
      </c>
      <c r="N111" s="17" t="str">
        <f>"SELECT 'Validação de campos' as tipologia_teste, '"&amp;VLOOKUP(B111,Instruções!$F$6:$J$10,3,0)&amp;"' AS TABELA, '"&amp;E111&amp;"' AS CAMPO, '"&amp;Instruções!$D$7&amp;"' as ref_date, coalesce(NUM_REG_DIF, 0) AS NUM_REG_DIF FROM ("&amp;L111&amp;") A "</f>
        <v xml:space="preserve">SELECT 'Validação de campos' as tipologia_teste, 'lt006_instr_prot' AS TABELA, 'prtctn_allctd_vl' AS CAMPO, '2025-06-30' as ref_date, coalesce(NUM_REG_DIF, 0) AS NUM_REG_DIF FROM (SELECT count(*) AS NUM_REG_DIF FROM (SELECT instrmnt_id as instrmnt_id_as_is, prtctn_id as prtctn_id_as_is,prtctn_allctd_vl as prtctn_allctd_vl_as_is FROM cd_loan_tapes_bce.lt006_instr_prot WHERE ref_date='2025-06-30' AND nome_perimetro= 'Individual IDComb' AND segmento= 'ESTR' AND ambito= 'PM' AND entidade='00100' AND cod_visao = 1) A  Inner join (SELECT instrmnt_id as instrmnt_id_to_be, prtctn_id as prtctn_id_to_be,prtctn_allctd_vl as prtctn_allctd_vl_to_be FROM bu_loantape_work.lt006_instr_prot WHERE ref_date='2025-06-30' AND nome_perimetro= 'Individual IDComb' AND segmento= 'ESTR' AND ambito= 'PM' AND entidade='00100' AND cod_visao = 1) B ON instrmnt_id_as_is = instrmnt_id_to_be AND prtctn_id_as_is = prtctn_id_to_be WHERE coalesce(cast(prtctn_allctd_vl_as_is as string), '') &lt;&gt; coalesce(cast(prtctn_allctd_vl_to_be as string), '') ) A </v>
      </c>
      <c r="O111" s="19" t="str">
        <f t="shared" si="12"/>
        <v xml:space="preserve">SELECT 'Validação de campos' as tipologia_teste, 'lt006_instr_prot' AS TABELA, 'prtctn_allctd_vl' AS CAMPO, '2025-06-30' as ref_date, coalesce(NUM_REG_DIF, 0) AS NUM_REG_DIF FROM (SELECT count(*) AS NUM_REG_DIF FROM (SELECT instrmnt_id as instrmnt_id_as_is, prtctn_id as prtctn_id_as_is,prtctn_allctd_vl as prtctn_allctd_vl_as_is FROM cd_loan_tapes_bce.lt006_instr_prot WHERE ref_date='2025-06-30' AND nome_perimetro= 'Individual IDComb' AND segmento= 'ESTR' AND ambito= 'PM' AND entidade='00100' AND cod_visao = 1) A  Inner join (SELECT instrmnt_id as instrmnt_id_to_be, prtctn_id as prtctn_id_to_be,prtctn_allctd_vl as prtctn_allctd_vl_to_be FROM bu_loantape_work.lt006_instr_prot WHERE ref_date='2025-06-30' AND nome_perimetro= 'Individual IDComb' AND segmento= 'ESTR' AND ambito= 'PM' AND entidade='00100' AND cod_visao = 1) B ON instrmnt_id_as_is = instrmnt_id_to_be AND prtctn_id_as_is = prtctn_id_to_be WHERE coalesce(cast(prtctn_allctd_vl_as_is as string), '') &lt;&gt; coalesce(cast(prtctn_allctd_vl_to_be as string), '') ) A </v>
      </c>
      <c r="P111" s="17">
        <f t="shared" si="22"/>
        <v>57</v>
      </c>
    </row>
    <row r="112" spans="2:16" s="15" customFormat="1" ht="11.5" x14ac:dyDescent="0.25"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9"/>
      <c r="P112" s="18"/>
    </row>
    <row r="113" spans="2:16" s="15" customFormat="1" ht="11.5" x14ac:dyDescent="0.25">
      <c r="B113" s="17" t="s">
        <v>19</v>
      </c>
      <c r="C113" s="17" t="str">
        <f>_xlfn.CONCAT(Instruções!$D$5,".",VLOOKUP(B113,Instruções!$F$5:$H$10,2,0))</f>
        <v>cd_loan_tapes_bce.lt006_instr_prot</v>
      </c>
      <c r="D113" s="17" t="str">
        <f>_xlfn.CONCAT(Instruções!$D$6,".",VLOOKUP(B113,Instruções!$F$5:$H$10,3,0))</f>
        <v>bu_loantape_work.lt006_instr_prot</v>
      </c>
      <c r="E113" s="17" t="s">
        <v>145</v>
      </c>
      <c r="F113" s="17" t="str">
        <f t="shared" si="13"/>
        <v>thrd_prty_prrty_clms_as_is</v>
      </c>
      <c r="G113" s="17" t="str">
        <f t="shared" si="14"/>
        <v>thrd_prty_prrty_clms_to_be</v>
      </c>
      <c r="H113" s="17" t="str">
        <f>IF(VLOOKUP(B113,Instruções!$F$6:$J$10,5,0)="",
"(SELECT "&amp;VLOOKUP(B113,Instruções!$F$6:$J$10,4,0)&amp;" as "&amp;VLOOKUP(B113,Instruções!$F$6:$J$10,4,0)&amp;"_as_is, "&amp;E113&amp;" as "&amp;F113&amp;" FROM "&amp;C113&amp;" WHERE "&amp;Instruções!$D$11&amp;") A ",
"(SELECT "&amp;VLOOKUP(B113,Instruções!$F$6:$J$10,4,0)&amp;" as "&amp;VLOOKUP(B113,Instruções!$F$6:$J$10,4,0)&amp;"_as_is, "&amp;VLOOKUP(B113,Instruções!$F$6:$J$10,5,0)&amp;" as "&amp;VLOOKUP(B113,Instruções!$F$6:$J$10,5,0)&amp;"_as_is,"&amp;E113&amp;" as "&amp;F113&amp;" FROM "&amp;C113&amp;" WHERE "&amp;Instruções!$D$11&amp;") A ")</f>
        <v xml:space="preserve">(SELECT instrmnt_id as instrmnt_id_as_is, prtctn_id as prtctn_id_as_is,thrd_prty_prrty_clms as thrd_prty_prrty_clms_as_is FROM cd_loan_tapes_bce.lt006_instr_prot WHERE ref_date='2025-06-30' AND nome_perimetro= 'Individual IDComb' AND segmento= 'ESTR' AND ambito= 'PM' AND entidade='00100' AND cod_visao = 1) A </v>
      </c>
      <c r="I113" s="17" t="str">
        <f>IF(VLOOKUP(B113,Instruções!$F$6:$J$10,5,0)="",
"(SELECT "&amp;VLOOKUP(B113,Instruções!$F$6:$J$10,4,0)&amp;" as "&amp;VLOOKUP(B113,Instruções!$F$6:$J$10,4,0)&amp;"_to_be, "&amp;E113&amp;" as "&amp;G113&amp;" FROM "&amp;D113&amp;" WHERE "&amp;Instruções!$D$11&amp;") B ",
"(SELECT "&amp;VLOOKUP(B113,Instruções!$F$6:$J$10,4,0)&amp;" as "&amp;VLOOKUP(B113,Instruções!$F$6:$J$10,4,0)&amp;"_to_be, "&amp;VLOOKUP(B113,Instruções!$F$6:$J$10,5,0)&amp;" as "&amp;VLOOKUP(B113,Instruções!$F$6:$J$10,5,0)&amp;"_to_be,"&amp;E113&amp;" as "&amp;G113&amp;" FROM "&amp;D113&amp;" WHERE "&amp;Instruções!$D$11&amp;") B ")</f>
        <v xml:space="preserve">(SELECT instrmnt_id as instrmnt_id_to_be, prtctn_id as prtctn_id_to_be,thrd_prty_prrty_clms as thrd_prty_prrty_clms_to_be FROM bu_loantape_work.lt006_instr_prot WHERE ref_date='2025-06-30' AND nome_perimetro= 'Individual IDComb' AND segmento= 'ESTR' AND ambito= 'PM' AND entidade='00100' AND cod_visao = 1) B </v>
      </c>
      <c r="J113" s="17" t="str">
        <f>IF(VLOOKUP(B113,Instruções!$F$6:$J$10,5,0)="",
"ON "&amp;VLOOKUP(B113,Instruções!$F$6:$J$10,4,0)&amp;"_as_is = "&amp;VLOOKUP(B113,Instruções!$F$6:$J$10,4,0)&amp;"_to_be ",
"ON "&amp;VLOOKUP(B113,Instruções!$F$6:$J$10,4,0)&amp;"_as_is = "&amp;VLOOKUP(B113,Instruções!$F$6:$J$10,4,0)&amp;"_to_be AND "&amp;VLOOKUP(B113,Instruções!$F$6:$J$10,5,0)&amp;"_as_is = "&amp;VLOOKUP(B113,Instruções!$F$6:$J$10,5,0)&amp;"_to_be ")</f>
        <v xml:space="preserve">ON instrmnt_id_as_is = instrmnt_id_to_be AND prtctn_id_as_is = prtctn_id_to_be </v>
      </c>
      <c r="K113" s="17" t="str">
        <f t="shared" si="15"/>
        <v xml:space="preserve">WHERE coalesce(cast(thrd_prty_prrty_clms_as_is as string), '') &lt;&gt; coalesce(cast(thrd_prty_prrty_clms_to_be as string), '') </v>
      </c>
      <c r="L113" s="17" t="str">
        <f t="shared" si="16"/>
        <v xml:space="preserve">SELECT count(*) AS NUM_REG_DIF FROM (SELECT instrmnt_id as instrmnt_id_as_is, prtctn_id as prtctn_id_as_is,thrd_prty_prrty_clms as thrd_prty_prrty_clms_as_is FROM cd_loan_tapes_bce.lt006_instr_prot WHERE ref_date='2025-06-30' AND nome_perimetro= 'Individual IDComb' AND segmento= 'ESTR' AND ambito= 'PM' AND entidade='00100' AND cod_visao = 1) A  Inner join (SELECT instrmnt_id as instrmnt_id_to_be, prtctn_id as prtctn_id_to_be,thrd_prty_prrty_clms as thrd_prty_prrty_clms_to_be FROM bu_loantape_work.lt006_instr_prot WHERE ref_date='2025-06-30' AND nome_perimetro= 'Individual IDComb' AND segmento= 'ESTR' AND ambito= 'PM' AND entidade='00100' AND cod_visao = 1) B ON instrmnt_id_as_is = instrmnt_id_to_be AND prtctn_id_as_is = prtctn_id_to_be WHERE coalesce(cast(thrd_prty_prrty_clms_as_is as string), '') &lt;&gt; coalesce(cast(thrd_prty_prrty_clms_to_be as string), '') </v>
      </c>
      <c r="M113" s="17" t="s">
        <v>48</v>
      </c>
      <c r="N113" s="17" t="str">
        <f>"SELECT 'Validação de campos' as tipologia_teste, '"&amp;VLOOKUP(B113,Instruções!$F$6:$J$10,3,0)&amp;"' AS TABELA, '"&amp;E113&amp;"' AS CAMPO, '"&amp;Instruções!$D$7&amp;"' as ref_date, coalesce(NUM_REG_DIF, 0) AS NUM_REG_DIF FROM ("&amp;L113&amp;") A "</f>
        <v xml:space="preserve">SELECT 'Validação de campos' as tipologia_teste, 'lt006_instr_prot' AS TABELA, 'thrd_prty_prrty_clms' AS CAMPO, '2025-06-30' as ref_date, coalesce(NUM_REG_DIF, 0) AS NUM_REG_DIF FROM (SELECT count(*) AS NUM_REG_DIF FROM (SELECT instrmnt_id as instrmnt_id_as_is, prtctn_id as prtctn_id_as_is,thrd_prty_prrty_clms as thrd_prty_prrty_clms_as_is FROM cd_loan_tapes_bce.lt006_instr_prot WHERE ref_date='2025-06-30' AND nome_perimetro= 'Individual IDComb' AND segmento= 'ESTR' AND ambito= 'PM' AND entidade='00100' AND cod_visao = 1) A  Inner join (SELECT instrmnt_id as instrmnt_id_to_be, prtctn_id as prtctn_id_to_be,thrd_prty_prrty_clms as thrd_prty_prrty_clms_to_be FROM bu_loantape_work.lt006_instr_prot WHERE ref_date='2025-06-30' AND nome_perimetro= 'Individual IDComb' AND segmento= 'ESTR' AND ambito= 'PM' AND entidade='00100' AND cod_visao = 1) B ON instrmnt_id_as_is = instrmnt_id_to_be AND prtctn_id_as_is = prtctn_id_to_be WHERE coalesce(cast(thrd_prty_prrty_clms_as_is as string), '') &lt;&gt; coalesce(cast(thrd_prty_prrty_clms_to_be as string), '') ) A </v>
      </c>
      <c r="O113" s="19" t="str">
        <f>IF(O115="",N113,N113&amp;$O$3)</f>
        <v>SELECT 'Validação de campos' as tipologia_teste, 'lt006_instr_prot' AS TABELA, 'thrd_prty_prrty_clms' AS CAMPO, '2025-06-30' as ref_date, coalesce(NUM_REG_DIF, 0) AS NUM_REG_DIF FROM (SELECT count(*) AS NUM_REG_DIF FROM (SELECT instrmnt_id as instrmnt_id_as_is, prtctn_id as prtctn_id_as_is,thrd_prty_prrty_clms as thrd_prty_prrty_clms_as_is FROM cd_loan_tapes_bce.lt006_instr_prot WHERE ref_date='2025-06-30' AND nome_perimetro= 'Individual IDComb' AND segmento= 'ESTR' AND ambito= 'PM' AND entidade='00100' AND cod_visao = 1) A  Inner join (SELECT instrmnt_id as instrmnt_id_to_be, prtctn_id as prtctn_id_to_be,thrd_prty_prrty_clms as thrd_prty_prrty_clms_to_be FROM bu_loantape_work.lt006_instr_prot WHERE ref_date='2025-06-30' AND nome_perimetro= 'Individual IDComb' AND segmento= 'ESTR' AND ambito= 'PM' AND entidade='00100' AND cod_visao = 1) B ON instrmnt_id_as_is = instrmnt_id_to_be AND prtctn_id_as_is = prtctn_id_to_be WHERE coalesce(cast(thrd_prty_prrty_clms_as_is as string), '') &lt;&gt; coalesce(cast(thrd_prty_prrty_clms_to_be as string), '') ) A UNION ALL</v>
      </c>
      <c r="P113" s="17">
        <f t="shared" si="17"/>
        <v>1</v>
      </c>
    </row>
    <row r="114" spans="2:16" s="15" customFormat="1" ht="11.5" x14ac:dyDescent="0.25">
      <c r="B114" s="17" t="s">
        <v>19</v>
      </c>
      <c r="C114" s="17" t="str">
        <f>_xlfn.CONCAT(Instruções!$D$5,".",VLOOKUP(B114,Instruções!$F$5:$H$10,2,0))</f>
        <v>cd_loan_tapes_bce.lt006_instr_prot</v>
      </c>
      <c r="D114" s="17" t="str">
        <f>_xlfn.CONCAT(Instruções!$D$6,".",VLOOKUP(B114,Instruções!$F$5:$H$10,3,0))</f>
        <v>bu_loantape_work.lt006_instr_prot</v>
      </c>
      <c r="E114" s="17" t="s">
        <v>362</v>
      </c>
      <c r="F114" s="17" t="str">
        <f t="shared" ref="F114" si="23">E114&amp;"_as_is"</f>
        <v>grp_spprt_as_is</v>
      </c>
      <c r="G114" s="17" t="str">
        <f t="shared" ref="G114" si="24">E114&amp;"_to_be"</f>
        <v>grp_spprt_to_be</v>
      </c>
      <c r="H114" s="17" t="str">
        <f>IF(VLOOKUP(B114,Instruções!$F$6:$J$10,5,0)="",
"(SELECT "&amp;VLOOKUP(B114,Instruções!$F$6:$J$10,4,0)&amp;" as "&amp;VLOOKUP(B114,Instruções!$F$6:$J$10,4,0)&amp;"_as_is, "&amp;E114&amp;" as "&amp;F114&amp;" FROM "&amp;C114&amp;" WHERE "&amp;Instruções!$D$11&amp;") A ",
"(SELECT "&amp;VLOOKUP(B114,Instruções!$F$6:$J$10,4,0)&amp;" as "&amp;VLOOKUP(B114,Instruções!$F$6:$J$10,4,0)&amp;"_as_is, "&amp;VLOOKUP(B114,Instruções!$F$6:$J$10,5,0)&amp;" as "&amp;VLOOKUP(B114,Instruções!$F$6:$J$10,5,0)&amp;"_as_is,"&amp;E114&amp;" as "&amp;F114&amp;" FROM "&amp;C114&amp;" WHERE "&amp;Instruções!$D$11&amp;") A ")</f>
        <v xml:space="preserve">(SELECT instrmnt_id as instrmnt_id_as_is, prtctn_id as prtctn_id_as_is,grp_spprt as grp_spprt_as_is FROM cd_loan_tapes_bce.lt006_instr_prot WHERE ref_date='2025-06-30' AND nome_perimetro= 'Individual IDComb' AND segmento= 'ESTR' AND ambito= 'PM' AND entidade='00100' AND cod_visao = 1) A </v>
      </c>
      <c r="I114" s="17" t="str">
        <f>IF(VLOOKUP(B114,Instruções!$F$6:$J$10,5,0)="",
"(SELECT "&amp;VLOOKUP(B114,Instruções!$F$6:$J$10,4,0)&amp;" as "&amp;VLOOKUP(B114,Instruções!$F$6:$J$10,4,0)&amp;"_to_be, "&amp;E114&amp;" as "&amp;G114&amp;" FROM "&amp;D114&amp;" WHERE "&amp;Instruções!$D$11&amp;") B ",
"(SELECT "&amp;VLOOKUP(B114,Instruções!$F$6:$J$10,4,0)&amp;" as "&amp;VLOOKUP(B114,Instruções!$F$6:$J$10,4,0)&amp;"_to_be, "&amp;VLOOKUP(B114,Instruções!$F$6:$J$10,5,0)&amp;" as "&amp;VLOOKUP(B114,Instruções!$F$6:$J$10,5,0)&amp;"_to_be,"&amp;E114&amp;" as "&amp;G114&amp;" FROM "&amp;D114&amp;" WHERE "&amp;Instruções!$D$11&amp;") B ")</f>
        <v xml:space="preserve">(SELECT instrmnt_id as instrmnt_id_to_be, prtctn_id as prtctn_id_to_be,grp_spprt as grp_spprt_to_be FROM bu_loantape_work.lt006_instr_prot WHERE ref_date='2025-06-30' AND nome_perimetro= 'Individual IDComb' AND segmento= 'ESTR' AND ambito= 'PM' AND entidade='00100' AND cod_visao = 1) B </v>
      </c>
      <c r="J114" s="17" t="str">
        <f>IF(VLOOKUP(B114,Instruções!$F$6:$J$10,5,0)="",
"ON "&amp;VLOOKUP(B114,Instruções!$F$6:$J$10,4,0)&amp;"_as_is = "&amp;VLOOKUP(B114,Instruções!$F$6:$J$10,4,0)&amp;"_to_be ",
"ON "&amp;VLOOKUP(B114,Instruções!$F$6:$J$10,4,0)&amp;"_as_is = "&amp;VLOOKUP(B114,Instruções!$F$6:$J$10,4,0)&amp;"_to_be AND "&amp;VLOOKUP(B114,Instruções!$F$6:$J$10,5,0)&amp;"_as_is = "&amp;VLOOKUP(B114,Instruções!$F$6:$J$10,5,0)&amp;"_to_be ")</f>
        <v xml:space="preserve">ON instrmnt_id_as_is = instrmnt_id_to_be AND prtctn_id_as_is = prtctn_id_to_be </v>
      </c>
      <c r="K114" s="17" t="str">
        <f t="shared" ref="K114" si="25">"WHERE coalesce(cast("&amp;F114&amp;" as string), '') &lt;&gt; coalesce(cast("&amp;G114&amp;" as string), '') "</f>
        <v xml:space="preserve">WHERE coalesce(cast(grp_spprt_as_is as string), '') &lt;&gt; coalesce(cast(grp_spprt_to_be as string), '') </v>
      </c>
      <c r="L114" s="17" t="str">
        <f t="shared" ref="L114" si="26">"SELECT count(*) AS NUM_REG_DIF FROM "&amp;H114&amp;" Inner join "&amp;I114&amp;J114&amp;K114</f>
        <v xml:space="preserve">SELECT count(*) AS NUM_REG_DIF FROM (SELECT instrmnt_id as instrmnt_id_as_is, prtctn_id as prtctn_id_as_is,grp_spprt as grp_spprt_as_is FROM cd_loan_tapes_bce.lt006_instr_prot WHERE ref_date='2025-06-30' AND nome_perimetro= 'Individual IDComb' AND segmento= 'ESTR' AND ambito= 'PM' AND entidade='00100' AND cod_visao = 1) A  Inner join (SELECT instrmnt_id as instrmnt_id_to_be, prtctn_id as prtctn_id_to_be,grp_spprt as grp_spprt_to_be FROM bu_loantape_work.lt006_instr_prot WHERE ref_date='2025-06-30' AND nome_perimetro= 'Individual IDComb' AND segmento= 'ESTR' AND ambito= 'PM' AND entidade='00100' AND cod_visao = 1) B ON instrmnt_id_as_is = instrmnt_id_to_be AND prtctn_id_as_is = prtctn_id_to_be WHERE coalesce(cast(grp_spprt_as_is as string), '') &lt;&gt; coalesce(cast(grp_spprt_to_be as string), '') </v>
      </c>
      <c r="M114" s="17" t="s">
        <v>48</v>
      </c>
      <c r="N114" s="17" t="str">
        <f>"SELECT 'Validação de campos' as tipologia_teste, '"&amp;VLOOKUP(B114,Instruções!$F$6:$J$10,3,0)&amp;"' AS TABELA, '"&amp;E114&amp;"' AS CAMPO, '"&amp;Instruções!$D$7&amp;"' as ref_date, coalesce(NUM_REG_DIF, 0) AS NUM_REG_DIF FROM ("&amp;L114&amp;") A "</f>
        <v xml:space="preserve">SELECT 'Validação de campos' as tipologia_teste, 'lt006_instr_prot' AS TABELA, 'grp_spprt' AS CAMPO, '2025-06-30' as ref_date, coalesce(NUM_REG_DIF, 0) AS NUM_REG_DIF FROM (SELECT count(*) AS NUM_REG_DIF FROM (SELECT instrmnt_id as instrmnt_id_as_is, prtctn_id as prtctn_id_as_is,grp_spprt as grp_spprt_as_is FROM cd_loan_tapes_bce.lt006_instr_prot WHERE ref_date='2025-06-30' AND nome_perimetro= 'Individual IDComb' AND segmento= 'ESTR' AND ambito= 'PM' AND entidade='00100' AND cod_visao = 1) A  Inner join (SELECT instrmnt_id as instrmnt_id_to_be, prtctn_id as prtctn_id_to_be,grp_spprt as grp_spprt_to_be FROM bu_loantape_work.lt006_instr_prot WHERE ref_date='2025-06-30' AND nome_perimetro= 'Individual IDComb' AND segmento= 'ESTR' AND ambito= 'PM' AND entidade='00100' AND cod_visao = 1) B ON instrmnt_id_as_is = instrmnt_id_to_be AND prtctn_id_as_is = prtctn_id_to_be WHERE coalesce(cast(grp_spprt_as_is as string), '') &lt;&gt; coalesce(cast(grp_spprt_to_be as string), '') ) A </v>
      </c>
      <c r="O114" s="19" t="str">
        <f>IF(O116="",N114,N114&amp;$O$3)</f>
        <v>SELECT 'Validação de campos' as tipologia_teste, 'lt006_instr_prot' AS TABELA, 'grp_spprt' AS CAMPO, '2025-06-30' as ref_date, coalesce(NUM_REG_DIF, 0) AS NUM_REG_DIF FROM (SELECT count(*) AS NUM_REG_DIF FROM (SELECT instrmnt_id as instrmnt_id_as_is, prtctn_id as prtctn_id_as_is,grp_spprt as grp_spprt_as_is FROM cd_loan_tapes_bce.lt006_instr_prot WHERE ref_date='2025-06-30' AND nome_perimetro= 'Individual IDComb' AND segmento= 'ESTR' AND ambito= 'PM' AND entidade='00100' AND cod_visao = 1) A  Inner join (SELECT instrmnt_id as instrmnt_id_to_be, prtctn_id as prtctn_id_to_be,grp_spprt as grp_spprt_to_be FROM bu_loantape_work.lt006_instr_prot WHERE ref_date='2025-06-30' AND nome_perimetro= 'Individual IDComb' AND segmento= 'ESTR' AND ambito= 'PM' AND entidade='00100' AND cod_visao = 1) B ON instrmnt_id_as_is = instrmnt_id_to_be AND prtctn_id_as_is = prtctn_id_to_be WHERE coalesce(cast(grp_spprt_as_is as string), '') &lt;&gt; coalesce(cast(grp_spprt_to_be as string), '') ) A UNION ALL</v>
      </c>
      <c r="P114" s="17">
        <f t="shared" si="17"/>
        <v>2</v>
      </c>
    </row>
    <row r="115" spans="2:16" s="15" customFormat="1" ht="11.5" x14ac:dyDescent="0.25">
      <c r="B115" s="17" t="s">
        <v>24</v>
      </c>
      <c r="C115" s="17" t="str">
        <f>_xlfn.CONCAT(Instruções!$D$5,".",VLOOKUP(B115,Instruções!$F$5:$H$10,2,0))</f>
        <v>cd_loan_tapes_bce.lt002_instrument</v>
      </c>
      <c r="D115" s="17" t="str">
        <f>_xlfn.CONCAT(Instruções!$D$6,".",VLOOKUP(B115,Instruções!$F$5:$H$10,3,0))</f>
        <v>bu_loantape_work.lt002_instrument</v>
      </c>
      <c r="E115" s="17" t="s">
        <v>146</v>
      </c>
      <c r="F115" s="17" t="str">
        <f t="shared" si="13"/>
        <v>accmltd_chngs_fv_cr_instrmnt_as_is</v>
      </c>
      <c r="G115" s="17" t="str">
        <f t="shared" si="14"/>
        <v>accmltd_chngs_fv_cr_instrmnt_to_be</v>
      </c>
      <c r="H115" s="17" t="str">
        <f>IF(VLOOKUP(B115,Instruções!$F$6:$J$10,5,0)="",
"(SELECT "&amp;VLOOKUP(B115,Instruções!$F$6:$J$10,4,0)&amp;" as "&amp;VLOOKUP(B115,Instruções!$F$6:$J$10,4,0)&amp;"_as_is, "&amp;E115&amp;" as "&amp;F115&amp;" FROM "&amp;C115&amp;" WHERE "&amp;Instruções!$D$11&amp;") A ",
"(SELECT "&amp;VLOOKUP(B115,Instruções!$F$6:$J$10,4,0)&amp;" as "&amp;VLOOKUP(B115,Instruções!$F$6:$J$10,4,0)&amp;"_as_is, "&amp;VLOOKUP(B115,Instruções!$F$6:$J$10,5,0)&amp;" as "&amp;VLOOKUP(B115,Instruções!$F$6:$J$10,5,0)&amp;"_as_is,"&amp;E115&amp;" as "&amp;F115&amp;" FROM "&amp;C115&amp;" WHERE "&amp;Instruções!$D$11&amp;") A ")</f>
        <v xml:space="preserve">(SELECT instrmnt_id as instrmnt_id_as_is, accmltd_chngs_fv_cr_instrmnt as accmltd_chngs_fv_cr_instrmnt_as_is FROM cd_loan_tapes_bce.lt002_instrument WHERE ref_date='2025-06-30' AND nome_perimetro= 'Individual IDComb' AND segmento= 'ESTR' AND ambito= 'PM' AND entidade='00100' AND cod_visao = 1) A </v>
      </c>
      <c r="I115" s="17" t="str">
        <f>IF(VLOOKUP(B115,Instruções!$F$6:$J$10,5,0)="",
"(SELECT "&amp;VLOOKUP(B115,Instruções!$F$6:$J$10,4,0)&amp;" as "&amp;VLOOKUP(B115,Instruções!$F$6:$J$10,4,0)&amp;"_to_be, "&amp;E115&amp;" as "&amp;G115&amp;" FROM "&amp;D115&amp;" WHERE "&amp;Instruções!$D$11&amp;") B ",
"(SELECT "&amp;VLOOKUP(B115,Instruções!$F$6:$J$10,4,0)&amp;" as "&amp;VLOOKUP(B115,Instruções!$F$6:$J$10,4,0)&amp;"_to_be, "&amp;VLOOKUP(B115,Instruções!$F$6:$J$10,5,0)&amp;" as "&amp;VLOOKUP(B115,Instruções!$F$6:$J$10,5,0)&amp;"_to_be,"&amp;E115&amp;" as "&amp;G115&amp;" FROM "&amp;D115&amp;" WHERE "&amp;Instruções!$D$11&amp;") B ")</f>
        <v xml:space="preserve">(SELECT instrmnt_id as instrmnt_id_to_be, accmltd_chngs_fv_cr_instrmnt as accmltd_chngs_fv_cr_instrmnt_to_be FROM bu_loantape_work.lt002_instrument WHERE ref_date='2025-06-30' AND nome_perimetro= 'Individual IDComb' AND segmento= 'ESTR' AND ambito= 'PM' AND entidade='00100' AND cod_visao = 1) B </v>
      </c>
      <c r="J115" s="17" t="str">
        <f>IF(VLOOKUP(B115,Instruções!$F$6:$J$10,5,0)="",
"ON "&amp;VLOOKUP(B115,Instruções!$F$6:$J$10,4,0)&amp;"_as_is = "&amp;VLOOKUP(B115,Instruções!$F$6:$J$10,4,0)&amp;"_to_be ",
"ON "&amp;VLOOKUP(B115,Instruções!$F$6:$J$10,4,0)&amp;"_as_is = "&amp;VLOOKUP(B115,Instruções!$F$6:$J$10,4,0)&amp;"_to_be AND "&amp;VLOOKUP(B115,Instruções!$F$6:$J$10,5,0)&amp;"_as_is = "&amp;VLOOKUP(B115,Instruções!$F$6:$J$10,5,0)&amp;"_to_be ")</f>
        <v xml:space="preserve">ON instrmnt_id_as_is = instrmnt_id_to_be </v>
      </c>
      <c r="K115" s="17" t="str">
        <f t="shared" si="15"/>
        <v xml:space="preserve">WHERE coalesce(cast(accmltd_chngs_fv_cr_instrmnt_as_is as string), '') &lt;&gt; coalesce(cast(accmltd_chngs_fv_cr_instrmnt_to_be as string), '') </v>
      </c>
      <c r="L115" s="17" t="str">
        <f t="shared" si="16"/>
        <v xml:space="preserve">SELECT count(*) AS NUM_REG_DIF FROM (SELECT instrmnt_id as instrmnt_id_as_is, accmltd_chngs_fv_cr_instrmnt as accmltd_chngs_fv_cr_instrmnt_as_is FROM cd_loan_tapes_bce.lt002_instrument WHERE ref_date='2025-06-30' AND nome_perimetro= 'Individual IDComb' AND segmento= 'ESTR' AND ambito= 'PM' AND entidade='00100' AND cod_visao = 1) A  Inner join (SELECT instrmnt_id as instrmnt_id_to_be, accmltd_chngs_fv_cr_instrmnt as accmltd_chngs_fv_cr_instrmnt_to_be FROM bu_loantape_work.lt002_instrument WHERE ref_date='2025-06-30' AND nome_perimetro= 'Individual IDComb' AND segmento= 'ESTR' AND ambito= 'PM' AND entidade='00100' AND cod_visao = 1) B ON instrmnt_id_as_is = instrmnt_id_to_be WHERE coalesce(cast(accmltd_chngs_fv_cr_instrmnt_as_is as string), '') &lt;&gt; coalesce(cast(accmltd_chngs_fv_cr_instrmnt_to_be as string), '') </v>
      </c>
      <c r="M115" s="17" t="s">
        <v>48</v>
      </c>
      <c r="N115" s="17" t="str">
        <f>"SELECT 'Validação de campos' as tipologia_teste, '"&amp;VLOOKUP(B115,Instruções!$F$6:$J$10,3,0)&amp;"' AS TABELA, '"&amp;E115&amp;"' AS CAMPO, '"&amp;Instruções!$D$7&amp;"' as ref_date, coalesce(NUM_REG_DIF, 0) AS NUM_REG_DIF FROM ("&amp;L115&amp;") A "</f>
        <v xml:space="preserve">SELECT 'Validação de campos' as tipologia_teste, 'lt002_instrument' AS TABELA, 'accmltd_chngs_fv_cr_instrmnt' AS CAMPO, '2025-06-30' as ref_date, coalesce(NUM_REG_DIF, 0) AS NUM_REG_DIF FROM (SELECT count(*) AS NUM_REG_DIF FROM (SELECT instrmnt_id as instrmnt_id_as_is, accmltd_chngs_fv_cr_instrmnt as accmltd_chngs_fv_cr_instrmnt_as_is FROM cd_loan_tapes_bce.lt002_instrument WHERE ref_date='2025-06-30' AND nome_perimetro= 'Individual IDComb' AND segmento= 'ESTR' AND ambito= 'PM' AND entidade='00100' AND cod_visao = 1) A  Inner join (SELECT instrmnt_id as instrmnt_id_to_be, accmltd_chngs_fv_cr_instrmnt as accmltd_chngs_fv_cr_instrmnt_to_be FROM bu_loantape_work.lt002_instrument WHERE ref_date='2025-06-30' AND nome_perimetro= 'Individual IDComb' AND segmento= 'ESTR' AND ambito= 'PM' AND entidade='00100' AND cod_visao = 1) B ON instrmnt_id_as_is = instrmnt_id_to_be WHERE coalesce(cast(accmltd_chngs_fv_cr_instrmnt_as_is as string), '') &lt;&gt; coalesce(cast(accmltd_chngs_fv_cr_instrmnt_to_be as string), '') ) A </v>
      </c>
      <c r="O115" s="19" t="str">
        <f t="shared" ref="O115:O132" si="27">IF(O116="",N115,N115&amp;$O$3)</f>
        <v>SELECT 'Validação de campos' as tipologia_teste, 'lt002_instrument' AS TABELA, 'accmltd_chngs_fv_cr_instrmnt' AS CAMPO, '2025-06-30' as ref_date, coalesce(NUM_REG_DIF, 0) AS NUM_REG_DIF FROM (SELECT count(*) AS NUM_REG_DIF FROM (SELECT instrmnt_id as instrmnt_id_as_is, accmltd_chngs_fv_cr_instrmnt as accmltd_chngs_fv_cr_instrmnt_as_is FROM cd_loan_tapes_bce.lt002_instrument WHERE ref_date='2025-06-30' AND nome_perimetro= 'Individual IDComb' AND segmento= 'ESTR' AND ambito= 'PM' AND entidade='00100' AND cod_visao = 1) A  Inner join (SELECT instrmnt_id as instrmnt_id_to_be, accmltd_chngs_fv_cr_instrmnt as accmltd_chngs_fv_cr_instrmnt_to_be FROM bu_loantape_work.lt002_instrument WHERE ref_date='2025-06-30' AND nome_perimetro= 'Individual IDComb' AND segmento= 'ESTR' AND ambito= 'PM' AND entidade='00100' AND cod_visao = 1) B ON instrmnt_id_as_is = instrmnt_id_to_be WHERE coalesce(cast(accmltd_chngs_fv_cr_instrmnt_as_is as string), '') &lt;&gt; coalesce(cast(accmltd_chngs_fv_cr_instrmnt_to_be as string), '') ) A UNION ALL</v>
      </c>
      <c r="P115" s="17">
        <f t="shared" si="17"/>
        <v>3</v>
      </c>
    </row>
    <row r="116" spans="2:16" s="15" customFormat="1" ht="11.5" x14ac:dyDescent="0.25">
      <c r="B116" s="17" t="s">
        <v>24</v>
      </c>
      <c r="C116" s="17" t="str">
        <f>_xlfn.CONCAT(Instruções!$D$5,".",VLOOKUP(B116,Instruções!$F$5:$H$10,2,0))</f>
        <v>cd_loan_tapes_bce.lt002_instrument</v>
      </c>
      <c r="D116" s="17" t="str">
        <f>_xlfn.CONCAT(Instruções!$D$6,".",VLOOKUP(B116,Instruções!$F$5:$H$10,3,0))</f>
        <v>bu_loantape_work.lt002_instrument</v>
      </c>
      <c r="E116" s="17" t="s">
        <v>147</v>
      </c>
      <c r="F116" s="17" t="str">
        <f t="shared" si="13"/>
        <v>accmltd_imprmnt_instrmnt_as_is</v>
      </c>
      <c r="G116" s="17" t="str">
        <f t="shared" si="14"/>
        <v>accmltd_imprmnt_instrmnt_to_be</v>
      </c>
      <c r="H116" s="17" t="str">
        <f>IF(VLOOKUP(B116,Instruções!$F$6:$J$10,5,0)="",
"(SELECT "&amp;VLOOKUP(B116,Instruções!$F$6:$J$10,4,0)&amp;" as "&amp;VLOOKUP(B116,Instruções!$F$6:$J$10,4,0)&amp;"_as_is, "&amp;E116&amp;" as "&amp;F116&amp;" FROM "&amp;C116&amp;" WHERE "&amp;Instruções!$D$11&amp;") A ",
"(SELECT "&amp;VLOOKUP(B116,Instruções!$F$6:$J$10,4,0)&amp;" as "&amp;VLOOKUP(B116,Instruções!$F$6:$J$10,4,0)&amp;"_as_is, "&amp;VLOOKUP(B116,Instruções!$F$6:$J$10,5,0)&amp;" as "&amp;VLOOKUP(B116,Instruções!$F$6:$J$10,5,0)&amp;"_as_is,"&amp;E116&amp;" as "&amp;F116&amp;" FROM "&amp;C116&amp;" WHERE "&amp;Instruções!$D$11&amp;") A ")</f>
        <v xml:space="preserve">(SELECT instrmnt_id as instrmnt_id_as_is, accmltd_imprmnt_instrmnt as accmltd_imprmnt_instrmnt_as_is FROM cd_loan_tapes_bce.lt002_instrument WHERE ref_date='2025-06-30' AND nome_perimetro= 'Individual IDComb' AND segmento= 'ESTR' AND ambito= 'PM' AND entidade='00100' AND cod_visao = 1) A </v>
      </c>
      <c r="I116" s="17" t="str">
        <f>IF(VLOOKUP(B116,Instruções!$F$6:$J$10,5,0)="",
"(SELECT "&amp;VLOOKUP(B116,Instruções!$F$6:$J$10,4,0)&amp;" as "&amp;VLOOKUP(B116,Instruções!$F$6:$J$10,4,0)&amp;"_to_be, "&amp;E116&amp;" as "&amp;G116&amp;" FROM "&amp;D116&amp;" WHERE "&amp;Instruções!$D$11&amp;") B ",
"(SELECT "&amp;VLOOKUP(B116,Instruções!$F$6:$J$10,4,0)&amp;" as "&amp;VLOOKUP(B116,Instruções!$F$6:$J$10,4,0)&amp;"_to_be, "&amp;VLOOKUP(B116,Instruções!$F$6:$J$10,5,0)&amp;" as "&amp;VLOOKUP(B116,Instruções!$F$6:$J$10,5,0)&amp;"_to_be,"&amp;E116&amp;" as "&amp;G116&amp;" FROM "&amp;D116&amp;" WHERE "&amp;Instruções!$D$11&amp;") B ")</f>
        <v xml:space="preserve">(SELECT instrmnt_id as instrmnt_id_to_be, accmltd_imprmnt_instrmnt as accmltd_imprmnt_instrmnt_to_be FROM bu_loantape_work.lt002_instrument WHERE ref_date='2025-06-30' AND nome_perimetro= 'Individual IDComb' AND segmento= 'ESTR' AND ambito= 'PM' AND entidade='00100' AND cod_visao = 1) B </v>
      </c>
      <c r="J116" s="17" t="str">
        <f>IF(VLOOKUP(B116,Instruções!$F$6:$J$10,5,0)="",
"ON "&amp;VLOOKUP(B116,Instruções!$F$6:$J$10,4,0)&amp;"_as_is = "&amp;VLOOKUP(B116,Instruções!$F$6:$J$10,4,0)&amp;"_to_be ",
"ON "&amp;VLOOKUP(B116,Instruções!$F$6:$J$10,4,0)&amp;"_as_is = "&amp;VLOOKUP(B116,Instruções!$F$6:$J$10,4,0)&amp;"_to_be AND "&amp;VLOOKUP(B116,Instruções!$F$6:$J$10,5,0)&amp;"_as_is = "&amp;VLOOKUP(B116,Instruções!$F$6:$J$10,5,0)&amp;"_to_be ")</f>
        <v xml:space="preserve">ON instrmnt_id_as_is = instrmnt_id_to_be </v>
      </c>
      <c r="K116" s="17" t="str">
        <f t="shared" si="15"/>
        <v xml:space="preserve">WHERE coalesce(cast(accmltd_imprmnt_instrmnt_as_is as string), '') &lt;&gt; coalesce(cast(accmltd_imprmnt_instrmnt_to_be as string), '') </v>
      </c>
      <c r="L116" s="17" t="str">
        <f t="shared" si="16"/>
        <v xml:space="preserve">SELECT count(*) AS NUM_REG_DIF FROM (SELECT instrmnt_id as instrmnt_id_as_is, accmltd_imprmnt_instrmnt as accmltd_imprmnt_instrmnt_as_is FROM cd_loan_tapes_bce.lt002_instrument WHERE ref_date='2025-06-30' AND nome_perimetro= 'Individual IDComb' AND segmento= 'ESTR' AND ambito= 'PM' AND entidade='00100' AND cod_visao = 1) A  Inner join (SELECT instrmnt_id as instrmnt_id_to_be, accmltd_imprmnt_instrmnt as accmltd_imprmnt_instrmnt_to_be FROM bu_loantape_work.lt002_instrument WHERE ref_date='2025-06-30' AND nome_perimetro= 'Individual IDComb' AND segmento= 'ESTR' AND ambito= 'PM' AND entidade='00100' AND cod_visao = 1) B ON instrmnt_id_as_is = instrmnt_id_to_be WHERE coalesce(cast(accmltd_imprmnt_instrmnt_as_is as string), '') &lt;&gt; coalesce(cast(accmltd_imprmnt_instrmnt_to_be as string), '') </v>
      </c>
      <c r="M116" s="17" t="s">
        <v>48</v>
      </c>
      <c r="N116" s="17" t="str">
        <f>"SELECT 'Validação de campos' as tipologia_teste, '"&amp;VLOOKUP(B116,Instruções!$F$6:$J$10,3,0)&amp;"' AS TABELA, '"&amp;E116&amp;"' AS CAMPO, '"&amp;Instruções!$D$7&amp;"' as ref_date, coalesce(NUM_REG_DIF, 0) AS NUM_REG_DIF FROM ("&amp;L116&amp;") A "</f>
        <v xml:space="preserve">SELECT 'Validação de campos' as tipologia_teste, 'lt002_instrument' AS TABELA, 'accmltd_imprmnt_instrmnt' AS CAMPO, '2025-06-30' as ref_date, coalesce(NUM_REG_DIF, 0) AS NUM_REG_DIF FROM (SELECT count(*) AS NUM_REG_DIF FROM (SELECT instrmnt_id as instrmnt_id_as_is, accmltd_imprmnt_instrmnt as accmltd_imprmnt_instrmnt_as_is FROM cd_loan_tapes_bce.lt002_instrument WHERE ref_date='2025-06-30' AND nome_perimetro= 'Individual IDComb' AND segmento= 'ESTR' AND ambito= 'PM' AND entidade='00100' AND cod_visao = 1) A  Inner join (SELECT instrmnt_id as instrmnt_id_to_be, accmltd_imprmnt_instrmnt as accmltd_imprmnt_instrmnt_to_be FROM bu_loantape_work.lt002_instrument WHERE ref_date='2025-06-30' AND nome_perimetro= 'Individual IDComb' AND segmento= 'ESTR' AND ambito= 'PM' AND entidade='00100' AND cod_visao = 1) B ON instrmnt_id_as_is = instrmnt_id_to_be WHERE coalesce(cast(accmltd_imprmnt_instrmnt_as_is as string), '') &lt;&gt; coalesce(cast(accmltd_imprmnt_instrmnt_to_be as string), '') ) A </v>
      </c>
      <c r="O116" s="19" t="str">
        <f t="shared" si="27"/>
        <v>SELECT 'Validação de campos' as tipologia_teste, 'lt002_instrument' AS TABELA, 'accmltd_imprmnt_instrmnt' AS CAMPO, '2025-06-30' as ref_date, coalesce(NUM_REG_DIF, 0) AS NUM_REG_DIF FROM (SELECT count(*) AS NUM_REG_DIF FROM (SELECT instrmnt_id as instrmnt_id_as_is, accmltd_imprmnt_instrmnt as accmltd_imprmnt_instrmnt_as_is FROM cd_loan_tapes_bce.lt002_instrument WHERE ref_date='2025-06-30' AND nome_perimetro= 'Individual IDComb' AND segmento= 'ESTR' AND ambito= 'PM' AND entidade='00100' AND cod_visao = 1) A  Inner join (SELECT instrmnt_id as instrmnt_id_to_be, accmltd_imprmnt_instrmnt as accmltd_imprmnt_instrmnt_to_be FROM bu_loantape_work.lt002_instrument WHERE ref_date='2025-06-30' AND nome_perimetro= 'Individual IDComb' AND segmento= 'ESTR' AND ambito= 'PM' AND entidade='00100' AND cod_visao = 1) B ON instrmnt_id_as_is = instrmnt_id_to_be WHERE coalesce(cast(accmltd_imprmnt_instrmnt_as_is as string), '') &lt;&gt; coalesce(cast(accmltd_imprmnt_instrmnt_to_be as string), '') ) A UNION ALL</v>
      </c>
      <c r="P116" s="17">
        <f t="shared" si="17"/>
        <v>4</v>
      </c>
    </row>
    <row r="117" spans="2:16" s="15" customFormat="1" ht="11.5" x14ac:dyDescent="0.25">
      <c r="B117" s="17" t="s">
        <v>24</v>
      </c>
      <c r="C117" s="17" t="str">
        <f>_xlfn.CONCAT(Instruções!$D$5,".",VLOOKUP(B117,Instruções!$F$5:$H$10,2,0))</f>
        <v>cd_loan_tapes_bce.lt002_instrument</v>
      </c>
      <c r="D117" s="17" t="str">
        <f>_xlfn.CONCAT(Instruções!$D$6,".",VLOOKUP(B117,Instruções!$F$5:$H$10,3,0))</f>
        <v>bu_loantape_work.lt002_instrument</v>
      </c>
      <c r="E117" s="17" t="s">
        <v>148</v>
      </c>
      <c r="F117" s="17" t="str">
        <f t="shared" si="13"/>
        <v>accmltd_imprmnt_instrmnt_prvs_as_is</v>
      </c>
      <c r="G117" s="17" t="str">
        <f t="shared" si="14"/>
        <v>accmltd_imprmnt_instrmnt_prvs_to_be</v>
      </c>
      <c r="H117" s="17" t="str">
        <f>IF(VLOOKUP(B117,Instruções!$F$6:$J$10,5,0)="",
"(SELECT "&amp;VLOOKUP(B117,Instruções!$F$6:$J$10,4,0)&amp;" as "&amp;VLOOKUP(B117,Instruções!$F$6:$J$10,4,0)&amp;"_as_is, "&amp;E117&amp;" as "&amp;F117&amp;" FROM "&amp;C117&amp;" WHERE "&amp;Instruções!$D$11&amp;") A ",
"(SELECT "&amp;VLOOKUP(B117,Instruções!$F$6:$J$10,4,0)&amp;" as "&amp;VLOOKUP(B117,Instruções!$F$6:$J$10,4,0)&amp;"_as_is, "&amp;VLOOKUP(B117,Instruções!$F$6:$J$10,5,0)&amp;" as "&amp;VLOOKUP(B117,Instruções!$F$6:$J$10,5,0)&amp;"_as_is,"&amp;E117&amp;" as "&amp;F117&amp;" FROM "&amp;C117&amp;" WHERE "&amp;Instruções!$D$11&amp;") A ")</f>
        <v xml:space="preserve">(SELECT instrmnt_id as instrmnt_id_as_is, accmltd_imprmnt_instrmnt_prvs as accmltd_imprmnt_instrmnt_prvs_as_is FROM cd_loan_tapes_bce.lt002_instrument WHERE ref_date='2025-06-30' AND nome_perimetro= 'Individual IDComb' AND segmento= 'ESTR' AND ambito= 'PM' AND entidade='00100' AND cod_visao = 1) A </v>
      </c>
      <c r="I117" s="17" t="str">
        <f>IF(VLOOKUP(B117,Instruções!$F$6:$J$10,5,0)="",
"(SELECT "&amp;VLOOKUP(B117,Instruções!$F$6:$J$10,4,0)&amp;" as "&amp;VLOOKUP(B117,Instruções!$F$6:$J$10,4,0)&amp;"_to_be, "&amp;E117&amp;" as "&amp;G117&amp;" FROM "&amp;D117&amp;" WHERE "&amp;Instruções!$D$11&amp;") B ",
"(SELECT "&amp;VLOOKUP(B117,Instruções!$F$6:$J$10,4,0)&amp;" as "&amp;VLOOKUP(B117,Instruções!$F$6:$J$10,4,0)&amp;"_to_be, "&amp;VLOOKUP(B117,Instruções!$F$6:$J$10,5,0)&amp;" as "&amp;VLOOKUP(B117,Instruções!$F$6:$J$10,5,0)&amp;"_to_be,"&amp;E117&amp;" as "&amp;G117&amp;" FROM "&amp;D117&amp;" WHERE "&amp;Instruções!$D$11&amp;") B ")</f>
        <v xml:space="preserve">(SELECT instrmnt_id as instrmnt_id_to_be, accmltd_imprmnt_instrmnt_prvs as accmltd_imprmnt_instrmnt_prvs_to_be FROM bu_loantape_work.lt002_instrument WHERE ref_date='2025-06-30' AND nome_perimetro= 'Individual IDComb' AND segmento= 'ESTR' AND ambito= 'PM' AND entidade='00100' AND cod_visao = 1) B </v>
      </c>
      <c r="J117" s="17" t="str">
        <f>IF(VLOOKUP(B117,Instruções!$F$6:$J$10,5,0)="",
"ON "&amp;VLOOKUP(B117,Instruções!$F$6:$J$10,4,0)&amp;"_as_is = "&amp;VLOOKUP(B117,Instruções!$F$6:$J$10,4,0)&amp;"_to_be ",
"ON "&amp;VLOOKUP(B117,Instruções!$F$6:$J$10,4,0)&amp;"_as_is = "&amp;VLOOKUP(B117,Instruções!$F$6:$J$10,4,0)&amp;"_to_be AND "&amp;VLOOKUP(B117,Instruções!$F$6:$J$10,5,0)&amp;"_as_is = "&amp;VLOOKUP(B117,Instruções!$F$6:$J$10,5,0)&amp;"_to_be ")</f>
        <v xml:space="preserve">ON instrmnt_id_as_is = instrmnt_id_to_be </v>
      </c>
      <c r="K117" s="17" t="str">
        <f t="shared" si="15"/>
        <v xml:space="preserve">WHERE coalesce(cast(accmltd_imprmnt_instrmnt_prvs_as_is as string), '') &lt;&gt; coalesce(cast(accmltd_imprmnt_instrmnt_prvs_to_be as string), '') </v>
      </c>
      <c r="L117" s="17" t="str">
        <f t="shared" si="16"/>
        <v xml:space="preserve">SELECT count(*) AS NUM_REG_DIF FROM (SELECT instrmnt_id as instrmnt_id_as_is, accmltd_imprmnt_instrmnt_prvs as accmltd_imprmnt_instrmnt_prvs_as_is FROM cd_loan_tapes_bce.lt002_instrument WHERE ref_date='2025-06-30' AND nome_perimetro= 'Individual IDComb' AND segmento= 'ESTR' AND ambito= 'PM' AND entidade='00100' AND cod_visao = 1) A  Inner join (SELECT instrmnt_id as instrmnt_id_to_be, accmltd_imprmnt_instrmnt_prvs as accmltd_imprmnt_instrmnt_prvs_to_be FROM bu_loantape_work.lt002_instrument WHERE ref_date='2025-06-30' AND nome_perimetro= 'Individual IDComb' AND segmento= 'ESTR' AND ambito= 'PM' AND entidade='00100' AND cod_visao = 1) B ON instrmnt_id_as_is = instrmnt_id_to_be WHERE coalesce(cast(accmltd_imprmnt_instrmnt_prvs_as_is as string), '') &lt;&gt; coalesce(cast(accmltd_imprmnt_instrmnt_prvs_to_be as string), '') </v>
      </c>
      <c r="M117" s="17" t="s">
        <v>48</v>
      </c>
      <c r="N117" s="17" t="str">
        <f>"SELECT 'Validação de campos' as tipologia_teste, '"&amp;VLOOKUP(B117,Instruções!$F$6:$J$10,3,0)&amp;"' AS TABELA, '"&amp;E117&amp;"' AS CAMPO, '"&amp;Instruções!$D$7&amp;"' as ref_date, coalesce(NUM_REG_DIF, 0) AS NUM_REG_DIF FROM ("&amp;L117&amp;") A "</f>
        <v xml:space="preserve">SELECT 'Validação de campos' as tipologia_teste, 'lt002_instrument' AS TABELA, 'accmltd_imprmnt_instrmnt_prvs' AS CAMPO, '2025-06-30' as ref_date, coalesce(NUM_REG_DIF, 0) AS NUM_REG_DIF FROM (SELECT count(*) AS NUM_REG_DIF FROM (SELECT instrmnt_id as instrmnt_id_as_is, accmltd_imprmnt_instrmnt_prvs as accmltd_imprmnt_instrmnt_prvs_as_is FROM cd_loan_tapes_bce.lt002_instrument WHERE ref_date='2025-06-30' AND nome_perimetro= 'Individual IDComb' AND segmento= 'ESTR' AND ambito= 'PM' AND entidade='00100' AND cod_visao = 1) A  Inner join (SELECT instrmnt_id as instrmnt_id_to_be, accmltd_imprmnt_instrmnt_prvs as accmltd_imprmnt_instrmnt_prvs_to_be FROM bu_loantape_work.lt002_instrument WHERE ref_date='2025-06-30' AND nome_perimetro= 'Individual IDComb' AND segmento= 'ESTR' AND ambito= 'PM' AND entidade='00100' AND cod_visao = 1) B ON instrmnt_id_as_is = instrmnt_id_to_be WHERE coalesce(cast(accmltd_imprmnt_instrmnt_prvs_as_is as string), '') &lt;&gt; coalesce(cast(accmltd_imprmnt_instrmnt_prvs_to_be as string), '') ) A </v>
      </c>
      <c r="O117" s="19" t="str">
        <f t="shared" si="27"/>
        <v>SELECT 'Validação de campos' as tipologia_teste, 'lt002_instrument' AS TABELA, 'accmltd_imprmnt_instrmnt_prvs' AS CAMPO, '2025-06-30' as ref_date, coalesce(NUM_REG_DIF, 0) AS NUM_REG_DIF FROM (SELECT count(*) AS NUM_REG_DIF FROM (SELECT instrmnt_id as instrmnt_id_as_is, accmltd_imprmnt_instrmnt_prvs as accmltd_imprmnt_instrmnt_prvs_as_is FROM cd_loan_tapes_bce.lt002_instrument WHERE ref_date='2025-06-30' AND nome_perimetro= 'Individual IDComb' AND segmento= 'ESTR' AND ambito= 'PM' AND entidade='00100' AND cod_visao = 1) A  Inner join (SELECT instrmnt_id as instrmnt_id_to_be, accmltd_imprmnt_instrmnt_prvs as accmltd_imprmnt_instrmnt_prvs_to_be FROM bu_loantape_work.lt002_instrument WHERE ref_date='2025-06-30' AND nome_perimetro= 'Individual IDComb' AND segmento= 'ESTR' AND ambito= 'PM' AND entidade='00100' AND cod_visao = 1) B ON instrmnt_id_as_is = instrmnt_id_to_be WHERE coalesce(cast(accmltd_imprmnt_instrmnt_prvs_as_is as string), '') &lt;&gt; coalesce(cast(accmltd_imprmnt_instrmnt_prvs_to_be as string), '') ) A UNION ALL</v>
      </c>
      <c r="P117" s="17">
        <f t="shared" si="17"/>
        <v>5</v>
      </c>
    </row>
    <row r="118" spans="2:16" s="15" customFormat="1" ht="11.5" x14ac:dyDescent="0.25">
      <c r="B118" s="17" t="s">
        <v>24</v>
      </c>
      <c r="C118" s="17" t="str">
        <f>_xlfn.CONCAT(Instruções!$D$5,".",VLOOKUP(B118,Instruções!$F$5:$H$10,2,0))</f>
        <v>cd_loan_tapes_bce.lt002_instrument</v>
      </c>
      <c r="D118" s="17" t="str">
        <f>_xlfn.CONCAT(Instruções!$D$6,".",VLOOKUP(B118,Instruções!$F$5:$H$10,3,0))</f>
        <v>bu_loantape_work.lt002_instrument</v>
      </c>
      <c r="E118" s="17" t="s">
        <v>149</v>
      </c>
      <c r="F118" s="17" t="str">
        <f t="shared" si="13"/>
        <v>accmltd_wrtffs_instrmnt_as_is</v>
      </c>
      <c r="G118" s="17" t="str">
        <f t="shared" si="14"/>
        <v>accmltd_wrtffs_instrmnt_to_be</v>
      </c>
      <c r="H118" s="17" t="str">
        <f>IF(VLOOKUP(B118,Instruções!$F$6:$J$10,5,0)="",
"(SELECT "&amp;VLOOKUP(B118,Instruções!$F$6:$J$10,4,0)&amp;" as "&amp;VLOOKUP(B118,Instruções!$F$6:$J$10,4,0)&amp;"_as_is, "&amp;E118&amp;" as "&amp;F118&amp;" FROM "&amp;C118&amp;" WHERE "&amp;Instruções!$D$11&amp;") A ",
"(SELECT "&amp;VLOOKUP(B118,Instruções!$F$6:$J$10,4,0)&amp;" as "&amp;VLOOKUP(B118,Instruções!$F$6:$J$10,4,0)&amp;"_as_is, "&amp;VLOOKUP(B118,Instruções!$F$6:$J$10,5,0)&amp;" as "&amp;VLOOKUP(B118,Instruções!$F$6:$J$10,5,0)&amp;"_as_is,"&amp;E118&amp;" as "&amp;F118&amp;" FROM "&amp;C118&amp;" WHERE "&amp;Instruções!$D$11&amp;") A ")</f>
        <v xml:space="preserve">(SELECT instrmnt_id as instrmnt_id_as_is, accmltd_wrtffs_instrmnt as accmltd_wrtffs_instrmnt_as_is FROM cd_loan_tapes_bce.lt002_instrument WHERE ref_date='2025-06-30' AND nome_perimetro= 'Individual IDComb' AND segmento= 'ESTR' AND ambito= 'PM' AND entidade='00100' AND cod_visao = 1) A </v>
      </c>
      <c r="I118" s="17" t="str">
        <f>IF(VLOOKUP(B118,Instruções!$F$6:$J$10,5,0)="",
"(SELECT "&amp;VLOOKUP(B118,Instruções!$F$6:$J$10,4,0)&amp;" as "&amp;VLOOKUP(B118,Instruções!$F$6:$J$10,4,0)&amp;"_to_be, "&amp;E118&amp;" as "&amp;G118&amp;" FROM "&amp;D118&amp;" WHERE "&amp;Instruções!$D$11&amp;") B ",
"(SELECT "&amp;VLOOKUP(B118,Instruções!$F$6:$J$10,4,0)&amp;" as "&amp;VLOOKUP(B118,Instruções!$F$6:$J$10,4,0)&amp;"_to_be, "&amp;VLOOKUP(B118,Instruções!$F$6:$J$10,5,0)&amp;" as "&amp;VLOOKUP(B118,Instruções!$F$6:$J$10,5,0)&amp;"_to_be,"&amp;E118&amp;" as "&amp;G118&amp;" FROM "&amp;D118&amp;" WHERE "&amp;Instruções!$D$11&amp;") B ")</f>
        <v xml:space="preserve">(SELECT instrmnt_id as instrmnt_id_to_be, accmltd_wrtffs_instrmnt as accmltd_wrtffs_instrmnt_to_be FROM bu_loantape_work.lt002_instrument WHERE ref_date='2025-06-30' AND nome_perimetro= 'Individual IDComb' AND segmento= 'ESTR' AND ambito= 'PM' AND entidade='00100' AND cod_visao = 1) B </v>
      </c>
      <c r="J118" s="17" t="str">
        <f>IF(VLOOKUP(B118,Instruções!$F$6:$J$10,5,0)="",
"ON "&amp;VLOOKUP(B118,Instruções!$F$6:$J$10,4,0)&amp;"_as_is = "&amp;VLOOKUP(B118,Instruções!$F$6:$J$10,4,0)&amp;"_to_be ",
"ON "&amp;VLOOKUP(B118,Instruções!$F$6:$J$10,4,0)&amp;"_as_is = "&amp;VLOOKUP(B118,Instruções!$F$6:$J$10,4,0)&amp;"_to_be AND "&amp;VLOOKUP(B118,Instruções!$F$6:$J$10,5,0)&amp;"_as_is = "&amp;VLOOKUP(B118,Instruções!$F$6:$J$10,5,0)&amp;"_to_be ")</f>
        <v xml:space="preserve">ON instrmnt_id_as_is = instrmnt_id_to_be </v>
      </c>
      <c r="K118" s="17" t="str">
        <f t="shared" si="15"/>
        <v xml:space="preserve">WHERE coalesce(cast(accmltd_wrtffs_instrmnt_as_is as string), '') &lt;&gt; coalesce(cast(accmltd_wrtffs_instrmnt_to_be as string), '') </v>
      </c>
      <c r="L118" s="17" t="str">
        <f t="shared" si="16"/>
        <v xml:space="preserve">SELECT count(*) AS NUM_REG_DIF FROM (SELECT instrmnt_id as instrmnt_id_as_is, accmltd_wrtffs_instrmnt as accmltd_wrtffs_instrmnt_as_is FROM cd_loan_tapes_bce.lt002_instrument WHERE ref_date='2025-06-30' AND nome_perimetro= 'Individual IDComb' AND segmento= 'ESTR' AND ambito= 'PM' AND entidade='00100' AND cod_visao = 1) A  Inner join (SELECT instrmnt_id as instrmnt_id_to_be, accmltd_wrtffs_instrmnt as accmltd_wrtffs_instrmnt_to_be FROM bu_loantape_work.lt002_instrument WHERE ref_date='2025-06-30' AND nome_perimetro= 'Individual IDComb' AND segmento= 'ESTR' AND ambito= 'PM' AND entidade='00100' AND cod_visao = 1) B ON instrmnt_id_as_is = instrmnt_id_to_be WHERE coalesce(cast(accmltd_wrtffs_instrmnt_as_is as string), '') &lt;&gt; coalesce(cast(accmltd_wrtffs_instrmnt_to_be as string), '') </v>
      </c>
      <c r="M118" s="17" t="s">
        <v>48</v>
      </c>
      <c r="N118" s="17" t="str">
        <f>"SELECT 'Validação de campos' as tipologia_teste, '"&amp;VLOOKUP(B118,Instruções!$F$6:$J$10,3,0)&amp;"' AS TABELA, '"&amp;E118&amp;"' AS CAMPO, '"&amp;Instruções!$D$7&amp;"' as ref_date, coalesce(NUM_REG_DIF, 0) AS NUM_REG_DIF FROM ("&amp;L118&amp;") A "</f>
        <v xml:space="preserve">SELECT 'Validação de campos' as tipologia_teste, 'lt002_instrument' AS TABELA, 'accmltd_wrtffs_instrmnt' AS CAMPO, '2025-06-30' as ref_date, coalesce(NUM_REG_DIF, 0) AS NUM_REG_DIF FROM (SELECT count(*) AS NUM_REG_DIF FROM (SELECT instrmnt_id as instrmnt_id_as_is, accmltd_wrtffs_instrmnt as accmltd_wrtffs_instrmnt_as_is FROM cd_loan_tapes_bce.lt002_instrument WHERE ref_date='2025-06-30' AND nome_perimetro= 'Individual IDComb' AND segmento= 'ESTR' AND ambito= 'PM' AND entidade='00100' AND cod_visao = 1) A  Inner join (SELECT instrmnt_id as instrmnt_id_to_be, accmltd_wrtffs_instrmnt as accmltd_wrtffs_instrmnt_to_be FROM bu_loantape_work.lt002_instrument WHERE ref_date='2025-06-30' AND nome_perimetro= 'Individual IDComb' AND segmento= 'ESTR' AND ambito= 'PM' AND entidade='00100' AND cod_visao = 1) B ON instrmnt_id_as_is = instrmnt_id_to_be WHERE coalesce(cast(accmltd_wrtffs_instrmnt_as_is as string), '') &lt;&gt; coalesce(cast(accmltd_wrtffs_instrmnt_to_be as string), '') ) A </v>
      </c>
      <c r="O118" s="19" t="str">
        <f t="shared" si="27"/>
        <v>SELECT 'Validação de campos' as tipologia_teste, 'lt002_instrument' AS TABELA, 'accmltd_wrtffs_instrmnt' AS CAMPO, '2025-06-30' as ref_date, coalesce(NUM_REG_DIF, 0) AS NUM_REG_DIF FROM (SELECT count(*) AS NUM_REG_DIF FROM (SELECT instrmnt_id as instrmnt_id_as_is, accmltd_wrtffs_instrmnt as accmltd_wrtffs_instrmnt_as_is FROM cd_loan_tapes_bce.lt002_instrument WHERE ref_date='2025-06-30' AND nome_perimetro= 'Individual IDComb' AND segmento= 'ESTR' AND ambito= 'PM' AND entidade='00100' AND cod_visao = 1) A  Inner join (SELECT instrmnt_id as instrmnt_id_to_be, accmltd_wrtffs_instrmnt as accmltd_wrtffs_instrmnt_to_be FROM bu_loantape_work.lt002_instrument WHERE ref_date='2025-06-30' AND nome_perimetro= 'Individual IDComb' AND segmento= 'ESTR' AND ambito= 'PM' AND entidade='00100' AND cod_visao = 1) B ON instrmnt_id_as_is = instrmnt_id_to_be WHERE coalesce(cast(accmltd_wrtffs_instrmnt_as_is as string), '') &lt;&gt; coalesce(cast(accmltd_wrtffs_instrmnt_to_be as string), '') ) A UNION ALL</v>
      </c>
      <c r="P118" s="17">
        <f t="shared" si="17"/>
        <v>6</v>
      </c>
    </row>
    <row r="119" spans="2:16" s="15" customFormat="1" ht="11.5" x14ac:dyDescent="0.25">
      <c r="B119" s="17" t="s">
        <v>24</v>
      </c>
      <c r="C119" s="17" t="str">
        <f>_xlfn.CONCAT(Instruções!$D$5,".",VLOOKUP(B119,Instruções!$F$5:$H$10,2,0))</f>
        <v>cd_loan_tapes_bce.lt002_instrument</v>
      </c>
      <c r="D119" s="17" t="str">
        <f>_xlfn.CONCAT(Instruções!$D$6,".",VLOOKUP(B119,Instruções!$F$5:$H$10,3,0))</f>
        <v>bu_loantape_work.lt002_instrument</v>
      </c>
      <c r="E119" s="17" t="s">
        <v>150</v>
      </c>
      <c r="F119" s="17" t="str">
        <f t="shared" si="13"/>
        <v>accntng_clssfctn_as_is</v>
      </c>
      <c r="G119" s="17" t="str">
        <f t="shared" si="14"/>
        <v>accntng_clssfctn_to_be</v>
      </c>
      <c r="H119" s="17" t="str">
        <f>IF(VLOOKUP(B119,Instruções!$F$6:$J$10,5,0)="",
"(SELECT "&amp;VLOOKUP(B119,Instruções!$F$6:$J$10,4,0)&amp;" as "&amp;VLOOKUP(B119,Instruções!$F$6:$J$10,4,0)&amp;"_as_is, "&amp;E119&amp;" as "&amp;F119&amp;" FROM "&amp;C119&amp;" WHERE "&amp;Instruções!$D$11&amp;") A ",
"(SELECT "&amp;VLOOKUP(B119,Instruções!$F$6:$J$10,4,0)&amp;" as "&amp;VLOOKUP(B119,Instruções!$F$6:$J$10,4,0)&amp;"_as_is, "&amp;VLOOKUP(B119,Instruções!$F$6:$J$10,5,0)&amp;" as "&amp;VLOOKUP(B119,Instruções!$F$6:$J$10,5,0)&amp;"_as_is,"&amp;E119&amp;" as "&amp;F119&amp;" FROM "&amp;C119&amp;" WHERE "&amp;Instruções!$D$11&amp;") A ")</f>
        <v xml:space="preserve">(SELECT instrmnt_id as instrmnt_id_as_is, accntng_clssfctn as accntng_clssfctn_as_is FROM cd_loan_tapes_bce.lt002_instrument WHERE ref_date='2025-06-30' AND nome_perimetro= 'Individual IDComb' AND segmento= 'ESTR' AND ambito= 'PM' AND entidade='00100' AND cod_visao = 1) A </v>
      </c>
      <c r="I119" s="17" t="str">
        <f>IF(VLOOKUP(B119,Instruções!$F$6:$J$10,5,0)="",
"(SELECT "&amp;VLOOKUP(B119,Instruções!$F$6:$J$10,4,0)&amp;" as "&amp;VLOOKUP(B119,Instruções!$F$6:$J$10,4,0)&amp;"_to_be, "&amp;E119&amp;" as "&amp;G119&amp;" FROM "&amp;D119&amp;" WHERE "&amp;Instruções!$D$11&amp;") B ",
"(SELECT "&amp;VLOOKUP(B119,Instruções!$F$6:$J$10,4,0)&amp;" as "&amp;VLOOKUP(B119,Instruções!$F$6:$J$10,4,0)&amp;"_to_be, "&amp;VLOOKUP(B119,Instruções!$F$6:$J$10,5,0)&amp;" as "&amp;VLOOKUP(B119,Instruções!$F$6:$J$10,5,0)&amp;"_to_be,"&amp;E119&amp;" as "&amp;G119&amp;" FROM "&amp;D119&amp;" WHERE "&amp;Instruções!$D$11&amp;") B ")</f>
        <v xml:space="preserve">(SELECT instrmnt_id as instrmnt_id_to_be, accntng_clssfctn as accntng_clssfctn_to_be FROM bu_loantape_work.lt002_instrument WHERE ref_date='2025-06-30' AND nome_perimetro= 'Individual IDComb' AND segmento= 'ESTR' AND ambito= 'PM' AND entidade='00100' AND cod_visao = 1) B </v>
      </c>
      <c r="J119" s="17" t="str">
        <f>IF(VLOOKUP(B119,Instruções!$F$6:$J$10,5,0)="",
"ON "&amp;VLOOKUP(B119,Instruções!$F$6:$J$10,4,0)&amp;"_as_is = "&amp;VLOOKUP(B119,Instruções!$F$6:$J$10,4,0)&amp;"_to_be ",
"ON "&amp;VLOOKUP(B119,Instruções!$F$6:$J$10,4,0)&amp;"_as_is = "&amp;VLOOKUP(B119,Instruções!$F$6:$J$10,4,0)&amp;"_to_be AND "&amp;VLOOKUP(B119,Instruções!$F$6:$J$10,5,0)&amp;"_as_is = "&amp;VLOOKUP(B119,Instruções!$F$6:$J$10,5,0)&amp;"_to_be ")</f>
        <v xml:space="preserve">ON instrmnt_id_as_is = instrmnt_id_to_be </v>
      </c>
      <c r="K119" s="17" t="str">
        <f t="shared" si="15"/>
        <v xml:space="preserve">WHERE coalesce(cast(accntng_clssfctn_as_is as string), '') &lt;&gt; coalesce(cast(accntng_clssfctn_to_be as string), '') </v>
      </c>
      <c r="L119" s="17" t="str">
        <f t="shared" si="16"/>
        <v xml:space="preserve">SELECT count(*) AS NUM_REG_DIF FROM (SELECT instrmnt_id as instrmnt_id_as_is, accntng_clssfctn as accntng_clssfctn_as_is FROM cd_loan_tapes_bce.lt002_instrument WHERE ref_date='2025-06-30' AND nome_perimetro= 'Individual IDComb' AND segmento= 'ESTR' AND ambito= 'PM' AND entidade='00100' AND cod_visao = 1) A  Inner join (SELECT instrmnt_id as instrmnt_id_to_be, accntng_clssfctn as accntng_clssfctn_to_be FROM bu_loantape_work.lt002_instrument WHERE ref_date='2025-06-30' AND nome_perimetro= 'Individual IDComb' AND segmento= 'ESTR' AND ambito= 'PM' AND entidade='00100' AND cod_visao = 1) B ON instrmnt_id_as_is = instrmnt_id_to_be WHERE coalesce(cast(accntng_clssfctn_as_is as string), '') &lt;&gt; coalesce(cast(accntng_clssfctn_to_be as string), '') </v>
      </c>
      <c r="M119" s="17" t="s">
        <v>48</v>
      </c>
      <c r="N119" s="17" t="str">
        <f>"SELECT 'Validação de campos' as tipologia_teste, '"&amp;VLOOKUP(B119,Instruções!$F$6:$J$10,3,0)&amp;"' AS TABELA, '"&amp;E119&amp;"' AS CAMPO, '"&amp;Instruções!$D$7&amp;"' as ref_date, coalesce(NUM_REG_DIF, 0) AS NUM_REG_DIF FROM ("&amp;L119&amp;") A "</f>
        <v xml:space="preserve">SELECT 'Validação de campos' as tipologia_teste, 'lt002_instrument' AS TABELA, 'accntng_clssfctn' AS CAMPO, '2025-06-30' as ref_date, coalesce(NUM_REG_DIF, 0) AS NUM_REG_DIF FROM (SELECT count(*) AS NUM_REG_DIF FROM (SELECT instrmnt_id as instrmnt_id_as_is, accntng_clssfctn as accntng_clssfctn_as_is FROM cd_loan_tapes_bce.lt002_instrument WHERE ref_date='2025-06-30' AND nome_perimetro= 'Individual IDComb' AND segmento= 'ESTR' AND ambito= 'PM' AND entidade='00100' AND cod_visao = 1) A  Inner join (SELECT instrmnt_id as instrmnt_id_to_be, accntng_clssfctn as accntng_clssfctn_to_be FROM bu_loantape_work.lt002_instrument WHERE ref_date='2025-06-30' AND nome_perimetro= 'Individual IDComb' AND segmento= 'ESTR' AND ambito= 'PM' AND entidade='00100' AND cod_visao = 1) B ON instrmnt_id_as_is = instrmnt_id_to_be WHERE coalesce(cast(accntng_clssfctn_as_is as string), '') &lt;&gt; coalesce(cast(accntng_clssfctn_to_be as string), '') ) A </v>
      </c>
      <c r="O119" s="19" t="str">
        <f t="shared" si="27"/>
        <v>SELECT 'Validação de campos' as tipologia_teste, 'lt002_instrument' AS TABELA, 'accntng_clssfctn' AS CAMPO, '2025-06-30' as ref_date, coalesce(NUM_REG_DIF, 0) AS NUM_REG_DIF FROM (SELECT count(*) AS NUM_REG_DIF FROM (SELECT instrmnt_id as instrmnt_id_as_is, accntng_clssfctn as accntng_clssfctn_as_is FROM cd_loan_tapes_bce.lt002_instrument WHERE ref_date='2025-06-30' AND nome_perimetro= 'Individual IDComb' AND segmento= 'ESTR' AND ambito= 'PM' AND entidade='00100' AND cod_visao = 1) A  Inner join (SELECT instrmnt_id as instrmnt_id_to_be, accntng_clssfctn as accntng_clssfctn_to_be FROM bu_loantape_work.lt002_instrument WHERE ref_date='2025-06-30' AND nome_perimetro= 'Individual IDComb' AND segmento= 'ESTR' AND ambito= 'PM' AND entidade='00100' AND cod_visao = 1) B ON instrmnt_id_as_is = instrmnt_id_to_be WHERE coalesce(cast(accntng_clssfctn_as_is as string), '') &lt;&gt; coalesce(cast(accntng_clssfctn_to_be as string), '') ) A UNION ALL</v>
      </c>
      <c r="P119" s="17">
        <f t="shared" si="17"/>
        <v>7</v>
      </c>
    </row>
    <row r="120" spans="2:16" s="15" customFormat="1" ht="11.5" x14ac:dyDescent="0.25">
      <c r="B120" s="17" t="s">
        <v>24</v>
      </c>
      <c r="C120" s="17" t="str">
        <f>_xlfn.CONCAT(Instruções!$D$5,".",VLOOKUP(B120,Instruções!$F$5:$H$10,2,0))</f>
        <v>cd_loan_tapes_bce.lt002_instrument</v>
      </c>
      <c r="D120" s="17" t="str">
        <f>_xlfn.CONCAT(Instruções!$D$6,".",VLOOKUP(B120,Instruções!$F$5:$H$10,3,0))</f>
        <v>bu_loantape_work.lt002_instrument</v>
      </c>
      <c r="E120" s="17" t="s">
        <v>151</v>
      </c>
      <c r="F120" s="17" t="str">
        <f t="shared" si="13"/>
        <v>accrd_intrst_instrmnt_as_is</v>
      </c>
      <c r="G120" s="17" t="str">
        <f t="shared" si="14"/>
        <v>accrd_intrst_instrmnt_to_be</v>
      </c>
      <c r="H120" s="17" t="str">
        <f>IF(VLOOKUP(B120,Instruções!$F$6:$J$10,5,0)="",
"(SELECT "&amp;VLOOKUP(B120,Instruções!$F$6:$J$10,4,0)&amp;" as "&amp;VLOOKUP(B120,Instruções!$F$6:$J$10,4,0)&amp;"_as_is, "&amp;E120&amp;" as "&amp;F120&amp;" FROM "&amp;C120&amp;" WHERE "&amp;Instruções!$D$11&amp;") A ",
"(SELECT "&amp;VLOOKUP(B120,Instruções!$F$6:$J$10,4,0)&amp;" as "&amp;VLOOKUP(B120,Instruções!$F$6:$J$10,4,0)&amp;"_as_is, "&amp;VLOOKUP(B120,Instruções!$F$6:$J$10,5,0)&amp;" as "&amp;VLOOKUP(B120,Instruções!$F$6:$J$10,5,0)&amp;"_as_is,"&amp;E120&amp;" as "&amp;F120&amp;" FROM "&amp;C120&amp;" WHERE "&amp;Instruções!$D$11&amp;") A ")</f>
        <v xml:space="preserve">(SELECT instrmnt_id as instrmnt_id_as_is, accrd_intrst_instrmnt as accrd_intrst_instrmnt_as_is FROM cd_loan_tapes_bce.lt002_instrument WHERE ref_date='2025-06-30' AND nome_perimetro= 'Individual IDComb' AND segmento= 'ESTR' AND ambito= 'PM' AND entidade='00100' AND cod_visao = 1) A </v>
      </c>
      <c r="I120" s="17" t="str">
        <f>IF(VLOOKUP(B120,Instruções!$F$6:$J$10,5,0)="",
"(SELECT "&amp;VLOOKUP(B120,Instruções!$F$6:$J$10,4,0)&amp;" as "&amp;VLOOKUP(B120,Instruções!$F$6:$J$10,4,0)&amp;"_to_be, "&amp;E120&amp;" as "&amp;G120&amp;" FROM "&amp;D120&amp;" WHERE "&amp;Instruções!$D$11&amp;") B ",
"(SELECT "&amp;VLOOKUP(B120,Instruções!$F$6:$J$10,4,0)&amp;" as "&amp;VLOOKUP(B120,Instruções!$F$6:$J$10,4,0)&amp;"_to_be, "&amp;VLOOKUP(B120,Instruções!$F$6:$J$10,5,0)&amp;" as "&amp;VLOOKUP(B120,Instruções!$F$6:$J$10,5,0)&amp;"_to_be,"&amp;E120&amp;" as "&amp;G120&amp;" FROM "&amp;D120&amp;" WHERE "&amp;Instruções!$D$11&amp;") B ")</f>
        <v xml:space="preserve">(SELECT instrmnt_id as instrmnt_id_to_be, accrd_intrst_instrmnt as accrd_intrst_instrmnt_to_be FROM bu_loantape_work.lt002_instrument WHERE ref_date='2025-06-30' AND nome_perimetro= 'Individual IDComb' AND segmento= 'ESTR' AND ambito= 'PM' AND entidade='00100' AND cod_visao = 1) B </v>
      </c>
      <c r="J120" s="17" t="str">
        <f>IF(VLOOKUP(B120,Instruções!$F$6:$J$10,5,0)="",
"ON "&amp;VLOOKUP(B120,Instruções!$F$6:$J$10,4,0)&amp;"_as_is = "&amp;VLOOKUP(B120,Instruções!$F$6:$J$10,4,0)&amp;"_to_be ",
"ON "&amp;VLOOKUP(B120,Instruções!$F$6:$J$10,4,0)&amp;"_as_is = "&amp;VLOOKUP(B120,Instruções!$F$6:$J$10,4,0)&amp;"_to_be AND "&amp;VLOOKUP(B120,Instruções!$F$6:$J$10,5,0)&amp;"_as_is = "&amp;VLOOKUP(B120,Instruções!$F$6:$J$10,5,0)&amp;"_to_be ")</f>
        <v xml:space="preserve">ON instrmnt_id_as_is = instrmnt_id_to_be </v>
      </c>
      <c r="K120" s="17" t="str">
        <f t="shared" si="15"/>
        <v xml:space="preserve">WHERE coalesce(cast(accrd_intrst_instrmnt_as_is as string), '') &lt;&gt; coalesce(cast(accrd_intrst_instrmnt_to_be as string), '') </v>
      </c>
      <c r="L120" s="17" t="str">
        <f t="shared" si="16"/>
        <v xml:space="preserve">SELECT count(*) AS NUM_REG_DIF FROM (SELECT instrmnt_id as instrmnt_id_as_is, accrd_intrst_instrmnt as accrd_intrst_instrmnt_as_is FROM cd_loan_tapes_bce.lt002_instrument WHERE ref_date='2025-06-30' AND nome_perimetro= 'Individual IDComb' AND segmento= 'ESTR' AND ambito= 'PM' AND entidade='00100' AND cod_visao = 1) A  Inner join (SELECT instrmnt_id as instrmnt_id_to_be, accrd_intrst_instrmnt as accrd_intrst_instrmnt_to_be FROM bu_loantape_work.lt002_instrument WHERE ref_date='2025-06-30' AND nome_perimetro= 'Individual IDComb' AND segmento= 'ESTR' AND ambito= 'PM' AND entidade='00100' AND cod_visao = 1) B ON instrmnt_id_as_is = instrmnt_id_to_be WHERE coalesce(cast(accrd_intrst_instrmnt_as_is as string), '') &lt;&gt; coalesce(cast(accrd_intrst_instrmnt_to_be as string), '') </v>
      </c>
      <c r="M120" s="17" t="s">
        <v>48</v>
      </c>
      <c r="N120" s="17" t="str">
        <f>"SELECT 'Validação de campos' as tipologia_teste, '"&amp;VLOOKUP(B120,Instruções!$F$6:$J$10,3,0)&amp;"' AS TABELA, '"&amp;E120&amp;"' AS CAMPO, '"&amp;Instruções!$D$7&amp;"' as ref_date, coalesce(NUM_REG_DIF, 0) AS NUM_REG_DIF FROM ("&amp;L120&amp;") A "</f>
        <v xml:space="preserve">SELECT 'Validação de campos' as tipologia_teste, 'lt002_instrument' AS TABELA, 'accrd_intrst_instrmnt' AS CAMPO, '2025-06-30' as ref_date, coalesce(NUM_REG_DIF, 0) AS NUM_REG_DIF FROM (SELECT count(*) AS NUM_REG_DIF FROM (SELECT instrmnt_id as instrmnt_id_as_is, accrd_intrst_instrmnt as accrd_intrst_instrmnt_as_is FROM cd_loan_tapes_bce.lt002_instrument WHERE ref_date='2025-06-30' AND nome_perimetro= 'Individual IDComb' AND segmento= 'ESTR' AND ambito= 'PM' AND entidade='00100' AND cod_visao = 1) A  Inner join (SELECT instrmnt_id as instrmnt_id_to_be, accrd_intrst_instrmnt as accrd_intrst_instrmnt_to_be FROM bu_loantape_work.lt002_instrument WHERE ref_date='2025-06-30' AND nome_perimetro= 'Individual IDComb' AND segmento= 'ESTR' AND ambito= 'PM' AND entidade='00100' AND cod_visao = 1) B ON instrmnt_id_as_is = instrmnt_id_to_be WHERE coalesce(cast(accrd_intrst_instrmnt_as_is as string), '') &lt;&gt; coalesce(cast(accrd_intrst_instrmnt_to_be as string), '') ) A </v>
      </c>
      <c r="O120" s="19" t="str">
        <f t="shared" si="27"/>
        <v>SELECT 'Validação de campos' as tipologia_teste, 'lt002_instrument' AS TABELA, 'accrd_intrst_instrmnt' AS CAMPO, '2025-06-30' as ref_date, coalesce(NUM_REG_DIF, 0) AS NUM_REG_DIF FROM (SELECT count(*) AS NUM_REG_DIF FROM (SELECT instrmnt_id as instrmnt_id_as_is, accrd_intrst_instrmnt as accrd_intrst_instrmnt_as_is FROM cd_loan_tapes_bce.lt002_instrument WHERE ref_date='2025-06-30' AND nome_perimetro= 'Individual IDComb' AND segmento= 'ESTR' AND ambito= 'PM' AND entidade='00100' AND cod_visao = 1) A  Inner join (SELECT instrmnt_id as instrmnt_id_to_be, accrd_intrst_instrmnt as accrd_intrst_instrmnt_to_be FROM bu_loantape_work.lt002_instrument WHERE ref_date='2025-06-30' AND nome_perimetro= 'Individual IDComb' AND segmento= 'ESTR' AND ambito= 'PM' AND entidade='00100' AND cod_visao = 1) B ON instrmnt_id_as_is = instrmnt_id_to_be WHERE coalesce(cast(accrd_intrst_instrmnt_as_is as string), '') &lt;&gt; coalesce(cast(accrd_intrst_instrmnt_to_be as string), '') ) A UNION ALL</v>
      </c>
      <c r="P120" s="17">
        <f t="shared" si="17"/>
        <v>8</v>
      </c>
    </row>
    <row r="121" spans="2:16" s="15" customFormat="1" ht="11.5" x14ac:dyDescent="0.25">
      <c r="B121" s="17" t="s">
        <v>24</v>
      </c>
      <c r="C121" s="17" t="str">
        <f>_xlfn.CONCAT(Instruções!$D$5,".",VLOOKUP(B121,Instruções!$F$5:$H$10,2,0))</f>
        <v>cd_loan_tapes_bce.lt002_instrument</v>
      </c>
      <c r="D121" s="17" t="str">
        <f>_xlfn.CONCAT(Instruções!$D$6,".",VLOOKUP(B121,Instruções!$F$5:$H$10,3,0))</f>
        <v>bu_loantape_work.lt002_instrument</v>
      </c>
      <c r="E121" s="17" t="s">
        <v>152</v>
      </c>
      <c r="F121" s="17" t="str">
        <f t="shared" si="13"/>
        <v>amnt_d_at_mtrty_as_is</v>
      </c>
      <c r="G121" s="17" t="str">
        <f t="shared" si="14"/>
        <v>amnt_d_at_mtrty_to_be</v>
      </c>
      <c r="H121" s="17" t="str">
        <f>IF(VLOOKUP(B121,Instruções!$F$6:$J$10,5,0)="",
"(SELECT "&amp;VLOOKUP(B121,Instruções!$F$6:$J$10,4,0)&amp;" as "&amp;VLOOKUP(B121,Instruções!$F$6:$J$10,4,0)&amp;"_as_is, "&amp;E121&amp;" as "&amp;F121&amp;" FROM "&amp;C121&amp;" WHERE "&amp;Instruções!$D$11&amp;") A ",
"(SELECT "&amp;VLOOKUP(B121,Instruções!$F$6:$J$10,4,0)&amp;" as "&amp;VLOOKUP(B121,Instruções!$F$6:$J$10,4,0)&amp;"_as_is, "&amp;VLOOKUP(B121,Instruções!$F$6:$J$10,5,0)&amp;" as "&amp;VLOOKUP(B121,Instruções!$F$6:$J$10,5,0)&amp;"_as_is,"&amp;E121&amp;" as "&amp;F121&amp;" FROM "&amp;C121&amp;" WHERE "&amp;Instruções!$D$11&amp;") A ")</f>
        <v xml:space="preserve">(SELECT instrmnt_id as instrmnt_id_as_is, amnt_d_at_mtrty as amnt_d_at_mtrty_as_is FROM cd_loan_tapes_bce.lt002_instrument WHERE ref_date='2025-06-30' AND nome_perimetro= 'Individual IDComb' AND segmento= 'ESTR' AND ambito= 'PM' AND entidade='00100' AND cod_visao = 1) A </v>
      </c>
      <c r="I121" s="17" t="str">
        <f>IF(VLOOKUP(B121,Instruções!$F$6:$J$10,5,0)="",
"(SELECT "&amp;VLOOKUP(B121,Instruções!$F$6:$J$10,4,0)&amp;" as "&amp;VLOOKUP(B121,Instruções!$F$6:$J$10,4,0)&amp;"_to_be, "&amp;E121&amp;" as "&amp;G121&amp;" FROM "&amp;D121&amp;" WHERE "&amp;Instruções!$D$11&amp;") B ",
"(SELECT "&amp;VLOOKUP(B121,Instruções!$F$6:$J$10,4,0)&amp;" as "&amp;VLOOKUP(B121,Instruções!$F$6:$J$10,4,0)&amp;"_to_be, "&amp;VLOOKUP(B121,Instruções!$F$6:$J$10,5,0)&amp;" as "&amp;VLOOKUP(B121,Instruções!$F$6:$J$10,5,0)&amp;"_to_be,"&amp;E121&amp;" as "&amp;G121&amp;" FROM "&amp;D121&amp;" WHERE "&amp;Instruções!$D$11&amp;") B ")</f>
        <v xml:space="preserve">(SELECT instrmnt_id as instrmnt_id_to_be, amnt_d_at_mtrty as amnt_d_at_mtrty_to_be FROM bu_loantape_work.lt002_instrument WHERE ref_date='2025-06-30' AND nome_perimetro= 'Individual IDComb' AND segmento= 'ESTR' AND ambito= 'PM' AND entidade='00100' AND cod_visao = 1) B </v>
      </c>
      <c r="J121" s="17" t="str">
        <f>IF(VLOOKUP(B121,Instruções!$F$6:$J$10,5,0)="",
"ON "&amp;VLOOKUP(B121,Instruções!$F$6:$J$10,4,0)&amp;"_as_is = "&amp;VLOOKUP(B121,Instruções!$F$6:$J$10,4,0)&amp;"_to_be ",
"ON "&amp;VLOOKUP(B121,Instruções!$F$6:$J$10,4,0)&amp;"_as_is = "&amp;VLOOKUP(B121,Instruções!$F$6:$J$10,4,0)&amp;"_to_be AND "&amp;VLOOKUP(B121,Instruções!$F$6:$J$10,5,0)&amp;"_as_is = "&amp;VLOOKUP(B121,Instruções!$F$6:$J$10,5,0)&amp;"_to_be ")</f>
        <v xml:space="preserve">ON instrmnt_id_as_is = instrmnt_id_to_be </v>
      </c>
      <c r="K121" s="17" t="str">
        <f t="shared" si="15"/>
        <v xml:space="preserve">WHERE coalesce(cast(amnt_d_at_mtrty_as_is as string), '') &lt;&gt; coalesce(cast(amnt_d_at_mtrty_to_be as string), '') </v>
      </c>
      <c r="L121" s="17" t="str">
        <f t="shared" si="16"/>
        <v xml:space="preserve">SELECT count(*) AS NUM_REG_DIF FROM (SELECT instrmnt_id as instrmnt_id_as_is, amnt_d_at_mtrty as amnt_d_at_mtrty_as_is FROM cd_loan_tapes_bce.lt002_instrument WHERE ref_date='2025-06-30' AND nome_perimetro= 'Individual IDComb' AND segmento= 'ESTR' AND ambito= 'PM' AND entidade='00100' AND cod_visao = 1) A  Inner join (SELECT instrmnt_id as instrmnt_id_to_be, amnt_d_at_mtrty as amnt_d_at_mtrty_to_be FROM bu_loantape_work.lt002_instrument WHERE ref_date='2025-06-30' AND nome_perimetro= 'Individual IDComb' AND segmento= 'ESTR' AND ambito= 'PM' AND entidade='00100' AND cod_visao = 1) B ON instrmnt_id_as_is = instrmnt_id_to_be WHERE coalesce(cast(amnt_d_at_mtrty_as_is as string), '') &lt;&gt; coalesce(cast(amnt_d_at_mtrty_to_be as string), '') </v>
      </c>
      <c r="M121" s="17" t="s">
        <v>48</v>
      </c>
      <c r="N121" s="17" t="str">
        <f>"SELECT 'Validação de campos' as tipologia_teste, '"&amp;VLOOKUP(B121,Instruções!$F$6:$J$10,3,0)&amp;"' AS TABELA, '"&amp;E121&amp;"' AS CAMPO, '"&amp;Instruções!$D$7&amp;"' as ref_date, coalesce(NUM_REG_DIF, 0) AS NUM_REG_DIF FROM ("&amp;L121&amp;") A "</f>
        <v xml:space="preserve">SELECT 'Validação de campos' as tipologia_teste, 'lt002_instrument' AS TABELA, 'amnt_d_at_mtrty' AS CAMPO, '2025-06-30' as ref_date, coalesce(NUM_REG_DIF, 0) AS NUM_REG_DIF FROM (SELECT count(*) AS NUM_REG_DIF FROM (SELECT instrmnt_id as instrmnt_id_as_is, amnt_d_at_mtrty as amnt_d_at_mtrty_as_is FROM cd_loan_tapes_bce.lt002_instrument WHERE ref_date='2025-06-30' AND nome_perimetro= 'Individual IDComb' AND segmento= 'ESTR' AND ambito= 'PM' AND entidade='00100' AND cod_visao = 1) A  Inner join (SELECT instrmnt_id as instrmnt_id_to_be, amnt_d_at_mtrty as amnt_d_at_mtrty_to_be FROM bu_loantape_work.lt002_instrument WHERE ref_date='2025-06-30' AND nome_perimetro= 'Individual IDComb' AND segmento= 'ESTR' AND ambito= 'PM' AND entidade='00100' AND cod_visao = 1) B ON instrmnt_id_as_is = instrmnt_id_to_be WHERE coalesce(cast(amnt_d_at_mtrty_as_is as string), '') &lt;&gt; coalesce(cast(amnt_d_at_mtrty_to_be as string), '') ) A </v>
      </c>
      <c r="O121" s="19" t="str">
        <f t="shared" si="27"/>
        <v>SELECT 'Validação de campos' as tipologia_teste, 'lt002_instrument' AS TABELA, 'amnt_d_at_mtrty' AS CAMPO, '2025-06-30' as ref_date, coalesce(NUM_REG_DIF, 0) AS NUM_REG_DIF FROM (SELECT count(*) AS NUM_REG_DIF FROM (SELECT instrmnt_id as instrmnt_id_as_is, amnt_d_at_mtrty as amnt_d_at_mtrty_as_is FROM cd_loan_tapes_bce.lt002_instrument WHERE ref_date='2025-06-30' AND nome_perimetro= 'Individual IDComb' AND segmento= 'ESTR' AND ambito= 'PM' AND entidade='00100' AND cod_visao = 1) A  Inner join (SELECT instrmnt_id as instrmnt_id_to_be, amnt_d_at_mtrty as amnt_d_at_mtrty_to_be FROM bu_loantape_work.lt002_instrument WHERE ref_date='2025-06-30' AND nome_perimetro= 'Individual IDComb' AND segmento= 'ESTR' AND ambito= 'PM' AND entidade='00100' AND cod_visao = 1) B ON instrmnt_id_as_is = instrmnt_id_to_be WHERE coalesce(cast(amnt_d_at_mtrty_as_is as string), '') &lt;&gt; coalesce(cast(amnt_d_at_mtrty_to_be as string), '') ) A UNION ALL</v>
      </c>
      <c r="P121" s="17">
        <f t="shared" si="17"/>
        <v>9</v>
      </c>
    </row>
    <row r="122" spans="2:16" s="15" customFormat="1" ht="11.5" x14ac:dyDescent="0.25">
      <c r="B122" s="17" t="s">
        <v>24</v>
      </c>
      <c r="C122" s="17" t="str">
        <f>_xlfn.CONCAT(Instruções!$D$5,".",VLOOKUP(B122,Instruções!$F$5:$H$10,2,0))</f>
        <v>cd_loan_tapes_bce.lt002_instrument</v>
      </c>
      <c r="D122" s="17" t="str">
        <f>_xlfn.CONCAT(Instruções!$D$6,".",VLOOKUP(B122,Instruções!$F$5:$H$10,3,0))</f>
        <v>bu_loantape_work.lt002_instrument</v>
      </c>
      <c r="E122" s="17" t="s">
        <v>153</v>
      </c>
      <c r="F122" s="17" t="str">
        <f t="shared" si="13"/>
        <v>annlsd_agrd_rt_as_is</v>
      </c>
      <c r="G122" s="17" t="str">
        <f t="shared" si="14"/>
        <v>annlsd_agrd_rt_to_be</v>
      </c>
      <c r="H122" s="17" t="str">
        <f>IF(VLOOKUP(B122,Instruções!$F$6:$J$10,5,0)="",
"(SELECT "&amp;VLOOKUP(B122,Instruções!$F$6:$J$10,4,0)&amp;" as "&amp;VLOOKUP(B122,Instruções!$F$6:$J$10,4,0)&amp;"_as_is, "&amp;E122&amp;" as "&amp;F122&amp;" FROM "&amp;C122&amp;" WHERE "&amp;Instruções!$D$11&amp;") A ",
"(SELECT "&amp;VLOOKUP(B122,Instruções!$F$6:$J$10,4,0)&amp;" as "&amp;VLOOKUP(B122,Instruções!$F$6:$J$10,4,0)&amp;"_as_is, "&amp;VLOOKUP(B122,Instruções!$F$6:$J$10,5,0)&amp;" as "&amp;VLOOKUP(B122,Instruções!$F$6:$J$10,5,0)&amp;"_as_is,"&amp;E122&amp;" as "&amp;F122&amp;" FROM "&amp;C122&amp;" WHERE "&amp;Instruções!$D$11&amp;") A ")</f>
        <v xml:space="preserve">(SELECT instrmnt_id as instrmnt_id_as_is, annlsd_agrd_rt as annlsd_agrd_rt_as_is FROM cd_loan_tapes_bce.lt002_instrument WHERE ref_date='2025-06-30' AND nome_perimetro= 'Individual IDComb' AND segmento= 'ESTR' AND ambito= 'PM' AND entidade='00100' AND cod_visao = 1) A </v>
      </c>
      <c r="I122" s="17" t="str">
        <f>IF(VLOOKUP(B122,Instruções!$F$6:$J$10,5,0)="",
"(SELECT "&amp;VLOOKUP(B122,Instruções!$F$6:$J$10,4,0)&amp;" as "&amp;VLOOKUP(B122,Instruções!$F$6:$J$10,4,0)&amp;"_to_be, "&amp;E122&amp;" as "&amp;G122&amp;" FROM "&amp;D122&amp;" WHERE "&amp;Instruções!$D$11&amp;") B ",
"(SELECT "&amp;VLOOKUP(B122,Instruções!$F$6:$J$10,4,0)&amp;" as "&amp;VLOOKUP(B122,Instruções!$F$6:$J$10,4,0)&amp;"_to_be, "&amp;VLOOKUP(B122,Instruções!$F$6:$J$10,5,0)&amp;" as "&amp;VLOOKUP(B122,Instruções!$F$6:$J$10,5,0)&amp;"_to_be,"&amp;E122&amp;" as "&amp;G122&amp;" FROM "&amp;D122&amp;" WHERE "&amp;Instruções!$D$11&amp;") B ")</f>
        <v xml:space="preserve">(SELECT instrmnt_id as instrmnt_id_to_be, annlsd_agrd_rt as annlsd_agrd_rt_to_be FROM bu_loantape_work.lt002_instrument WHERE ref_date='2025-06-30' AND nome_perimetro= 'Individual IDComb' AND segmento= 'ESTR' AND ambito= 'PM' AND entidade='00100' AND cod_visao = 1) B </v>
      </c>
      <c r="J122" s="17" t="str">
        <f>IF(VLOOKUP(B122,Instruções!$F$6:$J$10,5,0)="",
"ON "&amp;VLOOKUP(B122,Instruções!$F$6:$J$10,4,0)&amp;"_as_is = "&amp;VLOOKUP(B122,Instruções!$F$6:$J$10,4,0)&amp;"_to_be ",
"ON "&amp;VLOOKUP(B122,Instruções!$F$6:$J$10,4,0)&amp;"_as_is = "&amp;VLOOKUP(B122,Instruções!$F$6:$J$10,4,0)&amp;"_to_be AND "&amp;VLOOKUP(B122,Instruções!$F$6:$J$10,5,0)&amp;"_as_is = "&amp;VLOOKUP(B122,Instruções!$F$6:$J$10,5,0)&amp;"_to_be ")</f>
        <v xml:space="preserve">ON instrmnt_id_as_is = instrmnt_id_to_be </v>
      </c>
      <c r="K122" s="17" t="str">
        <f t="shared" si="15"/>
        <v xml:space="preserve">WHERE coalesce(cast(annlsd_agrd_rt_as_is as string), '') &lt;&gt; coalesce(cast(annlsd_agrd_rt_to_be as string), '') </v>
      </c>
      <c r="L122" s="17" t="str">
        <f t="shared" si="16"/>
        <v xml:space="preserve">SELECT count(*) AS NUM_REG_DIF FROM (SELECT instrmnt_id as instrmnt_id_as_is, annlsd_agrd_rt as annlsd_agrd_rt_as_is FROM cd_loan_tapes_bce.lt002_instrument WHERE ref_date='2025-06-30' AND nome_perimetro= 'Individual IDComb' AND segmento= 'ESTR' AND ambito= 'PM' AND entidade='00100' AND cod_visao = 1) A  Inner join (SELECT instrmnt_id as instrmnt_id_to_be, annlsd_agrd_rt as annlsd_agrd_rt_to_be FROM bu_loantape_work.lt002_instrument WHERE ref_date='2025-06-30' AND nome_perimetro= 'Individual IDComb' AND segmento= 'ESTR' AND ambito= 'PM' AND entidade='00100' AND cod_visao = 1) B ON instrmnt_id_as_is = instrmnt_id_to_be WHERE coalesce(cast(annlsd_agrd_rt_as_is as string), '') &lt;&gt; coalesce(cast(annlsd_agrd_rt_to_be as string), '') </v>
      </c>
      <c r="M122" s="17" t="s">
        <v>48</v>
      </c>
      <c r="N122" s="17" t="str">
        <f>"SELECT 'Validação de campos' as tipologia_teste, '"&amp;VLOOKUP(B122,Instruções!$F$6:$J$10,3,0)&amp;"' AS TABELA, '"&amp;E122&amp;"' AS CAMPO, '"&amp;Instruções!$D$7&amp;"' as ref_date, coalesce(NUM_REG_DIF, 0) AS NUM_REG_DIF FROM ("&amp;L122&amp;") A "</f>
        <v xml:space="preserve">SELECT 'Validação de campos' as tipologia_teste, 'lt002_instrument' AS TABELA, 'annlsd_agrd_rt' AS CAMPO, '2025-06-30' as ref_date, coalesce(NUM_REG_DIF, 0) AS NUM_REG_DIF FROM (SELECT count(*) AS NUM_REG_DIF FROM (SELECT instrmnt_id as instrmnt_id_as_is, annlsd_agrd_rt as annlsd_agrd_rt_as_is FROM cd_loan_tapes_bce.lt002_instrument WHERE ref_date='2025-06-30' AND nome_perimetro= 'Individual IDComb' AND segmento= 'ESTR' AND ambito= 'PM' AND entidade='00100' AND cod_visao = 1) A  Inner join (SELECT instrmnt_id as instrmnt_id_to_be, annlsd_agrd_rt as annlsd_agrd_rt_to_be FROM bu_loantape_work.lt002_instrument WHERE ref_date='2025-06-30' AND nome_perimetro= 'Individual IDComb' AND segmento= 'ESTR' AND ambito= 'PM' AND entidade='00100' AND cod_visao = 1) B ON instrmnt_id_as_is = instrmnt_id_to_be WHERE coalesce(cast(annlsd_agrd_rt_as_is as string), '') &lt;&gt; coalesce(cast(annlsd_agrd_rt_to_be as string), '') ) A </v>
      </c>
      <c r="O122" s="19" t="str">
        <f t="shared" si="27"/>
        <v>SELECT 'Validação de campos' as tipologia_teste, 'lt002_instrument' AS TABELA, 'annlsd_agrd_rt' AS CAMPO, '2025-06-30' as ref_date, coalesce(NUM_REG_DIF, 0) AS NUM_REG_DIF FROM (SELECT count(*) AS NUM_REG_DIF FROM (SELECT instrmnt_id as instrmnt_id_as_is, annlsd_agrd_rt as annlsd_agrd_rt_as_is FROM cd_loan_tapes_bce.lt002_instrument WHERE ref_date='2025-06-30' AND nome_perimetro= 'Individual IDComb' AND segmento= 'ESTR' AND ambito= 'PM' AND entidade='00100' AND cod_visao = 1) A  Inner join (SELECT instrmnt_id as instrmnt_id_to_be, annlsd_agrd_rt as annlsd_agrd_rt_to_be FROM bu_loantape_work.lt002_instrument WHERE ref_date='2025-06-30' AND nome_perimetro= 'Individual IDComb' AND segmento= 'ESTR' AND ambito= 'PM' AND entidade='00100' AND cod_visao = 1) B ON instrmnt_id_as_is = instrmnt_id_to_be WHERE coalesce(cast(annlsd_agrd_rt_as_is as string), '') &lt;&gt; coalesce(cast(annlsd_agrd_rt_to_be as string), '') ) A UNION ALL</v>
      </c>
      <c r="P122" s="17">
        <f t="shared" si="17"/>
        <v>10</v>
      </c>
    </row>
    <row r="123" spans="2:16" s="15" customFormat="1" ht="11.5" x14ac:dyDescent="0.25">
      <c r="B123" s="17" t="s">
        <v>24</v>
      </c>
      <c r="C123" s="17" t="str">
        <f>_xlfn.CONCAT(Instruções!$D$5,".",VLOOKUP(B123,Instruções!$F$5:$H$10,2,0))</f>
        <v>cd_loan_tapes_bce.lt002_instrument</v>
      </c>
      <c r="D123" s="17" t="str">
        <f>_xlfn.CONCAT(Instruções!$D$6,".",VLOOKUP(B123,Instruções!$F$5:$H$10,3,0))</f>
        <v>bu_loantape_work.lt002_instrument</v>
      </c>
      <c r="E123" s="17" t="s">
        <v>154</v>
      </c>
      <c r="F123" s="17" t="str">
        <f t="shared" si="13"/>
        <v>arrrs_instrmnt_as_is</v>
      </c>
      <c r="G123" s="17" t="str">
        <f t="shared" si="14"/>
        <v>arrrs_instrmnt_to_be</v>
      </c>
      <c r="H123" s="17" t="str">
        <f>IF(VLOOKUP(B123,Instruções!$F$6:$J$10,5,0)="",
"(SELECT "&amp;VLOOKUP(B123,Instruções!$F$6:$J$10,4,0)&amp;" as "&amp;VLOOKUP(B123,Instruções!$F$6:$J$10,4,0)&amp;"_as_is, "&amp;E123&amp;" as "&amp;F123&amp;" FROM "&amp;C123&amp;" WHERE "&amp;Instruções!$D$11&amp;") A ",
"(SELECT "&amp;VLOOKUP(B123,Instruções!$F$6:$J$10,4,0)&amp;" as "&amp;VLOOKUP(B123,Instruções!$F$6:$J$10,4,0)&amp;"_as_is, "&amp;VLOOKUP(B123,Instruções!$F$6:$J$10,5,0)&amp;" as "&amp;VLOOKUP(B123,Instruções!$F$6:$J$10,5,0)&amp;"_as_is,"&amp;E123&amp;" as "&amp;F123&amp;" FROM "&amp;C123&amp;" WHERE "&amp;Instruções!$D$11&amp;") A ")</f>
        <v xml:space="preserve">(SELECT instrmnt_id as instrmnt_id_as_is, arrrs_instrmnt as arrrs_instrmnt_as_is FROM cd_loan_tapes_bce.lt002_instrument WHERE ref_date='2025-06-30' AND nome_perimetro= 'Individual IDComb' AND segmento= 'ESTR' AND ambito= 'PM' AND entidade='00100' AND cod_visao = 1) A </v>
      </c>
      <c r="I123" s="17" t="str">
        <f>IF(VLOOKUP(B123,Instruções!$F$6:$J$10,5,0)="",
"(SELECT "&amp;VLOOKUP(B123,Instruções!$F$6:$J$10,4,0)&amp;" as "&amp;VLOOKUP(B123,Instruções!$F$6:$J$10,4,0)&amp;"_to_be, "&amp;E123&amp;" as "&amp;G123&amp;" FROM "&amp;D123&amp;" WHERE "&amp;Instruções!$D$11&amp;") B ",
"(SELECT "&amp;VLOOKUP(B123,Instruções!$F$6:$J$10,4,0)&amp;" as "&amp;VLOOKUP(B123,Instruções!$F$6:$J$10,4,0)&amp;"_to_be, "&amp;VLOOKUP(B123,Instruções!$F$6:$J$10,5,0)&amp;" as "&amp;VLOOKUP(B123,Instruções!$F$6:$J$10,5,0)&amp;"_to_be,"&amp;E123&amp;" as "&amp;G123&amp;" FROM "&amp;D123&amp;" WHERE "&amp;Instruções!$D$11&amp;") B ")</f>
        <v xml:space="preserve">(SELECT instrmnt_id as instrmnt_id_to_be, arrrs_instrmnt as arrrs_instrmnt_to_be FROM bu_loantape_work.lt002_instrument WHERE ref_date='2025-06-30' AND nome_perimetro= 'Individual IDComb' AND segmento= 'ESTR' AND ambito= 'PM' AND entidade='00100' AND cod_visao = 1) B </v>
      </c>
      <c r="J123" s="17" t="str">
        <f>IF(VLOOKUP(B123,Instruções!$F$6:$J$10,5,0)="",
"ON "&amp;VLOOKUP(B123,Instruções!$F$6:$J$10,4,0)&amp;"_as_is = "&amp;VLOOKUP(B123,Instruções!$F$6:$J$10,4,0)&amp;"_to_be ",
"ON "&amp;VLOOKUP(B123,Instruções!$F$6:$J$10,4,0)&amp;"_as_is = "&amp;VLOOKUP(B123,Instruções!$F$6:$J$10,4,0)&amp;"_to_be AND "&amp;VLOOKUP(B123,Instruções!$F$6:$J$10,5,0)&amp;"_as_is = "&amp;VLOOKUP(B123,Instruções!$F$6:$J$10,5,0)&amp;"_to_be ")</f>
        <v xml:space="preserve">ON instrmnt_id_as_is = instrmnt_id_to_be </v>
      </c>
      <c r="K123" s="17" t="str">
        <f t="shared" si="15"/>
        <v xml:space="preserve">WHERE coalesce(cast(arrrs_instrmnt_as_is as string), '') &lt;&gt; coalesce(cast(arrrs_instrmnt_to_be as string), '') </v>
      </c>
      <c r="L123" s="17" t="str">
        <f t="shared" si="16"/>
        <v xml:space="preserve">SELECT count(*) AS NUM_REG_DIF FROM (SELECT instrmnt_id as instrmnt_id_as_is, arrrs_instrmnt as arrrs_instrmnt_as_is FROM cd_loan_tapes_bce.lt002_instrument WHERE ref_date='2025-06-30' AND nome_perimetro= 'Individual IDComb' AND segmento= 'ESTR' AND ambito= 'PM' AND entidade='00100' AND cod_visao = 1) A  Inner join (SELECT instrmnt_id as instrmnt_id_to_be, arrrs_instrmnt as arrrs_instrmnt_to_be FROM bu_loantape_work.lt002_instrument WHERE ref_date='2025-06-30' AND nome_perimetro= 'Individual IDComb' AND segmento= 'ESTR' AND ambito= 'PM' AND entidade='00100' AND cod_visao = 1) B ON instrmnt_id_as_is = instrmnt_id_to_be WHERE coalesce(cast(arrrs_instrmnt_as_is as string), '') &lt;&gt; coalesce(cast(arrrs_instrmnt_to_be as string), '') </v>
      </c>
      <c r="M123" s="17" t="s">
        <v>48</v>
      </c>
      <c r="N123" s="17" t="str">
        <f>"SELECT 'Validação de campos' as tipologia_teste, '"&amp;VLOOKUP(B123,Instruções!$F$6:$J$10,3,0)&amp;"' AS TABELA, '"&amp;E123&amp;"' AS CAMPO, '"&amp;Instruções!$D$7&amp;"' as ref_date, coalesce(NUM_REG_DIF, 0) AS NUM_REG_DIF FROM ("&amp;L123&amp;") A "</f>
        <v xml:space="preserve">SELECT 'Validação de campos' as tipologia_teste, 'lt002_instrument' AS TABELA, 'arrrs_instrmnt' AS CAMPO, '2025-06-30' as ref_date, coalesce(NUM_REG_DIF, 0) AS NUM_REG_DIF FROM (SELECT count(*) AS NUM_REG_DIF FROM (SELECT instrmnt_id as instrmnt_id_as_is, arrrs_instrmnt as arrrs_instrmnt_as_is FROM cd_loan_tapes_bce.lt002_instrument WHERE ref_date='2025-06-30' AND nome_perimetro= 'Individual IDComb' AND segmento= 'ESTR' AND ambito= 'PM' AND entidade='00100' AND cod_visao = 1) A  Inner join (SELECT instrmnt_id as instrmnt_id_to_be, arrrs_instrmnt as arrrs_instrmnt_to_be FROM bu_loantape_work.lt002_instrument WHERE ref_date='2025-06-30' AND nome_perimetro= 'Individual IDComb' AND segmento= 'ESTR' AND ambito= 'PM' AND entidade='00100' AND cod_visao = 1) B ON instrmnt_id_as_is = instrmnt_id_to_be WHERE coalesce(cast(arrrs_instrmnt_as_is as string), '') &lt;&gt; coalesce(cast(arrrs_instrmnt_to_be as string), '') ) A </v>
      </c>
      <c r="O123" s="19" t="str">
        <f t="shared" si="27"/>
        <v>SELECT 'Validação de campos' as tipologia_teste, 'lt002_instrument' AS TABELA, 'arrrs_instrmnt' AS CAMPO, '2025-06-30' as ref_date, coalesce(NUM_REG_DIF, 0) AS NUM_REG_DIF FROM (SELECT count(*) AS NUM_REG_DIF FROM (SELECT instrmnt_id as instrmnt_id_as_is, arrrs_instrmnt as arrrs_instrmnt_as_is FROM cd_loan_tapes_bce.lt002_instrument WHERE ref_date='2025-06-30' AND nome_perimetro= 'Individual IDComb' AND segmento= 'ESTR' AND ambito= 'PM' AND entidade='00100' AND cod_visao = 1) A  Inner join (SELECT instrmnt_id as instrmnt_id_to_be, arrrs_instrmnt as arrrs_instrmnt_to_be FROM bu_loantape_work.lt002_instrument WHERE ref_date='2025-06-30' AND nome_perimetro= 'Individual IDComb' AND segmento= 'ESTR' AND ambito= 'PM' AND entidade='00100' AND cod_visao = 1) B ON instrmnt_id_as_is = instrmnt_id_to_be WHERE coalesce(cast(arrrs_instrmnt_as_is as string), '') &lt;&gt; coalesce(cast(arrrs_instrmnt_to_be as string), '') ) A UNION ALL</v>
      </c>
      <c r="P123" s="17">
        <f t="shared" si="17"/>
        <v>11</v>
      </c>
    </row>
    <row r="124" spans="2:16" s="15" customFormat="1" ht="11.5" x14ac:dyDescent="0.25">
      <c r="B124" s="17" t="s">
        <v>24</v>
      </c>
      <c r="C124" s="17" t="str">
        <f>_xlfn.CONCAT(Instruções!$D$5,".",VLOOKUP(B124,Instruções!$F$5:$H$10,2,0))</f>
        <v>cd_loan_tapes_bce.lt002_instrument</v>
      </c>
      <c r="D124" s="17" t="str">
        <f>_xlfn.CONCAT(Instruções!$D$6,".",VLOOKUP(B124,Instruções!$F$5:$H$10,3,0))</f>
        <v>bu_loantape_work.lt002_instrument</v>
      </c>
      <c r="E124" s="17" t="s">
        <v>155</v>
      </c>
      <c r="F124" s="17" t="str">
        <f t="shared" si="13"/>
        <v>arrrs_instrmnt_12m_as_is</v>
      </c>
      <c r="G124" s="17" t="str">
        <f t="shared" si="14"/>
        <v>arrrs_instrmnt_12m_to_be</v>
      </c>
      <c r="H124" s="17" t="str">
        <f>IF(VLOOKUP(B124,Instruções!$F$6:$J$10,5,0)="",
"(SELECT "&amp;VLOOKUP(B124,Instruções!$F$6:$J$10,4,0)&amp;" as "&amp;VLOOKUP(B124,Instruções!$F$6:$J$10,4,0)&amp;"_as_is, "&amp;E124&amp;" as "&amp;F124&amp;" FROM "&amp;C124&amp;" WHERE "&amp;Instruções!$D$11&amp;") A ",
"(SELECT "&amp;VLOOKUP(B124,Instruções!$F$6:$J$10,4,0)&amp;" as "&amp;VLOOKUP(B124,Instruções!$F$6:$J$10,4,0)&amp;"_as_is, "&amp;VLOOKUP(B124,Instruções!$F$6:$J$10,5,0)&amp;" as "&amp;VLOOKUP(B124,Instruções!$F$6:$J$10,5,0)&amp;"_as_is,"&amp;E124&amp;" as "&amp;F124&amp;" FROM "&amp;C124&amp;" WHERE "&amp;Instruções!$D$11&amp;") A ")</f>
        <v xml:space="preserve">(SELECT instrmnt_id as instrmnt_id_as_is, arrrs_instrmnt_12m as arrrs_instrmnt_12m_as_is FROM cd_loan_tapes_bce.lt002_instrument WHERE ref_date='2025-06-30' AND nome_perimetro= 'Individual IDComb' AND segmento= 'ESTR' AND ambito= 'PM' AND entidade='00100' AND cod_visao = 1) A </v>
      </c>
      <c r="I124" s="17" t="str">
        <f>IF(VLOOKUP(B124,Instruções!$F$6:$J$10,5,0)="",
"(SELECT "&amp;VLOOKUP(B124,Instruções!$F$6:$J$10,4,0)&amp;" as "&amp;VLOOKUP(B124,Instruções!$F$6:$J$10,4,0)&amp;"_to_be, "&amp;E124&amp;" as "&amp;G124&amp;" FROM "&amp;D124&amp;" WHERE "&amp;Instruções!$D$11&amp;") B ",
"(SELECT "&amp;VLOOKUP(B124,Instruções!$F$6:$J$10,4,0)&amp;" as "&amp;VLOOKUP(B124,Instruções!$F$6:$J$10,4,0)&amp;"_to_be, "&amp;VLOOKUP(B124,Instruções!$F$6:$J$10,5,0)&amp;" as "&amp;VLOOKUP(B124,Instruções!$F$6:$J$10,5,0)&amp;"_to_be,"&amp;E124&amp;" as "&amp;G124&amp;" FROM "&amp;D124&amp;" WHERE "&amp;Instruções!$D$11&amp;") B ")</f>
        <v xml:space="preserve">(SELECT instrmnt_id as instrmnt_id_to_be, arrrs_instrmnt_12m as arrrs_instrmnt_12m_to_be FROM bu_loantape_work.lt002_instrument WHERE ref_date='2025-06-30' AND nome_perimetro= 'Individual IDComb' AND segmento= 'ESTR' AND ambito= 'PM' AND entidade='00100' AND cod_visao = 1) B </v>
      </c>
      <c r="J124" s="17" t="str">
        <f>IF(VLOOKUP(B124,Instruções!$F$6:$J$10,5,0)="",
"ON "&amp;VLOOKUP(B124,Instruções!$F$6:$J$10,4,0)&amp;"_as_is = "&amp;VLOOKUP(B124,Instruções!$F$6:$J$10,4,0)&amp;"_to_be ",
"ON "&amp;VLOOKUP(B124,Instruções!$F$6:$J$10,4,0)&amp;"_as_is = "&amp;VLOOKUP(B124,Instruções!$F$6:$J$10,4,0)&amp;"_to_be AND "&amp;VLOOKUP(B124,Instruções!$F$6:$J$10,5,0)&amp;"_as_is = "&amp;VLOOKUP(B124,Instruções!$F$6:$J$10,5,0)&amp;"_to_be ")</f>
        <v xml:space="preserve">ON instrmnt_id_as_is = instrmnt_id_to_be </v>
      </c>
      <c r="K124" s="17" t="str">
        <f t="shared" si="15"/>
        <v xml:space="preserve">WHERE coalesce(cast(arrrs_instrmnt_12m_as_is as string), '') &lt;&gt; coalesce(cast(arrrs_instrmnt_12m_to_be as string), '') </v>
      </c>
      <c r="L124" s="17" t="str">
        <f t="shared" si="16"/>
        <v xml:space="preserve">SELECT count(*) AS NUM_REG_DIF FROM (SELECT instrmnt_id as instrmnt_id_as_is, arrrs_instrmnt_12m as arrrs_instrmnt_12m_as_is FROM cd_loan_tapes_bce.lt002_instrument WHERE ref_date='2025-06-30' AND nome_perimetro= 'Individual IDComb' AND segmento= 'ESTR' AND ambito= 'PM' AND entidade='00100' AND cod_visao = 1) A  Inner join (SELECT instrmnt_id as instrmnt_id_to_be, arrrs_instrmnt_12m as arrrs_instrmnt_12m_to_be FROM bu_loantape_work.lt002_instrument WHERE ref_date='2025-06-30' AND nome_perimetro= 'Individual IDComb' AND segmento= 'ESTR' AND ambito= 'PM' AND entidade='00100' AND cod_visao = 1) B ON instrmnt_id_as_is = instrmnt_id_to_be WHERE coalesce(cast(arrrs_instrmnt_12m_as_is as string), '') &lt;&gt; coalesce(cast(arrrs_instrmnt_12m_to_be as string), '') </v>
      </c>
      <c r="M124" s="17" t="s">
        <v>48</v>
      </c>
      <c r="N124" s="17" t="str">
        <f>"SELECT 'Validação de campos' as tipologia_teste, '"&amp;VLOOKUP(B124,Instruções!$F$6:$J$10,3,0)&amp;"' AS TABELA, '"&amp;E124&amp;"' AS CAMPO, '"&amp;Instruções!$D$7&amp;"' as ref_date, coalesce(NUM_REG_DIF, 0) AS NUM_REG_DIF FROM ("&amp;L124&amp;") A "</f>
        <v xml:space="preserve">SELECT 'Validação de campos' as tipologia_teste, 'lt002_instrument' AS TABELA, 'arrrs_instrmnt_12m' AS CAMPO, '2025-06-30' as ref_date, coalesce(NUM_REG_DIF, 0) AS NUM_REG_DIF FROM (SELECT count(*) AS NUM_REG_DIF FROM (SELECT instrmnt_id as instrmnt_id_as_is, arrrs_instrmnt_12m as arrrs_instrmnt_12m_as_is FROM cd_loan_tapes_bce.lt002_instrument WHERE ref_date='2025-06-30' AND nome_perimetro= 'Individual IDComb' AND segmento= 'ESTR' AND ambito= 'PM' AND entidade='00100' AND cod_visao = 1) A  Inner join (SELECT instrmnt_id as instrmnt_id_to_be, arrrs_instrmnt_12m as arrrs_instrmnt_12m_to_be FROM bu_loantape_work.lt002_instrument WHERE ref_date='2025-06-30' AND nome_perimetro= 'Individual IDComb' AND segmento= 'ESTR' AND ambito= 'PM' AND entidade='00100' AND cod_visao = 1) B ON instrmnt_id_as_is = instrmnt_id_to_be WHERE coalesce(cast(arrrs_instrmnt_12m_as_is as string), '') &lt;&gt; coalesce(cast(arrrs_instrmnt_12m_to_be as string), '') ) A </v>
      </c>
      <c r="O124" s="19" t="str">
        <f t="shared" si="27"/>
        <v>SELECT 'Validação de campos' as tipologia_teste, 'lt002_instrument' AS TABELA, 'arrrs_instrmnt_12m' AS CAMPO, '2025-06-30' as ref_date, coalesce(NUM_REG_DIF, 0) AS NUM_REG_DIF FROM (SELECT count(*) AS NUM_REG_DIF FROM (SELECT instrmnt_id as instrmnt_id_as_is, arrrs_instrmnt_12m as arrrs_instrmnt_12m_as_is FROM cd_loan_tapes_bce.lt002_instrument WHERE ref_date='2025-06-30' AND nome_perimetro= 'Individual IDComb' AND segmento= 'ESTR' AND ambito= 'PM' AND entidade='00100' AND cod_visao = 1) A  Inner join (SELECT instrmnt_id as instrmnt_id_to_be, arrrs_instrmnt_12m as arrrs_instrmnt_12m_to_be FROM bu_loantape_work.lt002_instrument WHERE ref_date='2025-06-30' AND nome_perimetro= 'Individual IDComb' AND segmento= 'ESTR' AND ambito= 'PM' AND entidade='00100' AND cod_visao = 1) B ON instrmnt_id_as_is = instrmnt_id_to_be WHERE coalesce(cast(arrrs_instrmnt_12m_as_is as string), '') &lt;&gt; coalesce(cast(arrrs_instrmnt_12m_to_be as string), '') ) A UNION ALL</v>
      </c>
      <c r="P124" s="17">
        <f t="shared" si="17"/>
        <v>12</v>
      </c>
    </row>
    <row r="125" spans="2:16" s="15" customFormat="1" ht="11.5" x14ac:dyDescent="0.25">
      <c r="B125" s="17" t="s">
        <v>24</v>
      </c>
      <c r="C125" s="17" t="str">
        <f>_xlfn.CONCAT(Instruções!$D$5,".",VLOOKUP(B125,Instruções!$F$5:$H$10,2,0))</f>
        <v>cd_loan_tapes_bce.lt002_instrument</v>
      </c>
      <c r="D125" s="17" t="str">
        <f>_xlfn.CONCAT(Instruções!$D$6,".",VLOOKUP(B125,Instruções!$F$5:$H$10,3,0))</f>
        <v>bu_loantape_work.lt002_instrument</v>
      </c>
      <c r="E125" s="17" t="s">
        <v>156</v>
      </c>
      <c r="F125" s="17" t="str">
        <f t="shared" si="13"/>
        <v>asst_scrt_clss_as_is</v>
      </c>
      <c r="G125" s="17" t="str">
        <f t="shared" si="14"/>
        <v>asst_scrt_clss_to_be</v>
      </c>
      <c r="H125" s="17" t="str">
        <f>IF(VLOOKUP(B125,Instruções!$F$6:$J$10,5,0)="",
"(SELECT "&amp;VLOOKUP(B125,Instruções!$F$6:$J$10,4,0)&amp;" as "&amp;VLOOKUP(B125,Instruções!$F$6:$J$10,4,0)&amp;"_as_is, "&amp;E125&amp;" as "&amp;F125&amp;" FROM "&amp;C125&amp;" WHERE "&amp;Instruções!$D$11&amp;") A ",
"(SELECT "&amp;VLOOKUP(B125,Instruções!$F$6:$J$10,4,0)&amp;" as "&amp;VLOOKUP(B125,Instruções!$F$6:$J$10,4,0)&amp;"_as_is, "&amp;VLOOKUP(B125,Instruções!$F$6:$J$10,5,0)&amp;" as "&amp;VLOOKUP(B125,Instruções!$F$6:$J$10,5,0)&amp;"_as_is,"&amp;E125&amp;" as "&amp;F125&amp;" FROM "&amp;C125&amp;" WHERE "&amp;Instruções!$D$11&amp;") A ")</f>
        <v xml:space="preserve">(SELECT instrmnt_id as instrmnt_id_as_is, asst_scrt_clss as asst_scrt_clss_as_is FROM cd_loan_tapes_bce.lt002_instrument WHERE ref_date='2025-06-30' AND nome_perimetro= 'Individual IDComb' AND segmento= 'ESTR' AND ambito= 'PM' AND entidade='00100' AND cod_visao = 1) A </v>
      </c>
      <c r="I125" s="17" t="str">
        <f>IF(VLOOKUP(B125,Instruções!$F$6:$J$10,5,0)="",
"(SELECT "&amp;VLOOKUP(B125,Instruções!$F$6:$J$10,4,0)&amp;" as "&amp;VLOOKUP(B125,Instruções!$F$6:$J$10,4,0)&amp;"_to_be, "&amp;E125&amp;" as "&amp;G125&amp;" FROM "&amp;D125&amp;" WHERE "&amp;Instruções!$D$11&amp;") B ",
"(SELECT "&amp;VLOOKUP(B125,Instruções!$F$6:$J$10,4,0)&amp;" as "&amp;VLOOKUP(B125,Instruções!$F$6:$J$10,4,0)&amp;"_to_be, "&amp;VLOOKUP(B125,Instruções!$F$6:$J$10,5,0)&amp;" as "&amp;VLOOKUP(B125,Instruções!$F$6:$J$10,5,0)&amp;"_to_be,"&amp;E125&amp;" as "&amp;G125&amp;" FROM "&amp;D125&amp;" WHERE "&amp;Instruções!$D$11&amp;") B ")</f>
        <v xml:space="preserve">(SELECT instrmnt_id as instrmnt_id_to_be, asst_scrt_clss as asst_scrt_clss_to_be FROM bu_loantape_work.lt002_instrument WHERE ref_date='2025-06-30' AND nome_perimetro= 'Individual IDComb' AND segmento= 'ESTR' AND ambito= 'PM' AND entidade='00100' AND cod_visao = 1) B </v>
      </c>
      <c r="J125" s="17" t="str">
        <f>IF(VLOOKUP(B125,Instruções!$F$6:$J$10,5,0)="",
"ON "&amp;VLOOKUP(B125,Instruções!$F$6:$J$10,4,0)&amp;"_as_is = "&amp;VLOOKUP(B125,Instruções!$F$6:$J$10,4,0)&amp;"_to_be ",
"ON "&amp;VLOOKUP(B125,Instruções!$F$6:$J$10,4,0)&amp;"_as_is = "&amp;VLOOKUP(B125,Instruções!$F$6:$J$10,4,0)&amp;"_to_be AND "&amp;VLOOKUP(B125,Instruções!$F$6:$J$10,5,0)&amp;"_as_is = "&amp;VLOOKUP(B125,Instruções!$F$6:$J$10,5,0)&amp;"_to_be ")</f>
        <v xml:space="preserve">ON instrmnt_id_as_is = instrmnt_id_to_be </v>
      </c>
      <c r="K125" s="17" t="str">
        <f t="shared" si="15"/>
        <v xml:space="preserve">WHERE coalesce(cast(asst_scrt_clss_as_is as string), '') &lt;&gt; coalesce(cast(asst_scrt_clss_to_be as string), '') </v>
      </c>
      <c r="L125" s="17" t="str">
        <f t="shared" si="16"/>
        <v xml:space="preserve">SELECT count(*) AS NUM_REG_DIF FROM (SELECT instrmnt_id as instrmnt_id_as_is, asst_scrt_clss as asst_scrt_clss_as_is FROM cd_loan_tapes_bce.lt002_instrument WHERE ref_date='2025-06-30' AND nome_perimetro= 'Individual IDComb' AND segmento= 'ESTR' AND ambito= 'PM' AND entidade='00100' AND cod_visao = 1) A  Inner join (SELECT instrmnt_id as instrmnt_id_to_be, asst_scrt_clss as asst_scrt_clss_to_be FROM bu_loantape_work.lt002_instrument WHERE ref_date='2025-06-30' AND nome_perimetro= 'Individual IDComb' AND segmento= 'ESTR' AND ambito= 'PM' AND entidade='00100' AND cod_visao = 1) B ON instrmnt_id_as_is = instrmnt_id_to_be WHERE coalesce(cast(asst_scrt_clss_as_is as string), '') &lt;&gt; coalesce(cast(asst_scrt_clss_to_be as string), '') </v>
      </c>
      <c r="M125" s="17" t="s">
        <v>48</v>
      </c>
      <c r="N125" s="17" t="str">
        <f>"SELECT 'Validação de campos' as tipologia_teste, '"&amp;VLOOKUP(B125,Instruções!$F$6:$J$10,3,0)&amp;"' AS TABELA, '"&amp;E125&amp;"' AS CAMPO, '"&amp;Instruções!$D$7&amp;"' as ref_date, coalesce(NUM_REG_DIF, 0) AS NUM_REG_DIF FROM ("&amp;L125&amp;") A "</f>
        <v xml:space="preserve">SELECT 'Validação de campos' as tipologia_teste, 'lt002_instrument' AS TABELA, 'asst_scrt_clss' AS CAMPO, '2025-06-30' as ref_date, coalesce(NUM_REG_DIF, 0) AS NUM_REG_DIF FROM (SELECT count(*) AS NUM_REG_DIF FROM (SELECT instrmnt_id as instrmnt_id_as_is, asst_scrt_clss as asst_scrt_clss_as_is FROM cd_loan_tapes_bce.lt002_instrument WHERE ref_date='2025-06-30' AND nome_perimetro= 'Individual IDComb' AND segmento= 'ESTR' AND ambito= 'PM' AND entidade='00100' AND cod_visao = 1) A  Inner join (SELECT instrmnt_id as instrmnt_id_to_be, asst_scrt_clss as asst_scrt_clss_to_be FROM bu_loantape_work.lt002_instrument WHERE ref_date='2025-06-30' AND nome_perimetro= 'Individual IDComb' AND segmento= 'ESTR' AND ambito= 'PM' AND entidade='00100' AND cod_visao = 1) B ON instrmnt_id_as_is = instrmnt_id_to_be WHERE coalesce(cast(asst_scrt_clss_as_is as string), '') &lt;&gt; coalesce(cast(asst_scrt_clss_to_be as string), '') ) A </v>
      </c>
      <c r="O125" s="19" t="str">
        <f t="shared" si="27"/>
        <v>SELECT 'Validação de campos' as tipologia_teste, 'lt002_instrument' AS TABELA, 'asst_scrt_clss' AS CAMPO, '2025-06-30' as ref_date, coalesce(NUM_REG_DIF, 0) AS NUM_REG_DIF FROM (SELECT count(*) AS NUM_REG_DIF FROM (SELECT instrmnt_id as instrmnt_id_as_is, asst_scrt_clss as asst_scrt_clss_as_is FROM cd_loan_tapes_bce.lt002_instrument WHERE ref_date='2025-06-30' AND nome_perimetro= 'Individual IDComb' AND segmento= 'ESTR' AND ambito= 'PM' AND entidade='00100' AND cod_visao = 1) A  Inner join (SELECT instrmnt_id as instrmnt_id_to_be, asst_scrt_clss as asst_scrt_clss_to_be FROM bu_loantape_work.lt002_instrument WHERE ref_date='2025-06-30' AND nome_perimetro= 'Individual IDComb' AND segmento= 'ESTR' AND ambito= 'PM' AND entidade='00100' AND cod_visao = 1) B ON instrmnt_id_as_is = instrmnt_id_to_be WHERE coalesce(cast(asst_scrt_clss_as_is as string), '') &lt;&gt; coalesce(cast(asst_scrt_clss_to_be as string), '') ) A UNION ALL</v>
      </c>
      <c r="P125" s="17">
        <f t="shared" si="17"/>
        <v>13</v>
      </c>
    </row>
    <row r="126" spans="2:16" s="15" customFormat="1" ht="11.5" x14ac:dyDescent="0.25">
      <c r="B126" s="17" t="s">
        <v>24</v>
      </c>
      <c r="C126" s="17" t="str">
        <f>_xlfn.CONCAT(Instruções!$D$5,".",VLOOKUP(B126,Instruções!$F$5:$H$10,2,0))</f>
        <v>cd_loan_tapes_bce.lt002_instrument</v>
      </c>
      <c r="D126" s="17" t="str">
        <f>_xlfn.CONCAT(Instruções!$D$6,".",VLOOKUP(B126,Instruções!$F$5:$H$10,3,0))</f>
        <v>bu_loantape_work.lt002_instrument</v>
      </c>
      <c r="E126" s="17" t="s">
        <v>157</v>
      </c>
      <c r="F126" s="17" t="str">
        <f t="shared" si="13"/>
        <v>brchd_cvnnts_as_is</v>
      </c>
      <c r="G126" s="17" t="str">
        <f t="shared" si="14"/>
        <v>brchd_cvnnts_to_be</v>
      </c>
      <c r="H126" s="17" t="str">
        <f>IF(VLOOKUP(B126,Instruções!$F$6:$J$10,5,0)="",
"(SELECT "&amp;VLOOKUP(B126,Instruções!$F$6:$J$10,4,0)&amp;" as "&amp;VLOOKUP(B126,Instruções!$F$6:$J$10,4,0)&amp;"_as_is, "&amp;E126&amp;" as "&amp;F126&amp;" FROM "&amp;C126&amp;" WHERE "&amp;Instruções!$D$11&amp;") A ",
"(SELECT "&amp;VLOOKUP(B126,Instruções!$F$6:$J$10,4,0)&amp;" as "&amp;VLOOKUP(B126,Instruções!$F$6:$J$10,4,0)&amp;"_as_is, "&amp;VLOOKUP(B126,Instruções!$F$6:$J$10,5,0)&amp;" as "&amp;VLOOKUP(B126,Instruções!$F$6:$J$10,5,0)&amp;"_as_is,"&amp;E126&amp;" as "&amp;F126&amp;" FROM "&amp;C126&amp;" WHERE "&amp;Instruções!$D$11&amp;") A ")</f>
        <v xml:space="preserve">(SELECT instrmnt_id as instrmnt_id_as_is, brchd_cvnnts as brchd_cvnnts_as_is FROM cd_loan_tapes_bce.lt002_instrument WHERE ref_date='2025-06-30' AND nome_perimetro= 'Individual IDComb' AND segmento= 'ESTR' AND ambito= 'PM' AND entidade='00100' AND cod_visao = 1) A </v>
      </c>
      <c r="I126" s="17" t="str">
        <f>IF(VLOOKUP(B126,Instruções!$F$6:$J$10,5,0)="",
"(SELECT "&amp;VLOOKUP(B126,Instruções!$F$6:$J$10,4,0)&amp;" as "&amp;VLOOKUP(B126,Instruções!$F$6:$J$10,4,0)&amp;"_to_be, "&amp;E126&amp;" as "&amp;G126&amp;" FROM "&amp;D126&amp;" WHERE "&amp;Instruções!$D$11&amp;") B ",
"(SELECT "&amp;VLOOKUP(B126,Instruções!$F$6:$J$10,4,0)&amp;" as "&amp;VLOOKUP(B126,Instruções!$F$6:$J$10,4,0)&amp;"_to_be, "&amp;VLOOKUP(B126,Instruções!$F$6:$J$10,5,0)&amp;" as "&amp;VLOOKUP(B126,Instruções!$F$6:$J$10,5,0)&amp;"_to_be,"&amp;E126&amp;" as "&amp;G126&amp;" FROM "&amp;D126&amp;" WHERE "&amp;Instruções!$D$11&amp;") B ")</f>
        <v xml:space="preserve">(SELECT instrmnt_id as instrmnt_id_to_be, brchd_cvnnts as brchd_cvnnts_to_be FROM bu_loantape_work.lt002_instrument WHERE ref_date='2025-06-30' AND nome_perimetro= 'Individual IDComb' AND segmento= 'ESTR' AND ambito= 'PM' AND entidade='00100' AND cod_visao = 1) B </v>
      </c>
      <c r="J126" s="17" t="str">
        <f>IF(VLOOKUP(B126,Instruções!$F$6:$J$10,5,0)="",
"ON "&amp;VLOOKUP(B126,Instruções!$F$6:$J$10,4,0)&amp;"_as_is = "&amp;VLOOKUP(B126,Instruções!$F$6:$J$10,4,0)&amp;"_to_be ",
"ON "&amp;VLOOKUP(B126,Instruções!$F$6:$J$10,4,0)&amp;"_as_is = "&amp;VLOOKUP(B126,Instruções!$F$6:$J$10,4,0)&amp;"_to_be AND "&amp;VLOOKUP(B126,Instruções!$F$6:$J$10,5,0)&amp;"_as_is = "&amp;VLOOKUP(B126,Instruções!$F$6:$J$10,5,0)&amp;"_to_be ")</f>
        <v xml:space="preserve">ON instrmnt_id_as_is = instrmnt_id_to_be </v>
      </c>
      <c r="K126" s="17" t="str">
        <f t="shared" si="15"/>
        <v xml:space="preserve">WHERE coalesce(cast(brchd_cvnnts_as_is as string), '') &lt;&gt; coalesce(cast(brchd_cvnnts_to_be as string), '') </v>
      </c>
      <c r="L126" s="17" t="str">
        <f t="shared" si="16"/>
        <v xml:space="preserve">SELECT count(*) AS NUM_REG_DIF FROM (SELECT instrmnt_id as instrmnt_id_as_is, brchd_cvnnts as brchd_cvnnts_as_is FROM cd_loan_tapes_bce.lt002_instrument WHERE ref_date='2025-06-30' AND nome_perimetro= 'Individual IDComb' AND segmento= 'ESTR' AND ambito= 'PM' AND entidade='00100' AND cod_visao = 1) A  Inner join (SELECT instrmnt_id as instrmnt_id_to_be, brchd_cvnnts as brchd_cvnnts_to_be FROM bu_loantape_work.lt002_instrument WHERE ref_date='2025-06-30' AND nome_perimetro= 'Individual IDComb' AND segmento= 'ESTR' AND ambito= 'PM' AND entidade='00100' AND cod_visao = 1) B ON instrmnt_id_as_is = instrmnt_id_to_be WHERE coalesce(cast(brchd_cvnnts_as_is as string), '') &lt;&gt; coalesce(cast(brchd_cvnnts_to_be as string), '') </v>
      </c>
      <c r="M126" s="17" t="s">
        <v>48</v>
      </c>
      <c r="N126" s="17" t="str">
        <f>"SELECT 'Validação de campos' as tipologia_teste, '"&amp;VLOOKUP(B126,Instruções!$F$6:$J$10,3,0)&amp;"' AS TABELA, '"&amp;E126&amp;"' AS CAMPO, '"&amp;Instruções!$D$7&amp;"' as ref_date, coalesce(NUM_REG_DIF, 0) AS NUM_REG_DIF FROM ("&amp;L126&amp;") A "</f>
        <v xml:space="preserve">SELECT 'Validação de campos' as tipologia_teste, 'lt002_instrument' AS TABELA, 'brchd_cvnnts' AS CAMPO, '2025-06-30' as ref_date, coalesce(NUM_REG_DIF, 0) AS NUM_REG_DIF FROM (SELECT count(*) AS NUM_REG_DIF FROM (SELECT instrmnt_id as instrmnt_id_as_is, brchd_cvnnts as brchd_cvnnts_as_is FROM cd_loan_tapes_bce.lt002_instrument WHERE ref_date='2025-06-30' AND nome_perimetro= 'Individual IDComb' AND segmento= 'ESTR' AND ambito= 'PM' AND entidade='00100' AND cod_visao = 1) A  Inner join (SELECT instrmnt_id as instrmnt_id_to_be, brchd_cvnnts as brchd_cvnnts_to_be FROM bu_loantape_work.lt002_instrument WHERE ref_date='2025-06-30' AND nome_perimetro= 'Individual IDComb' AND segmento= 'ESTR' AND ambito= 'PM' AND entidade='00100' AND cod_visao = 1) B ON instrmnt_id_as_is = instrmnt_id_to_be WHERE coalesce(cast(brchd_cvnnts_as_is as string), '') &lt;&gt; coalesce(cast(brchd_cvnnts_to_be as string), '') ) A </v>
      </c>
      <c r="O126" s="19" t="str">
        <f t="shared" si="27"/>
        <v>SELECT 'Validação de campos' as tipologia_teste, 'lt002_instrument' AS TABELA, 'brchd_cvnnts' AS CAMPO, '2025-06-30' as ref_date, coalesce(NUM_REG_DIF, 0) AS NUM_REG_DIF FROM (SELECT count(*) AS NUM_REG_DIF FROM (SELECT instrmnt_id as instrmnt_id_as_is, brchd_cvnnts as brchd_cvnnts_as_is FROM cd_loan_tapes_bce.lt002_instrument WHERE ref_date='2025-06-30' AND nome_perimetro= 'Individual IDComb' AND segmento= 'ESTR' AND ambito= 'PM' AND entidade='00100' AND cod_visao = 1) A  Inner join (SELECT instrmnt_id as instrmnt_id_to_be, brchd_cvnnts as brchd_cvnnts_to_be FROM bu_loantape_work.lt002_instrument WHERE ref_date='2025-06-30' AND nome_perimetro= 'Individual IDComb' AND segmento= 'ESTR' AND ambito= 'PM' AND entidade='00100' AND cod_visao = 1) B ON instrmnt_id_as_is = instrmnt_id_to_be WHERE coalesce(cast(brchd_cvnnts_as_is as string), '') &lt;&gt; coalesce(cast(brchd_cvnnts_to_be as string), '') ) A UNION ALL</v>
      </c>
      <c r="P126" s="17">
        <f t="shared" si="17"/>
        <v>14</v>
      </c>
    </row>
    <row r="127" spans="2:16" s="15" customFormat="1" ht="11.5" x14ac:dyDescent="0.25">
      <c r="B127" s="17" t="s">
        <v>24</v>
      </c>
      <c r="C127" s="17" t="str">
        <f>_xlfn.CONCAT(Instruções!$D$5,".",VLOOKUP(B127,Instruções!$F$5:$H$10,2,0))</f>
        <v>cd_loan_tapes_bce.lt002_instrument</v>
      </c>
      <c r="D127" s="17" t="str">
        <f>_xlfn.CONCAT(Instruções!$D$6,".",VLOOKUP(B127,Instruções!$F$5:$H$10,3,0))</f>
        <v>bu_loantape_work.lt002_instrument</v>
      </c>
      <c r="E127" s="17" t="s">
        <v>158</v>
      </c>
      <c r="F127" s="17" t="str">
        <f t="shared" si="13"/>
        <v>ccf_as_is</v>
      </c>
      <c r="G127" s="17" t="str">
        <f t="shared" si="14"/>
        <v>ccf_to_be</v>
      </c>
      <c r="H127" s="17" t="str">
        <f>IF(VLOOKUP(B127,Instruções!$F$6:$J$10,5,0)="",
"(SELECT "&amp;VLOOKUP(B127,Instruções!$F$6:$J$10,4,0)&amp;" as "&amp;VLOOKUP(B127,Instruções!$F$6:$J$10,4,0)&amp;"_as_is, "&amp;E127&amp;" as "&amp;F127&amp;" FROM "&amp;C127&amp;" WHERE "&amp;Instruções!$D$11&amp;") A ",
"(SELECT "&amp;VLOOKUP(B127,Instruções!$F$6:$J$10,4,0)&amp;" as "&amp;VLOOKUP(B127,Instruções!$F$6:$J$10,4,0)&amp;"_as_is, "&amp;VLOOKUP(B127,Instruções!$F$6:$J$10,5,0)&amp;" as "&amp;VLOOKUP(B127,Instruções!$F$6:$J$10,5,0)&amp;"_as_is,"&amp;E127&amp;" as "&amp;F127&amp;" FROM "&amp;C127&amp;" WHERE "&amp;Instruções!$D$11&amp;") A ")</f>
        <v xml:space="preserve">(SELECT instrmnt_id as instrmnt_id_as_is, ccf as ccf_as_is FROM cd_loan_tapes_bce.lt002_instrument WHERE ref_date='2025-06-30' AND nome_perimetro= 'Individual IDComb' AND segmento= 'ESTR' AND ambito= 'PM' AND entidade='00100' AND cod_visao = 1) A </v>
      </c>
      <c r="I127" s="17" t="str">
        <f>IF(VLOOKUP(B127,Instruções!$F$6:$J$10,5,0)="",
"(SELECT "&amp;VLOOKUP(B127,Instruções!$F$6:$J$10,4,0)&amp;" as "&amp;VLOOKUP(B127,Instruções!$F$6:$J$10,4,0)&amp;"_to_be, "&amp;E127&amp;" as "&amp;G127&amp;" FROM "&amp;D127&amp;" WHERE "&amp;Instruções!$D$11&amp;") B ",
"(SELECT "&amp;VLOOKUP(B127,Instruções!$F$6:$J$10,4,0)&amp;" as "&amp;VLOOKUP(B127,Instruções!$F$6:$J$10,4,0)&amp;"_to_be, "&amp;VLOOKUP(B127,Instruções!$F$6:$J$10,5,0)&amp;" as "&amp;VLOOKUP(B127,Instruções!$F$6:$J$10,5,0)&amp;"_to_be,"&amp;E127&amp;" as "&amp;G127&amp;" FROM "&amp;D127&amp;" WHERE "&amp;Instruções!$D$11&amp;") B ")</f>
        <v xml:space="preserve">(SELECT instrmnt_id as instrmnt_id_to_be, ccf as ccf_to_be FROM bu_loantape_work.lt002_instrument WHERE ref_date='2025-06-30' AND nome_perimetro= 'Individual IDComb' AND segmento= 'ESTR' AND ambito= 'PM' AND entidade='00100' AND cod_visao = 1) B </v>
      </c>
      <c r="J127" s="17" t="str">
        <f>IF(VLOOKUP(B127,Instruções!$F$6:$J$10,5,0)="",
"ON "&amp;VLOOKUP(B127,Instruções!$F$6:$J$10,4,0)&amp;"_as_is = "&amp;VLOOKUP(B127,Instruções!$F$6:$J$10,4,0)&amp;"_to_be ",
"ON "&amp;VLOOKUP(B127,Instruções!$F$6:$J$10,4,0)&amp;"_as_is = "&amp;VLOOKUP(B127,Instruções!$F$6:$J$10,4,0)&amp;"_to_be AND "&amp;VLOOKUP(B127,Instruções!$F$6:$J$10,5,0)&amp;"_as_is = "&amp;VLOOKUP(B127,Instruções!$F$6:$J$10,5,0)&amp;"_to_be ")</f>
        <v xml:space="preserve">ON instrmnt_id_as_is = instrmnt_id_to_be </v>
      </c>
      <c r="K127" s="17" t="str">
        <f t="shared" si="15"/>
        <v xml:space="preserve">WHERE coalesce(cast(ccf_as_is as string), '') &lt;&gt; coalesce(cast(ccf_to_be as string), '') </v>
      </c>
      <c r="L127" s="17" t="str">
        <f t="shared" si="16"/>
        <v xml:space="preserve">SELECT count(*) AS NUM_REG_DIF FROM (SELECT instrmnt_id as instrmnt_id_as_is, ccf as ccf_as_is FROM cd_loan_tapes_bce.lt002_instrument WHERE ref_date='2025-06-30' AND nome_perimetro= 'Individual IDComb' AND segmento= 'ESTR' AND ambito= 'PM' AND entidade='00100' AND cod_visao = 1) A  Inner join (SELECT instrmnt_id as instrmnt_id_to_be, ccf as ccf_to_be FROM bu_loantape_work.lt002_instrument WHERE ref_date='2025-06-30' AND nome_perimetro= 'Individual IDComb' AND segmento= 'ESTR' AND ambito= 'PM' AND entidade='00100' AND cod_visao = 1) B ON instrmnt_id_as_is = instrmnt_id_to_be WHERE coalesce(cast(ccf_as_is as string), '') &lt;&gt; coalesce(cast(ccf_to_be as string), '') </v>
      </c>
      <c r="M127" s="17" t="s">
        <v>48</v>
      </c>
      <c r="N127" s="17" t="str">
        <f>"SELECT 'Validação de campos' as tipologia_teste, '"&amp;VLOOKUP(B127,Instruções!$F$6:$J$10,3,0)&amp;"' AS TABELA, '"&amp;E127&amp;"' AS CAMPO, '"&amp;Instruções!$D$7&amp;"' as ref_date, coalesce(NUM_REG_DIF, 0) AS NUM_REG_DIF FROM ("&amp;L127&amp;") A "</f>
        <v xml:space="preserve">SELECT 'Validação de campos' as tipologia_teste, 'lt002_instrument' AS TABELA, 'ccf' AS CAMPO, '2025-06-30' as ref_date, coalesce(NUM_REG_DIF, 0) AS NUM_REG_DIF FROM (SELECT count(*) AS NUM_REG_DIF FROM (SELECT instrmnt_id as instrmnt_id_as_is, ccf as ccf_as_is FROM cd_loan_tapes_bce.lt002_instrument WHERE ref_date='2025-06-30' AND nome_perimetro= 'Individual IDComb' AND segmento= 'ESTR' AND ambito= 'PM' AND entidade='00100' AND cod_visao = 1) A  Inner join (SELECT instrmnt_id as instrmnt_id_to_be, ccf as ccf_to_be FROM bu_loantape_work.lt002_instrument WHERE ref_date='2025-06-30' AND nome_perimetro= 'Individual IDComb' AND segmento= 'ESTR' AND ambito= 'PM' AND entidade='00100' AND cod_visao = 1) B ON instrmnt_id_as_is = instrmnt_id_to_be WHERE coalesce(cast(ccf_as_is as string), '') &lt;&gt; coalesce(cast(ccf_to_be as string), '') ) A </v>
      </c>
      <c r="O127" s="19" t="str">
        <f t="shared" si="27"/>
        <v>SELECT 'Validação de campos' as tipologia_teste, 'lt002_instrument' AS TABELA, 'ccf' AS CAMPO, '2025-06-30' as ref_date, coalesce(NUM_REG_DIF, 0) AS NUM_REG_DIF FROM (SELECT count(*) AS NUM_REG_DIF FROM (SELECT instrmnt_id as instrmnt_id_as_is, ccf as ccf_as_is FROM cd_loan_tapes_bce.lt002_instrument WHERE ref_date='2025-06-30' AND nome_perimetro= 'Individual IDComb' AND segmento= 'ESTR' AND ambito= 'PM' AND entidade='00100' AND cod_visao = 1) A  Inner join (SELECT instrmnt_id as instrmnt_id_to_be, ccf as ccf_to_be FROM bu_loantape_work.lt002_instrument WHERE ref_date='2025-06-30' AND nome_perimetro= 'Individual IDComb' AND segmento= 'ESTR' AND ambito= 'PM' AND entidade='00100' AND cod_visao = 1) B ON instrmnt_id_as_is = instrmnt_id_to_be WHERE coalesce(cast(ccf_as_is as string), '') &lt;&gt; coalesce(cast(ccf_to_be as string), '') ) A UNION ALL</v>
      </c>
      <c r="P127" s="17">
        <f t="shared" si="17"/>
        <v>15</v>
      </c>
    </row>
    <row r="128" spans="2:16" s="15" customFormat="1" ht="11.5" x14ac:dyDescent="0.25">
      <c r="B128" s="17" t="s">
        <v>24</v>
      </c>
      <c r="C128" s="17" t="str">
        <f>_xlfn.CONCAT(Instruções!$D$5,".",VLOOKUP(B128,Instruções!$F$5:$H$10,2,0))</f>
        <v>cd_loan_tapes_bce.lt002_instrument</v>
      </c>
      <c r="D128" s="17" t="str">
        <f>_xlfn.CONCAT(Instruções!$D$6,".",VLOOKUP(B128,Instruções!$F$5:$H$10,3,0))</f>
        <v>bu_loantape_work.lt002_instrument</v>
      </c>
      <c r="E128" s="17" t="s">
        <v>159</v>
      </c>
      <c r="F128" s="17" t="str">
        <f t="shared" si="13"/>
        <v>chnnl_orgntn_as_is</v>
      </c>
      <c r="G128" s="17" t="str">
        <f t="shared" si="14"/>
        <v>chnnl_orgntn_to_be</v>
      </c>
      <c r="H128" s="17" t="str">
        <f>IF(VLOOKUP(B128,Instruções!$F$6:$J$10,5,0)="",
"(SELECT "&amp;VLOOKUP(B128,Instruções!$F$6:$J$10,4,0)&amp;" as "&amp;VLOOKUP(B128,Instruções!$F$6:$J$10,4,0)&amp;"_as_is, "&amp;E128&amp;" as "&amp;F128&amp;" FROM "&amp;C128&amp;" WHERE "&amp;Instruções!$D$11&amp;") A ",
"(SELECT "&amp;VLOOKUP(B128,Instruções!$F$6:$J$10,4,0)&amp;" as "&amp;VLOOKUP(B128,Instruções!$F$6:$J$10,4,0)&amp;"_as_is, "&amp;VLOOKUP(B128,Instruções!$F$6:$J$10,5,0)&amp;" as "&amp;VLOOKUP(B128,Instruções!$F$6:$J$10,5,0)&amp;"_as_is,"&amp;E128&amp;" as "&amp;F128&amp;" FROM "&amp;C128&amp;" WHERE "&amp;Instruções!$D$11&amp;") A ")</f>
        <v xml:space="preserve">(SELECT instrmnt_id as instrmnt_id_as_is, chnnl_orgntn as chnnl_orgntn_as_is FROM cd_loan_tapes_bce.lt002_instrument WHERE ref_date='2025-06-30' AND nome_perimetro= 'Individual IDComb' AND segmento= 'ESTR' AND ambito= 'PM' AND entidade='00100' AND cod_visao = 1) A </v>
      </c>
      <c r="I128" s="17" t="str">
        <f>IF(VLOOKUP(B128,Instruções!$F$6:$J$10,5,0)="",
"(SELECT "&amp;VLOOKUP(B128,Instruções!$F$6:$J$10,4,0)&amp;" as "&amp;VLOOKUP(B128,Instruções!$F$6:$J$10,4,0)&amp;"_to_be, "&amp;E128&amp;" as "&amp;G128&amp;" FROM "&amp;D128&amp;" WHERE "&amp;Instruções!$D$11&amp;") B ",
"(SELECT "&amp;VLOOKUP(B128,Instruções!$F$6:$J$10,4,0)&amp;" as "&amp;VLOOKUP(B128,Instruções!$F$6:$J$10,4,0)&amp;"_to_be, "&amp;VLOOKUP(B128,Instruções!$F$6:$J$10,5,0)&amp;" as "&amp;VLOOKUP(B128,Instruções!$F$6:$J$10,5,0)&amp;"_to_be,"&amp;E128&amp;" as "&amp;G128&amp;" FROM "&amp;D128&amp;" WHERE "&amp;Instruções!$D$11&amp;") B ")</f>
        <v xml:space="preserve">(SELECT instrmnt_id as instrmnt_id_to_be, chnnl_orgntn as chnnl_orgntn_to_be FROM bu_loantape_work.lt002_instrument WHERE ref_date='2025-06-30' AND nome_perimetro= 'Individual IDComb' AND segmento= 'ESTR' AND ambito= 'PM' AND entidade='00100' AND cod_visao = 1) B </v>
      </c>
      <c r="J128" s="17" t="str">
        <f>IF(VLOOKUP(B128,Instruções!$F$6:$J$10,5,0)="",
"ON "&amp;VLOOKUP(B128,Instruções!$F$6:$J$10,4,0)&amp;"_as_is = "&amp;VLOOKUP(B128,Instruções!$F$6:$J$10,4,0)&amp;"_to_be ",
"ON "&amp;VLOOKUP(B128,Instruções!$F$6:$J$10,4,0)&amp;"_as_is = "&amp;VLOOKUP(B128,Instruções!$F$6:$J$10,4,0)&amp;"_to_be AND "&amp;VLOOKUP(B128,Instruções!$F$6:$J$10,5,0)&amp;"_as_is = "&amp;VLOOKUP(B128,Instruções!$F$6:$J$10,5,0)&amp;"_to_be ")</f>
        <v xml:space="preserve">ON instrmnt_id_as_is = instrmnt_id_to_be </v>
      </c>
      <c r="K128" s="17" t="str">
        <f t="shared" si="15"/>
        <v xml:space="preserve">WHERE coalesce(cast(chnnl_orgntn_as_is as string), '') &lt;&gt; coalesce(cast(chnnl_orgntn_to_be as string), '') </v>
      </c>
      <c r="L128" s="17" t="str">
        <f t="shared" si="16"/>
        <v xml:space="preserve">SELECT count(*) AS NUM_REG_DIF FROM (SELECT instrmnt_id as instrmnt_id_as_is, chnnl_orgntn as chnnl_orgntn_as_is FROM cd_loan_tapes_bce.lt002_instrument WHERE ref_date='2025-06-30' AND nome_perimetro= 'Individual IDComb' AND segmento= 'ESTR' AND ambito= 'PM' AND entidade='00100' AND cod_visao = 1) A  Inner join (SELECT instrmnt_id as instrmnt_id_to_be, chnnl_orgntn as chnnl_orgntn_to_be FROM bu_loantape_work.lt002_instrument WHERE ref_date='2025-06-30' AND nome_perimetro= 'Individual IDComb' AND segmento= 'ESTR' AND ambito= 'PM' AND entidade='00100' AND cod_visao = 1) B ON instrmnt_id_as_is = instrmnt_id_to_be WHERE coalesce(cast(chnnl_orgntn_as_is as string), '') &lt;&gt; coalesce(cast(chnnl_orgntn_to_be as string), '') </v>
      </c>
      <c r="M128" s="17" t="s">
        <v>48</v>
      </c>
      <c r="N128" s="17" t="str">
        <f>"SELECT 'Validação de campos' as tipologia_teste, '"&amp;VLOOKUP(B128,Instruções!$F$6:$J$10,3,0)&amp;"' AS TABELA, '"&amp;E128&amp;"' AS CAMPO, '"&amp;Instruções!$D$7&amp;"' as ref_date, coalesce(NUM_REG_DIF, 0) AS NUM_REG_DIF FROM ("&amp;L128&amp;") A "</f>
        <v xml:space="preserve">SELECT 'Validação de campos' as tipologia_teste, 'lt002_instrument' AS TABELA, 'chnnl_orgntn' AS CAMPO, '2025-06-30' as ref_date, coalesce(NUM_REG_DIF, 0) AS NUM_REG_DIF FROM (SELECT count(*) AS NUM_REG_DIF FROM (SELECT instrmnt_id as instrmnt_id_as_is, chnnl_orgntn as chnnl_orgntn_as_is FROM cd_loan_tapes_bce.lt002_instrument WHERE ref_date='2025-06-30' AND nome_perimetro= 'Individual IDComb' AND segmento= 'ESTR' AND ambito= 'PM' AND entidade='00100' AND cod_visao = 1) A  Inner join (SELECT instrmnt_id as instrmnt_id_to_be, chnnl_orgntn as chnnl_orgntn_to_be FROM bu_loantape_work.lt002_instrument WHERE ref_date='2025-06-30' AND nome_perimetro= 'Individual IDComb' AND segmento= 'ESTR' AND ambito= 'PM' AND entidade='00100' AND cod_visao = 1) B ON instrmnt_id_as_is = instrmnt_id_to_be WHERE coalesce(cast(chnnl_orgntn_as_is as string), '') &lt;&gt; coalesce(cast(chnnl_orgntn_to_be as string), '') ) A </v>
      </c>
      <c r="O128" s="19" t="str">
        <f t="shared" si="27"/>
        <v>SELECT 'Validação de campos' as tipologia_teste, 'lt002_instrument' AS TABELA, 'chnnl_orgntn' AS CAMPO, '2025-06-30' as ref_date, coalesce(NUM_REG_DIF, 0) AS NUM_REG_DIF FROM (SELECT count(*) AS NUM_REG_DIF FROM (SELECT instrmnt_id as instrmnt_id_as_is, chnnl_orgntn as chnnl_orgntn_as_is FROM cd_loan_tapes_bce.lt002_instrument WHERE ref_date='2025-06-30' AND nome_perimetro= 'Individual IDComb' AND segmento= 'ESTR' AND ambito= 'PM' AND entidade='00100' AND cod_visao = 1) A  Inner join (SELECT instrmnt_id as instrmnt_id_to_be, chnnl_orgntn as chnnl_orgntn_to_be FROM bu_loantape_work.lt002_instrument WHERE ref_date='2025-06-30' AND nome_perimetro= 'Individual IDComb' AND segmento= 'ESTR' AND ambito= 'PM' AND entidade='00100' AND cod_visao = 1) B ON instrmnt_id_as_is = instrmnt_id_to_be WHERE coalesce(cast(chnnl_orgntn_as_is as string), '') &lt;&gt; coalesce(cast(chnnl_orgntn_to_be as string), '') ) A UNION ALL</v>
      </c>
      <c r="P128" s="17">
        <f t="shared" si="17"/>
        <v>16</v>
      </c>
    </row>
    <row r="129" spans="2:17" s="15" customFormat="1" ht="11.5" x14ac:dyDescent="0.25">
      <c r="B129" s="17" t="s">
        <v>24</v>
      </c>
      <c r="C129" s="17" t="str">
        <f>_xlfn.CONCAT(Instruções!$D$5,".",VLOOKUP(B129,Instruções!$F$5:$H$10,2,0))</f>
        <v>cd_loan_tapes_bce.lt002_instrument</v>
      </c>
      <c r="D129" s="17" t="str">
        <f>_xlfn.CONCAT(Instruções!$D$6,".",VLOOKUP(B129,Instruções!$F$5:$H$10,3,0))</f>
        <v>bu_loantape_work.lt002_instrument</v>
      </c>
      <c r="E129" s="17" t="s">
        <v>160</v>
      </c>
      <c r="F129" s="17" t="str">
        <f t="shared" si="13"/>
        <v>cmltv_rcvrs_snc_dflt_instrmnt_as_is</v>
      </c>
      <c r="G129" s="17" t="str">
        <f t="shared" si="14"/>
        <v>cmltv_rcvrs_snc_dflt_instrmnt_to_be</v>
      </c>
      <c r="H129" s="17" t="str">
        <f>IF(VLOOKUP(B129,Instruções!$F$6:$J$10,5,0)="",
"(SELECT "&amp;VLOOKUP(B129,Instruções!$F$6:$J$10,4,0)&amp;" as "&amp;VLOOKUP(B129,Instruções!$F$6:$J$10,4,0)&amp;"_as_is, "&amp;E129&amp;" as "&amp;F129&amp;" FROM "&amp;C129&amp;" WHERE "&amp;Instruções!$D$11&amp;") A ",
"(SELECT "&amp;VLOOKUP(B129,Instruções!$F$6:$J$10,4,0)&amp;" as "&amp;VLOOKUP(B129,Instruções!$F$6:$J$10,4,0)&amp;"_as_is, "&amp;VLOOKUP(B129,Instruções!$F$6:$J$10,5,0)&amp;" as "&amp;VLOOKUP(B129,Instruções!$F$6:$J$10,5,0)&amp;"_as_is,"&amp;E129&amp;" as "&amp;F129&amp;" FROM "&amp;C129&amp;" WHERE "&amp;Instruções!$D$11&amp;") A ")</f>
        <v xml:space="preserve">(SELECT instrmnt_id as instrmnt_id_as_is, cmltv_rcvrs_snc_dflt_instrmnt as cmltv_rcvrs_snc_dflt_instrmnt_as_is FROM cd_loan_tapes_bce.lt002_instrument WHERE ref_date='2025-06-30' AND nome_perimetro= 'Individual IDComb' AND segmento= 'ESTR' AND ambito= 'PM' AND entidade='00100' AND cod_visao = 1) A </v>
      </c>
      <c r="I129" s="17" t="str">
        <f>IF(VLOOKUP(B129,Instruções!$F$6:$J$10,5,0)="",
"(SELECT "&amp;VLOOKUP(B129,Instruções!$F$6:$J$10,4,0)&amp;" as "&amp;VLOOKUP(B129,Instruções!$F$6:$J$10,4,0)&amp;"_to_be, "&amp;E129&amp;" as "&amp;G129&amp;" FROM "&amp;D129&amp;" WHERE "&amp;Instruções!$D$11&amp;") B ",
"(SELECT "&amp;VLOOKUP(B129,Instruções!$F$6:$J$10,4,0)&amp;" as "&amp;VLOOKUP(B129,Instruções!$F$6:$J$10,4,0)&amp;"_to_be, "&amp;VLOOKUP(B129,Instruções!$F$6:$J$10,5,0)&amp;" as "&amp;VLOOKUP(B129,Instruções!$F$6:$J$10,5,0)&amp;"_to_be,"&amp;E129&amp;" as "&amp;G129&amp;" FROM "&amp;D129&amp;" WHERE "&amp;Instruções!$D$11&amp;") B ")</f>
        <v xml:space="preserve">(SELECT instrmnt_id as instrmnt_id_to_be, cmltv_rcvrs_snc_dflt_instrmnt as cmltv_rcvrs_snc_dflt_instrmnt_to_be FROM bu_loantape_work.lt002_instrument WHERE ref_date='2025-06-30' AND nome_perimetro= 'Individual IDComb' AND segmento= 'ESTR' AND ambito= 'PM' AND entidade='00100' AND cod_visao = 1) B </v>
      </c>
      <c r="J129" s="17" t="str">
        <f>IF(VLOOKUP(B129,Instruções!$F$6:$J$10,5,0)="",
"ON "&amp;VLOOKUP(B129,Instruções!$F$6:$J$10,4,0)&amp;"_as_is = "&amp;VLOOKUP(B129,Instruções!$F$6:$J$10,4,0)&amp;"_to_be ",
"ON "&amp;VLOOKUP(B129,Instruções!$F$6:$J$10,4,0)&amp;"_as_is = "&amp;VLOOKUP(B129,Instruções!$F$6:$J$10,4,0)&amp;"_to_be AND "&amp;VLOOKUP(B129,Instruções!$F$6:$J$10,5,0)&amp;"_as_is = "&amp;VLOOKUP(B129,Instruções!$F$6:$J$10,5,0)&amp;"_to_be ")</f>
        <v xml:space="preserve">ON instrmnt_id_as_is = instrmnt_id_to_be </v>
      </c>
      <c r="K129" s="17" t="str">
        <f t="shared" si="15"/>
        <v xml:space="preserve">WHERE coalesce(cast(cmltv_rcvrs_snc_dflt_instrmnt_as_is as string), '') &lt;&gt; coalesce(cast(cmltv_rcvrs_snc_dflt_instrmnt_to_be as string), '') </v>
      </c>
      <c r="L129" s="17" t="str">
        <f t="shared" si="16"/>
        <v xml:space="preserve">SELECT count(*) AS NUM_REG_DIF FROM (SELECT instrmnt_id as instrmnt_id_as_is, cmltv_rcvrs_snc_dflt_instrmnt as cmltv_rcvrs_snc_dflt_instrmnt_as_is FROM cd_loan_tapes_bce.lt002_instrument WHERE ref_date='2025-06-30' AND nome_perimetro= 'Individual IDComb' AND segmento= 'ESTR' AND ambito= 'PM' AND entidade='00100' AND cod_visao = 1) A  Inner join (SELECT instrmnt_id as instrmnt_id_to_be, cmltv_rcvrs_snc_dflt_instrmnt as cmltv_rcvrs_snc_dflt_instrmnt_to_be FROM bu_loantape_work.lt002_instrument WHERE ref_date='2025-06-30' AND nome_perimetro= 'Individual IDComb' AND segmento= 'ESTR' AND ambito= 'PM' AND entidade='00100' AND cod_visao = 1) B ON instrmnt_id_as_is = instrmnt_id_to_be WHERE coalesce(cast(cmltv_rcvrs_snc_dflt_instrmnt_as_is as string), '') &lt;&gt; coalesce(cast(cmltv_rcvrs_snc_dflt_instrmnt_to_be as string), '') </v>
      </c>
      <c r="M129" s="17" t="s">
        <v>48</v>
      </c>
      <c r="N129" s="17" t="str">
        <f>"SELECT 'Validação de campos' as tipologia_teste, '"&amp;VLOOKUP(B129,Instruções!$F$6:$J$10,3,0)&amp;"' AS TABELA, '"&amp;E129&amp;"' AS CAMPO, '"&amp;Instruções!$D$7&amp;"' as ref_date, coalesce(NUM_REG_DIF, 0) AS NUM_REG_DIF FROM ("&amp;L129&amp;") A "</f>
        <v xml:space="preserve">SELECT 'Validação de campos' as tipologia_teste, 'lt002_instrument' AS TABELA, 'cmltv_rcvrs_snc_dflt_instrmnt' AS CAMPO, '2025-06-30' as ref_date, coalesce(NUM_REG_DIF, 0) AS NUM_REG_DIF FROM (SELECT count(*) AS NUM_REG_DIF FROM (SELECT instrmnt_id as instrmnt_id_as_is, cmltv_rcvrs_snc_dflt_instrmnt as cmltv_rcvrs_snc_dflt_instrmnt_as_is FROM cd_loan_tapes_bce.lt002_instrument WHERE ref_date='2025-06-30' AND nome_perimetro= 'Individual IDComb' AND segmento= 'ESTR' AND ambito= 'PM' AND entidade='00100' AND cod_visao = 1) A  Inner join (SELECT instrmnt_id as instrmnt_id_to_be, cmltv_rcvrs_snc_dflt_instrmnt as cmltv_rcvrs_snc_dflt_instrmnt_to_be FROM bu_loantape_work.lt002_instrument WHERE ref_date='2025-06-30' AND nome_perimetro= 'Individual IDComb' AND segmento= 'ESTR' AND ambito= 'PM' AND entidade='00100' AND cod_visao = 1) B ON instrmnt_id_as_is = instrmnt_id_to_be WHERE coalesce(cast(cmltv_rcvrs_snc_dflt_instrmnt_as_is as string), '') &lt;&gt; coalesce(cast(cmltv_rcvrs_snc_dflt_instrmnt_to_be as string), '') ) A </v>
      </c>
      <c r="O129" s="19" t="str">
        <f t="shared" si="27"/>
        <v>SELECT 'Validação de campos' as tipologia_teste, 'lt002_instrument' AS TABELA, 'cmltv_rcvrs_snc_dflt_instrmnt' AS CAMPO, '2025-06-30' as ref_date, coalesce(NUM_REG_DIF, 0) AS NUM_REG_DIF FROM (SELECT count(*) AS NUM_REG_DIF FROM (SELECT instrmnt_id as instrmnt_id_as_is, cmltv_rcvrs_snc_dflt_instrmnt as cmltv_rcvrs_snc_dflt_instrmnt_as_is FROM cd_loan_tapes_bce.lt002_instrument WHERE ref_date='2025-06-30' AND nome_perimetro= 'Individual IDComb' AND segmento= 'ESTR' AND ambito= 'PM' AND entidade='00100' AND cod_visao = 1) A  Inner join (SELECT instrmnt_id as instrmnt_id_to_be, cmltv_rcvrs_snc_dflt_instrmnt as cmltv_rcvrs_snc_dflt_instrmnt_to_be FROM bu_loantape_work.lt002_instrument WHERE ref_date='2025-06-30' AND nome_perimetro= 'Individual IDComb' AND segmento= 'ESTR' AND ambito= 'PM' AND entidade='00100' AND cod_visao = 1) B ON instrmnt_id_as_is = instrmnt_id_to_be WHERE coalesce(cast(cmltv_rcvrs_snc_dflt_instrmnt_as_is as string), '') &lt;&gt; coalesce(cast(cmltv_rcvrs_snc_dflt_instrmnt_to_be as string), '') ) A UNION ALL</v>
      </c>
      <c r="P129" s="17">
        <f t="shared" si="17"/>
        <v>17</v>
      </c>
    </row>
    <row r="130" spans="2:17" s="15" customFormat="1" ht="11.5" x14ac:dyDescent="0.25">
      <c r="B130" s="17" t="s">
        <v>24</v>
      </c>
      <c r="C130" s="17" t="str">
        <f>_xlfn.CONCAT(Instruções!$D$5,".",VLOOKUP(B130,Instruções!$F$5:$H$10,2,0))</f>
        <v>cd_loan_tapes_bce.lt002_instrument</v>
      </c>
      <c r="D130" s="17" t="str">
        <f>_xlfn.CONCAT(Instruções!$D$6,".",VLOOKUP(B130,Instruções!$F$5:$H$10,3,0))</f>
        <v>bu_loantape_work.lt002_instrument</v>
      </c>
      <c r="E130" s="17" t="s">
        <v>161</v>
      </c>
      <c r="F130" s="17" t="str">
        <f t="shared" si="13"/>
        <v>cmmtmnt_incptn_instrmnt_as_is</v>
      </c>
      <c r="G130" s="17" t="str">
        <f t="shared" si="14"/>
        <v>cmmtmnt_incptn_instrmnt_to_be</v>
      </c>
      <c r="H130" s="17" t="str">
        <f>IF(VLOOKUP(B130,Instruções!$F$6:$J$10,5,0)="",
"(SELECT "&amp;VLOOKUP(B130,Instruções!$F$6:$J$10,4,0)&amp;" as "&amp;VLOOKUP(B130,Instruções!$F$6:$J$10,4,0)&amp;"_as_is, "&amp;E130&amp;" as "&amp;F130&amp;" FROM "&amp;C130&amp;" WHERE "&amp;Instruções!$D$11&amp;") A ",
"(SELECT "&amp;VLOOKUP(B130,Instruções!$F$6:$J$10,4,0)&amp;" as "&amp;VLOOKUP(B130,Instruções!$F$6:$J$10,4,0)&amp;"_as_is, "&amp;VLOOKUP(B130,Instruções!$F$6:$J$10,5,0)&amp;" as "&amp;VLOOKUP(B130,Instruções!$F$6:$J$10,5,0)&amp;"_as_is,"&amp;E130&amp;" as "&amp;F130&amp;" FROM "&amp;C130&amp;" WHERE "&amp;Instruções!$D$11&amp;") A ")</f>
        <v xml:space="preserve">(SELECT instrmnt_id as instrmnt_id_as_is, cmmtmnt_incptn_instrmnt as cmmtmnt_incptn_instrmnt_as_is FROM cd_loan_tapes_bce.lt002_instrument WHERE ref_date='2025-06-30' AND nome_perimetro= 'Individual IDComb' AND segmento= 'ESTR' AND ambito= 'PM' AND entidade='00100' AND cod_visao = 1) A </v>
      </c>
      <c r="I130" s="17" t="str">
        <f>IF(VLOOKUP(B130,Instruções!$F$6:$J$10,5,0)="",
"(SELECT "&amp;VLOOKUP(B130,Instruções!$F$6:$J$10,4,0)&amp;" as "&amp;VLOOKUP(B130,Instruções!$F$6:$J$10,4,0)&amp;"_to_be, "&amp;E130&amp;" as "&amp;G130&amp;" FROM "&amp;D130&amp;" WHERE "&amp;Instruções!$D$11&amp;") B ",
"(SELECT "&amp;VLOOKUP(B130,Instruções!$F$6:$J$10,4,0)&amp;" as "&amp;VLOOKUP(B130,Instruções!$F$6:$J$10,4,0)&amp;"_to_be, "&amp;VLOOKUP(B130,Instruções!$F$6:$J$10,5,0)&amp;" as "&amp;VLOOKUP(B130,Instruções!$F$6:$J$10,5,0)&amp;"_to_be,"&amp;E130&amp;" as "&amp;G130&amp;" FROM "&amp;D130&amp;" WHERE "&amp;Instruções!$D$11&amp;") B ")</f>
        <v xml:space="preserve">(SELECT instrmnt_id as instrmnt_id_to_be, cmmtmnt_incptn_instrmnt as cmmtmnt_incptn_instrmnt_to_be FROM bu_loantape_work.lt002_instrument WHERE ref_date='2025-06-30' AND nome_perimetro= 'Individual IDComb' AND segmento= 'ESTR' AND ambito= 'PM' AND entidade='00100' AND cod_visao = 1) B </v>
      </c>
      <c r="J130" s="17" t="str">
        <f>IF(VLOOKUP(B130,Instruções!$F$6:$J$10,5,0)="",
"ON "&amp;VLOOKUP(B130,Instruções!$F$6:$J$10,4,0)&amp;"_as_is = "&amp;VLOOKUP(B130,Instruções!$F$6:$J$10,4,0)&amp;"_to_be ",
"ON "&amp;VLOOKUP(B130,Instruções!$F$6:$J$10,4,0)&amp;"_as_is = "&amp;VLOOKUP(B130,Instruções!$F$6:$J$10,4,0)&amp;"_to_be AND "&amp;VLOOKUP(B130,Instruções!$F$6:$J$10,5,0)&amp;"_as_is = "&amp;VLOOKUP(B130,Instruções!$F$6:$J$10,5,0)&amp;"_to_be ")</f>
        <v xml:space="preserve">ON instrmnt_id_as_is = instrmnt_id_to_be </v>
      </c>
      <c r="K130" s="17" t="str">
        <f t="shared" si="15"/>
        <v xml:space="preserve">WHERE coalesce(cast(cmmtmnt_incptn_instrmnt_as_is as string), '') &lt;&gt; coalesce(cast(cmmtmnt_incptn_instrmnt_to_be as string), '') </v>
      </c>
      <c r="L130" s="17" t="str">
        <f t="shared" si="16"/>
        <v xml:space="preserve">SELECT count(*) AS NUM_REG_DIF FROM (SELECT instrmnt_id as instrmnt_id_as_is, cmmtmnt_incptn_instrmnt as cmmtmnt_incptn_instrmnt_as_is FROM cd_loan_tapes_bce.lt002_instrument WHERE ref_date='2025-06-30' AND nome_perimetro= 'Individual IDComb' AND segmento= 'ESTR' AND ambito= 'PM' AND entidade='00100' AND cod_visao = 1) A  Inner join (SELECT instrmnt_id as instrmnt_id_to_be, cmmtmnt_incptn_instrmnt as cmmtmnt_incptn_instrmnt_to_be FROM bu_loantape_work.lt002_instrument WHERE ref_date='2025-06-30' AND nome_perimetro= 'Individual IDComb' AND segmento= 'ESTR' AND ambito= 'PM' AND entidade='00100' AND cod_visao = 1) B ON instrmnt_id_as_is = instrmnt_id_to_be WHERE coalesce(cast(cmmtmnt_incptn_instrmnt_as_is as string), '') &lt;&gt; coalesce(cast(cmmtmnt_incptn_instrmnt_to_be as string), '') </v>
      </c>
      <c r="M130" s="17" t="s">
        <v>48</v>
      </c>
      <c r="N130" s="17" t="str">
        <f>"SELECT 'Validação de campos' as tipologia_teste, '"&amp;VLOOKUP(B130,Instruções!$F$6:$J$10,3,0)&amp;"' AS TABELA, '"&amp;E130&amp;"' AS CAMPO, '"&amp;Instruções!$D$7&amp;"' as ref_date, coalesce(NUM_REG_DIF, 0) AS NUM_REG_DIF FROM ("&amp;L130&amp;") A "</f>
        <v xml:space="preserve">SELECT 'Validação de campos' as tipologia_teste, 'lt002_instrument' AS TABELA, 'cmmtmnt_incptn_instrmnt' AS CAMPO, '2025-06-30' as ref_date, coalesce(NUM_REG_DIF, 0) AS NUM_REG_DIF FROM (SELECT count(*) AS NUM_REG_DIF FROM (SELECT instrmnt_id as instrmnt_id_as_is, cmmtmnt_incptn_instrmnt as cmmtmnt_incptn_instrmnt_as_is FROM cd_loan_tapes_bce.lt002_instrument WHERE ref_date='2025-06-30' AND nome_perimetro= 'Individual IDComb' AND segmento= 'ESTR' AND ambito= 'PM' AND entidade='00100' AND cod_visao = 1) A  Inner join (SELECT instrmnt_id as instrmnt_id_to_be, cmmtmnt_incptn_instrmnt as cmmtmnt_incptn_instrmnt_to_be FROM bu_loantape_work.lt002_instrument WHERE ref_date='2025-06-30' AND nome_perimetro= 'Individual IDComb' AND segmento= 'ESTR' AND ambito= 'PM' AND entidade='00100' AND cod_visao = 1) B ON instrmnt_id_as_is = instrmnt_id_to_be WHERE coalesce(cast(cmmtmnt_incptn_instrmnt_as_is as string), '') &lt;&gt; coalesce(cast(cmmtmnt_incptn_instrmnt_to_be as string), '') ) A </v>
      </c>
      <c r="O130" s="19" t="str">
        <f t="shared" si="27"/>
        <v>SELECT 'Validação de campos' as tipologia_teste, 'lt002_instrument' AS TABELA, 'cmmtmnt_incptn_instrmnt' AS CAMPO, '2025-06-30' as ref_date, coalesce(NUM_REG_DIF, 0) AS NUM_REG_DIF FROM (SELECT count(*) AS NUM_REG_DIF FROM (SELECT instrmnt_id as instrmnt_id_as_is, cmmtmnt_incptn_instrmnt as cmmtmnt_incptn_instrmnt_as_is FROM cd_loan_tapes_bce.lt002_instrument WHERE ref_date='2025-06-30' AND nome_perimetro= 'Individual IDComb' AND segmento= 'ESTR' AND ambito= 'PM' AND entidade='00100' AND cod_visao = 1) A  Inner join (SELECT instrmnt_id as instrmnt_id_to_be, cmmtmnt_incptn_instrmnt as cmmtmnt_incptn_instrmnt_to_be FROM bu_loantape_work.lt002_instrument WHERE ref_date='2025-06-30' AND nome_perimetro= 'Individual IDComb' AND segmento= 'ESTR' AND ambito= 'PM' AND entidade='00100' AND cod_visao = 1) B ON instrmnt_id_as_is = instrmnt_id_to_be WHERE coalesce(cast(cmmtmnt_incptn_instrmnt_as_is as string), '') &lt;&gt; coalesce(cast(cmmtmnt_incptn_instrmnt_to_be as string), '') ) A UNION ALL</v>
      </c>
      <c r="P130" s="17">
        <f t="shared" si="17"/>
        <v>18</v>
      </c>
    </row>
    <row r="131" spans="2:17" s="15" customFormat="1" ht="11.5" x14ac:dyDescent="0.25">
      <c r="B131" s="17" t="s">
        <v>24</v>
      </c>
      <c r="C131" s="17" t="str">
        <f>_xlfn.CONCAT(Instruções!$D$5,".",VLOOKUP(B131,Instruções!$F$5:$H$10,2,0))</f>
        <v>cd_loan_tapes_bce.lt002_instrument</v>
      </c>
      <c r="D131" s="17" t="str">
        <f>_xlfn.CONCAT(Instruções!$D$6,".",VLOOKUP(B131,Instruções!$F$5:$H$10,3,0))</f>
        <v>bu_loantape_work.lt002_instrument</v>
      </c>
      <c r="E131" s="17" t="s">
        <v>162</v>
      </c>
      <c r="F131" s="17" t="str">
        <f t="shared" si="13"/>
        <v>cmmtmnt_instrmnt_as_is</v>
      </c>
      <c r="G131" s="17" t="str">
        <f t="shared" si="14"/>
        <v>cmmtmnt_instrmnt_to_be</v>
      </c>
      <c r="H131" s="17" t="str">
        <f>IF(VLOOKUP(B131,Instruções!$F$6:$J$10,5,0)="",
"(SELECT "&amp;VLOOKUP(B131,Instruções!$F$6:$J$10,4,0)&amp;" as "&amp;VLOOKUP(B131,Instruções!$F$6:$J$10,4,0)&amp;"_as_is, "&amp;E131&amp;" as "&amp;F131&amp;" FROM "&amp;C131&amp;" WHERE "&amp;Instruções!$D$11&amp;") A ",
"(SELECT "&amp;VLOOKUP(B131,Instruções!$F$6:$J$10,4,0)&amp;" as "&amp;VLOOKUP(B131,Instruções!$F$6:$J$10,4,0)&amp;"_as_is, "&amp;VLOOKUP(B131,Instruções!$F$6:$J$10,5,0)&amp;" as "&amp;VLOOKUP(B131,Instruções!$F$6:$J$10,5,0)&amp;"_as_is,"&amp;E131&amp;" as "&amp;F131&amp;" FROM "&amp;C131&amp;" WHERE "&amp;Instruções!$D$11&amp;") A ")</f>
        <v xml:space="preserve">(SELECT instrmnt_id as instrmnt_id_as_is, cmmtmnt_instrmnt as cmmtmnt_instrmnt_as_is FROM cd_loan_tapes_bce.lt002_instrument WHERE ref_date='2025-06-30' AND nome_perimetro= 'Individual IDComb' AND segmento= 'ESTR' AND ambito= 'PM' AND entidade='00100' AND cod_visao = 1) A </v>
      </c>
      <c r="I131" s="17" t="str">
        <f>IF(VLOOKUP(B131,Instruções!$F$6:$J$10,5,0)="",
"(SELECT "&amp;VLOOKUP(B131,Instruções!$F$6:$J$10,4,0)&amp;" as "&amp;VLOOKUP(B131,Instruções!$F$6:$J$10,4,0)&amp;"_to_be, "&amp;E131&amp;" as "&amp;G131&amp;" FROM "&amp;D131&amp;" WHERE "&amp;Instruções!$D$11&amp;") B ",
"(SELECT "&amp;VLOOKUP(B131,Instruções!$F$6:$J$10,4,0)&amp;" as "&amp;VLOOKUP(B131,Instruções!$F$6:$J$10,4,0)&amp;"_to_be, "&amp;VLOOKUP(B131,Instruções!$F$6:$J$10,5,0)&amp;" as "&amp;VLOOKUP(B131,Instruções!$F$6:$J$10,5,0)&amp;"_to_be,"&amp;E131&amp;" as "&amp;G131&amp;" FROM "&amp;D131&amp;" WHERE "&amp;Instruções!$D$11&amp;") B ")</f>
        <v xml:space="preserve">(SELECT instrmnt_id as instrmnt_id_to_be, cmmtmnt_instrmnt as cmmtmnt_instrmnt_to_be FROM bu_loantape_work.lt002_instrument WHERE ref_date='2025-06-30' AND nome_perimetro= 'Individual IDComb' AND segmento= 'ESTR' AND ambito= 'PM' AND entidade='00100' AND cod_visao = 1) B </v>
      </c>
      <c r="J131" s="17" t="str">
        <f>IF(VLOOKUP(B131,Instruções!$F$6:$J$10,5,0)="",
"ON "&amp;VLOOKUP(B131,Instruções!$F$6:$J$10,4,0)&amp;"_as_is = "&amp;VLOOKUP(B131,Instruções!$F$6:$J$10,4,0)&amp;"_to_be ",
"ON "&amp;VLOOKUP(B131,Instruções!$F$6:$J$10,4,0)&amp;"_as_is = "&amp;VLOOKUP(B131,Instruções!$F$6:$J$10,4,0)&amp;"_to_be AND "&amp;VLOOKUP(B131,Instruções!$F$6:$J$10,5,0)&amp;"_as_is = "&amp;VLOOKUP(B131,Instruções!$F$6:$J$10,5,0)&amp;"_to_be ")</f>
        <v xml:space="preserve">ON instrmnt_id_as_is = instrmnt_id_to_be </v>
      </c>
      <c r="K131" s="17" t="str">
        <f t="shared" si="15"/>
        <v xml:space="preserve">WHERE coalesce(cast(cmmtmnt_instrmnt_as_is as string), '') &lt;&gt; coalesce(cast(cmmtmnt_instrmnt_to_be as string), '') </v>
      </c>
      <c r="L131" s="17" t="str">
        <f t="shared" si="16"/>
        <v xml:space="preserve">SELECT count(*) AS NUM_REG_DIF FROM (SELECT instrmnt_id as instrmnt_id_as_is, cmmtmnt_instrmnt as cmmtmnt_instrmnt_as_is FROM cd_loan_tapes_bce.lt002_instrument WHERE ref_date='2025-06-30' AND nome_perimetro= 'Individual IDComb' AND segmento= 'ESTR' AND ambito= 'PM' AND entidade='00100' AND cod_visao = 1) A  Inner join (SELECT instrmnt_id as instrmnt_id_to_be, cmmtmnt_instrmnt as cmmtmnt_instrmnt_to_be FROM bu_loantape_work.lt002_instrument WHERE ref_date='2025-06-30' AND nome_perimetro= 'Individual IDComb' AND segmento= 'ESTR' AND ambito= 'PM' AND entidade='00100' AND cod_visao = 1) B ON instrmnt_id_as_is = instrmnt_id_to_be WHERE coalesce(cast(cmmtmnt_instrmnt_as_is as string), '') &lt;&gt; coalesce(cast(cmmtmnt_instrmnt_to_be as string), '') </v>
      </c>
      <c r="M131" s="17" t="s">
        <v>48</v>
      </c>
      <c r="N131" s="17" t="str">
        <f>"SELECT 'Validação de campos' as tipologia_teste, '"&amp;VLOOKUP(B131,Instruções!$F$6:$J$10,3,0)&amp;"' AS TABELA, '"&amp;E131&amp;"' AS CAMPO, '"&amp;Instruções!$D$7&amp;"' as ref_date, coalesce(NUM_REG_DIF, 0) AS NUM_REG_DIF FROM ("&amp;L131&amp;") A "</f>
        <v xml:space="preserve">SELECT 'Validação de campos' as tipologia_teste, 'lt002_instrument' AS TABELA, 'cmmtmnt_instrmnt' AS CAMPO, '2025-06-30' as ref_date, coalesce(NUM_REG_DIF, 0) AS NUM_REG_DIF FROM (SELECT count(*) AS NUM_REG_DIF FROM (SELECT instrmnt_id as instrmnt_id_as_is, cmmtmnt_instrmnt as cmmtmnt_instrmnt_as_is FROM cd_loan_tapes_bce.lt002_instrument WHERE ref_date='2025-06-30' AND nome_perimetro= 'Individual IDComb' AND segmento= 'ESTR' AND ambito= 'PM' AND entidade='00100' AND cod_visao = 1) A  Inner join (SELECT instrmnt_id as instrmnt_id_to_be, cmmtmnt_instrmnt as cmmtmnt_instrmnt_to_be FROM bu_loantape_work.lt002_instrument WHERE ref_date='2025-06-30' AND nome_perimetro= 'Individual IDComb' AND segmento= 'ESTR' AND ambito= 'PM' AND entidade='00100' AND cod_visao = 1) B ON instrmnt_id_as_is = instrmnt_id_to_be WHERE coalesce(cast(cmmtmnt_instrmnt_as_is as string), '') &lt;&gt; coalesce(cast(cmmtmnt_instrmnt_to_be as string), '') ) A </v>
      </c>
      <c r="O131" s="19" t="str">
        <f t="shared" si="27"/>
        <v>SELECT 'Validação de campos' as tipologia_teste, 'lt002_instrument' AS TABELA, 'cmmtmnt_instrmnt' AS CAMPO, '2025-06-30' as ref_date, coalesce(NUM_REG_DIF, 0) AS NUM_REG_DIF FROM (SELECT count(*) AS NUM_REG_DIF FROM (SELECT instrmnt_id as instrmnt_id_as_is, cmmtmnt_instrmnt as cmmtmnt_instrmnt_as_is FROM cd_loan_tapes_bce.lt002_instrument WHERE ref_date='2025-06-30' AND nome_perimetro= 'Individual IDComb' AND segmento= 'ESTR' AND ambito= 'PM' AND entidade='00100' AND cod_visao = 1) A  Inner join (SELECT instrmnt_id as instrmnt_id_to_be, cmmtmnt_instrmnt as cmmtmnt_instrmnt_to_be FROM bu_loantape_work.lt002_instrument WHERE ref_date='2025-06-30' AND nome_perimetro= 'Individual IDComb' AND segmento= 'ESTR' AND ambito= 'PM' AND entidade='00100' AND cod_visao = 1) B ON instrmnt_id_as_is = instrmnt_id_to_be WHERE coalesce(cast(cmmtmnt_instrmnt_as_is as string), '') &lt;&gt; coalesce(cast(cmmtmnt_instrmnt_to_be as string), '') ) A UNION ALL</v>
      </c>
      <c r="P131" s="17">
        <f t="shared" si="17"/>
        <v>19</v>
      </c>
    </row>
    <row r="132" spans="2:17" s="15" customFormat="1" ht="11.5" x14ac:dyDescent="0.25">
      <c r="B132" s="17" t="s">
        <v>24</v>
      </c>
      <c r="C132" s="17" t="str">
        <f>_xlfn.CONCAT(Instruções!$D$5,".",VLOOKUP(B132,Instruções!$F$5:$H$10,2,0))</f>
        <v>cd_loan_tapes_bce.lt002_instrument</v>
      </c>
      <c r="D132" s="17" t="str">
        <f>_xlfn.CONCAT(Instruções!$D$6,".",VLOOKUP(B132,Instruções!$F$5:$H$10,3,0))</f>
        <v>bu_loantape_work.lt002_instrument</v>
      </c>
      <c r="E132" s="17" t="s">
        <v>163</v>
      </c>
      <c r="F132" s="17" t="str">
        <f t="shared" si="13"/>
        <v>cnsmptn_fnrp18_as_is</v>
      </c>
      <c r="G132" s="17" t="str">
        <f t="shared" si="14"/>
        <v>cnsmptn_fnrp18_to_be</v>
      </c>
      <c r="H132" s="17" t="str">
        <f>IF(VLOOKUP(B132,Instruções!$F$6:$J$10,5,0)="",
"(SELECT "&amp;VLOOKUP(B132,Instruções!$F$6:$J$10,4,0)&amp;" as "&amp;VLOOKUP(B132,Instruções!$F$6:$J$10,4,0)&amp;"_as_is, "&amp;E132&amp;" as "&amp;F132&amp;" FROM "&amp;C132&amp;" WHERE "&amp;Instruções!$D$11&amp;") A ",
"(SELECT "&amp;VLOOKUP(B132,Instruções!$F$6:$J$10,4,0)&amp;" as "&amp;VLOOKUP(B132,Instruções!$F$6:$J$10,4,0)&amp;"_as_is, "&amp;VLOOKUP(B132,Instruções!$F$6:$J$10,5,0)&amp;" as "&amp;VLOOKUP(B132,Instruções!$F$6:$J$10,5,0)&amp;"_as_is,"&amp;E132&amp;" as "&amp;F132&amp;" FROM "&amp;C132&amp;" WHERE "&amp;Instruções!$D$11&amp;") A ")</f>
        <v xml:space="preserve">(SELECT instrmnt_id as instrmnt_id_as_is, cnsmptn_fnrp18 as cnsmptn_fnrp18_as_is FROM cd_loan_tapes_bce.lt002_instrument WHERE ref_date='2025-06-30' AND nome_perimetro= 'Individual IDComb' AND segmento= 'ESTR' AND ambito= 'PM' AND entidade='00100' AND cod_visao = 1) A </v>
      </c>
      <c r="I132" s="17" t="str">
        <f>IF(VLOOKUP(B132,Instruções!$F$6:$J$10,5,0)="",
"(SELECT "&amp;VLOOKUP(B132,Instruções!$F$6:$J$10,4,0)&amp;" as "&amp;VLOOKUP(B132,Instruções!$F$6:$J$10,4,0)&amp;"_to_be, "&amp;E132&amp;" as "&amp;G132&amp;" FROM "&amp;D132&amp;" WHERE "&amp;Instruções!$D$11&amp;") B ",
"(SELECT "&amp;VLOOKUP(B132,Instruções!$F$6:$J$10,4,0)&amp;" as "&amp;VLOOKUP(B132,Instruções!$F$6:$J$10,4,0)&amp;"_to_be, "&amp;VLOOKUP(B132,Instruções!$F$6:$J$10,5,0)&amp;" as "&amp;VLOOKUP(B132,Instruções!$F$6:$J$10,5,0)&amp;"_to_be,"&amp;E132&amp;" as "&amp;G132&amp;" FROM "&amp;D132&amp;" WHERE "&amp;Instruções!$D$11&amp;") B ")</f>
        <v xml:space="preserve">(SELECT instrmnt_id as instrmnt_id_to_be, cnsmptn_fnrp18 as cnsmptn_fnrp18_to_be FROM bu_loantape_work.lt002_instrument WHERE ref_date='2025-06-30' AND nome_perimetro= 'Individual IDComb' AND segmento= 'ESTR' AND ambito= 'PM' AND entidade='00100' AND cod_visao = 1) B </v>
      </c>
      <c r="J132" s="17" t="str">
        <f>IF(VLOOKUP(B132,Instruções!$F$6:$J$10,5,0)="",
"ON "&amp;VLOOKUP(B132,Instruções!$F$6:$J$10,4,0)&amp;"_as_is = "&amp;VLOOKUP(B132,Instruções!$F$6:$J$10,4,0)&amp;"_to_be ",
"ON "&amp;VLOOKUP(B132,Instruções!$F$6:$J$10,4,0)&amp;"_as_is = "&amp;VLOOKUP(B132,Instruções!$F$6:$J$10,4,0)&amp;"_to_be AND "&amp;VLOOKUP(B132,Instruções!$F$6:$J$10,5,0)&amp;"_as_is = "&amp;VLOOKUP(B132,Instruções!$F$6:$J$10,5,0)&amp;"_to_be ")</f>
        <v xml:space="preserve">ON instrmnt_id_as_is = instrmnt_id_to_be </v>
      </c>
      <c r="K132" s="17" t="str">
        <f t="shared" si="15"/>
        <v xml:space="preserve">WHERE coalesce(cast(cnsmptn_fnrp18_as_is as string), '') &lt;&gt; coalesce(cast(cnsmptn_fnrp18_to_be as string), '') </v>
      </c>
      <c r="L132" s="17" t="str">
        <f t="shared" si="16"/>
        <v xml:space="preserve">SELECT count(*) AS NUM_REG_DIF FROM (SELECT instrmnt_id as instrmnt_id_as_is, cnsmptn_fnrp18 as cnsmptn_fnrp18_as_is FROM cd_loan_tapes_bce.lt002_instrument WHERE ref_date='2025-06-30' AND nome_perimetro= 'Individual IDComb' AND segmento= 'ESTR' AND ambito= 'PM' AND entidade='00100' AND cod_visao = 1) A  Inner join (SELECT instrmnt_id as instrmnt_id_to_be, cnsmptn_fnrp18 as cnsmptn_fnrp18_to_be FROM bu_loantape_work.lt002_instrument WHERE ref_date='2025-06-30' AND nome_perimetro= 'Individual IDComb' AND segmento= 'ESTR' AND ambito= 'PM' AND entidade='00100' AND cod_visao = 1) B ON instrmnt_id_as_is = instrmnt_id_to_be WHERE coalesce(cast(cnsmptn_fnrp18_as_is as string), '') &lt;&gt; coalesce(cast(cnsmptn_fnrp18_to_be as string), '') </v>
      </c>
      <c r="M132" s="17" t="s">
        <v>48</v>
      </c>
      <c r="N132" s="17" t="str">
        <f>"SELECT 'Validação de campos' as tipologia_teste, '"&amp;VLOOKUP(B132,Instruções!$F$6:$J$10,3,0)&amp;"' AS TABELA, '"&amp;E132&amp;"' AS CAMPO, '"&amp;Instruções!$D$7&amp;"' as ref_date, coalesce(NUM_REG_DIF, 0) AS NUM_REG_DIF FROM ("&amp;L132&amp;") A "</f>
        <v xml:space="preserve">SELECT 'Validação de campos' as tipologia_teste, 'lt002_instrument' AS TABELA, 'cnsmptn_fnrp18' AS CAMPO, '2025-06-30' as ref_date, coalesce(NUM_REG_DIF, 0) AS NUM_REG_DIF FROM (SELECT count(*) AS NUM_REG_DIF FROM (SELECT instrmnt_id as instrmnt_id_as_is, cnsmptn_fnrp18 as cnsmptn_fnrp18_as_is FROM cd_loan_tapes_bce.lt002_instrument WHERE ref_date='2025-06-30' AND nome_perimetro= 'Individual IDComb' AND segmento= 'ESTR' AND ambito= 'PM' AND entidade='00100' AND cod_visao = 1) A  Inner join (SELECT instrmnt_id as instrmnt_id_to_be, cnsmptn_fnrp18 as cnsmptn_fnrp18_to_be FROM bu_loantape_work.lt002_instrument WHERE ref_date='2025-06-30' AND nome_perimetro= 'Individual IDComb' AND segmento= 'ESTR' AND ambito= 'PM' AND entidade='00100' AND cod_visao = 1) B ON instrmnt_id_as_is = instrmnt_id_to_be WHERE coalesce(cast(cnsmptn_fnrp18_as_is as string), '') &lt;&gt; coalesce(cast(cnsmptn_fnrp18_to_be as string), '') ) A </v>
      </c>
      <c r="O132" s="19" t="str">
        <f t="shared" si="27"/>
        <v>SELECT 'Validação de campos' as tipologia_teste, 'lt002_instrument' AS TABELA, 'cnsmptn_fnrp18' AS CAMPO, '2025-06-30' as ref_date, coalesce(NUM_REG_DIF, 0) AS NUM_REG_DIF FROM (SELECT count(*) AS NUM_REG_DIF FROM (SELECT instrmnt_id as instrmnt_id_as_is, cnsmptn_fnrp18 as cnsmptn_fnrp18_as_is FROM cd_loan_tapes_bce.lt002_instrument WHERE ref_date='2025-06-30' AND nome_perimetro= 'Individual IDComb' AND segmento= 'ESTR' AND ambito= 'PM' AND entidade='00100' AND cod_visao = 1) A  Inner join (SELECT instrmnt_id as instrmnt_id_to_be, cnsmptn_fnrp18 as cnsmptn_fnrp18_to_be FROM bu_loantape_work.lt002_instrument WHERE ref_date='2025-06-30' AND nome_perimetro= 'Individual IDComb' AND segmento= 'ESTR' AND ambito= 'PM' AND entidade='00100' AND cod_visao = 1) B ON instrmnt_id_as_is = instrmnt_id_to_be WHERE coalesce(cast(cnsmptn_fnrp18_as_is as string), '') &lt;&gt; coalesce(cast(cnsmptn_fnrp18_to_be as string), '') ) A UNION ALL</v>
      </c>
      <c r="P132" s="17">
        <f t="shared" si="17"/>
        <v>20</v>
      </c>
    </row>
    <row r="133" spans="2:17" s="15" customFormat="1" ht="11.5" x14ac:dyDescent="0.25">
      <c r="B133" s="17" t="s">
        <v>24</v>
      </c>
      <c r="C133" s="17" t="str">
        <f>_xlfn.CONCAT(Instruções!$D$5,".",VLOOKUP(B133,Instruções!$F$5:$H$10,2,0))</f>
        <v>cd_loan_tapes_bce.lt002_instrument</v>
      </c>
      <c r="D133" s="17" t="str">
        <f>_xlfn.CONCAT(Instruções!$D$6,".",VLOOKUP(B133,Instruções!$F$5:$H$10,3,0))</f>
        <v>bu_loantape_work.lt002_instrument</v>
      </c>
      <c r="E133" s="17" t="s">
        <v>164</v>
      </c>
      <c r="F133" s="17" t="str">
        <f>E133&amp;"_as_is"</f>
        <v>cntrct_id_as_is</v>
      </c>
      <c r="G133" s="17" t="str">
        <f>E133&amp;"_to_be"</f>
        <v>cntrct_id_to_be</v>
      </c>
      <c r="H133" s="17" t="str">
        <f>IF(VLOOKUP(B133,Instruções!$F$6:$J$10,5,0)="",
"(SELECT "&amp;VLOOKUP(B133,Instruções!$F$6:$J$10,4,0)&amp;" as "&amp;VLOOKUP(B133,Instruções!$F$6:$J$10,4,0)&amp;"_as_is, "&amp;E133&amp;" as "&amp;F133&amp;" FROM "&amp;C133&amp;" WHERE "&amp;Instruções!$D$11&amp;") A ",
"(SELECT "&amp;VLOOKUP(B133,Instruções!$F$6:$J$10,4,0)&amp;" as "&amp;VLOOKUP(B133,Instruções!$F$6:$J$10,4,0)&amp;"_as_is, "&amp;VLOOKUP(B133,Instruções!$F$6:$J$10,5,0)&amp;" as "&amp;VLOOKUP(B133,Instruções!$F$6:$J$10,5,0)&amp;"_as_is,"&amp;E133&amp;" as "&amp;F133&amp;" FROM "&amp;C133&amp;" WHERE "&amp;Instruções!$D$11&amp;") A ")</f>
        <v xml:space="preserve">(SELECT instrmnt_id as instrmnt_id_as_is, cntrct_id as cntrct_id_as_is FROM cd_loan_tapes_bce.lt002_instrument WHERE ref_date='2025-06-30' AND nome_perimetro= 'Individual IDComb' AND segmento= 'ESTR' AND ambito= 'PM' AND entidade='00100' AND cod_visao = 1) A </v>
      </c>
      <c r="I133" s="17" t="str">
        <f>IF(VLOOKUP(B133,Instruções!$F$6:$J$10,5,0)="",
"(SELECT "&amp;VLOOKUP(B133,Instruções!$F$6:$J$10,4,0)&amp;" as "&amp;VLOOKUP(B133,Instruções!$F$6:$J$10,4,0)&amp;"_to_be, "&amp;E133&amp;" as "&amp;G133&amp;" FROM "&amp;D133&amp;" WHERE "&amp;Instruções!$D$11&amp;") B ",
"(SELECT "&amp;VLOOKUP(B133,Instruções!$F$6:$J$10,4,0)&amp;" as "&amp;VLOOKUP(B133,Instruções!$F$6:$J$10,4,0)&amp;"_to_be, "&amp;VLOOKUP(B133,Instruções!$F$6:$J$10,5,0)&amp;" as "&amp;VLOOKUP(B133,Instruções!$F$6:$J$10,5,0)&amp;"_to_be,"&amp;E133&amp;" as "&amp;G133&amp;" FROM "&amp;D133&amp;" WHERE "&amp;Instruções!$D$11&amp;") B ")</f>
        <v xml:space="preserve">(SELECT instrmnt_id as instrmnt_id_to_be, cntrct_id as cntrct_id_to_be FROM bu_loantape_work.lt002_instrument WHERE ref_date='2025-06-30' AND nome_perimetro= 'Individual IDComb' AND segmento= 'ESTR' AND ambito= 'PM' AND entidade='00100' AND cod_visao = 1) B </v>
      </c>
      <c r="J133" s="17" t="str">
        <f>IF(VLOOKUP(B133,Instruções!$F$6:$J$10,5,0)="",
"ON "&amp;VLOOKUP(B133,Instruções!$F$6:$J$10,4,0)&amp;"_as_is = "&amp;VLOOKUP(B133,Instruções!$F$6:$J$10,4,0)&amp;"_to_be ",
"ON "&amp;VLOOKUP(B133,Instruções!$F$6:$J$10,4,0)&amp;"_as_is = "&amp;VLOOKUP(B133,Instruções!$F$6:$J$10,4,0)&amp;"_to_be AND "&amp;VLOOKUP(B133,Instruções!$F$6:$J$10,5,0)&amp;"_as_is = "&amp;VLOOKUP(B133,Instruções!$F$6:$J$10,5,0)&amp;"_to_be ")</f>
        <v xml:space="preserve">ON instrmnt_id_as_is = instrmnt_id_to_be </v>
      </c>
      <c r="K133" s="17" t="str">
        <f>"WHERE coalesce(cast("&amp;F133&amp;" as string), '') &lt;&gt; coalesce(cast("&amp;G133&amp;" as string), '') "</f>
        <v xml:space="preserve">WHERE coalesce(cast(cntrct_id_as_is as string), '') &lt;&gt; coalesce(cast(cntrct_id_to_be as string), '') </v>
      </c>
      <c r="L133" s="17" t="str">
        <f>"SELECT count(*) AS NUM_REG_DIF FROM "&amp;H133&amp;" Inner join "&amp;I133&amp;J133&amp;K133</f>
        <v xml:space="preserve">SELECT count(*) AS NUM_REG_DIF FROM (SELECT instrmnt_id as instrmnt_id_as_is, cntrct_id as cntrct_id_as_is FROM cd_loan_tapes_bce.lt002_instrument WHERE ref_date='2025-06-30' AND nome_perimetro= 'Individual IDComb' AND segmento= 'ESTR' AND ambito= 'PM' AND entidade='00100' AND cod_visao = 1) A  Inner join (SELECT instrmnt_id as instrmnt_id_to_be, cntrct_id as cntrct_id_to_be FROM bu_loantape_work.lt002_instrument WHERE ref_date='2025-06-30' AND nome_perimetro= 'Individual IDComb' AND segmento= 'ESTR' AND ambito= 'PM' AND entidade='00100' AND cod_visao = 1) B ON instrmnt_id_as_is = instrmnt_id_to_be WHERE coalesce(cast(cntrct_id_as_is as string), '') &lt;&gt; coalesce(cast(cntrct_id_to_be as string), '') </v>
      </c>
      <c r="M133" s="17" t="s">
        <v>48</v>
      </c>
      <c r="N133" s="17" t="str">
        <f>"SELECT 'Validação de campos' as tipologia_teste, '"&amp;VLOOKUP(B133,Instruções!$F$6:$J$10,3,0)&amp;"' AS TABELA, '"&amp;E133&amp;"' AS CAMPO, '"&amp;Instruções!$D$7&amp;"' as ref_date, coalesce(NUM_REG_DIF, 0) AS NUM_REG_DIF FROM ("&amp;L133&amp;") A "</f>
        <v xml:space="preserve">SELECT 'Validação de campos' as tipologia_teste, 'lt002_instrument' AS TABELA, 'cntrct_id' AS CAMPO, '2025-06-30' as ref_date, coalesce(NUM_REG_DIF, 0) AS NUM_REG_DIF FROM (SELECT count(*) AS NUM_REG_DIF FROM (SELECT instrmnt_id as instrmnt_id_as_is, cntrct_id as cntrct_id_as_is FROM cd_loan_tapes_bce.lt002_instrument WHERE ref_date='2025-06-30' AND nome_perimetro= 'Individual IDComb' AND segmento= 'ESTR' AND ambito= 'PM' AND entidade='00100' AND cod_visao = 1) A  Inner join (SELECT instrmnt_id as instrmnt_id_to_be, cntrct_id as cntrct_id_to_be FROM bu_loantape_work.lt002_instrument WHERE ref_date='2025-06-30' AND nome_perimetro= 'Individual IDComb' AND segmento= 'ESTR' AND ambito= 'PM' AND entidade='00100' AND cod_visao = 1) B ON instrmnt_id_as_is = instrmnt_id_to_be WHERE coalesce(cast(cntrct_id_as_is as string), '') &lt;&gt; coalesce(cast(cntrct_id_to_be as string), '') ) A </v>
      </c>
      <c r="O133" s="19" t="s">
        <v>361</v>
      </c>
      <c r="P133" s="17">
        <f t="shared" si="17"/>
        <v>21</v>
      </c>
    </row>
    <row r="134" spans="2:17" s="15" customFormat="1" ht="11.5" x14ac:dyDescent="0.25"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9"/>
      <c r="P134" s="18"/>
    </row>
    <row r="135" spans="2:17" s="15" customFormat="1" ht="11.5" x14ac:dyDescent="0.25">
      <c r="B135" s="17" t="s">
        <v>24</v>
      </c>
      <c r="C135" s="17" t="str">
        <f>_xlfn.CONCAT(Instruções!$D$5,".",VLOOKUP(B135,Instruções!$F$5:$H$10,2,0))</f>
        <v>cd_loan_tapes_bce.lt002_instrument</v>
      </c>
      <c r="D135" s="17" t="str">
        <f>_xlfn.CONCAT(Instruções!$D$6,".",VLOOKUP(B135,Instruções!$F$5:$H$10,3,0))</f>
        <v>bu_loantape_work.lt002_instrument</v>
      </c>
      <c r="E135" s="17" t="s">
        <v>165</v>
      </c>
      <c r="F135" s="17" t="str">
        <f>E135&amp;"_as_is"</f>
        <v>hedge_id_as_is</v>
      </c>
      <c r="G135" s="17" t="str">
        <f>E135&amp;"_to_be"</f>
        <v>hedge_id_to_be</v>
      </c>
      <c r="H135" s="17" t="str">
        <f>IF(VLOOKUP(B135,Instruções!$F$6:$J$10,5,0)="",
"(SELECT "&amp;VLOOKUP(B135,Instruções!$F$6:$J$10,4,0)&amp;" as "&amp;VLOOKUP(B135,Instruções!$F$6:$J$10,4,0)&amp;"_as_is, concat_ws(',',sort_array(split("&amp;E135&amp;", ','))) as "&amp;F135&amp;" FROM "&amp;C135&amp;" WHERE "&amp;Instruções!$D$11&amp;") A ",
"(SELECT "&amp;VLOOKUP(B135,Instruções!$F$6:$J$10,4,0)&amp;" as "&amp;VLOOKUP(B135,Instruções!$F$6:$J$10,4,0)&amp;"_as_is, "&amp;VLOOKUP(B135,Instruções!$F$6:$J$10,5,0)&amp;" as "&amp;VLOOKUP(B135,Instruções!$F$6:$J$10,5,0)&amp;"_as_is, concat_ws(',',sort_array(split("&amp;E135&amp;", ','))) as "&amp;F135&amp;" FROM "&amp;C135&amp;" WHERE "&amp;Instruções!$D$11&amp;") A ")</f>
        <v xml:space="preserve">(SELECT instrmnt_id as instrmnt_id_as_is, concat_ws(',',sort_array(split(hedge_id, ','))) as hedge_id_as_is FROM cd_loan_tapes_bce.lt002_instrument WHERE ref_date='2025-06-30' AND nome_perimetro= 'Individual IDComb' AND segmento= 'ESTR' AND ambito= 'PM' AND entidade='00100' AND cod_visao = 1) A </v>
      </c>
      <c r="I135" s="17" t="str">
        <f>IF(VLOOKUP(B135,Instruções!$F$6:$J$10,5,0)="",
"(SELECT "&amp;VLOOKUP(B135,Instruções!$F$6:$J$10,4,0)&amp;" as "&amp;VLOOKUP(B135,Instruções!$F$6:$J$10,4,0)&amp;"_to_be, concat_ws(',',sort_array(split("&amp;E135&amp;", ','))) as "&amp;G135&amp;" FROM "&amp;D135&amp;" WHERE "&amp;Instruções!$D$11&amp;") B ",
"(SELECT "&amp;VLOOKUP(B135,Instruções!$F$6:$J$10,4,0)&amp;" as "&amp;VLOOKUP(B135,Instruções!$F$6:$J$10,4,0)&amp;"_to_be, "&amp;VLOOKUP(B135,Instruções!$F$6:$J$10,5,0)&amp;" as "&amp;VLOOKUP(B135,Instruções!$F$6:$J$10,5,0)&amp;"_to_be,"&amp;E135&amp;" as "&amp;G135&amp;" FROM "&amp;D135&amp;" WHERE "&amp;Instruções!$D$11&amp;") B ")</f>
        <v xml:space="preserve">(SELECT instrmnt_id as instrmnt_id_to_be, concat_ws(',',sort_array(split(hedge_id, ','))) as hedge_id_to_be FROM bu_loantape_work.lt002_instrument WHERE ref_date='2025-06-30' AND nome_perimetro= 'Individual IDComb' AND segmento= 'ESTR' AND ambito= 'PM' AND entidade='00100' AND cod_visao = 1) B </v>
      </c>
      <c r="J135" s="17" t="str">
        <f>IF(VLOOKUP(B135,Instruções!$F$6:$J$10,5,0)="",
"ON "&amp;VLOOKUP(B135,Instruções!$F$6:$J$10,4,0)&amp;"_as_is = "&amp;VLOOKUP(B135,Instruções!$F$6:$J$10,4,0)&amp;"_to_be ",
"ON "&amp;VLOOKUP(B135,Instruções!$F$6:$J$10,4,0)&amp;"_as_is = "&amp;VLOOKUP(B135,Instruções!$F$6:$J$10,4,0)&amp;"_to_be AND "&amp;VLOOKUP(B135,Instruções!$F$6:$J$10,5,0)&amp;"_as_is = "&amp;VLOOKUP(B135,Instruções!$F$6:$J$10,5,0)&amp;"_to_be ")</f>
        <v xml:space="preserve">ON instrmnt_id_as_is = instrmnt_id_to_be </v>
      </c>
      <c r="K135" s="17" t="str">
        <f>"WHERE coalesce(cast("&amp;F135&amp;" as string), '') &lt;&gt; coalesce(cast("&amp;G135&amp;" as string), '') "</f>
        <v xml:space="preserve">WHERE coalesce(cast(hedge_id_as_is as string), '') &lt;&gt; coalesce(cast(hedge_id_to_be as string), '') </v>
      </c>
      <c r="L135" s="17" t="str">
        <f>"SELECT count(*) AS NUM_REG_DIF FROM "&amp;H135&amp;" Inner join "&amp;I135&amp;J135&amp;K135</f>
        <v xml:space="preserve">SELECT count(*) AS NUM_REG_DIF FROM (SELECT instrmnt_id as instrmnt_id_as_is, concat_ws(',',sort_array(split(hedge_id, ','))) as hedge_id_as_is FROM cd_loan_tapes_bce.lt002_instrument WHERE ref_date='2025-06-30' AND nome_perimetro= 'Individual IDComb' AND segmento= 'ESTR' AND ambito= 'PM' AND entidade='00100' AND cod_visao = 1) A  Inner join (SELECT instrmnt_id as instrmnt_id_to_be, concat_ws(',',sort_array(split(hedge_id, ','))) as hedge_id_to_be FROM bu_loantape_work.lt002_instrument WHERE ref_date='2025-06-30' AND nome_perimetro= 'Individual IDComb' AND segmento= 'ESTR' AND ambito= 'PM' AND entidade='00100' AND cod_visao = 1) B ON instrmnt_id_as_is = instrmnt_id_to_be WHERE coalesce(cast(hedge_id_as_is as string), '') &lt;&gt; coalesce(cast(hedge_id_to_be as string), '') </v>
      </c>
      <c r="M135" s="17" t="s">
        <v>48</v>
      </c>
      <c r="N135" s="17" t="str">
        <f>"SELECT 'Validação de campos' as tipologia_teste, '"&amp;VLOOKUP(B135,Instruções!$F$6:$J$10,3,0)&amp;"' AS TABELA, '"&amp;E135&amp;"' AS CAMPO, '"&amp;Instruções!$D$7&amp;"' as ref_date, coalesce(NUM_REG_DIF, 0) AS NUM_REG_DIF FROM ("&amp;L135&amp;") A "</f>
        <v xml:space="preserve">SELECT 'Validação de campos' as tipologia_teste, 'lt002_instrument' AS TABELA, 'hedge_id' AS CAMPO, '2025-06-30' as ref_date, coalesce(NUM_REG_DIF, 0) AS NUM_REG_DIF FROM (SELECT count(*) AS NUM_REG_DIF FROM (SELECT instrmnt_id as instrmnt_id_as_is, concat_ws(',',sort_array(split(hedge_id, ','))) as hedge_id_as_is FROM cd_loan_tapes_bce.lt002_instrument WHERE ref_date='2025-06-30' AND nome_perimetro= 'Individual IDComb' AND segmento= 'ESTR' AND ambito= 'PM' AND entidade='00100' AND cod_visao = 1) A  Inner join (SELECT instrmnt_id as instrmnt_id_to_be, concat_ws(',',sort_array(split(hedge_id, ','))) as hedge_id_to_be FROM bu_loantape_work.lt002_instrument WHERE ref_date='2025-06-30' AND nome_perimetro= 'Individual IDComb' AND segmento= 'ESTR' AND ambito= 'PM' AND entidade='00100' AND cod_visao = 1) B ON instrmnt_id_as_is = instrmnt_id_to_be WHERE coalesce(cast(hedge_id_as_is as string), '') &lt;&gt; coalesce(cast(hedge_id_to_be as string), '') ) A </v>
      </c>
      <c r="O135" s="19" t="str">
        <f>IF(O136="",N135,N135&amp;$O$3)</f>
        <v>SELECT 'Validação de campos' as tipologia_teste, 'lt002_instrument' AS TABELA, 'hedge_id' AS CAMPO, '2025-06-30' as ref_date, coalesce(NUM_REG_DIF, 0) AS NUM_REG_DIF FROM (SELECT count(*) AS NUM_REG_DIF FROM (SELECT instrmnt_id as instrmnt_id_as_is, concat_ws(',',sort_array(split(hedge_id, ','))) as hedge_id_as_is FROM cd_loan_tapes_bce.lt002_instrument WHERE ref_date='2025-06-30' AND nome_perimetro= 'Individual IDComb' AND segmento= 'ESTR' AND ambito= 'PM' AND entidade='00100' AND cod_visao = 1) A  Inner join (SELECT instrmnt_id as instrmnt_id_to_be, concat_ws(',',sort_array(split(hedge_id, ','))) as hedge_id_to_be FROM bu_loantape_work.lt002_instrument WHERE ref_date='2025-06-30' AND nome_perimetro= 'Individual IDComb' AND segmento= 'ESTR' AND ambito= 'PM' AND entidade='00100' AND cod_visao = 1) B ON instrmnt_id_as_is = instrmnt_id_to_be WHERE coalesce(cast(hedge_id_as_is as string), '') &lt;&gt; coalesce(cast(hedge_id_to_be as string), '') ) A UNION ALL</v>
      </c>
      <c r="P135" s="17">
        <f>P134+1</f>
        <v>1</v>
      </c>
      <c r="Q135" s="15" t="s">
        <v>166</v>
      </c>
    </row>
    <row r="136" spans="2:17" s="15" customFormat="1" ht="11.5" x14ac:dyDescent="0.25">
      <c r="B136" s="17" t="s">
        <v>24</v>
      </c>
      <c r="C136" s="17" t="str">
        <f>_xlfn.CONCAT(Instruções!$D$5,".",VLOOKUP(B136,Instruções!$F$5:$H$10,2,0))</f>
        <v>cd_loan_tapes_bce.lt002_instrument</v>
      </c>
      <c r="D136" s="17" t="str">
        <f>_xlfn.CONCAT(Instruções!$D$6,".",VLOOKUP(B136,Instruções!$F$5:$H$10,3,0))</f>
        <v>bu_loantape_work.lt002_instrument</v>
      </c>
      <c r="E136" s="17" t="s">
        <v>167</v>
      </c>
      <c r="F136" s="17" t="str">
        <f t="shared" ref="F136:F137" si="28">E136&amp;"_as_is"</f>
        <v>intrnl_sgmnt_cat_msta_as_is</v>
      </c>
      <c r="G136" s="17" t="str">
        <f t="shared" ref="G136:G137" si="29">E136&amp;"_to_be"</f>
        <v>intrnl_sgmnt_cat_msta_to_be</v>
      </c>
      <c r="H136" s="17" t="str">
        <f>IF(VLOOKUP(B136,Instruções!$F$6:$J$10,5,0)="",
"(SELECT "&amp;VLOOKUP(B136,Instruções!$F$6:$J$10,4,0)&amp;" as "&amp;VLOOKUP(B136,Instruções!$F$6:$J$10,4,0)&amp;"_as_is, concat_ws(',',sort_array(split("&amp;E136&amp;", ','))) as "&amp;F136&amp;" FROM "&amp;C136&amp;" WHERE "&amp;Instruções!$D$11&amp;") A ",
"(SELECT "&amp;VLOOKUP(B136,Instruções!$F$6:$J$10,4,0)&amp;" as "&amp;VLOOKUP(B136,Instruções!$F$6:$J$10,4,0)&amp;"_as_is, "&amp;VLOOKUP(B136,Instruções!$F$6:$J$10,5,0)&amp;" as "&amp;VLOOKUP(B136,Instruções!$F$6:$J$10,5,0)&amp;"_as_is, concat_ws(',',sort_array(split("&amp;E136&amp;", ','))) as "&amp;F136&amp;" FROM "&amp;C136&amp;" WHERE "&amp;Instruções!$D$11&amp;") A ")</f>
        <v xml:space="preserve">(SELECT instrmnt_id as instrmnt_id_as_is, concat_ws(',',sort_array(split(intrnl_sgmnt_cat_msta, ','))) as intrnl_sgmnt_cat_msta_as_is FROM cd_loan_tapes_bce.lt002_instrument WHERE ref_date='2025-06-30' AND nome_perimetro= 'Individual IDComb' AND segmento= 'ESTR' AND ambito= 'PM' AND entidade='00100' AND cod_visao = 1) A </v>
      </c>
      <c r="I136" s="17" t="str">
        <f>IF(VLOOKUP(B136,Instruções!$F$6:$J$10,5,0)="",
"(SELECT "&amp;VLOOKUP(B136,Instruções!$F$6:$J$10,4,0)&amp;" as "&amp;VLOOKUP(B136,Instruções!$F$6:$J$10,4,0)&amp;"_to_be, concat_ws(',',sort_array(split("&amp;E136&amp;", ','))) as "&amp;G136&amp;" FROM "&amp;D136&amp;" WHERE "&amp;Instruções!$D$11&amp;") B ",
"(SELECT "&amp;VLOOKUP(B136,Instruções!$F$6:$J$10,4,0)&amp;" as "&amp;VLOOKUP(B136,Instruções!$F$6:$J$10,4,0)&amp;"_to_be, "&amp;VLOOKUP(B136,Instruções!$F$6:$J$10,5,0)&amp;" as "&amp;VLOOKUP(B136,Instruções!$F$6:$J$10,5,0)&amp;"_to_be,"&amp;E136&amp;" as "&amp;G136&amp;" FROM "&amp;D136&amp;" WHERE "&amp;Instruções!$D$11&amp;") B ")</f>
        <v xml:space="preserve">(SELECT instrmnt_id as instrmnt_id_to_be, concat_ws(',',sort_array(split(intrnl_sgmnt_cat_msta, ','))) as intrnl_sgmnt_cat_msta_to_be FROM bu_loantape_work.lt002_instrument WHERE ref_date='2025-06-30' AND nome_perimetro= 'Individual IDComb' AND segmento= 'ESTR' AND ambito= 'PM' AND entidade='00100' AND cod_visao = 1) B </v>
      </c>
      <c r="J136" s="17" t="str">
        <f>IF(VLOOKUP(B136,Instruções!$F$6:$J$10,5,0)="",
"ON "&amp;VLOOKUP(B136,Instruções!$F$6:$J$10,4,0)&amp;"_as_is = "&amp;VLOOKUP(B136,Instruções!$F$6:$J$10,4,0)&amp;"_to_be ",
"ON "&amp;VLOOKUP(B136,Instruções!$F$6:$J$10,4,0)&amp;"_as_is = "&amp;VLOOKUP(B136,Instruções!$F$6:$J$10,4,0)&amp;"_to_be AND "&amp;VLOOKUP(B136,Instruções!$F$6:$J$10,5,0)&amp;"_as_is = "&amp;VLOOKUP(B136,Instruções!$F$6:$J$10,5,0)&amp;"_to_be ")</f>
        <v xml:space="preserve">ON instrmnt_id_as_is = instrmnt_id_to_be </v>
      </c>
      <c r="K136" s="17" t="str">
        <f t="shared" ref="K136:K137" si="30">"WHERE coalesce(cast("&amp;F136&amp;" as string), '') &lt;&gt; coalesce(cast("&amp;G136&amp;" as string), '') "</f>
        <v xml:space="preserve">WHERE coalesce(cast(intrnl_sgmnt_cat_msta_as_is as string), '') &lt;&gt; coalesce(cast(intrnl_sgmnt_cat_msta_to_be as string), '') </v>
      </c>
      <c r="L136" s="17" t="str">
        <f t="shared" ref="L136:L137" si="31">"SELECT count(*) AS NUM_REG_DIF FROM "&amp;H136&amp;" Inner join "&amp;I136&amp;J136&amp;K136</f>
        <v xml:space="preserve">SELECT count(*) AS NUM_REG_DIF FROM (SELECT instrmnt_id as instrmnt_id_as_is, concat_ws(',',sort_array(split(intrnl_sgmnt_cat_msta, ','))) as intrnl_sgmnt_cat_msta_as_is FROM cd_loan_tapes_bce.lt002_instrument WHERE ref_date='2025-06-30' AND nome_perimetro= 'Individual IDComb' AND segmento= 'ESTR' AND ambito= 'PM' AND entidade='00100' AND cod_visao = 1) A  Inner join (SELECT instrmnt_id as instrmnt_id_to_be, concat_ws(',',sort_array(split(intrnl_sgmnt_cat_msta, ','))) as intrnl_sgmnt_cat_msta_to_be FROM bu_loantape_work.lt002_instrument WHERE ref_date='2025-06-30' AND nome_perimetro= 'Individual IDComb' AND segmento= 'ESTR' AND ambito= 'PM' AND entidade='00100' AND cod_visao = 1) B ON instrmnt_id_as_is = instrmnt_id_to_be WHERE coalesce(cast(intrnl_sgmnt_cat_msta_as_is as string), '') &lt;&gt; coalesce(cast(intrnl_sgmnt_cat_msta_to_be as string), '') </v>
      </c>
      <c r="M136" s="17" t="s">
        <v>48</v>
      </c>
      <c r="N136" s="17" t="str">
        <f>"SELECT 'Validação de campos' as tipologia_teste, '"&amp;VLOOKUP(B136,Instruções!$F$6:$J$10,3,0)&amp;"' AS TABELA, '"&amp;E136&amp;"' AS CAMPO, '"&amp;Instruções!$D$7&amp;"' as ref_date, coalesce(NUM_REG_DIF, 0) AS NUM_REG_DIF FROM ("&amp;L136&amp;") A "</f>
        <v xml:space="preserve">SELECT 'Validação de campos' as tipologia_teste, 'lt002_instrument' AS TABELA, 'intrnl_sgmnt_cat_msta' AS CAMPO, '2025-06-30' as ref_date, coalesce(NUM_REG_DIF, 0) AS NUM_REG_DIF FROM (SELECT count(*) AS NUM_REG_DIF FROM (SELECT instrmnt_id as instrmnt_id_as_is, concat_ws(',',sort_array(split(intrnl_sgmnt_cat_msta, ','))) as intrnl_sgmnt_cat_msta_as_is FROM cd_loan_tapes_bce.lt002_instrument WHERE ref_date='2025-06-30' AND nome_perimetro= 'Individual IDComb' AND segmento= 'ESTR' AND ambito= 'PM' AND entidade='00100' AND cod_visao = 1) A  Inner join (SELECT instrmnt_id as instrmnt_id_to_be, concat_ws(',',sort_array(split(intrnl_sgmnt_cat_msta, ','))) as intrnl_sgmnt_cat_msta_to_be FROM bu_loantape_work.lt002_instrument WHERE ref_date='2025-06-30' AND nome_perimetro= 'Individual IDComb' AND segmento= 'ESTR' AND ambito= 'PM' AND entidade='00100' AND cod_visao = 1) B ON instrmnt_id_as_is = instrmnt_id_to_be WHERE coalesce(cast(intrnl_sgmnt_cat_msta_as_is as string), '') &lt;&gt; coalesce(cast(intrnl_sgmnt_cat_msta_to_be as string), '') ) A </v>
      </c>
      <c r="O136" s="19" t="str">
        <f t="shared" ref="O136:O138" si="32">IF(O137="",N136,N136&amp;$O$3)</f>
        <v>SELECT 'Validação de campos' as tipologia_teste, 'lt002_instrument' AS TABELA, 'intrnl_sgmnt_cat_msta' AS CAMPO, '2025-06-30' as ref_date, coalesce(NUM_REG_DIF, 0) AS NUM_REG_DIF FROM (SELECT count(*) AS NUM_REG_DIF FROM (SELECT instrmnt_id as instrmnt_id_as_is, concat_ws(',',sort_array(split(intrnl_sgmnt_cat_msta, ','))) as intrnl_sgmnt_cat_msta_as_is FROM cd_loan_tapes_bce.lt002_instrument WHERE ref_date='2025-06-30' AND nome_perimetro= 'Individual IDComb' AND segmento= 'ESTR' AND ambito= 'PM' AND entidade='00100' AND cod_visao = 1) A  Inner join (SELECT instrmnt_id as instrmnt_id_to_be, concat_ws(',',sort_array(split(intrnl_sgmnt_cat_msta, ','))) as intrnl_sgmnt_cat_msta_to_be FROM bu_loantape_work.lt002_instrument WHERE ref_date='2025-06-30' AND nome_perimetro= 'Individual IDComb' AND segmento= 'ESTR' AND ambito= 'PM' AND entidade='00100' AND cod_visao = 1) B ON instrmnt_id_as_is = instrmnt_id_to_be WHERE coalesce(cast(intrnl_sgmnt_cat_msta_as_is as string), '') &lt;&gt; coalesce(cast(intrnl_sgmnt_cat_msta_to_be as string), '') ) A UNION ALL</v>
      </c>
      <c r="P136" s="17">
        <f t="shared" ref="P136:P138" si="33">P135+1</f>
        <v>2</v>
      </c>
      <c r="Q136" s="15" t="s">
        <v>166</v>
      </c>
    </row>
    <row r="137" spans="2:17" s="15" customFormat="1" ht="11.5" x14ac:dyDescent="0.25">
      <c r="B137" s="17" t="s">
        <v>24</v>
      </c>
      <c r="C137" s="17" t="str">
        <f>_xlfn.CONCAT(Instruções!$D$5,".",VLOOKUP(B137,Instruções!$F$5:$H$10,2,0))</f>
        <v>cd_loan_tapes_bce.lt002_instrument</v>
      </c>
      <c r="D137" s="17" t="str">
        <f>_xlfn.CONCAT(Instruções!$D$6,".",VLOOKUP(B137,Instruções!$F$5:$H$10,3,0))</f>
        <v>bu_loantape_work.lt002_instrument</v>
      </c>
      <c r="E137" s="17" t="s">
        <v>168</v>
      </c>
      <c r="F137" s="17" t="str">
        <f t="shared" si="28"/>
        <v>intrnl_sgmnt_catgsub_as_is</v>
      </c>
      <c r="G137" s="17" t="str">
        <f t="shared" si="29"/>
        <v>intrnl_sgmnt_catgsub_to_be</v>
      </c>
      <c r="H137" s="17" t="str">
        <f>IF(VLOOKUP(B137,Instruções!$F$6:$J$10,5,0)="",
"(SELECT "&amp;VLOOKUP(B137,Instruções!$F$6:$J$10,4,0)&amp;" as "&amp;VLOOKUP(B137,Instruções!$F$6:$J$10,4,0)&amp;"_as_is, concat_ws(',',sort_array(split("&amp;E137&amp;", ','))) as "&amp;F137&amp;" FROM "&amp;C137&amp;" WHERE "&amp;Instruções!$D$11&amp;") A ",
"(SELECT "&amp;VLOOKUP(B137,Instruções!$F$6:$J$10,4,0)&amp;" as "&amp;VLOOKUP(B137,Instruções!$F$6:$J$10,4,0)&amp;"_as_is, "&amp;VLOOKUP(B137,Instruções!$F$6:$J$10,5,0)&amp;" as "&amp;VLOOKUP(B137,Instruções!$F$6:$J$10,5,0)&amp;"_as_is, concat_ws(',',sort_array(split("&amp;E137&amp;", ','))) as "&amp;F137&amp;" FROM "&amp;C137&amp;" WHERE "&amp;Instruções!$D$11&amp;") A ")</f>
        <v xml:space="preserve">(SELECT instrmnt_id as instrmnt_id_as_is, concat_ws(',',sort_array(split(intrnl_sgmnt_catgsub, ','))) as intrnl_sgmnt_catgsub_as_is FROM cd_loan_tapes_bce.lt002_instrument WHERE ref_date='2025-06-30' AND nome_perimetro= 'Individual IDComb' AND segmento= 'ESTR' AND ambito= 'PM' AND entidade='00100' AND cod_visao = 1) A </v>
      </c>
      <c r="I137" s="17" t="str">
        <f>IF(VLOOKUP(B137,Instruções!$F$6:$J$10,5,0)="",
"(SELECT "&amp;VLOOKUP(B137,Instruções!$F$6:$J$10,4,0)&amp;" as "&amp;VLOOKUP(B137,Instruções!$F$6:$J$10,4,0)&amp;"_to_be, concat_ws(',',sort_array(split("&amp;E137&amp;", ','))) as "&amp;G137&amp;" FROM "&amp;D137&amp;" WHERE "&amp;Instruções!$D$11&amp;") B ",
"(SELECT "&amp;VLOOKUP(B137,Instruções!$F$6:$J$10,4,0)&amp;" as "&amp;VLOOKUP(B137,Instruções!$F$6:$J$10,4,0)&amp;"_to_be, "&amp;VLOOKUP(B137,Instruções!$F$6:$J$10,5,0)&amp;" as "&amp;VLOOKUP(B137,Instruções!$F$6:$J$10,5,0)&amp;"_to_be,"&amp;E137&amp;" as "&amp;G137&amp;" FROM "&amp;D137&amp;" WHERE "&amp;Instruções!$D$11&amp;") B ")</f>
        <v xml:space="preserve">(SELECT instrmnt_id as instrmnt_id_to_be, concat_ws(',',sort_array(split(intrnl_sgmnt_catgsub, ','))) as intrnl_sgmnt_catgsub_to_be FROM bu_loantape_work.lt002_instrument WHERE ref_date='2025-06-30' AND nome_perimetro= 'Individual IDComb' AND segmento= 'ESTR' AND ambito= 'PM' AND entidade='00100' AND cod_visao = 1) B </v>
      </c>
      <c r="J137" s="17" t="str">
        <f>IF(VLOOKUP(B137,Instruções!$F$6:$J$10,5,0)="",
"ON "&amp;VLOOKUP(B137,Instruções!$F$6:$J$10,4,0)&amp;"_as_is = "&amp;VLOOKUP(B137,Instruções!$F$6:$J$10,4,0)&amp;"_to_be ",
"ON "&amp;VLOOKUP(B137,Instruções!$F$6:$J$10,4,0)&amp;"_as_is = "&amp;VLOOKUP(B137,Instruções!$F$6:$J$10,4,0)&amp;"_to_be AND "&amp;VLOOKUP(B137,Instruções!$F$6:$J$10,5,0)&amp;"_as_is = "&amp;VLOOKUP(B137,Instruções!$F$6:$J$10,5,0)&amp;"_to_be ")</f>
        <v xml:space="preserve">ON instrmnt_id_as_is = instrmnt_id_to_be </v>
      </c>
      <c r="K137" s="17" t="str">
        <f t="shared" si="30"/>
        <v xml:space="preserve">WHERE coalesce(cast(intrnl_sgmnt_catgsub_as_is as string), '') &lt;&gt; coalesce(cast(intrnl_sgmnt_catgsub_to_be as string), '') </v>
      </c>
      <c r="L137" s="17" t="str">
        <f t="shared" si="31"/>
        <v xml:space="preserve">SELECT count(*) AS NUM_REG_DIF FROM (SELECT instrmnt_id as instrmnt_id_as_is, concat_ws(',',sort_array(split(intrnl_sgmnt_catgsub, ','))) as intrnl_sgmnt_catgsub_as_is FROM cd_loan_tapes_bce.lt002_instrument WHERE ref_date='2025-06-30' AND nome_perimetro= 'Individual IDComb' AND segmento= 'ESTR' AND ambito= 'PM' AND entidade='00100' AND cod_visao = 1) A  Inner join (SELECT instrmnt_id as instrmnt_id_to_be, concat_ws(',',sort_array(split(intrnl_sgmnt_catgsub, ','))) as intrnl_sgmnt_catgsub_to_be FROM bu_loantape_work.lt002_instrument WHERE ref_date='2025-06-30' AND nome_perimetro= 'Individual IDComb' AND segmento= 'ESTR' AND ambito= 'PM' AND entidade='00100' AND cod_visao = 1) B ON instrmnt_id_as_is = instrmnt_id_to_be WHERE coalesce(cast(intrnl_sgmnt_catgsub_as_is as string), '') &lt;&gt; coalesce(cast(intrnl_sgmnt_catgsub_to_be as string), '') </v>
      </c>
      <c r="M137" s="17" t="s">
        <v>48</v>
      </c>
      <c r="N137" s="17" t="str">
        <f>"SELECT 'Validação de campos' as tipologia_teste, '"&amp;VLOOKUP(B137,Instruções!$F$6:$J$10,3,0)&amp;"' AS TABELA, '"&amp;E137&amp;"' AS CAMPO, '"&amp;Instruções!$D$7&amp;"' as ref_date, coalesce(NUM_REG_DIF, 0) AS NUM_REG_DIF FROM ("&amp;L137&amp;") A "</f>
        <v xml:space="preserve">SELECT 'Validação de campos' as tipologia_teste, 'lt002_instrument' AS TABELA, 'intrnl_sgmnt_catgsub' AS CAMPO, '2025-06-30' as ref_date, coalesce(NUM_REG_DIF, 0) AS NUM_REG_DIF FROM (SELECT count(*) AS NUM_REG_DIF FROM (SELECT instrmnt_id as instrmnt_id_as_is, concat_ws(',',sort_array(split(intrnl_sgmnt_catgsub, ','))) as intrnl_sgmnt_catgsub_as_is FROM cd_loan_tapes_bce.lt002_instrument WHERE ref_date='2025-06-30' AND nome_perimetro= 'Individual IDComb' AND segmento= 'ESTR' AND ambito= 'PM' AND entidade='00100' AND cod_visao = 1) A  Inner join (SELECT instrmnt_id as instrmnt_id_to_be, concat_ws(',',sort_array(split(intrnl_sgmnt_catgsub, ','))) as intrnl_sgmnt_catgsub_to_be FROM bu_loantape_work.lt002_instrument WHERE ref_date='2025-06-30' AND nome_perimetro= 'Individual IDComb' AND segmento= 'ESTR' AND ambito= 'PM' AND entidade='00100' AND cod_visao = 1) B ON instrmnt_id_as_is = instrmnt_id_to_be WHERE coalesce(cast(intrnl_sgmnt_catgsub_as_is as string), '') &lt;&gt; coalesce(cast(intrnl_sgmnt_catgsub_to_be as string), '') ) A </v>
      </c>
      <c r="O137" s="19" t="str">
        <f t="shared" si="32"/>
        <v>SELECT 'Validação de campos' as tipologia_teste, 'lt002_instrument' AS TABELA, 'intrnl_sgmnt_catgsub' AS CAMPO, '2025-06-30' as ref_date, coalesce(NUM_REG_DIF, 0) AS NUM_REG_DIF FROM (SELECT count(*) AS NUM_REG_DIF FROM (SELECT instrmnt_id as instrmnt_id_as_is, concat_ws(',',sort_array(split(intrnl_sgmnt_catgsub, ','))) as intrnl_sgmnt_catgsub_as_is FROM cd_loan_tapes_bce.lt002_instrument WHERE ref_date='2025-06-30' AND nome_perimetro= 'Individual IDComb' AND segmento= 'ESTR' AND ambito= 'PM' AND entidade='00100' AND cod_visao = 1) A  Inner join (SELECT instrmnt_id as instrmnt_id_to_be, concat_ws(',',sort_array(split(intrnl_sgmnt_catgsub, ','))) as intrnl_sgmnt_catgsub_to_be FROM bu_loantape_work.lt002_instrument WHERE ref_date='2025-06-30' AND nome_perimetro= 'Individual IDComb' AND segmento= 'ESTR' AND ambito= 'PM' AND entidade='00100' AND cod_visao = 1) B ON instrmnt_id_as_is = instrmnt_id_to_be WHERE coalesce(cast(intrnl_sgmnt_catgsub_as_is as string), '') &lt;&gt; coalesce(cast(intrnl_sgmnt_catgsub_to_be as string), '') ) A UNION ALL</v>
      </c>
      <c r="P137" s="17">
        <f t="shared" si="33"/>
        <v>3</v>
      </c>
      <c r="Q137" s="15" t="s">
        <v>166</v>
      </c>
    </row>
    <row r="138" spans="2:17" s="15" customFormat="1" ht="11.5" x14ac:dyDescent="0.25">
      <c r="B138" s="17" t="s">
        <v>24</v>
      </c>
      <c r="C138" s="17" t="str">
        <f>_xlfn.CONCAT(Instruções!$D$5,".",VLOOKUP(B138,Instruções!$F$5:$H$10,2,0))</f>
        <v>cd_loan_tapes_bce.lt002_instrument</v>
      </c>
      <c r="D138" s="17" t="str">
        <f>_xlfn.CONCAT(Instruções!$D$6,".",VLOOKUP(B138,Instruções!$F$5:$H$10,3,0))</f>
        <v>bu_loantape_work.lt002_instrument</v>
      </c>
      <c r="E138" s="17" t="s">
        <v>169</v>
      </c>
      <c r="F138" s="17" t="str">
        <f t="shared" ref="F138:F193" si="34">E138&amp;"_as_is"</f>
        <v>cntrct_id_bdr_as_is</v>
      </c>
      <c r="G138" s="17" t="str">
        <f t="shared" ref="G138:G193" si="35">E138&amp;"_to_be"</f>
        <v>cntrct_id_bdr_to_be</v>
      </c>
      <c r="H138" s="17" t="str">
        <f>IF(VLOOKUP(B138,Instruções!$F$6:$J$10,5,0)="",
"(SELECT "&amp;VLOOKUP(B138,Instruções!$F$6:$J$10,4,0)&amp;" as "&amp;VLOOKUP(B138,Instruções!$F$6:$J$10,4,0)&amp;"_as_is, concat_ws(',',sort_array(split("&amp;E138&amp;", ','))) as "&amp;F138&amp;" FROM "&amp;C138&amp;" WHERE "&amp;Instruções!$D$11&amp;") A ",
"(SELECT "&amp;VLOOKUP(B138,Instruções!$F$6:$J$10,4,0)&amp;" as "&amp;VLOOKUP(B138,Instruções!$F$6:$J$10,4,0)&amp;"_as_is, "&amp;VLOOKUP(B138,Instruções!$F$6:$J$10,5,0)&amp;" as "&amp;VLOOKUP(B138,Instruções!$F$6:$J$10,5,0)&amp;"_as_is, concat_ws(',',sort_array(split("&amp;E138&amp;", ','))) as "&amp;F138&amp;" FROM "&amp;C138&amp;" WHERE "&amp;Instruções!$D$11&amp;") A ")</f>
        <v xml:space="preserve">(SELECT instrmnt_id as instrmnt_id_as_is, concat_ws(',',sort_array(split(cntrct_id_bdr, ','))) as cntrct_id_bdr_as_is FROM cd_loan_tapes_bce.lt002_instrument WHERE ref_date='2025-06-30' AND nome_perimetro= 'Individual IDComb' AND segmento= 'ESTR' AND ambito= 'PM' AND entidade='00100' AND cod_visao = 1) A </v>
      </c>
      <c r="I138" s="17" t="str">
        <f>IF(VLOOKUP(B138,Instruções!$F$6:$J$10,5,0)="",
"(SELECT "&amp;VLOOKUP(B138,Instruções!$F$6:$J$10,4,0)&amp;" as "&amp;VLOOKUP(B138,Instruções!$F$6:$J$10,4,0)&amp;"_to_be, concat_ws(',',sort_array(split("&amp;E138&amp;", ','))) as "&amp;G138&amp;" FROM "&amp;D138&amp;" WHERE "&amp;Instruções!$D$11&amp;") B ",
"(SELECT "&amp;VLOOKUP(B138,Instruções!$F$6:$J$10,4,0)&amp;" as "&amp;VLOOKUP(B138,Instruções!$F$6:$J$10,4,0)&amp;"_to_be, "&amp;VLOOKUP(B138,Instruções!$F$6:$J$10,5,0)&amp;" as "&amp;VLOOKUP(B138,Instruções!$F$6:$J$10,5,0)&amp;"_to_be,"&amp;E138&amp;" as "&amp;G138&amp;" FROM "&amp;D138&amp;" WHERE "&amp;Instruções!$D$11&amp;") B ")</f>
        <v xml:space="preserve">(SELECT instrmnt_id as instrmnt_id_to_be, concat_ws(',',sort_array(split(cntrct_id_bdr, ','))) as cntrct_id_bdr_to_be FROM bu_loantape_work.lt002_instrument WHERE ref_date='2025-06-30' AND nome_perimetro= 'Individual IDComb' AND segmento= 'ESTR' AND ambito= 'PM' AND entidade='00100' AND cod_visao = 1) B </v>
      </c>
      <c r="J138" s="17" t="str">
        <f>IF(VLOOKUP(B138,Instruções!$F$6:$J$10,5,0)="",
"ON "&amp;VLOOKUP(B138,Instruções!$F$6:$J$10,4,0)&amp;"_as_is = "&amp;VLOOKUP(B138,Instruções!$F$6:$J$10,4,0)&amp;"_to_be ",
"ON "&amp;VLOOKUP(B138,Instruções!$F$6:$J$10,4,0)&amp;"_as_is = "&amp;VLOOKUP(B138,Instruções!$F$6:$J$10,4,0)&amp;"_to_be AND "&amp;VLOOKUP(B138,Instruções!$F$6:$J$10,5,0)&amp;"_as_is = "&amp;VLOOKUP(B138,Instruções!$F$6:$J$10,5,0)&amp;"_to_be ")</f>
        <v xml:space="preserve">ON instrmnt_id_as_is = instrmnt_id_to_be </v>
      </c>
      <c r="K138" s="17" t="str">
        <f t="shared" ref="K138:K193" si="36">"WHERE coalesce(cast("&amp;F138&amp;" as string), '') &lt;&gt; coalesce(cast("&amp;G138&amp;" as string), '') "</f>
        <v xml:space="preserve">WHERE coalesce(cast(cntrct_id_bdr_as_is as string), '') &lt;&gt; coalesce(cast(cntrct_id_bdr_to_be as string), '') </v>
      </c>
      <c r="L138" s="17" t="str">
        <f t="shared" si="16"/>
        <v xml:space="preserve">SELECT count(*) AS NUM_REG_DIF FROM (SELECT instrmnt_id as instrmnt_id_as_is, concat_ws(',',sort_array(split(cntrct_id_bdr, ','))) as cntrct_id_bdr_as_is FROM cd_loan_tapes_bce.lt002_instrument WHERE ref_date='2025-06-30' AND nome_perimetro= 'Individual IDComb' AND segmento= 'ESTR' AND ambito= 'PM' AND entidade='00100' AND cod_visao = 1) A  Inner join (SELECT instrmnt_id as instrmnt_id_to_be, concat_ws(',',sort_array(split(cntrct_id_bdr, ','))) as cntrct_id_bdr_to_be FROM bu_loantape_work.lt002_instrument WHERE ref_date='2025-06-30' AND nome_perimetro= 'Individual IDComb' AND segmento= 'ESTR' AND ambito= 'PM' AND entidade='00100' AND cod_visao = 1) B ON instrmnt_id_as_is = instrmnt_id_to_be WHERE coalesce(cast(cntrct_id_bdr_as_is as string), '') &lt;&gt; coalesce(cast(cntrct_id_bdr_to_be as string), '') </v>
      </c>
      <c r="M138" s="17" t="s">
        <v>48</v>
      </c>
      <c r="N138" s="17" t="str">
        <f>"SELECT 'Validação de campos' as tipologia_teste, '"&amp;VLOOKUP(B138,Instruções!$F$6:$J$10,3,0)&amp;"' AS TABELA, '"&amp;E138&amp;"' AS CAMPO, '"&amp;Instruções!$D$7&amp;"' as ref_date, coalesce(NUM_REG_DIF, 0) AS NUM_REG_DIF FROM ("&amp;L138&amp;") A "</f>
        <v xml:space="preserve">SELECT 'Validação de campos' as tipologia_teste, 'lt002_instrument' AS TABELA, 'cntrct_id_bdr' AS CAMPO, '2025-06-30' as ref_date, coalesce(NUM_REG_DIF, 0) AS NUM_REG_DIF FROM (SELECT count(*) AS NUM_REG_DIF FROM (SELECT instrmnt_id as instrmnt_id_as_is, concat_ws(',',sort_array(split(cntrct_id_bdr, ','))) as cntrct_id_bdr_as_is FROM cd_loan_tapes_bce.lt002_instrument WHERE ref_date='2025-06-30' AND nome_perimetro= 'Individual IDComb' AND segmento= 'ESTR' AND ambito= 'PM' AND entidade='00100' AND cod_visao = 1) A  Inner join (SELECT instrmnt_id as instrmnt_id_to_be, concat_ws(',',sort_array(split(cntrct_id_bdr, ','))) as cntrct_id_bdr_to_be FROM bu_loantape_work.lt002_instrument WHERE ref_date='2025-06-30' AND nome_perimetro= 'Individual IDComb' AND segmento= 'ESTR' AND ambito= 'PM' AND entidade='00100' AND cod_visao = 1) B ON instrmnt_id_as_is = instrmnt_id_to_be WHERE coalesce(cast(cntrct_id_bdr_as_is as string), '') &lt;&gt; coalesce(cast(cntrct_id_bdr_to_be as string), '') ) A </v>
      </c>
      <c r="O138" s="19" t="str">
        <f t="shared" si="32"/>
        <v xml:space="preserve">SELECT 'Validação de campos' as tipologia_teste, 'lt002_instrument' AS TABELA, 'cntrct_id_bdr' AS CAMPO, '2025-06-30' as ref_date, coalesce(NUM_REG_DIF, 0) AS NUM_REG_DIF FROM (SELECT count(*) AS NUM_REG_DIF FROM (SELECT instrmnt_id as instrmnt_id_as_is, concat_ws(',',sort_array(split(cntrct_id_bdr, ','))) as cntrct_id_bdr_as_is FROM cd_loan_tapes_bce.lt002_instrument WHERE ref_date='2025-06-30' AND nome_perimetro= 'Individual IDComb' AND segmento= 'ESTR' AND ambito= 'PM' AND entidade='00100' AND cod_visao = 1) A  Inner join (SELECT instrmnt_id as instrmnt_id_to_be, concat_ws(',',sort_array(split(cntrct_id_bdr, ','))) as cntrct_id_bdr_to_be FROM bu_loantape_work.lt002_instrument WHERE ref_date='2025-06-30' AND nome_perimetro= 'Individual IDComb' AND segmento= 'ESTR' AND ambito= 'PM' AND entidade='00100' AND cod_visao = 1) B ON instrmnt_id_as_is = instrmnt_id_to_be WHERE coalesce(cast(cntrct_id_bdr_as_is as string), '') &lt;&gt; coalesce(cast(cntrct_id_bdr_to_be as string), '') ) A </v>
      </c>
      <c r="P138" s="17">
        <f t="shared" si="33"/>
        <v>4</v>
      </c>
      <c r="Q138" s="15" t="s">
        <v>166</v>
      </c>
    </row>
    <row r="139" spans="2:17" s="15" customFormat="1" ht="11.5" x14ac:dyDescent="0.25"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9"/>
      <c r="P139" s="18"/>
    </row>
    <row r="140" spans="2:17" s="15" customFormat="1" ht="11.5" x14ac:dyDescent="0.25">
      <c r="B140" s="17" t="s">
        <v>24</v>
      </c>
      <c r="C140" s="17" t="str">
        <f>_xlfn.CONCAT(Instruções!$D$5,".",VLOOKUP(B140,Instruções!$F$5:$H$10,2,0))</f>
        <v>cd_loan_tapes_bce.lt002_instrument</v>
      </c>
      <c r="D140" s="17" t="str">
        <f>_xlfn.CONCAT(Instruções!$D$6,".",VLOOKUP(B140,Instruções!$F$5:$H$10,3,0))</f>
        <v>bu_loantape_work.lt002_instrument</v>
      </c>
      <c r="E140" s="17" t="s">
        <v>57</v>
      </c>
      <c r="F140" s="17" t="str">
        <f t="shared" si="34"/>
        <v>cod_soc_as_is</v>
      </c>
      <c r="G140" s="17" t="str">
        <f t="shared" si="35"/>
        <v>cod_soc_to_be</v>
      </c>
      <c r="H140" s="17" t="str">
        <f>IF(VLOOKUP(B140,Instruções!$F$6:$J$10,5,0)="",
"(SELECT "&amp;VLOOKUP(B140,Instruções!$F$6:$J$10,4,0)&amp;" as "&amp;VLOOKUP(B140,Instruções!$F$6:$J$10,4,0)&amp;"_as_is, "&amp;E140&amp;" as "&amp;F140&amp;" FROM "&amp;C140&amp;" WHERE "&amp;Instruções!$D$11&amp;") A ",
"(SELECT "&amp;VLOOKUP(B140,Instruções!$F$6:$J$10,4,0)&amp;" as "&amp;VLOOKUP(B140,Instruções!$F$6:$J$10,4,0)&amp;"_as_is, "&amp;VLOOKUP(B140,Instruções!$F$6:$J$10,5,0)&amp;" as "&amp;VLOOKUP(B140,Instruções!$F$6:$J$10,5,0)&amp;"_as_is,"&amp;E140&amp;" as "&amp;F140&amp;" FROM "&amp;C140&amp;" WHERE "&amp;Instruções!$D$11&amp;") A ")</f>
        <v xml:space="preserve">(SELECT instrmnt_id as instrmnt_id_as_is, cod_soc as cod_soc_as_is FROM cd_loan_tapes_bce.lt002_instrument WHERE ref_date='2025-06-30' AND nome_perimetro= 'Individual IDComb' AND segmento= 'ESTR' AND ambito= 'PM' AND entidade='00100' AND cod_visao = 1) A </v>
      </c>
      <c r="I140" s="17" t="str">
        <f>IF(VLOOKUP(B140,Instruções!$F$6:$J$10,5,0)="",
"(SELECT "&amp;VLOOKUP(B140,Instruções!$F$6:$J$10,4,0)&amp;" as "&amp;VLOOKUP(B140,Instruções!$F$6:$J$10,4,0)&amp;"_to_be, "&amp;E140&amp;" as "&amp;G140&amp;" FROM "&amp;D140&amp;" WHERE "&amp;Instruções!$D$11&amp;") B ",
"(SELECT "&amp;VLOOKUP(B140,Instruções!$F$6:$J$10,4,0)&amp;" as "&amp;VLOOKUP(B140,Instruções!$F$6:$J$10,4,0)&amp;"_to_be, "&amp;VLOOKUP(B140,Instruções!$F$6:$J$10,5,0)&amp;" as "&amp;VLOOKUP(B140,Instruções!$F$6:$J$10,5,0)&amp;"_to_be,"&amp;E140&amp;" as "&amp;G140&amp;" FROM "&amp;D140&amp;" WHERE "&amp;Instruções!$D$11&amp;") B ")</f>
        <v xml:space="preserve">(SELECT instrmnt_id as instrmnt_id_to_be, cod_soc as cod_soc_to_be FROM bu_loantape_work.lt002_instrument WHERE ref_date='2025-06-30' AND nome_perimetro= 'Individual IDComb' AND segmento= 'ESTR' AND ambito= 'PM' AND entidade='00100' AND cod_visao = 1) B </v>
      </c>
      <c r="J140" s="17" t="str">
        <f>IF(VLOOKUP(B140,Instruções!$F$6:$J$10,5,0)="",
"ON "&amp;VLOOKUP(B140,Instruções!$F$6:$J$10,4,0)&amp;"_as_is = "&amp;VLOOKUP(B140,Instruções!$F$6:$J$10,4,0)&amp;"_to_be ",
"ON "&amp;VLOOKUP(B140,Instruções!$F$6:$J$10,4,0)&amp;"_as_is = "&amp;VLOOKUP(B140,Instruções!$F$6:$J$10,4,0)&amp;"_to_be AND "&amp;VLOOKUP(B140,Instruções!$F$6:$J$10,5,0)&amp;"_as_is = "&amp;VLOOKUP(B140,Instruções!$F$6:$J$10,5,0)&amp;"_to_be ")</f>
        <v xml:space="preserve">ON instrmnt_id_as_is = instrmnt_id_to_be </v>
      </c>
      <c r="K140" s="17" t="str">
        <f t="shared" si="36"/>
        <v xml:space="preserve">WHERE coalesce(cast(cod_soc_as_is as string), '') &lt;&gt; coalesce(cast(cod_soc_to_be as string), '') </v>
      </c>
      <c r="L140" s="17" t="str">
        <f t="shared" si="16"/>
        <v xml:space="preserve">SELECT count(*) AS NUM_REG_DIF FROM (SELECT instrmnt_id as instrmnt_id_as_is, cod_soc as cod_soc_as_is FROM cd_loan_tapes_bce.lt002_instrument WHERE ref_date='2025-06-30' AND nome_perimetro= 'Individual IDComb' AND segmento= 'ESTR' AND ambito= 'PM' AND entidade='00100' AND cod_visao = 1) A  Inner join (SELECT instrmnt_id as instrmnt_id_to_be, cod_soc as cod_soc_to_be FROM bu_loantape_work.lt002_instrument WHERE ref_date='2025-06-30' AND nome_perimetro= 'Individual IDComb' AND segmento= 'ESTR' AND ambito= 'PM' AND entidade='00100' AND cod_visao = 1) B ON instrmnt_id_as_is = instrmnt_id_to_be WHERE coalesce(cast(cod_soc_as_is as string), '') &lt;&gt; coalesce(cast(cod_soc_to_be as string), '') </v>
      </c>
      <c r="M140" s="17" t="s">
        <v>48</v>
      </c>
      <c r="N140" s="17" t="str">
        <f>"SELECT 'Validação de campos' as tipologia_teste, '"&amp;VLOOKUP(B140,Instruções!$F$6:$J$10,3,0)&amp;"' AS TABELA, '"&amp;E140&amp;"' AS CAMPO, '"&amp;Instruções!$D$7&amp;"' as ref_date, coalesce(NUM_REG_DIF, 0) AS NUM_REG_DIF FROM ("&amp;L140&amp;") A "</f>
        <v xml:space="preserve">SELECT 'Validação de campos' as tipologia_teste, 'lt002_instrument' AS TABELA, 'cod_soc' AS CAMPO, '2025-06-30' as ref_date, coalesce(NUM_REG_DIF, 0) AS NUM_REG_DIF FROM (SELECT count(*) AS NUM_REG_DIF FROM (SELECT instrmnt_id as instrmnt_id_as_is, cod_soc as cod_soc_as_is FROM cd_loan_tapes_bce.lt002_instrument WHERE ref_date='2025-06-30' AND nome_perimetro= 'Individual IDComb' AND segmento= 'ESTR' AND ambito= 'PM' AND entidade='00100' AND cod_visao = 1) A  Inner join (SELECT instrmnt_id as instrmnt_id_to_be, cod_soc as cod_soc_to_be FROM bu_loantape_work.lt002_instrument WHERE ref_date='2025-06-30' AND nome_perimetro= 'Individual IDComb' AND segmento= 'ESTR' AND ambito= 'PM' AND entidade='00100' AND cod_visao = 1) B ON instrmnt_id_as_is = instrmnt_id_to_be WHERE coalesce(cast(cod_soc_as_is as string), '') &lt;&gt; coalesce(cast(cod_soc_to_be as string), '') ) A </v>
      </c>
      <c r="O140" s="19" t="str">
        <f>IF(O141="",N140,N140&amp;$O$3)</f>
        <v>SELECT 'Validação de campos' as tipologia_teste, 'lt002_instrument' AS TABELA, 'cod_soc' AS CAMPO, '2025-06-30' as ref_date, coalesce(NUM_REG_DIF, 0) AS NUM_REG_DIF FROM (SELECT count(*) AS NUM_REG_DIF FROM (SELECT instrmnt_id as instrmnt_id_as_is, cod_soc as cod_soc_as_is FROM cd_loan_tapes_bce.lt002_instrument WHERE ref_date='2025-06-30' AND nome_perimetro= 'Individual IDComb' AND segmento= 'ESTR' AND ambito= 'PM' AND entidade='00100' AND cod_visao = 1) A  Inner join (SELECT instrmnt_id as instrmnt_id_to_be, cod_soc as cod_soc_to_be FROM bu_loantape_work.lt002_instrument WHERE ref_date='2025-06-30' AND nome_perimetro= 'Individual IDComb' AND segmento= 'ESTR' AND ambito= 'PM' AND entidade='00100' AND cod_visao = 1) B ON instrmnt_id_as_is = instrmnt_id_to_be WHERE coalesce(cast(cod_soc_as_is as string), '') &lt;&gt; coalesce(cast(cod_soc_to_be as string), '') ) A UNION ALL</v>
      </c>
      <c r="P140" s="17">
        <f>P139+1</f>
        <v>1</v>
      </c>
    </row>
    <row r="141" spans="2:17" s="15" customFormat="1" ht="11.5" x14ac:dyDescent="0.25">
      <c r="B141" s="17" t="s">
        <v>24</v>
      </c>
      <c r="C141" s="17" t="str">
        <f>_xlfn.CONCAT(Instruções!$D$5,".",VLOOKUP(B141,Instruções!$F$5:$H$10,2,0))</f>
        <v>cd_loan_tapes_bce.lt002_instrument</v>
      </c>
      <c r="D141" s="17" t="str">
        <f>_xlfn.CONCAT(Instruções!$D$6,".",VLOOKUP(B141,Instruções!$F$5:$H$10,3,0))</f>
        <v>bu_loantape_work.lt002_instrument</v>
      </c>
      <c r="E141" s="17" t="s">
        <v>170</v>
      </c>
      <c r="F141" s="17" t="str">
        <f t="shared" si="34"/>
        <v>cod_soc_intrgrp_as_is</v>
      </c>
      <c r="G141" s="17" t="str">
        <f t="shared" si="35"/>
        <v>cod_soc_intrgrp_to_be</v>
      </c>
      <c r="H141" s="17" t="str">
        <f>IF(VLOOKUP(B141,Instruções!$F$6:$J$10,5,0)="",
"(SELECT "&amp;VLOOKUP(B141,Instruções!$F$6:$J$10,4,0)&amp;" as "&amp;VLOOKUP(B141,Instruções!$F$6:$J$10,4,0)&amp;"_as_is, "&amp;E141&amp;" as "&amp;F141&amp;" FROM "&amp;C141&amp;" WHERE "&amp;Instruções!$D$11&amp;") A ",
"(SELECT "&amp;VLOOKUP(B141,Instruções!$F$6:$J$10,4,0)&amp;" as "&amp;VLOOKUP(B141,Instruções!$F$6:$J$10,4,0)&amp;"_as_is, "&amp;VLOOKUP(B141,Instruções!$F$6:$J$10,5,0)&amp;" as "&amp;VLOOKUP(B141,Instruções!$F$6:$J$10,5,0)&amp;"_as_is,"&amp;E141&amp;" as "&amp;F141&amp;" FROM "&amp;C141&amp;" WHERE "&amp;Instruções!$D$11&amp;") A ")</f>
        <v xml:space="preserve">(SELECT instrmnt_id as instrmnt_id_as_is, cod_soc_intrgrp as cod_soc_intrgrp_as_is FROM cd_loan_tapes_bce.lt002_instrument WHERE ref_date='2025-06-30' AND nome_perimetro= 'Individual IDComb' AND segmento= 'ESTR' AND ambito= 'PM' AND entidade='00100' AND cod_visao = 1) A </v>
      </c>
      <c r="I141" s="17" t="str">
        <f>IF(VLOOKUP(B141,Instruções!$F$6:$J$10,5,0)="",
"(SELECT "&amp;VLOOKUP(B141,Instruções!$F$6:$J$10,4,0)&amp;" as "&amp;VLOOKUP(B141,Instruções!$F$6:$J$10,4,0)&amp;"_to_be, "&amp;E141&amp;" as "&amp;G141&amp;" FROM "&amp;D141&amp;" WHERE "&amp;Instruções!$D$11&amp;") B ",
"(SELECT "&amp;VLOOKUP(B141,Instruções!$F$6:$J$10,4,0)&amp;" as "&amp;VLOOKUP(B141,Instruções!$F$6:$J$10,4,0)&amp;"_to_be, "&amp;VLOOKUP(B141,Instruções!$F$6:$J$10,5,0)&amp;" as "&amp;VLOOKUP(B141,Instruções!$F$6:$J$10,5,0)&amp;"_to_be,"&amp;E141&amp;" as "&amp;G141&amp;" FROM "&amp;D141&amp;" WHERE "&amp;Instruções!$D$11&amp;") B ")</f>
        <v xml:space="preserve">(SELECT instrmnt_id as instrmnt_id_to_be, cod_soc_intrgrp as cod_soc_intrgrp_to_be FROM bu_loantape_work.lt002_instrument WHERE ref_date='2025-06-30' AND nome_perimetro= 'Individual IDComb' AND segmento= 'ESTR' AND ambito= 'PM' AND entidade='00100' AND cod_visao = 1) B </v>
      </c>
      <c r="J141" s="17" t="str">
        <f>IF(VLOOKUP(B141,Instruções!$F$6:$J$10,5,0)="",
"ON "&amp;VLOOKUP(B141,Instruções!$F$6:$J$10,4,0)&amp;"_as_is = "&amp;VLOOKUP(B141,Instruções!$F$6:$J$10,4,0)&amp;"_to_be ",
"ON "&amp;VLOOKUP(B141,Instruções!$F$6:$J$10,4,0)&amp;"_as_is = "&amp;VLOOKUP(B141,Instruções!$F$6:$J$10,4,0)&amp;"_to_be AND "&amp;VLOOKUP(B141,Instruções!$F$6:$J$10,5,0)&amp;"_as_is = "&amp;VLOOKUP(B141,Instruções!$F$6:$J$10,5,0)&amp;"_to_be ")</f>
        <v xml:space="preserve">ON instrmnt_id_as_is = instrmnt_id_to_be </v>
      </c>
      <c r="K141" s="17" t="str">
        <f t="shared" si="36"/>
        <v xml:space="preserve">WHERE coalesce(cast(cod_soc_intrgrp_as_is as string), '') &lt;&gt; coalesce(cast(cod_soc_intrgrp_to_be as string), '') </v>
      </c>
      <c r="L141" s="17" t="str">
        <f t="shared" si="16"/>
        <v xml:space="preserve">SELECT count(*) AS NUM_REG_DIF FROM (SELECT instrmnt_id as instrmnt_id_as_is, cod_soc_intrgrp as cod_soc_intrgrp_as_is FROM cd_loan_tapes_bce.lt002_instrument WHERE ref_date='2025-06-30' AND nome_perimetro= 'Individual IDComb' AND segmento= 'ESTR' AND ambito= 'PM' AND entidade='00100' AND cod_visao = 1) A  Inner join (SELECT instrmnt_id as instrmnt_id_to_be, cod_soc_intrgrp as cod_soc_intrgrp_to_be FROM bu_loantape_work.lt002_instrument WHERE ref_date='2025-06-30' AND nome_perimetro= 'Individual IDComb' AND segmento= 'ESTR' AND ambito= 'PM' AND entidade='00100' AND cod_visao = 1) B ON instrmnt_id_as_is = instrmnt_id_to_be WHERE coalesce(cast(cod_soc_intrgrp_as_is as string), '') &lt;&gt; coalesce(cast(cod_soc_intrgrp_to_be as string), '') </v>
      </c>
      <c r="M141" s="17" t="s">
        <v>48</v>
      </c>
      <c r="N141" s="17" t="str">
        <f>"SELECT 'Validação de campos' as tipologia_teste, '"&amp;VLOOKUP(B141,Instruções!$F$6:$J$10,3,0)&amp;"' AS TABELA, '"&amp;E141&amp;"' AS CAMPO, '"&amp;Instruções!$D$7&amp;"' as ref_date, coalesce(NUM_REG_DIF, 0) AS NUM_REG_DIF FROM ("&amp;L141&amp;") A "</f>
        <v xml:space="preserve">SELECT 'Validação de campos' as tipologia_teste, 'lt002_instrument' AS TABELA, 'cod_soc_intrgrp' AS CAMPO, '2025-06-30' as ref_date, coalesce(NUM_REG_DIF, 0) AS NUM_REG_DIF FROM (SELECT count(*) AS NUM_REG_DIF FROM (SELECT instrmnt_id as instrmnt_id_as_is, cod_soc_intrgrp as cod_soc_intrgrp_as_is FROM cd_loan_tapes_bce.lt002_instrument WHERE ref_date='2025-06-30' AND nome_perimetro= 'Individual IDComb' AND segmento= 'ESTR' AND ambito= 'PM' AND entidade='00100' AND cod_visao = 1) A  Inner join (SELECT instrmnt_id as instrmnt_id_to_be, cod_soc_intrgrp as cod_soc_intrgrp_to_be FROM bu_loantape_work.lt002_instrument WHERE ref_date='2025-06-30' AND nome_perimetro= 'Individual IDComb' AND segmento= 'ESTR' AND ambito= 'PM' AND entidade='00100' AND cod_visao = 1) B ON instrmnt_id_as_is = instrmnt_id_to_be WHERE coalesce(cast(cod_soc_intrgrp_as_is as string), '') &lt;&gt; coalesce(cast(cod_soc_intrgrp_to_be as string), '') ) A </v>
      </c>
      <c r="O141" s="19" t="str">
        <f t="shared" ref="O141:O163" si="37">IF(O142="",N141,N141&amp;$O$3)</f>
        <v>SELECT 'Validação de campos' as tipologia_teste, 'lt002_instrument' AS TABELA, 'cod_soc_intrgrp' AS CAMPO, '2025-06-30' as ref_date, coalesce(NUM_REG_DIF, 0) AS NUM_REG_DIF FROM (SELECT count(*) AS NUM_REG_DIF FROM (SELECT instrmnt_id as instrmnt_id_as_is, cod_soc_intrgrp as cod_soc_intrgrp_as_is FROM cd_loan_tapes_bce.lt002_instrument WHERE ref_date='2025-06-30' AND nome_perimetro= 'Individual IDComb' AND segmento= 'ESTR' AND ambito= 'PM' AND entidade='00100' AND cod_visao = 1) A  Inner join (SELECT instrmnt_id as instrmnt_id_to_be, cod_soc_intrgrp as cod_soc_intrgrp_to_be FROM bu_loantape_work.lt002_instrument WHERE ref_date='2025-06-30' AND nome_perimetro= 'Individual IDComb' AND segmento= 'ESTR' AND ambito= 'PM' AND entidade='00100' AND cod_visao = 1) B ON instrmnt_id_as_is = instrmnt_id_to_be WHERE coalesce(cast(cod_soc_intrgrp_as_is as string), '') &lt;&gt; coalesce(cast(cod_soc_intrgrp_to_be as string), '') ) A UNION ALL</v>
      </c>
      <c r="P141" s="17">
        <f t="shared" ref="P141:P163" si="38">P140+1</f>
        <v>2</v>
      </c>
    </row>
    <row r="142" spans="2:17" s="15" customFormat="1" ht="11.5" x14ac:dyDescent="0.25">
      <c r="B142" s="17" t="s">
        <v>24</v>
      </c>
      <c r="C142" s="17" t="str">
        <f>_xlfn.CONCAT(Instruções!$D$5,".",VLOOKUP(B142,Instruções!$F$5:$H$10,2,0))</f>
        <v>cd_loan_tapes_bce.lt002_instrument</v>
      </c>
      <c r="D142" s="17" t="str">
        <f>_xlfn.CONCAT(Instruções!$D$6,".",VLOOKUP(B142,Instruções!$F$5:$H$10,3,0))</f>
        <v>bu_loantape_work.lt002_instrument</v>
      </c>
      <c r="E142" s="17" t="s">
        <v>171</v>
      </c>
      <c r="F142" s="17" t="str">
        <f t="shared" si="34"/>
        <v>cpn_crrncy_as_is</v>
      </c>
      <c r="G142" s="17" t="str">
        <f t="shared" si="35"/>
        <v>cpn_crrncy_to_be</v>
      </c>
      <c r="H142" s="17" t="str">
        <f>IF(VLOOKUP(B142,Instruções!$F$6:$J$10,5,0)="",
"(SELECT "&amp;VLOOKUP(B142,Instruções!$F$6:$J$10,4,0)&amp;" as "&amp;VLOOKUP(B142,Instruções!$F$6:$J$10,4,0)&amp;"_as_is, "&amp;E142&amp;" as "&amp;F142&amp;" FROM "&amp;C142&amp;" WHERE "&amp;Instruções!$D$11&amp;") A ",
"(SELECT "&amp;VLOOKUP(B142,Instruções!$F$6:$J$10,4,0)&amp;" as "&amp;VLOOKUP(B142,Instruções!$F$6:$J$10,4,0)&amp;"_as_is, "&amp;VLOOKUP(B142,Instruções!$F$6:$J$10,5,0)&amp;" as "&amp;VLOOKUP(B142,Instruções!$F$6:$J$10,5,0)&amp;"_as_is,"&amp;E142&amp;" as "&amp;F142&amp;" FROM "&amp;C142&amp;" WHERE "&amp;Instruções!$D$11&amp;") A ")</f>
        <v xml:space="preserve">(SELECT instrmnt_id as instrmnt_id_as_is, cpn_crrncy as cpn_crrncy_as_is FROM cd_loan_tapes_bce.lt002_instrument WHERE ref_date='2025-06-30' AND nome_perimetro= 'Individual IDComb' AND segmento= 'ESTR' AND ambito= 'PM' AND entidade='00100' AND cod_visao = 1) A </v>
      </c>
      <c r="I142" s="17" t="str">
        <f>IF(VLOOKUP(B142,Instruções!$F$6:$J$10,5,0)="",
"(SELECT "&amp;VLOOKUP(B142,Instruções!$F$6:$J$10,4,0)&amp;" as "&amp;VLOOKUP(B142,Instruções!$F$6:$J$10,4,0)&amp;"_to_be, "&amp;E142&amp;" as "&amp;G142&amp;" FROM "&amp;D142&amp;" WHERE "&amp;Instruções!$D$11&amp;") B ",
"(SELECT "&amp;VLOOKUP(B142,Instruções!$F$6:$J$10,4,0)&amp;" as "&amp;VLOOKUP(B142,Instruções!$F$6:$J$10,4,0)&amp;"_to_be, "&amp;VLOOKUP(B142,Instruções!$F$6:$J$10,5,0)&amp;" as "&amp;VLOOKUP(B142,Instruções!$F$6:$J$10,5,0)&amp;"_to_be,"&amp;E142&amp;" as "&amp;G142&amp;" FROM "&amp;D142&amp;" WHERE "&amp;Instruções!$D$11&amp;") B ")</f>
        <v xml:space="preserve">(SELECT instrmnt_id as instrmnt_id_to_be, cpn_crrncy as cpn_crrncy_to_be FROM bu_loantape_work.lt002_instrument WHERE ref_date='2025-06-30' AND nome_perimetro= 'Individual IDComb' AND segmento= 'ESTR' AND ambito= 'PM' AND entidade='00100' AND cod_visao = 1) B </v>
      </c>
      <c r="J142" s="17" t="str">
        <f>IF(VLOOKUP(B142,Instruções!$F$6:$J$10,5,0)="",
"ON "&amp;VLOOKUP(B142,Instruções!$F$6:$J$10,4,0)&amp;"_as_is = "&amp;VLOOKUP(B142,Instruções!$F$6:$J$10,4,0)&amp;"_to_be ",
"ON "&amp;VLOOKUP(B142,Instruções!$F$6:$J$10,4,0)&amp;"_as_is = "&amp;VLOOKUP(B142,Instruções!$F$6:$J$10,4,0)&amp;"_to_be AND "&amp;VLOOKUP(B142,Instruções!$F$6:$J$10,5,0)&amp;"_as_is = "&amp;VLOOKUP(B142,Instruções!$F$6:$J$10,5,0)&amp;"_to_be ")</f>
        <v xml:space="preserve">ON instrmnt_id_as_is = instrmnt_id_to_be </v>
      </c>
      <c r="K142" s="17" t="str">
        <f t="shared" si="36"/>
        <v xml:space="preserve">WHERE coalesce(cast(cpn_crrncy_as_is as string), '') &lt;&gt; coalesce(cast(cpn_crrncy_to_be as string), '') </v>
      </c>
      <c r="L142" s="17" t="str">
        <f t="shared" si="16"/>
        <v xml:space="preserve">SELECT count(*) AS NUM_REG_DIF FROM (SELECT instrmnt_id as instrmnt_id_as_is, cpn_crrncy as cpn_crrncy_as_is FROM cd_loan_tapes_bce.lt002_instrument WHERE ref_date='2025-06-30' AND nome_perimetro= 'Individual IDComb' AND segmento= 'ESTR' AND ambito= 'PM' AND entidade='00100' AND cod_visao = 1) A  Inner join (SELECT instrmnt_id as instrmnt_id_to_be, cpn_crrncy as cpn_crrncy_to_be FROM bu_loantape_work.lt002_instrument WHERE ref_date='2025-06-30' AND nome_perimetro= 'Individual IDComb' AND segmento= 'ESTR' AND ambito= 'PM' AND entidade='00100' AND cod_visao = 1) B ON instrmnt_id_as_is = instrmnt_id_to_be WHERE coalesce(cast(cpn_crrncy_as_is as string), '') &lt;&gt; coalesce(cast(cpn_crrncy_to_be as string), '') </v>
      </c>
      <c r="M142" s="17" t="s">
        <v>48</v>
      </c>
      <c r="N142" s="17" t="str">
        <f>"SELECT 'Validação de campos' as tipologia_teste, '"&amp;VLOOKUP(B142,Instruções!$F$6:$J$10,3,0)&amp;"' AS TABELA, '"&amp;E142&amp;"' AS CAMPO, '"&amp;Instruções!$D$7&amp;"' as ref_date, coalesce(NUM_REG_DIF, 0) AS NUM_REG_DIF FROM ("&amp;L142&amp;") A "</f>
        <v xml:space="preserve">SELECT 'Validação de campos' as tipologia_teste, 'lt002_instrument' AS TABELA, 'cpn_crrncy' AS CAMPO, '2025-06-30' as ref_date, coalesce(NUM_REG_DIF, 0) AS NUM_REG_DIF FROM (SELECT count(*) AS NUM_REG_DIF FROM (SELECT instrmnt_id as instrmnt_id_as_is, cpn_crrncy as cpn_crrncy_as_is FROM cd_loan_tapes_bce.lt002_instrument WHERE ref_date='2025-06-30' AND nome_perimetro= 'Individual IDComb' AND segmento= 'ESTR' AND ambito= 'PM' AND entidade='00100' AND cod_visao = 1) A  Inner join (SELECT instrmnt_id as instrmnt_id_to_be, cpn_crrncy as cpn_crrncy_to_be FROM bu_loantape_work.lt002_instrument WHERE ref_date='2025-06-30' AND nome_perimetro= 'Individual IDComb' AND segmento= 'ESTR' AND ambito= 'PM' AND entidade='00100' AND cod_visao = 1) B ON instrmnt_id_as_is = instrmnt_id_to_be WHERE coalesce(cast(cpn_crrncy_as_is as string), '') &lt;&gt; coalesce(cast(cpn_crrncy_to_be as string), '') ) A </v>
      </c>
      <c r="O142" s="19" t="str">
        <f t="shared" si="37"/>
        <v>SELECT 'Validação de campos' as tipologia_teste, 'lt002_instrument' AS TABELA, 'cpn_crrncy' AS CAMPO, '2025-06-30' as ref_date, coalesce(NUM_REG_DIF, 0) AS NUM_REG_DIF FROM (SELECT count(*) AS NUM_REG_DIF FROM (SELECT instrmnt_id as instrmnt_id_as_is, cpn_crrncy as cpn_crrncy_as_is FROM cd_loan_tapes_bce.lt002_instrument WHERE ref_date='2025-06-30' AND nome_perimetro= 'Individual IDComb' AND segmento= 'ESTR' AND ambito= 'PM' AND entidade='00100' AND cod_visao = 1) A  Inner join (SELECT instrmnt_id as instrmnt_id_to_be, cpn_crrncy as cpn_crrncy_to_be FROM bu_loantape_work.lt002_instrument WHERE ref_date='2025-06-30' AND nome_perimetro= 'Individual IDComb' AND segmento= 'ESTR' AND ambito= 'PM' AND entidade='00100' AND cod_visao = 1) B ON instrmnt_id_as_is = instrmnt_id_to_be WHERE coalesce(cast(cpn_crrncy_as_is as string), '') &lt;&gt; coalesce(cast(cpn_crrncy_to_be as string), '') ) A UNION ALL</v>
      </c>
      <c r="P142" s="17">
        <f t="shared" si="38"/>
        <v>3</v>
      </c>
    </row>
    <row r="143" spans="2:17" s="15" customFormat="1" ht="11.5" x14ac:dyDescent="0.25">
      <c r="B143" s="17" t="s">
        <v>24</v>
      </c>
      <c r="C143" s="17" t="str">
        <f>_xlfn.CONCAT(Instruções!$D$5,".",VLOOKUP(B143,Instruções!$F$5:$H$10,2,0))</f>
        <v>cd_loan_tapes_bce.lt002_instrument</v>
      </c>
      <c r="D143" s="17" t="str">
        <f>_xlfn.CONCAT(Instruções!$D$6,".",VLOOKUP(B143,Instruções!$F$5:$H$10,3,0))</f>
        <v>bu_loantape_work.lt002_instrument</v>
      </c>
      <c r="E143" s="17" t="s">
        <v>172</v>
      </c>
      <c r="F143" s="17" t="str">
        <f t="shared" si="34"/>
        <v>cpn_rt_as_is</v>
      </c>
      <c r="G143" s="17" t="str">
        <f t="shared" si="35"/>
        <v>cpn_rt_to_be</v>
      </c>
      <c r="H143" s="17" t="str">
        <f>IF(VLOOKUP(B143,Instruções!$F$6:$J$10,5,0)="",
"(SELECT "&amp;VLOOKUP(B143,Instruções!$F$6:$J$10,4,0)&amp;" as "&amp;VLOOKUP(B143,Instruções!$F$6:$J$10,4,0)&amp;"_as_is, "&amp;E143&amp;" as "&amp;F143&amp;" FROM "&amp;C143&amp;" WHERE "&amp;Instruções!$D$11&amp;") A ",
"(SELECT "&amp;VLOOKUP(B143,Instruções!$F$6:$J$10,4,0)&amp;" as "&amp;VLOOKUP(B143,Instruções!$F$6:$J$10,4,0)&amp;"_as_is, "&amp;VLOOKUP(B143,Instruções!$F$6:$J$10,5,0)&amp;" as "&amp;VLOOKUP(B143,Instruções!$F$6:$J$10,5,0)&amp;"_as_is,"&amp;E143&amp;" as "&amp;F143&amp;" FROM "&amp;C143&amp;" WHERE "&amp;Instruções!$D$11&amp;") A ")</f>
        <v xml:space="preserve">(SELECT instrmnt_id as instrmnt_id_as_is, cpn_rt as cpn_rt_as_is FROM cd_loan_tapes_bce.lt002_instrument WHERE ref_date='2025-06-30' AND nome_perimetro= 'Individual IDComb' AND segmento= 'ESTR' AND ambito= 'PM' AND entidade='00100' AND cod_visao = 1) A </v>
      </c>
      <c r="I143" s="17" t="str">
        <f>IF(VLOOKUP(B143,Instruções!$F$6:$J$10,5,0)="",
"(SELECT "&amp;VLOOKUP(B143,Instruções!$F$6:$J$10,4,0)&amp;" as "&amp;VLOOKUP(B143,Instruções!$F$6:$J$10,4,0)&amp;"_to_be, "&amp;E143&amp;" as "&amp;G143&amp;" FROM "&amp;D143&amp;" WHERE "&amp;Instruções!$D$11&amp;") B ",
"(SELECT "&amp;VLOOKUP(B143,Instruções!$F$6:$J$10,4,0)&amp;" as "&amp;VLOOKUP(B143,Instruções!$F$6:$J$10,4,0)&amp;"_to_be, "&amp;VLOOKUP(B143,Instruções!$F$6:$J$10,5,0)&amp;" as "&amp;VLOOKUP(B143,Instruções!$F$6:$J$10,5,0)&amp;"_to_be,"&amp;E143&amp;" as "&amp;G143&amp;" FROM "&amp;D143&amp;" WHERE "&amp;Instruções!$D$11&amp;") B ")</f>
        <v xml:space="preserve">(SELECT instrmnt_id as instrmnt_id_to_be, cpn_rt as cpn_rt_to_be FROM bu_loantape_work.lt002_instrument WHERE ref_date='2025-06-30' AND nome_perimetro= 'Individual IDComb' AND segmento= 'ESTR' AND ambito= 'PM' AND entidade='00100' AND cod_visao = 1) B </v>
      </c>
      <c r="J143" s="17" t="str">
        <f>IF(VLOOKUP(B143,Instruções!$F$6:$J$10,5,0)="",
"ON "&amp;VLOOKUP(B143,Instruções!$F$6:$J$10,4,0)&amp;"_as_is = "&amp;VLOOKUP(B143,Instruções!$F$6:$J$10,4,0)&amp;"_to_be ",
"ON "&amp;VLOOKUP(B143,Instruções!$F$6:$J$10,4,0)&amp;"_as_is = "&amp;VLOOKUP(B143,Instruções!$F$6:$J$10,4,0)&amp;"_to_be AND "&amp;VLOOKUP(B143,Instruções!$F$6:$J$10,5,0)&amp;"_as_is = "&amp;VLOOKUP(B143,Instruções!$F$6:$J$10,5,0)&amp;"_to_be ")</f>
        <v xml:space="preserve">ON instrmnt_id_as_is = instrmnt_id_to_be </v>
      </c>
      <c r="K143" s="17" t="str">
        <f t="shared" si="36"/>
        <v xml:space="preserve">WHERE coalesce(cast(cpn_rt_as_is as string), '') &lt;&gt; coalesce(cast(cpn_rt_to_be as string), '') </v>
      </c>
      <c r="L143" s="17" t="str">
        <f t="shared" si="16"/>
        <v xml:space="preserve">SELECT count(*) AS NUM_REG_DIF FROM (SELECT instrmnt_id as instrmnt_id_as_is, cpn_rt as cpn_rt_as_is FROM cd_loan_tapes_bce.lt002_instrument WHERE ref_date='2025-06-30' AND nome_perimetro= 'Individual IDComb' AND segmento= 'ESTR' AND ambito= 'PM' AND entidade='00100' AND cod_visao = 1) A  Inner join (SELECT instrmnt_id as instrmnt_id_to_be, cpn_rt as cpn_rt_to_be FROM bu_loantape_work.lt002_instrument WHERE ref_date='2025-06-30' AND nome_perimetro= 'Individual IDComb' AND segmento= 'ESTR' AND ambito= 'PM' AND entidade='00100' AND cod_visao = 1) B ON instrmnt_id_as_is = instrmnt_id_to_be WHERE coalesce(cast(cpn_rt_as_is as string), '') &lt;&gt; coalesce(cast(cpn_rt_to_be as string), '') </v>
      </c>
      <c r="M143" s="17" t="s">
        <v>48</v>
      </c>
      <c r="N143" s="17" t="str">
        <f>"SELECT 'Validação de campos' as tipologia_teste, '"&amp;VLOOKUP(B143,Instruções!$F$6:$J$10,3,0)&amp;"' AS TABELA, '"&amp;E143&amp;"' AS CAMPO, '"&amp;Instruções!$D$7&amp;"' as ref_date, coalesce(NUM_REG_DIF, 0) AS NUM_REG_DIF FROM ("&amp;L143&amp;") A "</f>
        <v xml:space="preserve">SELECT 'Validação de campos' as tipologia_teste, 'lt002_instrument' AS TABELA, 'cpn_rt' AS CAMPO, '2025-06-30' as ref_date, coalesce(NUM_REG_DIF, 0) AS NUM_REG_DIF FROM (SELECT count(*) AS NUM_REG_DIF FROM (SELECT instrmnt_id as instrmnt_id_as_is, cpn_rt as cpn_rt_as_is FROM cd_loan_tapes_bce.lt002_instrument WHERE ref_date='2025-06-30' AND nome_perimetro= 'Individual IDComb' AND segmento= 'ESTR' AND ambito= 'PM' AND entidade='00100' AND cod_visao = 1) A  Inner join (SELECT instrmnt_id as instrmnt_id_to_be, cpn_rt as cpn_rt_to_be FROM bu_loantape_work.lt002_instrument WHERE ref_date='2025-06-30' AND nome_perimetro= 'Individual IDComb' AND segmento= 'ESTR' AND ambito= 'PM' AND entidade='00100' AND cod_visao = 1) B ON instrmnt_id_as_is = instrmnt_id_to_be WHERE coalesce(cast(cpn_rt_as_is as string), '') &lt;&gt; coalesce(cast(cpn_rt_to_be as string), '') ) A </v>
      </c>
      <c r="O143" s="19" t="str">
        <f t="shared" si="37"/>
        <v>SELECT 'Validação de campos' as tipologia_teste, 'lt002_instrument' AS TABELA, 'cpn_rt' AS CAMPO, '2025-06-30' as ref_date, coalesce(NUM_REG_DIF, 0) AS NUM_REG_DIF FROM (SELECT count(*) AS NUM_REG_DIF FROM (SELECT instrmnt_id as instrmnt_id_as_is, cpn_rt as cpn_rt_as_is FROM cd_loan_tapes_bce.lt002_instrument WHERE ref_date='2025-06-30' AND nome_perimetro= 'Individual IDComb' AND segmento= 'ESTR' AND ambito= 'PM' AND entidade='00100' AND cod_visao = 1) A  Inner join (SELECT instrmnt_id as instrmnt_id_to_be, cpn_rt as cpn_rt_to_be FROM bu_loantape_work.lt002_instrument WHERE ref_date='2025-06-30' AND nome_perimetro= 'Individual IDComb' AND segmento= 'ESTR' AND ambito= 'PM' AND entidade='00100' AND cod_visao = 1) B ON instrmnt_id_as_is = instrmnt_id_to_be WHERE coalesce(cast(cpn_rt_as_is as string), '') &lt;&gt; coalesce(cast(cpn_rt_to_be as string), '') ) A UNION ALL</v>
      </c>
      <c r="P143" s="17">
        <f t="shared" si="38"/>
        <v>4</v>
      </c>
    </row>
    <row r="144" spans="2:17" s="15" customFormat="1" ht="11.5" x14ac:dyDescent="0.25">
      <c r="B144" s="17" t="s">
        <v>24</v>
      </c>
      <c r="C144" s="17" t="str">
        <f>_xlfn.CONCAT(Instruções!$D$5,".",VLOOKUP(B144,Instruções!$F$5:$H$10,2,0))</f>
        <v>cd_loan_tapes_bce.lt002_instrument</v>
      </c>
      <c r="D144" s="17" t="str">
        <f>_xlfn.CONCAT(Instruções!$D$6,".",VLOOKUP(B144,Instruções!$F$5:$H$10,3,0))</f>
        <v>bu_loantape_work.lt002_instrument</v>
      </c>
      <c r="E144" s="17" t="s">
        <v>173</v>
      </c>
      <c r="F144" s="17" t="str">
        <f t="shared" si="34"/>
        <v>cre_fnrp18_as_is</v>
      </c>
      <c r="G144" s="17" t="str">
        <f t="shared" si="35"/>
        <v>cre_fnrp18_to_be</v>
      </c>
      <c r="H144" s="17" t="str">
        <f>IF(VLOOKUP(B144,Instruções!$F$6:$J$10,5,0)="",
"(SELECT "&amp;VLOOKUP(B144,Instruções!$F$6:$J$10,4,0)&amp;" as "&amp;VLOOKUP(B144,Instruções!$F$6:$J$10,4,0)&amp;"_as_is, "&amp;E144&amp;" as "&amp;F144&amp;" FROM "&amp;C144&amp;" WHERE "&amp;Instruções!$D$11&amp;") A ",
"(SELECT "&amp;VLOOKUP(B144,Instruções!$F$6:$J$10,4,0)&amp;" as "&amp;VLOOKUP(B144,Instruções!$F$6:$J$10,4,0)&amp;"_as_is, "&amp;VLOOKUP(B144,Instruções!$F$6:$J$10,5,0)&amp;" as "&amp;VLOOKUP(B144,Instruções!$F$6:$J$10,5,0)&amp;"_as_is,"&amp;E144&amp;" as "&amp;F144&amp;" FROM "&amp;C144&amp;" WHERE "&amp;Instruções!$D$11&amp;") A ")</f>
        <v xml:space="preserve">(SELECT instrmnt_id as instrmnt_id_as_is, cre_fnrp18 as cre_fnrp18_as_is FROM cd_loan_tapes_bce.lt002_instrument WHERE ref_date='2025-06-30' AND nome_perimetro= 'Individual IDComb' AND segmento= 'ESTR' AND ambito= 'PM' AND entidade='00100' AND cod_visao = 1) A </v>
      </c>
      <c r="I144" s="17" t="str">
        <f>IF(VLOOKUP(B144,Instruções!$F$6:$J$10,5,0)="",
"(SELECT "&amp;VLOOKUP(B144,Instruções!$F$6:$J$10,4,0)&amp;" as "&amp;VLOOKUP(B144,Instruções!$F$6:$J$10,4,0)&amp;"_to_be, "&amp;E144&amp;" as "&amp;G144&amp;" FROM "&amp;D144&amp;" WHERE "&amp;Instruções!$D$11&amp;") B ",
"(SELECT "&amp;VLOOKUP(B144,Instruções!$F$6:$J$10,4,0)&amp;" as "&amp;VLOOKUP(B144,Instruções!$F$6:$J$10,4,0)&amp;"_to_be, "&amp;VLOOKUP(B144,Instruções!$F$6:$J$10,5,0)&amp;" as "&amp;VLOOKUP(B144,Instruções!$F$6:$J$10,5,0)&amp;"_to_be,"&amp;E144&amp;" as "&amp;G144&amp;" FROM "&amp;D144&amp;" WHERE "&amp;Instruções!$D$11&amp;") B ")</f>
        <v xml:space="preserve">(SELECT instrmnt_id as instrmnt_id_to_be, cre_fnrp18 as cre_fnrp18_to_be FROM bu_loantape_work.lt002_instrument WHERE ref_date='2025-06-30' AND nome_perimetro= 'Individual IDComb' AND segmento= 'ESTR' AND ambito= 'PM' AND entidade='00100' AND cod_visao = 1) B </v>
      </c>
      <c r="J144" s="17" t="str">
        <f>IF(VLOOKUP(B144,Instruções!$F$6:$J$10,5,0)="",
"ON "&amp;VLOOKUP(B144,Instruções!$F$6:$J$10,4,0)&amp;"_as_is = "&amp;VLOOKUP(B144,Instruções!$F$6:$J$10,4,0)&amp;"_to_be ",
"ON "&amp;VLOOKUP(B144,Instruções!$F$6:$J$10,4,0)&amp;"_as_is = "&amp;VLOOKUP(B144,Instruções!$F$6:$J$10,4,0)&amp;"_to_be AND "&amp;VLOOKUP(B144,Instruções!$F$6:$J$10,5,0)&amp;"_as_is = "&amp;VLOOKUP(B144,Instruções!$F$6:$J$10,5,0)&amp;"_to_be ")</f>
        <v xml:space="preserve">ON instrmnt_id_as_is = instrmnt_id_to_be </v>
      </c>
      <c r="K144" s="17" t="str">
        <f t="shared" si="36"/>
        <v xml:space="preserve">WHERE coalesce(cast(cre_fnrp18_as_is as string), '') &lt;&gt; coalesce(cast(cre_fnrp18_to_be as string), '') </v>
      </c>
      <c r="L144" s="17" t="str">
        <f t="shared" ref="L144:L198" si="39">"SELECT count(*) AS NUM_REG_DIF FROM "&amp;H144&amp;" Inner join "&amp;I144&amp;J144&amp;K144</f>
        <v xml:space="preserve">SELECT count(*) AS NUM_REG_DIF FROM (SELECT instrmnt_id as instrmnt_id_as_is, cre_fnrp18 as cre_fnrp18_as_is FROM cd_loan_tapes_bce.lt002_instrument WHERE ref_date='2025-06-30' AND nome_perimetro= 'Individual IDComb' AND segmento= 'ESTR' AND ambito= 'PM' AND entidade='00100' AND cod_visao = 1) A  Inner join (SELECT instrmnt_id as instrmnt_id_to_be, cre_fnrp18 as cre_fnrp18_to_be FROM bu_loantape_work.lt002_instrument WHERE ref_date='2025-06-30' AND nome_perimetro= 'Individual IDComb' AND segmento= 'ESTR' AND ambito= 'PM' AND entidade='00100' AND cod_visao = 1) B ON instrmnt_id_as_is = instrmnt_id_to_be WHERE coalesce(cast(cre_fnrp18_as_is as string), '') &lt;&gt; coalesce(cast(cre_fnrp18_to_be as string), '') </v>
      </c>
      <c r="M144" s="17" t="s">
        <v>48</v>
      </c>
      <c r="N144" s="17" t="str">
        <f>"SELECT 'Validação de campos' as tipologia_teste, '"&amp;VLOOKUP(B144,Instruções!$F$6:$J$10,3,0)&amp;"' AS TABELA, '"&amp;E144&amp;"' AS CAMPO, '"&amp;Instruções!$D$7&amp;"' as ref_date, coalesce(NUM_REG_DIF, 0) AS NUM_REG_DIF FROM ("&amp;L144&amp;") A "</f>
        <v xml:space="preserve">SELECT 'Validação de campos' as tipologia_teste, 'lt002_instrument' AS TABELA, 'cre_fnrp18' AS CAMPO, '2025-06-30' as ref_date, coalesce(NUM_REG_DIF, 0) AS NUM_REG_DIF FROM (SELECT count(*) AS NUM_REG_DIF FROM (SELECT instrmnt_id as instrmnt_id_as_is, cre_fnrp18 as cre_fnrp18_as_is FROM cd_loan_tapes_bce.lt002_instrument WHERE ref_date='2025-06-30' AND nome_perimetro= 'Individual IDComb' AND segmento= 'ESTR' AND ambito= 'PM' AND entidade='00100' AND cod_visao = 1) A  Inner join (SELECT instrmnt_id as instrmnt_id_to_be, cre_fnrp18 as cre_fnrp18_to_be FROM bu_loantape_work.lt002_instrument WHERE ref_date='2025-06-30' AND nome_perimetro= 'Individual IDComb' AND segmento= 'ESTR' AND ambito= 'PM' AND entidade='00100' AND cod_visao = 1) B ON instrmnt_id_as_is = instrmnt_id_to_be WHERE coalesce(cast(cre_fnrp18_as_is as string), '') &lt;&gt; coalesce(cast(cre_fnrp18_to_be as string), '') ) A </v>
      </c>
      <c r="O144" s="19" t="str">
        <f t="shared" si="37"/>
        <v>SELECT 'Validação de campos' as tipologia_teste, 'lt002_instrument' AS TABELA, 'cre_fnrp18' AS CAMPO, '2025-06-30' as ref_date, coalesce(NUM_REG_DIF, 0) AS NUM_REG_DIF FROM (SELECT count(*) AS NUM_REG_DIF FROM (SELECT instrmnt_id as instrmnt_id_as_is, cre_fnrp18 as cre_fnrp18_as_is FROM cd_loan_tapes_bce.lt002_instrument WHERE ref_date='2025-06-30' AND nome_perimetro= 'Individual IDComb' AND segmento= 'ESTR' AND ambito= 'PM' AND entidade='00100' AND cod_visao = 1) A  Inner join (SELECT instrmnt_id as instrmnt_id_to_be, cre_fnrp18 as cre_fnrp18_to_be FROM bu_loantape_work.lt002_instrument WHERE ref_date='2025-06-30' AND nome_perimetro= 'Individual IDComb' AND segmento= 'ESTR' AND ambito= 'PM' AND entidade='00100' AND cod_visao = 1) B ON instrmnt_id_as_is = instrmnt_id_to_be WHERE coalesce(cast(cre_fnrp18_as_is as string), '') &lt;&gt; coalesce(cast(cre_fnrp18_to_be as string), '') ) A UNION ALL</v>
      </c>
      <c r="P144" s="17">
        <f t="shared" si="38"/>
        <v>5</v>
      </c>
    </row>
    <row r="145" spans="2:16" s="15" customFormat="1" ht="11.5" x14ac:dyDescent="0.25">
      <c r="B145" s="17" t="s">
        <v>24</v>
      </c>
      <c r="C145" s="17" t="str">
        <f>_xlfn.CONCAT(Instruções!$D$5,".",VLOOKUP(B145,Instruções!$F$5:$H$10,2,0))</f>
        <v>cd_loan_tapes_bce.lt002_instrument</v>
      </c>
      <c r="D145" s="17" t="str">
        <f>_xlfn.CONCAT(Instruções!$D$6,".",VLOOKUP(B145,Instruções!$F$5:$H$10,3,0))</f>
        <v>bu_loantape_work.lt002_instrument</v>
      </c>
      <c r="E145" s="17" t="s">
        <v>174</v>
      </c>
      <c r="F145" s="17" t="str">
        <f t="shared" si="34"/>
        <v>crrltn_cffcnt_as_is</v>
      </c>
      <c r="G145" s="17" t="str">
        <f t="shared" si="35"/>
        <v>crrltn_cffcnt_to_be</v>
      </c>
      <c r="H145" s="17" t="str">
        <f>IF(VLOOKUP(B145,Instruções!$F$6:$J$10,5,0)="",
"(SELECT "&amp;VLOOKUP(B145,Instruções!$F$6:$J$10,4,0)&amp;" as "&amp;VLOOKUP(B145,Instruções!$F$6:$J$10,4,0)&amp;"_as_is, "&amp;E145&amp;" as "&amp;F145&amp;" FROM "&amp;C145&amp;" WHERE "&amp;Instruções!$D$11&amp;") A ",
"(SELECT "&amp;VLOOKUP(B145,Instruções!$F$6:$J$10,4,0)&amp;" as "&amp;VLOOKUP(B145,Instruções!$F$6:$J$10,4,0)&amp;"_as_is, "&amp;VLOOKUP(B145,Instruções!$F$6:$J$10,5,0)&amp;" as "&amp;VLOOKUP(B145,Instruções!$F$6:$J$10,5,0)&amp;"_as_is,"&amp;E145&amp;" as "&amp;F145&amp;" FROM "&amp;C145&amp;" WHERE "&amp;Instruções!$D$11&amp;") A ")</f>
        <v xml:space="preserve">(SELECT instrmnt_id as instrmnt_id_as_is, crrltn_cffcnt as crrltn_cffcnt_as_is FROM cd_loan_tapes_bce.lt002_instrument WHERE ref_date='2025-06-30' AND nome_perimetro= 'Individual IDComb' AND segmento= 'ESTR' AND ambito= 'PM' AND entidade='00100' AND cod_visao = 1) A </v>
      </c>
      <c r="I145" s="17" t="str">
        <f>IF(VLOOKUP(B145,Instruções!$F$6:$J$10,5,0)="",
"(SELECT "&amp;VLOOKUP(B145,Instruções!$F$6:$J$10,4,0)&amp;" as "&amp;VLOOKUP(B145,Instruções!$F$6:$J$10,4,0)&amp;"_to_be, "&amp;E145&amp;" as "&amp;G145&amp;" FROM "&amp;D145&amp;" WHERE "&amp;Instruções!$D$11&amp;") B ",
"(SELECT "&amp;VLOOKUP(B145,Instruções!$F$6:$J$10,4,0)&amp;" as "&amp;VLOOKUP(B145,Instruções!$F$6:$J$10,4,0)&amp;"_to_be, "&amp;VLOOKUP(B145,Instruções!$F$6:$J$10,5,0)&amp;" as "&amp;VLOOKUP(B145,Instruções!$F$6:$J$10,5,0)&amp;"_to_be,"&amp;E145&amp;" as "&amp;G145&amp;" FROM "&amp;D145&amp;" WHERE "&amp;Instruções!$D$11&amp;") B ")</f>
        <v xml:space="preserve">(SELECT instrmnt_id as instrmnt_id_to_be, crrltn_cffcnt as crrltn_cffcnt_to_be FROM bu_loantape_work.lt002_instrument WHERE ref_date='2025-06-30' AND nome_perimetro= 'Individual IDComb' AND segmento= 'ESTR' AND ambito= 'PM' AND entidade='00100' AND cod_visao = 1) B </v>
      </c>
      <c r="J145" s="17" t="str">
        <f>IF(VLOOKUP(B145,Instruções!$F$6:$J$10,5,0)="",
"ON "&amp;VLOOKUP(B145,Instruções!$F$6:$J$10,4,0)&amp;"_as_is = "&amp;VLOOKUP(B145,Instruções!$F$6:$J$10,4,0)&amp;"_to_be ",
"ON "&amp;VLOOKUP(B145,Instruções!$F$6:$J$10,4,0)&amp;"_as_is = "&amp;VLOOKUP(B145,Instruções!$F$6:$J$10,4,0)&amp;"_to_be AND "&amp;VLOOKUP(B145,Instruções!$F$6:$J$10,5,0)&amp;"_as_is = "&amp;VLOOKUP(B145,Instruções!$F$6:$J$10,5,0)&amp;"_to_be ")</f>
        <v xml:space="preserve">ON instrmnt_id_as_is = instrmnt_id_to_be </v>
      </c>
      <c r="K145" s="17" t="str">
        <f t="shared" si="36"/>
        <v xml:space="preserve">WHERE coalesce(cast(crrltn_cffcnt_as_is as string), '') &lt;&gt; coalesce(cast(crrltn_cffcnt_to_be as string), '') </v>
      </c>
      <c r="L145" s="17" t="str">
        <f t="shared" si="39"/>
        <v xml:space="preserve">SELECT count(*) AS NUM_REG_DIF FROM (SELECT instrmnt_id as instrmnt_id_as_is, crrltn_cffcnt as crrltn_cffcnt_as_is FROM cd_loan_tapes_bce.lt002_instrument WHERE ref_date='2025-06-30' AND nome_perimetro= 'Individual IDComb' AND segmento= 'ESTR' AND ambito= 'PM' AND entidade='00100' AND cod_visao = 1) A  Inner join (SELECT instrmnt_id as instrmnt_id_to_be, crrltn_cffcnt as crrltn_cffcnt_to_be FROM bu_loantape_work.lt002_instrument WHERE ref_date='2025-06-30' AND nome_perimetro= 'Individual IDComb' AND segmento= 'ESTR' AND ambito= 'PM' AND entidade='00100' AND cod_visao = 1) B ON instrmnt_id_as_is = instrmnt_id_to_be WHERE coalesce(cast(crrltn_cffcnt_as_is as string), '') &lt;&gt; coalesce(cast(crrltn_cffcnt_to_be as string), '') </v>
      </c>
      <c r="M145" s="17" t="s">
        <v>48</v>
      </c>
      <c r="N145" s="17" t="str">
        <f>"SELECT 'Validação de campos' as tipologia_teste, '"&amp;VLOOKUP(B145,Instruções!$F$6:$J$10,3,0)&amp;"' AS TABELA, '"&amp;E145&amp;"' AS CAMPO, '"&amp;Instruções!$D$7&amp;"' as ref_date, coalesce(NUM_REG_DIF, 0) AS NUM_REG_DIF FROM ("&amp;L145&amp;") A "</f>
        <v xml:space="preserve">SELECT 'Validação de campos' as tipologia_teste, 'lt002_instrument' AS TABELA, 'crrltn_cffcnt' AS CAMPO, '2025-06-30' as ref_date, coalesce(NUM_REG_DIF, 0) AS NUM_REG_DIF FROM (SELECT count(*) AS NUM_REG_DIF FROM (SELECT instrmnt_id as instrmnt_id_as_is, crrltn_cffcnt as crrltn_cffcnt_as_is FROM cd_loan_tapes_bce.lt002_instrument WHERE ref_date='2025-06-30' AND nome_perimetro= 'Individual IDComb' AND segmento= 'ESTR' AND ambito= 'PM' AND entidade='00100' AND cod_visao = 1) A  Inner join (SELECT instrmnt_id as instrmnt_id_to_be, crrltn_cffcnt as crrltn_cffcnt_to_be FROM bu_loantape_work.lt002_instrument WHERE ref_date='2025-06-30' AND nome_perimetro= 'Individual IDComb' AND segmento= 'ESTR' AND ambito= 'PM' AND entidade='00100' AND cod_visao = 1) B ON instrmnt_id_as_is = instrmnt_id_to_be WHERE coalesce(cast(crrltn_cffcnt_as_is as string), '') &lt;&gt; coalesce(cast(crrltn_cffcnt_to_be as string), '') ) A </v>
      </c>
      <c r="O145" s="19" t="str">
        <f t="shared" si="37"/>
        <v>SELECT 'Validação de campos' as tipologia_teste, 'lt002_instrument' AS TABELA, 'crrltn_cffcnt' AS CAMPO, '2025-06-30' as ref_date, coalesce(NUM_REG_DIF, 0) AS NUM_REG_DIF FROM (SELECT count(*) AS NUM_REG_DIF FROM (SELECT instrmnt_id as instrmnt_id_as_is, crrltn_cffcnt as crrltn_cffcnt_as_is FROM cd_loan_tapes_bce.lt002_instrument WHERE ref_date='2025-06-30' AND nome_perimetro= 'Individual IDComb' AND segmento= 'ESTR' AND ambito= 'PM' AND entidade='00100' AND cod_visao = 1) A  Inner join (SELECT instrmnt_id as instrmnt_id_to_be, crrltn_cffcnt as crrltn_cffcnt_to_be FROM bu_loantape_work.lt002_instrument WHERE ref_date='2025-06-30' AND nome_perimetro= 'Individual IDComb' AND segmento= 'ESTR' AND ambito= 'PM' AND entidade='00100' AND cod_visao = 1) B ON instrmnt_id_as_is = instrmnt_id_to_be WHERE coalesce(cast(crrltn_cffcnt_as_is as string), '') &lt;&gt; coalesce(cast(crrltn_cffcnt_to_be as string), '') ) A UNION ALL</v>
      </c>
      <c r="P145" s="17">
        <f t="shared" si="38"/>
        <v>6</v>
      </c>
    </row>
    <row r="146" spans="2:16" s="15" customFormat="1" ht="11.5" x14ac:dyDescent="0.25">
      <c r="B146" s="17" t="s">
        <v>24</v>
      </c>
      <c r="C146" s="17" t="str">
        <f>_xlfn.CONCAT(Instruções!$D$5,".",VLOOKUP(B146,Instruções!$F$5:$H$10,2,0))</f>
        <v>cd_loan_tapes_bce.lt002_instrument</v>
      </c>
      <c r="D146" s="17" t="str">
        <f>_xlfn.CONCAT(Instruções!$D$6,".",VLOOKUP(B146,Instruções!$F$5:$H$10,3,0))</f>
        <v>bu_loantape_work.lt002_instrument</v>
      </c>
      <c r="E146" s="17" t="s">
        <v>175</v>
      </c>
      <c r="F146" s="17" t="str">
        <f t="shared" si="34"/>
        <v>crrncy_dnmntn_as_is</v>
      </c>
      <c r="G146" s="17" t="str">
        <f t="shared" si="35"/>
        <v>crrncy_dnmntn_to_be</v>
      </c>
      <c r="H146" s="17" t="str">
        <f>IF(VLOOKUP(B146,Instruções!$F$6:$J$10,5,0)="",
"(SELECT "&amp;VLOOKUP(B146,Instruções!$F$6:$J$10,4,0)&amp;" as "&amp;VLOOKUP(B146,Instruções!$F$6:$J$10,4,0)&amp;"_as_is, "&amp;E146&amp;" as "&amp;F146&amp;" FROM "&amp;C146&amp;" WHERE "&amp;Instruções!$D$11&amp;") A ",
"(SELECT "&amp;VLOOKUP(B146,Instruções!$F$6:$J$10,4,0)&amp;" as "&amp;VLOOKUP(B146,Instruções!$F$6:$J$10,4,0)&amp;"_as_is, "&amp;VLOOKUP(B146,Instruções!$F$6:$J$10,5,0)&amp;" as "&amp;VLOOKUP(B146,Instruções!$F$6:$J$10,5,0)&amp;"_as_is,"&amp;E146&amp;" as "&amp;F146&amp;" FROM "&amp;C146&amp;" WHERE "&amp;Instruções!$D$11&amp;") A ")</f>
        <v xml:space="preserve">(SELECT instrmnt_id as instrmnt_id_as_is, crrncy_dnmntn as crrncy_dnmntn_as_is FROM cd_loan_tapes_bce.lt002_instrument WHERE ref_date='2025-06-30' AND nome_perimetro= 'Individual IDComb' AND segmento= 'ESTR' AND ambito= 'PM' AND entidade='00100' AND cod_visao = 1) A </v>
      </c>
      <c r="I146" s="17" t="str">
        <f>IF(VLOOKUP(B146,Instruções!$F$6:$J$10,5,0)="",
"(SELECT "&amp;VLOOKUP(B146,Instruções!$F$6:$J$10,4,0)&amp;" as "&amp;VLOOKUP(B146,Instruções!$F$6:$J$10,4,0)&amp;"_to_be, "&amp;E146&amp;" as "&amp;G146&amp;" FROM "&amp;D146&amp;" WHERE "&amp;Instruções!$D$11&amp;") B ",
"(SELECT "&amp;VLOOKUP(B146,Instruções!$F$6:$J$10,4,0)&amp;" as "&amp;VLOOKUP(B146,Instruções!$F$6:$J$10,4,0)&amp;"_to_be, "&amp;VLOOKUP(B146,Instruções!$F$6:$J$10,5,0)&amp;" as "&amp;VLOOKUP(B146,Instruções!$F$6:$J$10,5,0)&amp;"_to_be,"&amp;E146&amp;" as "&amp;G146&amp;" FROM "&amp;D146&amp;" WHERE "&amp;Instruções!$D$11&amp;") B ")</f>
        <v xml:space="preserve">(SELECT instrmnt_id as instrmnt_id_to_be, crrncy_dnmntn as crrncy_dnmntn_to_be FROM bu_loantape_work.lt002_instrument WHERE ref_date='2025-06-30' AND nome_perimetro= 'Individual IDComb' AND segmento= 'ESTR' AND ambito= 'PM' AND entidade='00100' AND cod_visao = 1) B </v>
      </c>
      <c r="J146" s="17" t="str">
        <f>IF(VLOOKUP(B146,Instruções!$F$6:$J$10,5,0)="",
"ON "&amp;VLOOKUP(B146,Instruções!$F$6:$J$10,4,0)&amp;"_as_is = "&amp;VLOOKUP(B146,Instruções!$F$6:$J$10,4,0)&amp;"_to_be ",
"ON "&amp;VLOOKUP(B146,Instruções!$F$6:$J$10,4,0)&amp;"_as_is = "&amp;VLOOKUP(B146,Instruções!$F$6:$J$10,4,0)&amp;"_to_be AND "&amp;VLOOKUP(B146,Instruções!$F$6:$J$10,5,0)&amp;"_as_is = "&amp;VLOOKUP(B146,Instruções!$F$6:$J$10,5,0)&amp;"_to_be ")</f>
        <v xml:space="preserve">ON instrmnt_id_as_is = instrmnt_id_to_be </v>
      </c>
      <c r="K146" s="17" t="str">
        <f t="shared" si="36"/>
        <v xml:space="preserve">WHERE coalesce(cast(crrncy_dnmntn_as_is as string), '') &lt;&gt; coalesce(cast(crrncy_dnmntn_to_be as string), '') </v>
      </c>
      <c r="L146" s="17" t="str">
        <f t="shared" si="39"/>
        <v xml:space="preserve">SELECT count(*) AS NUM_REG_DIF FROM (SELECT instrmnt_id as instrmnt_id_as_is, crrncy_dnmntn as crrncy_dnmntn_as_is FROM cd_loan_tapes_bce.lt002_instrument WHERE ref_date='2025-06-30' AND nome_perimetro= 'Individual IDComb' AND segmento= 'ESTR' AND ambito= 'PM' AND entidade='00100' AND cod_visao = 1) A  Inner join (SELECT instrmnt_id as instrmnt_id_to_be, crrncy_dnmntn as crrncy_dnmntn_to_be FROM bu_loantape_work.lt002_instrument WHERE ref_date='2025-06-30' AND nome_perimetro= 'Individual IDComb' AND segmento= 'ESTR' AND ambito= 'PM' AND entidade='00100' AND cod_visao = 1) B ON instrmnt_id_as_is = instrmnt_id_to_be WHERE coalesce(cast(crrncy_dnmntn_as_is as string), '') &lt;&gt; coalesce(cast(crrncy_dnmntn_to_be as string), '') </v>
      </c>
      <c r="M146" s="17" t="s">
        <v>48</v>
      </c>
      <c r="N146" s="17" t="str">
        <f>"SELECT 'Validação de campos' as tipologia_teste, '"&amp;VLOOKUP(B146,Instruções!$F$6:$J$10,3,0)&amp;"' AS TABELA, '"&amp;E146&amp;"' AS CAMPO, '"&amp;Instruções!$D$7&amp;"' as ref_date, coalesce(NUM_REG_DIF, 0) AS NUM_REG_DIF FROM ("&amp;L146&amp;") A "</f>
        <v xml:space="preserve">SELECT 'Validação de campos' as tipologia_teste, 'lt002_instrument' AS TABELA, 'crrncy_dnmntn' AS CAMPO, '2025-06-30' as ref_date, coalesce(NUM_REG_DIF, 0) AS NUM_REG_DIF FROM (SELECT count(*) AS NUM_REG_DIF FROM (SELECT instrmnt_id as instrmnt_id_as_is, crrncy_dnmntn as crrncy_dnmntn_as_is FROM cd_loan_tapes_bce.lt002_instrument WHERE ref_date='2025-06-30' AND nome_perimetro= 'Individual IDComb' AND segmento= 'ESTR' AND ambito= 'PM' AND entidade='00100' AND cod_visao = 1) A  Inner join (SELECT instrmnt_id as instrmnt_id_to_be, crrncy_dnmntn as crrncy_dnmntn_to_be FROM bu_loantape_work.lt002_instrument WHERE ref_date='2025-06-30' AND nome_perimetro= 'Individual IDComb' AND segmento= 'ESTR' AND ambito= 'PM' AND entidade='00100' AND cod_visao = 1) B ON instrmnt_id_as_is = instrmnt_id_to_be WHERE coalesce(cast(crrncy_dnmntn_as_is as string), '') &lt;&gt; coalesce(cast(crrncy_dnmntn_to_be as string), '') ) A </v>
      </c>
      <c r="O146" s="19" t="str">
        <f t="shared" si="37"/>
        <v>SELECT 'Validação de campos' as tipologia_teste, 'lt002_instrument' AS TABELA, 'crrncy_dnmntn' AS CAMPO, '2025-06-30' as ref_date, coalesce(NUM_REG_DIF, 0) AS NUM_REG_DIF FROM (SELECT count(*) AS NUM_REG_DIF FROM (SELECT instrmnt_id as instrmnt_id_as_is, crrncy_dnmntn as crrncy_dnmntn_as_is FROM cd_loan_tapes_bce.lt002_instrument WHERE ref_date='2025-06-30' AND nome_perimetro= 'Individual IDComb' AND segmento= 'ESTR' AND ambito= 'PM' AND entidade='00100' AND cod_visao = 1) A  Inner join (SELECT instrmnt_id as instrmnt_id_to_be, crrncy_dnmntn as crrncy_dnmntn_to_be FROM bu_loantape_work.lt002_instrument WHERE ref_date='2025-06-30' AND nome_perimetro= 'Individual IDComb' AND segmento= 'ESTR' AND ambito= 'PM' AND entidade='00100' AND cod_visao = 1) B ON instrmnt_id_as_is = instrmnt_id_to_be WHERE coalesce(cast(crrncy_dnmntn_as_is as string), '') &lt;&gt; coalesce(cast(crrncy_dnmntn_to_be as string), '') ) A UNION ALL</v>
      </c>
      <c r="P146" s="17">
        <f t="shared" si="38"/>
        <v>7</v>
      </c>
    </row>
    <row r="147" spans="2:16" s="15" customFormat="1" ht="11.5" x14ac:dyDescent="0.25">
      <c r="B147" s="17" t="s">
        <v>24</v>
      </c>
      <c r="C147" s="17" t="str">
        <f>_xlfn.CONCAT(Instruções!$D$5,".",VLOOKUP(B147,Instruções!$F$5:$H$10,2,0))</f>
        <v>cd_loan_tapes_bce.lt002_instrument</v>
      </c>
      <c r="D147" s="17" t="str">
        <f>_xlfn.CONCAT(Instruções!$D$6,".",VLOOKUP(B147,Instruções!$F$5:$H$10,3,0))</f>
        <v>bu_loantape_work.lt002_instrument</v>
      </c>
      <c r="E147" s="17" t="s">
        <v>176</v>
      </c>
      <c r="F147" s="17" t="str">
        <f t="shared" si="34"/>
        <v>crryng_amnt_instrmnt_as_is</v>
      </c>
      <c r="G147" s="17" t="str">
        <f t="shared" si="35"/>
        <v>crryng_amnt_instrmnt_to_be</v>
      </c>
      <c r="H147" s="17" t="str">
        <f>IF(VLOOKUP(B147,Instruções!$F$6:$J$10,5,0)="",
"(SELECT "&amp;VLOOKUP(B147,Instruções!$F$6:$J$10,4,0)&amp;" as "&amp;VLOOKUP(B147,Instruções!$F$6:$J$10,4,0)&amp;"_as_is, "&amp;E147&amp;" as "&amp;F147&amp;" FROM "&amp;C147&amp;" WHERE "&amp;Instruções!$D$11&amp;") A ",
"(SELECT "&amp;VLOOKUP(B147,Instruções!$F$6:$J$10,4,0)&amp;" as "&amp;VLOOKUP(B147,Instruções!$F$6:$J$10,4,0)&amp;"_as_is, "&amp;VLOOKUP(B147,Instruções!$F$6:$J$10,5,0)&amp;" as "&amp;VLOOKUP(B147,Instruções!$F$6:$J$10,5,0)&amp;"_as_is,"&amp;E147&amp;" as "&amp;F147&amp;" FROM "&amp;C147&amp;" WHERE "&amp;Instruções!$D$11&amp;") A ")</f>
        <v xml:space="preserve">(SELECT instrmnt_id as instrmnt_id_as_is, crryng_amnt_instrmnt as crryng_amnt_instrmnt_as_is FROM cd_loan_tapes_bce.lt002_instrument WHERE ref_date='2025-06-30' AND nome_perimetro= 'Individual IDComb' AND segmento= 'ESTR' AND ambito= 'PM' AND entidade='00100' AND cod_visao = 1) A </v>
      </c>
      <c r="I147" s="17" t="str">
        <f>IF(VLOOKUP(B147,Instruções!$F$6:$J$10,5,0)="",
"(SELECT "&amp;VLOOKUP(B147,Instruções!$F$6:$J$10,4,0)&amp;" as "&amp;VLOOKUP(B147,Instruções!$F$6:$J$10,4,0)&amp;"_to_be, "&amp;E147&amp;" as "&amp;G147&amp;" FROM "&amp;D147&amp;" WHERE "&amp;Instruções!$D$11&amp;") B ",
"(SELECT "&amp;VLOOKUP(B147,Instruções!$F$6:$J$10,4,0)&amp;" as "&amp;VLOOKUP(B147,Instruções!$F$6:$J$10,4,0)&amp;"_to_be, "&amp;VLOOKUP(B147,Instruções!$F$6:$J$10,5,0)&amp;" as "&amp;VLOOKUP(B147,Instruções!$F$6:$J$10,5,0)&amp;"_to_be,"&amp;E147&amp;" as "&amp;G147&amp;" FROM "&amp;D147&amp;" WHERE "&amp;Instruções!$D$11&amp;") B ")</f>
        <v xml:space="preserve">(SELECT instrmnt_id as instrmnt_id_to_be, crryng_amnt_instrmnt as crryng_amnt_instrmnt_to_be FROM bu_loantape_work.lt002_instrument WHERE ref_date='2025-06-30' AND nome_perimetro= 'Individual IDComb' AND segmento= 'ESTR' AND ambito= 'PM' AND entidade='00100' AND cod_visao = 1) B </v>
      </c>
      <c r="J147" s="17" t="str">
        <f>IF(VLOOKUP(B147,Instruções!$F$6:$J$10,5,0)="",
"ON "&amp;VLOOKUP(B147,Instruções!$F$6:$J$10,4,0)&amp;"_as_is = "&amp;VLOOKUP(B147,Instruções!$F$6:$J$10,4,0)&amp;"_to_be ",
"ON "&amp;VLOOKUP(B147,Instruções!$F$6:$J$10,4,0)&amp;"_as_is = "&amp;VLOOKUP(B147,Instruções!$F$6:$J$10,4,0)&amp;"_to_be AND "&amp;VLOOKUP(B147,Instruções!$F$6:$J$10,5,0)&amp;"_as_is = "&amp;VLOOKUP(B147,Instruções!$F$6:$J$10,5,0)&amp;"_to_be ")</f>
        <v xml:space="preserve">ON instrmnt_id_as_is = instrmnt_id_to_be </v>
      </c>
      <c r="K147" s="17" t="str">
        <f t="shared" si="36"/>
        <v xml:space="preserve">WHERE coalesce(cast(crryng_amnt_instrmnt_as_is as string), '') &lt;&gt; coalesce(cast(crryng_amnt_instrmnt_to_be as string), '') </v>
      </c>
      <c r="L147" s="17" t="str">
        <f t="shared" si="39"/>
        <v xml:space="preserve">SELECT count(*) AS NUM_REG_DIF FROM (SELECT instrmnt_id as instrmnt_id_as_is, crryng_amnt_instrmnt as crryng_amnt_instrmnt_as_is FROM cd_loan_tapes_bce.lt002_instrument WHERE ref_date='2025-06-30' AND nome_perimetro= 'Individual IDComb' AND segmento= 'ESTR' AND ambito= 'PM' AND entidade='00100' AND cod_visao = 1) A  Inner join (SELECT instrmnt_id as instrmnt_id_to_be, crryng_amnt_instrmnt as crryng_amnt_instrmnt_to_be FROM bu_loantape_work.lt002_instrument WHERE ref_date='2025-06-30' AND nome_perimetro= 'Individual IDComb' AND segmento= 'ESTR' AND ambito= 'PM' AND entidade='00100' AND cod_visao = 1) B ON instrmnt_id_as_is = instrmnt_id_to_be WHERE coalesce(cast(crryng_amnt_instrmnt_as_is as string), '') &lt;&gt; coalesce(cast(crryng_amnt_instrmnt_to_be as string), '') </v>
      </c>
      <c r="M147" s="17" t="s">
        <v>48</v>
      </c>
      <c r="N147" s="17" t="str">
        <f>"SELECT 'Validação de campos' as tipologia_teste, '"&amp;VLOOKUP(B147,Instruções!$F$6:$J$10,3,0)&amp;"' AS TABELA, '"&amp;E147&amp;"' AS CAMPO, '"&amp;Instruções!$D$7&amp;"' as ref_date, coalesce(NUM_REG_DIF, 0) AS NUM_REG_DIF FROM ("&amp;L147&amp;") A "</f>
        <v xml:space="preserve">SELECT 'Validação de campos' as tipologia_teste, 'lt002_instrument' AS TABELA, 'crryng_amnt_instrmnt' AS CAMPO, '2025-06-30' as ref_date, coalesce(NUM_REG_DIF, 0) AS NUM_REG_DIF FROM (SELECT count(*) AS NUM_REG_DIF FROM (SELECT instrmnt_id as instrmnt_id_as_is, crryng_amnt_instrmnt as crryng_amnt_instrmnt_as_is FROM cd_loan_tapes_bce.lt002_instrument WHERE ref_date='2025-06-30' AND nome_perimetro= 'Individual IDComb' AND segmento= 'ESTR' AND ambito= 'PM' AND entidade='00100' AND cod_visao = 1) A  Inner join (SELECT instrmnt_id as instrmnt_id_to_be, crryng_amnt_instrmnt as crryng_amnt_instrmnt_to_be FROM bu_loantape_work.lt002_instrument WHERE ref_date='2025-06-30' AND nome_perimetro= 'Individual IDComb' AND segmento= 'ESTR' AND ambito= 'PM' AND entidade='00100' AND cod_visao = 1) B ON instrmnt_id_as_is = instrmnt_id_to_be WHERE coalesce(cast(crryng_amnt_instrmnt_as_is as string), '') &lt;&gt; coalesce(cast(crryng_amnt_instrmnt_to_be as string), '') ) A </v>
      </c>
      <c r="O147" s="19" t="str">
        <f t="shared" si="37"/>
        <v>SELECT 'Validação de campos' as tipologia_teste, 'lt002_instrument' AS TABELA, 'crryng_amnt_instrmnt' AS CAMPO, '2025-06-30' as ref_date, coalesce(NUM_REG_DIF, 0) AS NUM_REG_DIF FROM (SELECT count(*) AS NUM_REG_DIF FROM (SELECT instrmnt_id as instrmnt_id_as_is, crryng_amnt_instrmnt as crryng_amnt_instrmnt_as_is FROM cd_loan_tapes_bce.lt002_instrument WHERE ref_date='2025-06-30' AND nome_perimetro= 'Individual IDComb' AND segmento= 'ESTR' AND ambito= 'PM' AND entidade='00100' AND cod_visao = 1) A  Inner join (SELECT instrmnt_id as instrmnt_id_to_be, crryng_amnt_instrmnt as crryng_amnt_instrmnt_to_be FROM bu_loantape_work.lt002_instrument WHERE ref_date='2025-06-30' AND nome_perimetro= 'Individual IDComb' AND segmento= 'ESTR' AND ambito= 'PM' AND entidade='00100' AND cod_visao = 1) B ON instrmnt_id_as_is = instrmnt_id_to_be WHERE coalesce(cast(crryng_amnt_instrmnt_as_is as string), '') &lt;&gt; coalesce(cast(crryng_amnt_instrmnt_to_be as string), '') ) A UNION ALL</v>
      </c>
      <c r="P147" s="17">
        <f t="shared" si="38"/>
        <v>8</v>
      </c>
    </row>
    <row r="148" spans="2:16" s="15" customFormat="1" ht="11.5" x14ac:dyDescent="0.25">
      <c r="B148" s="17" t="s">
        <v>24</v>
      </c>
      <c r="C148" s="17" t="str">
        <f>_xlfn.CONCAT(Instruções!$D$5,".",VLOOKUP(B148,Instruções!$F$5:$H$10,2,0))</f>
        <v>cd_loan_tapes_bce.lt002_instrument</v>
      </c>
      <c r="D148" s="17" t="str">
        <f>_xlfn.CONCAT(Instruções!$D$6,".",VLOOKUP(B148,Instruções!$F$5:$H$10,3,0))</f>
        <v>bu_loantape_work.lt002_instrument</v>
      </c>
      <c r="E148" s="17" t="s">
        <v>177</v>
      </c>
      <c r="F148" s="17" t="str">
        <f t="shared" si="34"/>
        <v>csh_swp_trp_as_is</v>
      </c>
      <c r="G148" s="17" t="str">
        <f t="shared" si="35"/>
        <v>csh_swp_trp_to_be</v>
      </c>
      <c r="H148" s="17" t="str">
        <f>IF(VLOOKUP(B148,Instruções!$F$6:$J$10,5,0)="",
"(SELECT "&amp;VLOOKUP(B148,Instruções!$F$6:$J$10,4,0)&amp;" as "&amp;VLOOKUP(B148,Instruções!$F$6:$J$10,4,0)&amp;"_as_is, "&amp;E148&amp;" as "&amp;F148&amp;" FROM "&amp;C148&amp;" WHERE "&amp;Instruções!$D$11&amp;") A ",
"(SELECT "&amp;VLOOKUP(B148,Instruções!$F$6:$J$10,4,0)&amp;" as "&amp;VLOOKUP(B148,Instruções!$F$6:$J$10,4,0)&amp;"_as_is, "&amp;VLOOKUP(B148,Instruções!$F$6:$J$10,5,0)&amp;" as "&amp;VLOOKUP(B148,Instruções!$F$6:$J$10,5,0)&amp;"_as_is,"&amp;E148&amp;" as "&amp;F148&amp;" FROM "&amp;C148&amp;" WHERE "&amp;Instruções!$D$11&amp;") A ")</f>
        <v xml:space="preserve">(SELECT instrmnt_id as instrmnt_id_as_is, csh_swp_trp as csh_swp_trp_as_is FROM cd_loan_tapes_bce.lt002_instrument WHERE ref_date='2025-06-30' AND nome_perimetro= 'Individual IDComb' AND segmento= 'ESTR' AND ambito= 'PM' AND entidade='00100' AND cod_visao = 1) A </v>
      </c>
      <c r="I148" s="17" t="str">
        <f>IF(VLOOKUP(B148,Instruções!$F$6:$J$10,5,0)="",
"(SELECT "&amp;VLOOKUP(B148,Instruções!$F$6:$J$10,4,0)&amp;" as "&amp;VLOOKUP(B148,Instruções!$F$6:$J$10,4,0)&amp;"_to_be, "&amp;E148&amp;" as "&amp;G148&amp;" FROM "&amp;D148&amp;" WHERE "&amp;Instruções!$D$11&amp;") B ",
"(SELECT "&amp;VLOOKUP(B148,Instruções!$F$6:$J$10,4,0)&amp;" as "&amp;VLOOKUP(B148,Instruções!$F$6:$J$10,4,0)&amp;"_to_be, "&amp;VLOOKUP(B148,Instruções!$F$6:$J$10,5,0)&amp;" as "&amp;VLOOKUP(B148,Instruções!$F$6:$J$10,5,0)&amp;"_to_be,"&amp;E148&amp;" as "&amp;G148&amp;" FROM "&amp;D148&amp;" WHERE "&amp;Instruções!$D$11&amp;") B ")</f>
        <v xml:space="preserve">(SELECT instrmnt_id as instrmnt_id_to_be, csh_swp_trp as csh_swp_trp_to_be FROM bu_loantape_work.lt002_instrument WHERE ref_date='2025-06-30' AND nome_perimetro= 'Individual IDComb' AND segmento= 'ESTR' AND ambito= 'PM' AND entidade='00100' AND cod_visao = 1) B </v>
      </c>
      <c r="J148" s="17" t="str">
        <f>IF(VLOOKUP(B148,Instruções!$F$6:$J$10,5,0)="",
"ON "&amp;VLOOKUP(B148,Instruções!$F$6:$J$10,4,0)&amp;"_as_is = "&amp;VLOOKUP(B148,Instruções!$F$6:$J$10,4,0)&amp;"_to_be ",
"ON "&amp;VLOOKUP(B148,Instruções!$F$6:$J$10,4,0)&amp;"_as_is = "&amp;VLOOKUP(B148,Instruções!$F$6:$J$10,4,0)&amp;"_to_be AND "&amp;VLOOKUP(B148,Instruções!$F$6:$J$10,5,0)&amp;"_as_is = "&amp;VLOOKUP(B148,Instruções!$F$6:$J$10,5,0)&amp;"_to_be ")</f>
        <v xml:space="preserve">ON instrmnt_id_as_is = instrmnt_id_to_be </v>
      </c>
      <c r="K148" s="17" t="str">
        <f t="shared" si="36"/>
        <v xml:space="preserve">WHERE coalesce(cast(csh_swp_trp_as_is as string), '') &lt;&gt; coalesce(cast(csh_swp_trp_to_be as string), '') </v>
      </c>
      <c r="L148" s="17" t="str">
        <f t="shared" si="39"/>
        <v xml:space="preserve">SELECT count(*) AS NUM_REG_DIF FROM (SELECT instrmnt_id as instrmnt_id_as_is, csh_swp_trp as csh_swp_trp_as_is FROM cd_loan_tapes_bce.lt002_instrument WHERE ref_date='2025-06-30' AND nome_perimetro= 'Individual IDComb' AND segmento= 'ESTR' AND ambito= 'PM' AND entidade='00100' AND cod_visao = 1) A  Inner join (SELECT instrmnt_id as instrmnt_id_to_be, csh_swp_trp as csh_swp_trp_to_be FROM bu_loantape_work.lt002_instrument WHERE ref_date='2025-06-30' AND nome_perimetro= 'Individual IDComb' AND segmento= 'ESTR' AND ambito= 'PM' AND entidade='00100' AND cod_visao = 1) B ON instrmnt_id_as_is = instrmnt_id_to_be WHERE coalesce(cast(csh_swp_trp_as_is as string), '') &lt;&gt; coalesce(cast(csh_swp_trp_to_be as string), '') </v>
      </c>
      <c r="M148" s="17" t="s">
        <v>48</v>
      </c>
      <c r="N148" s="17" t="str">
        <f>"SELECT 'Validação de campos' as tipologia_teste, '"&amp;VLOOKUP(B148,Instruções!$F$6:$J$10,3,0)&amp;"' AS TABELA, '"&amp;E148&amp;"' AS CAMPO, '"&amp;Instruções!$D$7&amp;"' as ref_date, coalesce(NUM_REG_DIF, 0) AS NUM_REG_DIF FROM ("&amp;L148&amp;") A "</f>
        <v xml:space="preserve">SELECT 'Validação de campos' as tipologia_teste, 'lt002_instrument' AS TABELA, 'csh_swp_trp' AS CAMPO, '2025-06-30' as ref_date, coalesce(NUM_REG_DIF, 0) AS NUM_REG_DIF FROM (SELECT count(*) AS NUM_REG_DIF FROM (SELECT instrmnt_id as instrmnt_id_as_is, csh_swp_trp as csh_swp_trp_as_is FROM cd_loan_tapes_bce.lt002_instrument WHERE ref_date='2025-06-30' AND nome_perimetro= 'Individual IDComb' AND segmento= 'ESTR' AND ambito= 'PM' AND entidade='00100' AND cod_visao = 1) A  Inner join (SELECT instrmnt_id as instrmnt_id_to_be, csh_swp_trp as csh_swp_trp_to_be FROM bu_loantape_work.lt002_instrument WHERE ref_date='2025-06-30' AND nome_perimetro= 'Individual IDComb' AND segmento= 'ESTR' AND ambito= 'PM' AND entidade='00100' AND cod_visao = 1) B ON instrmnt_id_as_is = instrmnt_id_to_be WHERE coalesce(cast(csh_swp_trp_as_is as string), '') &lt;&gt; coalesce(cast(csh_swp_trp_to_be as string), '') ) A </v>
      </c>
      <c r="O148" s="19" t="str">
        <f t="shared" si="37"/>
        <v>SELECT 'Validação de campos' as tipologia_teste, 'lt002_instrument' AS TABELA, 'csh_swp_trp' AS CAMPO, '2025-06-30' as ref_date, coalesce(NUM_REG_DIF, 0) AS NUM_REG_DIF FROM (SELECT count(*) AS NUM_REG_DIF FROM (SELECT instrmnt_id as instrmnt_id_as_is, csh_swp_trp as csh_swp_trp_as_is FROM cd_loan_tapes_bce.lt002_instrument WHERE ref_date='2025-06-30' AND nome_perimetro= 'Individual IDComb' AND segmento= 'ESTR' AND ambito= 'PM' AND entidade='00100' AND cod_visao = 1) A  Inner join (SELECT instrmnt_id as instrmnt_id_to_be, csh_swp_trp as csh_swp_trp_to_be FROM bu_loantape_work.lt002_instrument WHERE ref_date='2025-06-30' AND nome_perimetro= 'Individual IDComb' AND segmento= 'ESTR' AND ambito= 'PM' AND entidade='00100' AND cod_visao = 1) B ON instrmnt_id_as_is = instrmnt_id_to_be WHERE coalesce(cast(csh_swp_trp_as_is as string), '') &lt;&gt; coalesce(cast(csh_swp_trp_to_be as string), '') ) A UNION ALL</v>
      </c>
      <c r="P148" s="17">
        <f t="shared" si="38"/>
        <v>9</v>
      </c>
    </row>
    <row r="149" spans="2:16" s="15" customFormat="1" ht="11.5" x14ac:dyDescent="0.25">
      <c r="B149" s="17" t="s">
        <v>24</v>
      </c>
      <c r="C149" s="17" t="str">
        <f>_xlfn.CONCAT(Instruções!$D$5,".",VLOOKUP(B149,Instruções!$F$5:$H$10,2,0))</f>
        <v>cd_loan_tapes_bce.lt002_instrument</v>
      </c>
      <c r="D149" s="17" t="str">
        <f>_xlfn.CONCAT(Instruções!$D$6,".",VLOOKUP(B149,Instruções!$F$5:$H$10,3,0))</f>
        <v>bu_loantape_work.lt002_instrument</v>
      </c>
      <c r="E149" s="17" t="s">
        <v>178</v>
      </c>
      <c r="F149" s="17" t="str">
        <f t="shared" si="34"/>
        <v>cvnnt_stts_as_is</v>
      </c>
      <c r="G149" s="17" t="str">
        <f t="shared" si="35"/>
        <v>cvnnt_stts_to_be</v>
      </c>
      <c r="H149" s="17" t="str">
        <f>IF(VLOOKUP(B149,Instruções!$F$6:$J$10,5,0)="",
"(SELECT "&amp;VLOOKUP(B149,Instruções!$F$6:$J$10,4,0)&amp;" as "&amp;VLOOKUP(B149,Instruções!$F$6:$J$10,4,0)&amp;"_as_is, "&amp;E149&amp;" as "&amp;F149&amp;" FROM "&amp;C149&amp;" WHERE "&amp;Instruções!$D$11&amp;") A ",
"(SELECT "&amp;VLOOKUP(B149,Instruções!$F$6:$J$10,4,0)&amp;" as "&amp;VLOOKUP(B149,Instruções!$F$6:$J$10,4,0)&amp;"_as_is, "&amp;VLOOKUP(B149,Instruções!$F$6:$J$10,5,0)&amp;" as "&amp;VLOOKUP(B149,Instruções!$F$6:$J$10,5,0)&amp;"_as_is,"&amp;E149&amp;" as "&amp;F149&amp;" FROM "&amp;C149&amp;" WHERE "&amp;Instruções!$D$11&amp;") A ")</f>
        <v xml:space="preserve">(SELECT instrmnt_id as instrmnt_id_as_is, cvnnt_stts as cvnnt_stts_as_is FROM cd_loan_tapes_bce.lt002_instrument WHERE ref_date='2025-06-30' AND nome_perimetro= 'Individual IDComb' AND segmento= 'ESTR' AND ambito= 'PM' AND entidade='00100' AND cod_visao = 1) A </v>
      </c>
      <c r="I149" s="17" t="str">
        <f>IF(VLOOKUP(B149,Instruções!$F$6:$J$10,5,0)="",
"(SELECT "&amp;VLOOKUP(B149,Instruções!$F$6:$J$10,4,0)&amp;" as "&amp;VLOOKUP(B149,Instruções!$F$6:$J$10,4,0)&amp;"_to_be, "&amp;E149&amp;" as "&amp;G149&amp;" FROM "&amp;D149&amp;" WHERE "&amp;Instruções!$D$11&amp;") B ",
"(SELECT "&amp;VLOOKUP(B149,Instruções!$F$6:$J$10,4,0)&amp;" as "&amp;VLOOKUP(B149,Instruções!$F$6:$J$10,4,0)&amp;"_to_be, "&amp;VLOOKUP(B149,Instruções!$F$6:$J$10,5,0)&amp;" as "&amp;VLOOKUP(B149,Instruções!$F$6:$J$10,5,0)&amp;"_to_be,"&amp;E149&amp;" as "&amp;G149&amp;" FROM "&amp;D149&amp;" WHERE "&amp;Instruções!$D$11&amp;") B ")</f>
        <v xml:space="preserve">(SELECT instrmnt_id as instrmnt_id_to_be, cvnnt_stts as cvnnt_stts_to_be FROM bu_loantape_work.lt002_instrument WHERE ref_date='2025-06-30' AND nome_perimetro= 'Individual IDComb' AND segmento= 'ESTR' AND ambito= 'PM' AND entidade='00100' AND cod_visao = 1) B </v>
      </c>
      <c r="J149" s="17" t="str">
        <f>IF(VLOOKUP(B149,Instruções!$F$6:$J$10,5,0)="",
"ON "&amp;VLOOKUP(B149,Instruções!$F$6:$J$10,4,0)&amp;"_as_is = "&amp;VLOOKUP(B149,Instruções!$F$6:$J$10,4,0)&amp;"_to_be ",
"ON "&amp;VLOOKUP(B149,Instruções!$F$6:$J$10,4,0)&amp;"_as_is = "&amp;VLOOKUP(B149,Instruções!$F$6:$J$10,4,0)&amp;"_to_be AND "&amp;VLOOKUP(B149,Instruções!$F$6:$J$10,5,0)&amp;"_as_is = "&amp;VLOOKUP(B149,Instruções!$F$6:$J$10,5,0)&amp;"_to_be ")</f>
        <v xml:space="preserve">ON instrmnt_id_as_is = instrmnt_id_to_be </v>
      </c>
      <c r="K149" s="17" t="str">
        <f t="shared" si="36"/>
        <v xml:space="preserve">WHERE coalesce(cast(cvnnt_stts_as_is as string), '') &lt;&gt; coalesce(cast(cvnnt_stts_to_be as string), '') </v>
      </c>
      <c r="L149" s="17" t="str">
        <f t="shared" si="39"/>
        <v xml:space="preserve">SELECT count(*) AS NUM_REG_DIF FROM (SELECT instrmnt_id as instrmnt_id_as_is, cvnnt_stts as cvnnt_stts_as_is FROM cd_loan_tapes_bce.lt002_instrument WHERE ref_date='2025-06-30' AND nome_perimetro= 'Individual IDComb' AND segmento= 'ESTR' AND ambito= 'PM' AND entidade='00100' AND cod_visao = 1) A  Inner join (SELECT instrmnt_id as instrmnt_id_to_be, cvnnt_stts as cvnnt_stts_to_be FROM bu_loantape_work.lt002_instrument WHERE ref_date='2025-06-30' AND nome_perimetro= 'Individual IDComb' AND segmento= 'ESTR' AND ambito= 'PM' AND entidade='00100' AND cod_visao = 1) B ON instrmnt_id_as_is = instrmnt_id_to_be WHERE coalesce(cast(cvnnt_stts_as_is as string), '') &lt;&gt; coalesce(cast(cvnnt_stts_to_be as string), '') </v>
      </c>
      <c r="M149" s="17" t="s">
        <v>48</v>
      </c>
      <c r="N149" s="17" t="str">
        <f>"SELECT 'Validação de campos' as tipologia_teste, '"&amp;VLOOKUP(B149,Instruções!$F$6:$J$10,3,0)&amp;"' AS TABELA, '"&amp;E149&amp;"' AS CAMPO, '"&amp;Instruções!$D$7&amp;"' as ref_date, coalesce(NUM_REG_DIF, 0) AS NUM_REG_DIF FROM ("&amp;L149&amp;") A "</f>
        <v xml:space="preserve">SELECT 'Validação de campos' as tipologia_teste, 'lt002_instrument' AS TABELA, 'cvnnt_stts' AS CAMPO, '2025-06-30' as ref_date, coalesce(NUM_REG_DIF, 0) AS NUM_REG_DIF FROM (SELECT count(*) AS NUM_REG_DIF FROM (SELECT instrmnt_id as instrmnt_id_as_is, cvnnt_stts as cvnnt_stts_as_is FROM cd_loan_tapes_bce.lt002_instrument WHERE ref_date='2025-06-30' AND nome_perimetro= 'Individual IDComb' AND segmento= 'ESTR' AND ambito= 'PM' AND entidade='00100' AND cod_visao = 1) A  Inner join (SELECT instrmnt_id as instrmnt_id_to_be, cvnnt_stts as cvnnt_stts_to_be FROM bu_loantape_work.lt002_instrument WHERE ref_date='2025-06-30' AND nome_perimetro= 'Individual IDComb' AND segmento= 'ESTR' AND ambito= 'PM' AND entidade='00100' AND cod_visao = 1) B ON instrmnt_id_as_is = instrmnt_id_to_be WHERE coalesce(cast(cvnnt_stts_as_is as string), '') &lt;&gt; coalesce(cast(cvnnt_stts_to_be as string), '') ) A </v>
      </c>
      <c r="O149" s="19" t="str">
        <f t="shared" si="37"/>
        <v>SELECT 'Validação de campos' as tipologia_teste, 'lt002_instrument' AS TABELA, 'cvnnt_stts' AS CAMPO, '2025-06-30' as ref_date, coalesce(NUM_REG_DIF, 0) AS NUM_REG_DIF FROM (SELECT count(*) AS NUM_REG_DIF FROM (SELECT instrmnt_id as instrmnt_id_as_is, cvnnt_stts as cvnnt_stts_as_is FROM cd_loan_tapes_bce.lt002_instrument WHERE ref_date='2025-06-30' AND nome_perimetro= 'Individual IDComb' AND segmento= 'ESTR' AND ambito= 'PM' AND entidade='00100' AND cod_visao = 1) A  Inner join (SELECT instrmnt_id as instrmnt_id_to_be, cvnnt_stts as cvnnt_stts_to_be FROM bu_loantape_work.lt002_instrument WHERE ref_date='2025-06-30' AND nome_perimetro= 'Individual IDComb' AND segmento= 'ESTR' AND ambito= 'PM' AND entidade='00100' AND cod_visao = 1) B ON instrmnt_id_as_is = instrmnt_id_to_be WHERE coalesce(cast(cvnnt_stts_as_is as string), '') &lt;&gt; coalesce(cast(cvnnt_stts_to_be as string), '') ) A UNION ALL</v>
      </c>
      <c r="P149" s="17">
        <f t="shared" si="38"/>
        <v>10</v>
      </c>
    </row>
    <row r="150" spans="2:16" s="15" customFormat="1" ht="11.5" x14ac:dyDescent="0.25">
      <c r="B150" s="17" t="s">
        <v>24</v>
      </c>
      <c r="C150" s="17" t="str">
        <f>_xlfn.CONCAT(Instruções!$D$5,".",VLOOKUP(B150,Instruções!$F$5:$H$10,2,0))</f>
        <v>cd_loan_tapes_bce.lt002_instrument</v>
      </c>
      <c r="D150" s="17" t="str">
        <f>_xlfn.CONCAT(Instruções!$D$6,".",VLOOKUP(B150,Instruções!$F$5:$H$10,3,0))</f>
        <v>bu_loantape_work.lt002_instrument</v>
      </c>
      <c r="E150" s="17" t="s">
        <v>179</v>
      </c>
      <c r="F150" s="17" t="str">
        <f t="shared" si="34"/>
        <v>cvnnt_typ_as_is</v>
      </c>
      <c r="G150" s="17" t="str">
        <f t="shared" si="35"/>
        <v>cvnnt_typ_to_be</v>
      </c>
      <c r="H150" s="17" t="str">
        <f>IF(VLOOKUP(B150,Instruções!$F$6:$J$10,5,0)="",
"(SELECT "&amp;VLOOKUP(B150,Instruções!$F$6:$J$10,4,0)&amp;" as "&amp;VLOOKUP(B150,Instruções!$F$6:$J$10,4,0)&amp;"_as_is, "&amp;E150&amp;" as "&amp;F150&amp;" FROM "&amp;C150&amp;" WHERE "&amp;Instruções!$D$11&amp;") A ",
"(SELECT "&amp;VLOOKUP(B150,Instruções!$F$6:$J$10,4,0)&amp;" as "&amp;VLOOKUP(B150,Instruções!$F$6:$J$10,4,0)&amp;"_as_is, "&amp;VLOOKUP(B150,Instruções!$F$6:$J$10,5,0)&amp;" as "&amp;VLOOKUP(B150,Instruções!$F$6:$J$10,5,0)&amp;"_as_is,"&amp;E150&amp;" as "&amp;F150&amp;" FROM "&amp;C150&amp;" WHERE "&amp;Instruções!$D$11&amp;") A ")</f>
        <v xml:space="preserve">(SELECT instrmnt_id as instrmnt_id_as_is, cvnnt_typ as cvnnt_typ_as_is FROM cd_loan_tapes_bce.lt002_instrument WHERE ref_date='2025-06-30' AND nome_perimetro= 'Individual IDComb' AND segmento= 'ESTR' AND ambito= 'PM' AND entidade='00100' AND cod_visao = 1) A </v>
      </c>
      <c r="I150" s="17" t="str">
        <f>IF(VLOOKUP(B150,Instruções!$F$6:$J$10,5,0)="",
"(SELECT "&amp;VLOOKUP(B150,Instruções!$F$6:$J$10,4,0)&amp;" as "&amp;VLOOKUP(B150,Instruções!$F$6:$J$10,4,0)&amp;"_to_be, "&amp;E150&amp;" as "&amp;G150&amp;" FROM "&amp;D150&amp;" WHERE "&amp;Instruções!$D$11&amp;") B ",
"(SELECT "&amp;VLOOKUP(B150,Instruções!$F$6:$J$10,4,0)&amp;" as "&amp;VLOOKUP(B150,Instruções!$F$6:$J$10,4,0)&amp;"_to_be, "&amp;VLOOKUP(B150,Instruções!$F$6:$J$10,5,0)&amp;" as "&amp;VLOOKUP(B150,Instruções!$F$6:$J$10,5,0)&amp;"_to_be,"&amp;E150&amp;" as "&amp;G150&amp;" FROM "&amp;D150&amp;" WHERE "&amp;Instruções!$D$11&amp;") B ")</f>
        <v xml:space="preserve">(SELECT instrmnt_id as instrmnt_id_to_be, cvnnt_typ as cvnnt_typ_to_be FROM bu_loantape_work.lt002_instrument WHERE ref_date='2025-06-30' AND nome_perimetro= 'Individual IDComb' AND segmento= 'ESTR' AND ambito= 'PM' AND entidade='00100' AND cod_visao = 1) B </v>
      </c>
      <c r="J150" s="17" t="str">
        <f>IF(VLOOKUP(B150,Instruções!$F$6:$J$10,5,0)="",
"ON "&amp;VLOOKUP(B150,Instruções!$F$6:$J$10,4,0)&amp;"_as_is = "&amp;VLOOKUP(B150,Instruções!$F$6:$J$10,4,0)&amp;"_to_be ",
"ON "&amp;VLOOKUP(B150,Instruções!$F$6:$J$10,4,0)&amp;"_as_is = "&amp;VLOOKUP(B150,Instruções!$F$6:$J$10,4,0)&amp;"_to_be AND "&amp;VLOOKUP(B150,Instruções!$F$6:$J$10,5,0)&amp;"_as_is = "&amp;VLOOKUP(B150,Instruções!$F$6:$J$10,5,0)&amp;"_to_be ")</f>
        <v xml:space="preserve">ON instrmnt_id_as_is = instrmnt_id_to_be </v>
      </c>
      <c r="K150" s="17" t="str">
        <f t="shared" si="36"/>
        <v xml:space="preserve">WHERE coalesce(cast(cvnnt_typ_as_is as string), '') &lt;&gt; coalesce(cast(cvnnt_typ_to_be as string), '') </v>
      </c>
      <c r="L150" s="17" t="str">
        <f t="shared" si="39"/>
        <v xml:space="preserve">SELECT count(*) AS NUM_REG_DIF FROM (SELECT instrmnt_id as instrmnt_id_as_is, cvnnt_typ as cvnnt_typ_as_is FROM cd_loan_tapes_bce.lt002_instrument WHERE ref_date='2025-06-30' AND nome_perimetro= 'Individual IDComb' AND segmento= 'ESTR' AND ambito= 'PM' AND entidade='00100' AND cod_visao = 1) A  Inner join (SELECT instrmnt_id as instrmnt_id_to_be, cvnnt_typ as cvnnt_typ_to_be FROM bu_loantape_work.lt002_instrument WHERE ref_date='2025-06-30' AND nome_perimetro= 'Individual IDComb' AND segmento= 'ESTR' AND ambito= 'PM' AND entidade='00100' AND cod_visao = 1) B ON instrmnt_id_as_is = instrmnt_id_to_be WHERE coalesce(cast(cvnnt_typ_as_is as string), '') &lt;&gt; coalesce(cast(cvnnt_typ_to_be as string), '') </v>
      </c>
      <c r="M150" s="17" t="s">
        <v>48</v>
      </c>
      <c r="N150" s="17" t="str">
        <f>"SELECT 'Validação de campos' as tipologia_teste, '"&amp;VLOOKUP(B150,Instruções!$F$6:$J$10,3,0)&amp;"' AS TABELA, '"&amp;E150&amp;"' AS CAMPO, '"&amp;Instruções!$D$7&amp;"' as ref_date, coalesce(NUM_REG_DIF, 0) AS NUM_REG_DIF FROM ("&amp;L150&amp;") A "</f>
        <v xml:space="preserve">SELECT 'Validação de campos' as tipologia_teste, 'lt002_instrument' AS TABELA, 'cvnnt_typ' AS CAMPO, '2025-06-30' as ref_date, coalesce(NUM_REG_DIF, 0) AS NUM_REG_DIF FROM (SELECT count(*) AS NUM_REG_DIF FROM (SELECT instrmnt_id as instrmnt_id_as_is, cvnnt_typ as cvnnt_typ_as_is FROM cd_loan_tapes_bce.lt002_instrument WHERE ref_date='2025-06-30' AND nome_perimetro= 'Individual IDComb' AND segmento= 'ESTR' AND ambito= 'PM' AND entidade='00100' AND cod_visao = 1) A  Inner join (SELECT instrmnt_id as instrmnt_id_to_be, cvnnt_typ as cvnnt_typ_to_be FROM bu_loantape_work.lt002_instrument WHERE ref_date='2025-06-30' AND nome_perimetro= 'Individual IDComb' AND segmento= 'ESTR' AND ambito= 'PM' AND entidade='00100' AND cod_visao = 1) B ON instrmnt_id_as_is = instrmnt_id_to_be WHERE coalesce(cast(cvnnt_typ_as_is as string), '') &lt;&gt; coalesce(cast(cvnnt_typ_to_be as string), '') ) A </v>
      </c>
      <c r="O150" s="19" t="str">
        <f t="shared" si="37"/>
        <v>SELECT 'Validação de campos' as tipologia_teste, 'lt002_instrument' AS TABELA, 'cvnnt_typ' AS CAMPO, '2025-06-30' as ref_date, coalesce(NUM_REG_DIF, 0) AS NUM_REG_DIF FROM (SELECT count(*) AS NUM_REG_DIF FROM (SELECT instrmnt_id as instrmnt_id_as_is, cvnnt_typ as cvnnt_typ_as_is FROM cd_loan_tapes_bce.lt002_instrument WHERE ref_date='2025-06-30' AND nome_perimetro= 'Individual IDComb' AND segmento= 'ESTR' AND ambito= 'PM' AND entidade='00100' AND cod_visao = 1) A  Inner join (SELECT instrmnt_id as instrmnt_id_to_be, cvnnt_typ as cvnnt_typ_to_be FROM bu_loantape_work.lt002_instrument WHERE ref_date='2025-06-30' AND nome_perimetro= 'Individual IDComb' AND segmento= 'ESTR' AND ambito= 'PM' AND entidade='00100' AND cod_visao = 1) B ON instrmnt_id_as_is = instrmnt_id_to_be WHERE coalesce(cast(cvnnt_typ_as_is as string), '') &lt;&gt; coalesce(cast(cvnnt_typ_to_be as string), '') ) A UNION ALL</v>
      </c>
      <c r="P150" s="17">
        <f t="shared" si="38"/>
        <v>11</v>
      </c>
    </row>
    <row r="151" spans="2:16" s="15" customFormat="1" ht="11.5" x14ac:dyDescent="0.25">
      <c r="B151" s="17" t="s">
        <v>24</v>
      </c>
      <c r="C151" s="17" t="str">
        <f>_xlfn.CONCAT(Instruções!$D$5,".",VLOOKUP(B151,Instruções!$F$5:$H$10,2,0))</f>
        <v>cd_loan_tapes_bce.lt002_instrument</v>
      </c>
      <c r="D151" s="17" t="str">
        <f>_xlfn.CONCAT(Instruções!$D$6,".",VLOOKUP(B151,Instruções!$F$5:$H$10,3,0))</f>
        <v>bu_loantape_work.lt002_instrument</v>
      </c>
      <c r="E151" s="17" t="s">
        <v>180</v>
      </c>
      <c r="F151" s="17" t="str">
        <f t="shared" si="34"/>
        <v>dbt_yld_as_is</v>
      </c>
      <c r="G151" s="17" t="str">
        <f t="shared" si="35"/>
        <v>dbt_yld_to_be</v>
      </c>
      <c r="H151" s="17" t="str">
        <f>IF(VLOOKUP(B151,Instruções!$F$6:$J$10,5,0)="",
"(SELECT "&amp;VLOOKUP(B151,Instruções!$F$6:$J$10,4,0)&amp;" as "&amp;VLOOKUP(B151,Instruções!$F$6:$J$10,4,0)&amp;"_as_is, "&amp;E151&amp;" as "&amp;F151&amp;" FROM "&amp;C151&amp;" WHERE "&amp;Instruções!$D$11&amp;") A ",
"(SELECT "&amp;VLOOKUP(B151,Instruções!$F$6:$J$10,4,0)&amp;" as "&amp;VLOOKUP(B151,Instruções!$F$6:$J$10,4,0)&amp;"_as_is, "&amp;VLOOKUP(B151,Instruções!$F$6:$J$10,5,0)&amp;" as "&amp;VLOOKUP(B151,Instruções!$F$6:$J$10,5,0)&amp;"_as_is,"&amp;E151&amp;" as "&amp;F151&amp;" FROM "&amp;C151&amp;" WHERE "&amp;Instruções!$D$11&amp;") A ")</f>
        <v xml:space="preserve">(SELECT instrmnt_id as instrmnt_id_as_is, dbt_yld as dbt_yld_as_is FROM cd_loan_tapes_bce.lt002_instrument WHERE ref_date='2025-06-30' AND nome_perimetro= 'Individual IDComb' AND segmento= 'ESTR' AND ambito= 'PM' AND entidade='00100' AND cod_visao = 1) A </v>
      </c>
      <c r="I151" s="17" t="str">
        <f>IF(VLOOKUP(B151,Instruções!$F$6:$J$10,5,0)="",
"(SELECT "&amp;VLOOKUP(B151,Instruções!$F$6:$J$10,4,0)&amp;" as "&amp;VLOOKUP(B151,Instruções!$F$6:$J$10,4,0)&amp;"_to_be, "&amp;E151&amp;" as "&amp;G151&amp;" FROM "&amp;D151&amp;" WHERE "&amp;Instruções!$D$11&amp;") B ",
"(SELECT "&amp;VLOOKUP(B151,Instruções!$F$6:$J$10,4,0)&amp;" as "&amp;VLOOKUP(B151,Instruções!$F$6:$J$10,4,0)&amp;"_to_be, "&amp;VLOOKUP(B151,Instruções!$F$6:$J$10,5,0)&amp;" as "&amp;VLOOKUP(B151,Instruções!$F$6:$J$10,5,0)&amp;"_to_be,"&amp;E151&amp;" as "&amp;G151&amp;" FROM "&amp;D151&amp;" WHERE "&amp;Instruções!$D$11&amp;") B ")</f>
        <v xml:space="preserve">(SELECT instrmnt_id as instrmnt_id_to_be, dbt_yld as dbt_yld_to_be FROM bu_loantape_work.lt002_instrument WHERE ref_date='2025-06-30' AND nome_perimetro= 'Individual IDComb' AND segmento= 'ESTR' AND ambito= 'PM' AND entidade='00100' AND cod_visao = 1) B </v>
      </c>
      <c r="J151" s="17" t="str">
        <f>IF(VLOOKUP(B151,Instruções!$F$6:$J$10,5,0)="",
"ON "&amp;VLOOKUP(B151,Instruções!$F$6:$J$10,4,0)&amp;"_as_is = "&amp;VLOOKUP(B151,Instruções!$F$6:$J$10,4,0)&amp;"_to_be ",
"ON "&amp;VLOOKUP(B151,Instruções!$F$6:$J$10,4,0)&amp;"_as_is = "&amp;VLOOKUP(B151,Instruções!$F$6:$J$10,4,0)&amp;"_to_be AND "&amp;VLOOKUP(B151,Instruções!$F$6:$J$10,5,0)&amp;"_as_is = "&amp;VLOOKUP(B151,Instruções!$F$6:$J$10,5,0)&amp;"_to_be ")</f>
        <v xml:space="preserve">ON instrmnt_id_as_is = instrmnt_id_to_be </v>
      </c>
      <c r="K151" s="17" t="str">
        <f t="shared" si="36"/>
        <v xml:space="preserve">WHERE coalesce(cast(dbt_yld_as_is as string), '') &lt;&gt; coalesce(cast(dbt_yld_to_be as string), '') </v>
      </c>
      <c r="L151" s="17" t="str">
        <f t="shared" si="39"/>
        <v xml:space="preserve">SELECT count(*) AS NUM_REG_DIF FROM (SELECT instrmnt_id as instrmnt_id_as_is, dbt_yld as dbt_yld_as_is FROM cd_loan_tapes_bce.lt002_instrument WHERE ref_date='2025-06-30' AND nome_perimetro= 'Individual IDComb' AND segmento= 'ESTR' AND ambito= 'PM' AND entidade='00100' AND cod_visao = 1) A  Inner join (SELECT instrmnt_id as instrmnt_id_to_be, dbt_yld as dbt_yld_to_be FROM bu_loantape_work.lt002_instrument WHERE ref_date='2025-06-30' AND nome_perimetro= 'Individual IDComb' AND segmento= 'ESTR' AND ambito= 'PM' AND entidade='00100' AND cod_visao = 1) B ON instrmnt_id_as_is = instrmnt_id_to_be WHERE coalesce(cast(dbt_yld_as_is as string), '') &lt;&gt; coalesce(cast(dbt_yld_to_be as string), '') </v>
      </c>
      <c r="M151" s="17" t="s">
        <v>48</v>
      </c>
      <c r="N151" s="17" t="str">
        <f>"SELECT 'Validação de campos' as tipologia_teste, '"&amp;VLOOKUP(B151,Instruções!$F$6:$J$10,3,0)&amp;"' AS TABELA, '"&amp;E151&amp;"' AS CAMPO, '"&amp;Instruções!$D$7&amp;"' as ref_date, coalesce(NUM_REG_DIF, 0) AS NUM_REG_DIF FROM ("&amp;L151&amp;") A "</f>
        <v xml:space="preserve">SELECT 'Validação de campos' as tipologia_teste, 'lt002_instrument' AS TABELA, 'dbt_yld' AS CAMPO, '2025-06-30' as ref_date, coalesce(NUM_REG_DIF, 0) AS NUM_REG_DIF FROM (SELECT count(*) AS NUM_REG_DIF FROM (SELECT instrmnt_id as instrmnt_id_as_is, dbt_yld as dbt_yld_as_is FROM cd_loan_tapes_bce.lt002_instrument WHERE ref_date='2025-06-30' AND nome_perimetro= 'Individual IDComb' AND segmento= 'ESTR' AND ambito= 'PM' AND entidade='00100' AND cod_visao = 1) A  Inner join (SELECT instrmnt_id as instrmnt_id_to_be, dbt_yld as dbt_yld_to_be FROM bu_loantape_work.lt002_instrument WHERE ref_date='2025-06-30' AND nome_perimetro= 'Individual IDComb' AND segmento= 'ESTR' AND ambito= 'PM' AND entidade='00100' AND cod_visao = 1) B ON instrmnt_id_as_is = instrmnt_id_to_be WHERE coalesce(cast(dbt_yld_as_is as string), '') &lt;&gt; coalesce(cast(dbt_yld_to_be as string), '') ) A </v>
      </c>
      <c r="O151" s="19" t="str">
        <f t="shared" si="37"/>
        <v>SELECT 'Validação de campos' as tipologia_teste, 'lt002_instrument' AS TABELA, 'dbt_yld' AS CAMPO, '2025-06-30' as ref_date, coalesce(NUM_REG_DIF, 0) AS NUM_REG_DIF FROM (SELECT count(*) AS NUM_REG_DIF FROM (SELECT instrmnt_id as instrmnt_id_as_is, dbt_yld as dbt_yld_as_is FROM cd_loan_tapes_bce.lt002_instrument WHERE ref_date='2025-06-30' AND nome_perimetro= 'Individual IDComb' AND segmento= 'ESTR' AND ambito= 'PM' AND entidade='00100' AND cod_visao = 1) A  Inner join (SELECT instrmnt_id as instrmnt_id_to_be, dbt_yld as dbt_yld_to_be FROM bu_loantape_work.lt002_instrument WHERE ref_date='2025-06-30' AND nome_perimetro= 'Individual IDComb' AND segmento= 'ESTR' AND ambito= 'PM' AND entidade='00100' AND cod_visao = 1) B ON instrmnt_id_as_is = instrmnt_id_to_be WHERE coalesce(cast(dbt_yld_as_is as string), '') &lt;&gt; coalesce(cast(dbt_yld_to_be as string), '') ) A UNION ALL</v>
      </c>
      <c r="P151" s="17">
        <f t="shared" si="38"/>
        <v>12</v>
      </c>
    </row>
    <row r="152" spans="2:16" s="15" customFormat="1" ht="11.5" x14ac:dyDescent="0.25">
      <c r="B152" s="17" t="s">
        <v>24</v>
      </c>
      <c r="C152" s="17" t="str">
        <f>_xlfn.CONCAT(Instruções!$D$5,".",VLOOKUP(B152,Instruções!$F$5:$H$10,2,0))</f>
        <v>cd_loan_tapes_bce.lt002_instrument</v>
      </c>
      <c r="D152" s="17" t="str">
        <f>_xlfn.CONCAT(Instruções!$D$6,".",VLOOKUP(B152,Instruções!$F$5:$H$10,3,0))</f>
        <v>bu_loantape_work.lt002_instrument</v>
      </c>
      <c r="E152" s="17" t="s">
        <v>181</v>
      </c>
      <c r="F152" s="17" t="str">
        <f t="shared" si="34"/>
        <v>dflt_stts_instrmnt_as_is</v>
      </c>
      <c r="G152" s="17" t="str">
        <f t="shared" si="35"/>
        <v>dflt_stts_instrmnt_to_be</v>
      </c>
      <c r="H152" s="17" t="str">
        <f>IF(VLOOKUP(B152,Instruções!$F$6:$J$10,5,0)="",
"(SELECT "&amp;VLOOKUP(B152,Instruções!$F$6:$J$10,4,0)&amp;" as "&amp;VLOOKUP(B152,Instruções!$F$6:$J$10,4,0)&amp;"_as_is, "&amp;E152&amp;" as "&amp;F152&amp;" FROM "&amp;C152&amp;" WHERE "&amp;Instruções!$D$11&amp;") A ",
"(SELECT "&amp;VLOOKUP(B152,Instruções!$F$6:$J$10,4,0)&amp;" as "&amp;VLOOKUP(B152,Instruções!$F$6:$J$10,4,0)&amp;"_as_is, "&amp;VLOOKUP(B152,Instruções!$F$6:$J$10,5,0)&amp;" as "&amp;VLOOKUP(B152,Instruções!$F$6:$J$10,5,0)&amp;"_as_is,"&amp;E152&amp;" as "&amp;F152&amp;" FROM "&amp;C152&amp;" WHERE "&amp;Instruções!$D$11&amp;") A ")</f>
        <v xml:space="preserve">(SELECT instrmnt_id as instrmnt_id_as_is, dflt_stts_instrmnt as dflt_stts_instrmnt_as_is FROM cd_loan_tapes_bce.lt002_instrument WHERE ref_date='2025-06-30' AND nome_perimetro= 'Individual IDComb' AND segmento= 'ESTR' AND ambito= 'PM' AND entidade='00100' AND cod_visao = 1) A </v>
      </c>
      <c r="I152" s="17" t="str">
        <f>IF(VLOOKUP(B152,Instruções!$F$6:$J$10,5,0)="",
"(SELECT "&amp;VLOOKUP(B152,Instruções!$F$6:$J$10,4,0)&amp;" as "&amp;VLOOKUP(B152,Instruções!$F$6:$J$10,4,0)&amp;"_to_be, "&amp;E152&amp;" as "&amp;G152&amp;" FROM "&amp;D152&amp;" WHERE "&amp;Instruções!$D$11&amp;") B ",
"(SELECT "&amp;VLOOKUP(B152,Instruções!$F$6:$J$10,4,0)&amp;" as "&amp;VLOOKUP(B152,Instruções!$F$6:$J$10,4,0)&amp;"_to_be, "&amp;VLOOKUP(B152,Instruções!$F$6:$J$10,5,0)&amp;" as "&amp;VLOOKUP(B152,Instruções!$F$6:$J$10,5,0)&amp;"_to_be,"&amp;E152&amp;" as "&amp;G152&amp;" FROM "&amp;D152&amp;" WHERE "&amp;Instruções!$D$11&amp;") B ")</f>
        <v xml:space="preserve">(SELECT instrmnt_id as instrmnt_id_to_be, dflt_stts_instrmnt as dflt_stts_instrmnt_to_be FROM bu_loantape_work.lt002_instrument WHERE ref_date='2025-06-30' AND nome_perimetro= 'Individual IDComb' AND segmento= 'ESTR' AND ambito= 'PM' AND entidade='00100' AND cod_visao = 1) B </v>
      </c>
      <c r="J152" s="17" t="str">
        <f>IF(VLOOKUP(B152,Instruções!$F$6:$J$10,5,0)="",
"ON "&amp;VLOOKUP(B152,Instruções!$F$6:$J$10,4,0)&amp;"_as_is = "&amp;VLOOKUP(B152,Instruções!$F$6:$J$10,4,0)&amp;"_to_be ",
"ON "&amp;VLOOKUP(B152,Instruções!$F$6:$J$10,4,0)&amp;"_as_is = "&amp;VLOOKUP(B152,Instruções!$F$6:$J$10,4,0)&amp;"_to_be AND "&amp;VLOOKUP(B152,Instruções!$F$6:$J$10,5,0)&amp;"_as_is = "&amp;VLOOKUP(B152,Instruções!$F$6:$J$10,5,0)&amp;"_to_be ")</f>
        <v xml:space="preserve">ON instrmnt_id_as_is = instrmnt_id_to_be </v>
      </c>
      <c r="K152" s="17" t="str">
        <f t="shared" si="36"/>
        <v xml:space="preserve">WHERE coalesce(cast(dflt_stts_instrmnt_as_is as string), '') &lt;&gt; coalesce(cast(dflt_stts_instrmnt_to_be as string), '') </v>
      </c>
      <c r="L152" s="17" t="str">
        <f t="shared" si="39"/>
        <v xml:space="preserve">SELECT count(*) AS NUM_REG_DIF FROM (SELECT instrmnt_id as instrmnt_id_as_is, dflt_stts_instrmnt as dflt_stts_instrmnt_as_is FROM cd_loan_tapes_bce.lt002_instrument WHERE ref_date='2025-06-30' AND nome_perimetro= 'Individual IDComb' AND segmento= 'ESTR' AND ambito= 'PM' AND entidade='00100' AND cod_visao = 1) A  Inner join (SELECT instrmnt_id as instrmnt_id_to_be, dflt_stts_instrmnt as dflt_stts_instrmnt_to_be FROM bu_loantape_work.lt002_instrument WHERE ref_date='2025-06-30' AND nome_perimetro= 'Individual IDComb' AND segmento= 'ESTR' AND ambito= 'PM' AND entidade='00100' AND cod_visao = 1) B ON instrmnt_id_as_is = instrmnt_id_to_be WHERE coalesce(cast(dflt_stts_instrmnt_as_is as string), '') &lt;&gt; coalesce(cast(dflt_stts_instrmnt_to_be as string), '') </v>
      </c>
      <c r="M152" s="17" t="s">
        <v>48</v>
      </c>
      <c r="N152" s="17" t="str">
        <f>"SELECT 'Validação de campos' as tipologia_teste, '"&amp;VLOOKUP(B152,Instruções!$F$6:$J$10,3,0)&amp;"' AS TABELA, '"&amp;E152&amp;"' AS CAMPO, '"&amp;Instruções!$D$7&amp;"' as ref_date, coalesce(NUM_REG_DIF, 0) AS NUM_REG_DIF FROM ("&amp;L152&amp;") A "</f>
        <v xml:space="preserve">SELECT 'Validação de campos' as tipologia_teste, 'lt002_instrument' AS TABELA, 'dflt_stts_instrmnt' AS CAMPO, '2025-06-30' as ref_date, coalesce(NUM_REG_DIF, 0) AS NUM_REG_DIF FROM (SELECT count(*) AS NUM_REG_DIF FROM (SELECT instrmnt_id as instrmnt_id_as_is, dflt_stts_instrmnt as dflt_stts_instrmnt_as_is FROM cd_loan_tapes_bce.lt002_instrument WHERE ref_date='2025-06-30' AND nome_perimetro= 'Individual IDComb' AND segmento= 'ESTR' AND ambito= 'PM' AND entidade='00100' AND cod_visao = 1) A  Inner join (SELECT instrmnt_id as instrmnt_id_to_be, dflt_stts_instrmnt as dflt_stts_instrmnt_to_be FROM bu_loantape_work.lt002_instrument WHERE ref_date='2025-06-30' AND nome_perimetro= 'Individual IDComb' AND segmento= 'ESTR' AND ambito= 'PM' AND entidade='00100' AND cod_visao = 1) B ON instrmnt_id_as_is = instrmnt_id_to_be WHERE coalesce(cast(dflt_stts_instrmnt_as_is as string), '') &lt;&gt; coalesce(cast(dflt_stts_instrmnt_to_be as string), '') ) A </v>
      </c>
      <c r="O152" s="19" t="str">
        <f t="shared" si="37"/>
        <v>SELECT 'Validação de campos' as tipologia_teste, 'lt002_instrument' AS TABELA, 'dflt_stts_instrmnt' AS CAMPO, '2025-06-30' as ref_date, coalesce(NUM_REG_DIF, 0) AS NUM_REG_DIF FROM (SELECT count(*) AS NUM_REG_DIF FROM (SELECT instrmnt_id as instrmnt_id_as_is, dflt_stts_instrmnt as dflt_stts_instrmnt_as_is FROM cd_loan_tapes_bce.lt002_instrument WHERE ref_date='2025-06-30' AND nome_perimetro= 'Individual IDComb' AND segmento= 'ESTR' AND ambito= 'PM' AND entidade='00100' AND cod_visao = 1) A  Inner join (SELECT instrmnt_id as instrmnt_id_to_be, dflt_stts_instrmnt as dflt_stts_instrmnt_to_be FROM bu_loantape_work.lt002_instrument WHERE ref_date='2025-06-30' AND nome_perimetro= 'Individual IDComb' AND segmento= 'ESTR' AND ambito= 'PM' AND entidade='00100' AND cod_visao = 1) B ON instrmnt_id_as_is = instrmnt_id_to_be WHERE coalesce(cast(dflt_stts_instrmnt_as_is as string), '') &lt;&gt; coalesce(cast(dflt_stts_instrmnt_to_be as string), '') ) A UNION ALL</v>
      </c>
      <c r="P152" s="17">
        <f t="shared" si="38"/>
        <v>13</v>
      </c>
    </row>
    <row r="153" spans="2:16" s="15" customFormat="1" ht="11.5" x14ac:dyDescent="0.25">
      <c r="B153" s="17" t="s">
        <v>24</v>
      </c>
      <c r="C153" s="17" t="str">
        <f>_xlfn.CONCAT(Instruções!$D$5,".",VLOOKUP(B153,Instruções!$F$5:$H$10,2,0))</f>
        <v>cd_loan_tapes_bce.lt002_instrument</v>
      </c>
      <c r="D153" s="17" t="str">
        <f>_xlfn.CONCAT(Instruções!$D$6,".",VLOOKUP(B153,Instruções!$F$5:$H$10,3,0))</f>
        <v>bu_loantape_work.lt002_instrument</v>
      </c>
      <c r="E153" s="17" t="s">
        <v>182</v>
      </c>
      <c r="F153" s="17" t="str">
        <f t="shared" si="34"/>
        <v>dpd_as_is</v>
      </c>
      <c r="G153" s="17" t="str">
        <f t="shared" si="35"/>
        <v>dpd_to_be</v>
      </c>
      <c r="H153" s="17" t="str">
        <f>IF(VLOOKUP(B153,Instruções!$F$6:$J$10,5,0)="",
"(SELECT "&amp;VLOOKUP(B153,Instruções!$F$6:$J$10,4,0)&amp;" as "&amp;VLOOKUP(B153,Instruções!$F$6:$J$10,4,0)&amp;"_as_is, "&amp;E153&amp;" as "&amp;F153&amp;" FROM "&amp;C153&amp;" WHERE "&amp;Instruções!$D$11&amp;") A ",
"(SELECT "&amp;VLOOKUP(B153,Instruções!$F$6:$J$10,4,0)&amp;" as "&amp;VLOOKUP(B153,Instruções!$F$6:$J$10,4,0)&amp;"_as_is, "&amp;VLOOKUP(B153,Instruções!$F$6:$J$10,5,0)&amp;" as "&amp;VLOOKUP(B153,Instruções!$F$6:$J$10,5,0)&amp;"_as_is,"&amp;E153&amp;" as "&amp;F153&amp;" FROM "&amp;C153&amp;" WHERE "&amp;Instruções!$D$11&amp;") A ")</f>
        <v xml:space="preserve">(SELECT instrmnt_id as instrmnt_id_as_is, dpd as dpd_as_is FROM cd_loan_tapes_bce.lt002_instrument WHERE ref_date='2025-06-30' AND nome_perimetro= 'Individual IDComb' AND segmento= 'ESTR' AND ambito= 'PM' AND entidade='00100' AND cod_visao = 1) A </v>
      </c>
      <c r="I153" s="17" t="str">
        <f>IF(VLOOKUP(B153,Instruções!$F$6:$J$10,5,0)="",
"(SELECT "&amp;VLOOKUP(B153,Instruções!$F$6:$J$10,4,0)&amp;" as "&amp;VLOOKUP(B153,Instruções!$F$6:$J$10,4,0)&amp;"_to_be, "&amp;E153&amp;" as "&amp;G153&amp;" FROM "&amp;D153&amp;" WHERE "&amp;Instruções!$D$11&amp;") B ",
"(SELECT "&amp;VLOOKUP(B153,Instruções!$F$6:$J$10,4,0)&amp;" as "&amp;VLOOKUP(B153,Instruções!$F$6:$J$10,4,0)&amp;"_to_be, "&amp;VLOOKUP(B153,Instruções!$F$6:$J$10,5,0)&amp;" as "&amp;VLOOKUP(B153,Instruções!$F$6:$J$10,5,0)&amp;"_to_be,"&amp;E153&amp;" as "&amp;G153&amp;" FROM "&amp;D153&amp;" WHERE "&amp;Instruções!$D$11&amp;") B ")</f>
        <v xml:space="preserve">(SELECT instrmnt_id as instrmnt_id_to_be, dpd as dpd_to_be FROM bu_loantape_work.lt002_instrument WHERE ref_date='2025-06-30' AND nome_perimetro= 'Individual IDComb' AND segmento= 'ESTR' AND ambito= 'PM' AND entidade='00100' AND cod_visao = 1) B </v>
      </c>
      <c r="J153" s="17" t="str">
        <f>IF(VLOOKUP(B153,Instruções!$F$6:$J$10,5,0)="",
"ON "&amp;VLOOKUP(B153,Instruções!$F$6:$J$10,4,0)&amp;"_as_is = "&amp;VLOOKUP(B153,Instruções!$F$6:$J$10,4,0)&amp;"_to_be ",
"ON "&amp;VLOOKUP(B153,Instruções!$F$6:$J$10,4,0)&amp;"_as_is = "&amp;VLOOKUP(B153,Instruções!$F$6:$J$10,4,0)&amp;"_to_be AND "&amp;VLOOKUP(B153,Instruções!$F$6:$J$10,5,0)&amp;"_as_is = "&amp;VLOOKUP(B153,Instruções!$F$6:$J$10,5,0)&amp;"_to_be ")</f>
        <v xml:space="preserve">ON instrmnt_id_as_is = instrmnt_id_to_be </v>
      </c>
      <c r="K153" s="17" t="str">
        <f t="shared" si="36"/>
        <v xml:space="preserve">WHERE coalesce(cast(dpd_as_is as string), '') &lt;&gt; coalesce(cast(dpd_to_be as string), '') </v>
      </c>
      <c r="L153" s="17" t="str">
        <f t="shared" si="39"/>
        <v xml:space="preserve">SELECT count(*) AS NUM_REG_DIF FROM (SELECT instrmnt_id as instrmnt_id_as_is, dpd as dpd_as_is FROM cd_loan_tapes_bce.lt002_instrument WHERE ref_date='2025-06-30' AND nome_perimetro= 'Individual IDComb' AND segmento= 'ESTR' AND ambito= 'PM' AND entidade='00100' AND cod_visao = 1) A  Inner join (SELECT instrmnt_id as instrmnt_id_to_be, dpd as dpd_to_be FROM bu_loantape_work.lt002_instrument WHERE ref_date='2025-06-30' AND nome_perimetro= 'Individual IDComb' AND segmento= 'ESTR' AND ambito= 'PM' AND entidade='00100' AND cod_visao = 1) B ON instrmnt_id_as_is = instrmnt_id_to_be WHERE coalesce(cast(dpd_as_is as string), '') &lt;&gt; coalesce(cast(dpd_to_be as string), '') </v>
      </c>
      <c r="M153" s="17" t="s">
        <v>48</v>
      </c>
      <c r="N153" s="17" t="str">
        <f>"SELECT 'Validação de campos' as tipologia_teste, '"&amp;VLOOKUP(B153,Instruções!$F$6:$J$10,3,0)&amp;"' AS TABELA, '"&amp;E153&amp;"' AS CAMPO, '"&amp;Instruções!$D$7&amp;"' as ref_date, coalesce(NUM_REG_DIF, 0) AS NUM_REG_DIF FROM ("&amp;L153&amp;") A "</f>
        <v xml:space="preserve">SELECT 'Validação de campos' as tipologia_teste, 'lt002_instrument' AS TABELA, 'dpd' AS CAMPO, '2025-06-30' as ref_date, coalesce(NUM_REG_DIF, 0) AS NUM_REG_DIF FROM (SELECT count(*) AS NUM_REG_DIF FROM (SELECT instrmnt_id as instrmnt_id_as_is, dpd as dpd_as_is FROM cd_loan_tapes_bce.lt002_instrument WHERE ref_date='2025-06-30' AND nome_perimetro= 'Individual IDComb' AND segmento= 'ESTR' AND ambito= 'PM' AND entidade='00100' AND cod_visao = 1) A  Inner join (SELECT instrmnt_id as instrmnt_id_to_be, dpd as dpd_to_be FROM bu_loantape_work.lt002_instrument WHERE ref_date='2025-06-30' AND nome_perimetro= 'Individual IDComb' AND segmento= 'ESTR' AND ambito= 'PM' AND entidade='00100' AND cod_visao = 1) B ON instrmnt_id_as_is = instrmnt_id_to_be WHERE coalesce(cast(dpd_as_is as string), '') &lt;&gt; coalesce(cast(dpd_to_be as string), '') ) A </v>
      </c>
      <c r="O153" s="19" t="str">
        <f t="shared" si="37"/>
        <v>SELECT 'Validação de campos' as tipologia_teste, 'lt002_instrument' AS TABELA, 'dpd' AS CAMPO, '2025-06-30' as ref_date, coalesce(NUM_REG_DIF, 0) AS NUM_REG_DIF FROM (SELECT count(*) AS NUM_REG_DIF FROM (SELECT instrmnt_id as instrmnt_id_as_is, dpd as dpd_as_is FROM cd_loan_tapes_bce.lt002_instrument WHERE ref_date='2025-06-30' AND nome_perimetro= 'Individual IDComb' AND segmento= 'ESTR' AND ambito= 'PM' AND entidade='00100' AND cod_visao = 1) A  Inner join (SELECT instrmnt_id as instrmnt_id_to_be, dpd as dpd_to_be FROM bu_loantape_work.lt002_instrument WHERE ref_date='2025-06-30' AND nome_perimetro= 'Individual IDComb' AND segmento= 'ESTR' AND ambito= 'PM' AND entidade='00100' AND cod_visao = 1) B ON instrmnt_id_as_is = instrmnt_id_to_be WHERE coalesce(cast(dpd_as_is as string), '') &lt;&gt; coalesce(cast(dpd_to_be as string), '') ) A UNION ALL</v>
      </c>
      <c r="P153" s="17">
        <f t="shared" si="38"/>
        <v>14</v>
      </c>
    </row>
    <row r="154" spans="2:16" s="15" customFormat="1" ht="11.5" x14ac:dyDescent="0.25">
      <c r="B154" s="17" t="s">
        <v>24</v>
      </c>
      <c r="C154" s="17" t="str">
        <f>_xlfn.CONCAT(Instruções!$D$5,".",VLOOKUP(B154,Instruções!$F$5:$H$10,2,0))</f>
        <v>cd_loan_tapes_bce.lt002_instrument</v>
      </c>
      <c r="D154" s="17" t="str">
        <f>_xlfn.CONCAT(Instruções!$D$6,".",VLOOKUP(B154,Instruções!$F$5:$H$10,3,0))</f>
        <v>bu_loantape_work.lt002_instrument</v>
      </c>
      <c r="E154" s="17" t="s">
        <v>183</v>
      </c>
      <c r="F154" s="17" t="str">
        <f t="shared" si="34"/>
        <v>dpd_12m_as_is</v>
      </c>
      <c r="G154" s="17" t="str">
        <f t="shared" si="35"/>
        <v>dpd_12m_to_be</v>
      </c>
      <c r="H154" s="17" t="str">
        <f>IF(VLOOKUP(B154,Instruções!$F$6:$J$10,5,0)="",
"(SELECT "&amp;VLOOKUP(B154,Instruções!$F$6:$J$10,4,0)&amp;" as "&amp;VLOOKUP(B154,Instruções!$F$6:$J$10,4,0)&amp;"_as_is, "&amp;E154&amp;" as "&amp;F154&amp;" FROM "&amp;C154&amp;" WHERE "&amp;Instruções!$D$11&amp;") A ",
"(SELECT "&amp;VLOOKUP(B154,Instruções!$F$6:$J$10,4,0)&amp;" as "&amp;VLOOKUP(B154,Instruções!$F$6:$J$10,4,0)&amp;"_as_is, "&amp;VLOOKUP(B154,Instruções!$F$6:$J$10,5,0)&amp;" as "&amp;VLOOKUP(B154,Instruções!$F$6:$J$10,5,0)&amp;"_as_is,"&amp;E154&amp;" as "&amp;F154&amp;" FROM "&amp;C154&amp;" WHERE "&amp;Instruções!$D$11&amp;") A ")</f>
        <v xml:space="preserve">(SELECT instrmnt_id as instrmnt_id_as_is, dpd_12m as dpd_12m_as_is FROM cd_loan_tapes_bce.lt002_instrument WHERE ref_date='2025-06-30' AND nome_perimetro= 'Individual IDComb' AND segmento= 'ESTR' AND ambito= 'PM' AND entidade='00100' AND cod_visao = 1) A </v>
      </c>
      <c r="I154" s="17" t="str">
        <f>IF(VLOOKUP(B154,Instruções!$F$6:$J$10,5,0)="",
"(SELECT "&amp;VLOOKUP(B154,Instruções!$F$6:$J$10,4,0)&amp;" as "&amp;VLOOKUP(B154,Instruções!$F$6:$J$10,4,0)&amp;"_to_be, "&amp;E154&amp;" as "&amp;G154&amp;" FROM "&amp;D154&amp;" WHERE "&amp;Instruções!$D$11&amp;") B ",
"(SELECT "&amp;VLOOKUP(B154,Instruções!$F$6:$J$10,4,0)&amp;" as "&amp;VLOOKUP(B154,Instruções!$F$6:$J$10,4,0)&amp;"_to_be, "&amp;VLOOKUP(B154,Instruções!$F$6:$J$10,5,0)&amp;" as "&amp;VLOOKUP(B154,Instruções!$F$6:$J$10,5,0)&amp;"_to_be,"&amp;E154&amp;" as "&amp;G154&amp;" FROM "&amp;D154&amp;" WHERE "&amp;Instruções!$D$11&amp;") B ")</f>
        <v xml:space="preserve">(SELECT instrmnt_id as instrmnt_id_to_be, dpd_12m as dpd_12m_to_be FROM bu_loantape_work.lt002_instrument WHERE ref_date='2025-06-30' AND nome_perimetro= 'Individual IDComb' AND segmento= 'ESTR' AND ambito= 'PM' AND entidade='00100' AND cod_visao = 1) B </v>
      </c>
      <c r="J154" s="17" t="str">
        <f>IF(VLOOKUP(B154,Instruções!$F$6:$J$10,5,0)="",
"ON "&amp;VLOOKUP(B154,Instruções!$F$6:$J$10,4,0)&amp;"_as_is = "&amp;VLOOKUP(B154,Instruções!$F$6:$J$10,4,0)&amp;"_to_be ",
"ON "&amp;VLOOKUP(B154,Instruções!$F$6:$J$10,4,0)&amp;"_as_is = "&amp;VLOOKUP(B154,Instruções!$F$6:$J$10,4,0)&amp;"_to_be AND "&amp;VLOOKUP(B154,Instruções!$F$6:$J$10,5,0)&amp;"_as_is = "&amp;VLOOKUP(B154,Instruções!$F$6:$J$10,5,0)&amp;"_to_be ")</f>
        <v xml:space="preserve">ON instrmnt_id_as_is = instrmnt_id_to_be </v>
      </c>
      <c r="K154" s="17" t="str">
        <f t="shared" si="36"/>
        <v xml:space="preserve">WHERE coalesce(cast(dpd_12m_as_is as string), '') &lt;&gt; coalesce(cast(dpd_12m_to_be as string), '') </v>
      </c>
      <c r="L154" s="17" t="str">
        <f t="shared" si="39"/>
        <v xml:space="preserve">SELECT count(*) AS NUM_REG_DIF FROM (SELECT instrmnt_id as instrmnt_id_as_is, dpd_12m as dpd_12m_as_is FROM cd_loan_tapes_bce.lt002_instrument WHERE ref_date='2025-06-30' AND nome_perimetro= 'Individual IDComb' AND segmento= 'ESTR' AND ambito= 'PM' AND entidade='00100' AND cod_visao = 1) A  Inner join (SELECT instrmnt_id as instrmnt_id_to_be, dpd_12m as dpd_12m_to_be FROM bu_loantape_work.lt002_instrument WHERE ref_date='2025-06-30' AND nome_perimetro= 'Individual IDComb' AND segmento= 'ESTR' AND ambito= 'PM' AND entidade='00100' AND cod_visao = 1) B ON instrmnt_id_as_is = instrmnt_id_to_be WHERE coalesce(cast(dpd_12m_as_is as string), '') &lt;&gt; coalesce(cast(dpd_12m_to_be as string), '') </v>
      </c>
      <c r="M154" s="17" t="s">
        <v>48</v>
      </c>
      <c r="N154" s="17" t="str">
        <f>"SELECT 'Validação de campos' as tipologia_teste, '"&amp;VLOOKUP(B154,Instruções!$F$6:$J$10,3,0)&amp;"' AS TABELA, '"&amp;E154&amp;"' AS CAMPO, '"&amp;Instruções!$D$7&amp;"' as ref_date, coalesce(NUM_REG_DIF, 0) AS NUM_REG_DIF FROM ("&amp;L154&amp;") A "</f>
        <v xml:space="preserve">SELECT 'Validação de campos' as tipologia_teste, 'lt002_instrument' AS TABELA, 'dpd_12m' AS CAMPO, '2025-06-30' as ref_date, coalesce(NUM_REG_DIF, 0) AS NUM_REG_DIF FROM (SELECT count(*) AS NUM_REG_DIF FROM (SELECT instrmnt_id as instrmnt_id_as_is, dpd_12m as dpd_12m_as_is FROM cd_loan_tapes_bce.lt002_instrument WHERE ref_date='2025-06-30' AND nome_perimetro= 'Individual IDComb' AND segmento= 'ESTR' AND ambito= 'PM' AND entidade='00100' AND cod_visao = 1) A  Inner join (SELECT instrmnt_id as instrmnt_id_to_be, dpd_12m as dpd_12m_to_be FROM bu_loantape_work.lt002_instrument WHERE ref_date='2025-06-30' AND nome_perimetro= 'Individual IDComb' AND segmento= 'ESTR' AND ambito= 'PM' AND entidade='00100' AND cod_visao = 1) B ON instrmnt_id_as_is = instrmnt_id_to_be WHERE coalesce(cast(dpd_12m_as_is as string), '') &lt;&gt; coalesce(cast(dpd_12m_to_be as string), '') ) A </v>
      </c>
      <c r="O154" s="19" t="str">
        <f t="shared" si="37"/>
        <v>SELECT 'Validação de campos' as tipologia_teste, 'lt002_instrument' AS TABELA, 'dpd_12m' AS CAMPO, '2025-06-30' as ref_date, coalesce(NUM_REG_DIF, 0) AS NUM_REG_DIF FROM (SELECT count(*) AS NUM_REG_DIF FROM (SELECT instrmnt_id as instrmnt_id_as_is, dpd_12m as dpd_12m_as_is FROM cd_loan_tapes_bce.lt002_instrument WHERE ref_date='2025-06-30' AND nome_perimetro= 'Individual IDComb' AND segmento= 'ESTR' AND ambito= 'PM' AND entidade='00100' AND cod_visao = 1) A  Inner join (SELECT instrmnt_id as instrmnt_id_to_be, dpd_12m as dpd_12m_to_be FROM bu_loantape_work.lt002_instrument WHERE ref_date='2025-06-30' AND nome_perimetro= 'Individual IDComb' AND segmento= 'ESTR' AND ambito= 'PM' AND entidade='00100' AND cod_visao = 1) B ON instrmnt_id_as_is = instrmnt_id_to_be WHERE coalesce(cast(dpd_12m_as_is as string), '') &lt;&gt; coalesce(cast(dpd_12m_to_be as string), '') ) A UNION ALL</v>
      </c>
      <c r="P154" s="17">
        <f t="shared" si="38"/>
        <v>15</v>
      </c>
    </row>
    <row r="155" spans="2:16" s="15" customFormat="1" ht="11.5" x14ac:dyDescent="0.25">
      <c r="B155" s="17" t="s">
        <v>24</v>
      </c>
      <c r="C155" s="17" t="str">
        <f>_xlfn.CONCAT(Instruções!$D$5,".",VLOOKUP(B155,Instruções!$F$5:$H$10,2,0))</f>
        <v>cd_loan_tapes_bce.lt002_instrument</v>
      </c>
      <c r="D155" s="17" t="str">
        <f>_xlfn.CONCAT(Instruções!$D$6,".",VLOOKUP(B155,Instruções!$F$5:$H$10,3,0))</f>
        <v>bu_loantape_work.lt002_instrument</v>
      </c>
      <c r="E155" s="17" t="s">
        <v>184</v>
      </c>
      <c r="F155" s="17" t="str">
        <f t="shared" si="34"/>
        <v>dpd_12m_frbrnc_stts_as_is</v>
      </c>
      <c r="G155" s="17" t="str">
        <f t="shared" si="35"/>
        <v>dpd_12m_frbrnc_stts_to_be</v>
      </c>
      <c r="H155" s="17" t="str">
        <f>IF(VLOOKUP(B155,Instruções!$F$6:$J$10,5,0)="",
"(SELECT "&amp;VLOOKUP(B155,Instruções!$F$6:$J$10,4,0)&amp;" as "&amp;VLOOKUP(B155,Instruções!$F$6:$J$10,4,0)&amp;"_as_is, "&amp;E155&amp;" as "&amp;F155&amp;" FROM "&amp;C155&amp;" WHERE "&amp;Instruções!$D$11&amp;") A ",
"(SELECT "&amp;VLOOKUP(B155,Instruções!$F$6:$J$10,4,0)&amp;" as "&amp;VLOOKUP(B155,Instruções!$F$6:$J$10,4,0)&amp;"_as_is, "&amp;VLOOKUP(B155,Instruções!$F$6:$J$10,5,0)&amp;" as "&amp;VLOOKUP(B155,Instruções!$F$6:$J$10,5,0)&amp;"_as_is,"&amp;E155&amp;" as "&amp;F155&amp;" FROM "&amp;C155&amp;" WHERE "&amp;Instruções!$D$11&amp;") A ")</f>
        <v xml:space="preserve">(SELECT instrmnt_id as instrmnt_id_as_is, dpd_12m_frbrnc_stts as dpd_12m_frbrnc_stts_as_is FROM cd_loan_tapes_bce.lt002_instrument WHERE ref_date='2025-06-30' AND nome_perimetro= 'Individual IDComb' AND segmento= 'ESTR' AND ambito= 'PM' AND entidade='00100' AND cod_visao = 1) A </v>
      </c>
      <c r="I155" s="17" t="str">
        <f>IF(VLOOKUP(B155,Instruções!$F$6:$J$10,5,0)="",
"(SELECT "&amp;VLOOKUP(B155,Instruções!$F$6:$J$10,4,0)&amp;" as "&amp;VLOOKUP(B155,Instruções!$F$6:$J$10,4,0)&amp;"_to_be, "&amp;E155&amp;" as "&amp;G155&amp;" FROM "&amp;D155&amp;" WHERE "&amp;Instruções!$D$11&amp;") B ",
"(SELECT "&amp;VLOOKUP(B155,Instruções!$F$6:$J$10,4,0)&amp;" as "&amp;VLOOKUP(B155,Instruções!$F$6:$J$10,4,0)&amp;"_to_be, "&amp;VLOOKUP(B155,Instruções!$F$6:$J$10,5,0)&amp;" as "&amp;VLOOKUP(B155,Instruções!$F$6:$J$10,5,0)&amp;"_to_be,"&amp;E155&amp;" as "&amp;G155&amp;" FROM "&amp;D155&amp;" WHERE "&amp;Instruções!$D$11&amp;") B ")</f>
        <v xml:space="preserve">(SELECT instrmnt_id as instrmnt_id_to_be, dpd_12m_frbrnc_stts as dpd_12m_frbrnc_stts_to_be FROM bu_loantape_work.lt002_instrument WHERE ref_date='2025-06-30' AND nome_perimetro= 'Individual IDComb' AND segmento= 'ESTR' AND ambito= 'PM' AND entidade='00100' AND cod_visao = 1) B </v>
      </c>
      <c r="J155" s="17" t="str">
        <f>IF(VLOOKUP(B155,Instruções!$F$6:$J$10,5,0)="",
"ON "&amp;VLOOKUP(B155,Instruções!$F$6:$J$10,4,0)&amp;"_as_is = "&amp;VLOOKUP(B155,Instruções!$F$6:$J$10,4,0)&amp;"_to_be ",
"ON "&amp;VLOOKUP(B155,Instruções!$F$6:$J$10,4,0)&amp;"_as_is = "&amp;VLOOKUP(B155,Instruções!$F$6:$J$10,4,0)&amp;"_to_be AND "&amp;VLOOKUP(B155,Instruções!$F$6:$J$10,5,0)&amp;"_as_is = "&amp;VLOOKUP(B155,Instruções!$F$6:$J$10,5,0)&amp;"_to_be ")</f>
        <v xml:space="preserve">ON instrmnt_id_as_is = instrmnt_id_to_be </v>
      </c>
      <c r="K155" s="17" t="str">
        <f t="shared" si="36"/>
        <v xml:space="preserve">WHERE coalesce(cast(dpd_12m_frbrnc_stts_as_is as string), '') &lt;&gt; coalesce(cast(dpd_12m_frbrnc_stts_to_be as string), '') </v>
      </c>
      <c r="L155" s="17" t="str">
        <f t="shared" si="39"/>
        <v xml:space="preserve">SELECT count(*) AS NUM_REG_DIF FROM (SELECT instrmnt_id as instrmnt_id_as_is, dpd_12m_frbrnc_stts as dpd_12m_frbrnc_stts_as_is FROM cd_loan_tapes_bce.lt002_instrument WHERE ref_date='2025-06-30' AND nome_perimetro= 'Individual IDComb' AND segmento= 'ESTR' AND ambito= 'PM' AND entidade='00100' AND cod_visao = 1) A  Inner join (SELECT instrmnt_id as instrmnt_id_to_be, dpd_12m_frbrnc_stts as dpd_12m_frbrnc_stts_to_be FROM bu_loantape_work.lt002_instrument WHERE ref_date='2025-06-30' AND nome_perimetro= 'Individual IDComb' AND segmento= 'ESTR' AND ambito= 'PM' AND entidade='00100' AND cod_visao = 1) B ON instrmnt_id_as_is = instrmnt_id_to_be WHERE coalesce(cast(dpd_12m_frbrnc_stts_as_is as string), '') &lt;&gt; coalesce(cast(dpd_12m_frbrnc_stts_to_be as string), '') </v>
      </c>
      <c r="M155" s="17" t="s">
        <v>48</v>
      </c>
      <c r="N155" s="17" t="str">
        <f>"SELECT 'Validação de campos' as tipologia_teste, '"&amp;VLOOKUP(B155,Instruções!$F$6:$J$10,3,0)&amp;"' AS TABELA, '"&amp;E155&amp;"' AS CAMPO, '"&amp;Instruções!$D$7&amp;"' as ref_date, coalesce(NUM_REG_DIF, 0) AS NUM_REG_DIF FROM ("&amp;L155&amp;") A "</f>
        <v xml:space="preserve">SELECT 'Validação de campos' as tipologia_teste, 'lt002_instrument' AS TABELA, 'dpd_12m_frbrnc_stts' AS CAMPO, '2025-06-30' as ref_date, coalesce(NUM_REG_DIF, 0) AS NUM_REG_DIF FROM (SELECT count(*) AS NUM_REG_DIF FROM (SELECT instrmnt_id as instrmnt_id_as_is, dpd_12m_frbrnc_stts as dpd_12m_frbrnc_stts_as_is FROM cd_loan_tapes_bce.lt002_instrument WHERE ref_date='2025-06-30' AND nome_perimetro= 'Individual IDComb' AND segmento= 'ESTR' AND ambito= 'PM' AND entidade='00100' AND cod_visao = 1) A  Inner join (SELECT instrmnt_id as instrmnt_id_to_be, dpd_12m_frbrnc_stts as dpd_12m_frbrnc_stts_to_be FROM bu_loantape_work.lt002_instrument WHERE ref_date='2025-06-30' AND nome_perimetro= 'Individual IDComb' AND segmento= 'ESTR' AND ambito= 'PM' AND entidade='00100' AND cod_visao = 1) B ON instrmnt_id_as_is = instrmnt_id_to_be WHERE coalesce(cast(dpd_12m_frbrnc_stts_as_is as string), '') &lt;&gt; coalesce(cast(dpd_12m_frbrnc_stts_to_be as string), '') ) A </v>
      </c>
      <c r="O155" s="19" t="str">
        <f t="shared" si="37"/>
        <v>SELECT 'Validação de campos' as tipologia_teste, 'lt002_instrument' AS TABELA, 'dpd_12m_frbrnc_stts' AS CAMPO, '2025-06-30' as ref_date, coalesce(NUM_REG_DIF, 0) AS NUM_REG_DIF FROM (SELECT count(*) AS NUM_REG_DIF FROM (SELECT instrmnt_id as instrmnt_id_as_is, dpd_12m_frbrnc_stts as dpd_12m_frbrnc_stts_as_is FROM cd_loan_tapes_bce.lt002_instrument WHERE ref_date='2025-06-30' AND nome_perimetro= 'Individual IDComb' AND segmento= 'ESTR' AND ambito= 'PM' AND entidade='00100' AND cod_visao = 1) A  Inner join (SELECT instrmnt_id as instrmnt_id_to_be, dpd_12m_frbrnc_stts as dpd_12m_frbrnc_stts_to_be FROM bu_loantape_work.lt002_instrument WHERE ref_date='2025-06-30' AND nome_perimetro= 'Individual IDComb' AND segmento= 'ESTR' AND ambito= 'PM' AND entidade='00100' AND cod_visao = 1) B ON instrmnt_id_as_is = instrmnt_id_to_be WHERE coalesce(cast(dpd_12m_frbrnc_stts_as_is as string), '') &lt;&gt; coalesce(cast(dpd_12m_frbrnc_stts_to_be as string), '') ) A UNION ALL</v>
      </c>
      <c r="P155" s="17">
        <f t="shared" si="38"/>
        <v>16</v>
      </c>
    </row>
    <row r="156" spans="2:16" s="15" customFormat="1" ht="11.5" x14ac:dyDescent="0.25">
      <c r="B156" s="17" t="s">
        <v>24</v>
      </c>
      <c r="C156" s="17" t="str">
        <f>_xlfn.CONCAT(Instruções!$D$5,".",VLOOKUP(B156,Instruções!$F$5:$H$10,2,0))</f>
        <v>cd_loan_tapes_bce.lt002_instrument</v>
      </c>
      <c r="D156" s="17" t="str">
        <f>_xlfn.CONCAT(Instruções!$D$6,".",VLOOKUP(B156,Instruções!$F$5:$H$10,3,0))</f>
        <v>bu_loantape_work.lt002_instrument</v>
      </c>
      <c r="E156" s="17" t="s">
        <v>185</v>
      </c>
      <c r="F156" s="17" t="str">
        <f t="shared" si="34"/>
        <v>dpd_12m_prfrmng_stts_as_is</v>
      </c>
      <c r="G156" s="17" t="str">
        <f t="shared" si="35"/>
        <v>dpd_12m_prfrmng_stts_to_be</v>
      </c>
      <c r="H156" s="17" t="str">
        <f>IF(VLOOKUP(B156,Instruções!$F$6:$J$10,5,0)="",
"(SELECT "&amp;VLOOKUP(B156,Instruções!$F$6:$J$10,4,0)&amp;" as "&amp;VLOOKUP(B156,Instruções!$F$6:$J$10,4,0)&amp;"_as_is, "&amp;E156&amp;" as "&amp;F156&amp;" FROM "&amp;C156&amp;" WHERE "&amp;Instruções!$D$11&amp;") A ",
"(SELECT "&amp;VLOOKUP(B156,Instruções!$F$6:$J$10,4,0)&amp;" as "&amp;VLOOKUP(B156,Instruções!$F$6:$J$10,4,0)&amp;"_as_is, "&amp;VLOOKUP(B156,Instruções!$F$6:$J$10,5,0)&amp;" as "&amp;VLOOKUP(B156,Instruções!$F$6:$J$10,5,0)&amp;"_as_is,"&amp;E156&amp;" as "&amp;F156&amp;" FROM "&amp;C156&amp;" WHERE "&amp;Instruções!$D$11&amp;") A ")</f>
        <v xml:space="preserve">(SELECT instrmnt_id as instrmnt_id_as_is, dpd_12m_prfrmng_stts as dpd_12m_prfrmng_stts_as_is FROM cd_loan_tapes_bce.lt002_instrument WHERE ref_date='2025-06-30' AND nome_perimetro= 'Individual IDComb' AND segmento= 'ESTR' AND ambito= 'PM' AND entidade='00100' AND cod_visao = 1) A </v>
      </c>
      <c r="I156" s="17" t="str">
        <f>IF(VLOOKUP(B156,Instruções!$F$6:$J$10,5,0)="",
"(SELECT "&amp;VLOOKUP(B156,Instruções!$F$6:$J$10,4,0)&amp;" as "&amp;VLOOKUP(B156,Instruções!$F$6:$J$10,4,0)&amp;"_to_be, "&amp;E156&amp;" as "&amp;G156&amp;" FROM "&amp;D156&amp;" WHERE "&amp;Instruções!$D$11&amp;") B ",
"(SELECT "&amp;VLOOKUP(B156,Instruções!$F$6:$J$10,4,0)&amp;" as "&amp;VLOOKUP(B156,Instruções!$F$6:$J$10,4,0)&amp;"_to_be, "&amp;VLOOKUP(B156,Instruções!$F$6:$J$10,5,0)&amp;" as "&amp;VLOOKUP(B156,Instruções!$F$6:$J$10,5,0)&amp;"_to_be,"&amp;E156&amp;" as "&amp;G156&amp;" FROM "&amp;D156&amp;" WHERE "&amp;Instruções!$D$11&amp;") B ")</f>
        <v xml:space="preserve">(SELECT instrmnt_id as instrmnt_id_to_be, dpd_12m_prfrmng_stts as dpd_12m_prfrmng_stts_to_be FROM bu_loantape_work.lt002_instrument WHERE ref_date='2025-06-30' AND nome_perimetro= 'Individual IDComb' AND segmento= 'ESTR' AND ambito= 'PM' AND entidade='00100' AND cod_visao = 1) B </v>
      </c>
      <c r="J156" s="17" t="str">
        <f>IF(VLOOKUP(B156,Instruções!$F$6:$J$10,5,0)="",
"ON "&amp;VLOOKUP(B156,Instruções!$F$6:$J$10,4,0)&amp;"_as_is = "&amp;VLOOKUP(B156,Instruções!$F$6:$J$10,4,0)&amp;"_to_be ",
"ON "&amp;VLOOKUP(B156,Instruções!$F$6:$J$10,4,0)&amp;"_as_is = "&amp;VLOOKUP(B156,Instruções!$F$6:$J$10,4,0)&amp;"_to_be AND "&amp;VLOOKUP(B156,Instruções!$F$6:$J$10,5,0)&amp;"_as_is = "&amp;VLOOKUP(B156,Instruções!$F$6:$J$10,5,0)&amp;"_to_be ")</f>
        <v xml:space="preserve">ON instrmnt_id_as_is = instrmnt_id_to_be </v>
      </c>
      <c r="K156" s="17" t="str">
        <f t="shared" si="36"/>
        <v xml:space="preserve">WHERE coalesce(cast(dpd_12m_prfrmng_stts_as_is as string), '') &lt;&gt; coalesce(cast(dpd_12m_prfrmng_stts_to_be as string), '') </v>
      </c>
      <c r="L156" s="17" t="str">
        <f t="shared" si="39"/>
        <v xml:space="preserve">SELECT count(*) AS NUM_REG_DIF FROM (SELECT instrmnt_id as instrmnt_id_as_is, dpd_12m_prfrmng_stts as dpd_12m_prfrmng_stts_as_is FROM cd_loan_tapes_bce.lt002_instrument WHERE ref_date='2025-06-30' AND nome_perimetro= 'Individual IDComb' AND segmento= 'ESTR' AND ambito= 'PM' AND entidade='00100' AND cod_visao = 1) A  Inner join (SELECT instrmnt_id as instrmnt_id_to_be, dpd_12m_prfrmng_stts as dpd_12m_prfrmng_stts_to_be FROM bu_loantape_work.lt002_instrument WHERE ref_date='2025-06-30' AND nome_perimetro= 'Individual IDComb' AND segmento= 'ESTR' AND ambito= 'PM' AND entidade='00100' AND cod_visao = 1) B ON instrmnt_id_as_is = instrmnt_id_to_be WHERE coalesce(cast(dpd_12m_prfrmng_stts_as_is as string), '') &lt;&gt; coalesce(cast(dpd_12m_prfrmng_stts_to_be as string), '') </v>
      </c>
      <c r="M156" s="17" t="s">
        <v>48</v>
      </c>
      <c r="N156" s="17" t="str">
        <f>"SELECT 'Validação de campos' as tipologia_teste, '"&amp;VLOOKUP(B156,Instruções!$F$6:$J$10,3,0)&amp;"' AS TABELA, '"&amp;E156&amp;"' AS CAMPO, '"&amp;Instruções!$D$7&amp;"' as ref_date, coalesce(NUM_REG_DIF, 0) AS NUM_REG_DIF FROM ("&amp;L156&amp;") A "</f>
        <v xml:space="preserve">SELECT 'Validação de campos' as tipologia_teste, 'lt002_instrument' AS TABELA, 'dpd_12m_prfrmng_stts' AS CAMPO, '2025-06-30' as ref_date, coalesce(NUM_REG_DIF, 0) AS NUM_REG_DIF FROM (SELECT count(*) AS NUM_REG_DIF FROM (SELECT instrmnt_id as instrmnt_id_as_is, dpd_12m_prfrmng_stts as dpd_12m_prfrmng_stts_as_is FROM cd_loan_tapes_bce.lt002_instrument WHERE ref_date='2025-06-30' AND nome_perimetro= 'Individual IDComb' AND segmento= 'ESTR' AND ambito= 'PM' AND entidade='00100' AND cod_visao = 1) A  Inner join (SELECT instrmnt_id as instrmnt_id_to_be, dpd_12m_prfrmng_stts as dpd_12m_prfrmng_stts_to_be FROM bu_loantape_work.lt002_instrument WHERE ref_date='2025-06-30' AND nome_perimetro= 'Individual IDComb' AND segmento= 'ESTR' AND ambito= 'PM' AND entidade='00100' AND cod_visao = 1) B ON instrmnt_id_as_is = instrmnt_id_to_be WHERE coalesce(cast(dpd_12m_prfrmng_stts_as_is as string), '') &lt;&gt; coalesce(cast(dpd_12m_prfrmng_stts_to_be as string), '') ) A </v>
      </c>
      <c r="O156" s="19" t="str">
        <f t="shared" si="37"/>
        <v>SELECT 'Validação de campos' as tipologia_teste, 'lt002_instrument' AS TABELA, 'dpd_12m_prfrmng_stts' AS CAMPO, '2025-06-30' as ref_date, coalesce(NUM_REG_DIF, 0) AS NUM_REG_DIF FROM (SELECT count(*) AS NUM_REG_DIF FROM (SELECT instrmnt_id as instrmnt_id_as_is, dpd_12m_prfrmng_stts as dpd_12m_prfrmng_stts_as_is FROM cd_loan_tapes_bce.lt002_instrument WHERE ref_date='2025-06-30' AND nome_perimetro= 'Individual IDComb' AND segmento= 'ESTR' AND ambito= 'PM' AND entidade='00100' AND cod_visao = 1) A  Inner join (SELECT instrmnt_id as instrmnt_id_to_be, dpd_12m_prfrmng_stts as dpd_12m_prfrmng_stts_to_be FROM bu_loantape_work.lt002_instrument WHERE ref_date='2025-06-30' AND nome_perimetro= 'Individual IDComb' AND segmento= 'ESTR' AND ambito= 'PM' AND entidade='00100' AND cod_visao = 1) B ON instrmnt_id_as_is = instrmnt_id_to_be WHERE coalesce(cast(dpd_12m_prfrmng_stts_as_is as string), '') &lt;&gt; coalesce(cast(dpd_12m_prfrmng_stts_to_be as string), '') ) A UNION ALL</v>
      </c>
      <c r="P156" s="17">
        <f t="shared" si="38"/>
        <v>17</v>
      </c>
    </row>
    <row r="157" spans="2:16" s="15" customFormat="1" ht="11.5" x14ac:dyDescent="0.25">
      <c r="B157" s="17" t="s">
        <v>24</v>
      </c>
      <c r="C157" s="17" t="str">
        <f>_xlfn.CONCAT(Instruções!$D$5,".",VLOOKUP(B157,Instruções!$F$5:$H$10,2,0))</f>
        <v>cd_loan_tapes_bce.lt002_instrument</v>
      </c>
      <c r="D157" s="17" t="str">
        <f>_xlfn.CONCAT(Instruções!$D$6,".",VLOOKUP(B157,Instruções!$F$5:$H$10,3,0))</f>
        <v>bu_loantape_work.lt002_instrument</v>
      </c>
      <c r="E157" s="17" t="s">
        <v>186</v>
      </c>
      <c r="F157" s="17" t="str">
        <f t="shared" si="34"/>
        <v>dpd_24m_frbrnc_stts_as_is</v>
      </c>
      <c r="G157" s="17" t="str">
        <f t="shared" si="35"/>
        <v>dpd_24m_frbrnc_stts_to_be</v>
      </c>
      <c r="H157" s="17" t="str">
        <f>IF(VLOOKUP(B157,Instruções!$F$6:$J$10,5,0)="",
"(SELECT "&amp;VLOOKUP(B157,Instruções!$F$6:$J$10,4,0)&amp;" as "&amp;VLOOKUP(B157,Instruções!$F$6:$J$10,4,0)&amp;"_as_is, "&amp;E157&amp;" as "&amp;F157&amp;" FROM "&amp;C157&amp;" WHERE "&amp;Instruções!$D$11&amp;") A ",
"(SELECT "&amp;VLOOKUP(B157,Instruções!$F$6:$J$10,4,0)&amp;" as "&amp;VLOOKUP(B157,Instruções!$F$6:$J$10,4,0)&amp;"_as_is, "&amp;VLOOKUP(B157,Instruções!$F$6:$J$10,5,0)&amp;" as "&amp;VLOOKUP(B157,Instruções!$F$6:$J$10,5,0)&amp;"_as_is,"&amp;E157&amp;" as "&amp;F157&amp;" FROM "&amp;C157&amp;" WHERE "&amp;Instruções!$D$11&amp;") A ")</f>
        <v xml:space="preserve">(SELECT instrmnt_id as instrmnt_id_as_is, dpd_24m_frbrnc_stts as dpd_24m_frbrnc_stts_as_is FROM cd_loan_tapes_bce.lt002_instrument WHERE ref_date='2025-06-30' AND nome_perimetro= 'Individual IDComb' AND segmento= 'ESTR' AND ambito= 'PM' AND entidade='00100' AND cod_visao = 1) A </v>
      </c>
      <c r="I157" s="17" t="str">
        <f>IF(VLOOKUP(B157,Instruções!$F$6:$J$10,5,0)="",
"(SELECT "&amp;VLOOKUP(B157,Instruções!$F$6:$J$10,4,0)&amp;" as "&amp;VLOOKUP(B157,Instruções!$F$6:$J$10,4,0)&amp;"_to_be, "&amp;E157&amp;" as "&amp;G157&amp;" FROM "&amp;D157&amp;" WHERE "&amp;Instruções!$D$11&amp;") B ",
"(SELECT "&amp;VLOOKUP(B157,Instruções!$F$6:$J$10,4,0)&amp;" as "&amp;VLOOKUP(B157,Instruções!$F$6:$J$10,4,0)&amp;"_to_be, "&amp;VLOOKUP(B157,Instruções!$F$6:$J$10,5,0)&amp;" as "&amp;VLOOKUP(B157,Instruções!$F$6:$J$10,5,0)&amp;"_to_be,"&amp;E157&amp;" as "&amp;G157&amp;" FROM "&amp;D157&amp;" WHERE "&amp;Instruções!$D$11&amp;") B ")</f>
        <v xml:space="preserve">(SELECT instrmnt_id as instrmnt_id_to_be, dpd_24m_frbrnc_stts as dpd_24m_frbrnc_stts_to_be FROM bu_loantape_work.lt002_instrument WHERE ref_date='2025-06-30' AND nome_perimetro= 'Individual IDComb' AND segmento= 'ESTR' AND ambito= 'PM' AND entidade='00100' AND cod_visao = 1) B </v>
      </c>
      <c r="J157" s="17" t="str">
        <f>IF(VLOOKUP(B157,Instruções!$F$6:$J$10,5,0)="",
"ON "&amp;VLOOKUP(B157,Instruções!$F$6:$J$10,4,0)&amp;"_as_is = "&amp;VLOOKUP(B157,Instruções!$F$6:$J$10,4,0)&amp;"_to_be ",
"ON "&amp;VLOOKUP(B157,Instruções!$F$6:$J$10,4,0)&amp;"_as_is = "&amp;VLOOKUP(B157,Instruções!$F$6:$J$10,4,0)&amp;"_to_be AND "&amp;VLOOKUP(B157,Instruções!$F$6:$J$10,5,0)&amp;"_as_is = "&amp;VLOOKUP(B157,Instruções!$F$6:$J$10,5,0)&amp;"_to_be ")</f>
        <v xml:space="preserve">ON instrmnt_id_as_is = instrmnt_id_to_be </v>
      </c>
      <c r="K157" s="17" t="str">
        <f t="shared" si="36"/>
        <v xml:space="preserve">WHERE coalesce(cast(dpd_24m_frbrnc_stts_as_is as string), '') &lt;&gt; coalesce(cast(dpd_24m_frbrnc_stts_to_be as string), '') </v>
      </c>
      <c r="L157" s="17" t="str">
        <f t="shared" si="39"/>
        <v xml:space="preserve">SELECT count(*) AS NUM_REG_DIF FROM (SELECT instrmnt_id as instrmnt_id_as_is, dpd_24m_frbrnc_stts as dpd_24m_frbrnc_stts_as_is FROM cd_loan_tapes_bce.lt002_instrument WHERE ref_date='2025-06-30' AND nome_perimetro= 'Individual IDComb' AND segmento= 'ESTR' AND ambito= 'PM' AND entidade='00100' AND cod_visao = 1) A  Inner join (SELECT instrmnt_id as instrmnt_id_to_be, dpd_24m_frbrnc_stts as dpd_24m_frbrnc_stts_to_be FROM bu_loantape_work.lt002_instrument WHERE ref_date='2025-06-30' AND nome_perimetro= 'Individual IDComb' AND segmento= 'ESTR' AND ambito= 'PM' AND entidade='00100' AND cod_visao = 1) B ON instrmnt_id_as_is = instrmnt_id_to_be WHERE coalesce(cast(dpd_24m_frbrnc_stts_as_is as string), '') &lt;&gt; coalesce(cast(dpd_24m_frbrnc_stts_to_be as string), '') </v>
      </c>
      <c r="M157" s="17" t="s">
        <v>48</v>
      </c>
      <c r="N157" s="17" t="str">
        <f>"SELECT 'Validação de campos' as tipologia_teste, '"&amp;VLOOKUP(B157,Instruções!$F$6:$J$10,3,0)&amp;"' AS TABELA, '"&amp;E157&amp;"' AS CAMPO, '"&amp;Instruções!$D$7&amp;"' as ref_date, coalesce(NUM_REG_DIF, 0) AS NUM_REG_DIF FROM ("&amp;L157&amp;") A "</f>
        <v xml:space="preserve">SELECT 'Validação de campos' as tipologia_teste, 'lt002_instrument' AS TABELA, 'dpd_24m_frbrnc_stts' AS CAMPO, '2025-06-30' as ref_date, coalesce(NUM_REG_DIF, 0) AS NUM_REG_DIF FROM (SELECT count(*) AS NUM_REG_DIF FROM (SELECT instrmnt_id as instrmnt_id_as_is, dpd_24m_frbrnc_stts as dpd_24m_frbrnc_stts_as_is FROM cd_loan_tapes_bce.lt002_instrument WHERE ref_date='2025-06-30' AND nome_perimetro= 'Individual IDComb' AND segmento= 'ESTR' AND ambito= 'PM' AND entidade='00100' AND cod_visao = 1) A  Inner join (SELECT instrmnt_id as instrmnt_id_to_be, dpd_24m_frbrnc_stts as dpd_24m_frbrnc_stts_to_be FROM bu_loantape_work.lt002_instrument WHERE ref_date='2025-06-30' AND nome_perimetro= 'Individual IDComb' AND segmento= 'ESTR' AND ambito= 'PM' AND entidade='00100' AND cod_visao = 1) B ON instrmnt_id_as_is = instrmnt_id_to_be WHERE coalesce(cast(dpd_24m_frbrnc_stts_as_is as string), '') &lt;&gt; coalesce(cast(dpd_24m_frbrnc_stts_to_be as string), '') ) A </v>
      </c>
      <c r="O157" s="19" t="str">
        <f t="shared" si="37"/>
        <v>SELECT 'Validação de campos' as tipologia_teste, 'lt002_instrument' AS TABELA, 'dpd_24m_frbrnc_stts' AS CAMPO, '2025-06-30' as ref_date, coalesce(NUM_REG_DIF, 0) AS NUM_REG_DIF FROM (SELECT count(*) AS NUM_REG_DIF FROM (SELECT instrmnt_id as instrmnt_id_as_is, dpd_24m_frbrnc_stts as dpd_24m_frbrnc_stts_as_is FROM cd_loan_tapes_bce.lt002_instrument WHERE ref_date='2025-06-30' AND nome_perimetro= 'Individual IDComb' AND segmento= 'ESTR' AND ambito= 'PM' AND entidade='00100' AND cod_visao = 1) A  Inner join (SELECT instrmnt_id as instrmnt_id_to_be, dpd_24m_frbrnc_stts as dpd_24m_frbrnc_stts_to_be FROM bu_loantape_work.lt002_instrument WHERE ref_date='2025-06-30' AND nome_perimetro= 'Individual IDComb' AND segmento= 'ESTR' AND ambito= 'PM' AND entidade='00100' AND cod_visao = 1) B ON instrmnt_id_as_is = instrmnt_id_to_be WHERE coalesce(cast(dpd_24m_frbrnc_stts_as_is as string), '') &lt;&gt; coalesce(cast(dpd_24m_frbrnc_stts_to_be as string), '') ) A UNION ALL</v>
      </c>
      <c r="P157" s="17">
        <f t="shared" si="38"/>
        <v>18</v>
      </c>
    </row>
    <row r="158" spans="2:16" s="15" customFormat="1" ht="11.5" x14ac:dyDescent="0.25">
      <c r="B158" s="17" t="s">
        <v>24</v>
      </c>
      <c r="C158" s="17" t="str">
        <f>_xlfn.CONCAT(Instruções!$D$5,".",VLOOKUP(B158,Instruções!$F$5:$H$10,2,0))</f>
        <v>cd_loan_tapes_bce.lt002_instrument</v>
      </c>
      <c r="D158" s="17" t="str">
        <f>_xlfn.CONCAT(Instruções!$D$6,".",VLOOKUP(B158,Instruções!$F$5:$H$10,3,0))</f>
        <v>bu_loantape_work.lt002_instrument</v>
      </c>
      <c r="E158" s="17" t="s">
        <v>187</v>
      </c>
      <c r="F158" s="17" t="str">
        <f t="shared" si="34"/>
        <v>dpd_24m_prfrmng_stts_as_is</v>
      </c>
      <c r="G158" s="17" t="str">
        <f t="shared" si="35"/>
        <v>dpd_24m_prfrmng_stts_to_be</v>
      </c>
      <c r="H158" s="17" t="str">
        <f>IF(VLOOKUP(B158,Instruções!$F$6:$J$10,5,0)="",
"(SELECT "&amp;VLOOKUP(B158,Instruções!$F$6:$J$10,4,0)&amp;" as "&amp;VLOOKUP(B158,Instruções!$F$6:$J$10,4,0)&amp;"_as_is, "&amp;E158&amp;" as "&amp;F158&amp;" FROM "&amp;C158&amp;" WHERE "&amp;Instruções!$D$11&amp;") A ",
"(SELECT "&amp;VLOOKUP(B158,Instruções!$F$6:$J$10,4,0)&amp;" as "&amp;VLOOKUP(B158,Instruções!$F$6:$J$10,4,0)&amp;"_as_is, "&amp;VLOOKUP(B158,Instruções!$F$6:$J$10,5,0)&amp;" as "&amp;VLOOKUP(B158,Instruções!$F$6:$J$10,5,0)&amp;"_as_is,"&amp;E158&amp;" as "&amp;F158&amp;" FROM "&amp;C158&amp;" WHERE "&amp;Instruções!$D$11&amp;") A ")</f>
        <v xml:space="preserve">(SELECT instrmnt_id as instrmnt_id_as_is, dpd_24m_prfrmng_stts as dpd_24m_prfrmng_stts_as_is FROM cd_loan_tapes_bce.lt002_instrument WHERE ref_date='2025-06-30' AND nome_perimetro= 'Individual IDComb' AND segmento= 'ESTR' AND ambito= 'PM' AND entidade='00100' AND cod_visao = 1) A </v>
      </c>
      <c r="I158" s="17" t="str">
        <f>IF(VLOOKUP(B158,Instruções!$F$6:$J$10,5,0)="",
"(SELECT "&amp;VLOOKUP(B158,Instruções!$F$6:$J$10,4,0)&amp;" as "&amp;VLOOKUP(B158,Instruções!$F$6:$J$10,4,0)&amp;"_to_be, "&amp;E158&amp;" as "&amp;G158&amp;" FROM "&amp;D158&amp;" WHERE "&amp;Instruções!$D$11&amp;") B ",
"(SELECT "&amp;VLOOKUP(B158,Instruções!$F$6:$J$10,4,0)&amp;" as "&amp;VLOOKUP(B158,Instruções!$F$6:$J$10,4,0)&amp;"_to_be, "&amp;VLOOKUP(B158,Instruções!$F$6:$J$10,5,0)&amp;" as "&amp;VLOOKUP(B158,Instruções!$F$6:$J$10,5,0)&amp;"_to_be,"&amp;E158&amp;" as "&amp;G158&amp;" FROM "&amp;D158&amp;" WHERE "&amp;Instruções!$D$11&amp;") B ")</f>
        <v xml:space="preserve">(SELECT instrmnt_id as instrmnt_id_to_be, dpd_24m_prfrmng_stts as dpd_24m_prfrmng_stts_to_be FROM bu_loantape_work.lt002_instrument WHERE ref_date='2025-06-30' AND nome_perimetro= 'Individual IDComb' AND segmento= 'ESTR' AND ambito= 'PM' AND entidade='00100' AND cod_visao = 1) B </v>
      </c>
      <c r="J158" s="17" t="str">
        <f>IF(VLOOKUP(B158,Instruções!$F$6:$J$10,5,0)="",
"ON "&amp;VLOOKUP(B158,Instruções!$F$6:$J$10,4,0)&amp;"_as_is = "&amp;VLOOKUP(B158,Instruções!$F$6:$J$10,4,0)&amp;"_to_be ",
"ON "&amp;VLOOKUP(B158,Instruções!$F$6:$J$10,4,0)&amp;"_as_is = "&amp;VLOOKUP(B158,Instruções!$F$6:$J$10,4,0)&amp;"_to_be AND "&amp;VLOOKUP(B158,Instruções!$F$6:$J$10,5,0)&amp;"_as_is = "&amp;VLOOKUP(B158,Instruções!$F$6:$J$10,5,0)&amp;"_to_be ")</f>
        <v xml:space="preserve">ON instrmnt_id_as_is = instrmnt_id_to_be </v>
      </c>
      <c r="K158" s="17" t="str">
        <f t="shared" si="36"/>
        <v xml:space="preserve">WHERE coalesce(cast(dpd_24m_prfrmng_stts_as_is as string), '') &lt;&gt; coalesce(cast(dpd_24m_prfrmng_stts_to_be as string), '') </v>
      </c>
      <c r="L158" s="17" t="str">
        <f t="shared" si="39"/>
        <v xml:space="preserve">SELECT count(*) AS NUM_REG_DIF FROM (SELECT instrmnt_id as instrmnt_id_as_is, dpd_24m_prfrmng_stts as dpd_24m_prfrmng_stts_as_is FROM cd_loan_tapes_bce.lt002_instrument WHERE ref_date='2025-06-30' AND nome_perimetro= 'Individual IDComb' AND segmento= 'ESTR' AND ambito= 'PM' AND entidade='00100' AND cod_visao = 1) A  Inner join (SELECT instrmnt_id as instrmnt_id_to_be, dpd_24m_prfrmng_stts as dpd_24m_prfrmng_stts_to_be FROM bu_loantape_work.lt002_instrument WHERE ref_date='2025-06-30' AND nome_perimetro= 'Individual IDComb' AND segmento= 'ESTR' AND ambito= 'PM' AND entidade='00100' AND cod_visao = 1) B ON instrmnt_id_as_is = instrmnt_id_to_be WHERE coalesce(cast(dpd_24m_prfrmng_stts_as_is as string), '') &lt;&gt; coalesce(cast(dpd_24m_prfrmng_stts_to_be as string), '') </v>
      </c>
      <c r="M158" s="17" t="s">
        <v>48</v>
      </c>
      <c r="N158" s="17" t="str">
        <f>"SELECT 'Validação de campos' as tipologia_teste, '"&amp;VLOOKUP(B158,Instruções!$F$6:$J$10,3,0)&amp;"' AS TABELA, '"&amp;E158&amp;"' AS CAMPO, '"&amp;Instruções!$D$7&amp;"' as ref_date, coalesce(NUM_REG_DIF, 0) AS NUM_REG_DIF FROM ("&amp;L158&amp;") A "</f>
        <v xml:space="preserve">SELECT 'Validação de campos' as tipologia_teste, 'lt002_instrument' AS TABELA, 'dpd_24m_prfrmng_stts' AS CAMPO, '2025-06-30' as ref_date, coalesce(NUM_REG_DIF, 0) AS NUM_REG_DIF FROM (SELECT count(*) AS NUM_REG_DIF FROM (SELECT instrmnt_id as instrmnt_id_as_is, dpd_24m_prfrmng_stts as dpd_24m_prfrmng_stts_as_is FROM cd_loan_tapes_bce.lt002_instrument WHERE ref_date='2025-06-30' AND nome_perimetro= 'Individual IDComb' AND segmento= 'ESTR' AND ambito= 'PM' AND entidade='00100' AND cod_visao = 1) A  Inner join (SELECT instrmnt_id as instrmnt_id_to_be, dpd_24m_prfrmng_stts as dpd_24m_prfrmng_stts_to_be FROM bu_loantape_work.lt002_instrument WHERE ref_date='2025-06-30' AND nome_perimetro= 'Individual IDComb' AND segmento= 'ESTR' AND ambito= 'PM' AND entidade='00100' AND cod_visao = 1) B ON instrmnt_id_as_is = instrmnt_id_to_be WHERE coalesce(cast(dpd_24m_prfrmng_stts_as_is as string), '') &lt;&gt; coalesce(cast(dpd_24m_prfrmng_stts_to_be as string), '') ) A </v>
      </c>
      <c r="O158" s="19" t="str">
        <f t="shared" si="37"/>
        <v>SELECT 'Validação de campos' as tipologia_teste, 'lt002_instrument' AS TABELA, 'dpd_24m_prfrmng_stts' AS CAMPO, '2025-06-30' as ref_date, coalesce(NUM_REG_DIF, 0) AS NUM_REG_DIF FROM (SELECT count(*) AS NUM_REG_DIF FROM (SELECT instrmnt_id as instrmnt_id_as_is, dpd_24m_prfrmng_stts as dpd_24m_prfrmng_stts_as_is FROM cd_loan_tapes_bce.lt002_instrument WHERE ref_date='2025-06-30' AND nome_perimetro= 'Individual IDComb' AND segmento= 'ESTR' AND ambito= 'PM' AND entidade='00100' AND cod_visao = 1) A  Inner join (SELECT instrmnt_id as instrmnt_id_to_be, dpd_24m_prfrmng_stts as dpd_24m_prfrmng_stts_to_be FROM bu_loantape_work.lt002_instrument WHERE ref_date='2025-06-30' AND nome_perimetro= 'Individual IDComb' AND segmento= 'ESTR' AND ambito= 'PM' AND entidade='00100' AND cod_visao = 1) B ON instrmnt_id_as_is = instrmnt_id_to_be WHERE coalesce(cast(dpd_24m_prfrmng_stts_as_is as string), '') &lt;&gt; coalesce(cast(dpd_24m_prfrmng_stts_to_be as string), '') ) A UNION ALL</v>
      </c>
      <c r="P158" s="17">
        <f t="shared" si="38"/>
        <v>19</v>
      </c>
    </row>
    <row r="159" spans="2:16" s="15" customFormat="1" ht="11.5" x14ac:dyDescent="0.25">
      <c r="B159" s="17" t="s">
        <v>24</v>
      </c>
      <c r="C159" s="17" t="str">
        <f>_xlfn.CONCAT(Instruções!$D$5,".",VLOOKUP(B159,Instruções!$F$5:$H$10,2,0))</f>
        <v>cd_loan_tapes_bce.lt002_instrument</v>
      </c>
      <c r="D159" s="17" t="str">
        <f>_xlfn.CONCAT(Instruções!$D$6,".",VLOOKUP(B159,Instruções!$F$5:$H$10,3,0))</f>
        <v>bu_loantape_work.lt002_instrument</v>
      </c>
      <c r="E159" s="17" t="s">
        <v>188</v>
      </c>
      <c r="F159" s="17" t="str">
        <f t="shared" si="34"/>
        <v>dpd_frbrnc_stts_as_is</v>
      </c>
      <c r="G159" s="17" t="str">
        <f t="shared" si="35"/>
        <v>dpd_frbrnc_stts_to_be</v>
      </c>
      <c r="H159" s="17" t="str">
        <f>IF(VLOOKUP(B159,Instruções!$F$6:$J$10,5,0)="",
"(SELECT "&amp;VLOOKUP(B159,Instruções!$F$6:$J$10,4,0)&amp;" as "&amp;VLOOKUP(B159,Instruções!$F$6:$J$10,4,0)&amp;"_as_is, "&amp;E159&amp;" as "&amp;F159&amp;" FROM "&amp;C159&amp;" WHERE "&amp;Instruções!$D$11&amp;") A ",
"(SELECT "&amp;VLOOKUP(B159,Instruções!$F$6:$J$10,4,0)&amp;" as "&amp;VLOOKUP(B159,Instruções!$F$6:$J$10,4,0)&amp;"_as_is, "&amp;VLOOKUP(B159,Instruções!$F$6:$J$10,5,0)&amp;" as "&amp;VLOOKUP(B159,Instruções!$F$6:$J$10,5,0)&amp;"_as_is,"&amp;E159&amp;" as "&amp;F159&amp;" FROM "&amp;C159&amp;" WHERE "&amp;Instruções!$D$11&amp;") A ")</f>
        <v xml:space="preserve">(SELECT instrmnt_id as instrmnt_id_as_is, dpd_frbrnc_stts as dpd_frbrnc_stts_as_is FROM cd_loan_tapes_bce.lt002_instrument WHERE ref_date='2025-06-30' AND nome_perimetro= 'Individual IDComb' AND segmento= 'ESTR' AND ambito= 'PM' AND entidade='00100' AND cod_visao = 1) A </v>
      </c>
      <c r="I159" s="17" t="str">
        <f>IF(VLOOKUP(B159,Instruções!$F$6:$J$10,5,0)="",
"(SELECT "&amp;VLOOKUP(B159,Instruções!$F$6:$J$10,4,0)&amp;" as "&amp;VLOOKUP(B159,Instruções!$F$6:$J$10,4,0)&amp;"_to_be, "&amp;E159&amp;" as "&amp;G159&amp;" FROM "&amp;D159&amp;" WHERE "&amp;Instruções!$D$11&amp;") B ",
"(SELECT "&amp;VLOOKUP(B159,Instruções!$F$6:$J$10,4,0)&amp;" as "&amp;VLOOKUP(B159,Instruções!$F$6:$J$10,4,0)&amp;"_to_be, "&amp;VLOOKUP(B159,Instruções!$F$6:$J$10,5,0)&amp;" as "&amp;VLOOKUP(B159,Instruções!$F$6:$J$10,5,0)&amp;"_to_be,"&amp;E159&amp;" as "&amp;G159&amp;" FROM "&amp;D159&amp;" WHERE "&amp;Instruções!$D$11&amp;") B ")</f>
        <v xml:space="preserve">(SELECT instrmnt_id as instrmnt_id_to_be, dpd_frbrnc_stts as dpd_frbrnc_stts_to_be FROM bu_loantape_work.lt002_instrument WHERE ref_date='2025-06-30' AND nome_perimetro= 'Individual IDComb' AND segmento= 'ESTR' AND ambito= 'PM' AND entidade='00100' AND cod_visao = 1) B </v>
      </c>
      <c r="J159" s="17" t="str">
        <f>IF(VLOOKUP(B159,Instruções!$F$6:$J$10,5,0)="",
"ON "&amp;VLOOKUP(B159,Instruções!$F$6:$J$10,4,0)&amp;"_as_is = "&amp;VLOOKUP(B159,Instruções!$F$6:$J$10,4,0)&amp;"_to_be ",
"ON "&amp;VLOOKUP(B159,Instruções!$F$6:$J$10,4,0)&amp;"_as_is = "&amp;VLOOKUP(B159,Instruções!$F$6:$J$10,4,0)&amp;"_to_be AND "&amp;VLOOKUP(B159,Instruções!$F$6:$J$10,5,0)&amp;"_as_is = "&amp;VLOOKUP(B159,Instruções!$F$6:$J$10,5,0)&amp;"_to_be ")</f>
        <v xml:space="preserve">ON instrmnt_id_as_is = instrmnt_id_to_be </v>
      </c>
      <c r="K159" s="17" t="str">
        <f t="shared" si="36"/>
        <v xml:space="preserve">WHERE coalesce(cast(dpd_frbrnc_stts_as_is as string), '') &lt;&gt; coalesce(cast(dpd_frbrnc_stts_to_be as string), '') </v>
      </c>
      <c r="L159" s="17" t="str">
        <f t="shared" si="39"/>
        <v xml:space="preserve">SELECT count(*) AS NUM_REG_DIF FROM (SELECT instrmnt_id as instrmnt_id_as_is, dpd_frbrnc_stts as dpd_frbrnc_stts_as_is FROM cd_loan_tapes_bce.lt002_instrument WHERE ref_date='2025-06-30' AND nome_perimetro= 'Individual IDComb' AND segmento= 'ESTR' AND ambito= 'PM' AND entidade='00100' AND cod_visao = 1) A  Inner join (SELECT instrmnt_id as instrmnt_id_to_be, dpd_frbrnc_stts as dpd_frbrnc_stts_to_be FROM bu_loantape_work.lt002_instrument WHERE ref_date='2025-06-30' AND nome_perimetro= 'Individual IDComb' AND segmento= 'ESTR' AND ambito= 'PM' AND entidade='00100' AND cod_visao = 1) B ON instrmnt_id_as_is = instrmnt_id_to_be WHERE coalesce(cast(dpd_frbrnc_stts_as_is as string), '') &lt;&gt; coalesce(cast(dpd_frbrnc_stts_to_be as string), '') </v>
      </c>
      <c r="M159" s="17" t="s">
        <v>48</v>
      </c>
      <c r="N159" s="17" t="str">
        <f>"SELECT 'Validação de campos' as tipologia_teste, '"&amp;VLOOKUP(B159,Instruções!$F$6:$J$10,3,0)&amp;"' AS TABELA, '"&amp;E159&amp;"' AS CAMPO, '"&amp;Instruções!$D$7&amp;"' as ref_date, coalesce(NUM_REG_DIF, 0) AS NUM_REG_DIF FROM ("&amp;L159&amp;") A "</f>
        <v xml:space="preserve">SELECT 'Validação de campos' as tipologia_teste, 'lt002_instrument' AS TABELA, 'dpd_frbrnc_stts' AS CAMPO, '2025-06-30' as ref_date, coalesce(NUM_REG_DIF, 0) AS NUM_REG_DIF FROM (SELECT count(*) AS NUM_REG_DIF FROM (SELECT instrmnt_id as instrmnt_id_as_is, dpd_frbrnc_stts as dpd_frbrnc_stts_as_is FROM cd_loan_tapes_bce.lt002_instrument WHERE ref_date='2025-06-30' AND nome_perimetro= 'Individual IDComb' AND segmento= 'ESTR' AND ambito= 'PM' AND entidade='00100' AND cod_visao = 1) A  Inner join (SELECT instrmnt_id as instrmnt_id_to_be, dpd_frbrnc_stts as dpd_frbrnc_stts_to_be FROM bu_loantape_work.lt002_instrument WHERE ref_date='2025-06-30' AND nome_perimetro= 'Individual IDComb' AND segmento= 'ESTR' AND ambito= 'PM' AND entidade='00100' AND cod_visao = 1) B ON instrmnt_id_as_is = instrmnt_id_to_be WHERE coalesce(cast(dpd_frbrnc_stts_as_is as string), '') &lt;&gt; coalesce(cast(dpd_frbrnc_stts_to_be as string), '') ) A </v>
      </c>
      <c r="O159" s="19" t="str">
        <f t="shared" si="37"/>
        <v>SELECT 'Validação de campos' as tipologia_teste, 'lt002_instrument' AS TABELA, 'dpd_frbrnc_stts' AS CAMPO, '2025-06-30' as ref_date, coalesce(NUM_REG_DIF, 0) AS NUM_REG_DIF FROM (SELECT count(*) AS NUM_REG_DIF FROM (SELECT instrmnt_id as instrmnt_id_as_is, dpd_frbrnc_stts as dpd_frbrnc_stts_as_is FROM cd_loan_tapes_bce.lt002_instrument WHERE ref_date='2025-06-30' AND nome_perimetro= 'Individual IDComb' AND segmento= 'ESTR' AND ambito= 'PM' AND entidade='00100' AND cod_visao = 1) A  Inner join (SELECT instrmnt_id as instrmnt_id_to_be, dpd_frbrnc_stts as dpd_frbrnc_stts_to_be FROM bu_loantape_work.lt002_instrument WHERE ref_date='2025-06-30' AND nome_perimetro= 'Individual IDComb' AND segmento= 'ESTR' AND ambito= 'PM' AND entidade='00100' AND cod_visao = 1) B ON instrmnt_id_as_is = instrmnt_id_to_be WHERE coalesce(cast(dpd_frbrnc_stts_as_is as string), '') &lt;&gt; coalesce(cast(dpd_frbrnc_stts_to_be as string), '') ) A UNION ALL</v>
      </c>
      <c r="P159" s="17">
        <f t="shared" si="38"/>
        <v>20</v>
      </c>
    </row>
    <row r="160" spans="2:16" s="15" customFormat="1" ht="11.5" x14ac:dyDescent="0.25">
      <c r="B160" s="17" t="s">
        <v>24</v>
      </c>
      <c r="C160" s="17" t="str">
        <f>_xlfn.CONCAT(Instruções!$D$5,".",VLOOKUP(B160,Instruções!$F$5:$H$10,2,0))</f>
        <v>cd_loan_tapes_bce.lt002_instrument</v>
      </c>
      <c r="D160" s="17" t="str">
        <f>_xlfn.CONCAT(Instruções!$D$6,".",VLOOKUP(B160,Instruções!$F$5:$H$10,3,0))</f>
        <v>bu_loantape_work.lt002_instrument</v>
      </c>
      <c r="E160" s="17" t="s">
        <v>189</v>
      </c>
      <c r="F160" s="17" t="str">
        <f t="shared" si="34"/>
        <v>dpd_prfrmng_stts_as_is</v>
      </c>
      <c r="G160" s="17" t="str">
        <f t="shared" si="35"/>
        <v>dpd_prfrmng_stts_to_be</v>
      </c>
      <c r="H160" s="17" t="str">
        <f>IF(VLOOKUP(B160,Instruções!$F$6:$J$10,5,0)="",
"(SELECT "&amp;VLOOKUP(B160,Instruções!$F$6:$J$10,4,0)&amp;" as "&amp;VLOOKUP(B160,Instruções!$F$6:$J$10,4,0)&amp;"_as_is, "&amp;E160&amp;" as "&amp;F160&amp;" FROM "&amp;C160&amp;" WHERE "&amp;Instruções!$D$11&amp;") A ",
"(SELECT "&amp;VLOOKUP(B160,Instruções!$F$6:$J$10,4,0)&amp;" as "&amp;VLOOKUP(B160,Instruções!$F$6:$J$10,4,0)&amp;"_as_is, "&amp;VLOOKUP(B160,Instruções!$F$6:$J$10,5,0)&amp;" as "&amp;VLOOKUP(B160,Instruções!$F$6:$J$10,5,0)&amp;"_as_is,"&amp;E160&amp;" as "&amp;F160&amp;" FROM "&amp;C160&amp;" WHERE "&amp;Instruções!$D$11&amp;") A ")</f>
        <v xml:space="preserve">(SELECT instrmnt_id as instrmnt_id_as_is, dpd_prfrmng_stts as dpd_prfrmng_stts_as_is FROM cd_loan_tapes_bce.lt002_instrument WHERE ref_date='2025-06-30' AND nome_perimetro= 'Individual IDComb' AND segmento= 'ESTR' AND ambito= 'PM' AND entidade='00100' AND cod_visao = 1) A </v>
      </c>
      <c r="I160" s="17" t="str">
        <f>IF(VLOOKUP(B160,Instruções!$F$6:$J$10,5,0)="",
"(SELECT "&amp;VLOOKUP(B160,Instruções!$F$6:$J$10,4,0)&amp;" as "&amp;VLOOKUP(B160,Instruções!$F$6:$J$10,4,0)&amp;"_to_be, "&amp;E160&amp;" as "&amp;G160&amp;" FROM "&amp;D160&amp;" WHERE "&amp;Instruções!$D$11&amp;") B ",
"(SELECT "&amp;VLOOKUP(B160,Instruções!$F$6:$J$10,4,0)&amp;" as "&amp;VLOOKUP(B160,Instruções!$F$6:$J$10,4,0)&amp;"_to_be, "&amp;VLOOKUP(B160,Instruções!$F$6:$J$10,5,0)&amp;" as "&amp;VLOOKUP(B160,Instruções!$F$6:$J$10,5,0)&amp;"_to_be,"&amp;E160&amp;" as "&amp;G160&amp;" FROM "&amp;D160&amp;" WHERE "&amp;Instruções!$D$11&amp;") B ")</f>
        <v xml:space="preserve">(SELECT instrmnt_id as instrmnt_id_to_be, dpd_prfrmng_stts as dpd_prfrmng_stts_to_be FROM bu_loantape_work.lt002_instrument WHERE ref_date='2025-06-30' AND nome_perimetro= 'Individual IDComb' AND segmento= 'ESTR' AND ambito= 'PM' AND entidade='00100' AND cod_visao = 1) B </v>
      </c>
      <c r="J160" s="17" t="str">
        <f>IF(VLOOKUP(B160,Instruções!$F$6:$J$10,5,0)="",
"ON "&amp;VLOOKUP(B160,Instruções!$F$6:$J$10,4,0)&amp;"_as_is = "&amp;VLOOKUP(B160,Instruções!$F$6:$J$10,4,0)&amp;"_to_be ",
"ON "&amp;VLOOKUP(B160,Instruções!$F$6:$J$10,4,0)&amp;"_as_is = "&amp;VLOOKUP(B160,Instruções!$F$6:$J$10,4,0)&amp;"_to_be AND "&amp;VLOOKUP(B160,Instruções!$F$6:$J$10,5,0)&amp;"_as_is = "&amp;VLOOKUP(B160,Instruções!$F$6:$J$10,5,0)&amp;"_to_be ")</f>
        <v xml:space="preserve">ON instrmnt_id_as_is = instrmnt_id_to_be </v>
      </c>
      <c r="K160" s="17" t="str">
        <f t="shared" si="36"/>
        <v xml:space="preserve">WHERE coalesce(cast(dpd_prfrmng_stts_as_is as string), '') &lt;&gt; coalesce(cast(dpd_prfrmng_stts_to_be as string), '') </v>
      </c>
      <c r="L160" s="17" t="str">
        <f t="shared" si="39"/>
        <v xml:space="preserve">SELECT count(*) AS NUM_REG_DIF FROM (SELECT instrmnt_id as instrmnt_id_as_is, dpd_prfrmng_stts as dpd_prfrmng_stts_as_is FROM cd_loan_tapes_bce.lt002_instrument WHERE ref_date='2025-06-30' AND nome_perimetro= 'Individual IDComb' AND segmento= 'ESTR' AND ambito= 'PM' AND entidade='00100' AND cod_visao = 1) A  Inner join (SELECT instrmnt_id as instrmnt_id_to_be, dpd_prfrmng_stts as dpd_prfrmng_stts_to_be FROM bu_loantape_work.lt002_instrument WHERE ref_date='2025-06-30' AND nome_perimetro= 'Individual IDComb' AND segmento= 'ESTR' AND ambito= 'PM' AND entidade='00100' AND cod_visao = 1) B ON instrmnt_id_as_is = instrmnt_id_to_be WHERE coalesce(cast(dpd_prfrmng_stts_as_is as string), '') &lt;&gt; coalesce(cast(dpd_prfrmng_stts_to_be as string), '') </v>
      </c>
      <c r="M160" s="17" t="s">
        <v>48</v>
      </c>
      <c r="N160" s="17" t="str">
        <f>"SELECT 'Validação de campos' as tipologia_teste, '"&amp;VLOOKUP(B160,Instruções!$F$6:$J$10,3,0)&amp;"' AS TABELA, '"&amp;E160&amp;"' AS CAMPO, '"&amp;Instruções!$D$7&amp;"' as ref_date, coalesce(NUM_REG_DIF, 0) AS NUM_REG_DIF FROM ("&amp;L160&amp;") A "</f>
        <v xml:space="preserve">SELECT 'Validação de campos' as tipologia_teste, 'lt002_instrument' AS TABELA, 'dpd_prfrmng_stts' AS CAMPO, '2025-06-30' as ref_date, coalesce(NUM_REG_DIF, 0) AS NUM_REG_DIF FROM (SELECT count(*) AS NUM_REG_DIF FROM (SELECT instrmnt_id as instrmnt_id_as_is, dpd_prfrmng_stts as dpd_prfrmng_stts_as_is FROM cd_loan_tapes_bce.lt002_instrument WHERE ref_date='2025-06-30' AND nome_perimetro= 'Individual IDComb' AND segmento= 'ESTR' AND ambito= 'PM' AND entidade='00100' AND cod_visao = 1) A  Inner join (SELECT instrmnt_id as instrmnt_id_to_be, dpd_prfrmng_stts as dpd_prfrmng_stts_to_be FROM bu_loantape_work.lt002_instrument WHERE ref_date='2025-06-30' AND nome_perimetro= 'Individual IDComb' AND segmento= 'ESTR' AND ambito= 'PM' AND entidade='00100' AND cod_visao = 1) B ON instrmnt_id_as_is = instrmnt_id_to_be WHERE coalesce(cast(dpd_prfrmng_stts_as_is as string), '') &lt;&gt; coalesce(cast(dpd_prfrmng_stts_to_be as string), '') ) A </v>
      </c>
      <c r="O160" s="19" t="str">
        <f t="shared" si="37"/>
        <v>SELECT 'Validação de campos' as tipologia_teste, 'lt002_instrument' AS TABELA, 'dpd_prfrmng_stts' AS CAMPO, '2025-06-30' as ref_date, coalesce(NUM_REG_DIF, 0) AS NUM_REG_DIF FROM (SELECT count(*) AS NUM_REG_DIF FROM (SELECT instrmnt_id as instrmnt_id_as_is, dpd_prfrmng_stts as dpd_prfrmng_stts_as_is FROM cd_loan_tapes_bce.lt002_instrument WHERE ref_date='2025-06-30' AND nome_perimetro= 'Individual IDComb' AND segmento= 'ESTR' AND ambito= 'PM' AND entidade='00100' AND cod_visao = 1) A  Inner join (SELECT instrmnt_id as instrmnt_id_to_be, dpd_prfrmng_stts as dpd_prfrmng_stts_to_be FROM bu_loantape_work.lt002_instrument WHERE ref_date='2025-06-30' AND nome_perimetro= 'Individual IDComb' AND segmento= 'ESTR' AND ambito= 'PM' AND entidade='00100' AND cod_visao = 1) B ON instrmnt_id_as_is = instrmnt_id_to_be WHERE coalesce(cast(dpd_prfrmng_stts_as_is as string), '') &lt;&gt; coalesce(cast(dpd_prfrmng_stts_to_be as string), '') ) A UNION ALL</v>
      </c>
      <c r="P160" s="17">
        <f t="shared" si="38"/>
        <v>21</v>
      </c>
    </row>
    <row r="161" spans="2:16" s="15" customFormat="1" ht="11.5" x14ac:dyDescent="0.25">
      <c r="B161" s="17" t="s">
        <v>24</v>
      </c>
      <c r="C161" s="17" t="str">
        <f>_xlfn.CONCAT(Instruções!$D$5,".",VLOOKUP(B161,Instruções!$F$5:$H$10,2,0))</f>
        <v>cd_loan_tapes_bce.lt002_instrument</v>
      </c>
      <c r="D161" s="17" t="str">
        <f>_xlfn.CONCAT(Instruções!$D$6,".",VLOOKUP(B161,Instruções!$F$5:$H$10,3,0))</f>
        <v>bu_loantape_work.lt002_instrument</v>
      </c>
      <c r="E161" s="17" t="s">
        <v>190</v>
      </c>
      <c r="F161" s="17" t="str">
        <f t="shared" si="34"/>
        <v>dsti_as_is</v>
      </c>
      <c r="G161" s="17" t="str">
        <f t="shared" si="35"/>
        <v>dsti_to_be</v>
      </c>
      <c r="H161" s="17" t="str">
        <f>IF(VLOOKUP(B161,Instruções!$F$6:$J$10,5,0)="",
"(SELECT "&amp;VLOOKUP(B161,Instruções!$F$6:$J$10,4,0)&amp;" as "&amp;VLOOKUP(B161,Instruções!$F$6:$J$10,4,0)&amp;"_as_is, "&amp;E161&amp;" as "&amp;F161&amp;" FROM "&amp;C161&amp;" WHERE "&amp;Instruções!$D$11&amp;") A ",
"(SELECT "&amp;VLOOKUP(B161,Instruções!$F$6:$J$10,4,0)&amp;" as "&amp;VLOOKUP(B161,Instruções!$F$6:$J$10,4,0)&amp;"_as_is, "&amp;VLOOKUP(B161,Instruções!$F$6:$J$10,5,0)&amp;" as "&amp;VLOOKUP(B161,Instruções!$F$6:$J$10,5,0)&amp;"_as_is,"&amp;E161&amp;" as "&amp;F161&amp;" FROM "&amp;C161&amp;" WHERE "&amp;Instruções!$D$11&amp;") A ")</f>
        <v xml:space="preserve">(SELECT instrmnt_id as instrmnt_id_as_is, dsti as dsti_as_is FROM cd_loan_tapes_bce.lt002_instrument WHERE ref_date='2025-06-30' AND nome_perimetro= 'Individual IDComb' AND segmento= 'ESTR' AND ambito= 'PM' AND entidade='00100' AND cod_visao = 1) A </v>
      </c>
      <c r="I161" s="17" t="str">
        <f>IF(VLOOKUP(B161,Instruções!$F$6:$J$10,5,0)="",
"(SELECT "&amp;VLOOKUP(B161,Instruções!$F$6:$J$10,4,0)&amp;" as "&amp;VLOOKUP(B161,Instruções!$F$6:$J$10,4,0)&amp;"_to_be, "&amp;E161&amp;" as "&amp;G161&amp;" FROM "&amp;D161&amp;" WHERE "&amp;Instruções!$D$11&amp;") B ",
"(SELECT "&amp;VLOOKUP(B161,Instruções!$F$6:$J$10,4,0)&amp;" as "&amp;VLOOKUP(B161,Instruções!$F$6:$J$10,4,0)&amp;"_to_be, "&amp;VLOOKUP(B161,Instruções!$F$6:$J$10,5,0)&amp;" as "&amp;VLOOKUP(B161,Instruções!$F$6:$J$10,5,0)&amp;"_to_be,"&amp;E161&amp;" as "&amp;G161&amp;" FROM "&amp;D161&amp;" WHERE "&amp;Instruções!$D$11&amp;") B ")</f>
        <v xml:space="preserve">(SELECT instrmnt_id as instrmnt_id_to_be, dsti as dsti_to_be FROM bu_loantape_work.lt002_instrument WHERE ref_date='2025-06-30' AND nome_perimetro= 'Individual IDComb' AND segmento= 'ESTR' AND ambito= 'PM' AND entidade='00100' AND cod_visao = 1) B </v>
      </c>
      <c r="J161" s="17" t="str">
        <f>IF(VLOOKUP(B161,Instruções!$F$6:$J$10,5,0)="",
"ON "&amp;VLOOKUP(B161,Instruções!$F$6:$J$10,4,0)&amp;"_as_is = "&amp;VLOOKUP(B161,Instruções!$F$6:$J$10,4,0)&amp;"_to_be ",
"ON "&amp;VLOOKUP(B161,Instruções!$F$6:$J$10,4,0)&amp;"_as_is = "&amp;VLOOKUP(B161,Instruções!$F$6:$J$10,4,0)&amp;"_to_be AND "&amp;VLOOKUP(B161,Instruções!$F$6:$J$10,5,0)&amp;"_as_is = "&amp;VLOOKUP(B161,Instruções!$F$6:$J$10,5,0)&amp;"_to_be ")</f>
        <v xml:space="preserve">ON instrmnt_id_as_is = instrmnt_id_to_be </v>
      </c>
      <c r="K161" s="17" t="str">
        <f t="shared" si="36"/>
        <v xml:space="preserve">WHERE coalesce(cast(dsti_as_is as string), '') &lt;&gt; coalesce(cast(dsti_to_be as string), '') </v>
      </c>
      <c r="L161" s="17" t="str">
        <f t="shared" si="39"/>
        <v xml:space="preserve">SELECT count(*) AS NUM_REG_DIF FROM (SELECT instrmnt_id as instrmnt_id_as_is, dsti as dsti_as_is FROM cd_loan_tapes_bce.lt002_instrument WHERE ref_date='2025-06-30' AND nome_perimetro= 'Individual IDComb' AND segmento= 'ESTR' AND ambito= 'PM' AND entidade='00100' AND cod_visao = 1) A  Inner join (SELECT instrmnt_id as instrmnt_id_to_be, dsti as dsti_to_be FROM bu_loantape_work.lt002_instrument WHERE ref_date='2025-06-30' AND nome_perimetro= 'Individual IDComb' AND segmento= 'ESTR' AND ambito= 'PM' AND entidade='00100' AND cod_visao = 1) B ON instrmnt_id_as_is = instrmnt_id_to_be WHERE coalesce(cast(dsti_as_is as string), '') &lt;&gt; coalesce(cast(dsti_to_be as string), '') </v>
      </c>
      <c r="M161" s="17" t="s">
        <v>48</v>
      </c>
      <c r="N161" s="17" t="str">
        <f>"SELECT 'Validação de campos' as tipologia_teste, '"&amp;VLOOKUP(B161,Instruções!$F$6:$J$10,3,0)&amp;"' AS TABELA, '"&amp;E161&amp;"' AS CAMPO, '"&amp;Instruções!$D$7&amp;"' as ref_date, coalesce(NUM_REG_DIF, 0) AS NUM_REG_DIF FROM ("&amp;L161&amp;") A "</f>
        <v xml:space="preserve">SELECT 'Validação de campos' as tipologia_teste, 'lt002_instrument' AS TABELA, 'dsti' AS CAMPO, '2025-06-30' as ref_date, coalesce(NUM_REG_DIF, 0) AS NUM_REG_DIF FROM (SELECT count(*) AS NUM_REG_DIF FROM (SELECT instrmnt_id as instrmnt_id_as_is, dsti as dsti_as_is FROM cd_loan_tapes_bce.lt002_instrument WHERE ref_date='2025-06-30' AND nome_perimetro= 'Individual IDComb' AND segmento= 'ESTR' AND ambito= 'PM' AND entidade='00100' AND cod_visao = 1) A  Inner join (SELECT instrmnt_id as instrmnt_id_to_be, dsti as dsti_to_be FROM bu_loantape_work.lt002_instrument WHERE ref_date='2025-06-30' AND nome_perimetro= 'Individual IDComb' AND segmento= 'ESTR' AND ambito= 'PM' AND entidade='00100' AND cod_visao = 1) B ON instrmnt_id_as_is = instrmnt_id_to_be WHERE coalesce(cast(dsti_as_is as string), '') &lt;&gt; coalesce(cast(dsti_to_be as string), '') ) A </v>
      </c>
      <c r="O161" s="19" t="str">
        <f t="shared" si="37"/>
        <v>SELECT 'Validação de campos' as tipologia_teste, 'lt002_instrument' AS TABELA, 'dsti' AS CAMPO, '2025-06-30' as ref_date, coalesce(NUM_REG_DIF, 0) AS NUM_REG_DIF FROM (SELECT count(*) AS NUM_REG_DIF FROM (SELECT instrmnt_id as instrmnt_id_as_is, dsti as dsti_as_is FROM cd_loan_tapes_bce.lt002_instrument WHERE ref_date='2025-06-30' AND nome_perimetro= 'Individual IDComb' AND segmento= 'ESTR' AND ambito= 'PM' AND entidade='00100' AND cod_visao = 1) A  Inner join (SELECT instrmnt_id as instrmnt_id_to_be, dsti as dsti_to_be FROM bu_loantape_work.lt002_instrument WHERE ref_date='2025-06-30' AND nome_perimetro= 'Individual IDComb' AND segmento= 'ESTR' AND ambito= 'PM' AND entidade='00100' AND cod_visao = 1) B ON instrmnt_id_as_is = instrmnt_id_to_be WHERE coalesce(cast(dsti_as_is as string), '') &lt;&gt; coalesce(cast(dsti_to_be as string), '') ) A UNION ALL</v>
      </c>
      <c r="P161" s="17">
        <f t="shared" si="38"/>
        <v>22</v>
      </c>
    </row>
    <row r="162" spans="2:16" s="15" customFormat="1" ht="11.5" x14ac:dyDescent="0.25">
      <c r="B162" s="17" t="s">
        <v>24</v>
      </c>
      <c r="C162" s="17" t="str">
        <f>_xlfn.CONCAT(Instruções!$D$5,".",VLOOKUP(B162,Instruções!$F$5:$H$10,2,0))</f>
        <v>cd_loan_tapes_bce.lt002_instrument</v>
      </c>
      <c r="D162" s="17" t="str">
        <f>_xlfn.CONCAT(Instruções!$D$6,".",VLOOKUP(B162,Instruções!$F$5:$H$10,3,0))</f>
        <v>bu_loantape_work.lt002_instrument</v>
      </c>
      <c r="E162" s="17" t="s">
        <v>191</v>
      </c>
      <c r="F162" s="17" t="str">
        <f t="shared" si="34"/>
        <v>dt_dflt_stts_instrmnt_as_is</v>
      </c>
      <c r="G162" s="17" t="str">
        <f t="shared" si="35"/>
        <v>dt_dflt_stts_instrmnt_to_be</v>
      </c>
      <c r="H162" s="17" t="str">
        <f>IF(VLOOKUP(B162,Instruções!$F$6:$J$10,5,0)="",
"(SELECT "&amp;VLOOKUP(B162,Instruções!$F$6:$J$10,4,0)&amp;" as "&amp;VLOOKUP(B162,Instruções!$F$6:$J$10,4,0)&amp;"_as_is, "&amp;E162&amp;" as "&amp;F162&amp;" FROM "&amp;C162&amp;" WHERE "&amp;Instruções!$D$11&amp;") A ",
"(SELECT "&amp;VLOOKUP(B162,Instruções!$F$6:$J$10,4,0)&amp;" as "&amp;VLOOKUP(B162,Instruções!$F$6:$J$10,4,0)&amp;"_as_is, "&amp;VLOOKUP(B162,Instruções!$F$6:$J$10,5,0)&amp;" as "&amp;VLOOKUP(B162,Instruções!$F$6:$J$10,5,0)&amp;"_as_is,"&amp;E162&amp;" as "&amp;F162&amp;" FROM "&amp;C162&amp;" WHERE "&amp;Instruções!$D$11&amp;") A ")</f>
        <v xml:space="preserve">(SELECT instrmnt_id as instrmnt_id_as_is, dt_dflt_stts_instrmnt as dt_dflt_stts_instrmnt_as_is FROM cd_loan_tapes_bce.lt002_instrument WHERE ref_date='2025-06-30' AND nome_perimetro= 'Individual IDComb' AND segmento= 'ESTR' AND ambito= 'PM' AND entidade='00100' AND cod_visao = 1) A </v>
      </c>
      <c r="I162" s="17" t="str">
        <f>IF(VLOOKUP(B162,Instruções!$F$6:$J$10,5,0)="",
"(SELECT "&amp;VLOOKUP(B162,Instruções!$F$6:$J$10,4,0)&amp;" as "&amp;VLOOKUP(B162,Instruções!$F$6:$J$10,4,0)&amp;"_to_be, "&amp;E162&amp;" as "&amp;G162&amp;" FROM "&amp;D162&amp;" WHERE "&amp;Instruções!$D$11&amp;") B ",
"(SELECT "&amp;VLOOKUP(B162,Instruções!$F$6:$J$10,4,0)&amp;" as "&amp;VLOOKUP(B162,Instruções!$F$6:$J$10,4,0)&amp;"_to_be, "&amp;VLOOKUP(B162,Instruções!$F$6:$J$10,5,0)&amp;" as "&amp;VLOOKUP(B162,Instruções!$F$6:$J$10,5,0)&amp;"_to_be,"&amp;E162&amp;" as "&amp;G162&amp;" FROM "&amp;D162&amp;" WHERE "&amp;Instruções!$D$11&amp;") B ")</f>
        <v xml:space="preserve">(SELECT instrmnt_id as instrmnt_id_to_be, dt_dflt_stts_instrmnt as dt_dflt_stts_instrmnt_to_be FROM bu_loantape_work.lt002_instrument WHERE ref_date='2025-06-30' AND nome_perimetro= 'Individual IDComb' AND segmento= 'ESTR' AND ambito= 'PM' AND entidade='00100' AND cod_visao = 1) B </v>
      </c>
      <c r="J162" s="17" t="str">
        <f>IF(VLOOKUP(B162,Instruções!$F$6:$J$10,5,0)="",
"ON "&amp;VLOOKUP(B162,Instruções!$F$6:$J$10,4,0)&amp;"_as_is = "&amp;VLOOKUP(B162,Instruções!$F$6:$J$10,4,0)&amp;"_to_be ",
"ON "&amp;VLOOKUP(B162,Instruções!$F$6:$J$10,4,0)&amp;"_as_is = "&amp;VLOOKUP(B162,Instruções!$F$6:$J$10,4,0)&amp;"_to_be AND "&amp;VLOOKUP(B162,Instruções!$F$6:$J$10,5,0)&amp;"_as_is = "&amp;VLOOKUP(B162,Instruções!$F$6:$J$10,5,0)&amp;"_to_be ")</f>
        <v xml:space="preserve">ON instrmnt_id_as_is = instrmnt_id_to_be </v>
      </c>
      <c r="K162" s="17" t="str">
        <f t="shared" si="36"/>
        <v xml:space="preserve">WHERE coalesce(cast(dt_dflt_stts_instrmnt_as_is as string), '') &lt;&gt; coalesce(cast(dt_dflt_stts_instrmnt_to_be as string), '') </v>
      </c>
      <c r="L162" s="17" t="str">
        <f t="shared" si="39"/>
        <v xml:space="preserve">SELECT count(*) AS NUM_REG_DIF FROM (SELECT instrmnt_id as instrmnt_id_as_is, dt_dflt_stts_instrmnt as dt_dflt_stts_instrmnt_as_is FROM cd_loan_tapes_bce.lt002_instrument WHERE ref_date='2025-06-30' AND nome_perimetro= 'Individual IDComb' AND segmento= 'ESTR' AND ambito= 'PM' AND entidade='00100' AND cod_visao = 1) A  Inner join (SELECT instrmnt_id as instrmnt_id_to_be, dt_dflt_stts_instrmnt as dt_dflt_stts_instrmnt_to_be FROM bu_loantape_work.lt002_instrument WHERE ref_date='2025-06-30' AND nome_perimetro= 'Individual IDComb' AND segmento= 'ESTR' AND ambito= 'PM' AND entidade='00100' AND cod_visao = 1) B ON instrmnt_id_as_is = instrmnt_id_to_be WHERE coalesce(cast(dt_dflt_stts_instrmnt_as_is as string), '') &lt;&gt; coalesce(cast(dt_dflt_stts_instrmnt_to_be as string), '') </v>
      </c>
      <c r="M162" s="17" t="s">
        <v>48</v>
      </c>
      <c r="N162" s="17" t="str">
        <f>"SELECT 'Validação de campos' as tipologia_teste, '"&amp;VLOOKUP(B162,Instruções!$F$6:$J$10,3,0)&amp;"' AS TABELA, '"&amp;E162&amp;"' AS CAMPO, '"&amp;Instruções!$D$7&amp;"' as ref_date, coalesce(NUM_REG_DIF, 0) AS NUM_REG_DIF FROM ("&amp;L162&amp;") A "</f>
        <v xml:space="preserve">SELECT 'Validação de campos' as tipologia_teste, 'lt002_instrument' AS TABELA, 'dt_dflt_stts_instrmnt' AS CAMPO, '2025-06-30' as ref_date, coalesce(NUM_REG_DIF, 0) AS NUM_REG_DIF FROM (SELECT count(*) AS NUM_REG_DIF FROM (SELECT instrmnt_id as instrmnt_id_as_is, dt_dflt_stts_instrmnt as dt_dflt_stts_instrmnt_as_is FROM cd_loan_tapes_bce.lt002_instrument WHERE ref_date='2025-06-30' AND nome_perimetro= 'Individual IDComb' AND segmento= 'ESTR' AND ambito= 'PM' AND entidade='00100' AND cod_visao = 1) A  Inner join (SELECT instrmnt_id as instrmnt_id_to_be, dt_dflt_stts_instrmnt as dt_dflt_stts_instrmnt_to_be FROM bu_loantape_work.lt002_instrument WHERE ref_date='2025-06-30' AND nome_perimetro= 'Individual IDComb' AND segmento= 'ESTR' AND ambito= 'PM' AND entidade='00100' AND cod_visao = 1) B ON instrmnt_id_as_is = instrmnt_id_to_be WHERE coalesce(cast(dt_dflt_stts_instrmnt_as_is as string), '') &lt;&gt; coalesce(cast(dt_dflt_stts_instrmnt_to_be as string), '') ) A </v>
      </c>
      <c r="O162" s="19" t="str">
        <f t="shared" si="37"/>
        <v>SELECT 'Validação de campos' as tipologia_teste, 'lt002_instrument' AS TABELA, 'dt_dflt_stts_instrmnt' AS CAMPO, '2025-06-30' as ref_date, coalesce(NUM_REG_DIF, 0) AS NUM_REG_DIF FROM (SELECT count(*) AS NUM_REG_DIF FROM (SELECT instrmnt_id as instrmnt_id_as_is, dt_dflt_stts_instrmnt as dt_dflt_stts_instrmnt_as_is FROM cd_loan_tapes_bce.lt002_instrument WHERE ref_date='2025-06-30' AND nome_perimetro= 'Individual IDComb' AND segmento= 'ESTR' AND ambito= 'PM' AND entidade='00100' AND cod_visao = 1) A  Inner join (SELECT instrmnt_id as instrmnt_id_to_be, dt_dflt_stts_instrmnt as dt_dflt_stts_instrmnt_to_be FROM bu_loantape_work.lt002_instrument WHERE ref_date='2025-06-30' AND nome_perimetro= 'Individual IDComb' AND segmento= 'ESTR' AND ambito= 'PM' AND entidade='00100' AND cod_visao = 1) B ON instrmnt_id_as_is = instrmnt_id_to_be WHERE coalesce(cast(dt_dflt_stts_instrmnt_as_is as string), '') &lt;&gt; coalesce(cast(dt_dflt_stts_instrmnt_to_be as string), '') ) A UNION ALL</v>
      </c>
      <c r="P162" s="17">
        <f t="shared" si="38"/>
        <v>23</v>
      </c>
    </row>
    <row r="163" spans="2:16" s="15" customFormat="1" ht="11.5" x14ac:dyDescent="0.25">
      <c r="B163" s="17" t="s">
        <v>24</v>
      </c>
      <c r="C163" s="17" t="str">
        <f>_xlfn.CONCAT(Instruções!$D$5,".",VLOOKUP(B163,Instruções!$F$5:$H$10,2,0))</f>
        <v>cd_loan_tapes_bce.lt002_instrument</v>
      </c>
      <c r="D163" s="17" t="str">
        <f>_xlfn.CONCAT(Instruções!$D$6,".",VLOOKUP(B163,Instruções!$F$5:$H$10,3,0))</f>
        <v>bu_loantape_work.lt002_instrument</v>
      </c>
      <c r="E163" s="17" t="s">
        <v>192</v>
      </c>
      <c r="F163" s="17" t="str">
        <f t="shared" si="34"/>
        <v>dt_end_gp_ppal_as_is</v>
      </c>
      <c r="G163" s="17" t="str">
        <f t="shared" si="35"/>
        <v>dt_end_gp_ppal_to_be</v>
      </c>
      <c r="H163" s="17" t="str">
        <f>IF(VLOOKUP(B163,Instruções!$F$6:$J$10,5,0)="",
"(SELECT "&amp;VLOOKUP(B163,Instruções!$F$6:$J$10,4,0)&amp;" as "&amp;VLOOKUP(B163,Instruções!$F$6:$J$10,4,0)&amp;"_as_is, "&amp;E163&amp;" as "&amp;F163&amp;" FROM "&amp;C163&amp;" WHERE "&amp;Instruções!$D$11&amp;") A ",
"(SELECT "&amp;VLOOKUP(B163,Instruções!$F$6:$J$10,4,0)&amp;" as "&amp;VLOOKUP(B163,Instruções!$F$6:$J$10,4,0)&amp;"_as_is, "&amp;VLOOKUP(B163,Instruções!$F$6:$J$10,5,0)&amp;" as "&amp;VLOOKUP(B163,Instruções!$F$6:$J$10,5,0)&amp;"_as_is,"&amp;E163&amp;" as "&amp;F163&amp;" FROM "&amp;C163&amp;" WHERE "&amp;Instruções!$D$11&amp;") A ")</f>
        <v xml:space="preserve">(SELECT instrmnt_id as instrmnt_id_as_is, dt_end_gp_ppal as dt_end_gp_ppal_as_is FROM cd_loan_tapes_bce.lt002_instrument WHERE ref_date='2025-06-30' AND nome_perimetro= 'Individual IDComb' AND segmento= 'ESTR' AND ambito= 'PM' AND entidade='00100' AND cod_visao = 1) A </v>
      </c>
      <c r="I163" s="17" t="str">
        <f>IF(VLOOKUP(B163,Instruções!$F$6:$J$10,5,0)="",
"(SELECT "&amp;VLOOKUP(B163,Instruções!$F$6:$J$10,4,0)&amp;" as "&amp;VLOOKUP(B163,Instruções!$F$6:$J$10,4,0)&amp;"_to_be, "&amp;E163&amp;" as "&amp;G163&amp;" FROM "&amp;D163&amp;" WHERE "&amp;Instruções!$D$11&amp;") B ",
"(SELECT "&amp;VLOOKUP(B163,Instruções!$F$6:$J$10,4,0)&amp;" as "&amp;VLOOKUP(B163,Instruções!$F$6:$J$10,4,0)&amp;"_to_be, "&amp;VLOOKUP(B163,Instruções!$F$6:$J$10,5,0)&amp;" as "&amp;VLOOKUP(B163,Instruções!$F$6:$J$10,5,0)&amp;"_to_be,"&amp;E163&amp;" as "&amp;G163&amp;" FROM "&amp;D163&amp;" WHERE "&amp;Instruções!$D$11&amp;") B ")</f>
        <v xml:space="preserve">(SELECT instrmnt_id as instrmnt_id_to_be, dt_end_gp_ppal as dt_end_gp_ppal_to_be FROM bu_loantape_work.lt002_instrument WHERE ref_date='2025-06-30' AND nome_perimetro= 'Individual IDComb' AND segmento= 'ESTR' AND ambito= 'PM' AND entidade='00100' AND cod_visao = 1) B </v>
      </c>
      <c r="J163" s="17" t="str">
        <f>IF(VLOOKUP(B163,Instruções!$F$6:$J$10,5,0)="",
"ON "&amp;VLOOKUP(B163,Instruções!$F$6:$J$10,4,0)&amp;"_as_is = "&amp;VLOOKUP(B163,Instruções!$F$6:$J$10,4,0)&amp;"_to_be ",
"ON "&amp;VLOOKUP(B163,Instruções!$F$6:$J$10,4,0)&amp;"_as_is = "&amp;VLOOKUP(B163,Instruções!$F$6:$J$10,4,0)&amp;"_to_be AND "&amp;VLOOKUP(B163,Instruções!$F$6:$J$10,5,0)&amp;"_as_is = "&amp;VLOOKUP(B163,Instruções!$F$6:$J$10,5,0)&amp;"_to_be ")</f>
        <v xml:space="preserve">ON instrmnt_id_as_is = instrmnt_id_to_be </v>
      </c>
      <c r="K163" s="17" t="str">
        <f t="shared" si="36"/>
        <v xml:space="preserve">WHERE coalesce(cast(dt_end_gp_ppal_as_is as string), '') &lt;&gt; coalesce(cast(dt_end_gp_ppal_to_be as string), '') </v>
      </c>
      <c r="L163" s="17" t="str">
        <f t="shared" si="39"/>
        <v xml:space="preserve">SELECT count(*) AS NUM_REG_DIF FROM (SELECT instrmnt_id as instrmnt_id_as_is, dt_end_gp_ppal as dt_end_gp_ppal_as_is FROM cd_loan_tapes_bce.lt002_instrument WHERE ref_date='2025-06-30' AND nome_perimetro= 'Individual IDComb' AND segmento= 'ESTR' AND ambito= 'PM' AND entidade='00100' AND cod_visao = 1) A  Inner join (SELECT instrmnt_id as instrmnt_id_to_be, dt_end_gp_ppal as dt_end_gp_ppal_to_be FROM bu_loantape_work.lt002_instrument WHERE ref_date='2025-06-30' AND nome_perimetro= 'Individual IDComb' AND segmento= 'ESTR' AND ambito= 'PM' AND entidade='00100' AND cod_visao = 1) B ON instrmnt_id_as_is = instrmnt_id_to_be WHERE coalesce(cast(dt_end_gp_ppal_as_is as string), '') &lt;&gt; coalesce(cast(dt_end_gp_ppal_to_be as string), '') </v>
      </c>
      <c r="M163" s="17" t="s">
        <v>48</v>
      </c>
      <c r="N163" s="17" t="str">
        <f>"SELECT 'Validação de campos' as tipologia_teste, '"&amp;VLOOKUP(B163,Instruções!$F$6:$J$10,3,0)&amp;"' AS TABELA, '"&amp;E163&amp;"' AS CAMPO, '"&amp;Instruções!$D$7&amp;"' as ref_date, coalesce(NUM_REG_DIF, 0) AS NUM_REG_DIF FROM ("&amp;L163&amp;") A "</f>
        <v xml:space="preserve">SELECT 'Validação de campos' as tipologia_teste, 'lt002_instrument' AS TABELA, 'dt_end_gp_ppal' AS CAMPO, '2025-06-30' as ref_date, coalesce(NUM_REG_DIF, 0) AS NUM_REG_DIF FROM (SELECT count(*) AS NUM_REG_DIF FROM (SELECT instrmnt_id as instrmnt_id_as_is, dt_end_gp_ppal as dt_end_gp_ppal_as_is FROM cd_loan_tapes_bce.lt002_instrument WHERE ref_date='2025-06-30' AND nome_perimetro= 'Individual IDComb' AND segmento= 'ESTR' AND ambito= 'PM' AND entidade='00100' AND cod_visao = 1) A  Inner join (SELECT instrmnt_id as instrmnt_id_to_be, dt_end_gp_ppal as dt_end_gp_ppal_to_be FROM bu_loantape_work.lt002_instrument WHERE ref_date='2025-06-30' AND nome_perimetro= 'Individual IDComb' AND segmento= 'ESTR' AND ambito= 'PM' AND entidade='00100' AND cod_visao = 1) B ON instrmnt_id_as_is = instrmnt_id_to_be WHERE coalesce(cast(dt_end_gp_ppal_as_is as string), '') &lt;&gt; coalesce(cast(dt_end_gp_ppal_to_be as string), '') ) A </v>
      </c>
      <c r="O163" s="19" t="str">
        <f t="shared" si="37"/>
        <v xml:space="preserve">SELECT 'Validação de campos' as tipologia_teste, 'lt002_instrument' AS TABELA, 'dt_end_gp_ppal' AS CAMPO, '2025-06-30' as ref_date, coalesce(NUM_REG_DIF, 0) AS NUM_REG_DIF FROM (SELECT count(*) AS NUM_REG_DIF FROM (SELECT instrmnt_id as instrmnt_id_as_is, dt_end_gp_ppal as dt_end_gp_ppal_as_is FROM cd_loan_tapes_bce.lt002_instrument WHERE ref_date='2025-06-30' AND nome_perimetro= 'Individual IDComb' AND segmento= 'ESTR' AND ambito= 'PM' AND entidade='00100' AND cod_visao = 1) A  Inner join (SELECT instrmnt_id as instrmnt_id_to_be, dt_end_gp_ppal as dt_end_gp_ppal_to_be FROM bu_loantape_work.lt002_instrument WHERE ref_date='2025-06-30' AND nome_perimetro= 'Individual IDComb' AND segmento= 'ESTR' AND ambito= 'PM' AND entidade='00100' AND cod_visao = 1) B ON instrmnt_id_as_is = instrmnt_id_to_be WHERE coalesce(cast(dt_end_gp_ppal_as_is as string), '') &lt;&gt; coalesce(cast(dt_end_gp_ppal_to_be as string), '') ) A </v>
      </c>
      <c r="P163" s="17">
        <f t="shared" si="38"/>
        <v>24</v>
      </c>
    </row>
    <row r="164" spans="2:16" s="15" customFormat="1" ht="11.5" x14ac:dyDescent="0.25"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9"/>
      <c r="P164" s="18"/>
    </row>
    <row r="165" spans="2:16" s="15" customFormat="1" ht="11.5" x14ac:dyDescent="0.25">
      <c r="B165" s="17" t="s">
        <v>24</v>
      </c>
      <c r="C165" s="17" t="str">
        <f>_xlfn.CONCAT(Instruções!$D$5,".",VLOOKUP(B165,Instruções!$F$5:$H$10,2,0))</f>
        <v>cd_loan_tapes_bce.lt002_instrument</v>
      </c>
      <c r="D165" s="17" t="str">
        <f>_xlfn.CONCAT(Instruções!$D$6,".",VLOOKUP(B165,Instruções!$F$5:$H$10,3,0))</f>
        <v>bu_loantape_work.lt002_instrument</v>
      </c>
      <c r="E165" s="17" t="s">
        <v>193</v>
      </c>
      <c r="F165" s="17" t="str">
        <f t="shared" si="34"/>
        <v>dt_end_intrst_only_as_is</v>
      </c>
      <c r="G165" s="17" t="str">
        <f t="shared" si="35"/>
        <v>dt_end_intrst_only_to_be</v>
      </c>
      <c r="H165" s="17" t="str">
        <f>IF(VLOOKUP(B165,Instruções!$F$6:$J$10,5,0)="",
"(SELECT "&amp;VLOOKUP(B165,Instruções!$F$6:$J$10,4,0)&amp;" as "&amp;VLOOKUP(B165,Instruções!$F$6:$J$10,4,0)&amp;"_as_is, "&amp;E165&amp;" as "&amp;F165&amp;" FROM "&amp;C165&amp;" WHERE "&amp;Instruções!$D$11&amp;") A ",
"(SELECT "&amp;VLOOKUP(B165,Instruções!$F$6:$J$10,4,0)&amp;" as "&amp;VLOOKUP(B165,Instruções!$F$6:$J$10,4,0)&amp;"_as_is, "&amp;VLOOKUP(B165,Instruções!$F$6:$J$10,5,0)&amp;" as "&amp;VLOOKUP(B165,Instruções!$F$6:$J$10,5,0)&amp;"_as_is,"&amp;E165&amp;" as "&amp;F165&amp;" FROM "&amp;C165&amp;" WHERE "&amp;Instruções!$D$11&amp;") A ")</f>
        <v xml:space="preserve">(SELECT instrmnt_id as instrmnt_id_as_is, dt_end_intrst_only as dt_end_intrst_only_as_is FROM cd_loan_tapes_bce.lt002_instrument WHERE ref_date='2025-06-30' AND nome_perimetro= 'Individual IDComb' AND segmento= 'ESTR' AND ambito= 'PM' AND entidade='00100' AND cod_visao = 1) A </v>
      </c>
      <c r="I165" s="17" t="str">
        <f>IF(VLOOKUP(B165,Instruções!$F$6:$J$10,5,0)="",
"(SELECT "&amp;VLOOKUP(B165,Instruções!$F$6:$J$10,4,0)&amp;" as "&amp;VLOOKUP(B165,Instruções!$F$6:$J$10,4,0)&amp;"_to_be, "&amp;E165&amp;" as "&amp;G165&amp;" FROM "&amp;D165&amp;" WHERE "&amp;Instruções!$D$11&amp;") B ",
"(SELECT "&amp;VLOOKUP(B165,Instruções!$F$6:$J$10,4,0)&amp;" as "&amp;VLOOKUP(B165,Instruções!$F$6:$J$10,4,0)&amp;"_to_be, "&amp;VLOOKUP(B165,Instruções!$F$6:$J$10,5,0)&amp;" as "&amp;VLOOKUP(B165,Instruções!$F$6:$J$10,5,0)&amp;"_to_be,"&amp;E165&amp;" as "&amp;G165&amp;" FROM "&amp;D165&amp;" WHERE "&amp;Instruções!$D$11&amp;") B ")</f>
        <v xml:space="preserve">(SELECT instrmnt_id as instrmnt_id_to_be, dt_end_intrst_only as dt_end_intrst_only_to_be FROM bu_loantape_work.lt002_instrument WHERE ref_date='2025-06-30' AND nome_perimetro= 'Individual IDComb' AND segmento= 'ESTR' AND ambito= 'PM' AND entidade='00100' AND cod_visao = 1) B </v>
      </c>
      <c r="J165" s="17" t="str">
        <f>IF(VLOOKUP(B165,Instruções!$F$6:$J$10,5,0)="",
"ON "&amp;VLOOKUP(B165,Instruções!$F$6:$J$10,4,0)&amp;"_as_is = "&amp;VLOOKUP(B165,Instruções!$F$6:$J$10,4,0)&amp;"_to_be ",
"ON "&amp;VLOOKUP(B165,Instruções!$F$6:$J$10,4,0)&amp;"_as_is = "&amp;VLOOKUP(B165,Instruções!$F$6:$J$10,4,0)&amp;"_to_be AND "&amp;VLOOKUP(B165,Instruções!$F$6:$J$10,5,0)&amp;"_as_is = "&amp;VLOOKUP(B165,Instruções!$F$6:$J$10,5,0)&amp;"_to_be ")</f>
        <v xml:space="preserve">ON instrmnt_id_as_is = instrmnt_id_to_be </v>
      </c>
      <c r="K165" s="17" t="str">
        <f t="shared" si="36"/>
        <v xml:space="preserve">WHERE coalesce(cast(dt_end_intrst_only_as_is as string), '') &lt;&gt; coalesce(cast(dt_end_intrst_only_to_be as string), '') </v>
      </c>
      <c r="L165" s="17" t="str">
        <f t="shared" si="39"/>
        <v xml:space="preserve">SELECT count(*) AS NUM_REG_DIF FROM (SELECT instrmnt_id as instrmnt_id_as_is, dt_end_intrst_only as dt_end_intrst_only_as_is FROM cd_loan_tapes_bce.lt002_instrument WHERE ref_date='2025-06-30' AND nome_perimetro= 'Individual IDComb' AND segmento= 'ESTR' AND ambito= 'PM' AND entidade='00100' AND cod_visao = 1) A  Inner join (SELECT instrmnt_id as instrmnt_id_to_be, dt_end_intrst_only as dt_end_intrst_only_to_be FROM bu_loantape_work.lt002_instrument WHERE ref_date='2025-06-30' AND nome_perimetro= 'Individual IDComb' AND segmento= 'ESTR' AND ambito= 'PM' AND entidade='00100' AND cod_visao = 1) B ON instrmnt_id_as_is = instrmnt_id_to_be WHERE coalesce(cast(dt_end_intrst_only_as_is as string), '') &lt;&gt; coalesce(cast(dt_end_intrst_only_to_be as string), '') </v>
      </c>
      <c r="M165" s="17" t="s">
        <v>48</v>
      </c>
      <c r="N165" s="17" t="str">
        <f>"SELECT 'Validação de campos' as tipologia_teste, '"&amp;VLOOKUP(B165,Instruções!$F$6:$J$10,3,0)&amp;"' AS TABELA, '"&amp;E165&amp;"' AS CAMPO, '"&amp;Instruções!$D$7&amp;"' as ref_date, coalesce(NUM_REG_DIF, 0) AS NUM_REG_DIF FROM ("&amp;L165&amp;") A "</f>
        <v xml:space="preserve">SELECT 'Validação de campos' as tipologia_teste, 'lt002_instrument' AS TABELA, 'dt_end_intrst_only' AS CAMPO, '2025-06-30' as ref_date, coalesce(NUM_REG_DIF, 0) AS NUM_REG_DIF FROM (SELECT count(*) AS NUM_REG_DIF FROM (SELECT instrmnt_id as instrmnt_id_as_is, dt_end_intrst_only as dt_end_intrst_only_as_is FROM cd_loan_tapes_bce.lt002_instrument WHERE ref_date='2025-06-30' AND nome_perimetro= 'Individual IDComb' AND segmento= 'ESTR' AND ambito= 'PM' AND entidade='00100' AND cod_visao = 1) A  Inner join (SELECT instrmnt_id as instrmnt_id_to_be, dt_end_intrst_only as dt_end_intrst_only_to_be FROM bu_loantape_work.lt002_instrument WHERE ref_date='2025-06-30' AND nome_perimetro= 'Individual IDComb' AND segmento= 'ESTR' AND ambito= 'PM' AND entidade='00100' AND cod_visao = 1) B ON instrmnt_id_as_is = instrmnt_id_to_be WHERE coalesce(cast(dt_end_intrst_only_as_is as string), '') &lt;&gt; coalesce(cast(dt_end_intrst_only_to_be as string), '') ) A </v>
      </c>
      <c r="O165" s="19" t="str">
        <f>IF(O166="",N165,N165&amp;$O$3)</f>
        <v>SELECT 'Validação de campos' as tipologia_teste, 'lt002_instrument' AS TABELA, 'dt_end_intrst_only' AS CAMPO, '2025-06-30' as ref_date, coalesce(NUM_REG_DIF, 0) AS NUM_REG_DIF FROM (SELECT count(*) AS NUM_REG_DIF FROM (SELECT instrmnt_id as instrmnt_id_as_is, dt_end_intrst_only as dt_end_intrst_only_as_is FROM cd_loan_tapes_bce.lt002_instrument WHERE ref_date='2025-06-30' AND nome_perimetro= 'Individual IDComb' AND segmento= 'ESTR' AND ambito= 'PM' AND entidade='00100' AND cod_visao = 1) A  Inner join (SELECT instrmnt_id as instrmnt_id_to_be, dt_end_intrst_only as dt_end_intrst_only_to_be FROM bu_loantape_work.lt002_instrument WHERE ref_date='2025-06-30' AND nome_perimetro= 'Individual IDComb' AND segmento= 'ESTR' AND ambito= 'PM' AND entidade='00100' AND cod_visao = 1) B ON instrmnt_id_as_is = instrmnt_id_to_be WHERE coalesce(cast(dt_end_intrst_only_as_is as string), '') &lt;&gt; coalesce(cast(dt_end_intrst_only_to_be as string), '') ) A UNION ALL</v>
      </c>
      <c r="P165" s="17">
        <f t="shared" ref="P165:P208" si="40">P164+1</f>
        <v>1</v>
      </c>
    </row>
    <row r="166" spans="2:16" s="15" customFormat="1" ht="11.5" x14ac:dyDescent="0.25">
      <c r="B166" s="17" t="s">
        <v>24</v>
      </c>
      <c r="C166" s="17" t="str">
        <f>_xlfn.CONCAT(Instruções!$D$5,".",VLOOKUP(B166,Instruções!$F$5:$H$10,2,0))</f>
        <v>cd_loan_tapes_bce.lt002_instrument</v>
      </c>
      <c r="D166" s="17" t="str">
        <f>_xlfn.CONCAT(Instruções!$D$6,".",VLOOKUP(B166,Instruções!$F$5:$H$10,3,0))</f>
        <v>bu_loantape_work.lt002_instrument</v>
      </c>
      <c r="E166" s="17" t="s">
        <v>194</v>
      </c>
      <c r="F166" s="17" t="str">
        <f t="shared" si="34"/>
        <v>ifrs9_bhvrl_mtrty_as_is</v>
      </c>
      <c r="G166" s="17" t="str">
        <f t="shared" si="35"/>
        <v>ifrs9_bhvrl_mtrty_to_be</v>
      </c>
      <c r="H166" s="17" t="str">
        <f>IF(VLOOKUP(B166,Instruções!$F$6:$J$10,5,0)="",
"(SELECT "&amp;VLOOKUP(B166,Instruções!$F$6:$J$10,4,0)&amp;" as "&amp;VLOOKUP(B166,Instruções!$F$6:$J$10,4,0)&amp;"_as_is, "&amp;E166&amp;" as "&amp;F166&amp;" FROM "&amp;C166&amp;" WHERE "&amp;Instruções!$D$11&amp;") A ",
"(SELECT "&amp;VLOOKUP(B166,Instruções!$F$6:$J$10,4,0)&amp;" as "&amp;VLOOKUP(B166,Instruções!$F$6:$J$10,4,0)&amp;"_as_is, "&amp;VLOOKUP(B166,Instruções!$F$6:$J$10,5,0)&amp;" as "&amp;VLOOKUP(B166,Instruções!$F$6:$J$10,5,0)&amp;"_as_is,"&amp;E166&amp;" as "&amp;F166&amp;" FROM "&amp;C166&amp;" WHERE "&amp;Instruções!$D$11&amp;") A ")</f>
        <v xml:space="preserve">(SELECT instrmnt_id as instrmnt_id_as_is, ifrs9_bhvrl_mtrty as ifrs9_bhvrl_mtrty_as_is FROM cd_loan_tapes_bce.lt002_instrument WHERE ref_date='2025-06-30' AND nome_perimetro= 'Individual IDComb' AND segmento= 'ESTR' AND ambito= 'PM' AND entidade='00100' AND cod_visao = 1) A </v>
      </c>
      <c r="I166" s="17" t="str">
        <f>IF(VLOOKUP(B166,Instruções!$F$6:$J$10,5,0)="",
"(SELECT "&amp;VLOOKUP(B166,Instruções!$F$6:$J$10,4,0)&amp;" as "&amp;VLOOKUP(B166,Instruções!$F$6:$J$10,4,0)&amp;"_to_be, "&amp;E166&amp;" as "&amp;G166&amp;" FROM "&amp;D166&amp;" WHERE "&amp;Instruções!$D$11&amp;") B ",
"(SELECT "&amp;VLOOKUP(B166,Instruções!$F$6:$J$10,4,0)&amp;" as "&amp;VLOOKUP(B166,Instruções!$F$6:$J$10,4,0)&amp;"_to_be, "&amp;VLOOKUP(B166,Instruções!$F$6:$J$10,5,0)&amp;" as "&amp;VLOOKUP(B166,Instruções!$F$6:$J$10,5,0)&amp;"_to_be,"&amp;E166&amp;" as "&amp;G166&amp;" FROM "&amp;D166&amp;" WHERE "&amp;Instruções!$D$11&amp;") B ")</f>
        <v xml:space="preserve">(SELECT instrmnt_id as instrmnt_id_to_be, ifrs9_bhvrl_mtrty as ifrs9_bhvrl_mtrty_to_be FROM bu_loantape_work.lt002_instrument WHERE ref_date='2025-06-30' AND nome_perimetro= 'Individual IDComb' AND segmento= 'ESTR' AND ambito= 'PM' AND entidade='00100' AND cod_visao = 1) B </v>
      </c>
      <c r="J166" s="17" t="str">
        <f>IF(VLOOKUP(B166,Instruções!$F$6:$J$10,5,0)="",
"ON "&amp;VLOOKUP(B166,Instruções!$F$6:$J$10,4,0)&amp;"_as_is = "&amp;VLOOKUP(B166,Instruções!$F$6:$J$10,4,0)&amp;"_to_be ",
"ON "&amp;VLOOKUP(B166,Instruções!$F$6:$J$10,4,0)&amp;"_as_is = "&amp;VLOOKUP(B166,Instruções!$F$6:$J$10,4,0)&amp;"_to_be AND "&amp;VLOOKUP(B166,Instruções!$F$6:$J$10,5,0)&amp;"_as_is = "&amp;VLOOKUP(B166,Instruções!$F$6:$J$10,5,0)&amp;"_to_be ")</f>
        <v xml:space="preserve">ON instrmnt_id_as_is = instrmnt_id_to_be </v>
      </c>
      <c r="K166" s="17" t="str">
        <f t="shared" si="36"/>
        <v xml:space="preserve">WHERE coalesce(cast(ifrs9_bhvrl_mtrty_as_is as string), '') &lt;&gt; coalesce(cast(ifrs9_bhvrl_mtrty_to_be as string), '') </v>
      </c>
      <c r="L166" s="17" t="str">
        <f t="shared" si="39"/>
        <v xml:space="preserve">SELECT count(*) AS NUM_REG_DIF FROM (SELECT instrmnt_id as instrmnt_id_as_is, ifrs9_bhvrl_mtrty as ifrs9_bhvrl_mtrty_as_is FROM cd_loan_tapes_bce.lt002_instrument WHERE ref_date='2025-06-30' AND nome_perimetro= 'Individual IDComb' AND segmento= 'ESTR' AND ambito= 'PM' AND entidade='00100' AND cod_visao = 1) A  Inner join (SELECT instrmnt_id as instrmnt_id_to_be, ifrs9_bhvrl_mtrty as ifrs9_bhvrl_mtrty_to_be FROM bu_loantape_work.lt002_instrument WHERE ref_date='2025-06-30' AND nome_perimetro= 'Individual IDComb' AND segmento= 'ESTR' AND ambito= 'PM' AND entidade='00100' AND cod_visao = 1) B ON instrmnt_id_as_is = instrmnt_id_to_be WHERE coalesce(cast(ifrs9_bhvrl_mtrty_as_is as string), '') &lt;&gt; coalesce(cast(ifrs9_bhvrl_mtrty_to_be as string), '') </v>
      </c>
      <c r="M166" s="17" t="s">
        <v>48</v>
      </c>
      <c r="N166" s="17" t="str">
        <f>"SELECT 'Validação de campos' as tipologia_teste, '"&amp;VLOOKUP(B166,Instruções!$F$6:$J$10,3,0)&amp;"' AS TABELA, '"&amp;E166&amp;"' AS CAMPO, '"&amp;Instruções!$D$7&amp;"' as ref_date, coalesce(NUM_REG_DIF, 0) AS NUM_REG_DIF FROM ("&amp;L166&amp;") A "</f>
        <v xml:space="preserve">SELECT 'Validação de campos' as tipologia_teste, 'lt002_instrument' AS TABELA, 'ifrs9_bhvrl_mtrty' AS CAMPO, '2025-06-30' as ref_date, coalesce(NUM_REG_DIF, 0) AS NUM_REG_DIF FROM (SELECT count(*) AS NUM_REG_DIF FROM (SELECT instrmnt_id as instrmnt_id_as_is, ifrs9_bhvrl_mtrty as ifrs9_bhvrl_mtrty_as_is FROM cd_loan_tapes_bce.lt002_instrument WHERE ref_date='2025-06-30' AND nome_perimetro= 'Individual IDComb' AND segmento= 'ESTR' AND ambito= 'PM' AND entidade='00100' AND cod_visao = 1) A  Inner join (SELECT instrmnt_id as instrmnt_id_to_be, ifrs9_bhvrl_mtrty as ifrs9_bhvrl_mtrty_to_be FROM bu_loantape_work.lt002_instrument WHERE ref_date='2025-06-30' AND nome_perimetro= 'Individual IDComb' AND segmento= 'ESTR' AND ambito= 'PM' AND entidade='00100' AND cod_visao = 1) B ON instrmnt_id_as_is = instrmnt_id_to_be WHERE coalesce(cast(ifrs9_bhvrl_mtrty_as_is as string), '') &lt;&gt; coalesce(cast(ifrs9_bhvrl_mtrty_to_be as string), '') ) A </v>
      </c>
      <c r="O166" s="19" t="str">
        <f t="shared" ref="O166:O188" si="41">IF(O167="",N166,N166&amp;$O$3)</f>
        <v>SELECT 'Validação de campos' as tipologia_teste, 'lt002_instrument' AS TABELA, 'ifrs9_bhvrl_mtrty' AS CAMPO, '2025-06-30' as ref_date, coalesce(NUM_REG_DIF, 0) AS NUM_REG_DIF FROM (SELECT count(*) AS NUM_REG_DIF FROM (SELECT instrmnt_id as instrmnt_id_as_is, ifrs9_bhvrl_mtrty as ifrs9_bhvrl_mtrty_as_is FROM cd_loan_tapes_bce.lt002_instrument WHERE ref_date='2025-06-30' AND nome_perimetro= 'Individual IDComb' AND segmento= 'ESTR' AND ambito= 'PM' AND entidade='00100' AND cod_visao = 1) A  Inner join (SELECT instrmnt_id as instrmnt_id_to_be, ifrs9_bhvrl_mtrty as ifrs9_bhvrl_mtrty_to_be FROM bu_loantape_work.lt002_instrument WHERE ref_date='2025-06-30' AND nome_perimetro= 'Individual IDComb' AND segmento= 'ESTR' AND ambito= 'PM' AND entidade='00100' AND cod_visao = 1) B ON instrmnt_id_as_is = instrmnt_id_to_be WHERE coalesce(cast(ifrs9_bhvrl_mtrty_as_is as string), '') &lt;&gt; coalesce(cast(ifrs9_bhvrl_mtrty_to_be as string), '') ) A UNION ALL</v>
      </c>
      <c r="P166" s="17">
        <f t="shared" si="40"/>
        <v>2</v>
      </c>
    </row>
    <row r="167" spans="2:16" s="15" customFormat="1" ht="11.5" x14ac:dyDescent="0.25">
      <c r="B167" s="17" t="s">
        <v>24</v>
      </c>
      <c r="C167" s="17" t="str">
        <f>_xlfn.CONCAT(Instruções!$D$5,".",VLOOKUP(B167,Instruções!$F$5:$H$10,2,0))</f>
        <v>cd_loan_tapes_bce.lt002_instrument</v>
      </c>
      <c r="D167" s="17" t="str">
        <f>_xlfn.CONCAT(Instruções!$D$6,".",VLOOKUP(B167,Instruções!$F$5:$H$10,3,0))</f>
        <v>bu_loantape_work.lt002_instrument</v>
      </c>
      <c r="E167" s="17" t="s">
        <v>195</v>
      </c>
      <c r="F167" s="17" t="str">
        <f t="shared" si="34"/>
        <v>dt_frbrnc_stts_as_is</v>
      </c>
      <c r="G167" s="17" t="str">
        <f t="shared" si="35"/>
        <v>dt_frbrnc_stts_to_be</v>
      </c>
      <c r="H167" s="17" t="str">
        <f>IF(VLOOKUP(B167,Instruções!$F$6:$J$10,5,0)="",
"(SELECT "&amp;VLOOKUP(B167,Instruções!$F$6:$J$10,4,0)&amp;" as "&amp;VLOOKUP(B167,Instruções!$F$6:$J$10,4,0)&amp;"_as_is, "&amp;E167&amp;" as "&amp;F167&amp;" FROM "&amp;C167&amp;" WHERE "&amp;Instruções!$D$11&amp;") A ",
"(SELECT "&amp;VLOOKUP(B167,Instruções!$F$6:$J$10,4,0)&amp;" as "&amp;VLOOKUP(B167,Instruções!$F$6:$J$10,4,0)&amp;"_as_is, "&amp;VLOOKUP(B167,Instruções!$F$6:$J$10,5,0)&amp;" as "&amp;VLOOKUP(B167,Instruções!$F$6:$J$10,5,0)&amp;"_as_is,"&amp;E167&amp;" as "&amp;F167&amp;" FROM "&amp;C167&amp;" WHERE "&amp;Instruções!$D$11&amp;") A ")</f>
        <v xml:space="preserve">(SELECT instrmnt_id as instrmnt_id_as_is, dt_frbrnc_stts as dt_frbrnc_stts_as_is FROM cd_loan_tapes_bce.lt002_instrument WHERE ref_date='2025-06-30' AND nome_perimetro= 'Individual IDComb' AND segmento= 'ESTR' AND ambito= 'PM' AND entidade='00100' AND cod_visao = 1) A </v>
      </c>
      <c r="I167" s="17" t="str">
        <f>IF(VLOOKUP(B167,Instruções!$F$6:$J$10,5,0)="",
"(SELECT "&amp;VLOOKUP(B167,Instruções!$F$6:$J$10,4,0)&amp;" as "&amp;VLOOKUP(B167,Instruções!$F$6:$J$10,4,0)&amp;"_to_be, "&amp;E167&amp;" as "&amp;G167&amp;" FROM "&amp;D167&amp;" WHERE "&amp;Instruções!$D$11&amp;") B ",
"(SELECT "&amp;VLOOKUP(B167,Instruções!$F$6:$J$10,4,0)&amp;" as "&amp;VLOOKUP(B167,Instruções!$F$6:$J$10,4,0)&amp;"_to_be, "&amp;VLOOKUP(B167,Instruções!$F$6:$J$10,5,0)&amp;" as "&amp;VLOOKUP(B167,Instruções!$F$6:$J$10,5,0)&amp;"_to_be,"&amp;E167&amp;" as "&amp;G167&amp;" FROM "&amp;D167&amp;" WHERE "&amp;Instruções!$D$11&amp;") B ")</f>
        <v xml:space="preserve">(SELECT instrmnt_id as instrmnt_id_to_be, dt_frbrnc_stts as dt_frbrnc_stts_to_be FROM bu_loantape_work.lt002_instrument WHERE ref_date='2025-06-30' AND nome_perimetro= 'Individual IDComb' AND segmento= 'ESTR' AND ambito= 'PM' AND entidade='00100' AND cod_visao = 1) B </v>
      </c>
      <c r="J167" s="17" t="str">
        <f>IF(VLOOKUP(B167,Instruções!$F$6:$J$10,5,0)="",
"ON "&amp;VLOOKUP(B167,Instruções!$F$6:$J$10,4,0)&amp;"_as_is = "&amp;VLOOKUP(B167,Instruções!$F$6:$J$10,4,0)&amp;"_to_be ",
"ON "&amp;VLOOKUP(B167,Instruções!$F$6:$J$10,4,0)&amp;"_as_is = "&amp;VLOOKUP(B167,Instruções!$F$6:$J$10,4,0)&amp;"_to_be AND "&amp;VLOOKUP(B167,Instruções!$F$6:$J$10,5,0)&amp;"_as_is = "&amp;VLOOKUP(B167,Instruções!$F$6:$J$10,5,0)&amp;"_to_be ")</f>
        <v xml:space="preserve">ON instrmnt_id_as_is = instrmnt_id_to_be </v>
      </c>
      <c r="K167" s="17" t="str">
        <f t="shared" si="36"/>
        <v xml:space="preserve">WHERE coalesce(cast(dt_frbrnc_stts_as_is as string), '') &lt;&gt; coalesce(cast(dt_frbrnc_stts_to_be as string), '') </v>
      </c>
      <c r="L167" s="17" t="str">
        <f t="shared" si="39"/>
        <v xml:space="preserve">SELECT count(*) AS NUM_REG_DIF FROM (SELECT instrmnt_id as instrmnt_id_as_is, dt_frbrnc_stts as dt_frbrnc_stts_as_is FROM cd_loan_tapes_bce.lt002_instrument WHERE ref_date='2025-06-30' AND nome_perimetro= 'Individual IDComb' AND segmento= 'ESTR' AND ambito= 'PM' AND entidade='00100' AND cod_visao = 1) A  Inner join (SELECT instrmnt_id as instrmnt_id_to_be, dt_frbrnc_stts as dt_frbrnc_stts_to_be FROM bu_loantape_work.lt002_instrument WHERE ref_date='2025-06-30' AND nome_perimetro= 'Individual IDComb' AND segmento= 'ESTR' AND ambito= 'PM' AND entidade='00100' AND cod_visao = 1) B ON instrmnt_id_as_is = instrmnt_id_to_be WHERE coalesce(cast(dt_frbrnc_stts_as_is as string), '') &lt;&gt; coalesce(cast(dt_frbrnc_stts_to_be as string), '') </v>
      </c>
      <c r="M167" s="17" t="s">
        <v>48</v>
      </c>
      <c r="N167" s="17" t="str">
        <f>"SELECT 'Validação de campos' as tipologia_teste, '"&amp;VLOOKUP(B167,Instruções!$F$6:$J$10,3,0)&amp;"' AS TABELA, '"&amp;E167&amp;"' AS CAMPO, '"&amp;Instruções!$D$7&amp;"' as ref_date, coalesce(NUM_REG_DIF, 0) AS NUM_REG_DIF FROM ("&amp;L167&amp;") A "</f>
        <v xml:space="preserve">SELECT 'Validação de campos' as tipologia_teste, 'lt002_instrument' AS TABELA, 'dt_frbrnc_stts' AS CAMPO, '2025-06-30' as ref_date, coalesce(NUM_REG_DIF, 0) AS NUM_REG_DIF FROM (SELECT count(*) AS NUM_REG_DIF FROM (SELECT instrmnt_id as instrmnt_id_as_is, dt_frbrnc_stts as dt_frbrnc_stts_as_is FROM cd_loan_tapes_bce.lt002_instrument WHERE ref_date='2025-06-30' AND nome_perimetro= 'Individual IDComb' AND segmento= 'ESTR' AND ambito= 'PM' AND entidade='00100' AND cod_visao = 1) A  Inner join (SELECT instrmnt_id as instrmnt_id_to_be, dt_frbrnc_stts as dt_frbrnc_stts_to_be FROM bu_loantape_work.lt002_instrument WHERE ref_date='2025-06-30' AND nome_perimetro= 'Individual IDComb' AND segmento= 'ESTR' AND ambito= 'PM' AND entidade='00100' AND cod_visao = 1) B ON instrmnt_id_as_is = instrmnt_id_to_be WHERE coalesce(cast(dt_frbrnc_stts_as_is as string), '') &lt;&gt; coalesce(cast(dt_frbrnc_stts_to_be as string), '') ) A </v>
      </c>
      <c r="O167" s="19" t="str">
        <f t="shared" si="41"/>
        <v>SELECT 'Validação de campos' as tipologia_teste, 'lt002_instrument' AS TABELA, 'dt_frbrnc_stts' AS CAMPO, '2025-06-30' as ref_date, coalesce(NUM_REG_DIF, 0) AS NUM_REG_DIF FROM (SELECT count(*) AS NUM_REG_DIF FROM (SELECT instrmnt_id as instrmnt_id_as_is, dt_frbrnc_stts as dt_frbrnc_stts_as_is FROM cd_loan_tapes_bce.lt002_instrument WHERE ref_date='2025-06-30' AND nome_perimetro= 'Individual IDComb' AND segmento= 'ESTR' AND ambito= 'PM' AND entidade='00100' AND cod_visao = 1) A  Inner join (SELECT instrmnt_id as instrmnt_id_to_be, dt_frbrnc_stts as dt_frbrnc_stts_to_be FROM bu_loantape_work.lt002_instrument WHERE ref_date='2025-06-30' AND nome_perimetro= 'Individual IDComb' AND segmento= 'ESTR' AND ambito= 'PM' AND entidade='00100' AND cod_visao = 1) B ON instrmnt_id_as_is = instrmnt_id_to_be WHERE coalesce(cast(dt_frbrnc_stts_as_is as string), '') &lt;&gt; coalesce(cast(dt_frbrnc_stts_to_be as string), '') ) A UNION ALL</v>
      </c>
      <c r="P167" s="17">
        <f t="shared" si="40"/>
        <v>3</v>
      </c>
    </row>
    <row r="168" spans="2:16" s="15" customFormat="1" ht="11.5" x14ac:dyDescent="0.25">
      <c r="B168" s="17" t="s">
        <v>24</v>
      </c>
      <c r="C168" s="17" t="str">
        <f>_xlfn.CONCAT(Instruções!$D$5,".",VLOOKUP(B168,Instruções!$F$5:$H$10,2,0))</f>
        <v>cd_loan_tapes_bce.lt002_instrument</v>
      </c>
      <c r="D168" s="17" t="str">
        <f>_xlfn.CONCAT(Instruções!$D$6,".",VLOOKUP(B168,Instruções!$F$5:$H$10,3,0))</f>
        <v>bu_loantape_work.lt002_instrument</v>
      </c>
      <c r="E168" s="17" t="s">
        <v>196</v>
      </c>
      <c r="F168" s="17" t="str">
        <f t="shared" si="34"/>
        <v>dt_frbrnc_stts_prvs_as_is</v>
      </c>
      <c r="G168" s="17" t="str">
        <f t="shared" si="35"/>
        <v>dt_frbrnc_stts_prvs_to_be</v>
      </c>
      <c r="H168" s="17" t="str">
        <f>IF(VLOOKUP(B168,Instruções!$F$6:$J$10,5,0)="",
"(SELECT "&amp;VLOOKUP(B168,Instruções!$F$6:$J$10,4,0)&amp;" as "&amp;VLOOKUP(B168,Instruções!$F$6:$J$10,4,0)&amp;"_as_is, "&amp;E168&amp;" as "&amp;F168&amp;" FROM "&amp;C168&amp;" WHERE "&amp;Instruções!$D$11&amp;") A ",
"(SELECT "&amp;VLOOKUP(B168,Instruções!$F$6:$J$10,4,0)&amp;" as "&amp;VLOOKUP(B168,Instruções!$F$6:$J$10,4,0)&amp;"_as_is, "&amp;VLOOKUP(B168,Instruções!$F$6:$J$10,5,0)&amp;" as "&amp;VLOOKUP(B168,Instruções!$F$6:$J$10,5,0)&amp;"_as_is,"&amp;E168&amp;" as "&amp;F168&amp;" FROM "&amp;C168&amp;" WHERE "&amp;Instruções!$D$11&amp;") A ")</f>
        <v xml:space="preserve">(SELECT instrmnt_id as instrmnt_id_as_is, dt_frbrnc_stts_prvs as dt_frbrnc_stts_prvs_as_is FROM cd_loan_tapes_bce.lt002_instrument WHERE ref_date='2025-06-30' AND nome_perimetro= 'Individual IDComb' AND segmento= 'ESTR' AND ambito= 'PM' AND entidade='00100' AND cod_visao = 1) A </v>
      </c>
      <c r="I168" s="17" t="str">
        <f>IF(VLOOKUP(B168,Instruções!$F$6:$J$10,5,0)="",
"(SELECT "&amp;VLOOKUP(B168,Instruções!$F$6:$J$10,4,0)&amp;" as "&amp;VLOOKUP(B168,Instruções!$F$6:$J$10,4,0)&amp;"_to_be, "&amp;E168&amp;" as "&amp;G168&amp;" FROM "&amp;D168&amp;" WHERE "&amp;Instruções!$D$11&amp;") B ",
"(SELECT "&amp;VLOOKUP(B168,Instruções!$F$6:$J$10,4,0)&amp;" as "&amp;VLOOKUP(B168,Instruções!$F$6:$J$10,4,0)&amp;"_to_be, "&amp;VLOOKUP(B168,Instruções!$F$6:$J$10,5,0)&amp;" as "&amp;VLOOKUP(B168,Instruções!$F$6:$J$10,5,0)&amp;"_to_be,"&amp;E168&amp;" as "&amp;G168&amp;" FROM "&amp;D168&amp;" WHERE "&amp;Instruções!$D$11&amp;") B ")</f>
        <v xml:space="preserve">(SELECT instrmnt_id as instrmnt_id_to_be, dt_frbrnc_stts_prvs as dt_frbrnc_stts_prvs_to_be FROM bu_loantape_work.lt002_instrument WHERE ref_date='2025-06-30' AND nome_perimetro= 'Individual IDComb' AND segmento= 'ESTR' AND ambito= 'PM' AND entidade='00100' AND cod_visao = 1) B </v>
      </c>
      <c r="J168" s="17" t="str">
        <f>IF(VLOOKUP(B168,Instruções!$F$6:$J$10,5,0)="",
"ON "&amp;VLOOKUP(B168,Instruções!$F$6:$J$10,4,0)&amp;"_as_is = "&amp;VLOOKUP(B168,Instruções!$F$6:$J$10,4,0)&amp;"_to_be ",
"ON "&amp;VLOOKUP(B168,Instruções!$F$6:$J$10,4,0)&amp;"_as_is = "&amp;VLOOKUP(B168,Instruções!$F$6:$J$10,4,0)&amp;"_to_be AND "&amp;VLOOKUP(B168,Instruções!$F$6:$J$10,5,0)&amp;"_as_is = "&amp;VLOOKUP(B168,Instruções!$F$6:$J$10,5,0)&amp;"_to_be ")</f>
        <v xml:space="preserve">ON instrmnt_id_as_is = instrmnt_id_to_be </v>
      </c>
      <c r="K168" s="17" t="str">
        <f t="shared" si="36"/>
        <v xml:space="preserve">WHERE coalesce(cast(dt_frbrnc_stts_prvs_as_is as string), '') &lt;&gt; coalesce(cast(dt_frbrnc_stts_prvs_to_be as string), '') </v>
      </c>
      <c r="L168" s="17" t="str">
        <f t="shared" si="39"/>
        <v xml:space="preserve">SELECT count(*) AS NUM_REG_DIF FROM (SELECT instrmnt_id as instrmnt_id_as_is, dt_frbrnc_stts_prvs as dt_frbrnc_stts_prvs_as_is FROM cd_loan_tapes_bce.lt002_instrument WHERE ref_date='2025-06-30' AND nome_perimetro= 'Individual IDComb' AND segmento= 'ESTR' AND ambito= 'PM' AND entidade='00100' AND cod_visao = 1) A  Inner join (SELECT instrmnt_id as instrmnt_id_to_be, dt_frbrnc_stts_prvs as dt_frbrnc_stts_prvs_to_be FROM bu_loantape_work.lt002_instrument WHERE ref_date='2025-06-30' AND nome_perimetro= 'Individual IDComb' AND segmento= 'ESTR' AND ambito= 'PM' AND entidade='00100' AND cod_visao = 1) B ON instrmnt_id_as_is = instrmnt_id_to_be WHERE coalesce(cast(dt_frbrnc_stts_prvs_as_is as string), '') &lt;&gt; coalesce(cast(dt_frbrnc_stts_prvs_to_be as string), '') </v>
      </c>
      <c r="M168" s="17" t="s">
        <v>48</v>
      </c>
      <c r="N168" s="17" t="str">
        <f>"SELECT 'Validação de campos' as tipologia_teste, '"&amp;VLOOKUP(B168,Instruções!$F$6:$J$10,3,0)&amp;"' AS TABELA, '"&amp;E168&amp;"' AS CAMPO, '"&amp;Instruções!$D$7&amp;"' as ref_date, coalesce(NUM_REG_DIF, 0) AS NUM_REG_DIF FROM ("&amp;L168&amp;") A "</f>
        <v xml:space="preserve">SELECT 'Validação de campos' as tipologia_teste, 'lt002_instrument' AS TABELA, 'dt_frbrnc_stts_prvs' AS CAMPO, '2025-06-30' as ref_date, coalesce(NUM_REG_DIF, 0) AS NUM_REG_DIF FROM (SELECT count(*) AS NUM_REG_DIF FROM (SELECT instrmnt_id as instrmnt_id_as_is, dt_frbrnc_stts_prvs as dt_frbrnc_stts_prvs_as_is FROM cd_loan_tapes_bce.lt002_instrument WHERE ref_date='2025-06-30' AND nome_perimetro= 'Individual IDComb' AND segmento= 'ESTR' AND ambito= 'PM' AND entidade='00100' AND cod_visao = 1) A  Inner join (SELECT instrmnt_id as instrmnt_id_to_be, dt_frbrnc_stts_prvs as dt_frbrnc_stts_prvs_to_be FROM bu_loantape_work.lt002_instrument WHERE ref_date='2025-06-30' AND nome_perimetro= 'Individual IDComb' AND segmento= 'ESTR' AND ambito= 'PM' AND entidade='00100' AND cod_visao = 1) B ON instrmnt_id_as_is = instrmnt_id_to_be WHERE coalesce(cast(dt_frbrnc_stts_prvs_as_is as string), '') &lt;&gt; coalesce(cast(dt_frbrnc_stts_prvs_to_be as string), '') ) A </v>
      </c>
      <c r="O168" s="19" t="str">
        <f t="shared" si="41"/>
        <v>SELECT 'Validação de campos' as tipologia_teste, 'lt002_instrument' AS TABELA, 'dt_frbrnc_stts_prvs' AS CAMPO, '2025-06-30' as ref_date, coalesce(NUM_REG_DIF, 0) AS NUM_REG_DIF FROM (SELECT count(*) AS NUM_REG_DIF FROM (SELECT instrmnt_id as instrmnt_id_as_is, dt_frbrnc_stts_prvs as dt_frbrnc_stts_prvs_as_is FROM cd_loan_tapes_bce.lt002_instrument WHERE ref_date='2025-06-30' AND nome_perimetro= 'Individual IDComb' AND segmento= 'ESTR' AND ambito= 'PM' AND entidade='00100' AND cod_visao = 1) A  Inner join (SELECT instrmnt_id as instrmnt_id_to_be, dt_frbrnc_stts_prvs as dt_frbrnc_stts_prvs_to_be FROM bu_loantape_work.lt002_instrument WHERE ref_date='2025-06-30' AND nome_perimetro= 'Individual IDComb' AND segmento= 'ESTR' AND ambito= 'PM' AND entidade='00100' AND cod_visao = 1) B ON instrmnt_id_as_is = instrmnt_id_to_be WHERE coalesce(cast(dt_frbrnc_stts_prvs_as_is as string), '') &lt;&gt; coalesce(cast(dt_frbrnc_stts_prvs_to_be as string), '') ) A UNION ALL</v>
      </c>
      <c r="P168" s="17">
        <f t="shared" si="40"/>
        <v>4</v>
      </c>
    </row>
    <row r="169" spans="2:16" s="15" customFormat="1" ht="11.5" x14ac:dyDescent="0.25">
      <c r="B169" s="17" t="s">
        <v>24</v>
      </c>
      <c r="C169" s="17" t="str">
        <f>_xlfn.CONCAT(Instruções!$D$5,".",VLOOKUP(B169,Instruções!$F$5:$H$10,2,0))</f>
        <v>cd_loan_tapes_bce.lt002_instrument</v>
      </c>
      <c r="D169" s="17" t="str">
        <f>_xlfn.CONCAT(Instruções!$D$6,".",VLOOKUP(B169,Instruções!$F$5:$H$10,3,0))</f>
        <v>bu_loantape_work.lt002_instrument</v>
      </c>
      <c r="E169" s="17" t="s">
        <v>197</v>
      </c>
      <c r="F169" s="17" t="str">
        <f t="shared" si="34"/>
        <v>dt_imprmnt_stts_as_is</v>
      </c>
      <c r="G169" s="17" t="str">
        <f t="shared" si="35"/>
        <v>dt_imprmnt_stts_to_be</v>
      </c>
      <c r="H169" s="17" t="str">
        <f>IF(VLOOKUP(B169,Instruções!$F$6:$J$10,5,0)="",
"(SELECT "&amp;VLOOKUP(B169,Instruções!$F$6:$J$10,4,0)&amp;" as "&amp;VLOOKUP(B169,Instruções!$F$6:$J$10,4,0)&amp;"_as_is, "&amp;E169&amp;" as "&amp;F169&amp;" FROM "&amp;C169&amp;" WHERE "&amp;Instruções!$D$11&amp;") A ",
"(SELECT "&amp;VLOOKUP(B169,Instruções!$F$6:$J$10,4,0)&amp;" as "&amp;VLOOKUP(B169,Instruções!$F$6:$J$10,4,0)&amp;"_as_is, "&amp;VLOOKUP(B169,Instruções!$F$6:$J$10,5,0)&amp;" as "&amp;VLOOKUP(B169,Instruções!$F$6:$J$10,5,0)&amp;"_as_is,"&amp;E169&amp;" as "&amp;F169&amp;" FROM "&amp;C169&amp;" WHERE "&amp;Instruções!$D$11&amp;") A ")</f>
        <v xml:space="preserve">(SELECT instrmnt_id as instrmnt_id_as_is, dt_imprmnt_stts as dt_imprmnt_stts_as_is FROM cd_loan_tapes_bce.lt002_instrument WHERE ref_date='2025-06-30' AND nome_perimetro= 'Individual IDComb' AND segmento= 'ESTR' AND ambito= 'PM' AND entidade='00100' AND cod_visao = 1) A </v>
      </c>
      <c r="I169" s="17" t="str">
        <f>IF(VLOOKUP(B169,Instruções!$F$6:$J$10,5,0)="",
"(SELECT "&amp;VLOOKUP(B169,Instruções!$F$6:$J$10,4,0)&amp;" as "&amp;VLOOKUP(B169,Instruções!$F$6:$J$10,4,0)&amp;"_to_be, "&amp;E169&amp;" as "&amp;G169&amp;" FROM "&amp;D169&amp;" WHERE "&amp;Instruções!$D$11&amp;") B ",
"(SELECT "&amp;VLOOKUP(B169,Instruções!$F$6:$J$10,4,0)&amp;" as "&amp;VLOOKUP(B169,Instruções!$F$6:$J$10,4,0)&amp;"_to_be, "&amp;VLOOKUP(B169,Instruções!$F$6:$J$10,5,0)&amp;" as "&amp;VLOOKUP(B169,Instruções!$F$6:$J$10,5,0)&amp;"_to_be,"&amp;E169&amp;" as "&amp;G169&amp;" FROM "&amp;D169&amp;" WHERE "&amp;Instruções!$D$11&amp;") B ")</f>
        <v xml:space="preserve">(SELECT instrmnt_id as instrmnt_id_to_be, dt_imprmnt_stts as dt_imprmnt_stts_to_be FROM bu_loantape_work.lt002_instrument WHERE ref_date='2025-06-30' AND nome_perimetro= 'Individual IDComb' AND segmento= 'ESTR' AND ambito= 'PM' AND entidade='00100' AND cod_visao = 1) B </v>
      </c>
      <c r="J169" s="17" t="str">
        <f>IF(VLOOKUP(B169,Instruções!$F$6:$J$10,5,0)="",
"ON "&amp;VLOOKUP(B169,Instruções!$F$6:$J$10,4,0)&amp;"_as_is = "&amp;VLOOKUP(B169,Instruções!$F$6:$J$10,4,0)&amp;"_to_be ",
"ON "&amp;VLOOKUP(B169,Instruções!$F$6:$J$10,4,0)&amp;"_as_is = "&amp;VLOOKUP(B169,Instruções!$F$6:$J$10,4,0)&amp;"_to_be AND "&amp;VLOOKUP(B169,Instruções!$F$6:$J$10,5,0)&amp;"_as_is = "&amp;VLOOKUP(B169,Instruções!$F$6:$J$10,5,0)&amp;"_to_be ")</f>
        <v xml:space="preserve">ON instrmnt_id_as_is = instrmnt_id_to_be </v>
      </c>
      <c r="K169" s="17" t="str">
        <f t="shared" si="36"/>
        <v xml:space="preserve">WHERE coalesce(cast(dt_imprmnt_stts_as_is as string), '') &lt;&gt; coalesce(cast(dt_imprmnt_stts_to_be as string), '') </v>
      </c>
      <c r="L169" s="17" t="str">
        <f t="shared" si="39"/>
        <v xml:space="preserve">SELECT count(*) AS NUM_REG_DIF FROM (SELECT instrmnt_id as instrmnt_id_as_is, dt_imprmnt_stts as dt_imprmnt_stts_as_is FROM cd_loan_tapes_bce.lt002_instrument WHERE ref_date='2025-06-30' AND nome_perimetro= 'Individual IDComb' AND segmento= 'ESTR' AND ambito= 'PM' AND entidade='00100' AND cod_visao = 1) A  Inner join (SELECT instrmnt_id as instrmnt_id_to_be, dt_imprmnt_stts as dt_imprmnt_stts_to_be FROM bu_loantape_work.lt002_instrument WHERE ref_date='2025-06-30' AND nome_perimetro= 'Individual IDComb' AND segmento= 'ESTR' AND ambito= 'PM' AND entidade='00100' AND cod_visao = 1) B ON instrmnt_id_as_is = instrmnt_id_to_be WHERE coalesce(cast(dt_imprmnt_stts_as_is as string), '') &lt;&gt; coalesce(cast(dt_imprmnt_stts_to_be as string), '') </v>
      </c>
      <c r="M169" s="17" t="s">
        <v>48</v>
      </c>
      <c r="N169" s="17" t="str">
        <f>"SELECT 'Validação de campos' as tipologia_teste, '"&amp;VLOOKUP(B169,Instruções!$F$6:$J$10,3,0)&amp;"' AS TABELA, '"&amp;E169&amp;"' AS CAMPO, '"&amp;Instruções!$D$7&amp;"' as ref_date, coalesce(NUM_REG_DIF, 0) AS NUM_REG_DIF FROM ("&amp;L169&amp;") A "</f>
        <v xml:space="preserve">SELECT 'Validação de campos' as tipologia_teste, 'lt002_instrument' AS TABELA, 'dt_imprmnt_stts' AS CAMPO, '2025-06-30' as ref_date, coalesce(NUM_REG_DIF, 0) AS NUM_REG_DIF FROM (SELECT count(*) AS NUM_REG_DIF FROM (SELECT instrmnt_id as instrmnt_id_as_is, dt_imprmnt_stts as dt_imprmnt_stts_as_is FROM cd_loan_tapes_bce.lt002_instrument WHERE ref_date='2025-06-30' AND nome_perimetro= 'Individual IDComb' AND segmento= 'ESTR' AND ambito= 'PM' AND entidade='00100' AND cod_visao = 1) A  Inner join (SELECT instrmnt_id as instrmnt_id_to_be, dt_imprmnt_stts as dt_imprmnt_stts_to_be FROM bu_loantape_work.lt002_instrument WHERE ref_date='2025-06-30' AND nome_perimetro= 'Individual IDComb' AND segmento= 'ESTR' AND ambito= 'PM' AND entidade='00100' AND cod_visao = 1) B ON instrmnt_id_as_is = instrmnt_id_to_be WHERE coalesce(cast(dt_imprmnt_stts_as_is as string), '') &lt;&gt; coalesce(cast(dt_imprmnt_stts_to_be as string), '') ) A </v>
      </c>
      <c r="O169" s="19" t="str">
        <f t="shared" si="41"/>
        <v>SELECT 'Validação de campos' as tipologia_teste, 'lt002_instrument' AS TABELA, 'dt_imprmnt_stts' AS CAMPO, '2025-06-30' as ref_date, coalesce(NUM_REG_DIF, 0) AS NUM_REG_DIF FROM (SELECT count(*) AS NUM_REG_DIF FROM (SELECT instrmnt_id as instrmnt_id_as_is, dt_imprmnt_stts as dt_imprmnt_stts_as_is FROM cd_loan_tapes_bce.lt002_instrument WHERE ref_date='2025-06-30' AND nome_perimetro= 'Individual IDComb' AND segmento= 'ESTR' AND ambito= 'PM' AND entidade='00100' AND cod_visao = 1) A  Inner join (SELECT instrmnt_id as instrmnt_id_to_be, dt_imprmnt_stts as dt_imprmnt_stts_to_be FROM bu_loantape_work.lt002_instrument WHERE ref_date='2025-06-30' AND nome_perimetro= 'Individual IDComb' AND segmento= 'ESTR' AND ambito= 'PM' AND entidade='00100' AND cod_visao = 1) B ON instrmnt_id_as_is = instrmnt_id_to_be WHERE coalesce(cast(dt_imprmnt_stts_as_is as string), '') &lt;&gt; coalesce(cast(dt_imprmnt_stts_to_be as string), '') ) A UNION ALL</v>
      </c>
      <c r="P169" s="17">
        <f t="shared" si="40"/>
        <v>5</v>
      </c>
    </row>
    <row r="170" spans="2:16" s="15" customFormat="1" ht="11.5" x14ac:dyDescent="0.25">
      <c r="B170" s="17" t="s">
        <v>24</v>
      </c>
      <c r="C170" s="17" t="str">
        <f>_xlfn.CONCAT(Instruções!$D$5,".",VLOOKUP(B170,Instruções!$F$5:$H$10,2,0))</f>
        <v>cd_loan_tapes_bce.lt002_instrument</v>
      </c>
      <c r="D170" s="17" t="str">
        <f>_xlfn.CONCAT(Instruções!$D$6,".",VLOOKUP(B170,Instruções!$F$5:$H$10,3,0))</f>
        <v>bu_loantape_work.lt002_instrument</v>
      </c>
      <c r="E170" s="17" t="s">
        <v>198</v>
      </c>
      <c r="F170" s="17" t="str">
        <f t="shared" si="34"/>
        <v>dt_imprmnt_stts_prvs_as_is</v>
      </c>
      <c r="G170" s="17" t="str">
        <f t="shared" si="35"/>
        <v>dt_imprmnt_stts_prvs_to_be</v>
      </c>
      <c r="H170" s="17" t="str">
        <f>IF(VLOOKUP(B170,Instruções!$F$6:$J$10,5,0)="",
"(SELECT "&amp;VLOOKUP(B170,Instruções!$F$6:$J$10,4,0)&amp;" as "&amp;VLOOKUP(B170,Instruções!$F$6:$J$10,4,0)&amp;"_as_is, "&amp;E170&amp;" as "&amp;F170&amp;" FROM "&amp;C170&amp;" WHERE "&amp;Instruções!$D$11&amp;") A ",
"(SELECT "&amp;VLOOKUP(B170,Instruções!$F$6:$J$10,4,0)&amp;" as "&amp;VLOOKUP(B170,Instruções!$F$6:$J$10,4,0)&amp;"_as_is, "&amp;VLOOKUP(B170,Instruções!$F$6:$J$10,5,0)&amp;" as "&amp;VLOOKUP(B170,Instruções!$F$6:$J$10,5,0)&amp;"_as_is,"&amp;E170&amp;" as "&amp;F170&amp;" FROM "&amp;C170&amp;" WHERE "&amp;Instruções!$D$11&amp;") A ")</f>
        <v xml:space="preserve">(SELECT instrmnt_id as instrmnt_id_as_is, dt_imprmnt_stts_prvs as dt_imprmnt_stts_prvs_as_is FROM cd_loan_tapes_bce.lt002_instrument WHERE ref_date='2025-06-30' AND nome_perimetro= 'Individual IDComb' AND segmento= 'ESTR' AND ambito= 'PM' AND entidade='00100' AND cod_visao = 1) A </v>
      </c>
      <c r="I170" s="17" t="str">
        <f>IF(VLOOKUP(B170,Instruções!$F$6:$J$10,5,0)="",
"(SELECT "&amp;VLOOKUP(B170,Instruções!$F$6:$J$10,4,0)&amp;" as "&amp;VLOOKUP(B170,Instruções!$F$6:$J$10,4,0)&amp;"_to_be, "&amp;E170&amp;" as "&amp;G170&amp;" FROM "&amp;D170&amp;" WHERE "&amp;Instruções!$D$11&amp;") B ",
"(SELECT "&amp;VLOOKUP(B170,Instruções!$F$6:$J$10,4,0)&amp;" as "&amp;VLOOKUP(B170,Instruções!$F$6:$J$10,4,0)&amp;"_to_be, "&amp;VLOOKUP(B170,Instruções!$F$6:$J$10,5,0)&amp;" as "&amp;VLOOKUP(B170,Instruções!$F$6:$J$10,5,0)&amp;"_to_be,"&amp;E170&amp;" as "&amp;G170&amp;" FROM "&amp;D170&amp;" WHERE "&amp;Instruções!$D$11&amp;") B ")</f>
        <v xml:space="preserve">(SELECT instrmnt_id as instrmnt_id_to_be, dt_imprmnt_stts_prvs as dt_imprmnt_stts_prvs_to_be FROM bu_loantape_work.lt002_instrument WHERE ref_date='2025-06-30' AND nome_perimetro= 'Individual IDComb' AND segmento= 'ESTR' AND ambito= 'PM' AND entidade='00100' AND cod_visao = 1) B </v>
      </c>
      <c r="J170" s="17" t="str">
        <f>IF(VLOOKUP(B170,Instruções!$F$6:$J$10,5,0)="",
"ON "&amp;VLOOKUP(B170,Instruções!$F$6:$J$10,4,0)&amp;"_as_is = "&amp;VLOOKUP(B170,Instruções!$F$6:$J$10,4,0)&amp;"_to_be ",
"ON "&amp;VLOOKUP(B170,Instruções!$F$6:$J$10,4,0)&amp;"_as_is = "&amp;VLOOKUP(B170,Instruções!$F$6:$J$10,4,0)&amp;"_to_be AND "&amp;VLOOKUP(B170,Instruções!$F$6:$J$10,5,0)&amp;"_as_is = "&amp;VLOOKUP(B170,Instruções!$F$6:$J$10,5,0)&amp;"_to_be ")</f>
        <v xml:space="preserve">ON instrmnt_id_as_is = instrmnt_id_to_be </v>
      </c>
      <c r="K170" s="17" t="str">
        <f t="shared" si="36"/>
        <v xml:space="preserve">WHERE coalesce(cast(dt_imprmnt_stts_prvs_as_is as string), '') &lt;&gt; coalesce(cast(dt_imprmnt_stts_prvs_to_be as string), '') </v>
      </c>
      <c r="L170" s="17" t="str">
        <f t="shared" si="39"/>
        <v xml:space="preserve">SELECT count(*) AS NUM_REG_DIF FROM (SELECT instrmnt_id as instrmnt_id_as_is, dt_imprmnt_stts_prvs as dt_imprmnt_stts_prvs_as_is FROM cd_loan_tapes_bce.lt002_instrument WHERE ref_date='2025-06-30' AND nome_perimetro= 'Individual IDComb' AND segmento= 'ESTR' AND ambito= 'PM' AND entidade='00100' AND cod_visao = 1) A  Inner join (SELECT instrmnt_id as instrmnt_id_to_be, dt_imprmnt_stts_prvs as dt_imprmnt_stts_prvs_to_be FROM bu_loantape_work.lt002_instrument WHERE ref_date='2025-06-30' AND nome_perimetro= 'Individual IDComb' AND segmento= 'ESTR' AND ambito= 'PM' AND entidade='00100' AND cod_visao = 1) B ON instrmnt_id_as_is = instrmnt_id_to_be WHERE coalesce(cast(dt_imprmnt_stts_prvs_as_is as string), '') &lt;&gt; coalesce(cast(dt_imprmnt_stts_prvs_to_be as string), '') </v>
      </c>
      <c r="M170" s="17" t="s">
        <v>48</v>
      </c>
      <c r="N170" s="17" t="str">
        <f>"SELECT 'Validação de campos' as tipologia_teste, '"&amp;VLOOKUP(B170,Instruções!$F$6:$J$10,3,0)&amp;"' AS TABELA, '"&amp;E170&amp;"' AS CAMPO, '"&amp;Instruções!$D$7&amp;"' as ref_date, coalesce(NUM_REG_DIF, 0) AS NUM_REG_DIF FROM ("&amp;L170&amp;") A "</f>
        <v xml:space="preserve">SELECT 'Validação de campos' as tipologia_teste, 'lt002_instrument' AS TABELA, 'dt_imprmnt_stts_prvs' AS CAMPO, '2025-06-30' as ref_date, coalesce(NUM_REG_DIF, 0) AS NUM_REG_DIF FROM (SELECT count(*) AS NUM_REG_DIF FROM (SELECT instrmnt_id as instrmnt_id_as_is, dt_imprmnt_stts_prvs as dt_imprmnt_stts_prvs_as_is FROM cd_loan_tapes_bce.lt002_instrument WHERE ref_date='2025-06-30' AND nome_perimetro= 'Individual IDComb' AND segmento= 'ESTR' AND ambito= 'PM' AND entidade='00100' AND cod_visao = 1) A  Inner join (SELECT instrmnt_id as instrmnt_id_to_be, dt_imprmnt_stts_prvs as dt_imprmnt_stts_prvs_to_be FROM bu_loantape_work.lt002_instrument WHERE ref_date='2025-06-30' AND nome_perimetro= 'Individual IDComb' AND segmento= 'ESTR' AND ambito= 'PM' AND entidade='00100' AND cod_visao = 1) B ON instrmnt_id_as_is = instrmnt_id_to_be WHERE coalesce(cast(dt_imprmnt_stts_prvs_as_is as string), '') &lt;&gt; coalesce(cast(dt_imprmnt_stts_prvs_to_be as string), '') ) A </v>
      </c>
      <c r="O170" s="19" t="str">
        <f t="shared" si="41"/>
        <v>SELECT 'Validação de campos' as tipologia_teste, 'lt002_instrument' AS TABELA, 'dt_imprmnt_stts_prvs' AS CAMPO, '2025-06-30' as ref_date, coalesce(NUM_REG_DIF, 0) AS NUM_REG_DIF FROM (SELECT count(*) AS NUM_REG_DIF FROM (SELECT instrmnt_id as instrmnt_id_as_is, dt_imprmnt_stts_prvs as dt_imprmnt_stts_prvs_as_is FROM cd_loan_tapes_bce.lt002_instrument WHERE ref_date='2025-06-30' AND nome_perimetro= 'Individual IDComb' AND segmento= 'ESTR' AND ambito= 'PM' AND entidade='00100' AND cod_visao = 1) A  Inner join (SELECT instrmnt_id as instrmnt_id_to_be, dt_imprmnt_stts_prvs as dt_imprmnt_stts_prvs_to_be FROM bu_loantape_work.lt002_instrument WHERE ref_date='2025-06-30' AND nome_perimetro= 'Individual IDComb' AND segmento= 'ESTR' AND ambito= 'PM' AND entidade='00100' AND cod_visao = 1) B ON instrmnt_id_as_is = instrmnt_id_to_be WHERE coalesce(cast(dt_imprmnt_stts_prvs_as_is as string), '') &lt;&gt; coalesce(cast(dt_imprmnt_stts_prvs_to_be as string), '') ) A UNION ALL</v>
      </c>
      <c r="P170" s="17">
        <f t="shared" si="40"/>
        <v>6</v>
      </c>
    </row>
    <row r="171" spans="2:16" s="15" customFormat="1" ht="11.5" x14ac:dyDescent="0.25">
      <c r="B171" s="17" t="s">
        <v>24</v>
      </c>
      <c r="C171" s="17" t="str">
        <f>_xlfn.CONCAT(Instruções!$D$5,".",VLOOKUP(B171,Instruções!$F$5:$H$10,2,0))</f>
        <v>cd_loan_tapes_bce.lt002_instrument</v>
      </c>
      <c r="D171" s="17" t="str">
        <f>_xlfn.CONCAT(Instruções!$D$6,".",VLOOKUP(B171,Instruções!$F$5:$H$10,3,0))</f>
        <v>bu_loantape_work.lt002_instrument</v>
      </c>
      <c r="E171" s="17" t="s">
        <v>199</v>
      </c>
      <c r="F171" s="17" t="str">
        <f t="shared" si="34"/>
        <v>dt_incptn_as_is</v>
      </c>
      <c r="G171" s="17" t="str">
        <f t="shared" si="35"/>
        <v>dt_incptn_to_be</v>
      </c>
      <c r="H171" s="17" t="str">
        <f>IF(VLOOKUP(B171,Instruções!$F$6:$J$10,5,0)="",
"(SELECT "&amp;VLOOKUP(B171,Instruções!$F$6:$J$10,4,0)&amp;" as "&amp;VLOOKUP(B171,Instruções!$F$6:$J$10,4,0)&amp;"_as_is, "&amp;E171&amp;" as "&amp;F171&amp;" FROM "&amp;C171&amp;" WHERE "&amp;Instruções!$D$11&amp;") A ",
"(SELECT "&amp;VLOOKUP(B171,Instruções!$F$6:$J$10,4,0)&amp;" as "&amp;VLOOKUP(B171,Instruções!$F$6:$J$10,4,0)&amp;"_as_is, "&amp;VLOOKUP(B171,Instruções!$F$6:$J$10,5,0)&amp;" as "&amp;VLOOKUP(B171,Instruções!$F$6:$J$10,5,0)&amp;"_as_is,"&amp;E171&amp;" as "&amp;F171&amp;" FROM "&amp;C171&amp;" WHERE "&amp;Instruções!$D$11&amp;") A ")</f>
        <v xml:space="preserve">(SELECT instrmnt_id as instrmnt_id_as_is, dt_incptn as dt_incptn_as_is FROM cd_loan_tapes_bce.lt002_instrument WHERE ref_date='2025-06-30' AND nome_perimetro= 'Individual IDComb' AND segmento= 'ESTR' AND ambito= 'PM' AND entidade='00100' AND cod_visao = 1) A </v>
      </c>
      <c r="I171" s="17" t="str">
        <f>IF(VLOOKUP(B171,Instruções!$F$6:$J$10,5,0)="",
"(SELECT "&amp;VLOOKUP(B171,Instruções!$F$6:$J$10,4,0)&amp;" as "&amp;VLOOKUP(B171,Instruções!$F$6:$J$10,4,0)&amp;"_to_be, "&amp;E171&amp;" as "&amp;G171&amp;" FROM "&amp;D171&amp;" WHERE "&amp;Instruções!$D$11&amp;") B ",
"(SELECT "&amp;VLOOKUP(B171,Instruções!$F$6:$J$10,4,0)&amp;" as "&amp;VLOOKUP(B171,Instruções!$F$6:$J$10,4,0)&amp;"_to_be, "&amp;VLOOKUP(B171,Instruções!$F$6:$J$10,5,0)&amp;" as "&amp;VLOOKUP(B171,Instruções!$F$6:$J$10,5,0)&amp;"_to_be,"&amp;E171&amp;" as "&amp;G171&amp;" FROM "&amp;D171&amp;" WHERE "&amp;Instruções!$D$11&amp;") B ")</f>
        <v xml:space="preserve">(SELECT instrmnt_id as instrmnt_id_to_be, dt_incptn as dt_incptn_to_be FROM bu_loantape_work.lt002_instrument WHERE ref_date='2025-06-30' AND nome_perimetro= 'Individual IDComb' AND segmento= 'ESTR' AND ambito= 'PM' AND entidade='00100' AND cod_visao = 1) B </v>
      </c>
      <c r="J171" s="17" t="str">
        <f>IF(VLOOKUP(B171,Instruções!$F$6:$J$10,5,0)="",
"ON "&amp;VLOOKUP(B171,Instruções!$F$6:$J$10,4,0)&amp;"_as_is = "&amp;VLOOKUP(B171,Instruções!$F$6:$J$10,4,0)&amp;"_to_be ",
"ON "&amp;VLOOKUP(B171,Instruções!$F$6:$J$10,4,0)&amp;"_as_is = "&amp;VLOOKUP(B171,Instruções!$F$6:$J$10,4,0)&amp;"_to_be AND "&amp;VLOOKUP(B171,Instruções!$F$6:$J$10,5,0)&amp;"_as_is = "&amp;VLOOKUP(B171,Instruções!$F$6:$J$10,5,0)&amp;"_to_be ")</f>
        <v xml:space="preserve">ON instrmnt_id_as_is = instrmnt_id_to_be </v>
      </c>
      <c r="K171" s="17" t="str">
        <f t="shared" si="36"/>
        <v xml:space="preserve">WHERE coalesce(cast(dt_incptn_as_is as string), '') &lt;&gt; coalesce(cast(dt_incptn_to_be as string), '') </v>
      </c>
      <c r="L171" s="17" t="str">
        <f t="shared" si="39"/>
        <v xml:space="preserve">SELECT count(*) AS NUM_REG_DIF FROM (SELECT instrmnt_id as instrmnt_id_as_is, dt_incptn as dt_incptn_as_is FROM cd_loan_tapes_bce.lt002_instrument WHERE ref_date='2025-06-30' AND nome_perimetro= 'Individual IDComb' AND segmento= 'ESTR' AND ambito= 'PM' AND entidade='00100' AND cod_visao = 1) A  Inner join (SELECT instrmnt_id as instrmnt_id_to_be, dt_incptn as dt_incptn_to_be FROM bu_loantape_work.lt002_instrument WHERE ref_date='2025-06-30' AND nome_perimetro= 'Individual IDComb' AND segmento= 'ESTR' AND ambito= 'PM' AND entidade='00100' AND cod_visao = 1) B ON instrmnt_id_as_is = instrmnt_id_to_be WHERE coalesce(cast(dt_incptn_as_is as string), '') &lt;&gt; coalesce(cast(dt_incptn_to_be as string), '') </v>
      </c>
      <c r="M171" s="17" t="s">
        <v>48</v>
      </c>
      <c r="N171" s="17" t="str">
        <f>"SELECT 'Validação de campos' as tipologia_teste, '"&amp;VLOOKUP(B171,Instruções!$F$6:$J$10,3,0)&amp;"' AS TABELA, '"&amp;E171&amp;"' AS CAMPO, '"&amp;Instruções!$D$7&amp;"' as ref_date, coalesce(NUM_REG_DIF, 0) AS NUM_REG_DIF FROM ("&amp;L171&amp;") A "</f>
        <v xml:space="preserve">SELECT 'Validação de campos' as tipologia_teste, 'lt002_instrument' AS TABELA, 'dt_incptn' AS CAMPO, '2025-06-30' as ref_date, coalesce(NUM_REG_DIF, 0) AS NUM_REG_DIF FROM (SELECT count(*) AS NUM_REG_DIF FROM (SELECT instrmnt_id as instrmnt_id_as_is, dt_incptn as dt_incptn_as_is FROM cd_loan_tapes_bce.lt002_instrument WHERE ref_date='2025-06-30' AND nome_perimetro= 'Individual IDComb' AND segmento= 'ESTR' AND ambito= 'PM' AND entidade='00100' AND cod_visao = 1) A  Inner join (SELECT instrmnt_id as instrmnt_id_to_be, dt_incptn as dt_incptn_to_be FROM bu_loantape_work.lt002_instrument WHERE ref_date='2025-06-30' AND nome_perimetro= 'Individual IDComb' AND segmento= 'ESTR' AND ambito= 'PM' AND entidade='00100' AND cod_visao = 1) B ON instrmnt_id_as_is = instrmnt_id_to_be WHERE coalesce(cast(dt_incptn_as_is as string), '') &lt;&gt; coalesce(cast(dt_incptn_to_be as string), '') ) A </v>
      </c>
      <c r="O171" s="19" t="str">
        <f t="shared" si="41"/>
        <v>SELECT 'Validação de campos' as tipologia_teste, 'lt002_instrument' AS TABELA, 'dt_incptn' AS CAMPO, '2025-06-30' as ref_date, coalesce(NUM_REG_DIF, 0) AS NUM_REG_DIF FROM (SELECT count(*) AS NUM_REG_DIF FROM (SELECT instrmnt_id as instrmnt_id_as_is, dt_incptn as dt_incptn_as_is FROM cd_loan_tapes_bce.lt002_instrument WHERE ref_date='2025-06-30' AND nome_perimetro= 'Individual IDComb' AND segmento= 'ESTR' AND ambito= 'PM' AND entidade='00100' AND cod_visao = 1) A  Inner join (SELECT instrmnt_id as instrmnt_id_to_be, dt_incptn as dt_incptn_to_be FROM bu_loantape_work.lt002_instrument WHERE ref_date='2025-06-30' AND nome_perimetro= 'Individual IDComb' AND segmento= 'ESTR' AND ambito= 'PM' AND entidade='00100' AND cod_visao = 1) B ON instrmnt_id_as_is = instrmnt_id_to_be WHERE coalesce(cast(dt_incptn_as_is as string), '') &lt;&gt; coalesce(cast(dt_incptn_to_be as string), '') ) A UNION ALL</v>
      </c>
      <c r="P171" s="17">
        <f t="shared" si="40"/>
        <v>7</v>
      </c>
    </row>
    <row r="172" spans="2:16" s="15" customFormat="1" ht="11.5" x14ac:dyDescent="0.25">
      <c r="B172" s="17" t="s">
        <v>24</v>
      </c>
      <c r="C172" s="17" t="str">
        <f>_xlfn.CONCAT(Instruções!$D$5,".",VLOOKUP(B172,Instruções!$F$5:$H$10,2,0))</f>
        <v>cd_loan_tapes_bce.lt002_instrument</v>
      </c>
      <c r="D172" s="17" t="str">
        <f>_xlfn.CONCAT(Instruções!$D$6,".",VLOOKUP(B172,Instruções!$F$5:$H$10,3,0))</f>
        <v>bu_loantape_work.lt002_instrument</v>
      </c>
      <c r="E172" s="17" t="s">
        <v>71</v>
      </c>
      <c r="F172" s="17" t="str">
        <f t="shared" si="34"/>
        <v>dt_intrnl_rtng_as_is</v>
      </c>
      <c r="G172" s="17" t="str">
        <f t="shared" si="35"/>
        <v>dt_intrnl_rtng_to_be</v>
      </c>
      <c r="H172" s="17" t="str">
        <f>IF(VLOOKUP(B172,Instruções!$F$6:$J$10,5,0)="",
"(SELECT "&amp;VLOOKUP(B172,Instruções!$F$6:$J$10,4,0)&amp;" as "&amp;VLOOKUP(B172,Instruções!$F$6:$J$10,4,0)&amp;"_as_is, "&amp;E172&amp;" as "&amp;F172&amp;" FROM "&amp;C172&amp;" WHERE "&amp;Instruções!$D$11&amp;") A ",
"(SELECT "&amp;VLOOKUP(B172,Instruções!$F$6:$J$10,4,0)&amp;" as "&amp;VLOOKUP(B172,Instruções!$F$6:$J$10,4,0)&amp;"_as_is, "&amp;VLOOKUP(B172,Instruções!$F$6:$J$10,5,0)&amp;" as "&amp;VLOOKUP(B172,Instruções!$F$6:$J$10,5,0)&amp;"_as_is,"&amp;E172&amp;" as "&amp;F172&amp;" FROM "&amp;C172&amp;" WHERE "&amp;Instruções!$D$11&amp;") A ")</f>
        <v xml:space="preserve">(SELECT instrmnt_id as instrmnt_id_as_is, dt_intrnl_rtng as dt_intrnl_rtng_as_is FROM cd_loan_tapes_bce.lt002_instrument WHERE ref_date='2025-06-30' AND nome_perimetro= 'Individual IDComb' AND segmento= 'ESTR' AND ambito= 'PM' AND entidade='00100' AND cod_visao = 1) A </v>
      </c>
      <c r="I172" s="17" t="str">
        <f>IF(VLOOKUP(B172,Instruções!$F$6:$J$10,5,0)="",
"(SELECT "&amp;VLOOKUP(B172,Instruções!$F$6:$J$10,4,0)&amp;" as "&amp;VLOOKUP(B172,Instruções!$F$6:$J$10,4,0)&amp;"_to_be, "&amp;E172&amp;" as "&amp;G172&amp;" FROM "&amp;D172&amp;" WHERE "&amp;Instruções!$D$11&amp;") B ",
"(SELECT "&amp;VLOOKUP(B172,Instruções!$F$6:$J$10,4,0)&amp;" as "&amp;VLOOKUP(B172,Instruções!$F$6:$J$10,4,0)&amp;"_to_be, "&amp;VLOOKUP(B172,Instruções!$F$6:$J$10,5,0)&amp;" as "&amp;VLOOKUP(B172,Instruções!$F$6:$J$10,5,0)&amp;"_to_be,"&amp;E172&amp;" as "&amp;G172&amp;" FROM "&amp;D172&amp;" WHERE "&amp;Instruções!$D$11&amp;") B ")</f>
        <v xml:space="preserve">(SELECT instrmnt_id as instrmnt_id_to_be, dt_intrnl_rtng as dt_intrnl_rtng_to_be FROM bu_loantape_work.lt002_instrument WHERE ref_date='2025-06-30' AND nome_perimetro= 'Individual IDComb' AND segmento= 'ESTR' AND ambito= 'PM' AND entidade='00100' AND cod_visao = 1) B </v>
      </c>
      <c r="J172" s="17" t="str">
        <f>IF(VLOOKUP(B172,Instruções!$F$6:$J$10,5,0)="",
"ON "&amp;VLOOKUP(B172,Instruções!$F$6:$J$10,4,0)&amp;"_as_is = "&amp;VLOOKUP(B172,Instruções!$F$6:$J$10,4,0)&amp;"_to_be ",
"ON "&amp;VLOOKUP(B172,Instruções!$F$6:$J$10,4,0)&amp;"_as_is = "&amp;VLOOKUP(B172,Instruções!$F$6:$J$10,4,0)&amp;"_to_be AND "&amp;VLOOKUP(B172,Instruções!$F$6:$J$10,5,0)&amp;"_as_is = "&amp;VLOOKUP(B172,Instruções!$F$6:$J$10,5,0)&amp;"_to_be ")</f>
        <v xml:space="preserve">ON instrmnt_id_as_is = instrmnt_id_to_be </v>
      </c>
      <c r="K172" s="17" t="str">
        <f t="shared" si="36"/>
        <v xml:space="preserve">WHERE coalesce(cast(dt_intrnl_rtng_as_is as string), '') &lt;&gt; coalesce(cast(dt_intrnl_rtng_to_be as string), '') </v>
      </c>
      <c r="L172" s="17" t="str">
        <f t="shared" si="39"/>
        <v xml:space="preserve">SELECT count(*) AS NUM_REG_DIF FROM (SELECT instrmnt_id as instrmnt_id_as_is, dt_intrnl_rtng as dt_intrnl_rtng_as_is FROM cd_loan_tapes_bce.lt002_instrument WHERE ref_date='2025-06-30' AND nome_perimetro= 'Individual IDComb' AND segmento= 'ESTR' AND ambito= 'PM' AND entidade='00100' AND cod_visao = 1) A  Inner join (SELECT instrmnt_id as instrmnt_id_to_be, dt_intrnl_rtng as dt_intrnl_rtng_to_be FROM bu_loantape_work.lt002_instrument WHERE ref_date='2025-06-30' AND nome_perimetro= 'Individual IDComb' AND segmento= 'ESTR' AND ambito= 'PM' AND entidade='00100' AND cod_visao = 1) B ON instrmnt_id_as_is = instrmnt_id_to_be WHERE coalesce(cast(dt_intrnl_rtng_as_is as string), '') &lt;&gt; coalesce(cast(dt_intrnl_rtng_to_be as string), '') </v>
      </c>
      <c r="M172" s="17" t="s">
        <v>48</v>
      </c>
      <c r="N172" s="17" t="str">
        <f>"SELECT 'Validação de campos' as tipologia_teste, '"&amp;VLOOKUP(B172,Instruções!$F$6:$J$10,3,0)&amp;"' AS TABELA, '"&amp;E172&amp;"' AS CAMPO, '"&amp;Instruções!$D$7&amp;"' as ref_date, coalesce(NUM_REG_DIF, 0) AS NUM_REG_DIF FROM ("&amp;L172&amp;") A "</f>
        <v xml:space="preserve">SELECT 'Validação de campos' as tipologia_teste, 'lt002_instrument' AS TABELA, 'dt_intrnl_rtng' AS CAMPO, '2025-06-30' as ref_date, coalesce(NUM_REG_DIF, 0) AS NUM_REG_DIF FROM (SELECT count(*) AS NUM_REG_DIF FROM (SELECT instrmnt_id as instrmnt_id_as_is, dt_intrnl_rtng as dt_intrnl_rtng_as_is FROM cd_loan_tapes_bce.lt002_instrument WHERE ref_date='2025-06-30' AND nome_perimetro= 'Individual IDComb' AND segmento= 'ESTR' AND ambito= 'PM' AND entidade='00100' AND cod_visao = 1) A  Inner join (SELECT instrmnt_id as instrmnt_id_to_be, dt_intrnl_rtng as dt_intrnl_rtng_to_be FROM bu_loantape_work.lt002_instrument WHERE ref_date='2025-06-30' AND nome_perimetro= 'Individual IDComb' AND segmento= 'ESTR' AND ambito= 'PM' AND entidade='00100' AND cod_visao = 1) B ON instrmnt_id_as_is = instrmnt_id_to_be WHERE coalesce(cast(dt_intrnl_rtng_as_is as string), '') &lt;&gt; coalesce(cast(dt_intrnl_rtng_to_be as string), '') ) A </v>
      </c>
      <c r="O172" s="19" t="str">
        <f t="shared" si="41"/>
        <v>SELECT 'Validação de campos' as tipologia_teste, 'lt002_instrument' AS TABELA, 'dt_intrnl_rtng' AS CAMPO, '2025-06-30' as ref_date, coalesce(NUM_REG_DIF, 0) AS NUM_REG_DIF FROM (SELECT count(*) AS NUM_REG_DIF FROM (SELECT instrmnt_id as instrmnt_id_as_is, dt_intrnl_rtng as dt_intrnl_rtng_as_is FROM cd_loan_tapes_bce.lt002_instrument WHERE ref_date='2025-06-30' AND nome_perimetro= 'Individual IDComb' AND segmento= 'ESTR' AND ambito= 'PM' AND entidade='00100' AND cod_visao = 1) A  Inner join (SELECT instrmnt_id as instrmnt_id_to_be, dt_intrnl_rtng as dt_intrnl_rtng_to_be FROM bu_loantape_work.lt002_instrument WHERE ref_date='2025-06-30' AND nome_perimetro= 'Individual IDComb' AND segmento= 'ESTR' AND ambito= 'PM' AND entidade='00100' AND cod_visao = 1) B ON instrmnt_id_as_is = instrmnt_id_to_be WHERE coalesce(cast(dt_intrnl_rtng_as_is as string), '') &lt;&gt; coalesce(cast(dt_intrnl_rtng_to_be as string), '') ) A UNION ALL</v>
      </c>
      <c r="P172" s="17">
        <f t="shared" si="40"/>
        <v>8</v>
      </c>
    </row>
    <row r="173" spans="2:16" s="15" customFormat="1" ht="11.5" x14ac:dyDescent="0.25">
      <c r="B173" s="17" t="s">
        <v>24</v>
      </c>
      <c r="C173" s="17" t="str">
        <f>_xlfn.CONCAT(Instruções!$D$5,".",VLOOKUP(B173,Instruções!$F$5:$H$10,2,0))</f>
        <v>cd_loan_tapes_bce.lt002_instrument</v>
      </c>
      <c r="D173" s="17" t="str">
        <f>_xlfn.CONCAT(Instruções!$D$6,".",VLOOKUP(B173,Instruções!$F$5:$H$10,3,0))</f>
        <v>bu_loantape_work.lt002_instrument</v>
      </c>
      <c r="E173" s="17" t="s">
        <v>200</v>
      </c>
      <c r="F173" s="17" t="str">
        <f t="shared" si="34"/>
        <v>sicr_assssmnt_mthd_as_is</v>
      </c>
      <c r="G173" s="17" t="str">
        <f t="shared" si="35"/>
        <v>sicr_assssmnt_mthd_to_be</v>
      </c>
      <c r="H173" s="17" t="str">
        <f>IF(VLOOKUP(B173,Instruções!$F$6:$J$10,5,0)="",
"(SELECT "&amp;VLOOKUP(B173,Instruções!$F$6:$J$10,4,0)&amp;" as "&amp;VLOOKUP(B173,Instruções!$F$6:$J$10,4,0)&amp;"_as_is, "&amp;E173&amp;" as "&amp;F173&amp;" FROM "&amp;C173&amp;" WHERE "&amp;Instruções!$D$11&amp;") A ",
"(SELECT "&amp;VLOOKUP(B173,Instruções!$F$6:$J$10,4,0)&amp;" as "&amp;VLOOKUP(B173,Instruções!$F$6:$J$10,4,0)&amp;"_as_is, "&amp;VLOOKUP(B173,Instruções!$F$6:$J$10,5,0)&amp;" as "&amp;VLOOKUP(B173,Instruções!$F$6:$J$10,5,0)&amp;"_as_is,"&amp;E173&amp;" as "&amp;F173&amp;" FROM "&amp;C173&amp;" WHERE "&amp;Instruções!$D$11&amp;") A ")</f>
        <v xml:space="preserve">(SELECT instrmnt_id as instrmnt_id_as_is, sicr_assssmnt_mthd as sicr_assssmnt_mthd_as_is FROM cd_loan_tapes_bce.lt002_instrument WHERE ref_date='2025-06-30' AND nome_perimetro= 'Individual IDComb' AND segmento= 'ESTR' AND ambito= 'PM' AND entidade='00100' AND cod_visao = 1) A </v>
      </c>
      <c r="I173" s="17" t="str">
        <f>IF(VLOOKUP(B173,Instruções!$F$6:$J$10,5,0)="",
"(SELECT "&amp;VLOOKUP(B173,Instruções!$F$6:$J$10,4,0)&amp;" as "&amp;VLOOKUP(B173,Instruções!$F$6:$J$10,4,0)&amp;"_to_be, "&amp;E173&amp;" as "&amp;G173&amp;" FROM "&amp;D173&amp;" WHERE "&amp;Instruções!$D$11&amp;") B ",
"(SELECT "&amp;VLOOKUP(B173,Instruções!$F$6:$J$10,4,0)&amp;" as "&amp;VLOOKUP(B173,Instruções!$F$6:$J$10,4,0)&amp;"_to_be, "&amp;VLOOKUP(B173,Instruções!$F$6:$J$10,5,0)&amp;" as "&amp;VLOOKUP(B173,Instruções!$F$6:$J$10,5,0)&amp;"_to_be,"&amp;E173&amp;" as "&amp;G173&amp;" FROM "&amp;D173&amp;" WHERE "&amp;Instruções!$D$11&amp;") B ")</f>
        <v xml:space="preserve">(SELECT instrmnt_id as instrmnt_id_to_be, sicr_assssmnt_mthd as sicr_assssmnt_mthd_to_be FROM bu_loantape_work.lt002_instrument WHERE ref_date='2025-06-30' AND nome_perimetro= 'Individual IDComb' AND segmento= 'ESTR' AND ambito= 'PM' AND entidade='00100' AND cod_visao = 1) B </v>
      </c>
      <c r="J173" s="17" t="str">
        <f>IF(VLOOKUP(B173,Instruções!$F$6:$J$10,5,0)="",
"ON "&amp;VLOOKUP(B173,Instruções!$F$6:$J$10,4,0)&amp;"_as_is = "&amp;VLOOKUP(B173,Instruções!$F$6:$J$10,4,0)&amp;"_to_be ",
"ON "&amp;VLOOKUP(B173,Instruções!$F$6:$J$10,4,0)&amp;"_as_is = "&amp;VLOOKUP(B173,Instruções!$F$6:$J$10,4,0)&amp;"_to_be AND "&amp;VLOOKUP(B173,Instruções!$F$6:$J$10,5,0)&amp;"_as_is = "&amp;VLOOKUP(B173,Instruções!$F$6:$J$10,5,0)&amp;"_to_be ")</f>
        <v xml:space="preserve">ON instrmnt_id_as_is = instrmnt_id_to_be </v>
      </c>
      <c r="K173" s="17" t="str">
        <f t="shared" si="36"/>
        <v xml:space="preserve">WHERE coalesce(cast(sicr_assssmnt_mthd_as_is as string), '') &lt;&gt; coalesce(cast(sicr_assssmnt_mthd_to_be as string), '') </v>
      </c>
      <c r="L173" s="17" t="str">
        <f t="shared" si="39"/>
        <v xml:space="preserve">SELECT count(*) AS NUM_REG_DIF FROM (SELECT instrmnt_id as instrmnt_id_as_is, sicr_assssmnt_mthd as sicr_assssmnt_mthd_as_is FROM cd_loan_tapes_bce.lt002_instrument WHERE ref_date='2025-06-30' AND nome_perimetro= 'Individual IDComb' AND segmento= 'ESTR' AND ambito= 'PM' AND entidade='00100' AND cod_visao = 1) A  Inner join (SELECT instrmnt_id as instrmnt_id_to_be, sicr_assssmnt_mthd as sicr_assssmnt_mthd_to_be FROM bu_loantape_work.lt002_instrument WHERE ref_date='2025-06-30' AND nome_perimetro= 'Individual IDComb' AND segmento= 'ESTR' AND ambito= 'PM' AND entidade='00100' AND cod_visao = 1) B ON instrmnt_id_as_is = instrmnt_id_to_be WHERE coalesce(cast(sicr_assssmnt_mthd_as_is as string), '') &lt;&gt; coalesce(cast(sicr_assssmnt_mthd_to_be as string), '') </v>
      </c>
      <c r="M173" s="17" t="s">
        <v>48</v>
      </c>
      <c r="N173" s="17" t="str">
        <f>"SELECT 'Validação de campos' as tipologia_teste, '"&amp;VLOOKUP(B173,Instruções!$F$6:$J$10,3,0)&amp;"' AS TABELA, '"&amp;E173&amp;"' AS CAMPO, '"&amp;Instruções!$D$7&amp;"' as ref_date, coalesce(NUM_REG_DIF, 0) AS NUM_REG_DIF FROM ("&amp;L173&amp;") A "</f>
        <v xml:space="preserve">SELECT 'Validação de campos' as tipologia_teste, 'lt002_instrument' AS TABELA, 'sicr_assssmnt_mthd' AS CAMPO, '2025-06-30' as ref_date, coalesce(NUM_REG_DIF, 0) AS NUM_REG_DIF FROM (SELECT count(*) AS NUM_REG_DIF FROM (SELECT instrmnt_id as instrmnt_id_as_is, sicr_assssmnt_mthd as sicr_assssmnt_mthd_as_is FROM cd_loan_tapes_bce.lt002_instrument WHERE ref_date='2025-06-30' AND nome_perimetro= 'Individual IDComb' AND segmento= 'ESTR' AND ambito= 'PM' AND entidade='00100' AND cod_visao = 1) A  Inner join (SELECT instrmnt_id as instrmnt_id_to_be, sicr_assssmnt_mthd as sicr_assssmnt_mthd_to_be FROM bu_loantape_work.lt002_instrument WHERE ref_date='2025-06-30' AND nome_perimetro= 'Individual IDComb' AND segmento= 'ESTR' AND ambito= 'PM' AND entidade='00100' AND cod_visao = 1) B ON instrmnt_id_as_is = instrmnt_id_to_be WHERE coalesce(cast(sicr_assssmnt_mthd_as_is as string), '') &lt;&gt; coalesce(cast(sicr_assssmnt_mthd_to_be as string), '') ) A </v>
      </c>
      <c r="O173" s="19" t="str">
        <f t="shared" si="41"/>
        <v>SELECT 'Validação de campos' as tipologia_teste, 'lt002_instrument' AS TABELA, 'sicr_assssmnt_mthd' AS CAMPO, '2025-06-30' as ref_date, coalesce(NUM_REG_DIF, 0) AS NUM_REG_DIF FROM (SELECT count(*) AS NUM_REG_DIF FROM (SELECT instrmnt_id as instrmnt_id_as_is, sicr_assssmnt_mthd as sicr_assssmnt_mthd_as_is FROM cd_loan_tapes_bce.lt002_instrument WHERE ref_date='2025-06-30' AND nome_perimetro= 'Individual IDComb' AND segmento= 'ESTR' AND ambito= 'PM' AND entidade='00100' AND cod_visao = 1) A  Inner join (SELECT instrmnt_id as instrmnt_id_to_be, sicr_assssmnt_mthd as sicr_assssmnt_mthd_to_be FROM bu_loantape_work.lt002_instrument WHERE ref_date='2025-06-30' AND nome_perimetro= 'Individual IDComb' AND segmento= 'ESTR' AND ambito= 'PM' AND entidade='00100' AND cod_visao = 1) B ON instrmnt_id_as_is = instrmnt_id_to_be WHERE coalesce(cast(sicr_assssmnt_mthd_as_is as string), '') &lt;&gt; coalesce(cast(sicr_assssmnt_mthd_to_be as string), '') ) A UNION ALL</v>
      </c>
      <c r="P173" s="17">
        <f t="shared" si="40"/>
        <v>9</v>
      </c>
    </row>
    <row r="174" spans="2:16" s="15" customFormat="1" ht="11.5" x14ac:dyDescent="0.25">
      <c r="B174" s="17" t="s">
        <v>24</v>
      </c>
      <c r="C174" s="17" t="str">
        <f>_xlfn.CONCAT(Instruções!$D$5,".",VLOOKUP(B174,Instruções!$F$5:$H$10,2,0))</f>
        <v>cd_loan_tapes_bce.lt002_instrument</v>
      </c>
      <c r="D174" s="17" t="str">
        <f>_xlfn.CONCAT(Instruções!$D$6,".",VLOOKUP(B174,Instruções!$F$5:$H$10,3,0))</f>
        <v>bu_loantape_work.lt002_instrument</v>
      </c>
      <c r="E174" s="17" t="s">
        <v>201</v>
      </c>
      <c r="F174" s="17" t="str">
        <f t="shared" si="34"/>
        <v>dt_orgnl_mtrty_as_is</v>
      </c>
      <c r="G174" s="17" t="str">
        <f t="shared" si="35"/>
        <v>dt_orgnl_mtrty_to_be</v>
      </c>
      <c r="H174" s="17" t="str">
        <f>IF(VLOOKUP(B174,Instruções!$F$6:$J$10,5,0)="",
"(SELECT "&amp;VLOOKUP(B174,Instruções!$F$6:$J$10,4,0)&amp;" as "&amp;VLOOKUP(B174,Instruções!$F$6:$J$10,4,0)&amp;"_as_is, "&amp;E174&amp;" as "&amp;F174&amp;" FROM "&amp;C174&amp;" WHERE "&amp;Instruções!$D$11&amp;") A ",
"(SELECT "&amp;VLOOKUP(B174,Instruções!$F$6:$J$10,4,0)&amp;" as "&amp;VLOOKUP(B174,Instruções!$F$6:$J$10,4,0)&amp;"_as_is, "&amp;VLOOKUP(B174,Instruções!$F$6:$J$10,5,0)&amp;" as "&amp;VLOOKUP(B174,Instruções!$F$6:$J$10,5,0)&amp;"_as_is,"&amp;E174&amp;" as "&amp;F174&amp;" FROM "&amp;C174&amp;" WHERE "&amp;Instruções!$D$11&amp;") A ")</f>
        <v xml:space="preserve">(SELECT instrmnt_id as instrmnt_id_as_is, dt_orgnl_mtrty as dt_orgnl_mtrty_as_is FROM cd_loan_tapes_bce.lt002_instrument WHERE ref_date='2025-06-30' AND nome_perimetro= 'Individual IDComb' AND segmento= 'ESTR' AND ambito= 'PM' AND entidade='00100' AND cod_visao = 1) A </v>
      </c>
      <c r="I174" s="17" t="str">
        <f>IF(VLOOKUP(B174,Instruções!$F$6:$J$10,5,0)="",
"(SELECT "&amp;VLOOKUP(B174,Instruções!$F$6:$J$10,4,0)&amp;" as "&amp;VLOOKUP(B174,Instruções!$F$6:$J$10,4,0)&amp;"_to_be, "&amp;E174&amp;" as "&amp;G174&amp;" FROM "&amp;D174&amp;" WHERE "&amp;Instruções!$D$11&amp;") B ",
"(SELECT "&amp;VLOOKUP(B174,Instruções!$F$6:$J$10,4,0)&amp;" as "&amp;VLOOKUP(B174,Instruções!$F$6:$J$10,4,0)&amp;"_to_be, "&amp;VLOOKUP(B174,Instruções!$F$6:$J$10,5,0)&amp;" as "&amp;VLOOKUP(B174,Instruções!$F$6:$J$10,5,0)&amp;"_to_be,"&amp;E174&amp;" as "&amp;G174&amp;" FROM "&amp;D174&amp;" WHERE "&amp;Instruções!$D$11&amp;") B ")</f>
        <v xml:space="preserve">(SELECT instrmnt_id as instrmnt_id_to_be, dt_orgnl_mtrty as dt_orgnl_mtrty_to_be FROM bu_loantape_work.lt002_instrument WHERE ref_date='2025-06-30' AND nome_perimetro= 'Individual IDComb' AND segmento= 'ESTR' AND ambito= 'PM' AND entidade='00100' AND cod_visao = 1) B </v>
      </c>
      <c r="J174" s="17" t="str">
        <f>IF(VLOOKUP(B174,Instruções!$F$6:$J$10,5,0)="",
"ON "&amp;VLOOKUP(B174,Instruções!$F$6:$J$10,4,0)&amp;"_as_is = "&amp;VLOOKUP(B174,Instruções!$F$6:$J$10,4,0)&amp;"_to_be ",
"ON "&amp;VLOOKUP(B174,Instruções!$F$6:$J$10,4,0)&amp;"_as_is = "&amp;VLOOKUP(B174,Instruções!$F$6:$J$10,4,0)&amp;"_to_be AND "&amp;VLOOKUP(B174,Instruções!$F$6:$J$10,5,0)&amp;"_as_is = "&amp;VLOOKUP(B174,Instruções!$F$6:$J$10,5,0)&amp;"_to_be ")</f>
        <v xml:space="preserve">ON instrmnt_id_as_is = instrmnt_id_to_be </v>
      </c>
      <c r="K174" s="17" t="str">
        <f t="shared" si="36"/>
        <v xml:space="preserve">WHERE coalesce(cast(dt_orgnl_mtrty_as_is as string), '') &lt;&gt; coalesce(cast(dt_orgnl_mtrty_to_be as string), '') </v>
      </c>
      <c r="L174" s="17" t="str">
        <f t="shared" si="39"/>
        <v xml:space="preserve">SELECT count(*) AS NUM_REG_DIF FROM (SELECT instrmnt_id as instrmnt_id_as_is, dt_orgnl_mtrty as dt_orgnl_mtrty_as_is FROM cd_loan_tapes_bce.lt002_instrument WHERE ref_date='2025-06-30' AND nome_perimetro= 'Individual IDComb' AND segmento= 'ESTR' AND ambito= 'PM' AND entidade='00100' AND cod_visao = 1) A  Inner join (SELECT instrmnt_id as instrmnt_id_to_be, dt_orgnl_mtrty as dt_orgnl_mtrty_to_be FROM bu_loantape_work.lt002_instrument WHERE ref_date='2025-06-30' AND nome_perimetro= 'Individual IDComb' AND segmento= 'ESTR' AND ambito= 'PM' AND entidade='00100' AND cod_visao = 1) B ON instrmnt_id_as_is = instrmnt_id_to_be WHERE coalesce(cast(dt_orgnl_mtrty_as_is as string), '') &lt;&gt; coalesce(cast(dt_orgnl_mtrty_to_be as string), '') </v>
      </c>
      <c r="M174" s="17" t="s">
        <v>48</v>
      </c>
      <c r="N174" s="17" t="str">
        <f>"SELECT 'Validação de campos' as tipologia_teste, '"&amp;VLOOKUP(B174,Instruções!$F$6:$J$10,3,0)&amp;"' AS TABELA, '"&amp;E174&amp;"' AS CAMPO, '"&amp;Instruções!$D$7&amp;"' as ref_date, coalesce(NUM_REG_DIF, 0) AS NUM_REG_DIF FROM ("&amp;L174&amp;") A "</f>
        <v xml:space="preserve">SELECT 'Validação de campos' as tipologia_teste, 'lt002_instrument' AS TABELA, 'dt_orgnl_mtrty' AS CAMPO, '2025-06-30' as ref_date, coalesce(NUM_REG_DIF, 0) AS NUM_REG_DIF FROM (SELECT count(*) AS NUM_REG_DIF FROM (SELECT instrmnt_id as instrmnt_id_as_is, dt_orgnl_mtrty as dt_orgnl_mtrty_as_is FROM cd_loan_tapes_bce.lt002_instrument WHERE ref_date='2025-06-30' AND nome_perimetro= 'Individual IDComb' AND segmento= 'ESTR' AND ambito= 'PM' AND entidade='00100' AND cod_visao = 1) A  Inner join (SELECT instrmnt_id as instrmnt_id_to_be, dt_orgnl_mtrty as dt_orgnl_mtrty_to_be FROM bu_loantape_work.lt002_instrument WHERE ref_date='2025-06-30' AND nome_perimetro= 'Individual IDComb' AND segmento= 'ESTR' AND ambito= 'PM' AND entidade='00100' AND cod_visao = 1) B ON instrmnt_id_as_is = instrmnt_id_to_be WHERE coalesce(cast(dt_orgnl_mtrty_as_is as string), '') &lt;&gt; coalesce(cast(dt_orgnl_mtrty_to_be as string), '') ) A </v>
      </c>
      <c r="O174" s="19" t="str">
        <f t="shared" si="41"/>
        <v>SELECT 'Validação de campos' as tipologia_teste, 'lt002_instrument' AS TABELA, 'dt_orgnl_mtrty' AS CAMPO, '2025-06-30' as ref_date, coalesce(NUM_REG_DIF, 0) AS NUM_REG_DIF FROM (SELECT count(*) AS NUM_REG_DIF FROM (SELECT instrmnt_id as instrmnt_id_as_is, dt_orgnl_mtrty as dt_orgnl_mtrty_as_is FROM cd_loan_tapes_bce.lt002_instrument WHERE ref_date='2025-06-30' AND nome_perimetro= 'Individual IDComb' AND segmento= 'ESTR' AND ambito= 'PM' AND entidade='00100' AND cod_visao = 1) A  Inner join (SELECT instrmnt_id as instrmnt_id_to_be, dt_orgnl_mtrty as dt_orgnl_mtrty_to_be FROM bu_loantape_work.lt002_instrument WHERE ref_date='2025-06-30' AND nome_perimetro= 'Individual IDComb' AND segmento= 'ESTR' AND ambito= 'PM' AND entidade='00100' AND cod_visao = 1) B ON instrmnt_id_as_is = instrmnt_id_to_be WHERE coalesce(cast(dt_orgnl_mtrty_as_is as string), '') &lt;&gt; coalesce(cast(dt_orgnl_mtrty_to_be as string), '') ) A UNION ALL</v>
      </c>
      <c r="P174" s="17">
        <f t="shared" si="40"/>
        <v>10</v>
      </c>
    </row>
    <row r="175" spans="2:16" s="15" customFormat="1" ht="11.5" x14ac:dyDescent="0.25">
      <c r="B175" s="17" t="s">
        <v>24</v>
      </c>
      <c r="C175" s="17" t="str">
        <f>_xlfn.CONCAT(Instruções!$D$5,".",VLOOKUP(B175,Instruções!$F$5:$H$10,2,0))</f>
        <v>cd_loan_tapes_bce.lt002_instrument</v>
      </c>
      <c r="D175" s="17" t="str">
        <f>_xlfn.CONCAT(Instruções!$D$6,".",VLOOKUP(B175,Instruções!$F$5:$H$10,3,0))</f>
        <v>bu_loantape_work.lt002_instrument</v>
      </c>
      <c r="E175" s="17" t="s">
        <v>202</v>
      </c>
      <c r="F175" s="17" t="str">
        <f t="shared" si="34"/>
        <v>dt_prfrmng_stts_as_is</v>
      </c>
      <c r="G175" s="17" t="str">
        <f t="shared" si="35"/>
        <v>dt_prfrmng_stts_to_be</v>
      </c>
      <c r="H175" s="17" t="str">
        <f>IF(VLOOKUP(B175,Instruções!$F$6:$J$10,5,0)="",
"(SELECT "&amp;VLOOKUP(B175,Instruções!$F$6:$J$10,4,0)&amp;" as "&amp;VLOOKUP(B175,Instruções!$F$6:$J$10,4,0)&amp;"_as_is, "&amp;E175&amp;" as "&amp;F175&amp;" FROM "&amp;C175&amp;" WHERE "&amp;Instruções!$D$11&amp;") A ",
"(SELECT "&amp;VLOOKUP(B175,Instruções!$F$6:$J$10,4,0)&amp;" as "&amp;VLOOKUP(B175,Instruções!$F$6:$J$10,4,0)&amp;"_as_is, "&amp;VLOOKUP(B175,Instruções!$F$6:$J$10,5,0)&amp;" as "&amp;VLOOKUP(B175,Instruções!$F$6:$J$10,5,0)&amp;"_as_is,"&amp;E175&amp;" as "&amp;F175&amp;" FROM "&amp;C175&amp;" WHERE "&amp;Instruções!$D$11&amp;") A ")</f>
        <v xml:space="preserve">(SELECT instrmnt_id as instrmnt_id_as_is, dt_prfrmng_stts as dt_prfrmng_stts_as_is FROM cd_loan_tapes_bce.lt002_instrument WHERE ref_date='2025-06-30' AND nome_perimetro= 'Individual IDComb' AND segmento= 'ESTR' AND ambito= 'PM' AND entidade='00100' AND cod_visao = 1) A </v>
      </c>
      <c r="I175" s="17" t="str">
        <f>IF(VLOOKUP(B175,Instruções!$F$6:$J$10,5,0)="",
"(SELECT "&amp;VLOOKUP(B175,Instruções!$F$6:$J$10,4,0)&amp;" as "&amp;VLOOKUP(B175,Instruções!$F$6:$J$10,4,0)&amp;"_to_be, "&amp;E175&amp;" as "&amp;G175&amp;" FROM "&amp;D175&amp;" WHERE "&amp;Instruções!$D$11&amp;") B ",
"(SELECT "&amp;VLOOKUP(B175,Instruções!$F$6:$J$10,4,0)&amp;" as "&amp;VLOOKUP(B175,Instruções!$F$6:$J$10,4,0)&amp;"_to_be, "&amp;VLOOKUP(B175,Instruções!$F$6:$J$10,5,0)&amp;" as "&amp;VLOOKUP(B175,Instruções!$F$6:$J$10,5,0)&amp;"_to_be,"&amp;E175&amp;" as "&amp;G175&amp;" FROM "&amp;D175&amp;" WHERE "&amp;Instruções!$D$11&amp;") B ")</f>
        <v xml:space="preserve">(SELECT instrmnt_id as instrmnt_id_to_be, dt_prfrmng_stts as dt_prfrmng_stts_to_be FROM bu_loantape_work.lt002_instrument WHERE ref_date='2025-06-30' AND nome_perimetro= 'Individual IDComb' AND segmento= 'ESTR' AND ambito= 'PM' AND entidade='00100' AND cod_visao = 1) B </v>
      </c>
      <c r="J175" s="17" t="str">
        <f>IF(VLOOKUP(B175,Instruções!$F$6:$J$10,5,0)="",
"ON "&amp;VLOOKUP(B175,Instruções!$F$6:$J$10,4,0)&amp;"_as_is = "&amp;VLOOKUP(B175,Instruções!$F$6:$J$10,4,0)&amp;"_to_be ",
"ON "&amp;VLOOKUP(B175,Instruções!$F$6:$J$10,4,0)&amp;"_as_is = "&amp;VLOOKUP(B175,Instruções!$F$6:$J$10,4,0)&amp;"_to_be AND "&amp;VLOOKUP(B175,Instruções!$F$6:$J$10,5,0)&amp;"_as_is = "&amp;VLOOKUP(B175,Instruções!$F$6:$J$10,5,0)&amp;"_to_be ")</f>
        <v xml:space="preserve">ON instrmnt_id_as_is = instrmnt_id_to_be </v>
      </c>
      <c r="K175" s="17" t="str">
        <f t="shared" si="36"/>
        <v xml:space="preserve">WHERE coalesce(cast(dt_prfrmng_stts_as_is as string), '') &lt;&gt; coalesce(cast(dt_prfrmng_stts_to_be as string), '') </v>
      </c>
      <c r="L175" s="17" t="str">
        <f t="shared" si="39"/>
        <v xml:space="preserve">SELECT count(*) AS NUM_REG_DIF FROM (SELECT instrmnt_id as instrmnt_id_as_is, dt_prfrmng_stts as dt_prfrmng_stts_as_is FROM cd_loan_tapes_bce.lt002_instrument WHERE ref_date='2025-06-30' AND nome_perimetro= 'Individual IDComb' AND segmento= 'ESTR' AND ambito= 'PM' AND entidade='00100' AND cod_visao = 1) A  Inner join (SELECT instrmnt_id as instrmnt_id_to_be, dt_prfrmng_stts as dt_prfrmng_stts_to_be FROM bu_loantape_work.lt002_instrument WHERE ref_date='2025-06-30' AND nome_perimetro= 'Individual IDComb' AND segmento= 'ESTR' AND ambito= 'PM' AND entidade='00100' AND cod_visao = 1) B ON instrmnt_id_as_is = instrmnt_id_to_be WHERE coalesce(cast(dt_prfrmng_stts_as_is as string), '') &lt;&gt; coalesce(cast(dt_prfrmng_stts_to_be as string), '') </v>
      </c>
      <c r="M175" s="17" t="s">
        <v>48</v>
      </c>
      <c r="N175" s="17" t="str">
        <f>"SELECT 'Validação de campos' as tipologia_teste, '"&amp;VLOOKUP(B175,Instruções!$F$6:$J$10,3,0)&amp;"' AS TABELA, '"&amp;E175&amp;"' AS CAMPO, '"&amp;Instruções!$D$7&amp;"' as ref_date, coalesce(NUM_REG_DIF, 0) AS NUM_REG_DIF FROM ("&amp;L175&amp;") A "</f>
        <v xml:space="preserve">SELECT 'Validação de campos' as tipologia_teste, 'lt002_instrument' AS TABELA, 'dt_prfrmng_stts' AS CAMPO, '2025-06-30' as ref_date, coalesce(NUM_REG_DIF, 0) AS NUM_REG_DIF FROM (SELECT count(*) AS NUM_REG_DIF FROM (SELECT instrmnt_id as instrmnt_id_as_is, dt_prfrmng_stts as dt_prfrmng_stts_as_is FROM cd_loan_tapes_bce.lt002_instrument WHERE ref_date='2025-06-30' AND nome_perimetro= 'Individual IDComb' AND segmento= 'ESTR' AND ambito= 'PM' AND entidade='00100' AND cod_visao = 1) A  Inner join (SELECT instrmnt_id as instrmnt_id_to_be, dt_prfrmng_stts as dt_prfrmng_stts_to_be FROM bu_loantape_work.lt002_instrument WHERE ref_date='2025-06-30' AND nome_perimetro= 'Individual IDComb' AND segmento= 'ESTR' AND ambito= 'PM' AND entidade='00100' AND cod_visao = 1) B ON instrmnt_id_as_is = instrmnt_id_to_be WHERE coalesce(cast(dt_prfrmng_stts_as_is as string), '') &lt;&gt; coalesce(cast(dt_prfrmng_stts_to_be as string), '') ) A </v>
      </c>
      <c r="O175" s="19" t="str">
        <f t="shared" si="41"/>
        <v>SELECT 'Validação de campos' as tipologia_teste, 'lt002_instrument' AS TABELA, 'dt_prfrmng_stts' AS CAMPO, '2025-06-30' as ref_date, coalesce(NUM_REG_DIF, 0) AS NUM_REG_DIF FROM (SELECT count(*) AS NUM_REG_DIF FROM (SELECT instrmnt_id as instrmnt_id_as_is, dt_prfrmng_stts as dt_prfrmng_stts_as_is FROM cd_loan_tapes_bce.lt002_instrument WHERE ref_date='2025-06-30' AND nome_perimetro= 'Individual IDComb' AND segmento= 'ESTR' AND ambito= 'PM' AND entidade='00100' AND cod_visao = 1) A  Inner join (SELECT instrmnt_id as instrmnt_id_to_be, dt_prfrmng_stts as dt_prfrmng_stts_to_be FROM bu_loantape_work.lt002_instrument WHERE ref_date='2025-06-30' AND nome_perimetro= 'Individual IDComb' AND segmento= 'ESTR' AND ambito= 'PM' AND entidade='00100' AND cod_visao = 1) B ON instrmnt_id_as_is = instrmnt_id_to_be WHERE coalesce(cast(dt_prfrmng_stts_as_is as string), '') &lt;&gt; coalesce(cast(dt_prfrmng_stts_to_be as string), '') ) A UNION ALL</v>
      </c>
      <c r="P175" s="17">
        <f t="shared" si="40"/>
        <v>11</v>
      </c>
    </row>
    <row r="176" spans="2:16" s="15" customFormat="1" ht="11.5" x14ac:dyDescent="0.25">
      <c r="B176" s="17" t="s">
        <v>24</v>
      </c>
      <c r="C176" s="17" t="str">
        <f>_xlfn.CONCAT(Instruções!$D$5,".",VLOOKUP(B176,Instruções!$F$5:$H$10,2,0))</f>
        <v>cd_loan_tapes_bce.lt002_instrument</v>
      </c>
      <c r="D176" s="17" t="str">
        <f>_xlfn.CONCAT(Instruções!$D$6,".",VLOOKUP(B176,Instruções!$F$5:$H$10,3,0))</f>
        <v>bu_loantape_work.lt002_instrument</v>
      </c>
      <c r="E176" s="17" t="s">
        <v>203</v>
      </c>
      <c r="F176" s="17" t="str">
        <f t="shared" si="34"/>
        <v>dt_prfrmng_stts_prvs_as_is</v>
      </c>
      <c r="G176" s="17" t="str">
        <f t="shared" si="35"/>
        <v>dt_prfrmng_stts_prvs_to_be</v>
      </c>
      <c r="H176" s="17" t="str">
        <f>IF(VLOOKUP(B176,Instruções!$F$6:$J$10,5,0)="",
"(SELECT "&amp;VLOOKUP(B176,Instruções!$F$6:$J$10,4,0)&amp;" as "&amp;VLOOKUP(B176,Instruções!$F$6:$J$10,4,0)&amp;"_as_is, "&amp;E176&amp;" as "&amp;F176&amp;" FROM "&amp;C176&amp;" WHERE "&amp;Instruções!$D$11&amp;") A ",
"(SELECT "&amp;VLOOKUP(B176,Instruções!$F$6:$J$10,4,0)&amp;" as "&amp;VLOOKUP(B176,Instruções!$F$6:$J$10,4,0)&amp;"_as_is, "&amp;VLOOKUP(B176,Instruções!$F$6:$J$10,5,0)&amp;" as "&amp;VLOOKUP(B176,Instruções!$F$6:$J$10,5,0)&amp;"_as_is,"&amp;E176&amp;" as "&amp;F176&amp;" FROM "&amp;C176&amp;" WHERE "&amp;Instruções!$D$11&amp;") A ")</f>
        <v xml:space="preserve">(SELECT instrmnt_id as instrmnt_id_as_is, dt_prfrmng_stts_prvs as dt_prfrmng_stts_prvs_as_is FROM cd_loan_tapes_bce.lt002_instrument WHERE ref_date='2025-06-30' AND nome_perimetro= 'Individual IDComb' AND segmento= 'ESTR' AND ambito= 'PM' AND entidade='00100' AND cod_visao = 1) A </v>
      </c>
      <c r="I176" s="17" t="str">
        <f>IF(VLOOKUP(B176,Instruções!$F$6:$J$10,5,0)="",
"(SELECT "&amp;VLOOKUP(B176,Instruções!$F$6:$J$10,4,0)&amp;" as "&amp;VLOOKUP(B176,Instruções!$F$6:$J$10,4,0)&amp;"_to_be, "&amp;E176&amp;" as "&amp;G176&amp;" FROM "&amp;D176&amp;" WHERE "&amp;Instruções!$D$11&amp;") B ",
"(SELECT "&amp;VLOOKUP(B176,Instruções!$F$6:$J$10,4,0)&amp;" as "&amp;VLOOKUP(B176,Instruções!$F$6:$J$10,4,0)&amp;"_to_be, "&amp;VLOOKUP(B176,Instruções!$F$6:$J$10,5,0)&amp;" as "&amp;VLOOKUP(B176,Instruções!$F$6:$J$10,5,0)&amp;"_to_be,"&amp;E176&amp;" as "&amp;G176&amp;" FROM "&amp;D176&amp;" WHERE "&amp;Instruções!$D$11&amp;") B ")</f>
        <v xml:space="preserve">(SELECT instrmnt_id as instrmnt_id_to_be, dt_prfrmng_stts_prvs as dt_prfrmng_stts_prvs_to_be FROM bu_loantape_work.lt002_instrument WHERE ref_date='2025-06-30' AND nome_perimetro= 'Individual IDComb' AND segmento= 'ESTR' AND ambito= 'PM' AND entidade='00100' AND cod_visao = 1) B </v>
      </c>
      <c r="J176" s="17" t="str">
        <f>IF(VLOOKUP(B176,Instruções!$F$6:$J$10,5,0)="",
"ON "&amp;VLOOKUP(B176,Instruções!$F$6:$J$10,4,0)&amp;"_as_is = "&amp;VLOOKUP(B176,Instruções!$F$6:$J$10,4,0)&amp;"_to_be ",
"ON "&amp;VLOOKUP(B176,Instruções!$F$6:$J$10,4,0)&amp;"_as_is = "&amp;VLOOKUP(B176,Instruções!$F$6:$J$10,4,0)&amp;"_to_be AND "&amp;VLOOKUP(B176,Instruções!$F$6:$J$10,5,0)&amp;"_as_is = "&amp;VLOOKUP(B176,Instruções!$F$6:$J$10,5,0)&amp;"_to_be ")</f>
        <v xml:space="preserve">ON instrmnt_id_as_is = instrmnt_id_to_be </v>
      </c>
      <c r="K176" s="17" t="str">
        <f t="shared" si="36"/>
        <v xml:space="preserve">WHERE coalesce(cast(dt_prfrmng_stts_prvs_as_is as string), '') &lt;&gt; coalesce(cast(dt_prfrmng_stts_prvs_to_be as string), '') </v>
      </c>
      <c r="L176" s="17" t="str">
        <f t="shared" si="39"/>
        <v xml:space="preserve">SELECT count(*) AS NUM_REG_DIF FROM (SELECT instrmnt_id as instrmnt_id_as_is, dt_prfrmng_stts_prvs as dt_prfrmng_stts_prvs_as_is FROM cd_loan_tapes_bce.lt002_instrument WHERE ref_date='2025-06-30' AND nome_perimetro= 'Individual IDComb' AND segmento= 'ESTR' AND ambito= 'PM' AND entidade='00100' AND cod_visao = 1) A  Inner join (SELECT instrmnt_id as instrmnt_id_to_be, dt_prfrmng_stts_prvs as dt_prfrmng_stts_prvs_to_be FROM bu_loantape_work.lt002_instrument WHERE ref_date='2025-06-30' AND nome_perimetro= 'Individual IDComb' AND segmento= 'ESTR' AND ambito= 'PM' AND entidade='00100' AND cod_visao = 1) B ON instrmnt_id_as_is = instrmnt_id_to_be WHERE coalesce(cast(dt_prfrmng_stts_prvs_as_is as string), '') &lt;&gt; coalesce(cast(dt_prfrmng_stts_prvs_to_be as string), '') </v>
      </c>
      <c r="M176" s="17" t="s">
        <v>48</v>
      </c>
      <c r="N176" s="17" t="str">
        <f>"SELECT 'Validação de campos' as tipologia_teste, '"&amp;VLOOKUP(B176,Instruções!$F$6:$J$10,3,0)&amp;"' AS TABELA, '"&amp;E176&amp;"' AS CAMPO, '"&amp;Instruções!$D$7&amp;"' as ref_date, coalesce(NUM_REG_DIF, 0) AS NUM_REG_DIF FROM ("&amp;L176&amp;") A "</f>
        <v xml:space="preserve">SELECT 'Validação de campos' as tipologia_teste, 'lt002_instrument' AS TABELA, 'dt_prfrmng_stts_prvs' AS CAMPO, '2025-06-30' as ref_date, coalesce(NUM_REG_DIF, 0) AS NUM_REG_DIF FROM (SELECT count(*) AS NUM_REG_DIF FROM (SELECT instrmnt_id as instrmnt_id_as_is, dt_prfrmng_stts_prvs as dt_prfrmng_stts_prvs_as_is FROM cd_loan_tapes_bce.lt002_instrument WHERE ref_date='2025-06-30' AND nome_perimetro= 'Individual IDComb' AND segmento= 'ESTR' AND ambito= 'PM' AND entidade='00100' AND cod_visao = 1) A  Inner join (SELECT instrmnt_id as instrmnt_id_to_be, dt_prfrmng_stts_prvs as dt_prfrmng_stts_prvs_to_be FROM bu_loantape_work.lt002_instrument WHERE ref_date='2025-06-30' AND nome_perimetro= 'Individual IDComb' AND segmento= 'ESTR' AND ambito= 'PM' AND entidade='00100' AND cod_visao = 1) B ON instrmnt_id_as_is = instrmnt_id_to_be WHERE coalesce(cast(dt_prfrmng_stts_prvs_as_is as string), '') &lt;&gt; coalesce(cast(dt_prfrmng_stts_prvs_to_be as string), '') ) A </v>
      </c>
      <c r="O176" s="19" t="str">
        <f t="shared" si="41"/>
        <v>SELECT 'Validação de campos' as tipologia_teste, 'lt002_instrument' AS TABELA, 'dt_prfrmng_stts_prvs' AS CAMPO, '2025-06-30' as ref_date, coalesce(NUM_REG_DIF, 0) AS NUM_REG_DIF FROM (SELECT count(*) AS NUM_REG_DIF FROM (SELECT instrmnt_id as instrmnt_id_as_is, dt_prfrmng_stts_prvs as dt_prfrmng_stts_prvs_as_is FROM cd_loan_tapes_bce.lt002_instrument WHERE ref_date='2025-06-30' AND nome_perimetro= 'Individual IDComb' AND segmento= 'ESTR' AND ambito= 'PM' AND entidade='00100' AND cod_visao = 1) A  Inner join (SELECT instrmnt_id as instrmnt_id_to_be, dt_prfrmng_stts_prvs as dt_prfrmng_stts_prvs_to_be FROM bu_loantape_work.lt002_instrument WHERE ref_date='2025-06-30' AND nome_perimetro= 'Individual IDComb' AND segmento= 'ESTR' AND ambito= 'PM' AND entidade='00100' AND cod_visao = 1) B ON instrmnt_id_as_is = instrmnt_id_to_be WHERE coalesce(cast(dt_prfrmng_stts_prvs_as_is as string), '') &lt;&gt; coalesce(cast(dt_prfrmng_stts_prvs_to_be as string), '') ) A UNION ALL</v>
      </c>
      <c r="P176" s="17">
        <f t="shared" si="40"/>
        <v>12</v>
      </c>
    </row>
    <row r="177" spans="2:16" s="15" customFormat="1" ht="11.5" x14ac:dyDescent="0.25">
      <c r="B177" s="17" t="s">
        <v>24</v>
      </c>
      <c r="C177" s="17" t="str">
        <f>_xlfn.CONCAT(Instruções!$D$5,".",VLOOKUP(B177,Instruções!$F$5:$H$10,2,0))</f>
        <v>cd_loan_tapes_bce.lt002_instrument</v>
      </c>
      <c r="D177" s="17" t="str">
        <f>_xlfn.CONCAT(Instruções!$D$6,".",VLOOKUP(B177,Instruções!$F$5:$H$10,3,0))</f>
        <v>bu_loantape_work.lt002_instrument</v>
      </c>
      <c r="E177" s="17" t="s">
        <v>204</v>
      </c>
      <c r="F177" s="17" t="str">
        <f t="shared" si="34"/>
        <v>typ_mrtgg_as_is</v>
      </c>
      <c r="G177" s="17" t="str">
        <f t="shared" si="35"/>
        <v>typ_mrtgg_to_be</v>
      </c>
      <c r="H177" s="17" t="str">
        <f>IF(VLOOKUP(B177,Instruções!$F$6:$J$10,5,0)="",
"(SELECT "&amp;VLOOKUP(B177,Instruções!$F$6:$J$10,4,0)&amp;" as "&amp;VLOOKUP(B177,Instruções!$F$6:$J$10,4,0)&amp;"_as_is, "&amp;E177&amp;" as "&amp;F177&amp;" FROM "&amp;C177&amp;" WHERE "&amp;Instruções!$D$11&amp;") A ",
"(SELECT "&amp;VLOOKUP(B177,Instruções!$F$6:$J$10,4,0)&amp;" as "&amp;VLOOKUP(B177,Instruções!$F$6:$J$10,4,0)&amp;"_as_is, "&amp;VLOOKUP(B177,Instruções!$F$6:$J$10,5,0)&amp;" as "&amp;VLOOKUP(B177,Instruções!$F$6:$J$10,5,0)&amp;"_as_is,"&amp;E177&amp;" as "&amp;F177&amp;" FROM "&amp;C177&amp;" WHERE "&amp;Instruções!$D$11&amp;") A ")</f>
        <v xml:space="preserve">(SELECT instrmnt_id as instrmnt_id_as_is, typ_mrtgg as typ_mrtgg_as_is FROM cd_loan_tapes_bce.lt002_instrument WHERE ref_date='2025-06-30' AND nome_perimetro= 'Individual IDComb' AND segmento= 'ESTR' AND ambito= 'PM' AND entidade='00100' AND cod_visao = 1) A </v>
      </c>
      <c r="I177" s="17" t="str">
        <f>IF(VLOOKUP(B177,Instruções!$F$6:$J$10,5,0)="",
"(SELECT "&amp;VLOOKUP(B177,Instruções!$F$6:$J$10,4,0)&amp;" as "&amp;VLOOKUP(B177,Instruções!$F$6:$J$10,4,0)&amp;"_to_be, "&amp;E177&amp;" as "&amp;G177&amp;" FROM "&amp;D177&amp;" WHERE "&amp;Instruções!$D$11&amp;") B ",
"(SELECT "&amp;VLOOKUP(B177,Instruções!$F$6:$J$10,4,0)&amp;" as "&amp;VLOOKUP(B177,Instruções!$F$6:$J$10,4,0)&amp;"_to_be, "&amp;VLOOKUP(B177,Instruções!$F$6:$J$10,5,0)&amp;" as "&amp;VLOOKUP(B177,Instruções!$F$6:$J$10,5,0)&amp;"_to_be,"&amp;E177&amp;" as "&amp;G177&amp;" FROM "&amp;D177&amp;" WHERE "&amp;Instruções!$D$11&amp;") B ")</f>
        <v xml:space="preserve">(SELECT instrmnt_id as instrmnt_id_to_be, typ_mrtgg as typ_mrtgg_to_be FROM bu_loantape_work.lt002_instrument WHERE ref_date='2025-06-30' AND nome_perimetro= 'Individual IDComb' AND segmento= 'ESTR' AND ambito= 'PM' AND entidade='00100' AND cod_visao = 1) B </v>
      </c>
      <c r="J177" s="17" t="str">
        <f>IF(VLOOKUP(B177,Instruções!$F$6:$J$10,5,0)="",
"ON "&amp;VLOOKUP(B177,Instruções!$F$6:$J$10,4,0)&amp;"_as_is = "&amp;VLOOKUP(B177,Instruções!$F$6:$J$10,4,0)&amp;"_to_be ",
"ON "&amp;VLOOKUP(B177,Instruções!$F$6:$J$10,4,0)&amp;"_as_is = "&amp;VLOOKUP(B177,Instruções!$F$6:$J$10,4,0)&amp;"_to_be AND "&amp;VLOOKUP(B177,Instruções!$F$6:$J$10,5,0)&amp;"_as_is = "&amp;VLOOKUP(B177,Instruções!$F$6:$J$10,5,0)&amp;"_to_be ")</f>
        <v xml:space="preserve">ON instrmnt_id_as_is = instrmnt_id_to_be </v>
      </c>
      <c r="K177" s="17" t="str">
        <f t="shared" si="36"/>
        <v xml:space="preserve">WHERE coalesce(cast(typ_mrtgg_as_is as string), '') &lt;&gt; coalesce(cast(typ_mrtgg_to_be as string), '') </v>
      </c>
      <c r="L177" s="17" t="str">
        <f t="shared" si="39"/>
        <v xml:space="preserve">SELECT count(*) AS NUM_REG_DIF FROM (SELECT instrmnt_id as instrmnt_id_as_is, typ_mrtgg as typ_mrtgg_as_is FROM cd_loan_tapes_bce.lt002_instrument WHERE ref_date='2025-06-30' AND nome_perimetro= 'Individual IDComb' AND segmento= 'ESTR' AND ambito= 'PM' AND entidade='00100' AND cod_visao = 1) A  Inner join (SELECT instrmnt_id as instrmnt_id_to_be, typ_mrtgg as typ_mrtgg_to_be FROM bu_loantape_work.lt002_instrument WHERE ref_date='2025-06-30' AND nome_perimetro= 'Individual IDComb' AND segmento= 'ESTR' AND ambito= 'PM' AND entidade='00100' AND cod_visao = 1) B ON instrmnt_id_as_is = instrmnt_id_to_be WHERE coalesce(cast(typ_mrtgg_as_is as string), '') &lt;&gt; coalesce(cast(typ_mrtgg_to_be as string), '') </v>
      </c>
      <c r="M177" s="17" t="s">
        <v>48</v>
      </c>
      <c r="N177" s="17" t="str">
        <f>"SELECT 'Validação de campos' as tipologia_teste, '"&amp;VLOOKUP(B177,Instruções!$F$6:$J$10,3,0)&amp;"' AS TABELA, '"&amp;E177&amp;"' AS CAMPO, '"&amp;Instruções!$D$7&amp;"' as ref_date, coalesce(NUM_REG_DIF, 0) AS NUM_REG_DIF FROM ("&amp;L177&amp;") A "</f>
        <v xml:space="preserve">SELECT 'Validação de campos' as tipologia_teste, 'lt002_instrument' AS TABELA, 'typ_mrtgg' AS CAMPO, '2025-06-30' as ref_date, coalesce(NUM_REG_DIF, 0) AS NUM_REG_DIF FROM (SELECT count(*) AS NUM_REG_DIF FROM (SELECT instrmnt_id as instrmnt_id_as_is, typ_mrtgg as typ_mrtgg_as_is FROM cd_loan_tapes_bce.lt002_instrument WHERE ref_date='2025-06-30' AND nome_perimetro= 'Individual IDComb' AND segmento= 'ESTR' AND ambito= 'PM' AND entidade='00100' AND cod_visao = 1) A  Inner join (SELECT instrmnt_id as instrmnt_id_to_be, typ_mrtgg as typ_mrtgg_to_be FROM bu_loantape_work.lt002_instrument WHERE ref_date='2025-06-30' AND nome_perimetro= 'Individual IDComb' AND segmento= 'ESTR' AND ambito= 'PM' AND entidade='00100' AND cod_visao = 1) B ON instrmnt_id_as_is = instrmnt_id_to_be WHERE coalesce(cast(typ_mrtgg_as_is as string), '') &lt;&gt; coalesce(cast(typ_mrtgg_to_be as string), '') ) A </v>
      </c>
      <c r="O177" s="19" t="str">
        <f t="shared" si="41"/>
        <v>SELECT 'Validação de campos' as tipologia_teste, 'lt002_instrument' AS TABELA, 'typ_mrtgg' AS CAMPO, '2025-06-30' as ref_date, coalesce(NUM_REG_DIF, 0) AS NUM_REG_DIF FROM (SELECT count(*) AS NUM_REG_DIF FROM (SELECT instrmnt_id as instrmnt_id_as_is, typ_mrtgg as typ_mrtgg_as_is FROM cd_loan_tapes_bce.lt002_instrument WHERE ref_date='2025-06-30' AND nome_perimetro= 'Individual IDComb' AND segmento= 'ESTR' AND ambito= 'PM' AND entidade='00100' AND cod_visao = 1) A  Inner join (SELECT instrmnt_id as instrmnt_id_to_be, typ_mrtgg as typ_mrtgg_to_be FROM bu_loantape_work.lt002_instrument WHERE ref_date='2025-06-30' AND nome_perimetro= 'Individual IDComb' AND segmento= 'ESTR' AND ambito= 'PM' AND entidade='00100' AND cod_visao = 1) B ON instrmnt_id_as_is = instrmnt_id_to_be WHERE coalesce(cast(typ_mrtgg_as_is as string), '') &lt;&gt; coalesce(cast(typ_mrtgg_to_be as string), '') ) A UNION ALL</v>
      </c>
      <c r="P177" s="17">
        <f t="shared" si="40"/>
        <v>13</v>
      </c>
    </row>
    <row r="178" spans="2:16" s="15" customFormat="1" ht="11.5" x14ac:dyDescent="0.25">
      <c r="B178" s="17" t="s">
        <v>24</v>
      </c>
      <c r="C178" s="17" t="str">
        <f>_xlfn.CONCAT(Instruções!$D$5,".",VLOOKUP(B178,Instruções!$F$5:$H$10,2,0))</f>
        <v>cd_loan_tapes_bce.lt002_instrument</v>
      </c>
      <c r="D178" s="17" t="str">
        <f>_xlfn.CONCAT(Instruções!$D$6,".",VLOOKUP(B178,Instruções!$F$5:$H$10,3,0))</f>
        <v>bu_loantape_work.lt002_instrument</v>
      </c>
      <c r="E178" s="17" t="s">
        <v>205</v>
      </c>
      <c r="F178" s="17" t="str">
        <f t="shared" si="34"/>
        <v>dt_pst_d_as_is</v>
      </c>
      <c r="G178" s="17" t="str">
        <f t="shared" si="35"/>
        <v>dt_pst_d_to_be</v>
      </c>
      <c r="H178" s="17" t="str">
        <f>IF(VLOOKUP(B178,Instruções!$F$6:$J$10,5,0)="",
"(SELECT "&amp;VLOOKUP(B178,Instruções!$F$6:$J$10,4,0)&amp;" as "&amp;VLOOKUP(B178,Instruções!$F$6:$J$10,4,0)&amp;"_as_is, "&amp;E178&amp;" as "&amp;F178&amp;" FROM "&amp;C178&amp;" WHERE "&amp;Instruções!$D$11&amp;") A ",
"(SELECT "&amp;VLOOKUP(B178,Instruções!$F$6:$J$10,4,0)&amp;" as "&amp;VLOOKUP(B178,Instruções!$F$6:$J$10,4,0)&amp;"_as_is, "&amp;VLOOKUP(B178,Instruções!$F$6:$J$10,5,0)&amp;" as "&amp;VLOOKUP(B178,Instruções!$F$6:$J$10,5,0)&amp;"_as_is,"&amp;E178&amp;" as "&amp;F178&amp;" FROM "&amp;C178&amp;" WHERE "&amp;Instruções!$D$11&amp;") A ")</f>
        <v xml:space="preserve">(SELECT instrmnt_id as instrmnt_id_as_is, dt_pst_d as dt_pst_d_as_is FROM cd_loan_tapes_bce.lt002_instrument WHERE ref_date='2025-06-30' AND nome_perimetro= 'Individual IDComb' AND segmento= 'ESTR' AND ambito= 'PM' AND entidade='00100' AND cod_visao = 1) A </v>
      </c>
      <c r="I178" s="17" t="str">
        <f>IF(VLOOKUP(B178,Instruções!$F$6:$J$10,5,0)="",
"(SELECT "&amp;VLOOKUP(B178,Instruções!$F$6:$J$10,4,0)&amp;" as "&amp;VLOOKUP(B178,Instruções!$F$6:$J$10,4,0)&amp;"_to_be, "&amp;E178&amp;" as "&amp;G178&amp;" FROM "&amp;D178&amp;" WHERE "&amp;Instruções!$D$11&amp;") B ",
"(SELECT "&amp;VLOOKUP(B178,Instruções!$F$6:$J$10,4,0)&amp;" as "&amp;VLOOKUP(B178,Instruções!$F$6:$J$10,4,0)&amp;"_to_be, "&amp;VLOOKUP(B178,Instruções!$F$6:$J$10,5,0)&amp;" as "&amp;VLOOKUP(B178,Instruções!$F$6:$J$10,5,0)&amp;"_to_be,"&amp;E178&amp;" as "&amp;G178&amp;" FROM "&amp;D178&amp;" WHERE "&amp;Instruções!$D$11&amp;") B ")</f>
        <v xml:space="preserve">(SELECT instrmnt_id as instrmnt_id_to_be, dt_pst_d as dt_pst_d_to_be FROM bu_loantape_work.lt002_instrument WHERE ref_date='2025-06-30' AND nome_perimetro= 'Individual IDComb' AND segmento= 'ESTR' AND ambito= 'PM' AND entidade='00100' AND cod_visao = 1) B </v>
      </c>
      <c r="J178" s="17" t="str">
        <f>IF(VLOOKUP(B178,Instruções!$F$6:$J$10,5,0)="",
"ON "&amp;VLOOKUP(B178,Instruções!$F$6:$J$10,4,0)&amp;"_as_is = "&amp;VLOOKUP(B178,Instruções!$F$6:$J$10,4,0)&amp;"_to_be ",
"ON "&amp;VLOOKUP(B178,Instruções!$F$6:$J$10,4,0)&amp;"_as_is = "&amp;VLOOKUP(B178,Instruções!$F$6:$J$10,4,0)&amp;"_to_be AND "&amp;VLOOKUP(B178,Instruções!$F$6:$J$10,5,0)&amp;"_as_is = "&amp;VLOOKUP(B178,Instruções!$F$6:$J$10,5,0)&amp;"_to_be ")</f>
        <v xml:space="preserve">ON instrmnt_id_as_is = instrmnt_id_to_be </v>
      </c>
      <c r="K178" s="17" t="str">
        <f t="shared" si="36"/>
        <v xml:space="preserve">WHERE coalesce(cast(dt_pst_d_as_is as string), '') &lt;&gt; coalesce(cast(dt_pst_d_to_be as string), '') </v>
      </c>
      <c r="L178" s="17" t="str">
        <f t="shared" si="39"/>
        <v xml:space="preserve">SELECT count(*) AS NUM_REG_DIF FROM (SELECT instrmnt_id as instrmnt_id_as_is, dt_pst_d as dt_pst_d_as_is FROM cd_loan_tapes_bce.lt002_instrument WHERE ref_date='2025-06-30' AND nome_perimetro= 'Individual IDComb' AND segmento= 'ESTR' AND ambito= 'PM' AND entidade='00100' AND cod_visao = 1) A  Inner join (SELECT instrmnt_id as instrmnt_id_to_be, dt_pst_d as dt_pst_d_to_be FROM bu_loantape_work.lt002_instrument WHERE ref_date='2025-06-30' AND nome_perimetro= 'Individual IDComb' AND segmento= 'ESTR' AND ambito= 'PM' AND entidade='00100' AND cod_visao = 1) B ON instrmnt_id_as_is = instrmnt_id_to_be WHERE coalesce(cast(dt_pst_d_as_is as string), '') &lt;&gt; coalesce(cast(dt_pst_d_to_be as string), '') </v>
      </c>
      <c r="M178" s="17" t="s">
        <v>48</v>
      </c>
      <c r="N178" s="17" t="str">
        <f>"SELECT 'Validação de campos' as tipologia_teste, '"&amp;VLOOKUP(B178,Instruções!$F$6:$J$10,3,0)&amp;"' AS TABELA, '"&amp;E178&amp;"' AS CAMPO, '"&amp;Instruções!$D$7&amp;"' as ref_date, coalesce(NUM_REG_DIF, 0) AS NUM_REG_DIF FROM ("&amp;L178&amp;") A "</f>
        <v xml:space="preserve">SELECT 'Validação de campos' as tipologia_teste, 'lt002_instrument' AS TABELA, 'dt_pst_d' AS CAMPO, '2025-06-30' as ref_date, coalesce(NUM_REG_DIF, 0) AS NUM_REG_DIF FROM (SELECT count(*) AS NUM_REG_DIF FROM (SELECT instrmnt_id as instrmnt_id_as_is, dt_pst_d as dt_pst_d_as_is FROM cd_loan_tapes_bce.lt002_instrument WHERE ref_date='2025-06-30' AND nome_perimetro= 'Individual IDComb' AND segmento= 'ESTR' AND ambito= 'PM' AND entidade='00100' AND cod_visao = 1) A  Inner join (SELECT instrmnt_id as instrmnt_id_to_be, dt_pst_d as dt_pst_d_to_be FROM bu_loantape_work.lt002_instrument WHERE ref_date='2025-06-30' AND nome_perimetro= 'Individual IDComb' AND segmento= 'ESTR' AND ambito= 'PM' AND entidade='00100' AND cod_visao = 1) B ON instrmnt_id_as_is = instrmnt_id_to_be WHERE coalesce(cast(dt_pst_d_as_is as string), '') &lt;&gt; coalesce(cast(dt_pst_d_to_be as string), '') ) A </v>
      </c>
      <c r="O178" s="19" t="str">
        <f t="shared" si="41"/>
        <v>SELECT 'Validação de campos' as tipologia_teste, 'lt002_instrument' AS TABELA, 'dt_pst_d' AS CAMPO, '2025-06-30' as ref_date, coalesce(NUM_REG_DIF, 0) AS NUM_REG_DIF FROM (SELECT count(*) AS NUM_REG_DIF FROM (SELECT instrmnt_id as instrmnt_id_as_is, dt_pst_d as dt_pst_d_as_is FROM cd_loan_tapes_bce.lt002_instrument WHERE ref_date='2025-06-30' AND nome_perimetro= 'Individual IDComb' AND segmento= 'ESTR' AND ambito= 'PM' AND entidade='00100' AND cod_visao = 1) A  Inner join (SELECT instrmnt_id as instrmnt_id_to_be, dt_pst_d as dt_pst_d_to_be FROM bu_loantape_work.lt002_instrument WHERE ref_date='2025-06-30' AND nome_perimetro= 'Individual IDComb' AND segmento= 'ESTR' AND ambito= 'PM' AND entidade='00100' AND cod_visao = 1) B ON instrmnt_id_as_is = instrmnt_id_to_be WHERE coalesce(cast(dt_pst_d_as_is as string), '') &lt;&gt; coalesce(cast(dt_pst_d_to_be as string), '') ) A UNION ALL</v>
      </c>
      <c r="P178" s="17">
        <f t="shared" si="40"/>
        <v>14</v>
      </c>
    </row>
    <row r="179" spans="2:16" s="15" customFormat="1" ht="11.5" x14ac:dyDescent="0.25">
      <c r="B179" s="17" t="s">
        <v>24</v>
      </c>
      <c r="C179" s="17" t="str">
        <f>_xlfn.CONCAT(Instruções!$D$5,".",VLOOKUP(B179,Instruções!$F$5:$H$10,2,0))</f>
        <v>cd_loan_tapes_bce.lt002_instrument</v>
      </c>
      <c r="D179" s="17" t="str">
        <f>_xlfn.CONCAT(Instruções!$D$6,".",VLOOKUP(B179,Instruções!$F$5:$H$10,3,0))</f>
        <v>bu_loantape_work.lt002_instrument</v>
      </c>
      <c r="E179" s="17" t="s">
        <v>206</v>
      </c>
      <c r="F179" s="17" t="str">
        <f t="shared" si="34"/>
        <v>dt_strt_gp_ppal_as_is</v>
      </c>
      <c r="G179" s="17" t="str">
        <f t="shared" si="35"/>
        <v>dt_strt_gp_ppal_to_be</v>
      </c>
      <c r="H179" s="17" t="str">
        <f>IF(VLOOKUP(B179,Instruções!$F$6:$J$10,5,0)="",
"(SELECT "&amp;VLOOKUP(B179,Instruções!$F$6:$J$10,4,0)&amp;" as "&amp;VLOOKUP(B179,Instruções!$F$6:$J$10,4,0)&amp;"_as_is, "&amp;E179&amp;" as "&amp;F179&amp;" FROM "&amp;C179&amp;" WHERE "&amp;Instruções!$D$11&amp;") A ",
"(SELECT "&amp;VLOOKUP(B179,Instruções!$F$6:$J$10,4,0)&amp;" as "&amp;VLOOKUP(B179,Instruções!$F$6:$J$10,4,0)&amp;"_as_is, "&amp;VLOOKUP(B179,Instruções!$F$6:$J$10,5,0)&amp;" as "&amp;VLOOKUP(B179,Instruções!$F$6:$J$10,5,0)&amp;"_as_is,"&amp;E179&amp;" as "&amp;F179&amp;" FROM "&amp;C179&amp;" WHERE "&amp;Instruções!$D$11&amp;") A ")</f>
        <v xml:space="preserve">(SELECT instrmnt_id as instrmnt_id_as_is, dt_strt_gp_ppal as dt_strt_gp_ppal_as_is FROM cd_loan_tapes_bce.lt002_instrument WHERE ref_date='2025-06-30' AND nome_perimetro= 'Individual IDComb' AND segmento= 'ESTR' AND ambito= 'PM' AND entidade='00100' AND cod_visao = 1) A </v>
      </c>
      <c r="I179" s="17" t="str">
        <f>IF(VLOOKUP(B179,Instruções!$F$6:$J$10,5,0)="",
"(SELECT "&amp;VLOOKUP(B179,Instruções!$F$6:$J$10,4,0)&amp;" as "&amp;VLOOKUP(B179,Instruções!$F$6:$J$10,4,0)&amp;"_to_be, "&amp;E179&amp;" as "&amp;G179&amp;" FROM "&amp;D179&amp;" WHERE "&amp;Instruções!$D$11&amp;") B ",
"(SELECT "&amp;VLOOKUP(B179,Instruções!$F$6:$J$10,4,0)&amp;" as "&amp;VLOOKUP(B179,Instruções!$F$6:$J$10,4,0)&amp;"_to_be, "&amp;VLOOKUP(B179,Instruções!$F$6:$J$10,5,0)&amp;" as "&amp;VLOOKUP(B179,Instruções!$F$6:$J$10,5,0)&amp;"_to_be,"&amp;E179&amp;" as "&amp;G179&amp;" FROM "&amp;D179&amp;" WHERE "&amp;Instruções!$D$11&amp;") B ")</f>
        <v xml:space="preserve">(SELECT instrmnt_id as instrmnt_id_to_be, dt_strt_gp_ppal as dt_strt_gp_ppal_to_be FROM bu_loantape_work.lt002_instrument WHERE ref_date='2025-06-30' AND nome_perimetro= 'Individual IDComb' AND segmento= 'ESTR' AND ambito= 'PM' AND entidade='00100' AND cod_visao = 1) B </v>
      </c>
      <c r="J179" s="17" t="str">
        <f>IF(VLOOKUP(B179,Instruções!$F$6:$J$10,5,0)="",
"ON "&amp;VLOOKUP(B179,Instruções!$F$6:$J$10,4,0)&amp;"_as_is = "&amp;VLOOKUP(B179,Instruções!$F$6:$J$10,4,0)&amp;"_to_be ",
"ON "&amp;VLOOKUP(B179,Instruções!$F$6:$J$10,4,0)&amp;"_as_is = "&amp;VLOOKUP(B179,Instruções!$F$6:$J$10,4,0)&amp;"_to_be AND "&amp;VLOOKUP(B179,Instruções!$F$6:$J$10,5,0)&amp;"_as_is = "&amp;VLOOKUP(B179,Instruções!$F$6:$J$10,5,0)&amp;"_to_be ")</f>
        <v xml:space="preserve">ON instrmnt_id_as_is = instrmnt_id_to_be </v>
      </c>
      <c r="K179" s="17" t="str">
        <f t="shared" si="36"/>
        <v xml:space="preserve">WHERE coalesce(cast(dt_strt_gp_ppal_as_is as string), '') &lt;&gt; coalesce(cast(dt_strt_gp_ppal_to_be as string), '') </v>
      </c>
      <c r="L179" s="17" t="str">
        <f t="shared" si="39"/>
        <v xml:space="preserve">SELECT count(*) AS NUM_REG_DIF FROM (SELECT instrmnt_id as instrmnt_id_as_is, dt_strt_gp_ppal as dt_strt_gp_ppal_as_is FROM cd_loan_tapes_bce.lt002_instrument WHERE ref_date='2025-06-30' AND nome_perimetro= 'Individual IDComb' AND segmento= 'ESTR' AND ambito= 'PM' AND entidade='00100' AND cod_visao = 1) A  Inner join (SELECT instrmnt_id as instrmnt_id_to_be, dt_strt_gp_ppal as dt_strt_gp_ppal_to_be FROM bu_loantape_work.lt002_instrument WHERE ref_date='2025-06-30' AND nome_perimetro= 'Individual IDComb' AND segmento= 'ESTR' AND ambito= 'PM' AND entidade='00100' AND cod_visao = 1) B ON instrmnt_id_as_is = instrmnt_id_to_be WHERE coalesce(cast(dt_strt_gp_ppal_as_is as string), '') &lt;&gt; coalesce(cast(dt_strt_gp_ppal_to_be as string), '') </v>
      </c>
      <c r="M179" s="17" t="s">
        <v>48</v>
      </c>
      <c r="N179" s="17" t="str">
        <f>"SELECT 'Validação de campos' as tipologia_teste, '"&amp;VLOOKUP(B179,Instruções!$F$6:$J$10,3,0)&amp;"' AS TABELA, '"&amp;E179&amp;"' AS CAMPO, '"&amp;Instruções!$D$7&amp;"' as ref_date, coalesce(NUM_REG_DIF, 0) AS NUM_REG_DIF FROM ("&amp;L179&amp;") A "</f>
        <v xml:space="preserve">SELECT 'Validação de campos' as tipologia_teste, 'lt002_instrument' AS TABELA, 'dt_strt_gp_ppal' AS CAMPO, '2025-06-30' as ref_date, coalesce(NUM_REG_DIF, 0) AS NUM_REG_DIF FROM (SELECT count(*) AS NUM_REG_DIF FROM (SELECT instrmnt_id as instrmnt_id_as_is, dt_strt_gp_ppal as dt_strt_gp_ppal_as_is FROM cd_loan_tapes_bce.lt002_instrument WHERE ref_date='2025-06-30' AND nome_perimetro= 'Individual IDComb' AND segmento= 'ESTR' AND ambito= 'PM' AND entidade='00100' AND cod_visao = 1) A  Inner join (SELECT instrmnt_id as instrmnt_id_to_be, dt_strt_gp_ppal as dt_strt_gp_ppal_to_be FROM bu_loantape_work.lt002_instrument WHERE ref_date='2025-06-30' AND nome_perimetro= 'Individual IDComb' AND segmento= 'ESTR' AND ambito= 'PM' AND entidade='00100' AND cod_visao = 1) B ON instrmnt_id_as_is = instrmnt_id_to_be WHERE coalesce(cast(dt_strt_gp_ppal_as_is as string), '') &lt;&gt; coalesce(cast(dt_strt_gp_ppal_to_be as string), '') ) A </v>
      </c>
      <c r="O179" s="19" t="str">
        <f t="shared" si="41"/>
        <v>SELECT 'Validação de campos' as tipologia_teste, 'lt002_instrument' AS TABELA, 'dt_strt_gp_ppal' AS CAMPO, '2025-06-30' as ref_date, coalesce(NUM_REG_DIF, 0) AS NUM_REG_DIF FROM (SELECT count(*) AS NUM_REG_DIF FROM (SELECT instrmnt_id as instrmnt_id_as_is, dt_strt_gp_ppal as dt_strt_gp_ppal_as_is FROM cd_loan_tapes_bce.lt002_instrument WHERE ref_date='2025-06-30' AND nome_perimetro= 'Individual IDComb' AND segmento= 'ESTR' AND ambito= 'PM' AND entidade='00100' AND cod_visao = 1) A  Inner join (SELECT instrmnt_id as instrmnt_id_to_be, dt_strt_gp_ppal as dt_strt_gp_ppal_to_be FROM bu_loantape_work.lt002_instrument WHERE ref_date='2025-06-30' AND nome_perimetro= 'Individual IDComb' AND segmento= 'ESTR' AND ambito= 'PM' AND entidade='00100' AND cod_visao = 1) B ON instrmnt_id_as_is = instrmnt_id_to_be WHERE coalesce(cast(dt_strt_gp_ppal_as_is as string), '') &lt;&gt; coalesce(cast(dt_strt_gp_ppal_to_be as string), '') ) A UNION ALL</v>
      </c>
      <c r="P179" s="17">
        <f t="shared" si="40"/>
        <v>15</v>
      </c>
    </row>
    <row r="180" spans="2:16" s="15" customFormat="1" ht="11.5" x14ac:dyDescent="0.25">
      <c r="B180" s="17" t="s">
        <v>24</v>
      </c>
      <c r="C180" s="17" t="str">
        <f>_xlfn.CONCAT(Instruções!$D$5,".",VLOOKUP(B180,Instruções!$F$5:$H$10,2,0))</f>
        <v>cd_loan_tapes_bce.lt002_instrument</v>
      </c>
      <c r="D180" s="17" t="str">
        <f>_xlfn.CONCAT(Instruções!$D$6,".",VLOOKUP(B180,Instruções!$F$5:$H$10,3,0))</f>
        <v>bu_loantape_work.lt002_instrument</v>
      </c>
      <c r="E180" s="17" t="s">
        <v>207</v>
      </c>
      <c r="F180" s="17" t="str">
        <f t="shared" si="34"/>
        <v>dt_strt_intrst_only_as_is</v>
      </c>
      <c r="G180" s="17" t="str">
        <f t="shared" si="35"/>
        <v>dt_strt_intrst_only_to_be</v>
      </c>
      <c r="H180" s="17" t="str">
        <f>IF(VLOOKUP(B180,Instruções!$F$6:$J$10,5,0)="",
"(SELECT "&amp;VLOOKUP(B180,Instruções!$F$6:$J$10,4,0)&amp;" as "&amp;VLOOKUP(B180,Instruções!$F$6:$J$10,4,0)&amp;"_as_is, "&amp;E180&amp;" as "&amp;F180&amp;" FROM "&amp;C180&amp;" WHERE "&amp;Instruções!$D$11&amp;") A ",
"(SELECT "&amp;VLOOKUP(B180,Instruções!$F$6:$J$10,4,0)&amp;" as "&amp;VLOOKUP(B180,Instruções!$F$6:$J$10,4,0)&amp;"_as_is, "&amp;VLOOKUP(B180,Instruções!$F$6:$J$10,5,0)&amp;" as "&amp;VLOOKUP(B180,Instruções!$F$6:$J$10,5,0)&amp;"_as_is,"&amp;E180&amp;" as "&amp;F180&amp;" FROM "&amp;C180&amp;" WHERE "&amp;Instruções!$D$11&amp;") A ")</f>
        <v xml:space="preserve">(SELECT instrmnt_id as instrmnt_id_as_is, dt_strt_intrst_only as dt_strt_intrst_only_as_is FROM cd_loan_tapes_bce.lt002_instrument WHERE ref_date='2025-06-30' AND nome_perimetro= 'Individual IDComb' AND segmento= 'ESTR' AND ambito= 'PM' AND entidade='00100' AND cod_visao = 1) A </v>
      </c>
      <c r="I180" s="17" t="str">
        <f>IF(VLOOKUP(B180,Instruções!$F$6:$J$10,5,0)="",
"(SELECT "&amp;VLOOKUP(B180,Instruções!$F$6:$J$10,4,0)&amp;" as "&amp;VLOOKUP(B180,Instruções!$F$6:$J$10,4,0)&amp;"_to_be, "&amp;E180&amp;" as "&amp;G180&amp;" FROM "&amp;D180&amp;" WHERE "&amp;Instruções!$D$11&amp;") B ",
"(SELECT "&amp;VLOOKUP(B180,Instruções!$F$6:$J$10,4,0)&amp;" as "&amp;VLOOKUP(B180,Instruções!$F$6:$J$10,4,0)&amp;"_to_be, "&amp;VLOOKUP(B180,Instruções!$F$6:$J$10,5,0)&amp;" as "&amp;VLOOKUP(B180,Instruções!$F$6:$J$10,5,0)&amp;"_to_be,"&amp;E180&amp;" as "&amp;G180&amp;" FROM "&amp;D180&amp;" WHERE "&amp;Instruções!$D$11&amp;") B ")</f>
        <v xml:space="preserve">(SELECT instrmnt_id as instrmnt_id_to_be, dt_strt_intrst_only as dt_strt_intrst_only_to_be FROM bu_loantape_work.lt002_instrument WHERE ref_date='2025-06-30' AND nome_perimetro= 'Individual IDComb' AND segmento= 'ESTR' AND ambito= 'PM' AND entidade='00100' AND cod_visao = 1) B </v>
      </c>
      <c r="J180" s="17" t="str">
        <f>IF(VLOOKUP(B180,Instruções!$F$6:$J$10,5,0)="",
"ON "&amp;VLOOKUP(B180,Instruções!$F$6:$J$10,4,0)&amp;"_as_is = "&amp;VLOOKUP(B180,Instruções!$F$6:$J$10,4,0)&amp;"_to_be ",
"ON "&amp;VLOOKUP(B180,Instruções!$F$6:$J$10,4,0)&amp;"_as_is = "&amp;VLOOKUP(B180,Instruções!$F$6:$J$10,4,0)&amp;"_to_be AND "&amp;VLOOKUP(B180,Instruções!$F$6:$J$10,5,0)&amp;"_as_is = "&amp;VLOOKUP(B180,Instruções!$F$6:$J$10,5,0)&amp;"_to_be ")</f>
        <v xml:space="preserve">ON instrmnt_id_as_is = instrmnt_id_to_be </v>
      </c>
      <c r="K180" s="17" t="str">
        <f t="shared" si="36"/>
        <v xml:space="preserve">WHERE coalesce(cast(dt_strt_intrst_only_as_is as string), '') &lt;&gt; coalesce(cast(dt_strt_intrst_only_to_be as string), '') </v>
      </c>
      <c r="L180" s="17" t="str">
        <f t="shared" si="39"/>
        <v xml:space="preserve">SELECT count(*) AS NUM_REG_DIF FROM (SELECT instrmnt_id as instrmnt_id_as_is, dt_strt_intrst_only as dt_strt_intrst_only_as_is FROM cd_loan_tapes_bce.lt002_instrument WHERE ref_date='2025-06-30' AND nome_perimetro= 'Individual IDComb' AND segmento= 'ESTR' AND ambito= 'PM' AND entidade='00100' AND cod_visao = 1) A  Inner join (SELECT instrmnt_id as instrmnt_id_to_be, dt_strt_intrst_only as dt_strt_intrst_only_to_be FROM bu_loantape_work.lt002_instrument WHERE ref_date='2025-06-30' AND nome_perimetro= 'Individual IDComb' AND segmento= 'ESTR' AND ambito= 'PM' AND entidade='00100' AND cod_visao = 1) B ON instrmnt_id_as_is = instrmnt_id_to_be WHERE coalesce(cast(dt_strt_intrst_only_as_is as string), '') &lt;&gt; coalesce(cast(dt_strt_intrst_only_to_be as string), '') </v>
      </c>
      <c r="M180" s="17" t="s">
        <v>48</v>
      </c>
      <c r="N180" s="17" t="str">
        <f>"SELECT 'Validação de campos' as tipologia_teste, '"&amp;VLOOKUP(B180,Instruções!$F$6:$J$10,3,0)&amp;"' AS TABELA, '"&amp;E180&amp;"' AS CAMPO, '"&amp;Instruções!$D$7&amp;"' as ref_date, coalesce(NUM_REG_DIF, 0) AS NUM_REG_DIF FROM ("&amp;L180&amp;") A "</f>
        <v xml:space="preserve">SELECT 'Validação de campos' as tipologia_teste, 'lt002_instrument' AS TABELA, 'dt_strt_intrst_only' AS CAMPO, '2025-06-30' as ref_date, coalesce(NUM_REG_DIF, 0) AS NUM_REG_DIF FROM (SELECT count(*) AS NUM_REG_DIF FROM (SELECT instrmnt_id as instrmnt_id_as_is, dt_strt_intrst_only as dt_strt_intrst_only_as_is FROM cd_loan_tapes_bce.lt002_instrument WHERE ref_date='2025-06-30' AND nome_perimetro= 'Individual IDComb' AND segmento= 'ESTR' AND ambito= 'PM' AND entidade='00100' AND cod_visao = 1) A  Inner join (SELECT instrmnt_id as instrmnt_id_to_be, dt_strt_intrst_only as dt_strt_intrst_only_to_be FROM bu_loantape_work.lt002_instrument WHERE ref_date='2025-06-30' AND nome_perimetro= 'Individual IDComb' AND segmento= 'ESTR' AND ambito= 'PM' AND entidade='00100' AND cod_visao = 1) B ON instrmnt_id_as_is = instrmnt_id_to_be WHERE coalesce(cast(dt_strt_intrst_only_as_is as string), '') &lt;&gt; coalesce(cast(dt_strt_intrst_only_to_be as string), '') ) A </v>
      </c>
      <c r="O180" s="19" t="str">
        <f t="shared" si="41"/>
        <v>SELECT 'Validação de campos' as tipologia_teste, 'lt002_instrument' AS TABELA, 'dt_strt_intrst_only' AS CAMPO, '2025-06-30' as ref_date, coalesce(NUM_REG_DIF, 0) AS NUM_REG_DIF FROM (SELECT count(*) AS NUM_REG_DIF FROM (SELECT instrmnt_id as instrmnt_id_as_is, dt_strt_intrst_only as dt_strt_intrst_only_as_is FROM cd_loan_tapes_bce.lt002_instrument WHERE ref_date='2025-06-30' AND nome_perimetro= 'Individual IDComb' AND segmento= 'ESTR' AND ambito= 'PM' AND entidade='00100' AND cod_visao = 1) A  Inner join (SELECT instrmnt_id as instrmnt_id_to_be, dt_strt_intrst_only as dt_strt_intrst_only_to_be FROM bu_loantape_work.lt002_instrument WHERE ref_date='2025-06-30' AND nome_perimetro= 'Individual IDComb' AND segmento= 'ESTR' AND ambito= 'PM' AND entidade='00100' AND cod_visao = 1) B ON instrmnt_id_as_is = instrmnt_id_to_be WHERE coalesce(cast(dt_strt_intrst_only_as_is as string), '') &lt;&gt; coalesce(cast(dt_strt_intrst_only_to_be as string), '') ) A UNION ALL</v>
      </c>
      <c r="P180" s="17">
        <f t="shared" si="40"/>
        <v>16</v>
      </c>
    </row>
    <row r="181" spans="2:16" s="15" customFormat="1" ht="11.5" x14ac:dyDescent="0.25">
      <c r="B181" s="17" t="s">
        <v>24</v>
      </c>
      <c r="C181" s="17" t="str">
        <f>_xlfn.CONCAT(Instruções!$D$5,".",VLOOKUP(B181,Instruções!$F$5:$H$10,2,0))</f>
        <v>cd_loan_tapes_bce.lt002_instrument</v>
      </c>
      <c r="D181" s="17" t="str">
        <f>_xlfn.CONCAT(Instruções!$D$6,".",VLOOKUP(B181,Instruções!$F$5:$H$10,3,0))</f>
        <v>bu_loantape_work.lt002_instrument</v>
      </c>
      <c r="E181" s="17" t="s">
        <v>208</v>
      </c>
      <c r="F181" s="17" t="str">
        <f t="shared" si="34"/>
        <v>dt_vltn_as_is</v>
      </c>
      <c r="G181" s="17" t="str">
        <f t="shared" si="35"/>
        <v>dt_vltn_to_be</v>
      </c>
      <c r="H181" s="17" t="str">
        <f>IF(VLOOKUP(B181,Instruções!$F$6:$J$10,5,0)="",
"(SELECT "&amp;VLOOKUP(B181,Instruções!$F$6:$J$10,4,0)&amp;" as "&amp;VLOOKUP(B181,Instruções!$F$6:$J$10,4,0)&amp;"_as_is, "&amp;E181&amp;" as "&amp;F181&amp;" FROM "&amp;C181&amp;" WHERE "&amp;Instruções!$D$11&amp;") A ",
"(SELECT "&amp;VLOOKUP(B181,Instruções!$F$6:$J$10,4,0)&amp;" as "&amp;VLOOKUP(B181,Instruções!$F$6:$J$10,4,0)&amp;"_as_is, "&amp;VLOOKUP(B181,Instruções!$F$6:$J$10,5,0)&amp;" as "&amp;VLOOKUP(B181,Instruções!$F$6:$J$10,5,0)&amp;"_as_is,"&amp;E181&amp;" as "&amp;F181&amp;" FROM "&amp;C181&amp;" WHERE "&amp;Instruções!$D$11&amp;") A ")</f>
        <v xml:space="preserve">(SELECT instrmnt_id as instrmnt_id_as_is, dt_vltn as dt_vltn_as_is FROM cd_loan_tapes_bce.lt002_instrument WHERE ref_date='2025-06-30' AND nome_perimetro= 'Individual IDComb' AND segmento= 'ESTR' AND ambito= 'PM' AND entidade='00100' AND cod_visao = 1) A </v>
      </c>
      <c r="I181" s="17" t="str">
        <f>IF(VLOOKUP(B181,Instruções!$F$6:$J$10,5,0)="",
"(SELECT "&amp;VLOOKUP(B181,Instruções!$F$6:$J$10,4,0)&amp;" as "&amp;VLOOKUP(B181,Instruções!$F$6:$J$10,4,0)&amp;"_to_be, "&amp;E181&amp;" as "&amp;G181&amp;" FROM "&amp;D181&amp;" WHERE "&amp;Instruções!$D$11&amp;") B ",
"(SELECT "&amp;VLOOKUP(B181,Instruções!$F$6:$J$10,4,0)&amp;" as "&amp;VLOOKUP(B181,Instruções!$F$6:$J$10,4,0)&amp;"_to_be, "&amp;VLOOKUP(B181,Instruções!$F$6:$J$10,5,0)&amp;" as "&amp;VLOOKUP(B181,Instruções!$F$6:$J$10,5,0)&amp;"_to_be,"&amp;E181&amp;" as "&amp;G181&amp;" FROM "&amp;D181&amp;" WHERE "&amp;Instruções!$D$11&amp;") B ")</f>
        <v xml:space="preserve">(SELECT instrmnt_id as instrmnt_id_to_be, dt_vltn as dt_vltn_to_be FROM bu_loantape_work.lt002_instrument WHERE ref_date='2025-06-30' AND nome_perimetro= 'Individual IDComb' AND segmento= 'ESTR' AND ambito= 'PM' AND entidade='00100' AND cod_visao = 1) B </v>
      </c>
      <c r="J181" s="17" t="str">
        <f>IF(VLOOKUP(B181,Instruções!$F$6:$J$10,5,0)="",
"ON "&amp;VLOOKUP(B181,Instruções!$F$6:$J$10,4,0)&amp;"_as_is = "&amp;VLOOKUP(B181,Instruções!$F$6:$J$10,4,0)&amp;"_to_be ",
"ON "&amp;VLOOKUP(B181,Instruções!$F$6:$J$10,4,0)&amp;"_as_is = "&amp;VLOOKUP(B181,Instruções!$F$6:$J$10,4,0)&amp;"_to_be AND "&amp;VLOOKUP(B181,Instruções!$F$6:$J$10,5,0)&amp;"_as_is = "&amp;VLOOKUP(B181,Instruções!$F$6:$J$10,5,0)&amp;"_to_be ")</f>
        <v xml:space="preserve">ON instrmnt_id_as_is = instrmnt_id_to_be </v>
      </c>
      <c r="K181" s="17" t="str">
        <f t="shared" si="36"/>
        <v xml:space="preserve">WHERE coalesce(cast(dt_vltn_as_is as string), '') &lt;&gt; coalesce(cast(dt_vltn_to_be as string), '') </v>
      </c>
      <c r="L181" s="17" t="str">
        <f t="shared" si="39"/>
        <v xml:space="preserve">SELECT count(*) AS NUM_REG_DIF FROM (SELECT instrmnt_id as instrmnt_id_as_is, dt_vltn as dt_vltn_as_is FROM cd_loan_tapes_bce.lt002_instrument WHERE ref_date='2025-06-30' AND nome_perimetro= 'Individual IDComb' AND segmento= 'ESTR' AND ambito= 'PM' AND entidade='00100' AND cod_visao = 1) A  Inner join (SELECT instrmnt_id as instrmnt_id_to_be, dt_vltn as dt_vltn_to_be FROM bu_loantape_work.lt002_instrument WHERE ref_date='2025-06-30' AND nome_perimetro= 'Individual IDComb' AND segmento= 'ESTR' AND ambito= 'PM' AND entidade='00100' AND cod_visao = 1) B ON instrmnt_id_as_is = instrmnt_id_to_be WHERE coalesce(cast(dt_vltn_as_is as string), '') &lt;&gt; coalesce(cast(dt_vltn_to_be as string), '') </v>
      </c>
      <c r="M181" s="17" t="s">
        <v>48</v>
      </c>
      <c r="N181" s="17" t="str">
        <f>"SELECT 'Validação de campos' as tipologia_teste, '"&amp;VLOOKUP(B181,Instruções!$F$6:$J$10,3,0)&amp;"' AS TABELA, '"&amp;E181&amp;"' AS CAMPO, '"&amp;Instruções!$D$7&amp;"' as ref_date, coalesce(NUM_REG_DIF, 0) AS NUM_REG_DIF FROM ("&amp;L181&amp;") A "</f>
        <v xml:space="preserve">SELECT 'Validação de campos' as tipologia_teste, 'lt002_instrument' AS TABELA, 'dt_vltn' AS CAMPO, '2025-06-30' as ref_date, coalesce(NUM_REG_DIF, 0) AS NUM_REG_DIF FROM (SELECT count(*) AS NUM_REG_DIF FROM (SELECT instrmnt_id as instrmnt_id_as_is, dt_vltn as dt_vltn_as_is FROM cd_loan_tapes_bce.lt002_instrument WHERE ref_date='2025-06-30' AND nome_perimetro= 'Individual IDComb' AND segmento= 'ESTR' AND ambito= 'PM' AND entidade='00100' AND cod_visao = 1) A  Inner join (SELECT instrmnt_id as instrmnt_id_to_be, dt_vltn as dt_vltn_to_be FROM bu_loantape_work.lt002_instrument WHERE ref_date='2025-06-30' AND nome_perimetro= 'Individual IDComb' AND segmento= 'ESTR' AND ambito= 'PM' AND entidade='00100' AND cod_visao = 1) B ON instrmnt_id_as_is = instrmnt_id_to_be WHERE coalesce(cast(dt_vltn_as_is as string), '') &lt;&gt; coalesce(cast(dt_vltn_to_be as string), '') ) A </v>
      </c>
      <c r="O181" s="19" t="str">
        <f t="shared" si="41"/>
        <v>SELECT 'Validação de campos' as tipologia_teste, 'lt002_instrument' AS TABELA, 'dt_vltn' AS CAMPO, '2025-06-30' as ref_date, coalesce(NUM_REG_DIF, 0) AS NUM_REG_DIF FROM (SELECT count(*) AS NUM_REG_DIF FROM (SELECT instrmnt_id as instrmnt_id_as_is, dt_vltn as dt_vltn_as_is FROM cd_loan_tapes_bce.lt002_instrument WHERE ref_date='2025-06-30' AND nome_perimetro= 'Individual IDComb' AND segmento= 'ESTR' AND ambito= 'PM' AND entidade='00100' AND cod_visao = 1) A  Inner join (SELECT instrmnt_id as instrmnt_id_to_be, dt_vltn as dt_vltn_to_be FROM bu_loantape_work.lt002_instrument WHERE ref_date='2025-06-30' AND nome_perimetro= 'Individual IDComb' AND segmento= 'ESTR' AND ambito= 'PM' AND entidade='00100' AND cod_visao = 1) B ON instrmnt_id_as_is = instrmnt_id_to_be WHERE coalesce(cast(dt_vltn_as_is as string), '') &lt;&gt; coalesce(cast(dt_vltn_to_be as string), '') ) A UNION ALL</v>
      </c>
      <c r="P181" s="17">
        <f t="shared" si="40"/>
        <v>17</v>
      </c>
    </row>
    <row r="182" spans="2:16" s="15" customFormat="1" ht="11.5" x14ac:dyDescent="0.25">
      <c r="B182" s="17" t="s">
        <v>24</v>
      </c>
      <c r="C182" s="17" t="str">
        <f>_xlfn.CONCAT(Instruções!$D$5,".",VLOOKUP(B182,Instruções!$F$5:$H$10,2,0))</f>
        <v>cd_loan_tapes_bce.lt002_instrument</v>
      </c>
      <c r="D182" s="17" t="str">
        <f>_xlfn.CONCAT(Instruções!$D$6,".",VLOOKUP(B182,Instruções!$F$5:$H$10,3,0))</f>
        <v>bu_loantape_work.lt002_instrument</v>
      </c>
      <c r="E182" s="17" t="s">
        <v>209</v>
      </c>
      <c r="F182" s="17" t="str">
        <f t="shared" si="34"/>
        <v>ead_as_is</v>
      </c>
      <c r="G182" s="17" t="str">
        <f t="shared" si="35"/>
        <v>ead_to_be</v>
      </c>
      <c r="H182" s="17" t="str">
        <f>IF(VLOOKUP(B182,Instruções!$F$6:$J$10,5,0)="",
"(SELECT "&amp;VLOOKUP(B182,Instruções!$F$6:$J$10,4,0)&amp;" as "&amp;VLOOKUP(B182,Instruções!$F$6:$J$10,4,0)&amp;"_as_is, "&amp;E182&amp;" as "&amp;F182&amp;" FROM "&amp;C182&amp;" WHERE "&amp;Instruções!$D$11&amp;") A ",
"(SELECT "&amp;VLOOKUP(B182,Instruções!$F$6:$J$10,4,0)&amp;" as "&amp;VLOOKUP(B182,Instruções!$F$6:$J$10,4,0)&amp;"_as_is, "&amp;VLOOKUP(B182,Instruções!$F$6:$J$10,5,0)&amp;" as "&amp;VLOOKUP(B182,Instruções!$F$6:$J$10,5,0)&amp;"_as_is,"&amp;E182&amp;" as "&amp;F182&amp;" FROM "&amp;C182&amp;" WHERE "&amp;Instruções!$D$11&amp;") A ")</f>
        <v xml:space="preserve">(SELECT instrmnt_id as instrmnt_id_as_is, ead as ead_as_is FROM cd_loan_tapes_bce.lt002_instrument WHERE ref_date='2025-06-30' AND nome_perimetro= 'Individual IDComb' AND segmento= 'ESTR' AND ambito= 'PM' AND entidade='00100' AND cod_visao = 1) A </v>
      </c>
      <c r="I182" s="17" t="str">
        <f>IF(VLOOKUP(B182,Instruções!$F$6:$J$10,5,0)="",
"(SELECT "&amp;VLOOKUP(B182,Instruções!$F$6:$J$10,4,0)&amp;" as "&amp;VLOOKUP(B182,Instruções!$F$6:$J$10,4,0)&amp;"_to_be, "&amp;E182&amp;" as "&amp;G182&amp;" FROM "&amp;D182&amp;" WHERE "&amp;Instruções!$D$11&amp;") B ",
"(SELECT "&amp;VLOOKUP(B182,Instruções!$F$6:$J$10,4,0)&amp;" as "&amp;VLOOKUP(B182,Instruções!$F$6:$J$10,4,0)&amp;"_to_be, "&amp;VLOOKUP(B182,Instruções!$F$6:$J$10,5,0)&amp;" as "&amp;VLOOKUP(B182,Instruções!$F$6:$J$10,5,0)&amp;"_to_be,"&amp;E182&amp;" as "&amp;G182&amp;" FROM "&amp;D182&amp;" WHERE "&amp;Instruções!$D$11&amp;") B ")</f>
        <v xml:space="preserve">(SELECT instrmnt_id as instrmnt_id_to_be, ead as ead_to_be FROM bu_loantape_work.lt002_instrument WHERE ref_date='2025-06-30' AND nome_perimetro= 'Individual IDComb' AND segmento= 'ESTR' AND ambito= 'PM' AND entidade='00100' AND cod_visao = 1) B </v>
      </c>
      <c r="J182" s="17" t="str">
        <f>IF(VLOOKUP(B182,Instruções!$F$6:$J$10,5,0)="",
"ON "&amp;VLOOKUP(B182,Instruções!$F$6:$J$10,4,0)&amp;"_as_is = "&amp;VLOOKUP(B182,Instruções!$F$6:$J$10,4,0)&amp;"_to_be ",
"ON "&amp;VLOOKUP(B182,Instruções!$F$6:$J$10,4,0)&amp;"_as_is = "&amp;VLOOKUP(B182,Instruções!$F$6:$J$10,4,0)&amp;"_to_be AND "&amp;VLOOKUP(B182,Instruções!$F$6:$J$10,5,0)&amp;"_as_is = "&amp;VLOOKUP(B182,Instruções!$F$6:$J$10,5,0)&amp;"_to_be ")</f>
        <v xml:space="preserve">ON instrmnt_id_as_is = instrmnt_id_to_be </v>
      </c>
      <c r="K182" s="17" t="str">
        <f t="shared" si="36"/>
        <v xml:space="preserve">WHERE coalesce(cast(ead_as_is as string), '') &lt;&gt; coalesce(cast(ead_to_be as string), '') </v>
      </c>
      <c r="L182" s="17" t="str">
        <f t="shared" si="39"/>
        <v xml:space="preserve">SELECT count(*) AS NUM_REG_DIF FROM (SELECT instrmnt_id as instrmnt_id_as_is, ead as ead_as_is FROM cd_loan_tapes_bce.lt002_instrument WHERE ref_date='2025-06-30' AND nome_perimetro= 'Individual IDComb' AND segmento= 'ESTR' AND ambito= 'PM' AND entidade='00100' AND cod_visao = 1) A  Inner join (SELECT instrmnt_id as instrmnt_id_to_be, ead as ead_to_be FROM bu_loantape_work.lt002_instrument WHERE ref_date='2025-06-30' AND nome_perimetro= 'Individual IDComb' AND segmento= 'ESTR' AND ambito= 'PM' AND entidade='00100' AND cod_visao = 1) B ON instrmnt_id_as_is = instrmnt_id_to_be WHERE coalesce(cast(ead_as_is as string), '') &lt;&gt; coalesce(cast(ead_to_be as string), '') </v>
      </c>
      <c r="M182" s="17" t="s">
        <v>48</v>
      </c>
      <c r="N182" s="17" t="str">
        <f>"SELECT 'Validação de campos' as tipologia_teste, '"&amp;VLOOKUP(B182,Instruções!$F$6:$J$10,3,0)&amp;"' AS TABELA, '"&amp;E182&amp;"' AS CAMPO, '"&amp;Instruções!$D$7&amp;"' as ref_date, coalesce(NUM_REG_DIF, 0) AS NUM_REG_DIF FROM ("&amp;L182&amp;") A "</f>
        <v xml:space="preserve">SELECT 'Validação de campos' as tipologia_teste, 'lt002_instrument' AS TABELA, 'ead' AS CAMPO, '2025-06-30' as ref_date, coalesce(NUM_REG_DIF, 0) AS NUM_REG_DIF FROM (SELECT count(*) AS NUM_REG_DIF FROM (SELECT instrmnt_id as instrmnt_id_as_is, ead as ead_as_is FROM cd_loan_tapes_bce.lt002_instrument WHERE ref_date='2025-06-30' AND nome_perimetro= 'Individual IDComb' AND segmento= 'ESTR' AND ambito= 'PM' AND entidade='00100' AND cod_visao = 1) A  Inner join (SELECT instrmnt_id as instrmnt_id_to_be, ead as ead_to_be FROM bu_loantape_work.lt002_instrument WHERE ref_date='2025-06-30' AND nome_perimetro= 'Individual IDComb' AND segmento= 'ESTR' AND ambito= 'PM' AND entidade='00100' AND cod_visao = 1) B ON instrmnt_id_as_is = instrmnt_id_to_be WHERE coalesce(cast(ead_as_is as string), '') &lt;&gt; coalesce(cast(ead_to_be as string), '') ) A </v>
      </c>
      <c r="O182" s="19" t="str">
        <f t="shared" si="41"/>
        <v>SELECT 'Validação de campos' as tipologia_teste, 'lt002_instrument' AS TABELA, 'ead' AS CAMPO, '2025-06-30' as ref_date, coalesce(NUM_REG_DIF, 0) AS NUM_REG_DIF FROM (SELECT count(*) AS NUM_REG_DIF FROM (SELECT instrmnt_id as instrmnt_id_as_is, ead as ead_as_is FROM cd_loan_tapes_bce.lt002_instrument WHERE ref_date='2025-06-30' AND nome_perimetro= 'Individual IDComb' AND segmento= 'ESTR' AND ambito= 'PM' AND entidade='00100' AND cod_visao = 1) A  Inner join (SELECT instrmnt_id as instrmnt_id_to_be, ead as ead_to_be FROM bu_loantape_work.lt002_instrument WHERE ref_date='2025-06-30' AND nome_perimetro= 'Individual IDComb' AND segmento= 'ESTR' AND ambito= 'PM' AND entidade='00100' AND cod_visao = 1) B ON instrmnt_id_as_is = instrmnt_id_to_be WHERE coalesce(cast(ead_as_is as string), '') &lt;&gt; coalesce(cast(ead_to_be as string), '') ) A UNION ALL</v>
      </c>
      <c r="P182" s="17">
        <f t="shared" si="40"/>
        <v>18</v>
      </c>
    </row>
    <row r="183" spans="2:16" s="15" customFormat="1" ht="11.5" x14ac:dyDescent="0.25">
      <c r="B183" s="17" t="s">
        <v>24</v>
      </c>
      <c r="C183" s="17" t="str">
        <f>_xlfn.CONCAT(Instruções!$D$5,".",VLOOKUP(B183,Instruções!$F$5:$H$10,2,0))</f>
        <v>cd_loan_tapes_bce.lt002_instrument</v>
      </c>
      <c r="D183" s="17" t="str">
        <f>_xlfn.CONCAT(Instruções!$D$6,".",VLOOKUP(B183,Instruções!$F$5:$H$10,3,0))</f>
        <v>bu_loantape_work.lt002_instrument</v>
      </c>
      <c r="E183" s="17" t="s">
        <v>210</v>
      </c>
      <c r="F183" s="17" t="str">
        <f t="shared" si="34"/>
        <v>eir_as_is</v>
      </c>
      <c r="G183" s="17" t="str">
        <f t="shared" si="35"/>
        <v>eir_to_be</v>
      </c>
      <c r="H183" s="17" t="str">
        <f>IF(VLOOKUP(B183,Instruções!$F$6:$J$10,5,0)="",
"(SELECT "&amp;VLOOKUP(B183,Instruções!$F$6:$J$10,4,0)&amp;" as "&amp;VLOOKUP(B183,Instruções!$F$6:$J$10,4,0)&amp;"_as_is, "&amp;E183&amp;" as "&amp;F183&amp;" FROM "&amp;C183&amp;" WHERE "&amp;Instruções!$D$11&amp;") A ",
"(SELECT "&amp;VLOOKUP(B183,Instruções!$F$6:$J$10,4,0)&amp;" as "&amp;VLOOKUP(B183,Instruções!$F$6:$J$10,4,0)&amp;"_as_is, "&amp;VLOOKUP(B183,Instruções!$F$6:$J$10,5,0)&amp;" as "&amp;VLOOKUP(B183,Instruções!$F$6:$J$10,5,0)&amp;"_as_is,"&amp;E183&amp;" as "&amp;F183&amp;" FROM "&amp;C183&amp;" WHERE "&amp;Instruções!$D$11&amp;") A ")</f>
        <v xml:space="preserve">(SELECT instrmnt_id as instrmnt_id_as_is, eir as eir_as_is FROM cd_loan_tapes_bce.lt002_instrument WHERE ref_date='2025-06-30' AND nome_perimetro= 'Individual IDComb' AND segmento= 'ESTR' AND ambito= 'PM' AND entidade='00100' AND cod_visao = 1) A </v>
      </c>
      <c r="I183" s="17" t="str">
        <f>IF(VLOOKUP(B183,Instruções!$F$6:$J$10,5,0)="",
"(SELECT "&amp;VLOOKUP(B183,Instruções!$F$6:$J$10,4,0)&amp;" as "&amp;VLOOKUP(B183,Instruções!$F$6:$J$10,4,0)&amp;"_to_be, "&amp;E183&amp;" as "&amp;G183&amp;" FROM "&amp;D183&amp;" WHERE "&amp;Instruções!$D$11&amp;") B ",
"(SELECT "&amp;VLOOKUP(B183,Instruções!$F$6:$J$10,4,0)&amp;" as "&amp;VLOOKUP(B183,Instruções!$F$6:$J$10,4,0)&amp;"_to_be, "&amp;VLOOKUP(B183,Instruções!$F$6:$J$10,5,0)&amp;" as "&amp;VLOOKUP(B183,Instruções!$F$6:$J$10,5,0)&amp;"_to_be,"&amp;E183&amp;" as "&amp;G183&amp;" FROM "&amp;D183&amp;" WHERE "&amp;Instruções!$D$11&amp;") B ")</f>
        <v xml:space="preserve">(SELECT instrmnt_id as instrmnt_id_to_be, eir as eir_to_be FROM bu_loantape_work.lt002_instrument WHERE ref_date='2025-06-30' AND nome_perimetro= 'Individual IDComb' AND segmento= 'ESTR' AND ambito= 'PM' AND entidade='00100' AND cod_visao = 1) B </v>
      </c>
      <c r="J183" s="17" t="str">
        <f>IF(VLOOKUP(B183,Instruções!$F$6:$J$10,5,0)="",
"ON "&amp;VLOOKUP(B183,Instruções!$F$6:$J$10,4,0)&amp;"_as_is = "&amp;VLOOKUP(B183,Instruções!$F$6:$J$10,4,0)&amp;"_to_be ",
"ON "&amp;VLOOKUP(B183,Instruções!$F$6:$J$10,4,0)&amp;"_as_is = "&amp;VLOOKUP(B183,Instruções!$F$6:$J$10,4,0)&amp;"_to_be AND "&amp;VLOOKUP(B183,Instruções!$F$6:$J$10,5,0)&amp;"_as_is = "&amp;VLOOKUP(B183,Instruções!$F$6:$J$10,5,0)&amp;"_to_be ")</f>
        <v xml:space="preserve">ON instrmnt_id_as_is = instrmnt_id_to_be </v>
      </c>
      <c r="K183" s="17" t="str">
        <f t="shared" si="36"/>
        <v xml:space="preserve">WHERE coalesce(cast(eir_as_is as string), '') &lt;&gt; coalesce(cast(eir_to_be as string), '') </v>
      </c>
      <c r="L183" s="17" t="str">
        <f t="shared" si="39"/>
        <v xml:space="preserve">SELECT count(*) AS NUM_REG_DIF FROM (SELECT instrmnt_id as instrmnt_id_as_is, eir as eir_as_is FROM cd_loan_tapes_bce.lt002_instrument WHERE ref_date='2025-06-30' AND nome_perimetro= 'Individual IDComb' AND segmento= 'ESTR' AND ambito= 'PM' AND entidade='00100' AND cod_visao = 1) A  Inner join (SELECT instrmnt_id as instrmnt_id_to_be, eir as eir_to_be FROM bu_loantape_work.lt002_instrument WHERE ref_date='2025-06-30' AND nome_perimetro= 'Individual IDComb' AND segmento= 'ESTR' AND ambito= 'PM' AND entidade='00100' AND cod_visao = 1) B ON instrmnt_id_as_is = instrmnt_id_to_be WHERE coalesce(cast(eir_as_is as string), '') &lt;&gt; coalesce(cast(eir_to_be as string), '') </v>
      </c>
      <c r="M183" s="17" t="s">
        <v>48</v>
      </c>
      <c r="N183" s="17" t="str">
        <f>"SELECT 'Validação de campos' as tipologia_teste, '"&amp;VLOOKUP(B183,Instruções!$F$6:$J$10,3,0)&amp;"' AS TABELA, '"&amp;E183&amp;"' AS CAMPO, '"&amp;Instruções!$D$7&amp;"' as ref_date, coalesce(NUM_REG_DIF, 0) AS NUM_REG_DIF FROM ("&amp;L183&amp;") A "</f>
        <v xml:space="preserve">SELECT 'Validação de campos' as tipologia_teste, 'lt002_instrument' AS TABELA, 'eir' AS CAMPO, '2025-06-30' as ref_date, coalesce(NUM_REG_DIF, 0) AS NUM_REG_DIF FROM (SELECT count(*) AS NUM_REG_DIF FROM (SELECT instrmnt_id as instrmnt_id_as_is, eir as eir_as_is FROM cd_loan_tapes_bce.lt002_instrument WHERE ref_date='2025-06-30' AND nome_perimetro= 'Individual IDComb' AND segmento= 'ESTR' AND ambito= 'PM' AND entidade='00100' AND cod_visao = 1) A  Inner join (SELECT instrmnt_id as instrmnt_id_to_be, eir as eir_to_be FROM bu_loantape_work.lt002_instrument WHERE ref_date='2025-06-30' AND nome_perimetro= 'Individual IDComb' AND segmento= 'ESTR' AND ambito= 'PM' AND entidade='00100' AND cod_visao = 1) B ON instrmnt_id_as_is = instrmnt_id_to_be WHERE coalesce(cast(eir_as_is as string), '') &lt;&gt; coalesce(cast(eir_to_be as string), '') ) A </v>
      </c>
      <c r="O183" s="19" t="str">
        <f t="shared" si="41"/>
        <v>SELECT 'Validação de campos' as tipologia_teste, 'lt002_instrument' AS TABELA, 'eir' AS CAMPO, '2025-06-30' as ref_date, coalesce(NUM_REG_DIF, 0) AS NUM_REG_DIF FROM (SELECT count(*) AS NUM_REG_DIF FROM (SELECT instrmnt_id as instrmnt_id_as_is, eir as eir_as_is FROM cd_loan_tapes_bce.lt002_instrument WHERE ref_date='2025-06-30' AND nome_perimetro= 'Individual IDComb' AND segmento= 'ESTR' AND ambito= 'PM' AND entidade='00100' AND cod_visao = 1) A  Inner join (SELECT instrmnt_id as instrmnt_id_to_be, eir as eir_to_be FROM bu_loantape_work.lt002_instrument WHERE ref_date='2025-06-30' AND nome_perimetro= 'Individual IDComb' AND segmento= 'ESTR' AND ambito= 'PM' AND entidade='00100' AND cod_visao = 1) B ON instrmnt_id_as_is = instrmnt_id_to_be WHERE coalesce(cast(eir_as_is as string), '') &lt;&gt; coalesce(cast(eir_to_be as string), '') ) A UNION ALL</v>
      </c>
      <c r="P183" s="17">
        <f t="shared" si="40"/>
        <v>19</v>
      </c>
    </row>
    <row r="184" spans="2:16" s="15" customFormat="1" ht="11.5" x14ac:dyDescent="0.25">
      <c r="B184" s="17" t="s">
        <v>24</v>
      </c>
      <c r="C184" s="17" t="str">
        <f>_xlfn.CONCAT(Instruções!$D$5,".",VLOOKUP(B184,Instruções!$F$5:$H$10,2,0))</f>
        <v>cd_loan_tapes_bce.lt002_instrument</v>
      </c>
      <c r="D184" s="17" t="str">
        <f>_xlfn.CONCAT(Instruções!$D$6,".",VLOOKUP(B184,Instruções!$F$5:$H$10,3,0))</f>
        <v>bu_loantape_work.lt002_instrument</v>
      </c>
      <c r="E184" s="17" t="s">
        <v>211</v>
      </c>
      <c r="F184" s="17" t="str">
        <f t="shared" si="34"/>
        <v>eir_incptn_as_is</v>
      </c>
      <c r="G184" s="17" t="str">
        <f t="shared" si="35"/>
        <v>eir_incptn_to_be</v>
      </c>
      <c r="H184" s="17" t="str">
        <f>IF(VLOOKUP(B184,Instruções!$F$6:$J$10,5,0)="",
"(SELECT "&amp;VLOOKUP(B184,Instruções!$F$6:$J$10,4,0)&amp;" as "&amp;VLOOKUP(B184,Instruções!$F$6:$J$10,4,0)&amp;"_as_is, "&amp;E184&amp;" as "&amp;F184&amp;" FROM "&amp;C184&amp;" WHERE "&amp;Instruções!$D$11&amp;") A ",
"(SELECT "&amp;VLOOKUP(B184,Instruções!$F$6:$J$10,4,0)&amp;" as "&amp;VLOOKUP(B184,Instruções!$F$6:$J$10,4,0)&amp;"_as_is, "&amp;VLOOKUP(B184,Instruções!$F$6:$J$10,5,0)&amp;" as "&amp;VLOOKUP(B184,Instruções!$F$6:$J$10,5,0)&amp;"_as_is,"&amp;E184&amp;" as "&amp;F184&amp;" FROM "&amp;C184&amp;" WHERE "&amp;Instruções!$D$11&amp;") A ")</f>
        <v xml:space="preserve">(SELECT instrmnt_id as instrmnt_id_as_is, eir_incptn as eir_incptn_as_is FROM cd_loan_tapes_bce.lt002_instrument WHERE ref_date='2025-06-30' AND nome_perimetro= 'Individual IDComb' AND segmento= 'ESTR' AND ambito= 'PM' AND entidade='00100' AND cod_visao = 1) A </v>
      </c>
      <c r="I184" s="17" t="str">
        <f>IF(VLOOKUP(B184,Instruções!$F$6:$J$10,5,0)="",
"(SELECT "&amp;VLOOKUP(B184,Instruções!$F$6:$J$10,4,0)&amp;" as "&amp;VLOOKUP(B184,Instruções!$F$6:$J$10,4,0)&amp;"_to_be, "&amp;E184&amp;" as "&amp;G184&amp;" FROM "&amp;D184&amp;" WHERE "&amp;Instruções!$D$11&amp;") B ",
"(SELECT "&amp;VLOOKUP(B184,Instruções!$F$6:$J$10,4,0)&amp;" as "&amp;VLOOKUP(B184,Instruções!$F$6:$J$10,4,0)&amp;"_to_be, "&amp;VLOOKUP(B184,Instruções!$F$6:$J$10,5,0)&amp;" as "&amp;VLOOKUP(B184,Instruções!$F$6:$J$10,5,0)&amp;"_to_be,"&amp;E184&amp;" as "&amp;G184&amp;" FROM "&amp;D184&amp;" WHERE "&amp;Instruções!$D$11&amp;") B ")</f>
        <v xml:space="preserve">(SELECT instrmnt_id as instrmnt_id_to_be, eir_incptn as eir_incptn_to_be FROM bu_loantape_work.lt002_instrument WHERE ref_date='2025-06-30' AND nome_perimetro= 'Individual IDComb' AND segmento= 'ESTR' AND ambito= 'PM' AND entidade='00100' AND cod_visao = 1) B </v>
      </c>
      <c r="J184" s="17" t="str">
        <f>IF(VLOOKUP(B184,Instruções!$F$6:$J$10,5,0)="",
"ON "&amp;VLOOKUP(B184,Instruções!$F$6:$J$10,4,0)&amp;"_as_is = "&amp;VLOOKUP(B184,Instruções!$F$6:$J$10,4,0)&amp;"_to_be ",
"ON "&amp;VLOOKUP(B184,Instruções!$F$6:$J$10,4,0)&amp;"_as_is = "&amp;VLOOKUP(B184,Instruções!$F$6:$J$10,4,0)&amp;"_to_be AND "&amp;VLOOKUP(B184,Instruções!$F$6:$J$10,5,0)&amp;"_as_is = "&amp;VLOOKUP(B184,Instruções!$F$6:$J$10,5,0)&amp;"_to_be ")</f>
        <v xml:space="preserve">ON instrmnt_id_as_is = instrmnt_id_to_be </v>
      </c>
      <c r="K184" s="17" t="str">
        <f t="shared" si="36"/>
        <v xml:space="preserve">WHERE coalesce(cast(eir_incptn_as_is as string), '') &lt;&gt; coalesce(cast(eir_incptn_to_be as string), '') </v>
      </c>
      <c r="L184" s="17" t="str">
        <f t="shared" si="39"/>
        <v xml:space="preserve">SELECT count(*) AS NUM_REG_DIF FROM (SELECT instrmnt_id as instrmnt_id_as_is, eir_incptn as eir_incptn_as_is FROM cd_loan_tapes_bce.lt002_instrument WHERE ref_date='2025-06-30' AND nome_perimetro= 'Individual IDComb' AND segmento= 'ESTR' AND ambito= 'PM' AND entidade='00100' AND cod_visao = 1) A  Inner join (SELECT instrmnt_id as instrmnt_id_to_be, eir_incptn as eir_incptn_to_be FROM bu_loantape_work.lt002_instrument WHERE ref_date='2025-06-30' AND nome_perimetro= 'Individual IDComb' AND segmento= 'ESTR' AND ambito= 'PM' AND entidade='00100' AND cod_visao = 1) B ON instrmnt_id_as_is = instrmnt_id_to_be WHERE coalesce(cast(eir_incptn_as_is as string), '') &lt;&gt; coalesce(cast(eir_incptn_to_be as string), '') </v>
      </c>
      <c r="M184" s="17" t="s">
        <v>48</v>
      </c>
      <c r="N184" s="17" t="str">
        <f>"SELECT 'Validação de campos' as tipologia_teste, '"&amp;VLOOKUP(B184,Instruções!$F$6:$J$10,3,0)&amp;"' AS TABELA, '"&amp;E184&amp;"' AS CAMPO, '"&amp;Instruções!$D$7&amp;"' as ref_date, coalesce(NUM_REG_DIF, 0) AS NUM_REG_DIF FROM ("&amp;L184&amp;") A "</f>
        <v xml:space="preserve">SELECT 'Validação de campos' as tipologia_teste, 'lt002_instrument' AS TABELA, 'eir_incptn' AS CAMPO, '2025-06-30' as ref_date, coalesce(NUM_REG_DIF, 0) AS NUM_REG_DIF FROM (SELECT count(*) AS NUM_REG_DIF FROM (SELECT instrmnt_id as instrmnt_id_as_is, eir_incptn as eir_incptn_as_is FROM cd_loan_tapes_bce.lt002_instrument WHERE ref_date='2025-06-30' AND nome_perimetro= 'Individual IDComb' AND segmento= 'ESTR' AND ambito= 'PM' AND entidade='00100' AND cod_visao = 1) A  Inner join (SELECT instrmnt_id as instrmnt_id_to_be, eir_incptn as eir_incptn_to_be FROM bu_loantape_work.lt002_instrument WHERE ref_date='2025-06-30' AND nome_perimetro= 'Individual IDComb' AND segmento= 'ESTR' AND ambito= 'PM' AND entidade='00100' AND cod_visao = 1) B ON instrmnt_id_as_is = instrmnt_id_to_be WHERE coalesce(cast(eir_incptn_as_is as string), '') &lt;&gt; coalesce(cast(eir_incptn_to_be as string), '') ) A </v>
      </c>
      <c r="O184" s="19" t="str">
        <f t="shared" si="41"/>
        <v>SELECT 'Validação de campos' as tipologia_teste, 'lt002_instrument' AS TABELA, 'eir_incptn' AS CAMPO, '2025-06-30' as ref_date, coalesce(NUM_REG_DIF, 0) AS NUM_REG_DIF FROM (SELECT count(*) AS NUM_REG_DIF FROM (SELECT instrmnt_id as instrmnt_id_as_is, eir_incptn as eir_incptn_as_is FROM cd_loan_tapes_bce.lt002_instrument WHERE ref_date='2025-06-30' AND nome_perimetro= 'Individual IDComb' AND segmento= 'ESTR' AND ambito= 'PM' AND entidade='00100' AND cod_visao = 1) A  Inner join (SELECT instrmnt_id as instrmnt_id_to_be, eir_incptn as eir_incptn_to_be FROM bu_loantape_work.lt002_instrument WHERE ref_date='2025-06-30' AND nome_perimetro= 'Individual IDComb' AND segmento= 'ESTR' AND ambito= 'PM' AND entidade='00100' AND cod_visao = 1) B ON instrmnt_id_as_is = instrmnt_id_to_be WHERE coalesce(cast(eir_incptn_as_is as string), '') &lt;&gt; coalesce(cast(eir_incptn_to_be as string), '') ) A UNION ALL</v>
      </c>
      <c r="P184" s="17">
        <f t="shared" si="40"/>
        <v>20</v>
      </c>
    </row>
    <row r="185" spans="2:16" s="15" customFormat="1" ht="11.5" x14ac:dyDescent="0.25">
      <c r="B185" s="17" t="s">
        <v>24</v>
      </c>
      <c r="C185" s="17" t="str">
        <f>_xlfn.CONCAT(Instruções!$D$5,".",VLOOKUP(B185,Instruções!$F$5:$H$10,2,0))</f>
        <v>cd_loan_tapes_bce.lt002_instrument</v>
      </c>
      <c r="D185" s="17" t="str">
        <f>_xlfn.CONCAT(Instruções!$D$6,".",VLOOKUP(B185,Instruções!$F$5:$H$10,3,0))</f>
        <v>bu_loantape_work.lt002_instrument</v>
      </c>
      <c r="E185" s="17" t="s">
        <v>212</v>
      </c>
      <c r="F185" s="17" t="str">
        <f t="shared" si="34"/>
        <v>elgblty_ecb_as_is</v>
      </c>
      <c r="G185" s="17" t="str">
        <f t="shared" si="35"/>
        <v>elgblty_ecb_to_be</v>
      </c>
      <c r="H185" s="17" t="str">
        <f>IF(VLOOKUP(B185,Instruções!$F$6:$J$10,5,0)="",
"(SELECT "&amp;VLOOKUP(B185,Instruções!$F$6:$J$10,4,0)&amp;" as "&amp;VLOOKUP(B185,Instruções!$F$6:$J$10,4,0)&amp;"_as_is, "&amp;E185&amp;" as "&amp;F185&amp;" FROM "&amp;C185&amp;" WHERE "&amp;Instruções!$D$11&amp;") A ",
"(SELECT "&amp;VLOOKUP(B185,Instruções!$F$6:$J$10,4,0)&amp;" as "&amp;VLOOKUP(B185,Instruções!$F$6:$J$10,4,0)&amp;"_as_is, "&amp;VLOOKUP(B185,Instruções!$F$6:$J$10,5,0)&amp;" as "&amp;VLOOKUP(B185,Instruções!$F$6:$J$10,5,0)&amp;"_as_is,"&amp;E185&amp;" as "&amp;F185&amp;" FROM "&amp;C185&amp;" WHERE "&amp;Instruções!$D$11&amp;") A ")</f>
        <v xml:space="preserve">(SELECT instrmnt_id as instrmnt_id_as_is, elgblty_ecb as elgblty_ecb_as_is FROM cd_loan_tapes_bce.lt002_instrument WHERE ref_date='2025-06-30' AND nome_perimetro= 'Individual IDComb' AND segmento= 'ESTR' AND ambito= 'PM' AND entidade='00100' AND cod_visao = 1) A </v>
      </c>
      <c r="I185" s="17" t="str">
        <f>IF(VLOOKUP(B185,Instruções!$F$6:$J$10,5,0)="",
"(SELECT "&amp;VLOOKUP(B185,Instruções!$F$6:$J$10,4,0)&amp;" as "&amp;VLOOKUP(B185,Instruções!$F$6:$J$10,4,0)&amp;"_to_be, "&amp;E185&amp;" as "&amp;G185&amp;" FROM "&amp;D185&amp;" WHERE "&amp;Instruções!$D$11&amp;") B ",
"(SELECT "&amp;VLOOKUP(B185,Instruções!$F$6:$J$10,4,0)&amp;" as "&amp;VLOOKUP(B185,Instruções!$F$6:$J$10,4,0)&amp;"_to_be, "&amp;VLOOKUP(B185,Instruções!$F$6:$J$10,5,0)&amp;" as "&amp;VLOOKUP(B185,Instruções!$F$6:$J$10,5,0)&amp;"_to_be,"&amp;E185&amp;" as "&amp;G185&amp;" FROM "&amp;D185&amp;" WHERE "&amp;Instruções!$D$11&amp;") B ")</f>
        <v xml:space="preserve">(SELECT instrmnt_id as instrmnt_id_to_be, elgblty_ecb as elgblty_ecb_to_be FROM bu_loantape_work.lt002_instrument WHERE ref_date='2025-06-30' AND nome_perimetro= 'Individual IDComb' AND segmento= 'ESTR' AND ambito= 'PM' AND entidade='00100' AND cod_visao = 1) B </v>
      </c>
      <c r="J185" s="17" t="str">
        <f>IF(VLOOKUP(B185,Instruções!$F$6:$J$10,5,0)="",
"ON "&amp;VLOOKUP(B185,Instruções!$F$6:$J$10,4,0)&amp;"_as_is = "&amp;VLOOKUP(B185,Instruções!$F$6:$J$10,4,0)&amp;"_to_be ",
"ON "&amp;VLOOKUP(B185,Instruções!$F$6:$J$10,4,0)&amp;"_as_is = "&amp;VLOOKUP(B185,Instruções!$F$6:$J$10,4,0)&amp;"_to_be AND "&amp;VLOOKUP(B185,Instruções!$F$6:$J$10,5,0)&amp;"_as_is = "&amp;VLOOKUP(B185,Instruções!$F$6:$J$10,5,0)&amp;"_to_be ")</f>
        <v xml:space="preserve">ON instrmnt_id_as_is = instrmnt_id_to_be </v>
      </c>
      <c r="K185" s="17" t="str">
        <f t="shared" si="36"/>
        <v xml:space="preserve">WHERE coalesce(cast(elgblty_ecb_as_is as string), '') &lt;&gt; coalesce(cast(elgblty_ecb_to_be as string), '') </v>
      </c>
      <c r="L185" s="17" t="str">
        <f t="shared" si="39"/>
        <v xml:space="preserve">SELECT count(*) AS NUM_REG_DIF FROM (SELECT instrmnt_id as instrmnt_id_as_is, elgblty_ecb as elgblty_ecb_as_is FROM cd_loan_tapes_bce.lt002_instrument WHERE ref_date='2025-06-30' AND nome_perimetro= 'Individual IDComb' AND segmento= 'ESTR' AND ambito= 'PM' AND entidade='00100' AND cod_visao = 1) A  Inner join (SELECT instrmnt_id as instrmnt_id_to_be, elgblty_ecb as elgblty_ecb_to_be FROM bu_loantape_work.lt002_instrument WHERE ref_date='2025-06-30' AND nome_perimetro= 'Individual IDComb' AND segmento= 'ESTR' AND ambito= 'PM' AND entidade='00100' AND cod_visao = 1) B ON instrmnt_id_as_is = instrmnt_id_to_be WHERE coalesce(cast(elgblty_ecb_as_is as string), '') &lt;&gt; coalesce(cast(elgblty_ecb_to_be as string), '') </v>
      </c>
      <c r="M185" s="17" t="s">
        <v>48</v>
      </c>
      <c r="N185" s="17" t="str">
        <f>"SELECT 'Validação de campos' as tipologia_teste, '"&amp;VLOOKUP(B185,Instruções!$F$6:$J$10,3,0)&amp;"' AS TABELA, '"&amp;E185&amp;"' AS CAMPO, '"&amp;Instruções!$D$7&amp;"' as ref_date, coalesce(NUM_REG_DIF, 0) AS NUM_REG_DIF FROM ("&amp;L185&amp;") A "</f>
        <v xml:space="preserve">SELECT 'Validação de campos' as tipologia_teste, 'lt002_instrument' AS TABELA, 'elgblty_ecb' AS CAMPO, '2025-06-30' as ref_date, coalesce(NUM_REG_DIF, 0) AS NUM_REG_DIF FROM (SELECT count(*) AS NUM_REG_DIF FROM (SELECT instrmnt_id as instrmnt_id_as_is, elgblty_ecb as elgblty_ecb_as_is FROM cd_loan_tapes_bce.lt002_instrument WHERE ref_date='2025-06-30' AND nome_perimetro= 'Individual IDComb' AND segmento= 'ESTR' AND ambito= 'PM' AND entidade='00100' AND cod_visao = 1) A  Inner join (SELECT instrmnt_id as instrmnt_id_to_be, elgblty_ecb as elgblty_ecb_to_be FROM bu_loantape_work.lt002_instrument WHERE ref_date='2025-06-30' AND nome_perimetro= 'Individual IDComb' AND segmento= 'ESTR' AND ambito= 'PM' AND entidade='00100' AND cod_visao = 1) B ON instrmnt_id_as_is = instrmnt_id_to_be WHERE coalesce(cast(elgblty_ecb_as_is as string), '') &lt;&gt; coalesce(cast(elgblty_ecb_to_be as string), '') ) A </v>
      </c>
      <c r="O185" s="19" t="str">
        <f t="shared" si="41"/>
        <v>SELECT 'Validação de campos' as tipologia_teste, 'lt002_instrument' AS TABELA, 'elgblty_ecb' AS CAMPO, '2025-06-30' as ref_date, coalesce(NUM_REG_DIF, 0) AS NUM_REG_DIF FROM (SELECT count(*) AS NUM_REG_DIF FROM (SELECT instrmnt_id as instrmnt_id_as_is, elgblty_ecb as elgblty_ecb_as_is FROM cd_loan_tapes_bce.lt002_instrument WHERE ref_date='2025-06-30' AND nome_perimetro= 'Individual IDComb' AND segmento= 'ESTR' AND ambito= 'PM' AND entidade='00100' AND cod_visao = 1) A  Inner join (SELECT instrmnt_id as instrmnt_id_to_be, elgblty_ecb as elgblty_ecb_to_be FROM bu_loantape_work.lt002_instrument WHERE ref_date='2025-06-30' AND nome_perimetro= 'Individual IDComb' AND segmento= 'ESTR' AND ambito= 'PM' AND entidade='00100' AND cod_visao = 1) B ON instrmnt_id_as_is = instrmnt_id_to_be WHERE coalesce(cast(elgblty_ecb_as_is as string), '') &lt;&gt; coalesce(cast(elgblty_ecb_to_be as string), '') ) A UNION ALL</v>
      </c>
      <c r="P185" s="17">
        <f t="shared" si="40"/>
        <v>21</v>
      </c>
    </row>
    <row r="186" spans="2:16" s="15" customFormat="1" ht="11.5" x14ac:dyDescent="0.25">
      <c r="B186" s="17" t="s">
        <v>24</v>
      </c>
      <c r="C186" s="17" t="str">
        <f>_xlfn.CONCAT(Instruções!$D$5,".",VLOOKUP(B186,Instruções!$F$5:$H$10,2,0))</f>
        <v>cd_loan_tapes_bce.lt002_instrument</v>
      </c>
      <c r="D186" s="17" t="str">
        <f>_xlfn.CONCAT(Instruções!$D$6,".",VLOOKUP(B186,Instruções!$F$5:$H$10,3,0))</f>
        <v>bu_loantape_work.lt002_instrument</v>
      </c>
      <c r="E186" s="17" t="s">
        <v>213</v>
      </c>
      <c r="F186" s="17" t="str">
        <f t="shared" si="34"/>
        <v>expctd_lss_crr_as_is</v>
      </c>
      <c r="G186" s="17" t="str">
        <f t="shared" si="35"/>
        <v>expctd_lss_crr_to_be</v>
      </c>
      <c r="H186" s="17" t="str">
        <f>IF(VLOOKUP(B186,Instruções!$F$6:$J$10,5,0)="",
"(SELECT "&amp;VLOOKUP(B186,Instruções!$F$6:$J$10,4,0)&amp;" as "&amp;VLOOKUP(B186,Instruções!$F$6:$J$10,4,0)&amp;"_as_is, "&amp;E186&amp;" as "&amp;F186&amp;" FROM "&amp;C186&amp;" WHERE "&amp;Instruções!$D$11&amp;") A ",
"(SELECT "&amp;VLOOKUP(B186,Instruções!$F$6:$J$10,4,0)&amp;" as "&amp;VLOOKUP(B186,Instruções!$F$6:$J$10,4,0)&amp;"_as_is, "&amp;VLOOKUP(B186,Instruções!$F$6:$J$10,5,0)&amp;" as "&amp;VLOOKUP(B186,Instruções!$F$6:$J$10,5,0)&amp;"_as_is,"&amp;E186&amp;" as "&amp;F186&amp;" FROM "&amp;C186&amp;" WHERE "&amp;Instruções!$D$11&amp;") A ")</f>
        <v xml:space="preserve">(SELECT instrmnt_id as instrmnt_id_as_is, expctd_lss_crr as expctd_lss_crr_as_is FROM cd_loan_tapes_bce.lt002_instrument WHERE ref_date='2025-06-30' AND nome_perimetro= 'Individual IDComb' AND segmento= 'ESTR' AND ambito= 'PM' AND entidade='00100' AND cod_visao = 1) A </v>
      </c>
      <c r="I186" s="17" t="str">
        <f>IF(VLOOKUP(B186,Instruções!$F$6:$J$10,5,0)="",
"(SELECT "&amp;VLOOKUP(B186,Instruções!$F$6:$J$10,4,0)&amp;" as "&amp;VLOOKUP(B186,Instruções!$F$6:$J$10,4,0)&amp;"_to_be, "&amp;E186&amp;" as "&amp;G186&amp;" FROM "&amp;D186&amp;" WHERE "&amp;Instruções!$D$11&amp;") B ",
"(SELECT "&amp;VLOOKUP(B186,Instruções!$F$6:$J$10,4,0)&amp;" as "&amp;VLOOKUP(B186,Instruções!$F$6:$J$10,4,0)&amp;"_to_be, "&amp;VLOOKUP(B186,Instruções!$F$6:$J$10,5,0)&amp;" as "&amp;VLOOKUP(B186,Instruções!$F$6:$J$10,5,0)&amp;"_to_be,"&amp;E186&amp;" as "&amp;G186&amp;" FROM "&amp;D186&amp;" WHERE "&amp;Instruções!$D$11&amp;") B ")</f>
        <v xml:space="preserve">(SELECT instrmnt_id as instrmnt_id_to_be, expctd_lss_crr as expctd_lss_crr_to_be FROM bu_loantape_work.lt002_instrument WHERE ref_date='2025-06-30' AND nome_perimetro= 'Individual IDComb' AND segmento= 'ESTR' AND ambito= 'PM' AND entidade='00100' AND cod_visao = 1) B </v>
      </c>
      <c r="J186" s="17" t="str">
        <f>IF(VLOOKUP(B186,Instruções!$F$6:$J$10,5,0)="",
"ON "&amp;VLOOKUP(B186,Instruções!$F$6:$J$10,4,0)&amp;"_as_is = "&amp;VLOOKUP(B186,Instruções!$F$6:$J$10,4,0)&amp;"_to_be ",
"ON "&amp;VLOOKUP(B186,Instruções!$F$6:$J$10,4,0)&amp;"_as_is = "&amp;VLOOKUP(B186,Instruções!$F$6:$J$10,4,0)&amp;"_to_be AND "&amp;VLOOKUP(B186,Instruções!$F$6:$J$10,5,0)&amp;"_as_is = "&amp;VLOOKUP(B186,Instruções!$F$6:$J$10,5,0)&amp;"_to_be ")</f>
        <v xml:space="preserve">ON instrmnt_id_as_is = instrmnt_id_to_be </v>
      </c>
      <c r="K186" s="17" t="str">
        <f t="shared" si="36"/>
        <v xml:space="preserve">WHERE coalesce(cast(expctd_lss_crr_as_is as string), '') &lt;&gt; coalesce(cast(expctd_lss_crr_to_be as string), '') </v>
      </c>
      <c r="L186" s="17" t="str">
        <f t="shared" si="39"/>
        <v xml:space="preserve">SELECT count(*) AS NUM_REG_DIF FROM (SELECT instrmnt_id as instrmnt_id_as_is, expctd_lss_crr as expctd_lss_crr_as_is FROM cd_loan_tapes_bce.lt002_instrument WHERE ref_date='2025-06-30' AND nome_perimetro= 'Individual IDComb' AND segmento= 'ESTR' AND ambito= 'PM' AND entidade='00100' AND cod_visao = 1) A  Inner join (SELECT instrmnt_id as instrmnt_id_to_be, expctd_lss_crr as expctd_lss_crr_to_be FROM bu_loantape_work.lt002_instrument WHERE ref_date='2025-06-30' AND nome_perimetro= 'Individual IDComb' AND segmento= 'ESTR' AND ambito= 'PM' AND entidade='00100' AND cod_visao = 1) B ON instrmnt_id_as_is = instrmnt_id_to_be WHERE coalesce(cast(expctd_lss_crr_as_is as string), '') &lt;&gt; coalesce(cast(expctd_lss_crr_to_be as string), '') </v>
      </c>
      <c r="M186" s="17" t="s">
        <v>48</v>
      </c>
      <c r="N186" s="17" t="str">
        <f>"SELECT 'Validação de campos' as tipologia_teste, '"&amp;VLOOKUP(B186,Instruções!$F$6:$J$10,3,0)&amp;"' AS TABELA, '"&amp;E186&amp;"' AS CAMPO, '"&amp;Instruções!$D$7&amp;"' as ref_date, coalesce(NUM_REG_DIF, 0) AS NUM_REG_DIF FROM ("&amp;L186&amp;") A "</f>
        <v xml:space="preserve">SELECT 'Validação de campos' as tipologia_teste, 'lt002_instrument' AS TABELA, 'expctd_lss_crr' AS CAMPO, '2025-06-30' as ref_date, coalesce(NUM_REG_DIF, 0) AS NUM_REG_DIF FROM (SELECT count(*) AS NUM_REG_DIF FROM (SELECT instrmnt_id as instrmnt_id_as_is, expctd_lss_crr as expctd_lss_crr_as_is FROM cd_loan_tapes_bce.lt002_instrument WHERE ref_date='2025-06-30' AND nome_perimetro= 'Individual IDComb' AND segmento= 'ESTR' AND ambito= 'PM' AND entidade='00100' AND cod_visao = 1) A  Inner join (SELECT instrmnt_id as instrmnt_id_to_be, expctd_lss_crr as expctd_lss_crr_to_be FROM bu_loantape_work.lt002_instrument WHERE ref_date='2025-06-30' AND nome_perimetro= 'Individual IDComb' AND segmento= 'ESTR' AND ambito= 'PM' AND entidade='00100' AND cod_visao = 1) B ON instrmnt_id_as_is = instrmnt_id_to_be WHERE coalesce(cast(expctd_lss_crr_as_is as string), '') &lt;&gt; coalesce(cast(expctd_lss_crr_to_be as string), '') ) A </v>
      </c>
      <c r="O186" s="19" t="str">
        <f t="shared" si="41"/>
        <v>SELECT 'Validação de campos' as tipologia_teste, 'lt002_instrument' AS TABELA, 'expctd_lss_crr' AS CAMPO, '2025-06-30' as ref_date, coalesce(NUM_REG_DIF, 0) AS NUM_REG_DIF FROM (SELECT count(*) AS NUM_REG_DIF FROM (SELECT instrmnt_id as instrmnt_id_as_is, expctd_lss_crr as expctd_lss_crr_as_is FROM cd_loan_tapes_bce.lt002_instrument WHERE ref_date='2025-06-30' AND nome_perimetro= 'Individual IDComb' AND segmento= 'ESTR' AND ambito= 'PM' AND entidade='00100' AND cod_visao = 1) A  Inner join (SELECT instrmnt_id as instrmnt_id_to_be, expctd_lss_crr as expctd_lss_crr_to_be FROM bu_loantape_work.lt002_instrument WHERE ref_date='2025-06-30' AND nome_perimetro= 'Individual IDComb' AND segmento= 'ESTR' AND ambito= 'PM' AND entidade='00100' AND cod_visao = 1) B ON instrmnt_id_as_is = instrmnt_id_to_be WHERE coalesce(cast(expctd_lss_crr_as_is as string), '') &lt;&gt; coalesce(cast(expctd_lss_crr_to_be as string), '') ) A UNION ALL</v>
      </c>
      <c r="P186" s="17">
        <f t="shared" si="40"/>
        <v>22</v>
      </c>
    </row>
    <row r="187" spans="2:16" s="15" customFormat="1" ht="11.5" x14ac:dyDescent="0.25">
      <c r="B187" s="17" t="s">
        <v>24</v>
      </c>
      <c r="C187" s="17" t="str">
        <f>_xlfn.CONCAT(Instruções!$D$5,".",VLOOKUP(B187,Instruções!$F$5:$H$10,2,0))</f>
        <v>cd_loan_tapes_bce.lt002_instrument</v>
      </c>
      <c r="D187" s="17" t="str">
        <f>_xlfn.CONCAT(Instruções!$D$6,".",VLOOKUP(B187,Instruções!$F$5:$H$10,3,0))</f>
        <v>bu_loantape_work.lt002_instrument</v>
      </c>
      <c r="E187" s="17" t="s">
        <v>214</v>
      </c>
      <c r="F187" s="17" t="str">
        <f t="shared" si="34"/>
        <v>expsr_in_scp_as_is</v>
      </c>
      <c r="G187" s="17" t="str">
        <f t="shared" si="35"/>
        <v>expsr_in_scp_to_be</v>
      </c>
      <c r="H187" s="17" t="str">
        <f>IF(VLOOKUP(B187,Instruções!$F$6:$J$10,5,0)="",
"(SELECT "&amp;VLOOKUP(B187,Instruções!$F$6:$J$10,4,0)&amp;" as "&amp;VLOOKUP(B187,Instruções!$F$6:$J$10,4,0)&amp;"_as_is, "&amp;E187&amp;" as "&amp;F187&amp;" FROM "&amp;C187&amp;" WHERE "&amp;Instruções!$D$11&amp;") A ",
"(SELECT "&amp;VLOOKUP(B187,Instruções!$F$6:$J$10,4,0)&amp;" as "&amp;VLOOKUP(B187,Instruções!$F$6:$J$10,4,0)&amp;"_as_is, "&amp;VLOOKUP(B187,Instruções!$F$6:$J$10,5,0)&amp;" as "&amp;VLOOKUP(B187,Instruções!$F$6:$J$10,5,0)&amp;"_as_is,"&amp;E187&amp;" as "&amp;F187&amp;" FROM "&amp;C187&amp;" WHERE "&amp;Instruções!$D$11&amp;") A ")</f>
        <v xml:space="preserve">(SELECT instrmnt_id as instrmnt_id_as_is, expsr_in_scp as expsr_in_scp_as_is FROM cd_loan_tapes_bce.lt002_instrument WHERE ref_date='2025-06-30' AND nome_perimetro= 'Individual IDComb' AND segmento= 'ESTR' AND ambito= 'PM' AND entidade='00100' AND cod_visao = 1) A </v>
      </c>
      <c r="I187" s="17" t="str">
        <f>IF(VLOOKUP(B187,Instruções!$F$6:$J$10,5,0)="",
"(SELECT "&amp;VLOOKUP(B187,Instruções!$F$6:$J$10,4,0)&amp;" as "&amp;VLOOKUP(B187,Instruções!$F$6:$J$10,4,0)&amp;"_to_be, "&amp;E187&amp;" as "&amp;G187&amp;" FROM "&amp;D187&amp;" WHERE "&amp;Instruções!$D$11&amp;") B ",
"(SELECT "&amp;VLOOKUP(B187,Instruções!$F$6:$J$10,4,0)&amp;" as "&amp;VLOOKUP(B187,Instruções!$F$6:$J$10,4,0)&amp;"_to_be, "&amp;VLOOKUP(B187,Instruções!$F$6:$J$10,5,0)&amp;" as "&amp;VLOOKUP(B187,Instruções!$F$6:$J$10,5,0)&amp;"_to_be,"&amp;E187&amp;" as "&amp;G187&amp;" FROM "&amp;D187&amp;" WHERE "&amp;Instruções!$D$11&amp;") B ")</f>
        <v xml:space="preserve">(SELECT instrmnt_id as instrmnt_id_to_be, expsr_in_scp as expsr_in_scp_to_be FROM bu_loantape_work.lt002_instrument WHERE ref_date='2025-06-30' AND nome_perimetro= 'Individual IDComb' AND segmento= 'ESTR' AND ambito= 'PM' AND entidade='00100' AND cod_visao = 1) B </v>
      </c>
      <c r="J187" s="17" t="str">
        <f>IF(VLOOKUP(B187,Instruções!$F$6:$J$10,5,0)="",
"ON "&amp;VLOOKUP(B187,Instruções!$F$6:$J$10,4,0)&amp;"_as_is = "&amp;VLOOKUP(B187,Instruções!$F$6:$J$10,4,0)&amp;"_to_be ",
"ON "&amp;VLOOKUP(B187,Instruções!$F$6:$J$10,4,0)&amp;"_as_is = "&amp;VLOOKUP(B187,Instruções!$F$6:$J$10,4,0)&amp;"_to_be AND "&amp;VLOOKUP(B187,Instruções!$F$6:$J$10,5,0)&amp;"_as_is = "&amp;VLOOKUP(B187,Instruções!$F$6:$J$10,5,0)&amp;"_to_be ")</f>
        <v xml:space="preserve">ON instrmnt_id_as_is = instrmnt_id_to_be </v>
      </c>
      <c r="K187" s="17" t="str">
        <f t="shared" si="36"/>
        <v xml:space="preserve">WHERE coalesce(cast(expsr_in_scp_as_is as string), '') &lt;&gt; coalesce(cast(expsr_in_scp_to_be as string), '') </v>
      </c>
      <c r="L187" s="17" t="str">
        <f t="shared" si="39"/>
        <v xml:space="preserve">SELECT count(*) AS NUM_REG_DIF FROM (SELECT instrmnt_id as instrmnt_id_as_is, expsr_in_scp as expsr_in_scp_as_is FROM cd_loan_tapes_bce.lt002_instrument WHERE ref_date='2025-06-30' AND nome_perimetro= 'Individual IDComb' AND segmento= 'ESTR' AND ambito= 'PM' AND entidade='00100' AND cod_visao = 1) A  Inner join (SELECT instrmnt_id as instrmnt_id_to_be, expsr_in_scp as expsr_in_scp_to_be FROM bu_loantape_work.lt002_instrument WHERE ref_date='2025-06-30' AND nome_perimetro= 'Individual IDComb' AND segmento= 'ESTR' AND ambito= 'PM' AND entidade='00100' AND cod_visao = 1) B ON instrmnt_id_as_is = instrmnt_id_to_be WHERE coalesce(cast(expsr_in_scp_as_is as string), '') &lt;&gt; coalesce(cast(expsr_in_scp_to_be as string), '') </v>
      </c>
      <c r="M187" s="17" t="s">
        <v>48</v>
      </c>
      <c r="N187" s="17" t="str">
        <f>"SELECT 'Validação de campos' as tipologia_teste, '"&amp;VLOOKUP(B187,Instruções!$F$6:$J$10,3,0)&amp;"' AS TABELA, '"&amp;E187&amp;"' AS CAMPO, '"&amp;Instruções!$D$7&amp;"' as ref_date, coalesce(NUM_REG_DIF, 0) AS NUM_REG_DIF FROM ("&amp;L187&amp;") A "</f>
        <v xml:space="preserve">SELECT 'Validação de campos' as tipologia_teste, 'lt002_instrument' AS TABELA, 'expsr_in_scp' AS CAMPO, '2025-06-30' as ref_date, coalesce(NUM_REG_DIF, 0) AS NUM_REG_DIF FROM (SELECT count(*) AS NUM_REG_DIF FROM (SELECT instrmnt_id as instrmnt_id_as_is, expsr_in_scp as expsr_in_scp_as_is FROM cd_loan_tapes_bce.lt002_instrument WHERE ref_date='2025-06-30' AND nome_perimetro= 'Individual IDComb' AND segmento= 'ESTR' AND ambito= 'PM' AND entidade='00100' AND cod_visao = 1) A  Inner join (SELECT instrmnt_id as instrmnt_id_to_be, expsr_in_scp as expsr_in_scp_to_be FROM bu_loantape_work.lt002_instrument WHERE ref_date='2025-06-30' AND nome_perimetro= 'Individual IDComb' AND segmento= 'ESTR' AND ambito= 'PM' AND entidade='00100' AND cod_visao = 1) B ON instrmnt_id_as_is = instrmnt_id_to_be WHERE coalesce(cast(expsr_in_scp_as_is as string), '') &lt;&gt; coalesce(cast(expsr_in_scp_to_be as string), '') ) A </v>
      </c>
      <c r="O187" s="19" t="str">
        <f t="shared" si="41"/>
        <v>SELECT 'Validação de campos' as tipologia_teste, 'lt002_instrument' AS TABELA, 'expsr_in_scp' AS CAMPO, '2025-06-30' as ref_date, coalesce(NUM_REG_DIF, 0) AS NUM_REG_DIF FROM (SELECT count(*) AS NUM_REG_DIF FROM (SELECT instrmnt_id as instrmnt_id_as_is, expsr_in_scp as expsr_in_scp_as_is FROM cd_loan_tapes_bce.lt002_instrument WHERE ref_date='2025-06-30' AND nome_perimetro= 'Individual IDComb' AND segmento= 'ESTR' AND ambito= 'PM' AND entidade='00100' AND cod_visao = 1) A  Inner join (SELECT instrmnt_id as instrmnt_id_to_be, expsr_in_scp as expsr_in_scp_to_be FROM bu_loantape_work.lt002_instrument WHERE ref_date='2025-06-30' AND nome_perimetro= 'Individual IDComb' AND segmento= 'ESTR' AND ambito= 'PM' AND entidade='00100' AND cod_visao = 1) B ON instrmnt_id_as_is = instrmnt_id_to_be WHERE coalesce(cast(expsr_in_scp_as_is as string), '') &lt;&gt; coalesce(cast(expsr_in_scp_to_be as string), '') ) A UNION ALL</v>
      </c>
      <c r="P187" s="17">
        <f t="shared" si="40"/>
        <v>23</v>
      </c>
    </row>
    <row r="188" spans="2:16" s="15" customFormat="1" ht="11.5" x14ac:dyDescent="0.25">
      <c r="B188" s="17" t="s">
        <v>24</v>
      </c>
      <c r="C188" s="17" t="str">
        <f>_xlfn.CONCAT(Instruções!$D$5,".",VLOOKUP(B188,Instruções!$F$5:$H$10,2,0))</f>
        <v>cd_loan_tapes_bce.lt002_instrument</v>
      </c>
      <c r="D188" s="17" t="str">
        <f>_xlfn.CONCAT(Instruções!$D$6,".",VLOOKUP(B188,Instruções!$F$5:$H$10,3,0))</f>
        <v>bu_loantape_work.lt002_instrument</v>
      </c>
      <c r="E188" s="17" t="s">
        <v>215</v>
      </c>
      <c r="F188" s="17" t="str">
        <f t="shared" si="34"/>
        <v>fld_syndctn_as_is</v>
      </c>
      <c r="G188" s="17" t="str">
        <f t="shared" si="35"/>
        <v>fld_syndctn_to_be</v>
      </c>
      <c r="H188" s="17" t="str">
        <f>IF(VLOOKUP(B188,Instruções!$F$6:$J$10,5,0)="",
"(SELECT "&amp;VLOOKUP(B188,Instruções!$F$6:$J$10,4,0)&amp;" as "&amp;VLOOKUP(B188,Instruções!$F$6:$J$10,4,0)&amp;"_as_is, "&amp;E188&amp;" as "&amp;F188&amp;" FROM "&amp;C188&amp;" WHERE "&amp;Instruções!$D$11&amp;") A ",
"(SELECT "&amp;VLOOKUP(B188,Instruções!$F$6:$J$10,4,0)&amp;" as "&amp;VLOOKUP(B188,Instruções!$F$6:$J$10,4,0)&amp;"_as_is, "&amp;VLOOKUP(B188,Instruções!$F$6:$J$10,5,0)&amp;" as "&amp;VLOOKUP(B188,Instruções!$F$6:$J$10,5,0)&amp;"_as_is,"&amp;E188&amp;" as "&amp;F188&amp;" FROM "&amp;C188&amp;" WHERE "&amp;Instruções!$D$11&amp;") A ")</f>
        <v xml:space="preserve">(SELECT instrmnt_id as instrmnt_id_as_is, fld_syndctn as fld_syndctn_as_is FROM cd_loan_tapes_bce.lt002_instrument WHERE ref_date='2025-06-30' AND nome_perimetro= 'Individual IDComb' AND segmento= 'ESTR' AND ambito= 'PM' AND entidade='00100' AND cod_visao = 1) A </v>
      </c>
      <c r="I188" s="17" t="str">
        <f>IF(VLOOKUP(B188,Instruções!$F$6:$J$10,5,0)="",
"(SELECT "&amp;VLOOKUP(B188,Instruções!$F$6:$J$10,4,0)&amp;" as "&amp;VLOOKUP(B188,Instruções!$F$6:$J$10,4,0)&amp;"_to_be, "&amp;E188&amp;" as "&amp;G188&amp;" FROM "&amp;D188&amp;" WHERE "&amp;Instruções!$D$11&amp;") B ",
"(SELECT "&amp;VLOOKUP(B188,Instruções!$F$6:$J$10,4,0)&amp;" as "&amp;VLOOKUP(B188,Instruções!$F$6:$J$10,4,0)&amp;"_to_be, "&amp;VLOOKUP(B188,Instruções!$F$6:$J$10,5,0)&amp;" as "&amp;VLOOKUP(B188,Instruções!$F$6:$J$10,5,0)&amp;"_to_be,"&amp;E188&amp;" as "&amp;G188&amp;" FROM "&amp;D188&amp;" WHERE "&amp;Instruções!$D$11&amp;") B ")</f>
        <v xml:space="preserve">(SELECT instrmnt_id as instrmnt_id_to_be, fld_syndctn as fld_syndctn_to_be FROM bu_loantape_work.lt002_instrument WHERE ref_date='2025-06-30' AND nome_perimetro= 'Individual IDComb' AND segmento= 'ESTR' AND ambito= 'PM' AND entidade='00100' AND cod_visao = 1) B </v>
      </c>
      <c r="J188" s="17" t="str">
        <f>IF(VLOOKUP(B188,Instruções!$F$6:$J$10,5,0)="",
"ON "&amp;VLOOKUP(B188,Instruções!$F$6:$J$10,4,0)&amp;"_as_is = "&amp;VLOOKUP(B188,Instruções!$F$6:$J$10,4,0)&amp;"_to_be ",
"ON "&amp;VLOOKUP(B188,Instruções!$F$6:$J$10,4,0)&amp;"_as_is = "&amp;VLOOKUP(B188,Instruções!$F$6:$J$10,4,0)&amp;"_to_be AND "&amp;VLOOKUP(B188,Instruções!$F$6:$J$10,5,0)&amp;"_as_is = "&amp;VLOOKUP(B188,Instruções!$F$6:$J$10,5,0)&amp;"_to_be ")</f>
        <v xml:space="preserve">ON instrmnt_id_as_is = instrmnt_id_to_be </v>
      </c>
      <c r="K188" s="17" t="str">
        <f t="shared" si="36"/>
        <v xml:space="preserve">WHERE coalesce(cast(fld_syndctn_as_is as string), '') &lt;&gt; coalesce(cast(fld_syndctn_to_be as string), '') </v>
      </c>
      <c r="L188" s="17" t="str">
        <f t="shared" si="39"/>
        <v xml:space="preserve">SELECT count(*) AS NUM_REG_DIF FROM (SELECT instrmnt_id as instrmnt_id_as_is, fld_syndctn as fld_syndctn_as_is FROM cd_loan_tapes_bce.lt002_instrument WHERE ref_date='2025-06-30' AND nome_perimetro= 'Individual IDComb' AND segmento= 'ESTR' AND ambito= 'PM' AND entidade='00100' AND cod_visao = 1) A  Inner join (SELECT instrmnt_id as instrmnt_id_to_be, fld_syndctn as fld_syndctn_to_be FROM bu_loantape_work.lt002_instrument WHERE ref_date='2025-06-30' AND nome_perimetro= 'Individual IDComb' AND segmento= 'ESTR' AND ambito= 'PM' AND entidade='00100' AND cod_visao = 1) B ON instrmnt_id_as_is = instrmnt_id_to_be WHERE coalesce(cast(fld_syndctn_as_is as string), '') &lt;&gt; coalesce(cast(fld_syndctn_to_be as string), '') </v>
      </c>
      <c r="M188" s="17" t="s">
        <v>48</v>
      </c>
      <c r="N188" s="17" t="str">
        <f>"SELECT 'Validação de campos' as tipologia_teste, '"&amp;VLOOKUP(B188,Instruções!$F$6:$J$10,3,0)&amp;"' AS TABELA, '"&amp;E188&amp;"' AS CAMPO, '"&amp;Instruções!$D$7&amp;"' as ref_date, coalesce(NUM_REG_DIF, 0) AS NUM_REG_DIF FROM ("&amp;L188&amp;") A "</f>
        <v xml:space="preserve">SELECT 'Validação de campos' as tipologia_teste, 'lt002_instrument' AS TABELA, 'fld_syndctn' AS CAMPO, '2025-06-30' as ref_date, coalesce(NUM_REG_DIF, 0) AS NUM_REG_DIF FROM (SELECT count(*) AS NUM_REG_DIF FROM (SELECT instrmnt_id as instrmnt_id_as_is, fld_syndctn as fld_syndctn_as_is FROM cd_loan_tapes_bce.lt002_instrument WHERE ref_date='2025-06-30' AND nome_perimetro= 'Individual IDComb' AND segmento= 'ESTR' AND ambito= 'PM' AND entidade='00100' AND cod_visao = 1) A  Inner join (SELECT instrmnt_id as instrmnt_id_to_be, fld_syndctn as fld_syndctn_to_be FROM bu_loantape_work.lt002_instrument WHERE ref_date='2025-06-30' AND nome_perimetro= 'Individual IDComb' AND segmento= 'ESTR' AND ambito= 'PM' AND entidade='00100' AND cod_visao = 1) B ON instrmnt_id_as_is = instrmnt_id_to_be WHERE coalesce(cast(fld_syndctn_as_is as string), '') &lt;&gt; coalesce(cast(fld_syndctn_to_be as string), '') ) A </v>
      </c>
      <c r="O188" s="19" t="str">
        <f t="shared" si="41"/>
        <v xml:space="preserve">SELECT 'Validação de campos' as tipologia_teste, 'lt002_instrument' AS TABELA, 'fld_syndctn' AS CAMPO, '2025-06-30' as ref_date, coalesce(NUM_REG_DIF, 0) AS NUM_REG_DIF FROM (SELECT count(*) AS NUM_REG_DIF FROM (SELECT instrmnt_id as instrmnt_id_as_is, fld_syndctn as fld_syndctn_as_is FROM cd_loan_tapes_bce.lt002_instrument WHERE ref_date='2025-06-30' AND nome_perimetro= 'Individual IDComb' AND segmento= 'ESTR' AND ambito= 'PM' AND entidade='00100' AND cod_visao = 1) A  Inner join (SELECT instrmnt_id as instrmnt_id_to_be, fld_syndctn as fld_syndctn_to_be FROM bu_loantape_work.lt002_instrument WHERE ref_date='2025-06-30' AND nome_perimetro= 'Individual IDComb' AND segmento= 'ESTR' AND ambito= 'PM' AND entidade='00100' AND cod_visao = 1) B ON instrmnt_id_as_is = instrmnt_id_to_be WHERE coalesce(cast(fld_syndctn_as_is as string), '') &lt;&gt; coalesce(cast(fld_syndctn_to_be as string), '') ) A </v>
      </c>
      <c r="P188" s="17">
        <f t="shared" si="40"/>
        <v>24</v>
      </c>
    </row>
    <row r="189" spans="2:16" s="15" customFormat="1" ht="11.5" x14ac:dyDescent="0.25"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9"/>
      <c r="P189" s="18"/>
    </row>
    <row r="190" spans="2:16" s="15" customFormat="1" ht="11.5" x14ac:dyDescent="0.25">
      <c r="B190" s="17" t="s">
        <v>24</v>
      </c>
      <c r="C190" s="17" t="str">
        <f>_xlfn.CONCAT(Instruções!$D$5,".",VLOOKUP(B190,Instruções!$F$5:$H$10,2,0))</f>
        <v>cd_loan_tapes_bce.lt002_instrument</v>
      </c>
      <c r="D190" s="17" t="str">
        <f>_xlfn.CONCAT(Instruções!$D$6,".",VLOOKUP(B190,Instruções!$F$5:$H$10,3,0))</f>
        <v>bu_loantape_work.lt002_instrument</v>
      </c>
      <c r="E190" s="17" t="s">
        <v>216</v>
      </c>
      <c r="F190" s="17" t="str">
        <f t="shared" si="34"/>
        <v>flg_lbo_as_is</v>
      </c>
      <c r="G190" s="17" t="str">
        <f t="shared" si="35"/>
        <v>flg_lbo_to_be</v>
      </c>
      <c r="H190" s="17" t="str">
        <f>IF(VLOOKUP(B190,Instruções!$F$6:$J$10,5,0)="",
"(SELECT "&amp;VLOOKUP(B190,Instruções!$F$6:$J$10,4,0)&amp;" as "&amp;VLOOKUP(B190,Instruções!$F$6:$J$10,4,0)&amp;"_as_is, "&amp;E190&amp;" as "&amp;F190&amp;" FROM "&amp;C190&amp;" WHERE "&amp;Instruções!$D$11&amp;") A ",
"(SELECT "&amp;VLOOKUP(B190,Instruções!$F$6:$J$10,4,0)&amp;" as "&amp;VLOOKUP(B190,Instruções!$F$6:$J$10,4,0)&amp;"_as_is, "&amp;VLOOKUP(B190,Instruções!$F$6:$J$10,5,0)&amp;" as "&amp;VLOOKUP(B190,Instruções!$F$6:$J$10,5,0)&amp;"_as_is,"&amp;E190&amp;" as "&amp;F190&amp;" FROM "&amp;C190&amp;" WHERE "&amp;Instruções!$D$11&amp;") A ")</f>
        <v xml:space="preserve">(SELECT instrmnt_id as instrmnt_id_as_is, flg_lbo as flg_lbo_as_is FROM cd_loan_tapes_bce.lt002_instrument WHERE ref_date='2025-06-30' AND nome_perimetro= 'Individual IDComb' AND segmento= 'ESTR' AND ambito= 'PM' AND entidade='00100' AND cod_visao = 1) A </v>
      </c>
      <c r="I190" s="17" t="str">
        <f>IF(VLOOKUP(B190,Instruções!$F$6:$J$10,5,0)="",
"(SELECT "&amp;VLOOKUP(B190,Instruções!$F$6:$J$10,4,0)&amp;" as "&amp;VLOOKUP(B190,Instruções!$F$6:$J$10,4,0)&amp;"_to_be, "&amp;E190&amp;" as "&amp;G190&amp;" FROM "&amp;D190&amp;" WHERE "&amp;Instruções!$D$11&amp;") B ",
"(SELECT "&amp;VLOOKUP(B190,Instruções!$F$6:$J$10,4,0)&amp;" as "&amp;VLOOKUP(B190,Instruções!$F$6:$J$10,4,0)&amp;"_to_be, "&amp;VLOOKUP(B190,Instruções!$F$6:$J$10,5,0)&amp;" as "&amp;VLOOKUP(B190,Instruções!$F$6:$J$10,5,0)&amp;"_to_be,"&amp;E190&amp;" as "&amp;G190&amp;" FROM "&amp;D190&amp;" WHERE "&amp;Instruções!$D$11&amp;") B ")</f>
        <v xml:space="preserve">(SELECT instrmnt_id as instrmnt_id_to_be, flg_lbo as flg_lbo_to_be FROM bu_loantape_work.lt002_instrument WHERE ref_date='2025-06-30' AND nome_perimetro= 'Individual IDComb' AND segmento= 'ESTR' AND ambito= 'PM' AND entidade='00100' AND cod_visao = 1) B </v>
      </c>
      <c r="J190" s="17" t="str">
        <f>IF(VLOOKUP(B190,Instruções!$F$6:$J$10,5,0)="",
"ON "&amp;VLOOKUP(B190,Instruções!$F$6:$J$10,4,0)&amp;"_as_is = "&amp;VLOOKUP(B190,Instruções!$F$6:$J$10,4,0)&amp;"_to_be ",
"ON "&amp;VLOOKUP(B190,Instruções!$F$6:$J$10,4,0)&amp;"_as_is = "&amp;VLOOKUP(B190,Instruções!$F$6:$J$10,4,0)&amp;"_to_be AND "&amp;VLOOKUP(B190,Instruções!$F$6:$J$10,5,0)&amp;"_as_is = "&amp;VLOOKUP(B190,Instruções!$F$6:$J$10,5,0)&amp;"_to_be ")</f>
        <v xml:space="preserve">ON instrmnt_id_as_is = instrmnt_id_to_be </v>
      </c>
      <c r="K190" s="17" t="str">
        <f t="shared" si="36"/>
        <v xml:space="preserve">WHERE coalesce(cast(flg_lbo_as_is as string), '') &lt;&gt; coalesce(cast(flg_lbo_to_be as string), '') </v>
      </c>
      <c r="L190" s="17" t="str">
        <f t="shared" si="39"/>
        <v xml:space="preserve">SELECT count(*) AS NUM_REG_DIF FROM (SELECT instrmnt_id as instrmnt_id_as_is, flg_lbo as flg_lbo_as_is FROM cd_loan_tapes_bce.lt002_instrument WHERE ref_date='2025-06-30' AND nome_perimetro= 'Individual IDComb' AND segmento= 'ESTR' AND ambito= 'PM' AND entidade='00100' AND cod_visao = 1) A  Inner join (SELECT instrmnt_id as instrmnt_id_to_be, flg_lbo as flg_lbo_to_be FROM bu_loantape_work.lt002_instrument WHERE ref_date='2025-06-30' AND nome_perimetro= 'Individual IDComb' AND segmento= 'ESTR' AND ambito= 'PM' AND entidade='00100' AND cod_visao = 1) B ON instrmnt_id_as_is = instrmnt_id_to_be WHERE coalesce(cast(flg_lbo_as_is as string), '') &lt;&gt; coalesce(cast(flg_lbo_to_be as string), '') </v>
      </c>
      <c r="M190" s="17" t="s">
        <v>48</v>
      </c>
      <c r="N190" s="17" t="str">
        <f>"SELECT 'Validação de campos' as tipologia_teste, '"&amp;VLOOKUP(B190,Instruções!$F$6:$J$10,3,0)&amp;"' AS TABELA, '"&amp;E190&amp;"' AS CAMPO, '"&amp;Instruções!$D$7&amp;"' as ref_date, coalesce(NUM_REG_DIF, 0) AS NUM_REG_DIF FROM ("&amp;L190&amp;") A "</f>
        <v xml:space="preserve">SELECT 'Validação de campos' as tipologia_teste, 'lt002_instrument' AS TABELA, 'flg_lbo' AS CAMPO, '2025-06-30' as ref_date, coalesce(NUM_REG_DIF, 0) AS NUM_REG_DIF FROM (SELECT count(*) AS NUM_REG_DIF FROM (SELECT instrmnt_id as instrmnt_id_as_is, flg_lbo as flg_lbo_as_is FROM cd_loan_tapes_bce.lt002_instrument WHERE ref_date='2025-06-30' AND nome_perimetro= 'Individual IDComb' AND segmento= 'ESTR' AND ambito= 'PM' AND entidade='00100' AND cod_visao = 1) A  Inner join (SELECT instrmnt_id as instrmnt_id_to_be, flg_lbo as flg_lbo_to_be FROM bu_loantape_work.lt002_instrument WHERE ref_date='2025-06-30' AND nome_perimetro= 'Individual IDComb' AND segmento= 'ESTR' AND ambito= 'PM' AND entidade='00100' AND cod_visao = 1) B ON instrmnt_id_as_is = instrmnt_id_to_be WHERE coalesce(cast(flg_lbo_as_is as string), '') &lt;&gt; coalesce(cast(flg_lbo_to_be as string), '') ) A </v>
      </c>
      <c r="O190" s="19" t="str">
        <f>IF(O191="",N190,N190&amp;$O$3)</f>
        <v>SELECT 'Validação de campos' as tipologia_teste, 'lt002_instrument' AS TABELA, 'flg_lbo' AS CAMPO, '2025-06-30' as ref_date, coalesce(NUM_REG_DIF, 0) AS NUM_REG_DIF FROM (SELECT count(*) AS NUM_REG_DIF FROM (SELECT instrmnt_id as instrmnt_id_as_is, flg_lbo as flg_lbo_as_is FROM cd_loan_tapes_bce.lt002_instrument WHERE ref_date='2025-06-30' AND nome_perimetro= 'Individual IDComb' AND segmento= 'ESTR' AND ambito= 'PM' AND entidade='00100' AND cod_visao = 1) A  Inner join (SELECT instrmnt_id as instrmnt_id_to_be, flg_lbo as flg_lbo_to_be FROM bu_loantape_work.lt002_instrument WHERE ref_date='2025-06-30' AND nome_perimetro= 'Individual IDComb' AND segmento= 'ESTR' AND ambito= 'PM' AND entidade='00100' AND cod_visao = 1) B ON instrmnt_id_as_is = instrmnt_id_to_be WHERE coalesce(cast(flg_lbo_as_is as string), '') &lt;&gt; coalesce(cast(flg_lbo_to_be as string), '') ) A UNION ALL</v>
      </c>
      <c r="P190" s="17">
        <v>1</v>
      </c>
    </row>
    <row r="191" spans="2:16" s="15" customFormat="1" ht="11.5" x14ac:dyDescent="0.25">
      <c r="B191" s="17" t="s">
        <v>24</v>
      </c>
      <c r="C191" s="17" t="str">
        <f>_xlfn.CONCAT(Instruções!$D$5,".",VLOOKUP(B191,Instruções!$F$5:$H$10,2,0))</f>
        <v>cd_loan_tapes_bce.lt002_instrument</v>
      </c>
      <c r="D191" s="17" t="str">
        <f>_xlfn.CONCAT(Instruções!$D$6,".",VLOOKUP(B191,Instruções!$F$5:$H$10,3,0))</f>
        <v>bu_loantape_work.lt002_instrument</v>
      </c>
      <c r="E191" s="17" t="s">
        <v>217</v>
      </c>
      <c r="F191" s="17" t="str">
        <f t="shared" si="34"/>
        <v>frbrnc_stts_instrmnt_as_is</v>
      </c>
      <c r="G191" s="17" t="str">
        <f t="shared" si="35"/>
        <v>frbrnc_stts_instrmnt_to_be</v>
      </c>
      <c r="H191" s="17" t="str">
        <f>IF(VLOOKUP(B191,Instruções!$F$6:$J$10,5,0)="",
"(SELECT "&amp;VLOOKUP(B191,Instruções!$F$6:$J$10,4,0)&amp;" as "&amp;VLOOKUP(B191,Instruções!$F$6:$J$10,4,0)&amp;"_as_is, "&amp;E191&amp;" as "&amp;F191&amp;" FROM "&amp;C191&amp;" WHERE "&amp;Instruções!$D$11&amp;") A ",
"(SELECT "&amp;VLOOKUP(B191,Instruções!$F$6:$J$10,4,0)&amp;" as "&amp;VLOOKUP(B191,Instruções!$F$6:$J$10,4,0)&amp;"_as_is, "&amp;VLOOKUP(B191,Instruções!$F$6:$J$10,5,0)&amp;" as "&amp;VLOOKUP(B191,Instruções!$F$6:$J$10,5,0)&amp;"_as_is,"&amp;E191&amp;" as "&amp;F191&amp;" FROM "&amp;C191&amp;" WHERE "&amp;Instruções!$D$11&amp;") A ")</f>
        <v xml:space="preserve">(SELECT instrmnt_id as instrmnt_id_as_is, frbrnc_stts_instrmnt as frbrnc_stts_instrmnt_as_is FROM cd_loan_tapes_bce.lt002_instrument WHERE ref_date='2025-06-30' AND nome_perimetro= 'Individual IDComb' AND segmento= 'ESTR' AND ambito= 'PM' AND entidade='00100' AND cod_visao = 1) A </v>
      </c>
      <c r="I191" s="17" t="str">
        <f>IF(VLOOKUP(B191,Instruções!$F$6:$J$10,5,0)="",
"(SELECT "&amp;VLOOKUP(B191,Instruções!$F$6:$J$10,4,0)&amp;" as "&amp;VLOOKUP(B191,Instruções!$F$6:$J$10,4,0)&amp;"_to_be, "&amp;E191&amp;" as "&amp;G191&amp;" FROM "&amp;D191&amp;" WHERE "&amp;Instruções!$D$11&amp;") B ",
"(SELECT "&amp;VLOOKUP(B191,Instruções!$F$6:$J$10,4,0)&amp;" as "&amp;VLOOKUP(B191,Instruções!$F$6:$J$10,4,0)&amp;"_to_be, "&amp;VLOOKUP(B191,Instruções!$F$6:$J$10,5,0)&amp;" as "&amp;VLOOKUP(B191,Instruções!$F$6:$J$10,5,0)&amp;"_to_be,"&amp;E191&amp;" as "&amp;G191&amp;" FROM "&amp;D191&amp;" WHERE "&amp;Instruções!$D$11&amp;") B ")</f>
        <v xml:space="preserve">(SELECT instrmnt_id as instrmnt_id_to_be, frbrnc_stts_instrmnt as frbrnc_stts_instrmnt_to_be FROM bu_loantape_work.lt002_instrument WHERE ref_date='2025-06-30' AND nome_perimetro= 'Individual IDComb' AND segmento= 'ESTR' AND ambito= 'PM' AND entidade='00100' AND cod_visao = 1) B </v>
      </c>
      <c r="J191" s="17" t="str">
        <f>IF(VLOOKUP(B191,Instruções!$F$6:$J$10,5,0)="",
"ON "&amp;VLOOKUP(B191,Instruções!$F$6:$J$10,4,0)&amp;"_as_is = "&amp;VLOOKUP(B191,Instruções!$F$6:$J$10,4,0)&amp;"_to_be ",
"ON "&amp;VLOOKUP(B191,Instruções!$F$6:$J$10,4,0)&amp;"_as_is = "&amp;VLOOKUP(B191,Instruções!$F$6:$J$10,4,0)&amp;"_to_be AND "&amp;VLOOKUP(B191,Instruções!$F$6:$J$10,5,0)&amp;"_as_is = "&amp;VLOOKUP(B191,Instruções!$F$6:$J$10,5,0)&amp;"_to_be ")</f>
        <v xml:space="preserve">ON instrmnt_id_as_is = instrmnt_id_to_be </v>
      </c>
      <c r="K191" s="17" t="str">
        <f t="shared" si="36"/>
        <v xml:space="preserve">WHERE coalesce(cast(frbrnc_stts_instrmnt_as_is as string), '') &lt;&gt; coalesce(cast(frbrnc_stts_instrmnt_to_be as string), '') </v>
      </c>
      <c r="L191" s="17" t="str">
        <f t="shared" si="39"/>
        <v xml:space="preserve">SELECT count(*) AS NUM_REG_DIF FROM (SELECT instrmnt_id as instrmnt_id_as_is, frbrnc_stts_instrmnt as frbrnc_stts_instrmnt_as_is FROM cd_loan_tapes_bce.lt002_instrument WHERE ref_date='2025-06-30' AND nome_perimetro= 'Individual IDComb' AND segmento= 'ESTR' AND ambito= 'PM' AND entidade='00100' AND cod_visao = 1) A  Inner join (SELECT instrmnt_id as instrmnt_id_to_be, frbrnc_stts_instrmnt as frbrnc_stts_instrmnt_to_be FROM bu_loantape_work.lt002_instrument WHERE ref_date='2025-06-30' AND nome_perimetro= 'Individual IDComb' AND segmento= 'ESTR' AND ambito= 'PM' AND entidade='00100' AND cod_visao = 1) B ON instrmnt_id_as_is = instrmnt_id_to_be WHERE coalesce(cast(frbrnc_stts_instrmnt_as_is as string), '') &lt;&gt; coalesce(cast(frbrnc_stts_instrmnt_to_be as string), '') </v>
      </c>
      <c r="M191" s="17" t="s">
        <v>48</v>
      </c>
      <c r="N191" s="17" t="str">
        <f>"SELECT 'Validação de campos' as tipologia_teste, '"&amp;VLOOKUP(B191,Instruções!$F$6:$J$10,3,0)&amp;"' AS TABELA, '"&amp;E191&amp;"' AS CAMPO, '"&amp;Instruções!$D$7&amp;"' as ref_date, coalesce(NUM_REG_DIF, 0) AS NUM_REG_DIF FROM ("&amp;L191&amp;") A "</f>
        <v xml:space="preserve">SELECT 'Validação de campos' as tipologia_teste, 'lt002_instrument' AS TABELA, 'frbrnc_stts_instrmnt' AS CAMPO, '2025-06-30' as ref_date, coalesce(NUM_REG_DIF, 0) AS NUM_REG_DIF FROM (SELECT count(*) AS NUM_REG_DIF FROM (SELECT instrmnt_id as instrmnt_id_as_is, frbrnc_stts_instrmnt as frbrnc_stts_instrmnt_as_is FROM cd_loan_tapes_bce.lt002_instrument WHERE ref_date='2025-06-30' AND nome_perimetro= 'Individual IDComb' AND segmento= 'ESTR' AND ambito= 'PM' AND entidade='00100' AND cod_visao = 1) A  Inner join (SELECT instrmnt_id as instrmnt_id_to_be, frbrnc_stts_instrmnt as frbrnc_stts_instrmnt_to_be FROM bu_loantape_work.lt002_instrument WHERE ref_date='2025-06-30' AND nome_perimetro= 'Individual IDComb' AND segmento= 'ESTR' AND ambito= 'PM' AND entidade='00100' AND cod_visao = 1) B ON instrmnt_id_as_is = instrmnt_id_to_be WHERE coalesce(cast(frbrnc_stts_instrmnt_as_is as string), '') &lt;&gt; coalesce(cast(frbrnc_stts_instrmnt_to_be as string), '') ) A </v>
      </c>
      <c r="O191" s="19" t="str">
        <f t="shared" ref="O191:O208" si="42">IF(O192="",N191,N191&amp;$O$3)</f>
        <v>SELECT 'Validação de campos' as tipologia_teste, 'lt002_instrument' AS TABELA, 'frbrnc_stts_instrmnt' AS CAMPO, '2025-06-30' as ref_date, coalesce(NUM_REG_DIF, 0) AS NUM_REG_DIF FROM (SELECT count(*) AS NUM_REG_DIF FROM (SELECT instrmnt_id as instrmnt_id_as_is, frbrnc_stts_instrmnt as frbrnc_stts_instrmnt_as_is FROM cd_loan_tapes_bce.lt002_instrument WHERE ref_date='2025-06-30' AND nome_perimetro= 'Individual IDComb' AND segmento= 'ESTR' AND ambito= 'PM' AND entidade='00100' AND cod_visao = 1) A  Inner join (SELECT instrmnt_id as instrmnt_id_to_be, frbrnc_stts_instrmnt as frbrnc_stts_instrmnt_to_be FROM bu_loantape_work.lt002_instrument WHERE ref_date='2025-06-30' AND nome_perimetro= 'Individual IDComb' AND segmento= 'ESTR' AND ambito= 'PM' AND entidade='00100' AND cod_visao = 1) B ON instrmnt_id_as_is = instrmnt_id_to_be WHERE coalesce(cast(frbrnc_stts_instrmnt_as_is as string), '') &lt;&gt; coalesce(cast(frbrnc_stts_instrmnt_to_be as string), '') ) A UNION ALL</v>
      </c>
      <c r="P191" s="17">
        <f t="shared" si="40"/>
        <v>2</v>
      </c>
    </row>
    <row r="192" spans="2:16" s="15" customFormat="1" ht="11.5" x14ac:dyDescent="0.25">
      <c r="B192" s="17" t="s">
        <v>24</v>
      </c>
      <c r="C192" s="17" t="str">
        <f>_xlfn.CONCAT(Instruções!$D$5,".",VLOOKUP(B192,Instruções!$F$5:$H$10,2,0))</f>
        <v>cd_loan_tapes_bce.lt002_instrument</v>
      </c>
      <c r="D192" s="17" t="str">
        <f>_xlfn.CONCAT(Instruções!$D$6,".",VLOOKUP(B192,Instruções!$F$5:$H$10,3,0))</f>
        <v>bu_loantape_work.lt002_instrument</v>
      </c>
      <c r="E192" s="17" t="s">
        <v>218</v>
      </c>
      <c r="F192" s="17" t="str">
        <f t="shared" si="34"/>
        <v>grntr_id_as_is</v>
      </c>
      <c r="G192" s="17" t="str">
        <f t="shared" si="35"/>
        <v>grntr_id_to_be</v>
      </c>
      <c r="H192" s="17" t="str">
        <f>IF(VLOOKUP(B192,Instruções!$F$6:$J$10,5,0)="",
"(SELECT "&amp;VLOOKUP(B192,Instruções!$F$6:$J$10,4,0)&amp;" as "&amp;VLOOKUP(B192,Instruções!$F$6:$J$10,4,0)&amp;"_as_is, "&amp;E192&amp;" as "&amp;F192&amp;" FROM "&amp;C192&amp;" WHERE "&amp;Instruções!$D$11&amp;") A ",
"(SELECT "&amp;VLOOKUP(B192,Instruções!$F$6:$J$10,4,0)&amp;" as "&amp;VLOOKUP(B192,Instruções!$F$6:$J$10,4,0)&amp;"_as_is, "&amp;VLOOKUP(B192,Instruções!$F$6:$J$10,5,0)&amp;" as "&amp;VLOOKUP(B192,Instruções!$F$6:$J$10,5,0)&amp;"_as_is,"&amp;E192&amp;" as "&amp;F192&amp;" FROM "&amp;C192&amp;" WHERE "&amp;Instruções!$D$11&amp;") A ")</f>
        <v xml:space="preserve">(SELECT instrmnt_id as instrmnt_id_as_is, grntr_id as grntr_id_as_is FROM cd_loan_tapes_bce.lt002_instrument WHERE ref_date='2025-06-30' AND nome_perimetro= 'Individual IDComb' AND segmento= 'ESTR' AND ambito= 'PM' AND entidade='00100' AND cod_visao = 1) A </v>
      </c>
      <c r="I192" s="17" t="str">
        <f>IF(VLOOKUP(B192,Instruções!$F$6:$J$10,5,0)="",
"(SELECT "&amp;VLOOKUP(B192,Instruções!$F$6:$J$10,4,0)&amp;" as "&amp;VLOOKUP(B192,Instruções!$F$6:$J$10,4,0)&amp;"_to_be, "&amp;E192&amp;" as "&amp;G192&amp;" FROM "&amp;D192&amp;" WHERE "&amp;Instruções!$D$11&amp;") B ",
"(SELECT "&amp;VLOOKUP(B192,Instruções!$F$6:$J$10,4,0)&amp;" as "&amp;VLOOKUP(B192,Instruções!$F$6:$J$10,4,0)&amp;"_to_be, "&amp;VLOOKUP(B192,Instruções!$F$6:$J$10,5,0)&amp;" as "&amp;VLOOKUP(B192,Instruções!$F$6:$J$10,5,0)&amp;"_to_be,"&amp;E192&amp;" as "&amp;G192&amp;" FROM "&amp;D192&amp;" WHERE "&amp;Instruções!$D$11&amp;") B ")</f>
        <v xml:space="preserve">(SELECT instrmnt_id as instrmnt_id_to_be, grntr_id as grntr_id_to_be FROM bu_loantape_work.lt002_instrument WHERE ref_date='2025-06-30' AND nome_perimetro= 'Individual IDComb' AND segmento= 'ESTR' AND ambito= 'PM' AND entidade='00100' AND cod_visao = 1) B </v>
      </c>
      <c r="J192" s="17" t="str">
        <f>IF(VLOOKUP(B192,Instruções!$F$6:$J$10,5,0)="",
"ON "&amp;VLOOKUP(B192,Instruções!$F$6:$J$10,4,0)&amp;"_as_is = "&amp;VLOOKUP(B192,Instruções!$F$6:$J$10,4,0)&amp;"_to_be ",
"ON "&amp;VLOOKUP(B192,Instruções!$F$6:$J$10,4,0)&amp;"_as_is = "&amp;VLOOKUP(B192,Instruções!$F$6:$J$10,4,0)&amp;"_to_be AND "&amp;VLOOKUP(B192,Instruções!$F$6:$J$10,5,0)&amp;"_as_is = "&amp;VLOOKUP(B192,Instruções!$F$6:$J$10,5,0)&amp;"_to_be ")</f>
        <v xml:space="preserve">ON instrmnt_id_as_is = instrmnt_id_to_be </v>
      </c>
      <c r="K192" s="17" t="str">
        <f t="shared" si="36"/>
        <v xml:space="preserve">WHERE coalesce(cast(grntr_id_as_is as string), '') &lt;&gt; coalesce(cast(grntr_id_to_be as string), '') </v>
      </c>
      <c r="L192" s="17" t="str">
        <f t="shared" si="39"/>
        <v xml:space="preserve">SELECT count(*) AS NUM_REG_DIF FROM (SELECT instrmnt_id as instrmnt_id_as_is, grntr_id as grntr_id_as_is FROM cd_loan_tapes_bce.lt002_instrument WHERE ref_date='2025-06-30' AND nome_perimetro= 'Individual IDComb' AND segmento= 'ESTR' AND ambito= 'PM' AND entidade='00100' AND cod_visao = 1) A  Inner join (SELECT instrmnt_id as instrmnt_id_to_be, grntr_id as grntr_id_to_be FROM bu_loantape_work.lt002_instrument WHERE ref_date='2025-06-30' AND nome_perimetro= 'Individual IDComb' AND segmento= 'ESTR' AND ambito= 'PM' AND entidade='00100' AND cod_visao = 1) B ON instrmnt_id_as_is = instrmnt_id_to_be WHERE coalesce(cast(grntr_id_as_is as string), '') &lt;&gt; coalesce(cast(grntr_id_to_be as string), '') </v>
      </c>
      <c r="M192" s="17" t="s">
        <v>48</v>
      </c>
      <c r="N192" s="17" t="str">
        <f>"SELECT 'Validação de campos' as tipologia_teste, '"&amp;VLOOKUP(B192,Instruções!$F$6:$J$10,3,0)&amp;"' AS TABELA, '"&amp;E192&amp;"' AS CAMPO, '"&amp;Instruções!$D$7&amp;"' as ref_date, coalesce(NUM_REG_DIF, 0) AS NUM_REG_DIF FROM ("&amp;L192&amp;") A "</f>
        <v xml:space="preserve">SELECT 'Validação de campos' as tipologia_teste, 'lt002_instrument' AS TABELA, 'grntr_id' AS CAMPO, '2025-06-30' as ref_date, coalesce(NUM_REG_DIF, 0) AS NUM_REG_DIF FROM (SELECT count(*) AS NUM_REG_DIF FROM (SELECT instrmnt_id as instrmnt_id_as_is, grntr_id as grntr_id_as_is FROM cd_loan_tapes_bce.lt002_instrument WHERE ref_date='2025-06-30' AND nome_perimetro= 'Individual IDComb' AND segmento= 'ESTR' AND ambito= 'PM' AND entidade='00100' AND cod_visao = 1) A  Inner join (SELECT instrmnt_id as instrmnt_id_to_be, grntr_id as grntr_id_to_be FROM bu_loantape_work.lt002_instrument WHERE ref_date='2025-06-30' AND nome_perimetro= 'Individual IDComb' AND segmento= 'ESTR' AND ambito= 'PM' AND entidade='00100' AND cod_visao = 1) B ON instrmnt_id_as_is = instrmnt_id_to_be WHERE coalesce(cast(grntr_id_as_is as string), '') &lt;&gt; coalesce(cast(grntr_id_to_be as string), '') ) A </v>
      </c>
      <c r="O192" s="19" t="str">
        <f t="shared" si="42"/>
        <v>SELECT 'Validação de campos' as tipologia_teste, 'lt002_instrument' AS TABELA, 'grntr_id' AS CAMPO, '2025-06-30' as ref_date, coalesce(NUM_REG_DIF, 0) AS NUM_REG_DIF FROM (SELECT count(*) AS NUM_REG_DIF FROM (SELECT instrmnt_id as instrmnt_id_as_is, grntr_id as grntr_id_as_is FROM cd_loan_tapes_bce.lt002_instrument WHERE ref_date='2025-06-30' AND nome_perimetro= 'Individual IDComb' AND segmento= 'ESTR' AND ambito= 'PM' AND entidade='00100' AND cod_visao = 1) A  Inner join (SELECT instrmnt_id as instrmnt_id_to_be, grntr_id as grntr_id_to_be FROM bu_loantape_work.lt002_instrument WHERE ref_date='2025-06-30' AND nome_perimetro= 'Individual IDComb' AND segmento= 'ESTR' AND ambito= 'PM' AND entidade='00100' AND cod_visao = 1) B ON instrmnt_id_as_is = instrmnt_id_to_be WHERE coalesce(cast(grntr_id_as_is as string), '') &lt;&gt; coalesce(cast(grntr_id_to_be as string), '') ) A UNION ALL</v>
      </c>
      <c r="P192" s="17">
        <f t="shared" si="40"/>
        <v>3</v>
      </c>
    </row>
    <row r="193" spans="2:16" s="15" customFormat="1" ht="11.5" x14ac:dyDescent="0.25">
      <c r="B193" s="17" t="s">
        <v>24</v>
      </c>
      <c r="C193" s="17" t="str">
        <f>_xlfn.CONCAT(Instruções!$D$5,".",VLOOKUP(B193,Instruções!$F$5:$H$10,2,0))</f>
        <v>cd_loan_tapes_bce.lt002_instrument</v>
      </c>
      <c r="D193" s="17" t="str">
        <f>_xlfn.CONCAT(Instruções!$D$6,".",VLOOKUP(B193,Instruções!$F$5:$H$10,3,0))</f>
        <v>bu_loantape_work.lt002_instrument</v>
      </c>
      <c r="E193" s="17" t="s">
        <v>219</v>
      </c>
      <c r="F193" s="17" t="str">
        <f t="shared" si="34"/>
        <v>grntr_id_typ_as_is</v>
      </c>
      <c r="G193" s="17" t="str">
        <f t="shared" si="35"/>
        <v>grntr_id_typ_to_be</v>
      </c>
      <c r="H193" s="17" t="str">
        <f>IF(VLOOKUP(B193,Instruções!$F$6:$J$10,5,0)="",
"(SELECT "&amp;VLOOKUP(B193,Instruções!$F$6:$J$10,4,0)&amp;" as "&amp;VLOOKUP(B193,Instruções!$F$6:$J$10,4,0)&amp;"_as_is, "&amp;E193&amp;" as "&amp;F193&amp;" FROM "&amp;C193&amp;" WHERE "&amp;Instruções!$D$11&amp;") A ",
"(SELECT "&amp;VLOOKUP(B193,Instruções!$F$6:$J$10,4,0)&amp;" as "&amp;VLOOKUP(B193,Instruções!$F$6:$J$10,4,0)&amp;"_as_is, "&amp;VLOOKUP(B193,Instruções!$F$6:$J$10,5,0)&amp;" as "&amp;VLOOKUP(B193,Instruções!$F$6:$J$10,5,0)&amp;"_as_is,"&amp;E193&amp;" as "&amp;F193&amp;" FROM "&amp;C193&amp;" WHERE "&amp;Instruções!$D$11&amp;") A ")</f>
        <v xml:space="preserve">(SELECT instrmnt_id as instrmnt_id_as_is, grntr_id_typ as grntr_id_typ_as_is FROM cd_loan_tapes_bce.lt002_instrument WHERE ref_date='2025-06-30' AND nome_perimetro= 'Individual IDComb' AND segmento= 'ESTR' AND ambito= 'PM' AND entidade='00100' AND cod_visao = 1) A </v>
      </c>
      <c r="I193" s="17" t="str">
        <f>IF(VLOOKUP(B193,Instruções!$F$6:$J$10,5,0)="",
"(SELECT "&amp;VLOOKUP(B193,Instruções!$F$6:$J$10,4,0)&amp;" as "&amp;VLOOKUP(B193,Instruções!$F$6:$J$10,4,0)&amp;"_to_be, "&amp;E193&amp;" as "&amp;G193&amp;" FROM "&amp;D193&amp;" WHERE "&amp;Instruções!$D$11&amp;") B ",
"(SELECT "&amp;VLOOKUP(B193,Instruções!$F$6:$J$10,4,0)&amp;" as "&amp;VLOOKUP(B193,Instruções!$F$6:$J$10,4,0)&amp;"_to_be, "&amp;VLOOKUP(B193,Instruções!$F$6:$J$10,5,0)&amp;" as "&amp;VLOOKUP(B193,Instruções!$F$6:$J$10,5,0)&amp;"_to_be,"&amp;E193&amp;" as "&amp;G193&amp;" FROM "&amp;D193&amp;" WHERE "&amp;Instruções!$D$11&amp;") B ")</f>
        <v xml:space="preserve">(SELECT instrmnt_id as instrmnt_id_to_be, grntr_id_typ as grntr_id_typ_to_be FROM bu_loantape_work.lt002_instrument WHERE ref_date='2025-06-30' AND nome_perimetro= 'Individual IDComb' AND segmento= 'ESTR' AND ambito= 'PM' AND entidade='00100' AND cod_visao = 1) B </v>
      </c>
      <c r="J193" s="17" t="str">
        <f>IF(VLOOKUP(B193,Instruções!$F$6:$J$10,5,0)="",
"ON "&amp;VLOOKUP(B193,Instruções!$F$6:$J$10,4,0)&amp;"_as_is = "&amp;VLOOKUP(B193,Instruções!$F$6:$J$10,4,0)&amp;"_to_be ",
"ON "&amp;VLOOKUP(B193,Instruções!$F$6:$J$10,4,0)&amp;"_as_is = "&amp;VLOOKUP(B193,Instruções!$F$6:$J$10,4,0)&amp;"_to_be AND "&amp;VLOOKUP(B193,Instruções!$F$6:$J$10,5,0)&amp;"_as_is = "&amp;VLOOKUP(B193,Instruções!$F$6:$J$10,5,0)&amp;"_to_be ")</f>
        <v xml:space="preserve">ON instrmnt_id_as_is = instrmnt_id_to_be </v>
      </c>
      <c r="K193" s="17" t="str">
        <f t="shared" si="36"/>
        <v xml:space="preserve">WHERE coalesce(cast(grntr_id_typ_as_is as string), '') &lt;&gt; coalesce(cast(grntr_id_typ_to_be as string), '') </v>
      </c>
      <c r="L193" s="17" t="str">
        <f t="shared" si="39"/>
        <v xml:space="preserve">SELECT count(*) AS NUM_REG_DIF FROM (SELECT instrmnt_id as instrmnt_id_as_is, grntr_id_typ as grntr_id_typ_as_is FROM cd_loan_tapes_bce.lt002_instrument WHERE ref_date='2025-06-30' AND nome_perimetro= 'Individual IDComb' AND segmento= 'ESTR' AND ambito= 'PM' AND entidade='00100' AND cod_visao = 1) A  Inner join (SELECT instrmnt_id as instrmnt_id_to_be, grntr_id_typ as grntr_id_typ_to_be FROM bu_loantape_work.lt002_instrument WHERE ref_date='2025-06-30' AND nome_perimetro= 'Individual IDComb' AND segmento= 'ESTR' AND ambito= 'PM' AND entidade='00100' AND cod_visao = 1) B ON instrmnt_id_as_is = instrmnt_id_to_be WHERE coalesce(cast(grntr_id_typ_as_is as string), '') &lt;&gt; coalesce(cast(grntr_id_typ_to_be as string), '') </v>
      </c>
      <c r="M193" s="17" t="s">
        <v>48</v>
      </c>
      <c r="N193" s="17" t="str">
        <f>"SELECT 'Validação de campos' as tipologia_teste, '"&amp;VLOOKUP(B193,Instruções!$F$6:$J$10,3,0)&amp;"' AS TABELA, '"&amp;E193&amp;"' AS CAMPO, '"&amp;Instruções!$D$7&amp;"' as ref_date, coalesce(NUM_REG_DIF, 0) AS NUM_REG_DIF FROM ("&amp;L193&amp;") A "</f>
        <v xml:space="preserve">SELECT 'Validação de campos' as tipologia_teste, 'lt002_instrument' AS TABELA, 'grntr_id_typ' AS CAMPO, '2025-06-30' as ref_date, coalesce(NUM_REG_DIF, 0) AS NUM_REG_DIF FROM (SELECT count(*) AS NUM_REG_DIF FROM (SELECT instrmnt_id as instrmnt_id_as_is, grntr_id_typ as grntr_id_typ_as_is FROM cd_loan_tapes_bce.lt002_instrument WHERE ref_date='2025-06-30' AND nome_perimetro= 'Individual IDComb' AND segmento= 'ESTR' AND ambito= 'PM' AND entidade='00100' AND cod_visao = 1) A  Inner join (SELECT instrmnt_id as instrmnt_id_to_be, grntr_id_typ as grntr_id_typ_to_be FROM bu_loantape_work.lt002_instrument WHERE ref_date='2025-06-30' AND nome_perimetro= 'Individual IDComb' AND segmento= 'ESTR' AND ambito= 'PM' AND entidade='00100' AND cod_visao = 1) B ON instrmnt_id_as_is = instrmnt_id_to_be WHERE coalesce(cast(grntr_id_typ_as_is as string), '') &lt;&gt; coalesce(cast(grntr_id_typ_to_be as string), '') ) A </v>
      </c>
      <c r="O193" s="19" t="str">
        <f t="shared" si="42"/>
        <v>SELECT 'Validação de campos' as tipologia_teste, 'lt002_instrument' AS TABELA, 'grntr_id_typ' AS CAMPO, '2025-06-30' as ref_date, coalesce(NUM_REG_DIF, 0) AS NUM_REG_DIF FROM (SELECT count(*) AS NUM_REG_DIF FROM (SELECT instrmnt_id as instrmnt_id_as_is, grntr_id_typ as grntr_id_typ_as_is FROM cd_loan_tapes_bce.lt002_instrument WHERE ref_date='2025-06-30' AND nome_perimetro= 'Individual IDComb' AND segmento= 'ESTR' AND ambito= 'PM' AND entidade='00100' AND cod_visao = 1) A  Inner join (SELECT instrmnt_id as instrmnt_id_to_be, grntr_id_typ as grntr_id_typ_to_be FROM bu_loantape_work.lt002_instrument WHERE ref_date='2025-06-30' AND nome_perimetro= 'Individual IDComb' AND segmento= 'ESTR' AND ambito= 'PM' AND entidade='00100' AND cod_visao = 1) B ON instrmnt_id_as_is = instrmnt_id_to_be WHERE coalesce(cast(grntr_id_typ_as_is as string), '') &lt;&gt; coalesce(cast(grntr_id_typ_to_be as string), '') ) A UNION ALL</v>
      </c>
      <c r="P193" s="17">
        <f t="shared" si="40"/>
        <v>4</v>
      </c>
    </row>
    <row r="194" spans="2:16" s="15" customFormat="1" ht="11.5" x14ac:dyDescent="0.25">
      <c r="B194" s="17" t="s">
        <v>24</v>
      </c>
      <c r="C194" s="17" t="str">
        <f>_xlfn.CONCAT(Instruções!$D$5,".",VLOOKUP(B194,Instruções!$F$5:$H$10,2,0))</f>
        <v>cd_loan_tapes_bce.lt002_instrument</v>
      </c>
      <c r="D194" s="17" t="str">
        <f>_xlfn.CONCAT(Instruções!$D$6,".",VLOOKUP(B194,Instruções!$F$5:$H$10,3,0))</f>
        <v>bu_loantape_work.lt002_instrument</v>
      </c>
      <c r="E194" s="17" t="s">
        <v>220</v>
      </c>
      <c r="F194" s="17" t="str">
        <f t="shared" ref="F194:F252" si="43">E194&amp;"_as_is"</f>
        <v>grss_crryng_amnt_instrmnt_as_is</v>
      </c>
      <c r="G194" s="17" t="str">
        <f t="shared" ref="G194:G252" si="44">E194&amp;"_to_be"</f>
        <v>grss_crryng_amnt_instrmnt_to_be</v>
      </c>
      <c r="H194" s="17" t="str">
        <f>IF(VLOOKUP(B194,Instruções!$F$6:$J$10,5,0)="",
"(SELECT "&amp;VLOOKUP(B194,Instruções!$F$6:$J$10,4,0)&amp;" as "&amp;VLOOKUP(B194,Instruções!$F$6:$J$10,4,0)&amp;"_as_is, "&amp;E194&amp;" as "&amp;F194&amp;" FROM "&amp;C194&amp;" WHERE "&amp;Instruções!$D$11&amp;") A ",
"(SELECT "&amp;VLOOKUP(B194,Instruções!$F$6:$J$10,4,0)&amp;" as "&amp;VLOOKUP(B194,Instruções!$F$6:$J$10,4,0)&amp;"_as_is, "&amp;VLOOKUP(B194,Instruções!$F$6:$J$10,5,0)&amp;" as "&amp;VLOOKUP(B194,Instruções!$F$6:$J$10,5,0)&amp;"_as_is,"&amp;E194&amp;" as "&amp;F194&amp;" FROM "&amp;C194&amp;" WHERE "&amp;Instruções!$D$11&amp;") A ")</f>
        <v xml:space="preserve">(SELECT instrmnt_id as instrmnt_id_as_is, grss_crryng_amnt_instrmnt as grss_crryng_amnt_instrmnt_as_is FROM cd_loan_tapes_bce.lt002_instrument WHERE ref_date='2025-06-30' AND nome_perimetro= 'Individual IDComb' AND segmento= 'ESTR' AND ambito= 'PM' AND entidade='00100' AND cod_visao = 1) A </v>
      </c>
      <c r="I194" s="17" t="str">
        <f>IF(VLOOKUP(B194,Instruções!$F$6:$J$10,5,0)="",
"(SELECT "&amp;VLOOKUP(B194,Instruções!$F$6:$J$10,4,0)&amp;" as "&amp;VLOOKUP(B194,Instruções!$F$6:$J$10,4,0)&amp;"_to_be, "&amp;E194&amp;" as "&amp;G194&amp;" FROM "&amp;D194&amp;" WHERE "&amp;Instruções!$D$11&amp;") B ",
"(SELECT "&amp;VLOOKUP(B194,Instruções!$F$6:$J$10,4,0)&amp;" as "&amp;VLOOKUP(B194,Instruções!$F$6:$J$10,4,0)&amp;"_to_be, "&amp;VLOOKUP(B194,Instruções!$F$6:$J$10,5,0)&amp;" as "&amp;VLOOKUP(B194,Instruções!$F$6:$J$10,5,0)&amp;"_to_be,"&amp;E194&amp;" as "&amp;G194&amp;" FROM "&amp;D194&amp;" WHERE "&amp;Instruções!$D$11&amp;") B ")</f>
        <v xml:space="preserve">(SELECT instrmnt_id as instrmnt_id_to_be, grss_crryng_amnt_instrmnt as grss_crryng_amnt_instrmnt_to_be FROM bu_loantape_work.lt002_instrument WHERE ref_date='2025-06-30' AND nome_perimetro= 'Individual IDComb' AND segmento= 'ESTR' AND ambito= 'PM' AND entidade='00100' AND cod_visao = 1) B </v>
      </c>
      <c r="J194" s="17" t="str">
        <f>IF(VLOOKUP(B194,Instruções!$F$6:$J$10,5,0)="",
"ON "&amp;VLOOKUP(B194,Instruções!$F$6:$J$10,4,0)&amp;"_as_is = "&amp;VLOOKUP(B194,Instruções!$F$6:$J$10,4,0)&amp;"_to_be ",
"ON "&amp;VLOOKUP(B194,Instruções!$F$6:$J$10,4,0)&amp;"_as_is = "&amp;VLOOKUP(B194,Instruções!$F$6:$J$10,4,0)&amp;"_to_be AND "&amp;VLOOKUP(B194,Instruções!$F$6:$J$10,5,0)&amp;"_as_is = "&amp;VLOOKUP(B194,Instruções!$F$6:$J$10,5,0)&amp;"_to_be ")</f>
        <v xml:space="preserve">ON instrmnt_id_as_is = instrmnt_id_to_be </v>
      </c>
      <c r="K194" s="17" t="str">
        <f t="shared" ref="K194:K252" si="45">"WHERE coalesce(cast("&amp;F194&amp;" as string), '') &lt;&gt; coalesce(cast("&amp;G194&amp;" as string), '') "</f>
        <v xml:space="preserve">WHERE coalesce(cast(grss_crryng_amnt_instrmnt_as_is as string), '') &lt;&gt; coalesce(cast(grss_crryng_amnt_instrmnt_to_be as string), '') </v>
      </c>
      <c r="L194" s="17" t="str">
        <f t="shared" si="39"/>
        <v xml:space="preserve">SELECT count(*) AS NUM_REG_DIF FROM (SELECT instrmnt_id as instrmnt_id_as_is, grss_crryng_amnt_instrmnt as grss_crryng_amnt_instrmnt_as_is FROM cd_loan_tapes_bce.lt002_instrument WHERE ref_date='2025-06-30' AND nome_perimetro= 'Individual IDComb' AND segmento= 'ESTR' AND ambito= 'PM' AND entidade='00100' AND cod_visao = 1) A  Inner join (SELECT instrmnt_id as instrmnt_id_to_be, grss_crryng_amnt_instrmnt as grss_crryng_amnt_instrmnt_to_be FROM bu_loantape_work.lt002_instrument WHERE ref_date='2025-06-30' AND nome_perimetro= 'Individual IDComb' AND segmento= 'ESTR' AND ambito= 'PM' AND entidade='00100' AND cod_visao = 1) B ON instrmnt_id_as_is = instrmnt_id_to_be WHERE coalesce(cast(grss_crryng_amnt_instrmnt_as_is as string), '') &lt;&gt; coalesce(cast(grss_crryng_amnt_instrmnt_to_be as string), '') </v>
      </c>
      <c r="M194" s="17" t="s">
        <v>48</v>
      </c>
      <c r="N194" s="17" t="str">
        <f>"SELECT 'Validação de campos' as tipologia_teste, '"&amp;VLOOKUP(B194,Instruções!$F$6:$J$10,3,0)&amp;"' AS TABELA, '"&amp;E194&amp;"' AS CAMPO, '"&amp;Instruções!$D$7&amp;"' as ref_date, coalesce(NUM_REG_DIF, 0) AS NUM_REG_DIF FROM ("&amp;L194&amp;") A "</f>
        <v xml:space="preserve">SELECT 'Validação de campos' as tipologia_teste, 'lt002_instrument' AS TABELA, 'grss_crryng_amnt_instrmnt' AS CAMPO, '2025-06-30' as ref_date, coalesce(NUM_REG_DIF, 0) AS NUM_REG_DIF FROM (SELECT count(*) AS NUM_REG_DIF FROM (SELECT instrmnt_id as instrmnt_id_as_is, grss_crryng_amnt_instrmnt as grss_crryng_amnt_instrmnt_as_is FROM cd_loan_tapes_bce.lt002_instrument WHERE ref_date='2025-06-30' AND nome_perimetro= 'Individual IDComb' AND segmento= 'ESTR' AND ambito= 'PM' AND entidade='00100' AND cod_visao = 1) A  Inner join (SELECT instrmnt_id as instrmnt_id_to_be, grss_crryng_amnt_instrmnt as grss_crryng_amnt_instrmnt_to_be FROM bu_loantape_work.lt002_instrument WHERE ref_date='2025-06-30' AND nome_perimetro= 'Individual IDComb' AND segmento= 'ESTR' AND ambito= 'PM' AND entidade='00100' AND cod_visao = 1) B ON instrmnt_id_as_is = instrmnt_id_to_be WHERE coalesce(cast(grss_crryng_amnt_instrmnt_as_is as string), '') &lt;&gt; coalesce(cast(grss_crryng_amnt_instrmnt_to_be as string), '') ) A </v>
      </c>
      <c r="O194" s="19" t="str">
        <f t="shared" si="42"/>
        <v>SELECT 'Validação de campos' as tipologia_teste, 'lt002_instrument' AS TABELA, 'grss_crryng_amnt_instrmnt' AS CAMPO, '2025-06-30' as ref_date, coalesce(NUM_REG_DIF, 0) AS NUM_REG_DIF FROM (SELECT count(*) AS NUM_REG_DIF FROM (SELECT instrmnt_id as instrmnt_id_as_is, grss_crryng_amnt_instrmnt as grss_crryng_amnt_instrmnt_as_is FROM cd_loan_tapes_bce.lt002_instrument WHERE ref_date='2025-06-30' AND nome_perimetro= 'Individual IDComb' AND segmento= 'ESTR' AND ambito= 'PM' AND entidade='00100' AND cod_visao = 1) A  Inner join (SELECT instrmnt_id as instrmnt_id_to_be, grss_crryng_amnt_instrmnt as grss_crryng_amnt_instrmnt_to_be FROM bu_loantape_work.lt002_instrument WHERE ref_date='2025-06-30' AND nome_perimetro= 'Individual IDComb' AND segmento= 'ESTR' AND ambito= 'PM' AND entidade='00100' AND cod_visao = 1) B ON instrmnt_id_as_is = instrmnt_id_to_be WHERE coalesce(cast(grss_crryng_amnt_instrmnt_as_is as string), '') &lt;&gt; coalesce(cast(grss_crryng_amnt_instrmnt_to_be as string), '') ) A UNION ALL</v>
      </c>
      <c r="P194" s="17">
        <f t="shared" si="40"/>
        <v>5</v>
      </c>
    </row>
    <row r="195" spans="2:16" s="15" customFormat="1" ht="11.5" x14ac:dyDescent="0.25">
      <c r="B195" s="17" t="s">
        <v>24</v>
      </c>
      <c r="C195" s="17" t="str">
        <f>_xlfn.CONCAT(Instruções!$D$5,".",VLOOKUP(B195,Instruções!$F$5:$H$10,2,0))</f>
        <v>cd_loan_tapes_bce.lt002_instrument</v>
      </c>
      <c r="D195" s="17" t="str">
        <f>_xlfn.CONCAT(Instruções!$D$6,".",VLOOKUP(B195,Instruções!$F$5:$H$10,3,0))</f>
        <v>bu_loantape_work.lt002_instrument</v>
      </c>
      <c r="E195" s="17" t="s">
        <v>221</v>
      </c>
      <c r="F195" s="17" t="str">
        <f t="shared" si="43"/>
        <v>idcmb_as_is</v>
      </c>
      <c r="G195" s="17" t="str">
        <f t="shared" si="44"/>
        <v>idcmb_to_be</v>
      </c>
      <c r="H195" s="17" t="str">
        <f>IF(VLOOKUP(B195,Instruções!$F$6:$J$10,5,0)="",
"(SELECT "&amp;VLOOKUP(B195,Instruções!$F$6:$J$10,4,0)&amp;" as "&amp;VLOOKUP(B195,Instruções!$F$6:$J$10,4,0)&amp;"_as_is, "&amp;E195&amp;" as "&amp;F195&amp;" FROM "&amp;C195&amp;" WHERE "&amp;Instruções!$D$11&amp;") A ",
"(SELECT "&amp;VLOOKUP(B195,Instruções!$F$6:$J$10,4,0)&amp;" as "&amp;VLOOKUP(B195,Instruções!$F$6:$J$10,4,0)&amp;"_as_is, "&amp;VLOOKUP(B195,Instruções!$F$6:$J$10,5,0)&amp;" as "&amp;VLOOKUP(B195,Instruções!$F$6:$J$10,5,0)&amp;"_as_is,"&amp;E195&amp;" as "&amp;F195&amp;" FROM "&amp;C195&amp;" WHERE "&amp;Instruções!$D$11&amp;") A ")</f>
        <v xml:space="preserve">(SELECT instrmnt_id as instrmnt_id_as_is, idcmb as idcmb_as_is FROM cd_loan_tapes_bce.lt002_instrument WHERE ref_date='2025-06-30' AND nome_perimetro= 'Individual IDComb' AND segmento= 'ESTR' AND ambito= 'PM' AND entidade='00100' AND cod_visao = 1) A </v>
      </c>
      <c r="I195" s="17" t="str">
        <f>IF(VLOOKUP(B195,Instruções!$F$6:$J$10,5,0)="",
"(SELECT "&amp;VLOOKUP(B195,Instruções!$F$6:$J$10,4,0)&amp;" as "&amp;VLOOKUP(B195,Instruções!$F$6:$J$10,4,0)&amp;"_to_be, "&amp;E195&amp;" as "&amp;G195&amp;" FROM "&amp;D195&amp;" WHERE "&amp;Instruções!$D$11&amp;") B ",
"(SELECT "&amp;VLOOKUP(B195,Instruções!$F$6:$J$10,4,0)&amp;" as "&amp;VLOOKUP(B195,Instruções!$F$6:$J$10,4,0)&amp;"_to_be, "&amp;VLOOKUP(B195,Instruções!$F$6:$J$10,5,0)&amp;" as "&amp;VLOOKUP(B195,Instruções!$F$6:$J$10,5,0)&amp;"_to_be,"&amp;E195&amp;" as "&amp;G195&amp;" FROM "&amp;D195&amp;" WHERE "&amp;Instruções!$D$11&amp;") B ")</f>
        <v xml:space="preserve">(SELECT instrmnt_id as instrmnt_id_to_be, idcmb as idcmb_to_be FROM bu_loantape_work.lt002_instrument WHERE ref_date='2025-06-30' AND nome_perimetro= 'Individual IDComb' AND segmento= 'ESTR' AND ambito= 'PM' AND entidade='00100' AND cod_visao = 1) B </v>
      </c>
      <c r="J195" s="17" t="str">
        <f>IF(VLOOKUP(B195,Instruções!$F$6:$J$10,5,0)="",
"ON "&amp;VLOOKUP(B195,Instruções!$F$6:$J$10,4,0)&amp;"_as_is = "&amp;VLOOKUP(B195,Instruções!$F$6:$J$10,4,0)&amp;"_to_be ",
"ON "&amp;VLOOKUP(B195,Instruções!$F$6:$J$10,4,0)&amp;"_as_is = "&amp;VLOOKUP(B195,Instruções!$F$6:$J$10,4,0)&amp;"_to_be AND "&amp;VLOOKUP(B195,Instruções!$F$6:$J$10,5,0)&amp;"_as_is = "&amp;VLOOKUP(B195,Instruções!$F$6:$J$10,5,0)&amp;"_to_be ")</f>
        <v xml:space="preserve">ON instrmnt_id_as_is = instrmnt_id_to_be </v>
      </c>
      <c r="K195" s="17" t="str">
        <f t="shared" si="45"/>
        <v xml:space="preserve">WHERE coalesce(cast(idcmb_as_is as string), '') &lt;&gt; coalesce(cast(idcmb_to_be as string), '') </v>
      </c>
      <c r="L195" s="17" t="str">
        <f t="shared" si="39"/>
        <v xml:space="preserve">SELECT count(*) AS NUM_REG_DIF FROM (SELECT instrmnt_id as instrmnt_id_as_is, idcmb as idcmb_as_is FROM cd_loan_tapes_bce.lt002_instrument WHERE ref_date='2025-06-30' AND nome_perimetro= 'Individual IDComb' AND segmento= 'ESTR' AND ambito= 'PM' AND entidade='00100' AND cod_visao = 1) A  Inner join (SELECT instrmnt_id as instrmnt_id_to_be, idcmb as idcmb_to_be FROM bu_loantape_work.lt002_instrument WHERE ref_date='2025-06-30' AND nome_perimetro= 'Individual IDComb' AND segmento= 'ESTR' AND ambito= 'PM' AND entidade='00100' AND cod_visao = 1) B ON instrmnt_id_as_is = instrmnt_id_to_be WHERE coalesce(cast(idcmb_as_is as string), '') &lt;&gt; coalesce(cast(idcmb_to_be as string), '') </v>
      </c>
      <c r="M195" s="17" t="s">
        <v>48</v>
      </c>
      <c r="N195" s="17" t="str">
        <f>"SELECT 'Validação de campos' as tipologia_teste, '"&amp;VLOOKUP(B195,Instruções!$F$6:$J$10,3,0)&amp;"' AS TABELA, '"&amp;E195&amp;"' AS CAMPO, '"&amp;Instruções!$D$7&amp;"' as ref_date, coalesce(NUM_REG_DIF, 0) AS NUM_REG_DIF FROM ("&amp;L195&amp;") A "</f>
        <v xml:space="preserve">SELECT 'Validação de campos' as tipologia_teste, 'lt002_instrument' AS TABELA, 'idcmb' AS CAMPO, '2025-06-30' as ref_date, coalesce(NUM_REG_DIF, 0) AS NUM_REG_DIF FROM (SELECT count(*) AS NUM_REG_DIF FROM (SELECT instrmnt_id as instrmnt_id_as_is, idcmb as idcmb_as_is FROM cd_loan_tapes_bce.lt002_instrument WHERE ref_date='2025-06-30' AND nome_perimetro= 'Individual IDComb' AND segmento= 'ESTR' AND ambito= 'PM' AND entidade='00100' AND cod_visao = 1) A  Inner join (SELECT instrmnt_id as instrmnt_id_to_be, idcmb as idcmb_to_be FROM bu_loantape_work.lt002_instrument WHERE ref_date='2025-06-30' AND nome_perimetro= 'Individual IDComb' AND segmento= 'ESTR' AND ambito= 'PM' AND entidade='00100' AND cod_visao = 1) B ON instrmnt_id_as_is = instrmnt_id_to_be WHERE coalesce(cast(idcmb_as_is as string), '') &lt;&gt; coalesce(cast(idcmb_to_be as string), '') ) A </v>
      </c>
      <c r="O195" s="19" t="str">
        <f t="shared" si="42"/>
        <v>SELECT 'Validação de campos' as tipologia_teste, 'lt002_instrument' AS TABELA, 'idcmb' AS CAMPO, '2025-06-30' as ref_date, coalesce(NUM_REG_DIF, 0) AS NUM_REG_DIF FROM (SELECT count(*) AS NUM_REG_DIF FROM (SELECT instrmnt_id as instrmnt_id_as_is, idcmb as idcmb_as_is FROM cd_loan_tapes_bce.lt002_instrument WHERE ref_date='2025-06-30' AND nome_perimetro= 'Individual IDComb' AND segmento= 'ESTR' AND ambito= 'PM' AND entidade='00100' AND cod_visao = 1) A  Inner join (SELECT instrmnt_id as instrmnt_id_to_be, idcmb as idcmb_to_be FROM bu_loantape_work.lt002_instrument WHERE ref_date='2025-06-30' AND nome_perimetro= 'Individual IDComb' AND segmento= 'ESTR' AND ambito= 'PM' AND entidade='00100' AND cod_visao = 1) B ON instrmnt_id_as_is = instrmnt_id_to_be WHERE coalesce(cast(idcmb_as_is as string), '') &lt;&gt; coalesce(cast(idcmb_to_be as string), '') ) A UNION ALL</v>
      </c>
      <c r="P195" s="17">
        <f t="shared" si="40"/>
        <v>6</v>
      </c>
    </row>
    <row r="196" spans="2:16" s="15" customFormat="1" ht="11.5" x14ac:dyDescent="0.25">
      <c r="B196" s="17" t="s">
        <v>24</v>
      </c>
      <c r="C196" s="17" t="str">
        <f>_xlfn.CONCAT(Instruções!$D$5,".",VLOOKUP(B196,Instruções!$F$5:$H$10,2,0))</f>
        <v>cd_loan_tapes_bce.lt002_instrument</v>
      </c>
      <c r="D196" s="17" t="str">
        <f>_xlfn.CONCAT(Instruções!$D$6,".",VLOOKUP(B196,Instruções!$F$5:$H$10,3,0))</f>
        <v>bu_loantape_work.lt002_instrument</v>
      </c>
      <c r="E196" s="17" t="s">
        <v>222</v>
      </c>
      <c r="F196" s="17" t="str">
        <f t="shared" si="43"/>
        <v>ifrs9_ccf_as_is</v>
      </c>
      <c r="G196" s="17" t="str">
        <f t="shared" si="44"/>
        <v>ifrs9_ccf_to_be</v>
      </c>
      <c r="H196" s="17" t="str">
        <f>IF(VLOOKUP(B196,Instruções!$F$6:$J$10,5,0)="",
"(SELECT "&amp;VLOOKUP(B196,Instruções!$F$6:$J$10,4,0)&amp;" as "&amp;VLOOKUP(B196,Instruções!$F$6:$J$10,4,0)&amp;"_as_is, "&amp;E196&amp;" as "&amp;F196&amp;" FROM "&amp;C196&amp;" WHERE "&amp;Instruções!$D$11&amp;") A ",
"(SELECT "&amp;VLOOKUP(B196,Instruções!$F$6:$J$10,4,0)&amp;" as "&amp;VLOOKUP(B196,Instruções!$F$6:$J$10,4,0)&amp;"_as_is, "&amp;VLOOKUP(B196,Instruções!$F$6:$J$10,5,0)&amp;" as "&amp;VLOOKUP(B196,Instruções!$F$6:$J$10,5,0)&amp;"_as_is,"&amp;E196&amp;" as "&amp;F196&amp;" FROM "&amp;C196&amp;" WHERE "&amp;Instruções!$D$11&amp;") A ")</f>
        <v xml:space="preserve">(SELECT instrmnt_id as instrmnt_id_as_is, ifrs9_ccf as ifrs9_ccf_as_is FROM cd_loan_tapes_bce.lt002_instrument WHERE ref_date='2025-06-30' AND nome_perimetro= 'Individual IDComb' AND segmento= 'ESTR' AND ambito= 'PM' AND entidade='00100' AND cod_visao = 1) A </v>
      </c>
      <c r="I196" s="17" t="str">
        <f>IF(VLOOKUP(B196,Instruções!$F$6:$J$10,5,0)="",
"(SELECT "&amp;VLOOKUP(B196,Instruções!$F$6:$J$10,4,0)&amp;" as "&amp;VLOOKUP(B196,Instruções!$F$6:$J$10,4,0)&amp;"_to_be, "&amp;E196&amp;" as "&amp;G196&amp;" FROM "&amp;D196&amp;" WHERE "&amp;Instruções!$D$11&amp;") B ",
"(SELECT "&amp;VLOOKUP(B196,Instruções!$F$6:$J$10,4,0)&amp;" as "&amp;VLOOKUP(B196,Instruções!$F$6:$J$10,4,0)&amp;"_to_be, "&amp;VLOOKUP(B196,Instruções!$F$6:$J$10,5,0)&amp;" as "&amp;VLOOKUP(B196,Instruções!$F$6:$J$10,5,0)&amp;"_to_be,"&amp;E196&amp;" as "&amp;G196&amp;" FROM "&amp;D196&amp;" WHERE "&amp;Instruções!$D$11&amp;") B ")</f>
        <v xml:space="preserve">(SELECT instrmnt_id as instrmnt_id_to_be, ifrs9_ccf as ifrs9_ccf_to_be FROM bu_loantape_work.lt002_instrument WHERE ref_date='2025-06-30' AND nome_perimetro= 'Individual IDComb' AND segmento= 'ESTR' AND ambito= 'PM' AND entidade='00100' AND cod_visao = 1) B </v>
      </c>
      <c r="J196" s="17" t="str">
        <f>IF(VLOOKUP(B196,Instruções!$F$6:$J$10,5,0)="",
"ON "&amp;VLOOKUP(B196,Instruções!$F$6:$J$10,4,0)&amp;"_as_is = "&amp;VLOOKUP(B196,Instruções!$F$6:$J$10,4,0)&amp;"_to_be ",
"ON "&amp;VLOOKUP(B196,Instruções!$F$6:$J$10,4,0)&amp;"_as_is = "&amp;VLOOKUP(B196,Instruções!$F$6:$J$10,4,0)&amp;"_to_be AND "&amp;VLOOKUP(B196,Instruções!$F$6:$J$10,5,0)&amp;"_as_is = "&amp;VLOOKUP(B196,Instruções!$F$6:$J$10,5,0)&amp;"_to_be ")</f>
        <v xml:space="preserve">ON instrmnt_id_as_is = instrmnt_id_to_be </v>
      </c>
      <c r="K196" s="17" t="str">
        <f t="shared" si="45"/>
        <v xml:space="preserve">WHERE coalesce(cast(ifrs9_ccf_as_is as string), '') &lt;&gt; coalesce(cast(ifrs9_ccf_to_be as string), '') </v>
      </c>
      <c r="L196" s="17" t="str">
        <f t="shared" si="39"/>
        <v xml:space="preserve">SELECT count(*) AS NUM_REG_DIF FROM (SELECT instrmnt_id as instrmnt_id_as_is, ifrs9_ccf as ifrs9_ccf_as_is FROM cd_loan_tapes_bce.lt002_instrument WHERE ref_date='2025-06-30' AND nome_perimetro= 'Individual IDComb' AND segmento= 'ESTR' AND ambito= 'PM' AND entidade='00100' AND cod_visao = 1) A  Inner join (SELECT instrmnt_id as instrmnt_id_to_be, ifrs9_ccf as ifrs9_ccf_to_be FROM bu_loantape_work.lt002_instrument WHERE ref_date='2025-06-30' AND nome_perimetro= 'Individual IDComb' AND segmento= 'ESTR' AND ambito= 'PM' AND entidade='00100' AND cod_visao = 1) B ON instrmnt_id_as_is = instrmnt_id_to_be WHERE coalesce(cast(ifrs9_ccf_as_is as string), '') &lt;&gt; coalesce(cast(ifrs9_ccf_to_be as string), '') </v>
      </c>
      <c r="M196" s="17" t="s">
        <v>48</v>
      </c>
      <c r="N196" s="17" t="str">
        <f>"SELECT 'Validação de campos' as tipologia_teste, '"&amp;VLOOKUP(B196,Instruções!$F$6:$J$10,3,0)&amp;"' AS TABELA, '"&amp;E196&amp;"' AS CAMPO, '"&amp;Instruções!$D$7&amp;"' as ref_date, coalesce(NUM_REG_DIF, 0) AS NUM_REG_DIF FROM ("&amp;L196&amp;") A "</f>
        <v xml:space="preserve">SELECT 'Validação de campos' as tipologia_teste, 'lt002_instrument' AS TABELA, 'ifrs9_ccf' AS CAMPO, '2025-06-30' as ref_date, coalesce(NUM_REG_DIF, 0) AS NUM_REG_DIF FROM (SELECT count(*) AS NUM_REG_DIF FROM (SELECT instrmnt_id as instrmnt_id_as_is, ifrs9_ccf as ifrs9_ccf_as_is FROM cd_loan_tapes_bce.lt002_instrument WHERE ref_date='2025-06-30' AND nome_perimetro= 'Individual IDComb' AND segmento= 'ESTR' AND ambito= 'PM' AND entidade='00100' AND cod_visao = 1) A  Inner join (SELECT instrmnt_id as instrmnt_id_to_be, ifrs9_ccf as ifrs9_ccf_to_be FROM bu_loantape_work.lt002_instrument WHERE ref_date='2025-06-30' AND nome_perimetro= 'Individual IDComb' AND segmento= 'ESTR' AND ambito= 'PM' AND entidade='00100' AND cod_visao = 1) B ON instrmnt_id_as_is = instrmnt_id_to_be WHERE coalesce(cast(ifrs9_ccf_as_is as string), '') &lt;&gt; coalesce(cast(ifrs9_ccf_to_be as string), '') ) A </v>
      </c>
      <c r="O196" s="19" t="str">
        <f t="shared" si="42"/>
        <v>SELECT 'Validação de campos' as tipologia_teste, 'lt002_instrument' AS TABELA, 'ifrs9_ccf' AS CAMPO, '2025-06-30' as ref_date, coalesce(NUM_REG_DIF, 0) AS NUM_REG_DIF FROM (SELECT count(*) AS NUM_REG_DIF FROM (SELECT instrmnt_id as instrmnt_id_as_is, ifrs9_ccf as ifrs9_ccf_as_is FROM cd_loan_tapes_bce.lt002_instrument WHERE ref_date='2025-06-30' AND nome_perimetro= 'Individual IDComb' AND segmento= 'ESTR' AND ambito= 'PM' AND entidade='00100' AND cod_visao = 1) A  Inner join (SELECT instrmnt_id as instrmnt_id_to_be, ifrs9_ccf as ifrs9_ccf_to_be FROM bu_loantape_work.lt002_instrument WHERE ref_date='2025-06-30' AND nome_perimetro= 'Individual IDComb' AND segmento= 'ESTR' AND ambito= 'PM' AND entidade='00100' AND cod_visao = 1) B ON instrmnt_id_as_is = instrmnt_id_to_be WHERE coalesce(cast(ifrs9_ccf_as_is as string), '') &lt;&gt; coalesce(cast(ifrs9_ccf_to_be as string), '') ) A UNION ALL</v>
      </c>
      <c r="P196" s="17">
        <f t="shared" si="40"/>
        <v>7</v>
      </c>
    </row>
    <row r="197" spans="2:16" s="15" customFormat="1" ht="11.5" x14ac:dyDescent="0.25">
      <c r="B197" s="17" t="s">
        <v>24</v>
      </c>
      <c r="C197" s="17" t="str">
        <f>_xlfn.CONCAT(Instruções!$D$5,".",VLOOKUP(B197,Instruções!$F$5:$H$10,2,0))</f>
        <v>cd_loan_tapes_bce.lt002_instrument</v>
      </c>
      <c r="D197" s="17" t="str">
        <f>_xlfn.CONCAT(Instruções!$D$6,".",VLOOKUP(B197,Instruções!$F$5:$H$10,3,0))</f>
        <v>bu_loantape_work.lt002_instrument</v>
      </c>
      <c r="E197" s="17" t="s">
        <v>223</v>
      </c>
      <c r="F197" s="17" t="str">
        <f t="shared" si="43"/>
        <v>ifrs9_ead_as_is</v>
      </c>
      <c r="G197" s="17" t="str">
        <f t="shared" si="44"/>
        <v>ifrs9_ead_to_be</v>
      </c>
      <c r="H197" s="17" t="str">
        <f>IF(VLOOKUP(B197,Instruções!$F$6:$J$10,5,0)="",
"(SELECT "&amp;VLOOKUP(B197,Instruções!$F$6:$J$10,4,0)&amp;" as "&amp;VLOOKUP(B197,Instruções!$F$6:$J$10,4,0)&amp;"_as_is, "&amp;E197&amp;" as "&amp;F197&amp;" FROM "&amp;C197&amp;" WHERE "&amp;Instruções!$D$11&amp;") A ",
"(SELECT "&amp;VLOOKUP(B197,Instruções!$F$6:$J$10,4,0)&amp;" as "&amp;VLOOKUP(B197,Instruções!$F$6:$J$10,4,0)&amp;"_as_is, "&amp;VLOOKUP(B197,Instruções!$F$6:$J$10,5,0)&amp;" as "&amp;VLOOKUP(B197,Instruções!$F$6:$J$10,5,0)&amp;"_as_is,"&amp;E197&amp;" as "&amp;F197&amp;" FROM "&amp;C197&amp;" WHERE "&amp;Instruções!$D$11&amp;") A ")</f>
        <v xml:space="preserve">(SELECT instrmnt_id as instrmnt_id_as_is, ifrs9_ead as ifrs9_ead_as_is FROM cd_loan_tapes_bce.lt002_instrument WHERE ref_date='2025-06-30' AND nome_perimetro= 'Individual IDComb' AND segmento= 'ESTR' AND ambito= 'PM' AND entidade='00100' AND cod_visao = 1) A </v>
      </c>
      <c r="I197" s="17" t="str">
        <f>IF(VLOOKUP(B197,Instruções!$F$6:$J$10,5,0)="",
"(SELECT "&amp;VLOOKUP(B197,Instruções!$F$6:$J$10,4,0)&amp;" as "&amp;VLOOKUP(B197,Instruções!$F$6:$J$10,4,0)&amp;"_to_be, "&amp;E197&amp;" as "&amp;G197&amp;" FROM "&amp;D197&amp;" WHERE "&amp;Instruções!$D$11&amp;") B ",
"(SELECT "&amp;VLOOKUP(B197,Instruções!$F$6:$J$10,4,0)&amp;" as "&amp;VLOOKUP(B197,Instruções!$F$6:$J$10,4,0)&amp;"_to_be, "&amp;VLOOKUP(B197,Instruções!$F$6:$J$10,5,0)&amp;" as "&amp;VLOOKUP(B197,Instruções!$F$6:$J$10,5,0)&amp;"_to_be,"&amp;E197&amp;" as "&amp;G197&amp;" FROM "&amp;D197&amp;" WHERE "&amp;Instruções!$D$11&amp;") B ")</f>
        <v xml:space="preserve">(SELECT instrmnt_id as instrmnt_id_to_be, ifrs9_ead as ifrs9_ead_to_be FROM bu_loantape_work.lt002_instrument WHERE ref_date='2025-06-30' AND nome_perimetro= 'Individual IDComb' AND segmento= 'ESTR' AND ambito= 'PM' AND entidade='00100' AND cod_visao = 1) B </v>
      </c>
      <c r="J197" s="17" t="str">
        <f>IF(VLOOKUP(B197,Instruções!$F$6:$J$10,5,0)="",
"ON "&amp;VLOOKUP(B197,Instruções!$F$6:$J$10,4,0)&amp;"_as_is = "&amp;VLOOKUP(B197,Instruções!$F$6:$J$10,4,0)&amp;"_to_be ",
"ON "&amp;VLOOKUP(B197,Instruções!$F$6:$J$10,4,0)&amp;"_as_is = "&amp;VLOOKUP(B197,Instruções!$F$6:$J$10,4,0)&amp;"_to_be AND "&amp;VLOOKUP(B197,Instruções!$F$6:$J$10,5,0)&amp;"_as_is = "&amp;VLOOKUP(B197,Instruções!$F$6:$J$10,5,0)&amp;"_to_be ")</f>
        <v xml:space="preserve">ON instrmnt_id_as_is = instrmnt_id_to_be </v>
      </c>
      <c r="K197" s="17" t="str">
        <f t="shared" si="45"/>
        <v xml:space="preserve">WHERE coalesce(cast(ifrs9_ead_as_is as string), '') &lt;&gt; coalesce(cast(ifrs9_ead_to_be as string), '') </v>
      </c>
      <c r="L197" s="17" t="str">
        <f t="shared" si="39"/>
        <v xml:space="preserve">SELECT count(*) AS NUM_REG_DIF FROM (SELECT instrmnt_id as instrmnt_id_as_is, ifrs9_ead as ifrs9_ead_as_is FROM cd_loan_tapes_bce.lt002_instrument WHERE ref_date='2025-06-30' AND nome_perimetro= 'Individual IDComb' AND segmento= 'ESTR' AND ambito= 'PM' AND entidade='00100' AND cod_visao = 1) A  Inner join (SELECT instrmnt_id as instrmnt_id_to_be, ifrs9_ead as ifrs9_ead_to_be FROM bu_loantape_work.lt002_instrument WHERE ref_date='2025-06-30' AND nome_perimetro= 'Individual IDComb' AND segmento= 'ESTR' AND ambito= 'PM' AND entidade='00100' AND cod_visao = 1) B ON instrmnt_id_as_is = instrmnt_id_to_be WHERE coalesce(cast(ifrs9_ead_as_is as string), '') &lt;&gt; coalesce(cast(ifrs9_ead_to_be as string), '') </v>
      </c>
      <c r="M197" s="17" t="s">
        <v>48</v>
      </c>
      <c r="N197" s="17" t="str">
        <f>"SELECT 'Validação de campos' as tipologia_teste, '"&amp;VLOOKUP(B197,Instruções!$F$6:$J$10,3,0)&amp;"' AS TABELA, '"&amp;E197&amp;"' AS CAMPO, '"&amp;Instruções!$D$7&amp;"' as ref_date, coalesce(NUM_REG_DIF, 0) AS NUM_REG_DIF FROM ("&amp;L197&amp;") A "</f>
        <v xml:space="preserve">SELECT 'Validação de campos' as tipologia_teste, 'lt002_instrument' AS TABELA, 'ifrs9_ead' AS CAMPO, '2025-06-30' as ref_date, coalesce(NUM_REG_DIF, 0) AS NUM_REG_DIF FROM (SELECT count(*) AS NUM_REG_DIF FROM (SELECT instrmnt_id as instrmnt_id_as_is, ifrs9_ead as ifrs9_ead_as_is FROM cd_loan_tapes_bce.lt002_instrument WHERE ref_date='2025-06-30' AND nome_perimetro= 'Individual IDComb' AND segmento= 'ESTR' AND ambito= 'PM' AND entidade='00100' AND cod_visao = 1) A  Inner join (SELECT instrmnt_id as instrmnt_id_to_be, ifrs9_ead as ifrs9_ead_to_be FROM bu_loantape_work.lt002_instrument WHERE ref_date='2025-06-30' AND nome_perimetro= 'Individual IDComb' AND segmento= 'ESTR' AND ambito= 'PM' AND entidade='00100' AND cod_visao = 1) B ON instrmnt_id_as_is = instrmnt_id_to_be WHERE coalesce(cast(ifrs9_ead_as_is as string), '') &lt;&gt; coalesce(cast(ifrs9_ead_to_be as string), '') ) A </v>
      </c>
      <c r="O197" s="19" t="str">
        <f t="shared" si="42"/>
        <v>SELECT 'Validação de campos' as tipologia_teste, 'lt002_instrument' AS TABELA, 'ifrs9_ead' AS CAMPO, '2025-06-30' as ref_date, coalesce(NUM_REG_DIF, 0) AS NUM_REG_DIF FROM (SELECT count(*) AS NUM_REG_DIF FROM (SELECT instrmnt_id as instrmnt_id_as_is, ifrs9_ead as ifrs9_ead_as_is FROM cd_loan_tapes_bce.lt002_instrument WHERE ref_date='2025-06-30' AND nome_perimetro= 'Individual IDComb' AND segmento= 'ESTR' AND ambito= 'PM' AND entidade='00100' AND cod_visao = 1) A  Inner join (SELECT instrmnt_id as instrmnt_id_to_be, ifrs9_ead as ifrs9_ead_to_be FROM bu_loantape_work.lt002_instrument WHERE ref_date='2025-06-30' AND nome_perimetro= 'Individual IDComb' AND segmento= 'ESTR' AND ambito= 'PM' AND entidade='00100' AND cod_visao = 1) B ON instrmnt_id_as_is = instrmnt_id_to_be WHERE coalesce(cast(ifrs9_ead_as_is as string), '') &lt;&gt; coalesce(cast(ifrs9_ead_to_be as string), '') ) A UNION ALL</v>
      </c>
      <c r="P197" s="17">
        <f t="shared" si="40"/>
        <v>8</v>
      </c>
    </row>
    <row r="198" spans="2:16" s="15" customFormat="1" ht="11.5" x14ac:dyDescent="0.25">
      <c r="B198" s="17" t="s">
        <v>24</v>
      </c>
      <c r="C198" s="17" t="str">
        <f>_xlfn.CONCAT(Instruções!$D$5,".",VLOOKUP(B198,Instruções!$F$5:$H$10,2,0))</f>
        <v>cd_loan_tapes_bce.lt002_instrument</v>
      </c>
      <c r="D198" s="17" t="str">
        <f>_xlfn.CONCAT(Instruções!$D$6,".",VLOOKUP(B198,Instruções!$F$5:$H$10,3,0))</f>
        <v>bu_loantape_work.lt002_instrument</v>
      </c>
      <c r="E198" s="17" t="s">
        <v>224</v>
      </c>
      <c r="F198" s="17" t="str">
        <f t="shared" si="43"/>
        <v>ifrs9_lgd_as_is</v>
      </c>
      <c r="G198" s="17" t="str">
        <f t="shared" si="44"/>
        <v>ifrs9_lgd_to_be</v>
      </c>
      <c r="H198" s="17" t="str">
        <f>IF(VLOOKUP(B198,Instruções!$F$6:$J$10,5,0)="",
"(SELECT "&amp;VLOOKUP(B198,Instruções!$F$6:$J$10,4,0)&amp;" as "&amp;VLOOKUP(B198,Instruções!$F$6:$J$10,4,0)&amp;"_as_is, "&amp;E198&amp;" as "&amp;F198&amp;" FROM "&amp;C198&amp;" WHERE "&amp;Instruções!$D$11&amp;") A ",
"(SELECT "&amp;VLOOKUP(B198,Instruções!$F$6:$J$10,4,0)&amp;" as "&amp;VLOOKUP(B198,Instruções!$F$6:$J$10,4,0)&amp;"_as_is, "&amp;VLOOKUP(B198,Instruções!$F$6:$J$10,5,0)&amp;" as "&amp;VLOOKUP(B198,Instruções!$F$6:$J$10,5,0)&amp;"_as_is,"&amp;E198&amp;" as "&amp;F198&amp;" FROM "&amp;C198&amp;" WHERE "&amp;Instruções!$D$11&amp;") A ")</f>
        <v xml:space="preserve">(SELECT instrmnt_id as instrmnt_id_as_is, ifrs9_lgd as ifrs9_lgd_as_is FROM cd_loan_tapes_bce.lt002_instrument WHERE ref_date='2025-06-30' AND nome_perimetro= 'Individual IDComb' AND segmento= 'ESTR' AND ambito= 'PM' AND entidade='00100' AND cod_visao = 1) A </v>
      </c>
      <c r="I198" s="17" t="str">
        <f>IF(VLOOKUP(B198,Instruções!$F$6:$J$10,5,0)="",
"(SELECT "&amp;VLOOKUP(B198,Instruções!$F$6:$J$10,4,0)&amp;" as "&amp;VLOOKUP(B198,Instruções!$F$6:$J$10,4,0)&amp;"_to_be, "&amp;E198&amp;" as "&amp;G198&amp;" FROM "&amp;D198&amp;" WHERE "&amp;Instruções!$D$11&amp;") B ",
"(SELECT "&amp;VLOOKUP(B198,Instruções!$F$6:$J$10,4,0)&amp;" as "&amp;VLOOKUP(B198,Instruções!$F$6:$J$10,4,0)&amp;"_to_be, "&amp;VLOOKUP(B198,Instruções!$F$6:$J$10,5,0)&amp;" as "&amp;VLOOKUP(B198,Instruções!$F$6:$J$10,5,0)&amp;"_to_be,"&amp;E198&amp;" as "&amp;G198&amp;" FROM "&amp;D198&amp;" WHERE "&amp;Instruções!$D$11&amp;") B ")</f>
        <v xml:space="preserve">(SELECT instrmnt_id as instrmnt_id_to_be, ifrs9_lgd as ifrs9_lgd_to_be FROM bu_loantape_work.lt002_instrument WHERE ref_date='2025-06-30' AND nome_perimetro= 'Individual IDComb' AND segmento= 'ESTR' AND ambito= 'PM' AND entidade='00100' AND cod_visao = 1) B </v>
      </c>
      <c r="J198" s="17" t="str">
        <f>IF(VLOOKUP(B198,Instruções!$F$6:$J$10,5,0)="",
"ON "&amp;VLOOKUP(B198,Instruções!$F$6:$J$10,4,0)&amp;"_as_is = "&amp;VLOOKUP(B198,Instruções!$F$6:$J$10,4,0)&amp;"_to_be ",
"ON "&amp;VLOOKUP(B198,Instruções!$F$6:$J$10,4,0)&amp;"_as_is = "&amp;VLOOKUP(B198,Instruções!$F$6:$J$10,4,0)&amp;"_to_be AND "&amp;VLOOKUP(B198,Instruções!$F$6:$J$10,5,0)&amp;"_as_is = "&amp;VLOOKUP(B198,Instruções!$F$6:$J$10,5,0)&amp;"_to_be ")</f>
        <v xml:space="preserve">ON instrmnt_id_as_is = instrmnt_id_to_be </v>
      </c>
      <c r="K198" s="17" t="str">
        <f t="shared" si="45"/>
        <v xml:space="preserve">WHERE coalesce(cast(ifrs9_lgd_as_is as string), '') &lt;&gt; coalesce(cast(ifrs9_lgd_to_be as string), '') </v>
      </c>
      <c r="L198" s="17" t="str">
        <f t="shared" si="39"/>
        <v xml:space="preserve">SELECT count(*) AS NUM_REG_DIF FROM (SELECT instrmnt_id as instrmnt_id_as_is, ifrs9_lgd as ifrs9_lgd_as_is FROM cd_loan_tapes_bce.lt002_instrument WHERE ref_date='2025-06-30' AND nome_perimetro= 'Individual IDComb' AND segmento= 'ESTR' AND ambito= 'PM' AND entidade='00100' AND cod_visao = 1) A  Inner join (SELECT instrmnt_id as instrmnt_id_to_be, ifrs9_lgd as ifrs9_lgd_to_be FROM bu_loantape_work.lt002_instrument WHERE ref_date='2025-06-30' AND nome_perimetro= 'Individual IDComb' AND segmento= 'ESTR' AND ambito= 'PM' AND entidade='00100' AND cod_visao = 1) B ON instrmnt_id_as_is = instrmnt_id_to_be WHERE coalesce(cast(ifrs9_lgd_as_is as string), '') &lt;&gt; coalesce(cast(ifrs9_lgd_to_be as string), '') </v>
      </c>
      <c r="M198" s="17" t="s">
        <v>48</v>
      </c>
      <c r="N198" s="17" t="str">
        <f>"SELECT 'Validação de campos' as tipologia_teste, '"&amp;VLOOKUP(B198,Instruções!$F$6:$J$10,3,0)&amp;"' AS TABELA, '"&amp;E198&amp;"' AS CAMPO, '"&amp;Instruções!$D$7&amp;"' as ref_date, coalesce(NUM_REG_DIF, 0) AS NUM_REG_DIF FROM ("&amp;L198&amp;") A "</f>
        <v xml:space="preserve">SELECT 'Validação de campos' as tipologia_teste, 'lt002_instrument' AS TABELA, 'ifrs9_lgd' AS CAMPO, '2025-06-30' as ref_date, coalesce(NUM_REG_DIF, 0) AS NUM_REG_DIF FROM (SELECT count(*) AS NUM_REG_DIF FROM (SELECT instrmnt_id as instrmnt_id_as_is, ifrs9_lgd as ifrs9_lgd_as_is FROM cd_loan_tapes_bce.lt002_instrument WHERE ref_date='2025-06-30' AND nome_perimetro= 'Individual IDComb' AND segmento= 'ESTR' AND ambito= 'PM' AND entidade='00100' AND cod_visao = 1) A  Inner join (SELECT instrmnt_id as instrmnt_id_to_be, ifrs9_lgd as ifrs9_lgd_to_be FROM bu_loantape_work.lt002_instrument WHERE ref_date='2025-06-30' AND nome_perimetro= 'Individual IDComb' AND segmento= 'ESTR' AND ambito= 'PM' AND entidade='00100' AND cod_visao = 1) B ON instrmnt_id_as_is = instrmnt_id_to_be WHERE coalesce(cast(ifrs9_lgd_as_is as string), '') &lt;&gt; coalesce(cast(ifrs9_lgd_to_be as string), '') ) A </v>
      </c>
      <c r="O198" s="19" t="str">
        <f t="shared" si="42"/>
        <v>SELECT 'Validação de campos' as tipologia_teste, 'lt002_instrument' AS TABELA, 'ifrs9_lgd' AS CAMPO, '2025-06-30' as ref_date, coalesce(NUM_REG_DIF, 0) AS NUM_REG_DIF FROM (SELECT count(*) AS NUM_REG_DIF FROM (SELECT instrmnt_id as instrmnt_id_as_is, ifrs9_lgd as ifrs9_lgd_as_is FROM cd_loan_tapes_bce.lt002_instrument WHERE ref_date='2025-06-30' AND nome_perimetro= 'Individual IDComb' AND segmento= 'ESTR' AND ambito= 'PM' AND entidade='00100' AND cod_visao = 1) A  Inner join (SELECT instrmnt_id as instrmnt_id_to_be, ifrs9_lgd as ifrs9_lgd_to_be FROM bu_loantape_work.lt002_instrument WHERE ref_date='2025-06-30' AND nome_perimetro= 'Individual IDComb' AND segmento= 'ESTR' AND ambito= 'PM' AND entidade='00100' AND cod_visao = 1) B ON instrmnt_id_as_is = instrmnt_id_to_be WHERE coalesce(cast(ifrs9_lgd_as_is as string), '') &lt;&gt; coalesce(cast(ifrs9_lgd_to_be as string), '') ) A UNION ALL</v>
      </c>
      <c r="P198" s="17">
        <f t="shared" si="40"/>
        <v>9</v>
      </c>
    </row>
    <row r="199" spans="2:16" s="15" customFormat="1" ht="11.5" x14ac:dyDescent="0.25">
      <c r="B199" s="17" t="s">
        <v>24</v>
      </c>
      <c r="C199" s="17" t="str">
        <f>_xlfn.CONCAT(Instruções!$D$5,".",VLOOKUP(B199,Instruções!$F$5:$H$10,2,0))</f>
        <v>cd_loan_tapes_bce.lt002_instrument</v>
      </c>
      <c r="D199" s="17" t="str">
        <f>_xlfn.CONCAT(Instruções!$D$6,".",VLOOKUP(B199,Instruções!$F$5:$H$10,3,0))</f>
        <v>bu_loantape_work.lt002_instrument</v>
      </c>
      <c r="E199" s="17" t="s">
        <v>225</v>
      </c>
      <c r="F199" s="17" t="str">
        <f t="shared" si="43"/>
        <v>imprmnt_assssmnt_mthd_as_is</v>
      </c>
      <c r="G199" s="17" t="str">
        <f t="shared" si="44"/>
        <v>imprmnt_assssmnt_mthd_to_be</v>
      </c>
      <c r="H199" s="17" t="str">
        <f>IF(VLOOKUP(B199,Instruções!$F$6:$J$10,5,0)="",
"(SELECT "&amp;VLOOKUP(B199,Instruções!$F$6:$J$10,4,0)&amp;" as "&amp;VLOOKUP(B199,Instruções!$F$6:$J$10,4,0)&amp;"_as_is, "&amp;E199&amp;" as "&amp;F199&amp;" FROM "&amp;C199&amp;" WHERE "&amp;Instruções!$D$11&amp;") A ",
"(SELECT "&amp;VLOOKUP(B199,Instruções!$F$6:$J$10,4,0)&amp;" as "&amp;VLOOKUP(B199,Instruções!$F$6:$J$10,4,0)&amp;"_as_is, "&amp;VLOOKUP(B199,Instruções!$F$6:$J$10,5,0)&amp;" as "&amp;VLOOKUP(B199,Instruções!$F$6:$J$10,5,0)&amp;"_as_is,"&amp;E199&amp;" as "&amp;F199&amp;" FROM "&amp;C199&amp;" WHERE "&amp;Instruções!$D$11&amp;") A ")</f>
        <v xml:space="preserve">(SELECT instrmnt_id as instrmnt_id_as_is, imprmnt_assssmnt_mthd as imprmnt_assssmnt_mthd_as_is FROM cd_loan_tapes_bce.lt002_instrument WHERE ref_date='2025-06-30' AND nome_perimetro= 'Individual IDComb' AND segmento= 'ESTR' AND ambito= 'PM' AND entidade='00100' AND cod_visao = 1) A </v>
      </c>
      <c r="I199" s="17" t="str">
        <f>IF(VLOOKUP(B199,Instruções!$F$6:$J$10,5,0)="",
"(SELECT "&amp;VLOOKUP(B199,Instruções!$F$6:$J$10,4,0)&amp;" as "&amp;VLOOKUP(B199,Instruções!$F$6:$J$10,4,0)&amp;"_to_be, "&amp;E199&amp;" as "&amp;G199&amp;" FROM "&amp;D199&amp;" WHERE "&amp;Instruções!$D$11&amp;") B ",
"(SELECT "&amp;VLOOKUP(B199,Instruções!$F$6:$J$10,4,0)&amp;" as "&amp;VLOOKUP(B199,Instruções!$F$6:$J$10,4,0)&amp;"_to_be, "&amp;VLOOKUP(B199,Instruções!$F$6:$J$10,5,0)&amp;" as "&amp;VLOOKUP(B199,Instruções!$F$6:$J$10,5,0)&amp;"_to_be,"&amp;E199&amp;" as "&amp;G199&amp;" FROM "&amp;D199&amp;" WHERE "&amp;Instruções!$D$11&amp;") B ")</f>
        <v xml:space="preserve">(SELECT instrmnt_id as instrmnt_id_to_be, imprmnt_assssmnt_mthd as imprmnt_assssmnt_mthd_to_be FROM bu_loantape_work.lt002_instrument WHERE ref_date='2025-06-30' AND nome_perimetro= 'Individual IDComb' AND segmento= 'ESTR' AND ambito= 'PM' AND entidade='00100' AND cod_visao = 1) B </v>
      </c>
      <c r="J199" s="17" t="str">
        <f>IF(VLOOKUP(B199,Instruções!$F$6:$J$10,5,0)="",
"ON "&amp;VLOOKUP(B199,Instruções!$F$6:$J$10,4,0)&amp;"_as_is = "&amp;VLOOKUP(B199,Instruções!$F$6:$J$10,4,0)&amp;"_to_be ",
"ON "&amp;VLOOKUP(B199,Instruções!$F$6:$J$10,4,0)&amp;"_as_is = "&amp;VLOOKUP(B199,Instruções!$F$6:$J$10,4,0)&amp;"_to_be AND "&amp;VLOOKUP(B199,Instruções!$F$6:$J$10,5,0)&amp;"_as_is = "&amp;VLOOKUP(B199,Instruções!$F$6:$J$10,5,0)&amp;"_to_be ")</f>
        <v xml:space="preserve">ON instrmnt_id_as_is = instrmnt_id_to_be </v>
      </c>
      <c r="K199" s="17" t="str">
        <f t="shared" si="45"/>
        <v xml:space="preserve">WHERE coalesce(cast(imprmnt_assssmnt_mthd_as_is as string), '') &lt;&gt; coalesce(cast(imprmnt_assssmnt_mthd_to_be as string), '') </v>
      </c>
      <c r="L199" s="17" t="str">
        <f t="shared" ref="L199:L257" si="46">"SELECT count(*) AS NUM_REG_DIF FROM "&amp;H199&amp;" Inner join "&amp;I199&amp;J199&amp;K199</f>
        <v xml:space="preserve">SELECT count(*) AS NUM_REG_DIF FROM (SELECT instrmnt_id as instrmnt_id_as_is, imprmnt_assssmnt_mthd as imprmnt_assssmnt_mthd_as_is FROM cd_loan_tapes_bce.lt002_instrument WHERE ref_date='2025-06-30' AND nome_perimetro= 'Individual IDComb' AND segmento= 'ESTR' AND ambito= 'PM' AND entidade='00100' AND cod_visao = 1) A  Inner join (SELECT instrmnt_id as instrmnt_id_to_be, imprmnt_assssmnt_mthd as imprmnt_assssmnt_mthd_to_be FROM bu_loantape_work.lt002_instrument WHERE ref_date='2025-06-30' AND nome_perimetro= 'Individual IDComb' AND segmento= 'ESTR' AND ambito= 'PM' AND entidade='00100' AND cod_visao = 1) B ON instrmnt_id_as_is = instrmnt_id_to_be WHERE coalesce(cast(imprmnt_assssmnt_mthd_as_is as string), '') &lt;&gt; coalesce(cast(imprmnt_assssmnt_mthd_to_be as string), '') </v>
      </c>
      <c r="M199" s="17" t="s">
        <v>48</v>
      </c>
      <c r="N199" s="17" t="str">
        <f>"SELECT 'Validação de campos' as tipologia_teste, '"&amp;VLOOKUP(B199,Instruções!$F$6:$J$10,3,0)&amp;"' AS TABELA, '"&amp;E199&amp;"' AS CAMPO, '"&amp;Instruções!$D$7&amp;"' as ref_date, coalesce(NUM_REG_DIF, 0) AS NUM_REG_DIF FROM ("&amp;L199&amp;") A "</f>
        <v xml:space="preserve">SELECT 'Validação de campos' as tipologia_teste, 'lt002_instrument' AS TABELA, 'imprmnt_assssmnt_mthd' AS CAMPO, '2025-06-30' as ref_date, coalesce(NUM_REG_DIF, 0) AS NUM_REG_DIF FROM (SELECT count(*) AS NUM_REG_DIF FROM (SELECT instrmnt_id as instrmnt_id_as_is, imprmnt_assssmnt_mthd as imprmnt_assssmnt_mthd_as_is FROM cd_loan_tapes_bce.lt002_instrument WHERE ref_date='2025-06-30' AND nome_perimetro= 'Individual IDComb' AND segmento= 'ESTR' AND ambito= 'PM' AND entidade='00100' AND cod_visao = 1) A  Inner join (SELECT instrmnt_id as instrmnt_id_to_be, imprmnt_assssmnt_mthd as imprmnt_assssmnt_mthd_to_be FROM bu_loantape_work.lt002_instrument WHERE ref_date='2025-06-30' AND nome_perimetro= 'Individual IDComb' AND segmento= 'ESTR' AND ambito= 'PM' AND entidade='00100' AND cod_visao = 1) B ON instrmnt_id_as_is = instrmnt_id_to_be WHERE coalesce(cast(imprmnt_assssmnt_mthd_as_is as string), '') &lt;&gt; coalesce(cast(imprmnt_assssmnt_mthd_to_be as string), '') ) A </v>
      </c>
      <c r="O199" s="19" t="str">
        <f t="shared" si="42"/>
        <v>SELECT 'Validação de campos' as tipologia_teste, 'lt002_instrument' AS TABELA, 'imprmnt_assssmnt_mthd' AS CAMPO, '2025-06-30' as ref_date, coalesce(NUM_REG_DIF, 0) AS NUM_REG_DIF FROM (SELECT count(*) AS NUM_REG_DIF FROM (SELECT instrmnt_id as instrmnt_id_as_is, imprmnt_assssmnt_mthd as imprmnt_assssmnt_mthd_as_is FROM cd_loan_tapes_bce.lt002_instrument WHERE ref_date='2025-06-30' AND nome_perimetro= 'Individual IDComb' AND segmento= 'ESTR' AND ambito= 'PM' AND entidade='00100' AND cod_visao = 1) A  Inner join (SELECT instrmnt_id as instrmnt_id_to_be, imprmnt_assssmnt_mthd as imprmnt_assssmnt_mthd_to_be FROM bu_loantape_work.lt002_instrument WHERE ref_date='2025-06-30' AND nome_perimetro= 'Individual IDComb' AND segmento= 'ESTR' AND ambito= 'PM' AND entidade='00100' AND cod_visao = 1) B ON instrmnt_id_as_is = instrmnt_id_to_be WHERE coalesce(cast(imprmnt_assssmnt_mthd_as_is as string), '') &lt;&gt; coalesce(cast(imprmnt_assssmnt_mthd_to_be as string), '') ) A UNION ALL</v>
      </c>
      <c r="P199" s="17">
        <f t="shared" si="40"/>
        <v>10</v>
      </c>
    </row>
    <row r="200" spans="2:16" s="15" customFormat="1" ht="11.5" x14ac:dyDescent="0.25">
      <c r="B200" s="17" t="s">
        <v>24</v>
      </c>
      <c r="C200" s="17" t="str">
        <f>_xlfn.CONCAT(Instruções!$D$5,".",VLOOKUP(B200,Instruções!$F$5:$H$10,2,0))</f>
        <v>cd_loan_tapes_bce.lt002_instrument</v>
      </c>
      <c r="D200" s="17" t="str">
        <f>_xlfn.CONCAT(Instruções!$D$6,".",VLOOKUP(B200,Instruções!$F$5:$H$10,3,0))</f>
        <v>bu_loantape_work.lt002_instrument</v>
      </c>
      <c r="E200" s="17" t="s">
        <v>226</v>
      </c>
      <c r="F200" s="17" t="str">
        <f t="shared" si="43"/>
        <v>imprmnt_clcltn_mthd_as_is</v>
      </c>
      <c r="G200" s="17" t="str">
        <f t="shared" si="44"/>
        <v>imprmnt_clcltn_mthd_to_be</v>
      </c>
      <c r="H200" s="17" t="str">
        <f>IF(VLOOKUP(B200,Instruções!$F$6:$J$10,5,0)="",
"(SELECT "&amp;VLOOKUP(B200,Instruções!$F$6:$J$10,4,0)&amp;" as "&amp;VLOOKUP(B200,Instruções!$F$6:$J$10,4,0)&amp;"_as_is, "&amp;E200&amp;" as "&amp;F200&amp;" FROM "&amp;C200&amp;" WHERE "&amp;Instruções!$D$11&amp;") A ",
"(SELECT "&amp;VLOOKUP(B200,Instruções!$F$6:$J$10,4,0)&amp;" as "&amp;VLOOKUP(B200,Instruções!$F$6:$J$10,4,0)&amp;"_as_is, "&amp;VLOOKUP(B200,Instruções!$F$6:$J$10,5,0)&amp;" as "&amp;VLOOKUP(B200,Instruções!$F$6:$J$10,5,0)&amp;"_as_is,"&amp;E200&amp;" as "&amp;F200&amp;" FROM "&amp;C200&amp;" WHERE "&amp;Instruções!$D$11&amp;") A ")</f>
        <v xml:space="preserve">(SELECT instrmnt_id as instrmnt_id_as_is, imprmnt_clcltn_mthd as imprmnt_clcltn_mthd_as_is FROM cd_loan_tapes_bce.lt002_instrument WHERE ref_date='2025-06-30' AND nome_perimetro= 'Individual IDComb' AND segmento= 'ESTR' AND ambito= 'PM' AND entidade='00100' AND cod_visao = 1) A </v>
      </c>
      <c r="I200" s="17" t="str">
        <f>IF(VLOOKUP(B200,Instruções!$F$6:$J$10,5,0)="",
"(SELECT "&amp;VLOOKUP(B200,Instruções!$F$6:$J$10,4,0)&amp;" as "&amp;VLOOKUP(B200,Instruções!$F$6:$J$10,4,0)&amp;"_to_be, "&amp;E200&amp;" as "&amp;G200&amp;" FROM "&amp;D200&amp;" WHERE "&amp;Instruções!$D$11&amp;") B ",
"(SELECT "&amp;VLOOKUP(B200,Instruções!$F$6:$J$10,4,0)&amp;" as "&amp;VLOOKUP(B200,Instruções!$F$6:$J$10,4,0)&amp;"_to_be, "&amp;VLOOKUP(B200,Instruções!$F$6:$J$10,5,0)&amp;" as "&amp;VLOOKUP(B200,Instruções!$F$6:$J$10,5,0)&amp;"_to_be,"&amp;E200&amp;" as "&amp;G200&amp;" FROM "&amp;D200&amp;" WHERE "&amp;Instruções!$D$11&amp;") B ")</f>
        <v xml:space="preserve">(SELECT instrmnt_id as instrmnt_id_to_be, imprmnt_clcltn_mthd as imprmnt_clcltn_mthd_to_be FROM bu_loantape_work.lt002_instrument WHERE ref_date='2025-06-30' AND nome_perimetro= 'Individual IDComb' AND segmento= 'ESTR' AND ambito= 'PM' AND entidade='00100' AND cod_visao = 1) B </v>
      </c>
      <c r="J200" s="17" t="str">
        <f>IF(VLOOKUP(B200,Instruções!$F$6:$J$10,5,0)="",
"ON "&amp;VLOOKUP(B200,Instruções!$F$6:$J$10,4,0)&amp;"_as_is = "&amp;VLOOKUP(B200,Instruções!$F$6:$J$10,4,0)&amp;"_to_be ",
"ON "&amp;VLOOKUP(B200,Instruções!$F$6:$J$10,4,0)&amp;"_as_is = "&amp;VLOOKUP(B200,Instruções!$F$6:$J$10,4,0)&amp;"_to_be AND "&amp;VLOOKUP(B200,Instruções!$F$6:$J$10,5,0)&amp;"_as_is = "&amp;VLOOKUP(B200,Instruções!$F$6:$J$10,5,0)&amp;"_to_be ")</f>
        <v xml:space="preserve">ON instrmnt_id_as_is = instrmnt_id_to_be </v>
      </c>
      <c r="K200" s="17" t="str">
        <f t="shared" si="45"/>
        <v xml:space="preserve">WHERE coalesce(cast(imprmnt_clcltn_mthd_as_is as string), '') &lt;&gt; coalesce(cast(imprmnt_clcltn_mthd_to_be as string), '') </v>
      </c>
      <c r="L200" s="17" t="str">
        <f t="shared" si="46"/>
        <v xml:space="preserve">SELECT count(*) AS NUM_REG_DIF FROM (SELECT instrmnt_id as instrmnt_id_as_is, imprmnt_clcltn_mthd as imprmnt_clcltn_mthd_as_is FROM cd_loan_tapes_bce.lt002_instrument WHERE ref_date='2025-06-30' AND nome_perimetro= 'Individual IDComb' AND segmento= 'ESTR' AND ambito= 'PM' AND entidade='00100' AND cod_visao = 1) A  Inner join (SELECT instrmnt_id as instrmnt_id_to_be, imprmnt_clcltn_mthd as imprmnt_clcltn_mthd_to_be FROM bu_loantape_work.lt002_instrument WHERE ref_date='2025-06-30' AND nome_perimetro= 'Individual IDComb' AND segmento= 'ESTR' AND ambito= 'PM' AND entidade='00100' AND cod_visao = 1) B ON instrmnt_id_as_is = instrmnt_id_to_be WHERE coalesce(cast(imprmnt_clcltn_mthd_as_is as string), '') &lt;&gt; coalesce(cast(imprmnt_clcltn_mthd_to_be as string), '') </v>
      </c>
      <c r="M200" s="17" t="s">
        <v>48</v>
      </c>
      <c r="N200" s="17" t="str">
        <f>"SELECT 'Validação de campos' as tipologia_teste, '"&amp;VLOOKUP(B200,Instruções!$F$6:$J$10,3,0)&amp;"' AS TABELA, '"&amp;E200&amp;"' AS CAMPO, '"&amp;Instruções!$D$7&amp;"' as ref_date, coalesce(NUM_REG_DIF, 0) AS NUM_REG_DIF FROM ("&amp;L200&amp;") A "</f>
        <v xml:space="preserve">SELECT 'Validação de campos' as tipologia_teste, 'lt002_instrument' AS TABELA, 'imprmnt_clcltn_mthd' AS CAMPO, '2025-06-30' as ref_date, coalesce(NUM_REG_DIF, 0) AS NUM_REG_DIF FROM (SELECT count(*) AS NUM_REG_DIF FROM (SELECT instrmnt_id as instrmnt_id_as_is, imprmnt_clcltn_mthd as imprmnt_clcltn_mthd_as_is FROM cd_loan_tapes_bce.lt002_instrument WHERE ref_date='2025-06-30' AND nome_perimetro= 'Individual IDComb' AND segmento= 'ESTR' AND ambito= 'PM' AND entidade='00100' AND cod_visao = 1) A  Inner join (SELECT instrmnt_id as instrmnt_id_to_be, imprmnt_clcltn_mthd as imprmnt_clcltn_mthd_to_be FROM bu_loantape_work.lt002_instrument WHERE ref_date='2025-06-30' AND nome_perimetro= 'Individual IDComb' AND segmento= 'ESTR' AND ambito= 'PM' AND entidade='00100' AND cod_visao = 1) B ON instrmnt_id_as_is = instrmnt_id_to_be WHERE coalesce(cast(imprmnt_clcltn_mthd_as_is as string), '') &lt;&gt; coalesce(cast(imprmnt_clcltn_mthd_to_be as string), '') ) A </v>
      </c>
      <c r="O200" s="19" t="str">
        <f t="shared" si="42"/>
        <v>SELECT 'Validação de campos' as tipologia_teste, 'lt002_instrument' AS TABELA, 'imprmnt_clcltn_mthd' AS CAMPO, '2025-06-30' as ref_date, coalesce(NUM_REG_DIF, 0) AS NUM_REG_DIF FROM (SELECT count(*) AS NUM_REG_DIF FROM (SELECT instrmnt_id as instrmnt_id_as_is, imprmnt_clcltn_mthd as imprmnt_clcltn_mthd_as_is FROM cd_loan_tapes_bce.lt002_instrument WHERE ref_date='2025-06-30' AND nome_perimetro= 'Individual IDComb' AND segmento= 'ESTR' AND ambito= 'PM' AND entidade='00100' AND cod_visao = 1) A  Inner join (SELECT instrmnt_id as instrmnt_id_to_be, imprmnt_clcltn_mthd as imprmnt_clcltn_mthd_to_be FROM bu_loantape_work.lt002_instrument WHERE ref_date='2025-06-30' AND nome_perimetro= 'Individual IDComb' AND segmento= 'ESTR' AND ambito= 'PM' AND entidade='00100' AND cod_visao = 1) B ON instrmnt_id_as_is = instrmnt_id_to_be WHERE coalesce(cast(imprmnt_clcltn_mthd_as_is as string), '') &lt;&gt; coalesce(cast(imprmnt_clcltn_mthd_to_be as string), '') ) A UNION ALL</v>
      </c>
      <c r="P200" s="17">
        <f t="shared" si="40"/>
        <v>11</v>
      </c>
    </row>
    <row r="201" spans="2:16" s="15" customFormat="1" ht="11.5" x14ac:dyDescent="0.25">
      <c r="B201" s="17" t="s">
        <v>24</v>
      </c>
      <c r="C201" s="17" t="str">
        <f>_xlfn.CONCAT(Instruções!$D$5,".",VLOOKUP(B201,Instruções!$F$5:$H$10,2,0))</f>
        <v>cd_loan_tapes_bce.lt002_instrument</v>
      </c>
      <c r="D201" s="17" t="str">
        <f>_xlfn.CONCAT(Instruções!$D$6,".",VLOOKUP(B201,Instruções!$F$5:$H$10,3,0))</f>
        <v>bu_loantape_work.lt002_instrument</v>
      </c>
      <c r="E201" s="17" t="s">
        <v>227</v>
      </c>
      <c r="F201" s="17" t="str">
        <f t="shared" si="43"/>
        <v>imprmnt_stts_as_is</v>
      </c>
      <c r="G201" s="17" t="str">
        <f t="shared" si="44"/>
        <v>imprmnt_stts_to_be</v>
      </c>
      <c r="H201" s="17" t="str">
        <f>IF(VLOOKUP(B201,Instruções!$F$6:$J$10,5,0)="",
"(SELECT "&amp;VLOOKUP(B201,Instruções!$F$6:$J$10,4,0)&amp;" as "&amp;VLOOKUP(B201,Instruções!$F$6:$J$10,4,0)&amp;"_as_is, "&amp;E201&amp;" as "&amp;F201&amp;" FROM "&amp;C201&amp;" WHERE "&amp;Instruções!$D$11&amp;") A ",
"(SELECT "&amp;VLOOKUP(B201,Instruções!$F$6:$J$10,4,0)&amp;" as "&amp;VLOOKUP(B201,Instruções!$F$6:$J$10,4,0)&amp;"_as_is, "&amp;VLOOKUP(B201,Instruções!$F$6:$J$10,5,0)&amp;" as "&amp;VLOOKUP(B201,Instruções!$F$6:$J$10,5,0)&amp;"_as_is,"&amp;E201&amp;" as "&amp;F201&amp;" FROM "&amp;C201&amp;" WHERE "&amp;Instruções!$D$11&amp;") A ")</f>
        <v xml:space="preserve">(SELECT instrmnt_id as instrmnt_id_as_is, imprmnt_stts as imprmnt_stts_as_is FROM cd_loan_tapes_bce.lt002_instrument WHERE ref_date='2025-06-30' AND nome_perimetro= 'Individual IDComb' AND segmento= 'ESTR' AND ambito= 'PM' AND entidade='00100' AND cod_visao = 1) A </v>
      </c>
      <c r="I201" s="17" t="str">
        <f>IF(VLOOKUP(B201,Instruções!$F$6:$J$10,5,0)="",
"(SELECT "&amp;VLOOKUP(B201,Instruções!$F$6:$J$10,4,0)&amp;" as "&amp;VLOOKUP(B201,Instruções!$F$6:$J$10,4,0)&amp;"_to_be, "&amp;E201&amp;" as "&amp;G201&amp;" FROM "&amp;D201&amp;" WHERE "&amp;Instruções!$D$11&amp;") B ",
"(SELECT "&amp;VLOOKUP(B201,Instruções!$F$6:$J$10,4,0)&amp;" as "&amp;VLOOKUP(B201,Instruções!$F$6:$J$10,4,0)&amp;"_to_be, "&amp;VLOOKUP(B201,Instruções!$F$6:$J$10,5,0)&amp;" as "&amp;VLOOKUP(B201,Instruções!$F$6:$J$10,5,0)&amp;"_to_be,"&amp;E201&amp;" as "&amp;G201&amp;" FROM "&amp;D201&amp;" WHERE "&amp;Instruções!$D$11&amp;") B ")</f>
        <v xml:space="preserve">(SELECT instrmnt_id as instrmnt_id_to_be, imprmnt_stts as imprmnt_stts_to_be FROM bu_loantape_work.lt002_instrument WHERE ref_date='2025-06-30' AND nome_perimetro= 'Individual IDComb' AND segmento= 'ESTR' AND ambito= 'PM' AND entidade='00100' AND cod_visao = 1) B </v>
      </c>
      <c r="J201" s="17" t="str">
        <f>IF(VLOOKUP(B201,Instruções!$F$6:$J$10,5,0)="",
"ON "&amp;VLOOKUP(B201,Instruções!$F$6:$J$10,4,0)&amp;"_as_is = "&amp;VLOOKUP(B201,Instruções!$F$6:$J$10,4,0)&amp;"_to_be ",
"ON "&amp;VLOOKUP(B201,Instruções!$F$6:$J$10,4,0)&amp;"_as_is = "&amp;VLOOKUP(B201,Instruções!$F$6:$J$10,4,0)&amp;"_to_be AND "&amp;VLOOKUP(B201,Instruções!$F$6:$J$10,5,0)&amp;"_as_is = "&amp;VLOOKUP(B201,Instruções!$F$6:$J$10,5,0)&amp;"_to_be ")</f>
        <v xml:space="preserve">ON instrmnt_id_as_is = instrmnt_id_to_be </v>
      </c>
      <c r="K201" s="17" t="str">
        <f t="shared" si="45"/>
        <v xml:space="preserve">WHERE coalesce(cast(imprmnt_stts_as_is as string), '') &lt;&gt; coalesce(cast(imprmnt_stts_to_be as string), '') </v>
      </c>
      <c r="L201" s="17" t="str">
        <f t="shared" si="46"/>
        <v xml:space="preserve">SELECT count(*) AS NUM_REG_DIF FROM (SELECT instrmnt_id as instrmnt_id_as_is, imprmnt_stts as imprmnt_stts_as_is FROM cd_loan_tapes_bce.lt002_instrument WHERE ref_date='2025-06-30' AND nome_perimetro= 'Individual IDComb' AND segmento= 'ESTR' AND ambito= 'PM' AND entidade='00100' AND cod_visao = 1) A  Inner join (SELECT instrmnt_id as instrmnt_id_to_be, imprmnt_stts as imprmnt_stts_to_be FROM bu_loantape_work.lt002_instrument WHERE ref_date='2025-06-30' AND nome_perimetro= 'Individual IDComb' AND segmento= 'ESTR' AND ambito= 'PM' AND entidade='00100' AND cod_visao = 1) B ON instrmnt_id_as_is = instrmnt_id_to_be WHERE coalesce(cast(imprmnt_stts_as_is as string), '') &lt;&gt; coalesce(cast(imprmnt_stts_to_be as string), '') </v>
      </c>
      <c r="M201" s="17" t="s">
        <v>48</v>
      </c>
      <c r="N201" s="17" t="str">
        <f>"SELECT 'Validação de campos' as tipologia_teste, '"&amp;VLOOKUP(B201,Instruções!$F$6:$J$10,3,0)&amp;"' AS TABELA, '"&amp;E201&amp;"' AS CAMPO, '"&amp;Instruções!$D$7&amp;"' as ref_date, coalesce(NUM_REG_DIF, 0) AS NUM_REG_DIF FROM ("&amp;L201&amp;") A "</f>
        <v xml:space="preserve">SELECT 'Validação de campos' as tipologia_teste, 'lt002_instrument' AS TABELA, 'imprmnt_stts' AS CAMPO, '2025-06-30' as ref_date, coalesce(NUM_REG_DIF, 0) AS NUM_REG_DIF FROM (SELECT count(*) AS NUM_REG_DIF FROM (SELECT instrmnt_id as instrmnt_id_as_is, imprmnt_stts as imprmnt_stts_as_is FROM cd_loan_tapes_bce.lt002_instrument WHERE ref_date='2025-06-30' AND nome_perimetro= 'Individual IDComb' AND segmento= 'ESTR' AND ambito= 'PM' AND entidade='00100' AND cod_visao = 1) A  Inner join (SELECT instrmnt_id as instrmnt_id_to_be, imprmnt_stts as imprmnt_stts_to_be FROM bu_loantape_work.lt002_instrument WHERE ref_date='2025-06-30' AND nome_perimetro= 'Individual IDComb' AND segmento= 'ESTR' AND ambito= 'PM' AND entidade='00100' AND cod_visao = 1) B ON instrmnt_id_as_is = instrmnt_id_to_be WHERE coalesce(cast(imprmnt_stts_as_is as string), '') &lt;&gt; coalesce(cast(imprmnt_stts_to_be as string), '') ) A </v>
      </c>
      <c r="O201" s="19" t="str">
        <f t="shared" si="42"/>
        <v>SELECT 'Validação de campos' as tipologia_teste, 'lt002_instrument' AS TABELA, 'imprmnt_stts' AS CAMPO, '2025-06-30' as ref_date, coalesce(NUM_REG_DIF, 0) AS NUM_REG_DIF FROM (SELECT count(*) AS NUM_REG_DIF FROM (SELECT instrmnt_id as instrmnt_id_as_is, imprmnt_stts as imprmnt_stts_as_is FROM cd_loan_tapes_bce.lt002_instrument WHERE ref_date='2025-06-30' AND nome_perimetro= 'Individual IDComb' AND segmento= 'ESTR' AND ambito= 'PM' AND entidade='00100' AND cod_visao = 1) A  Inner join (SELECT instrmnt_id as instrmnt_id_to_be, imprmnt_stts as imprmnt_stts_to_be FROM bu_loantape_work.lt002_instrument WHERE ref_date='2025-06-30' AND nome_perimetro= 'Individual IDComb' AND segmento= 'ESTR' AND ambito= 'PM' AND entidade='00100' AND cod_visao = 1) B ON instrmnt_id_as_is = instrmnt_id_to_be WHERE coalesce(cast(imprmnt_stts_as_is as string), '') &lt;&gt; coalesce(cast(imprmnt_stts_to_be as string), '') ) A UNION ALL</v>
      </c>
      <c r="P201" s="17">
        <f t="shared" si="40"/>
        <v>12</v>
      </c>
    </row>
    <row r="202" spans="2:16" s="15" customFormat="1" ht="11.5" x14ac:dyDescent="0.25">
      <c r="B202" s="17" t="s">
        <v>24</v>
      </c>
      <c r="C202" s="17" t="str">
        <f>_xlfn.CONCAT(Instruções!$D$5,".",VLOOKUP(B202,Instruções!$F$5:$H$10,2,0))</f>
        <v>cd_loan_tapes_bce.lt002_instrument</v>
      </c>
      <c r="D202" s="17" t="str">
        <f>_xlfn.CONCAT(Instruções!$D$6,".",VLOOKUP(B202,Instruções!$F$5:$H$10,3,0))</f>
        <v>bu_loantape_work.lt002_instrument</v>
      </c>
      <c r="E202" s="17" t="s">
        <v>228</v>
      </c>
      <c r="F202" s="17" t="str">
        <f t="shared" si="43"/>
        <v>imprmnt_stts_prvs_as_is</v>
      </c>
      <c r="G202" s="17" t="str">
        <f t="shared" si="44"/>
        <v>imprmnt_stts_prvs_to_be</v>
      </c>
      <c r="H202" s="17" t="str">
        <f>IF(VLOOKUP(B202,Instruções!$F$6:$J$10,5,0)="",
"(SELECT "&amp;VLOOKUP(B202,Instruções!$F$6:$J$10,4,0)&amp;" as "&amp;VLOOKUP(B202,Instruções!$F$6:$J$10,4,0)&amp;"_as_is, "&amp;E202&amp;" as "&amp;F202&amp;" FROM "&amp;C202&amp;" WHERE "&amp;Instruções!$D$11&amp;") A ",
"(SELECT "&amp;VLOOKUP(B202,Instruções!$F$6:$J$10,4,0)&amp;" as "&amp;VLOOKUP(B202,Instruções!$F$6:$J$10,4,0)&amp;"_as_is, "&amp;VLOOKUP(B202,Instruções!$F$6:$J$10,5,0)&amp;" as "&amp;VLOOKUP(B202,Instruções!$F$6:$J$10,5,0)&amp;"_as_is,"&amp;E202&amp;" as "&amp;F202&amp;" FROM "&amp;C202&amp;" WHERE "&amp;Instruções!$D$11&amp;") A ")</f>
        <v xml:space="preserve">(SELECT instrmnt_id as instrmnt_id_as_is, imprmnt_stts_prvs as imprmnt_stts_prvs_as_is FROM cd_loan_tapes_bce.lt002_instrument WHERE ref_date='2025-06-30' AND nome_perimetro= 'Individual IDComb' AND segmento= 'ESTR' AND ambito= 'PM' AND entidade='00100' AND cod_visao = 1) A </v>
      </c>
      <c r="I202" s="17" t="str">
        <f>IF(VLOOKUP(B202,Instruções!$F$6:$J$10,5,0)="",
"(SELECT "&amp;VLOOKUP(B202,Instruções!$F$6:$J$10,4,0)&amp;" as "&amp;VLOOKUP(B202,Instruções!$F$6:$J$10,4,0)&amp;"_to_be, "&amp;E202&amp;" as "&amp;G202&amp;" FROM "&amp;D202&amp;" WHERE "&amp;Instruções!$D$11&amp;") B ",
"(SELECT "&amp;VLOOKUP(B202,Instruções!$F$6:$J$10,4,0)&amp;" as "&amp;VLOOKUP(B202,Instruções!$F$6:$J$10,4,0)&amp;"_to_be, "&amp;VLOOKUP(B202,Instruções!$F$6:$J$10,5,0)&amp;" as "&amp;VLOOKUP(B202,Instruções!$F$6:$J$10,5,0)&amp;"_to_be,"&amp;E202&amp;" as "&amp;G202&amp;" FROM "&amp;D202&amp;" WHERE "&amp;Instruções!$D$11&amp;") B ")</f>
        <v xml:space="preserve">(SELECT instrmnt_id as instrmnt_id_to_be, imprmnt_stts_prvs as imprmnt_stts_prvs_to_be FROM bu_loantape_work.lt002_instrument WHERE ref_date='2025-06-30' AND nome_perimetro= 'Individual IDComb' AND segmento= 'ESTR' AND ambito= 'PM' AND entidade='00100' AND cod_visao = 1) B </v>
      </c>
      <c r="J202" s="17" t="str">
        <f>IF(VLOOKUP(B202,Instruções!$F$6:$J$10,5,0)="",
"ON "&amp;VLOOKUP(B202,Instruções!$F$6:$J$10,4,0)&amp;"_as_is = "&amp;VLOOKUP(B202,Instruções!$F$6:$J$10,4,0)&amp;"_to_be ",
"ON "&amp;VLOOKUP(B202,Instruções!$F$6:$J$10,4,0)&amp;"_as_is = "&amp;VLOOKUP(B202,Instruções!$F$6:$J$10,4,0)&amp;"_to_be AND "&amp;VLOOKUP(B202,Instruções!$F$6:$J$10,5,0)&amp;"_as_is = "&amp;VLOOKUP(B202,Instruções!$F$6:$J$10,5,0)&amp;"_to_be ")</f>
        <v xml:space="preserve">ON instrmnt_id_as_is = instrmnt_id_to_be </v>
      </c>
      <c r="K202" s="17" t="str">
        <f t="shared" si="45"/>
        <v xml:space="preserve">WHERE coalesce(cast(imprmnt_stts_prvs_as_is as string), '') &lt;&gt; coalesce(cast(imprmnt_stts_prvs_to_be as string), '') </v>
      </c>
      <c r="L202" s="17" t="str">
        <f t="shared" si="46"/>
        <v xml:space="preserve">SELECT count(*) AS NUM_REG_DIF FROM (SELECT instrmnt_id as instrmnt_id_as_is, imprmnt_stts_prvs as imprmnt_stts_prvs_as_is FROM cd_loan_tapes_bce.lt002_instrument WHERE ref_date='2025-06-30' AND nome_perimetro= 'Individual IDComb' AND segmento= 'ESTR' AND ambito= 'PM' AND entidade='00100' AND cod_visao = 1) A  Inner join (SELECT instrmnt_id as instrmnt_id_to_be, imprmnt_stts_prvs as imprmnt_stts_prvs_to_be FROM bu_loantape_work.lt002_instrument WHERE ref_date='2025-06-30' AND nome_perimetro= 'Individual IDComb' AND segmento= 'ESTR' AND ambito= 'PM' AND entidade='00100' AND cod_visao = 1) B ON instrmnt_id_as_is = instrmnt_id_to_be WHERE coalesce(cast(imprmnt_stts_prvs_as_is as string), '') &lt;&gt; coalesce(cast(imprmnt_stts_prvs_to_be as string), '') </v>
      </c>
      <c r="M202" s="17" t="s">
        <v>48</v>
      </c>
      <c r="N202" s="17" t="str">
        <f>"SELECT 'Validação de campos' as tipologia_teste, '"&amp;VLOOKUP(B202,Instruções!$F$6:$J$10,3,0)&amp;"' AS TABELA, '"&amp;E202&amp;"' AS CAMPO, '"&amp;Instruções!$D$7&amp;"' as ref_date, coalesce(NUM_REG_DIF, 0) AS NUM_REG_DIF FROM ("&amp;L202&amp;") A "</f>
        <v xml:space="preserve">SELECT 'Validação de campos' as tipologia_teste, 'lt002_instrument' AS TABELA, 'imprmnt_stts_prvs' AS CAMPO, '2025-06-30' as ref_date, coalesce(NUM_REG_DIF, 0) AS NUM_REG_DIF FROM (SELECT count(*) AS NUM_REG_DIF FROM (SELECT instrmnt_id as instrmnt_id_as_is, imprmnt_stts_prvs as imprmnt_stts_prvs_as_is FROM cd_loan_tapes_bce.lt002_instrument WHERE ref_date='2025-06-30' AND nome_perimetro= 'Individual IDComb' AND segmento= 'ESTR' AND ambito= 'PM' AND entidade='00100' AND cod_visao = 1) A  Inner join (SELECT instrmnt_id as instrmnt_id_to_be, imprmnt_stts_prvs as imprmnt_stts_prvs_to_be FROM bu_loantape_work.lt002_instrument WHERE ref_date='2025-06-30' AND nome_perimetro= 'Individual IDComb' AND segmento= 'ESTR' AND ambito= 'PM' AND entidade='00100' AND cod_visao = 1) B ON instrmnt_id_as_is = instrmnt_id_to_be WHERE coalesce(cast(imprmnt_stts_prvs_as_is as string), '') &lt;&gt; coalesce(cast(imprmnt_stts_prvs_to_be as string), '') ) A </v>
      </c>
      <c r="O202" s="19" t="str">
        <f t="shared" si="42"/>
        <v>SELECT 'Validação de campos' as tipologia_teste, 'lt002_instrument' AS TABELA, 'imprmnt_stts_prvs' AS CAMPO, '2025-06-30' as ref_date, coalesce(NUM_REG_DIF, 0) AS NUM_REG_DIF FROM (SELECT count(*) AS NUM_REG_DIF FROM (SELECT instrmnt_id as instrmnt_id_as_is, imprmnt_stts_prvs as imprmnt_stts_prvs_as_is FROM cd_loan_tapes_bce.lt002_instrument WHERE ref_date='2025-06-30' AND nome_perimetro= 'Individual IDComb' AND segmento= 'ESTR' AND ambito= 'PM' AND entidade='00100' AND cod_visao = 1) A  Inner join (SELECT instrmnt_id as instrmnt_id_to_be, imprmnt_stts_prvs as imprmnt_stts_prvs_to_be FROM bu_loantape_work.lt002_instrument WHERE ref_date='2025-06-30' AND nome_perimetro= 'Individual IDComb' AND segmento= 'ESTR' AND ambito= 'PM' AND entidade='00100' AND cod_visao = 1) B ON instrmnt_id_as_is = instrmnt_id_to_be WHERE coalesce(cast(imprmnt_stts_prvs_as_is as string), '') &lt;&gt; coalesce(cast(imprmnt_stts_prvs_to_be as string), '') ) A UNION ALL</v>
      </c>
      <c r="P202" s="17">
        <f t="shared" si="40"/>
        <v>13</v>
      </c>
    </row>
    <row r="203" spans="2:16" s="15" customFormat="1" ht="11.5" x14ac:dyDescent="0.25">
      <c r="B203" s="17" t="s">
        <v>24</v>
      </c>
      <c r="C203" s="17" t="str">
        <f>_xlfn.CONCAT(Instruções!$D$5,".",VLOOKUP(B203,Instruções!$F$5:$H$10,2,0))</f>
        <v>cd_loan_tapes_bce.lt002_instrument</v>
      </c>
      <c r="D203" s="17" t="str">
        <f>_xlfn.CONCAT(Instruções!$D$6,".",VLOOKUP(B203,Instruções!$F$5:$H$10,3,0))</f>
        <v>bu_loantape_work.lt002_instrument</v>
      </c>
      <c r="E203" s="17" t="s">
        <v>229</v>
      </c>
      <c r="F203" s="17" t="str">
        <f t="shared" si="43"/>
        <v>instlmnt_pay_as_is</v>
      </c>
      <c r="G203" s="17" t="str">
        <f t="shared" si="44"/>
        <v>instlmnt_pay_to_be</v>
      </c>
      <c r="H203" s="17" t="str">
        <f>IF(VLOOKUP(B203,Instruções!$F$6:$J$10,5,0)="",
"(SELECT "&amp;VLOOKUP(B203,Instruções!$F$6:$J$10,4,0)&amp;" as "&amp;VLOOKUP(B203,Instruções!$F$6:$J$10,4,0)&amp;"_as_is, "&amp;E203&amp;" as "&amp;F203&amp;" FROM "&amp;C203&amp;" WHERE "&amp;Instruções!$D$11&amp;") A ",
"(SELECT "&amp;VLOOKUP(B203,Instruções!$F$6:$J$10,4,0)&amp;" as "&amp;VLOOKUP(B203,Instruções!$F$6:$J$10,4,0)&amp;"_as_is, "&amp;VLOOKUP(B203,Instruções!$F$6:$J$10,5,0)&amp;" as "&amp;VLOOKUP(B203,Instruções!$F$6:$J$10,5,0)&amp;"_as_is,"&amp;E203&amp;" as "&amp;F203&amp;" FROM "&amp;C203&amp;" WHERE "&amp;Instruções!$D$11&amp;") A ")</f>
        <v xml:space="preserve">(SELECT instrmnt_id as instrmnt_id_as_is, instlmnt_pay as instlmnt_pay_as_is FROM cd_loan_tapes_bce.lt002_instrument WHERE ref_date='2025-06-30' AND nome_perimetro= 'Individual IDComb' AND segmento= 'ESTR' AND ambito= 'PM' AND entidade='00100' AND cod_visao = 1) A </v>
      </c>
      <c r="I203" s="17" t="str">
        <f>IF(VLOOKUP(B203,Instruções!$F$6:$J$10,5,0)="",
"(SELECT "&amp;VLOOKUP(B203,Instruções!$F$6:$J$10,4,0)&amp;" as "&amp;VLOOKUP(B203,Instruções!$F$6:$J$10,4,0)&amp;"_to_be, "&amp;E203&amp;" as "&amp;G203&amp;" FROM "&amp;D203&amp;" WHERE "&amp;Instruções!$D$11&amp;") B ",
"(SELECT "&amp;VLOOKUP(B203,Instruções!$F$6:$J$10,4,0)&amp;" as "&amp;VLOOKUP(B203,Instruções!$F$6:$J$10,4,0)&amp;"_to_be, "&amp;VLOOKUP(B203,Instruções!$F$6:$J$10,5,0)&amp;" as "&amp;VLOOKUP(B203,Instruções!$F$6:$J$10,5,0)&amp;"_to_be,"&amp;E203&amp;" as "&amp;G203&amp;" FROM "&amp;D203&amp;" WHERE "&amp;Instruções!$D$11&amp;") B ")</f>
        <v xml:space="preserve">(SELECT instrmnt_id as instrmnt_id_to_be, instlmnt_pay as instlmnt_pay_to_be FROM bu_loantape_work.lt002_instrument WHERE ref_date='2025-06-30' AND nome_perimetro= 'Individual IDComb' AND segmento= 'ESTR' AND ambito= 'PM' AND entidade='00100' AND cod_visao = 1) B </v>
      </c>
      <c r="J203" s="17" t="str">
        <f>IF(VLOOKUP(B203,Instruções!$F$6:$J$10,5,0)="",
"ON "&amp;VLOOKUP(B203,Instruções!$F$6:$J$10,4,0)&amp;"_as_is = "&amp;VLOOKUP(B203,Instruções!$F$6:$J$10,4,0)&amp;"_to_be ",
"ON "&amp;VLOOKUP(B203,Instruções!$F$6:$J$10,4,0)&amp;"_as_is = "&amp;VLOOKUP(B203,Instruções!$F$6:$J$10,4,0)&amp;"_to_be AND "&amp;VLOOKUP(B203,Instruções!$F$6:$J$10,5,0)&amp;"_as_is = "&amp;VLOOKUP(B203,Instruções!$F$6:$J$10,5,0)&amp;"_to_be ")</f>
        <v xml:space="preserve">ON instrmnt_id_as_is = instrmnt_id_to_be </v>
      </c>
      <c r="K203" s="17" t="str">
        <f t="shared" si="45"/>
        <v xml:space="preserve">WHERE coalesce(cast(instlmnt_pay_as_is as string), '') &lt;&gt; coalesce(cast(instlmnt_pay_to_be as string), '') </v>
      </c>
      <c r="L203" s="17" t="str">
        <f t="shared" si="46"/>
        <v xml:space="preserve">SELECT count(*) AS NUM_REG_DIF FROM (SELECT instrmnt_id as instrmnt_id_as_is, instlmnt_pay as instlmnt_pay_as_is FROM cd_loan_tapes_bce.lt002_instrument WHERE ref_date='2025-06-30' AND nome_perimetro= 'Individual IDComb' AND segmento= 'ESTR' AND ambito= 'PM' AND entidade='00100' AND cod_visao = 1) A  Inner join (SELECT instrmnt_id as instrmnt_id_to_be, instlmnt_pay as instlmnt_pay_to_be FROM bu_loantape_work.lt002_instrument WHERE ref_date='2025-06-30' AND nome_perimetro= 'Individual IDComb' AND segmento= 'ESTR' AND ambito= 'PM' AND entidade='00100' AND cod_visao = 1) B ON instrmnt_id_as_is = instrmnt_id_to_be WHERE coalesce(cast(instlmnt_pay_as_is as string), '') &lt;&gt; coalesce(cast(instlmnt_pay_to_be as string), '') </v>
      </c>
      <c r="M203" s="17" t="s">
        <v>48</v>
      </c>
      <c r="N203" s="17" t="str">
        <f>"SELECT 'Validação de campos' as tipologia_teste, '"&amp;VLOOKUP(B203,Instruções!$F$6:$J$10,3,0)&amp;"' AS TABELA, '"&amp;E203&amp;"' AS CAMPO, '"&amp;Instruções!$D$7&amp;"' as ref_date, coalesce(NUM_REG_DIF, 0) AS NUM_REG_DIF FROM ("&amp;L203&amp;") A "</f>
        <v xml:space="preserve">SELECT 'Validação de campos' as tipologia_teste, 'lt002_instrument' AS TABELA, 'instlmnt_pay' AS CAMPO, '2025-06-30' as ref_date, coalesce(NUM_REG_DIF, 0) AS NUM_REG_DIF FROM (SELECT count(*) AS NUM_REG_DIF FROM (SELECT instrmnt_id as instrmnt_id_as_is, instlmnt_pay as instlmnt_pay_as_is FROM cd_loan_tapes_bce.lt002_instrument WHERE ref_date='2025-06-30' AND nome_perimetro= 'Individual IDComb' AND segmento= 'ESTR' AND ambito= 'PM' AND entidade='00100' AND cod_visao = 1) A  Inner join (SELECT instrmnt_id as instrmnt_id_to_be, instlmnt_pay as instlmnt_pay_to_be FROM bu_loantape_work.lt002_instrument WHERE ref_date='2025-06-30' AND nome_perimetro= 'Individual IDComb' AND segmento= 'ESTR' AND ambito= 'PM' AND entidade='00100' AND cod_visao = 1) B ON instrmnt_id_as_is = instrmnt_id_to_be WHERE coalesce(cast(instlmnt_pay_as_is as string), '') &lt;&gt; coalesce(cast(instlmnt_pay_to_be as string), '') ) A </v>
      </c>
      <c r="O203" s="19" t="str">
        <f t="shared" si="42"/>
        <v>SELECT 'Validação de campos' as tipologia_teste, 'lt002_instrument' AS TABELA, 'instlmnt_pay' AS CAMPO, '2025-06-30' as ref_date, coalesce(NUM_REG_DIF, 0) AS NUM_REG_DIF FROM (SELECT count(*) AS NUM_REG_DIF FROM (SELECT instrmnt_id as instrmnt_id_as_is, instlmnt_pay as instlmnt_pay_as_is FROM cd_loan_tapes_bce.lt002_instrument WHERE ref_date='2025-06-30' AND nome_perimetro= 'Individual IDComb' AND segmento= 'ESTR' AND ambito= 'PM' AND entidade='00100' AND cod_visao = 1) A  Inner join (SELECT instrmnt_id as instrmnt_id_to_be, instlmnt_pay as instlmnt_pay_to_be FROM bu_loantape_work.lt002_instrument WHERE ref_date='2025-06-30' AND nome_perimetro= 'Individual IDComb' AND segmento= 'ESTR' AND ambito= 'PM' AND entidade='00100' AND cod_visao = 1) B ON instrmnt_id_as_is = instrmnt_id_to_be WHERE coalesce(cast(instlmnt_pay_as_is as string), '') &lt;&gt; coalesce(cast(instlmnt_pay_to_be as string), '') ) A UNION ALL</v>
      </c>
      <c r="P203" s="17">
        <f t="shared" si="40"/>
        <v>14</v>
      </c>
    </row>
    <row r="204" spans="2:16" s="15" customFormat="1" ht="11.5" x14ac:dyDescent="0.25">
      <c r="B204" s="17" t="s">
        <v>24</v>
      </c>
      <c r="C204" s="17" t="str">
        <f>_xlfn.CONCAT(Instruções!$D$5,".",VLOOKUP(B204,Instruções!$F$5:$H$10,2,0))</f>
        <v>cd_loan_tapes_bce.lt002_instrument</v>
      </c>
      <c r="D204" s="17" t="str">
        <f>_xlfn.CONCAT(Instruções!$D$6,".",VLOOKUP(B204,Instruções!$F$5:$H$10,3,0))</f>
        <v>bu_loantape_work.lt002_instrument</v>
      </c>
      <c r="E204" s="17" t="s">
        <v>230</v>
      </c>
      <c r="F204" s="17" t="str">
        <f t="shared" si="43"/>
        <v>instr_snrty_clss_as_is</v>
      </c>
      <c r="G204" s="17" t="str">
        <f t="shared" si="44"/>
        <v>instr_snrty_clss_to_be</v>
      </c>
      <c r="H204" s="17" t="str">
        <f>IF(VLOOKUP(B204,Instruções!$F$6:$J$10,5,0)="",
"(SELECT "&amp;VLOOKUP(B204,Instruções!$F$6:$J$10,4,0)&amp;" as "&amp;VLOOKUP(B204,Instruções!$F$6:$J$10,4,0)&amp;"_as_is, "&amp;E204&amp;" as "&amp;F204&amp;" FROM "&amp;C204&amp;" WHERE "&amp;Instruções!$D$11&amp;") A ",
"(SELECT "&amp;VLOOKUP(B204,Instruções!$F$6:$J$10,4,0)&amp;" as "&amp;VLOOKUP(B204,Instruções!$F$6:$J$10,4,0)&amp;"_as_is, "&amp;VLOOKUP(B204,Instruções!$F$6:$J$10,5,0)&amp;" as "&amp;VLOOKUP(B204,Instruções!$F$6:$J$10,5,0)&amp;"_as_is,"&amp;E204&amp;" as "&amp;F204&amp;" FROM "&amp;C204&amp;" WHERE "&amp;Instruções!$D$11&amp;") A ")</f>
        <v xml:space="preserve">(SELECT instrmnt_id as instrmnt_id_as_is, instr_snrty_clss as instr_snrty_clss_as_is FROM cd_loan_tapes_bce.lt002_instrument WHERE ref_date='2025-06-30' AND nome_perimetro= 'Individual IDComb' AND segmento= 'ESTR' AND ambito= 'PM' AND entidade='00100' AND cod_visao = 1) A </v>
      </c>
      <c r="I204" s="17" t="str">
        <f>IF(VLOOKUP(B204,Instruções!$F$6:$J$10,5,0)="",
"(SELECT "&amp;VLOOKUP(B204,Instruções!$F$6:$J$10,4,0)&amp;" as "&amp;VLOOKUP(B204,Instruções!$F$6:$J$10,4,0)&amp;"_to_be, "&amp;E204&amp;" as "&amp;G204&amp;" FROM "&amp;D204&amp;" WHERE "&amp;Instruções!$D$11&amp;") B ",
"(SELECT "&amp;VLOOKUP(B204,Instruções!$F$6:$J$10,4,0)&amp;" as "&amp;VLOOKUP(B204,Instruções!$F$6:$J$10,4,0)&amp;"_to_be, "&amp;VLOOKUP(B204,Instruções!$F$6:$J$10,5,0)&amp;" as "&amp;VLOOKUP(B204,Instruções!$F$6:$J$10,5,0)&amp;"_to_be,"&amp;E204&amp;" as "&amp;G204&amp;" FROM "&amp;D204&amp;" WHERE "&amp;Instruções!$D$11&amp;") B ")</f>
        <v xml:space="preserve">(SELECT instrmnt_id as instrmnt_id_to_be, instr_snrty_clss as instr_snrty_clss_to_be FROM bu_loantape_work.lt002_instrument WHERE ref_date='2025-06-30' AND nome_perimetro= 'Individual IDComb' AND segmento= 'ESTR' AND ambito= 'PM' AND entidade='00100' AND cod_visao = 1) B </v>
      </c>
      <c r="J204" s="17" t="str">
        <f>IF(VLOOKUP(B204,Instruções!$F$6:$J$10,5,0)="",
"ON "&amp;VLOOKUP(B204,Instruções!$F$6:$J$10,4,0)&amp;"_as_is = "&amp;VLOOKUP(B204,Instruções!$F$6:$J$10,4,0)&amp;"_to_be ",
"ON "&amp;VLOOKUP(B204,Instruções!$F$6:$J$10,4,0)&amp;"_as_is = "&amp;VLOOKUP(B204,Instruções!$F$6:$J$10,4,0)&amp;"_to_be AND "&amp;VLOOKUP(B204,Instruções!$F$6:$J$10,5,0)&amp;"_as_is = "&amp;VLOOKUP(B204,Instruções!$F$6:$J$10,5,0)&amp;"_to_be ")</f>
        <v xml:space="preserve">ON instrmnt_id_as_is = instrmnt_id_to_be </v>
      </c>
      <c r="K204" s="17" t="str">
        <f t="shared" si="45"/>
        <v xml:space="preserve">WHERE coalesce(cast(instr_snrty_clss_as_is as string), '') &lt;&gt; coalesce(cast(instr_snrty_clss_to_be as string), '') </v>
      </c>
      <c r="L204" s="17" t="str">
        <f t="shared" si="46"/>
        <v xml:space="preserve">SELECT count(*) AS NUM_REG_DIF FROM (SELECT instrmnt_id as instrmnt_id_as_is, instr_snrty_clss as instr_snrty_clss_as_is FROM cd_loan_tapes_bce.lt002_instrument WHERE ref_date='2025-06-30' AND nome_perimetro= 'Individual IDComb' AND segmento= 'ESTR' AND ambito= 'PM' AND entidade='00100' AND cod_visao = 1) A  Inner join (SELECT instrmnt_id as instrmnt_id_to_be, instr_snrty_clss as instr_snrty_clss_to_be FROM bu_loantape_work.lt002_instrument WHERE ref_date='2025-06-30' AND nome_perimetro= 'Individual IDComb' AND segmento= 'ESTR' AND ambito= 'PM' AND entidade='00100' AND cod_visao = 1) B ON instrmnt_id_as_is = instrmnt_id_to_be WHERE coalesce(cast(instr_snrty_clss_as_is as string), '') &lt;&gt; coalesce(cast(instr_snrty_clss_to_be as string), '') </v>
      </c>
      <c r="M204" s="17" t="s">
        <v>48</v>
      </c>
      <c r="N204" s="17" t="str">
        <f>"SELECT 'Validação de campos' as tipologia_teste, '"&amp;VLOOKUP(B204,Instruções!$F$6:$J$10,3,0)&amp;"' AS TABELA, '"&amp;E204&amp;"' AS CAMPO, '"&amp;Instruções!$D$7&amp;"' as ref_date, coalesce(NUM_REG_DIF, 0) AS NUM_REG_DIF FROM ("&amp;L204&amp;") A "</f>
        <v xml:space="preserve">SELECT 'Validação de campos' as tipologia_teste, 'lt002_instrument' AS TABELA, 'instr_snrty_clss' AS CAMPO, '2025-06-30' as ref_date, coalesce(NUM_REG_DIF, 0) AS NUM_REG_DIF FROM (SELECT count(*) AS NUM_REG_DIF FROM (SELECT instrmnt_id as instrmnt_id_as_is, instr_snrty_clss as instr_snrty_clss_as_is FROM cd_loan_tapes_bce.lt002_instrument WHERE ref_date='2025-06-30' AND nome_perimetro= 'Individual IDComb' AND segmento= 'ESTR' AND ambito= 'PM' AND entidade='00100' AND cod_visao = 1) A  Inner join (SELECT instrmnt_id as instrmnt_id_to_be, instr_snrty_clss as instr_snrty_clss_to_be FROM bu_loantape_work.lt002_instrument WHERE ref_date='2025-06-30' AND nome_perimetro= 'Individual IDComb' AND segmento= 'ESTR' AND ambito= 'PM' AND entidade='00100' AND cod_visao = 1) B ON instrmnt_id_as_is = instrmnt_id_to_be WHERE coalesce(cast(instr_snrty_clss_as_is as string), '') &lt;&gt; coalesce(cast(instr_snrty_clss_to_be as string), '') ) A </v>
      </c>
      <c r="O204" s="19" t="str">
        <f t="shared" si="42"/>
        <v>SELECT 'Validação de campos' as tipologia_teste, 'lt002_instrument' AS TABELA, 'instr_snrty_clss' AS CAMPO, '2025-06-30' as ref_date, coalesce(NUM_REG_DIF, 0) AS NUM_REG_DIF FROM (SELECT count(*) AS NUM_REG_DIF FROM (SELECT instrmnt_id as instrmnt_id_as_is, instr_snrty_clss as instr_snrty_clss_as_is FROM cd_loan_tapes_bce.lt002_instrument WHERE ref_date='2025-06-30' AND nome_perimetro= 'Individual IDComb' AND segmento= 'ESTR' AND ambito= 'PM' AND entidade='00100' AND cod_visao = 1) A  Inner join (SELECT instrmnt_id as instrmnt_id_to_be, instr_snrty_clss as instr_snrty_clss_to_be FROM bu_loantape_work.lt002_instrument WHERE ref_date='2025-06-30' AND nome_perimetro= 'Individual IDComb' AND segmento= 'ESTR' AND ambito= 'PM' AND entidade='00100' AND cod_visao = 1) B ON instrmnt_id_as_is = instrmnt_id_to_be WHERE coalesce(cast(instr_snrty_clss_as_is as string), '') &lt;&gt; coalesce(cast(instr_snrty_clss_to_be as string), '') ) A UNION ALL</v>
      </c>
      <c r="P204" s="17">
        <f t="shared" si="40"/>
        <v>15</v>
      </c>
    </row>
    <row r="205" spans="2:16" s="15" customFormat="1" ht="11.5" x14ac:dyDescent="0.25">
      <c r="B205" s="17" t="s">
        <v>24</v>
      </c>
      <c r="C205" s="17" t="str">
        <f>_xlfn.CONCAT(Instruções!$D$5,".",VLOOKUP(B205,Instruções!$F$5:$H$10,2,0))</f>
        <v>cd_loan_tapes_bce.lt002_instrument</v>
      </c>
      <c r="D205" s="17" t="str">
        <f>_xlfn.CONCAT(Instruções!$D$6,".",VLOOKUP(B205,Instruções!$F$5:$H$10,3,0))</f>
        <v>bu_loantape_work.lt002_instrument</v>
      </c>
      <c r="E205" s="17" t="s">
        <v>231</v>
      </c>
      <c r="F205" s="17" t="str">
        <f t="shared" si="43"/>
        <v>instrmnt_clss_as_is</v>
      </c>
      <c r="G205" s="17" t="str">
        <f t="shared" si="44"/>
        <v>instrmnt_clss_to_be</v>
      </c>
      <c r="H205" s="17" t="str">
        <f>IF(VLOOKUP(B205,Instruções!$F$6:$J$10,5,0)="",
"(SELECT "&amp;VLOOKUP(B205,Instruções!$F$6:$J$10,4,0)&amp;" as "&amp;VLOOKUP(B205,Instruções!$F$6:$J$10,4,0)&amp;"_as_is, "&amp;E205&amp;" as "&amp;F205&amp;" FROM "&amp;C205&amp;" WHERE "&amp;Instruções!$D$11&amp;") A ",
"(SELECT "&amp;VLOOKUP(B205,Instruções!$F$6:$J$10,4,0)&amp;" as "&amp;VLOOKUP(B205,Instruções!$F$6:$J$10,4,0)&amp;"_as_is, "&amp;VLOOKUP(B205,Instruções!$F$6:$J$10,5,0)&amp;" as "&amp;VLOOKUP(B205,Instruções!$F$6:$J$10,5,0)&amp;"_as_is,"&amp;E205&amp;" as "&amp;F205&amp;" FROM "&amp;C205&amp;" WHERE "&amp;Instruções!$D$11&amp;") A ")</f>
        <v xml:space="preserve">(SELECT instrmnt_id as instrmnt_id_as_is, instrmnt_clss as instrmnt_clss_as_is FROM cd_loan_tapes_bce.lt002_instrument WHERE ref_date='2025-06-30' AND nome_perimetro= 'Individual IDComb' AND segmento= 'ESTR' AND ambito= 'PM' AND entidade='00100' AND cod_visao = 1) A </v>
      </c>
      <c r="I205" s="17" t="str">
        <f>IF(VLOOKUP(B205,Instruções!$F$6:$J$10,5,0)="",
"(SELECT "&amp;VLOOKUP(B205,Instruções!$F$6:$J$10,4,0)&amp;" as "&amp;VLOOKUP(B205,Instruções!$F$6:$J$10,4,0)&amp;"_to_be, "&amp;E205&amp;" as "&amp;G205&amp;" FROM "&amp;D205&amp;" WHERE "&amp;Instruções!$D$11&amp;") B ",
"(SELECT "&amp;VLOOKUP(B205,Instruções!$F$6:$J$10,4,0)&amp;" as "&amp;VLOOKUP(B205,Instruções!$F$6:$J$10,4,0)&amp;"_to_be, "&amp;VLOOKUP(B205,Instruções!$F$6:$J$10,5,0)&amp;" as "&amp;VLOOKUP(B205,Instruções!$F$6:$J$10,5,0)&amp;"_to_be,"&amp;E205&amp;" as "&amp;G205&amp;" FROM "&amp;D205&amp;" WHERE "&amp;Instruções!$D$11&amp;") B ")</f>
        <v xml:space="preserve">(SELECT instrmnt_id as instrmnt_id_to_be, instrmnt_clss as instrmnt_clss_to_be FROM bu_loantape_work.lt002_instrument WHERE ref_date='2025-06-30' AND nome_perimetro= 'Individual IDComb' AND segmento= 'ESTR' AND ambito= 'PM' AND entidade='00100' AND cod_visao = 1) B </v>
      </c>
      <c r="J205" s="17" t="str">
        <f>IF(VLOOKUP(B205,Instruções!$F$6:$J$10,5,0)="",
"ON "&amp;VLOOKUP(B205,Instruções!$F$6:$J$10,4,0)&amp;"_as_is = "&amp;VLOOKUP(B205,Instruções!$F$6:$J$10,4,0)&amp;"_to_be ",
"ON "&amp;VLOOKUP(B205,Instruções!$F$6:$J$10,4,0)&amp;"_as_is = "&amp;VLOOKUP(B205,Instruções!$F$6:$J$10,4,0)&amp;"_to_be AND "&amp;VLOOKUP(B205,Instruções!$F$6:$J$10,5,0)&amp;"_as_is = "&amp;VLOOKUP(B205,Instruções!$F$6:$J$10,5,0)&amp;"_to_be ")</f>
        <v xml:space="preserve">ON instrmnt_id_as_is = instrmnt_id_to_be </v>
      </c>
      <c r="K205" s="17" t="str">
        <f t="shared" si="45"/>
        <v xml:space="preserve">WHERE coalesce(cast(instrmnt_clss_as_is as string), '') &lt;&gt; coalesce(cast(instrmnt_clss_to_be as string), '') </v>
      </c>
      <c r="L205" s="17" t="str">
        <f t="shared" si="46"/>
        <v xml:space="preserve">SELECT count(*) AS NUM_REG_DIF FROM (SELECT instrmnt_id as instrmnt_id_as_is, instrmnt_clss as instrmnt_clss_as_is FROM cd_loan_tapes_bce.lt002_instrument WHERE ref_date='2025-06-30' AND nome_perimetro= 'Individual IDComb' AND segmento= 'ESTR' AND ambito= 'PM' AND entidade='00100' AND cod_visao = 1) A  Inner join (SELECT instrmnt_id as instrmnt_id_to_be, instrmnt_clss as instrmnt_clss_to_be FROM bu_loantape_work.lt002_instrument WHERE ref_date='2025-06-30' AND nome_perimetro= 'Individual IDComb' AND segmento= 'ESTR' AND ambito= 'PM' AND entidade='00100' AND cod_visao = 1) B ON instrmnt_id_as_is = instrmnt_id_to_be WHERE coalesce(cast(instrmnt_clss_as_is as string), '') &lt;&gt; coalesce(cast(instrmnt_clss_to_be as string), '') </v>
      </c>
      <c r="M205" s="17" t="s">
        <v>48</v>
      </c>
      <c r="N205" s="17" t="str">
        <f>"SELECT 'Validação de campos' as tipologia_teste, '"&amp;VLOOKUP(B205,Instruções!$F$6:$J$10,3,0)&amp;"' AS TABELA, '"&amp;E205&amp;"' AS CAMPO, '"&amp;Instruções!$D$7&amp;"' as ref_date, coalesce(NUM_REG_DIF, 0) AS NUM_REG_DIF FROM ("&amp;L205&amp;") A "</f>
        <v xml:space="preserve">SELECT 'Validação de campos' as tipologia_teste, 'lt002_instrument' AS TABELA, 'instrmnt_clss' AS CAMPO, '2025-06-30' as ref_date, coalesce(NUM_REG_DIF, 0) AS NUM_REG_DIF FROM (SELECT count(*) AS NUM_REG_DIF FROM (SELECT instrmnt_id as instrmnt_id_as_is, instrmnt_clss as instrmnt_clss_as_is FROM cd_loan_tapes_bce.lt002_instrument WHERE ref_date='2025-06-30' AND nome_perimetro= 'Individual IDComb' AND segmento= 'ESTR' AND ambito= 'PM' AND entidade='00100' AND cod_visao = 1) A  Inner join (SELECT instrmnt_id as instrmnt_id_to_be, instrmnt_clss as instrmnt_clss_to_be FROM bu_loantape_work.lt002_instrument WHERE ref_date='2025-06-30' AND nome_perimetro= 'Individual IDComb' AND segmento= 'ESTR' AND ambito= 'PM' AND entidade='00100' AND cod_visao = 1) B ON instrmnt_id_as_is = instrmnt_id_to_be WHERE coalesce(cast(instrmnt_clss_as_is as string), '') &lt;&gt; coalesce(cast(instrmnt_clss_to_be as string), '') ) A </v>
      </c>
      <c r="O205" s="19" t="str">
        <f t="shared" si="42"/>
        <v>SELECT 'Validação de campos' as tipologia_teste, 'lt002_instrument' AS TABELA, 'instrmnt_clss' AS CAMPO, '2025-06-30' as ref_date, coalesce(NUM_REG_DIF, 0) AS NUM_REG_DIF FROM (SELECT count(*) AS NUM_REG_DIF FROM (SELECT instrmnt_id as instrmnt_id_as_is, instrmnt_clss as instrmnt_clss_as_is FROM cd_loan_tapes_bce.lt002_instrument WHERE ref_date='2025-06-30' AND nome_perimetro= 'Individual IDComb' AND segmento= 'ESTR' AND ambito= 'PM' AND entidade='00100' AND cod_visao = 1) A  Inner join (SELECT instrmnt_id as instrmnt_id_to_be, instrmnt_clss as instrmnt_clss_to_be FROM bu_loantape_work.lt002_instrument WHERE ref_date='2025-06-30' AND nome_perimetro= 'Individual IDComb' AND segmento= 'ESTR' AND ambito= 'PM' AND entidade='00100' AND cod_visao = 1) B ON instrmnt_id_as_is = instrmnt_id_to_be WHERE coalesce(cast(instrmnt_clss_as_is as string), '') &lt;&gt; coalesce(cast(instrmnt_clss_to_be as string), '') ) A UNION ALL</v>
      </c>
      <c r="P205" s="17">
        <f t="shared" si="40"/>
        <v>16</v>
      </c>
    </row>
    <row r="206" spans="2:16" s="15" customFormat="1" ht="11.5" x14ac:dyDescent="0.25">
      <c r="B206" s="17" t="s">
        <v>24</v>
      </c>
      <c r="C206" s="17" t="str">
        <f>_xlfn.CONCAT(Instruções!$D$5,".",VLOOKUP(B206,Instruções!$F$5:$H$10,2,0))</f>
        <v>cd_loan_tapes_bce.lt002_instrument</v>
      </c>
      <c r="D206" s="17" t="str">
        <f>_xlfn.CONCAT(Instruções!$D$6,".",VLOOKUP(B206,Instruções!$F$5:$H$10,3,0))</f>
        <v>bu_loantape_work.lt002_instrument</v>
      </c>
      <c r="E206" s="17" t="s">
        <v>110</v>
      </c>
      <c r="F206" s="17" t="str">
        <f t="shared" si="43"/>
        <v>intrnl_rtng_as_is</v>
      </c>
      <c r="G206" s="17" t="str">
        <f t="shared" si="44"/>
        <v>intrnl_rtng_to_be</v>
      </c>
      <c r="H206" s="17" t="str">
        <f>IF(VLOOKUP(B206,Instruções!$F$6:$J$10,5,0)="",
"(SELECT "&amp;VLOOKUP(B206,Instruções!$F$6:$J$10,4,0)&amp;" as "&amp;VLOOKUP(B206,Instruções!$F$6:$J$10,4,0)&amp;"_as_is, "&amp;E206&amp;" as "&amp;F206&amp;" FROM "&amp;C206&amp;" WHERE "&amp;Instruções!$D$11&amp;") A ",
"(SELECT "&amp;VLOOKUP(B206,Instruções!$F$6:$J$10,4,0)&amp;" as "&amp;VLOOKUP(B206,Instruções!$F$6:$J$10,4,0)&amp;"_as_is, "&amp;VLOOKUP(B206,Instruções!$F$6:$J$10,5,0)&amp;" as "&amp;VLOOKUP(B206,Instruções!$F$6:$J$10,5,0)&amp;"_as_is,"&amp;E206&amp;" as "&amp;F206&amp;" FROM "&amp;C206&amp;" WHERE "&amp;Instruções!$D$11&amp;") A ")</f>
        <v xml:space="preserve">(SELECT instrmnt_id as instrmnt_id_as_is, intrnl_rtng as intrnl_rtng_as_is FROM cd_loan_tapes_bce.lt002_instrument WHERE ref_date='2025-06-30' AND nome_perimetro= 'Individual IDComb' AND segmento= 'ESTR' AND ambito= 'PM' AND entidade='00100' AND cod_visao = 1) A </v>
      </c>
      <c r="I206" s="17" t="str">
        <f>IF(VLOOKUP(B206,Instruções!$F$6:$J$10,5,0)="",
"(SELECT "&amp;VLOOKUP(B206,Instruções!$F$6:$J$10,4,0)&amp;" as "&amp;VLOOKUP(B206,Instruções!$F$6:$J$10,4,0)&amp;"_to_be, "&amp;E206&amp;" as "&amp;G206&amp;" FROM "&amp;D206&amp;" WHERE "&amp;Instruções!$D$11&amp;") B ",
"(SELECT "&amp;VLOOKUP(B206,Instruções!$F$6:$J$10,4,0)&amp;" as "&amp;VLOOKUP(B206,Instruções!$F$6:$J$10,4,0)&amp;"_to_be, "&amp;VLOOKUP(B206,Instruções!$F$6:$J$10,5,0)&amp;" as "&amp;VLOOKUP(B206,Instruções!$F$6:$J$10,5,0)&amp;"_to_be,"&amp;E206&amp;" as "&amp;G206&amp;" FROM "&amp;D206&amp;" WHERE "&amp;Instruções!$D$11&amp;") B ")</f>
        <v xml:space="preserve">(SELECT instrmnt_id as instrmnt_id_to_be, intrnl_rtng as intrnl_rtng_to_be FROM bu_loantape_work.lt002_instrument WHERE ref_date='2025-06-30' AND nome_perimetro= 'Individual IDComb' AND segmento= 'ESTR' AND ambito= 'PM' AND entidade='00100' AND cod_visao = 1) B </v>
      </c>
      <c r="J206" s="17" t="str">
        <f>IF(VLOOKUP(B206,Instruções!$F$6:$J$10,5,0)="",
"ON "&amp;VLOOKUP(B206,Instruções!$F$6:$J$10,4,0)&amp;"_as_is = "&amp;VLOOKUP(B206,Instruções!$F$6:$J$10,4,0)&amp;"_to_be ",
"ON "&amp;VLOOKUP(B206,Instruções!$F$6:$J$10,4,0)&amp;"_as_is = "&amp;VLOOKUP(B206,Instruções!$F$6:$J$10,4,0)&amp;"_to_be AND "&amp;VLOOKUP(B206,Instruções!$F$6:$J$10,5,0)&amp;"_as_is = "&amp;VLOOKUP(B206,Instruções!$F$6:$J$10,5,0)&amp;"_to_be ")</f>
        <v xml:space="preserve">ON instrmnt_id_as_is = instrmnt_id_to_be </v>
      </c>
      <c r="K206" s="17" t="str">
        <f t="shared" si="45"/>
        <v xml:space="preserve">WHERE coalesce(cast(intrnl_rtng_as_is as string), '') &lt;&gt; coalesce(cast(intrnl_rtng_to_be as string), '') </v>
      </c>
      <c r="L206" s="17" t="str">
        <f t="shared" si="46"/>
        <v xml:space="preserve">SELECT count(*) AS NUM_REG_DIF FROM (SELECT instrmnt_id as instrmnt_id_as_is, intrnl_rtng as intrnl_rtng_as_is FROM cd_loan_tapes_bce.lt002_instrument WHERE ref_date='2025-06-30' AND nome_perimetro= 'Individual IDComb' AND segmento= 'ESTR' AND ambito= 'PM' AND entidade='00100' AND cod_visao = 1) A  Inner join (SELECT instrmnt_id as instrmnt_id_to_be, intrnl_rtng as intrnl_rtng_to_be FROM bu_loantape_work.lt002_instrument WHERE ref_date='2025-06-30' AND nome_perimetro= 'Individual IDComb' AND segmento= 'ESTR' AND ambito= 'PM' AND entidade='00100' AND cod_visao = 1) B ON instrmnt_id_as_is = instrmnt_id_to_be WHERE coalesce(cast(intrnl_rtng_as_is as string), '') &lt;&gt; coalesce(cast(intrnl_rtng_to_be as string), '') </v>
      </c>
      <c r="M206" s="17" t="s">
        <v>48</v>
      </c>
      <c r="N206" s="17" t="str">
        <f>"SELECT 'Validação de campos' as tipologia_teste, '"&amp;VLOOKUP(B206,Instruções!$F$6:$J$10,3,0)&amp;"' AS TABELA, '"&amp;E206&amp;"' AS CAMPO, '"&amp;Instruções!$D$7&amp;"' as ref_date, coalesce(NUM_REG_DIF, 0) AS NUM_REG_DIF FROM ("&amp;L206&amp;") A "</f>
        <v xml:space="preserve">SELECT 'Validação de campos' as tipologia_teste, 'lt002_instrument' AS TABELA, 'intrnl_rtng' AS CAMPO, '2025-06-30' as ref_date, coalesce(NUM_REG_DIF, 0) AS NUM_REG_DIF FROM (SELECT count(*) AS NUM_REG_DIF FROM (SELECT instrmnt_id as instrmnt_id_as_is, intrnl_rtng as intrnl_rtng_as_is FROM cd_loan_tapes_bce.lt002_instrument WHERE ref_date='2025-06-30' AND nome_perimetro= 'Individual IDComb' AND segmento= 'ESTR' AND ambito= 'PM' AND entidade='00100' AND cod_visao = 1) A  Inner join (SELECT instrmnt_id as instrmnt_id_to_be, intrnl_rtng as intrnl_rtng_to_be FROM bu_loantape_work.lt002_instrument WHERE ref_date='2025-06-30' AND nome_perimetro= 'Individual IDComb' AND segmento= 'ESTR' AND ambito= 'PM' AND entidade='00100' AND cod_visao = 1) B ON instrmnt_id_as_is = instrmnt_id_to_be WHERE coalesce(cast(intrnl_rtng_as_is as string), '') &lt;&gt; coalesce(cast(intrnl_rtng_to_be as string), '') ) A </v>
      </c>
      <c r="O206" s="19" t="str">
        <f t="shared" si="42"/>
        <v>SELECT 'Validação de campos' as tipologia_teste, 'lt002_instrument' AS TABELA, 'intrnl_rtng' AS CAMPO, '2025-06-30' as ref_date, coalesce(NUM_REG_DIF, 0) AS NUM_REG_DIF FROM (SELECT count(*) AS NUM_REG_DIF FROM (SELECT instrmnt_id as instrmnt_id_as_is, intrnl_rtng as intrnl_rtng_as_is FROM cd_loan_tapes_bce.lt002_instrument WHERE ref_date='2025-06-30' AND nome_perimetro= 'Individual IDComb' AND segmento= 'ESTR' AND ambito= 'PM' AND entidade='00100' AND cod_visao = 1) A  Inner join (SELECT instrmnt_id as instrmnt_id_to_be, intrnl_rtng as intrnl_rtng_to_be FROM bu_loantape_work.lt002_instrument WHERE ref_date='2025-06-30' AND nome_perimetro= 'Individual IDComb' AND segmento= 'ESTR' AND ambito= 'PM' AND entidade='00100' AND cod_visao = 1) B ON instrmnt_id_as_is = instrmnt_id_to_be WHERE coalesce(cast(intrnl_rtng_as_is as string), '') &lt;&gt; coalesce(cast(intrnl_rtng_to_be as string), '') ) A UNION ALL</v>
      </c>
      <c r="P206" s="17">
        <f t="shared" si="40"/>
        <v>17</v>
      </c>
    </row>
    <row r="207" spans="2:16" s="15" customFormat="1" ht="11.5" x14ac:dyDescent="0.25">
      <c r="B207" s="17" t="s">
        <v>24</v>
      </c>
      <c r="C207" s="17" t="str">
        <f>_xlfn.CONCAT(Instruções!$D$5,".",VLOOKUP(B207,Instruções!$F$5:$H$10,2,0))</f>
        <v>cd_loan_tapes_bce.lt002_instrument</v>
      </c>
      <c r="D207" s="17" t="str">
        <f>_xlfn.CONCAT(Instruções!$D$6,".",VLOOKUP(B207,Instruções!$F$5:$H$10,3,0))</f>
        <v>bu_loantape_work.lt002_instrument</v>
      </c>
      <c r="E207" s="17" t="s">
        <v>232</v>
      </c>
      <c r="F207" s="17" t="str">
        <f t="shared" si="43"/>
        <v>intrnl_rtng_incptn_as_is</v>
      </c>
      <c r="G207" s="17" t="str">
        <f t="shared" si="44"/>
        <v>intrnl_rtng_incptn_to_be</v>
      </c>
      <c r="H207" s="17" t="str">
        <f>IF(VLOOKUP(B207,Instruções!$F$6:$J$10,5,0)="",
"(SELECT "&amp;VLOOKUP(B207,Instruções!$F$6:$J$10,4,0)&amp;" as "&amp;VLOOKUP(B207,Instruções!$F$6:$J$10,4,0)&amp;"_as_is, "&amp;E207&amp;" as "&amp;F207&amp;" FROM "&amp;C207&amp;" WHERE "&amp;Instruções!$D$11&amp;") A ",
"(SELECT "&amp;VLOOKUP(B207,Instruções!$F$6:$J$10,4,0)&amp;" as "&amp;VLOOKUP(B207,Instruções!$F$6:$J$10,4,0)&amp;"_as_is, "&amp;VLOOKUP(B207,Instruções!$F$6:$J$10,5,0)&amp;" as "&amp;VLOOKUP(B207,Instruções!$F$6:$J$10,5,0)&amp;"_as_is,"&amp;E207&amp;" as "&amp;F207&amp;" FROM "&amp;C207&amp;" WHERE "&amp;Instruções!$D$11&amp;") A ")</f>
        <v xml:space="preserve">(SELECT instrmnt_id as instrmnt_id_as_is, intrnl_rtng_incptn as intrnl_rtng_incptn_as_is FROM cd_loan_tapes_bce.lt002_instrument WHERE ref_date='2025-06-30' AND nome_perimetro= 'Individual IDComb' AND segmento= 'ESTR' AND ambito= 'PM' AND entidade='00100' AND cod_visao = 1) A </v>
      </c>
      <c r="I207" s="17" t="str">
        <f>IF(VLOOKUP(B207,Instruções!$F$6:$J$10,5,0)="",
"(SELECT "&amp;VLOOKUP(B207,Instruções!$F$6:$J$10,4,0)&amp;" as "&amp;VLOOKUP(B207,Instruções!$F$6:$J$10,4,0)&amp;"_to_be, "&amp;E207&amp;" as "&amp;G207&amp;" FROM "&amp;D207&amp;" WHERE "&amp;Instruções!$D$11&amp;") B ",
"(SELECT "&amp;VLOOKUP(B207,Instruções!$F$6:$J$10,4,0)&amp;" as "&amp;VLOOKUP(B207,Instruções!$F$6:$J$10,4,0)&amp;"_to_be, "&amp;VLOOKUP(B207,Instruções!$F$6:$J$10,5,0)&amp;" as "&amp;VLOOKUP(B207,Instruções!$F$6:$J$10,5,0)&amp;"_to_be,"&amp;E207&amp;" as "&amp;G207&amp;" FROM "&amp;D207&amp;" WHERE "&amp;Instruções!$D$11&amp;") B ")</f>
        <v xml:space="preserve">(SELECT instrmnt_id as instrmnt_id_to_be, intrnl_rtng_incptn as intrnl_rtng_incptn_to_be FROM bu_loantape_work.lt002_instrument WHERE ref_date='2025-06-30' AND nome_perimetro= 'Individual IDComb' AND segmento= 'ESTR' AND ambito= 'PM' AND entidade='00100' AND cod_visao = 1) B </v>
      </c>
      <c r="J207" s="17" t="str">
        <f>IF(VLOOKUP(B207,Instruções!$F$6:$J$10,5,0)="",
"ON "&amp;VLOOKUP(B207,Instruções!$F$6:$J$10,4,0)&amp;"_as_is = "&amp;VLOOKUP(B207,Instruções!$F$6:$J$10,4,0)&amp;"_to_be ",
"ON "&amp;VLOOKUP(B207,Instruções!$F$6:$J$10,4,0)&amp;"_as_is = "&amp;VLOOKUP(B207,Instruções!$F$6:$J$10,4,0)&amp;"_to_be AND "&amp;VLOOKUP(B207,Instruções!$F$6:$J$10,5,0)&amp;"_as_is = "&amp;VLOOKUP(B207,Instruções!$F$6:$J$10,5,0)&amp;"_to_be ")</f>
        <v xml:space="preserve">ON instrmnt_id_as_is = instrmnt_id_to_be </v>
      </c>
      <c r="K207" s="17" t="str">
        <f t="shared" si="45"/>
        <v xml:space="preserve">WHERE coalesce(cast(intrnl_rtng_incptn_as_is as string), '') &lt;&gt; coalesce(cast(intrnl_rtng_incptn_to_be as string), '') </v>
      </c>
      <c r="L207" s="17" t="str">
        <f t="shared" si="46"/>
        <v xml:space="preserve">SELECT count(*) AS NUM_REG_DIF FROM (SELECT instrmnt_id as instrmnt_id_as_is, intrnl_rtng_incptn as intrnl_rtng_incptn_as_is FROM cd_loan_tapes_bce.lt002_instrument WHERE ref_date='2025-06-30' AND nome_perimetro= 'Individual IDComb' AND segmento= 'ESTR' AND ambito= 'PM' AND entidade='00100' AND cod_visao = 1) A  Inner join (SELECT instrmnt_id as instrmnt_id_to_be, intrnl_rtng_incptn as intrnl_rtng_incptn_to_be FROM bu_loantape_work.lt002_instrument WHERE ref_date='2025-06-30' AND nome_perimetro= 'Individual IDComb' AND segmento= 'ESTR' AND ambito= 'PM' AND entidade='00100' AND cod_visao = 1) B ON instrmnt_id_as_is = instrmnt_id_to_be WHERE coalesce(cast(intrnl_rtng_incptn_as_is as string), '') &lt;&gt; coalesce(cast(intrnl_rtng_incptn_to_be as string), '') </v>
      </c>
      <c r="M207" s="17" t="s">
        <v>48</v>
      </c>
      <c r="N207" s="17" t="str">
        <f>"SELECT 'Validação de campos' as tipologia_teste, '"&amp;VLOOKUP(B207,Instruções!$F$6:$J$10,3,0)&amp;"' AS TABELA, '"&amp;E207&amp;"' AS CAMPO, '"&amp;Instruções!$D$7&amp;"' as ref_date, coalesce(NUM_REG_DIF, 0) AS NUM_REG_DIF FROM ("&amp;L207&amp;") A "</f>
        <v xml:space="preserve">SELECT 'Validação de campos' as tipologia_teste, 'lt002_instrument' AS TABELA, 'intrnl_rtng_incptn' AS CAMPO, '2025-06-30' as ref_date, coalesce(NUM_REG_DIF, 0) AS NUM_REG_DIF FROM (SELECT count(*) AS NUM_REG_DIF FROM (SELECT instrmnt_id as instrmnt_id_as_is, intrnl_rtng_incptn as intrnl_rtng_incptn_as_is FROM cd_loan_tapes_bce.lt002_instrument WHERE ref_date='2025-06-30' AND nome_perimetro= 'Individual IDComb' AND segmento= 'ESTR' AND ambito= 'PM' AND entidade='00100' AND cod_visao = 1) A  Inner join (SELECT instrmnt_id as instrmnt_id_to_be, intrnl_rtng_incptn as intrnl_rtng_incptn_to_be FROM bu_loantape_work.lt002_instrument WHERE ref_date='2025-06-30' AND nome_perimetro= 'Individual IDComb' AND segmento= 'ESTR' AND ambito= 'PM' AND entidade='00100' AND cod_visao = 1) B ON instrmnt_id_as_is = instrmnt_id_to_be WHERE coalesce(cast(intrnl_rtng_incptn_as_is as string), '') &lt;&gt; coalesce(cast(intrnl_rtng_incptn_to_be as string), '') ) A </v>
      </c>
      <c r="O207" s="19" t="str">
        <f t="shared" si="42"/>
        <v>SELECT 'Validação de campos' as tipologia_teste, 'lt002_instrument' AS TABELA, 'intrnl_rtng_incptn' AS CAMPO, '2025-06-30' as ref_date, coalesce(NUM_REG_DIF, 0) AS NUM_REG_DIF FROM (SELECT count(*) AS NUM_REG_DIF FROM (SELECT instrmnt_id as instrmnt_id_as_is, intrnl_rtng_incptn as intrnl_rtng_incptn_as_is FROM cd_loan_tapes_bce.lt002_instrument WHERE ref_date='2025-06-30' AND nome_perimetro= 'Individual IDComb' AND segmento= 'ESTR' AND ambito= 'PM' AND entidade='00100' AND cod_visao = 1) A  Inner join (SELECT instrmnt_id as instrmnt_id_to_be, intrnl_rtng_incptn as intrnl_rtng_incptn_to_be FROM bu_loantape_work.lt002_instrument WHERE ref_date='2025-06-30' AND nome_perimetro= 'Individual IDComb' AND segmento= 'ESTR' AND ambito= 'PM' AND entidade='00100' AND cod_visao = 1) B ON instrmnt_id_as_is = instrmnt_id_to_be WHERE coalesce(cast(intrnl_rtng_incptn_as_is as string), '') &lt;&gt; coalesce(cast(intrnl_rtng_incptn_to_be as string), '') ) A UNION ALL</v>
      </c>
      <c r="P207" s="17">
        <f t="shared" si="40"/>
        <v>18</v>
      </c>
    </row>
    <row r="208" spans="2:16" s="15" customFormat="1" ht="11.5" x14ac:dyDescent="0.25">
      <c r="B208" s="17" t="s">
        <v>24</v>
      </c>
      <c r="C208" s="17" t="str">
        <f>_xlfn.CONCAT(Instruções!$D$5,".",VLOOKUP(B208,Instruções!$F$5:$H$10,2,0))</f>
        <v>cd_loan_tapes_bce.lt002_instrument</v>
      </c>
      <c r="D208" s="17" t="str">
        <f>_xlfn.CONCAT(Instruções!$D$6,".",VLOOKUP(B208,Instruções!$F$5:$H$10,3,0))</f>
        <v>bu_loantape_work.lt002_instrument</v>
      </c>
      <c r="E208" s="17" t="s">
        <v>112</v>
      </c>
      <c r="F208" s="17" t="str">
        <f t="shared" si="43"/>
        <v>intrnl_sgmnt_as_is</v>
      </c>
      <c r="G208" s="17" t="str">
        <f t="shared" si="44"/>
        <v>intrnl_sgmnt_to_be</v>
      </c>
      <c r="H208" s="17" t="str">
        <f>IF(VLOOKUP(B208,Instruções!$F$6:$J$10,5,0)="",
"(SELECT "&amp;VLOOKUP(B208,Instruções!$F$6:$J$10,4,0)&amp;" as "&amp;VLOOKUP(B208,Instruções!$F$6:$J$10,4,0)&amp;"_as_is, "&amp;E208&amp;" as "&amp;F208&amp;" FROM "&amp;C208&amp;" WHERE "&amp;Instruções!$D$11&amp;") A ",
"(SELECT "&amp;VLOOKUP(B208,Instruções!$F$6:$J$10,4,0)&amp;" as "&amp;VLOOKUP(B208,Instruções!$F$6:$J$10,4,0)&amp;"_as_is, "&amp;VLOOKUP(B208,Instruções!$F$6:$J$10,5,0)&amp;" as "&amp;VLOOKUP(B208,Instruções!$F$6:$J$10,5,0)&amp;"_as_is,"&amp;E208&amp;" as "&amp;F208&amp;" FROM "&amp;C208&amp;" WHERE "&amp;Instruções!$D$11&amp;") A ")</f>
        <v xml:space="preserve">(SELECT instrmnt_id as instrmnt_id_as_is, intrnl_sgmnt as intrnl_sgmnt_as_is FROM cd_loan_tapes_bce.lt002_instrument WHERE ref_date='2025-06-30' AND nome_perimetro= 'Individual IDComb' AND segmento= 'ESTR' AND ambito= 'PM' AND entidade='00100' AND cod_visao = 1) A </v>
      </c>
      <c r="I208" s="17" t="str">
        <f>IF(VLOOKUP(B208,Instruções!$F$6:$J$10,5,0)="",
"(SELECT "&amp;VLOOKUP(B208,Instruções!$F$6:$J$10,4,0)&amp;" as "&amp;VLOOKUP(B208,Instruções!$F$6:$J$10,4,0)&amp;"_to_be, "&amp;E208&amp;" as "&amp;G208&amp;" FROM "&amp;D208&amp;" WHERE "&amp;Instruções!$D$11&amp;") B ",
"(SELECT "&amp;VLOOKUP(B208,Instruções!$F$6:$J$10,4,0)&amp;" as "&amp;VLOOKUP(B208,Instruções!$F$6:$J$10,4,0)&amp;"_to_be, "&amp;VLOOKUP(B208,Instruções!$F$6:$J$10,5,0)&amp;" as "&amp;VLOOKUP(B208,Instruções!$F$6:$J$10,5,0)&amp;"_to_be,"&amp;E208&amp;" as "&amp;G208&amp;" FROM "&amp;D208&amp;" WHERE "&amp;Instruções!$D$11&amp;") B ")</f>
        <v xml:space="preserve">(SELECT instrmnt_id as instrmnt_id_to_be, intrnl_sgmnt as intrnl_sgmnt_to_be FROM bu_loantape_work.lt002_instrument WHERE ref_date='2025-06-30' AND nome_perimetro= 'Individual IDComb' AND segmento= 'ESTR' AND ambito= 'PM' AND entidade='00100' AND cod_visao = 1) B </v>
      </c>
      <c r="J208" s="17" t="str">
        <f>IF(VLOOKUP(B208,Instruções!$F$6:$J$10,5,0)="",
"ON "&amp;VLOOKUP(B208,Instruções!$F$6:$J$10,4,0)&amp;"_as_is = "&amp;VLOOKUP(B208,Instruções!$F$6:$J$10,4,0)&amp;"_to_be ",
"ON "&amp;VLOOKUP(B208,Instruções!$F$6:$J$10,4,0)&amp;"_as_is = "&amp;VLOOKUP(B208,Instruções!$F$6:$J$10,4,0)&amp;"_to_be AND "&amp;VLOOKUP(B208,Instruções!$F$6:$J$10,5,0)&amp;"_as_is = "&amp;VLOOKUP(B208,Instruções!$F$6:$J$10,5,0)&amp;"_to_be ")</f>
        <v xml:space="preserve">ON instrmnt_id_as_is = instrmnt_id_to_be </v>
      </c>
      <c r="K208" s="17" t="str">
        <f t="shared" si="45"/>
        <v xml:space="preserve">WHERE coalesce(cast(intrnl_sgmnt_as_is as string), '') &lt;&gt; coalesce(cast(intrnl_sgmnt_to_be as string), '') </v>
      </c>
      <c r="L208" s="17" t="str">
        <f t="shared" si="46"/>
        <v xml:space="preserve">SELECT count(*) AS NUM_REG_DIF FROM (SELECT instrmnt_id as instrmnt_id_as_is, intrnl_sgmnt as intrnl_sgmnt_as_is FROM cd_loan_tapes_bce.lt002_instrument WHERE ref_date='2025-06-30' AND nome_perimetro= 'Individual IDComb' AND segmento= 'ESTR' AND ambito= 'PM' AND entidade='00100' AND cod_visao = 1) A  Inner join (SELECT instrmnt_id as instrmnt_id_to_be, intrnl_sgmnt as intrnl_sgmnt_to_be FROM bu_loantape_work.lt002_instrument WHERE ref_date='2025-06-30' AND nome_perimetro= 'Individual IDComb' AND segmento= 'ESTR' AND ambito= 'PM' AND entidade='00100' AND cod_visao = 1) B ON instrmnt_id_as_is = instrmnt_id_to_be WHERE coalesce(cast(intrnl_sgmnt_as_is as string), '') &lt;&gt; coalesce(cast(intrnl_sgmnt_to_be as string), '') </v>
      </c>
      <c r="M208" s="17" t="s">
        <v>48</v>
      </c>
      <c r="N208" s="17" t="str">
        <f>"SELECT 'Validação de campos' as tipologia_teste, '"&amp;VLOOKUP(B208,Instruções!$F$6:$J$10,3,0)&amp;"' AS TABELA, '"&amp;E208&amp;"' AS CAMPO, '"&amp;Instruções!$D$7&amp;"' as ref_date, coalesce(NUM_REG_DIF, 0) AS NUM_REG_DIF FROM ("&amp;L208&amp;") A "</f>
        <v xml:space="preserve">SELECT 'Validação de campos' as tipologia_teste, 'lt002_instrument' AS TABELA, 'intrnl_sgmnt' AS CAMPO, '2025-06-30' as ref_date, coalesce(NUM_REG_DIF, 0) AS NUM_REG_DIF FROM (SELECT count(*) AS NUM_REG_DIF FROM (SELECT instrmnt_id as instrmnt_id_as_is, intrnl_sgmnt as intrnl_sgmnt_as_is FROM cd_loan_tapes_bce.lt002_instrument WHERE ref_date='2025-06-30' AND nome_perimetro= 'Individual IDComb' AND segmento= 'ESTR' AND ambito= 'PM' AND entidade='00100' AND cod_visao = 1) A  Inner join (SELECT instrmnt_id as instrmnt_id_to_be, intrnl_sgmnt as intrnl_sgmnt_to_be FROM bu_loantape_work.lt002_instrument WHERE ref_date='2025-06-30' AND nome_perimetro= 'Individual IDComb' AND segmento= 'ESTR' AND ambito= 'PM' AND entidade='00100' AND cod_visao = 1) B ON instrmnt_id_as_is = instrmnt_id_to_be WHERE coalesce(cast(intrnl_sgmnt_as_is as string), '') &lt;&gt; coalesce(cast(intrnl_sgmnt_to_be as string), '') ) A </v>
      </c>
      <c r="O208" s="19" t="str">
        <f t="shared" si="42"/>
        <v xml:space="preserve">SELECT 'Validação de campos' as tipologia_teste, 'lt002_instrument' AS TABELA, 'intrnl_sgmnt' AS CAMPO, '2025-06-30' as ref_date, coalesce(NUM_REG_DIF, 0) AS NUM_REG_DIF FROM (SELECT count(*) AS NUM_REG_DIF FROM (SELECT instrmnt_id as instrmnt_id_as_is, intrnl_sgmnt as intrnl_sgmnt_as_is FROM cd_loan_tapes_bce.lt002_instrument WHERE ref_date='2025-06-30' AND nome_perimetro= 'Individual IDComb' AND segmento= 'ESTR' AND ambito= 'PM' AND entidade='00100' AND cod_visao = 1) A  Inner join (SELECT instrmnt_id as instrmnt_id_to_be, intrnl_sgmnt as intrnl_sgmnt_to_be FROM bu_loantape_work.lt002_instrument WHERE ref_date='2025-06-30' AND nome_perimetro= 'Individual IDComb' AND segmento= 'ESTR' AND ambito= 'PM' AND entidade='00100' AND cod_visao = 1) B ON instrmnt_id_as_is = instrmnt_id_to_be WHERE coalesce(cast(intrnl_sgmnt_as_is as string), '') &lt;&gt; coalesce(cast(intrnl_sgmnt_to_be as string), '') ) A </v>
      </c>
      <c r="P208" s="17">
        <f t="shared" si="40"/>
        <v>19</v>
      </c>
    </row>
    <row r="209" spans="2:16" s="15" customFormat="1" ht="11.5" x14ac:dyDescent="0.2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9"/>
      <c r="P209" s="18"/>
    </row>
    <row r="210" spans="2:16" s="15" customFormat="1" ht="11.5" x14ac:dyDescent="0.25">
      <c r="B210" s="17" t="s">
        <v>24</v>
      </c>
      <c r="C210" s="17" t="str">
        <f>_xlfn.CONCAT(Instruções!$D$5,".",VLOOKUP(B210,Instruções!$F$5:$H$10,2,0))</f>
        <v>cd_loan_tapes_bce.lt002_instrument</v>
      </c>
      <c r="D210" s="17" t="str">
        <f>_xlfn.CONCAT(Instruções!$D$6,".",VLOOKUP(B210,Instruções!$F$5:$H$10,3,0))</f>
        <v>bu_loantape_work.lt002_instrument</v>
      </c>
      <c r="E210" s="17" t="s">
        <v>233</v>
      </c>
      <c r="F210" s="17" t="str">
        <f t="shared" si="43"/>
        <v>intrnl_sgmnt_ifrs9_as_is</v>
      </c>
      <c r="G210" s="17" t="str">
        <f t="shared" si="44"/>
        <v>intrnl_sgmnt_ifrs9_to_be</v>
      </c>
      <c r="H210" s="17" t="str">
        <f>IF(VLOOKUP(B210,Instruções!$F$6:$J$10,5,0)="",
"(SELECT "&amp;VLOOKUP(B210,Instruções!$F$6:$J$10,4,0)&amp;" as "&amp;VLOOKUP(B210,Instruções!$F$6:$J$10,4,0)&amp;"_as_is, "&amp;E210&amp;" as "&amp;F210&amp;" FROM "&amp;C210&amp;" WHERE "&amp;Instruções!$D$11&amp;") A ",
"(SELECT "&amp;VLOOKUP(B210,Instruções!$F$6:$J$10,4,0)&amp;" as "&amp;VLOOKUP(B210,Instruções!$F$6:$J$10,4,0)&amp;"_as_is, "&amp;VLOOKUP(B210,Instruções!$F$6:$J$10,5,0)&amp;" as "&amp;VLOOKUP(B210,Instruções!$F$6:$J$10,5,0)&amp;"_as_is,"&amp;E210&amp;" as "&amp;F210&amp;" FROM "&amp;C210&amp;" WHERE "&amp;Instruções!$D$11&amp;") A ")</f>
        <v xml:space="preserve">(SELECT instrmnt_id as instrmnt_id_as_is, intrnl_sgmnt_ifrs9 as intrnl_sgmnt_ifrs9_as_is FROM cd_loan_tapes_bce.lt002_instrument WHERE ref_date='2025-06-30' AND nome_perimetro= 'Individual IDComb' AND segmento= 'ESTR' AND ambito= 'PM' AND entidade='00100' AND cod_visao = 1) A </v>
      </c>
      <c r="I210" s="17" t="str">
        <f>IF(VLOOKUP(B210,Instruções!$F$6:$J$10,5,0)="",
"(SELECT "&amp;VLOOKUP(B210,Instruções!$F$6:$J$10,4,0)&amp;" as "&amp;VLOOKUP(B210,Instruções!$F$6:$J$10,4,0)&amp;"_to_be, "&amp;E210&amp;" as "&amp;G210&amp;" FROM "&amp;D210&amp;" WHERE "&amp;Instruções!$D$11&amp;") B ",
"(SELECT "&amp;VLOOKUP(B210,Instruções!$F$6:$J$10,4,0)&amp;" as "&amp;VLOOKUP(B210,Instruções!$F$6:$J$10,4,0)&amp;"_to_be, "&amp;VLOOKUP(B210,Instruções!$F$6:$J$10,5,0)&amp;" as "&amp;VLOOKUP(B210,Instruções!$F$6:$J$10,5,0)&amp;"_to_be,"&amp;E210&amp;" as "&amp;G210&amp;" FROM "&amp;D210&amp;" WHERE "&amp;Instruções!$D$11&amp;") B ")</f>
        <v xml:space="preserve">(SELECT instrmnt_id as instrmnt_id_to_be, intrnl_sgmnt_ifrs9 as intrnl_sgmnt_ifrs9_to_be FROM bu_loantape_work.lt002_instrument WHERE ref_date='2025-06-30' AND nome_perimetro= 'Individual IDComb' AND segmento= 'ESTR' AND ambito= 'PM' AND entidade='00100' AND cod_visao = 1) B </v>
      </c>
      <c r="J210" s="17" t="str">
        <f>IF(VLOOKUP(B210,Instruções!$F$6:$J$10,5,0)="",
"ON "&amp;VLOOKUP(B210,Instruções!$F$6:$J$10,4,0)&amp;"_as_is = "&amp;VLOOKUP(B210,Instruções!$F$6:$J$10,4,0)&amp;"_to_be ",
"ON "&amp;VLOOKUP(B210,Instruções!$F$6:$J$10,4,0)&amp;"_as_is = "&amp;VLOOKUP(B210,Instruções!$F$6:$J$10,4,0)&amp;"_to_be AND "&amp;VLOOKUP(B210,Instruções!$F$6:$J$10,5,0)&amp;"_as_is = "&amp;VLOOKUP(B210,Instruções!$F$6:$J$10,5,0)&amp;"_to_be ")</f>
        <v xml:space="preserve">ON instrmnt_id_as_is = instrmnt_id_to_be </v>
      </c>
      <c r="K210" s="17" t="str">
        <f t="shared" si="45"/>
        <v xml:space="preserve">WHERE coalesce(cast(intrnl_sgmnt_ifrs9_as_is as string), '') &lt;&gt; coalesce(cast(intrnl_sgmnt_ifrs9_to_be as string), '') </v>
      </c>
      <c r="L210" s="17" t="str">
        <f t="shared" si="46"/>
        <v xml:space="preserve">SELECT count(*) AS NUM_REG_DIF FROM (SELECT instrmnt_id as instrmnt_id_as_is, intrnl_sgmnt_ifrs9 as intrnl_sgmnt_ifrs9_as_is FROM cd_loan_tapes_bce.lt002_instrument WHERE ref_date='2025-06-30' AND nome_perimetro= 'Individual IDComb' AND segmento= 'ESTR' AND ambito= 'PM' AND entidade='00100' AND cod_visao = 1) A  Inner join (SELECT instrmnt_id as instrmnt_id_to_be, intrnl_sgmnt_ifrs9 as intrnl_sgmnt_ifrs9_to_be FROM bu_loantape_work.lt002_instrument WHERE ref_date='2025-06-30' AND nome_perimetro= 'Individual IDComb' AND segmento= 'ESTR' AND ambito= 'PM' AND entidade='00100' AND cod_visao = 1) B ON instrmnt_id_as_is = instrmnt_id_to_be WHERE coalesce(cast(intrnl_sgmnt_ifrs9_as_is as string), '') &lt;&gt; coalesce(cast(intrnl_sgmnt_ifrs9_to_be as string), '') </v>
      </c>
      <c r="M210" s="17" t="s">
        <v>48</v>
      </c>
      <c r="N210" s="17" t="str">
        <f>"SELECT 'Validação de campos' as tipologia_teste, '"&amp;VLOOKUP(B210,Instruções!$F$6:$J$10,3,0)&amp;"' AS TABELA, '"&amp;E210&amp;"' AS CAMPO, '"&amp;Instruções!$D$7&amp;"' as ref_date, coalesce(NUM_REG_DIF, 0) AS NUM_REG_DIF FROM ("&amp;L210&amp;") A "</f>
        <v xml:space="preserve">SELECT 'Validação de campos' as tipologia_teste, 'lt002_instrument' AS TABELA, 'intrnl_sgmnt_ifrs9' AS CAMPO, '2025-06-30' as ref_date, coalesce(NUM_REG_DIF, 0) AS NUM_REG_DIF FROM (SELECT count(*) AS NUM_REG_DIF FROM (SELECT instrmnt_id as instrmnt_id_as_is, intrnl_sgmnt_ifrs9 as intrnl_sgmnt_ifrs9_as_is FROM cd_loan_tapes_bce.lt002_instrument WHERE ref_date='2025-06-30' AND nome_perimetro= 'Individual IDComb' AND segmento= 'ESTR' AND ambito= 'PM' AND entidade='00100' AND cod_visao = 1) A  Inner join (SELECT instrmnt_id as instrmnt_id_to_be, intrnl_sgmnt_ifrs9 as intrnl_sgmnt_ifrs9_to_be FROM bu_loantape_work.lt002_instrument WHERE ref_date='2025-06-30' AND nome_perimetro= 'Individual IDComb' AND segmento= 'ESTR' AND ambito= 'PM' AND entidade='00100' AND cod_visao = 1) B ON instrmnt_id_as_is = instrmnt_id_to_be WHERE coalesce(cast(intrnl_sgmnt_ifrs9_as_is as string), '') &lt;&gt; coalesce(cast(intrnl_sgmnt_ifrs9_to_be as string), '') ) A </v>
      </c>
      <c r="O210" s="19" t="str">
        <f>IF(O211="",N210,N210&amp;$O$3)</f>
        <v>SELECT 'Validação de campos' as tipologia_teste, 'lt002_instrument' AS TABELA, 'intrnl_sgmnt_ifrs9' AS CAMPO, '2025-06-30' as ref_date, coalesce(NUM_REG_DIF, 0) AS NUM_REG_DIF FROM (SELECT count(*) AS NUM_REG_DIF FROM (SELECT instrmnt_id as instrmnt_id_as_is, intrnl_sgmnt_ifrs9 as intrnl_sgmnt_ifrs9_as_is FROM cd_loan_tapes_bce.lt002_instrument WHERE ref_date='2025-06-30' AND nome_perimetro= 'Individual IDComb' AND segmento= 'ESTR' AND ambito= 'PM' AND entidade='00100' AND cod_visao = 1) A  Inner join (SELECT instrmnt_id as instrmnt_id_to_be, intrnl_sgmnt_ifrs9 as intrnl_sgmnt_ifrs9_to_be FROM bu_loantape_work.lt002_instrument WHERE ref_date='2025-06-30' AND nome_perimetro= 'Individual IDComb' AND segmento= 'ESTR' AND ambito= 'PM' AND entidade='00100' AND cod_visao = 1) B ON instrmnt_id_as_is = instrmnt_id_to_be WHERE coalesce(cast(intrnl_sgmnt_ifrs9_as_is as string), '') &lt;&gt; coalesce(cast(intrnl_sgmnt_ifrs9_to_be as string), '') ) A UNION ALL</v>
      </c>
      <c r="P210" s="17">
        <f>P209+1</f>
        <v>1</v>
      </c>
    </row>
    <row r="211" spans="2:16" s="15" customFormat="1" ht="11.5" x14ac:dyDescent="0.25">
      <c r="B211" s="17" t="s">
        <v>24</v>
      </c>
      <c r="C211" s="17" t="str">
        <f>_xlfn.CONCAT(Instruções!$D$5,".",VLOOKUP(B211,Instruções!$F$5:$H$10,2,0))</f>
        <v>cd_loan_tapes_bce.lt002_instrument</v>
      </c>
      <c r="D211" s="17" t="str">
        <f>_xlfn.CONCAT(Instruções!$D$6,".",VLOOKUP(B211,Instruções!$F$5:$H$10,3,0))</f>
        <v>bu_loantape_work.lt002_instrument</v>
      </c>
      <c r="E211" s="17" t="s">
        <v>113</v>
      </c>
      <c r="F211" s="17" t="str">
        <f t="shared" si="43"/>
        <v>intrnl_unt_as_is</v>
      </c>
      <c r="G211" s="17" t="str">
        <f t="shared" si="44"/>
        <v>intrnl_unt_to_be</v>
      </c>
      <c r="H211" s="17" t="str">
        <f>IF(VLOOKUP(B211,Instruções!$F$6:$J$10,5,0)="",
"(SELECT "&amp;VLOOKUP(B211,Instruções!$F$6:$J$10,4,0)&amp;" as "&amp;VLOOKUP(B211,Instruções!$F$6:$J$10,4,0)&amp;"_as_is, "&amp;E211&amp;" as "&amp;F211&amp;" FROM "&amp;C211&amp;" WHERE "&amp;Instruções!$D$11&amp;") A ",
"(SELECT "&amp;VLOOKUP(B211,Instruções!$F$6:$J$10,4,0)&amp;" as "&amp;VLOOKUP(B211,Instruções!$F$6:$J$10,4,0)&amp;"_as_is, "&amp;VLOOKUP(B211,Instruções!$F$6:$J$10,5,0)&amp;" as "&amp;VLOOKUP(B211,Instruções!$F$6:$J$10,5,0)&amp;"_as_is,"&amp;E211&amp;" as "&amp;F211&amp;" FROM "&amp;C211&amp;" WHERE "&amp;Instruções!$D$11&amp;") A ")</f>
        <v xml:space="preserve">(SELECT instrmnt_id as instrmnt_id_as_is, intrnl_unt as intrnl_unt_as_is FROM cd_loan_tapes_bce.lt002_instrument WHERE ref_date='2025-06-30' AND nome_perimetro= 'Individual IDComb' AND segmento= 'ESTR' AND ambito= 'PM' AND entidade='00100' AND cod_visao = 1) A </v>
      </c>
      <c r="I211" s="17" t="str">
        <f>IF(VLOOKUP(B211,Instruções!$F$6:$J$10,5,0)="",
"(SELECT "&amp;VLOOKUP(B211,Instruções!$F$6:$J$10,4,0)&amp;" as "&amp;VLOOKUP(B211,Instruções!$F$6:$J$10,4,0)&amp;"_to_be, "&amp;E211&amp;" as "&amp;G211&amp;" FROM "&amp;D211&amp;" WHERE "&amp;Instruções!$D$11&amp;") B ",
"(SELECT "&amp;VLOOKUP(B211,Instruções!$F$6:$J$10,4,0)&amp;" as "&amp;VLOOKUP(B211,Instruções!$F$6:$J$10,4,0)&amp;"_to_be, "&amp;VLOOKUP(B211,Instruções!$F$6:$J$10,5,0)&amp;" as "&amp;VLOOKUP(B211,Instruções!$F$6:$J$10,5,0)&amp;"_to_be,"&amp;E211&amp;" as "&amp;G211&amp;" FROM "&amp;D211&amp;" WHERE "&amp;Instruções!$D$11&amp;") B ")</f>
        <v xml:space="preserve">(SELECT instrmnt_id as instrmnt_id_to_be, intrnl_unt as intrnl_unt_to_be FROM bu_loantape_work.lt002_instrument WHERE ref_date='2025-06-30' AND nome_perimetro= 'Individual IDComb' AND segmento= 'ESTR' AND ambito= 'PM' AND entidade='00100' AND cod_visao = 1) B </v>
      </c>
      <c r="J211" s="17" t="str">
        <f>IF(VLOOKUP(B211,Instruções!$F$6:$J$10,5,0)="",
"ON "&amp;VLOOKUP(B211,Instruções!$F$6:$J$10,4,0)&amp;"_as_is = "&amp;VLOOKUP(B211,Instruções!$F$6:$J$10,4,0)&amp;"_to_be ",
"ON "&amp;VLOOKUP(B211,Instruções!$F$6:$J$10,4,0)&amp;"_as_is = "&amp;VLOOKUP(B211,Instruções!$F$6:$J$10,4,0)&amp;"_to_be AND "&amp;VLOOKUP(B211,Instruções!$F$6:$J$10,5,0)&amp;"_as_is = "&amp;VLOOKUP(B211,Instruções!$F$6:$J$10,5,0)&amp;"_to_be ")</f>
        <v xml:space="preserve">ON instrmnt_id_as_is = instrmnt_id_to_be </v>
      </c>
      <c r="K211" s="17" t="str">
        <f t="shared" si="45"/>
        <v xml:space="preserve">WHERE coalesce(cast(intrnl_unt_as_is as string), '') &lt;&gt; coalesce(cast(intrnl_unt_to_be as string), '') </v>
      </c>
      <c r="L211" s="17" t="str">
        <f t="shared" si="46"/>
        <v xml:space="preserve">SELECT count(*) AS NUM_REG_DIF FROM (SELECT instrmnt_id as instrmnt_id_as_is, intrnl_unt as intrnl_unt_as_is FROM cd_loan_tapes_bce.lt002_instrument WHERE ref_date='2025-06-30' AND nome_perimetro= 'Individual IDComb' AND segmento= 'ESTR' AND ambito= 'PM' AND entidade='00100' AND cod_visao = 1) A  Inner join (SELECT instrmnt_id as instrmnt_id_to_be, intrnl_unt as intrnl_unt_to_be FROM bu_loantape_work.lt002_instrument WHERE ref_date='2025-06-30' AND nome_perimetro= 'Individual IDComb' AND segmento= 'ESTR' AND ambito= 'PM' AND entidade='00100' AND cod_visao = 1) B ON instrmnt_id_as_is = instrmnt_id_to_be WHERE coalesce(cast(intrnl_unt_as_is as string), '') &lt;&gt; coalesce(cast(intrnl_unt_to_be as string), '') </v>
      </c>
      <c r="M211" s="17" t="s">
        <v>48</v>
      </c>
      <c r="N211" s="17" t="str">
        <f>"SELECT 'Validação de campos' as tipologia_teste, '"&amp;VLOOKUP(B211,Instruções!$F$6:$J$10,3,0)&amp;"' AS TABELA, '"&amp;E211&amp;"' AS CAMPO, '"&amp;Instruções!$D$7&amp;"' as ref_date, coalesce(NUM_REG_DIF, 0) AS NUM_REG_DIF FROM ("&amp;L211&amp;") A "</f>
        <v xml:space="preserve">SELECT 'Validação de campos' as tipologia_teste, 'lt002_instrument' AS TABELA, 'intrnl_unt' AS CAMPO, '2025-06-30' as ref_date, coalesce(NUM_REG_DIF, 0) AS NUM_REG_DIF FROM (SELECT count(*) AS NUM_REG_DIF FROM (SELECT instrmnt_id as instrmnt_id_as_is, intrnl_unt as intrnl_unt_as_is FROM cd_loan_tapes_bce.lt002_instrument WHERE ref_date='2025-06-30' AND nome_perimetro= 'Individual IDComb' AND segmento= 'ESTR' AND ambito= 'PM' AND entidade='00100' AND cod_visao = 1) A  Inner join (SELECT instrmnt_id as instrmnt_id_to_be, intrnl_unt as intrnl_unt_to_be FROM bu_loantape_work.lt002_instrument WHERE ref_date='2025-06-30' AND nome_perimetro= 'Individual IDComb' AND segmento= 'ESTR' AND ambito= 'PM' AND entidade='00100' AND cod_visao = 1) B ON instrmnt_id_as_is = instrmnt_id_to_be WHERE coalesce(cast(intrnl_unt_as_is as string), '') &lt;&gt; coalesce(cast(intrnl_unt_to_be as string), '') ) A </v>
      </c>
      <c r="O211" s="19" t="str">
        <f t="shared" ref="O211:O254" si="47">IF(O212="",N211,N211&amp;$O$3)</f>
        <v>SELECT 'Validação de campos' as tipologia_teste, 'lt002_instrument' AS TABELA, 'intrnl_unt' AS CAMPO, '2025-06-30' as ref_date, coalesce(NUM_REG_DIF, 0) AS NUM_REG_DIF FROM (SELECT count(*) AS NUM_REG_DIF FROM (SELECT instrmnt_id as instrmnt_id_as_is, intrnl_unt as intrnl_unt_as_is FROM cd_loan_tapes_bce.lt002_instrument WHERE ref_date='2025-06-30' AND nome_perimetro= 'Individual IDComb' AND segmento= 'ESTR' AND ambito= 'PM' AND entidade='00100' AND cod_visao = 1) A  Inner join (SELECT instrmnt_id as instrmnt_id_to_be, intrnl_unt as intrnl_unt_to_be FROM bu_loantape_work.lt002_instrument WHERE ref_date='2025-06-30' AND nome_perimetro= 'Individual IDComb' AND segmento= 'ESTR' AND ambito= 'PM' AND entidade='00100' AND cod_visao = 1) B ON instrmnt_id_as_is = instrmnt_id_to_be WHERE coalesce(cast(intrnl_unt_as_is as string), '') &lt;&gt; coalesce(cast(intrnl_unt_to_be as string), '') ) A UNION ALL</v>
      </c>
      <c r="P211" s="17">
        <f t="shared" ref="P211:P254" si="48">P210+1</f>
        <v>2</v>
      </c>
    </row>
    <row r="212" spans="2:16" s="15" customFormat="1" ht="11.5" x14ac:dyDescent="0.25">
      <c r="B212" s="17" t="s">
        <v>24</v>
      </c>
      <c r="C212" s="17" t="str">
        <f>_xlfn.CONCAT(Instruções!$D$5,".",VLOOKUP(B212,Instruções!$F$5:$H$10,2,0))</f>
        <v>cd_loan_tapes_bce.lt002_instrument</v>
      </c>
      <c r="D212" s="17" t="str">
        <f>_xlfn.CONCAT(Instruções!$D$6,".",VLOOKUP(B212,Instruções!$F$5:$H$10,3,0))</f>
        <v>bu_loantape_work.lt002_instrument</v>
      </c>
      <c r="E212" s="17" t="s">
        <v>234</v>
      </c>
      <c r="F212" s="17" t="str">
        <f t="shared" si="43"/>
        <v>intrst_rt_rst_frqncy_as_is</v>
      </c>
      <c r="G212" s="17" t="str">
        <f t="shared" si="44"/>
        <v>intrst_rt_rst_frqncy_to_be</v>
      </c>
      <c r="H212" s="17" t="str">
        <f>IF(VLOOKUP(B212,Instruções!$F$6:$J$10,5,0)="",
"(SELECT "&amp;VLOOKUP(B212,Instruções!$F$6:$J$10,4,0)&amp;" as "&amp;VLOOKUP(B212,Instruções!$F$6:$J$10,4,0)&amp;"_as_is, "&amp;E212&amp;" as "&amp;F212&amp;" FROM "&amp;C212&amp;" WHERE "&amp;Instruções!$D$11&amp;") A ",
"(SELECT "&amp;VLOOKUP(B212,Instruções!$F$6:$J$10,4,0)&amp;" as "&amp;VLOOKUP(B212,Instruções!$F$6:$J$10,4,0)&amp;"_as_is, "&amp;VLOOKUP(B212,Instruções!$F$6:$J$10,5,0)&amp;" as "&amp;VLOOKUP(B212,Instruções!$F$6:$J$10,5,0)&amp;"_as_is,"&amp;E212&amp;" as "&amp;F212&amp;" FROM "&amp;C212&amp;" WHERE "&amp;Instruções!$D$11&amp;") A ")</f>
        <v xml:space="preserve">(SELECT instrmnt_id as instrmnt_id_as_is, intrst_rt_rst_frqncy as intrst_rt_rst_frqncy_as_is FROM cd_loan_tapes_bce.lt002_instrument WHERE ref_date='2025-06-30' AND nome_perimetro= 'Individual IDComb' AND segmento= 'ESTR' AND ambito= 'PM' AND entidade='00100' AND cod_visao = 1) A </v>
      </c>
      <c r="I212" s="17" t="str">
        <f>IF(VLOOKUP(B212,Instruções!$F$6:$J$10,5,0)="",
"(SELECT "&amp;VLOOKUP(B212,Instruções!$F$6:$J$10,4,0)&amp;" as "&amp;VLOOKUP(B212,Instruções!$F$6:$J$10,4,0)&amp;"_to_be, "&amp;E212&amp;" as "&amp;G212&amp;" FROM "&amp;D212&amp;" WHERE "&amp;Instruções!$D$11&amp;") B ",
"(SELECT "&amp;VLOOKUP(B212,Instruções!$F$6:$J$10,4,0)&amp;" as "&amp;VLOOKUP(B212,Instruções!$F$6:$J$10,4,0)&amp;"_to_be, "&amp;VLOOKUP(B212,Instruções!$F$6:$J$10,5,0)&amp;" as "&amp;VLOOKUP(B212,Instruções!$F$6:$J$10,5,0)&amp;"_to_be,"&amp;E212&amp;" as "&amp;G212&amp;" FROM "&amp;D212&amp;" WHERE "&amp;Instruções!$D$11&amp;") B ")</f>
        <v xml:space="preserve">(SELECT instrmnt_id as instrmnt_id_to_be, intrst_rt_rst_frqncy as intrst_rt_rst_frqncy_to_be FROM bu_loantape_work.lt002_instrument WHERE ref_date='2025-06-30' AND nome_perimetro= 'Individual IDComb' AND segmento= 'ESTR' AND ambito= 'PM' AND entidade='00100' AND cod_visao = 1) B </v>
      </c>
      <c r="J212" s="17" t="str">
        <f>IF(VLOOKUP(B212,Instruções!$F$6:$J$10,5,0)="",
"ON "&amp;VLOOKUP(B212,Instruções!$F$6:$J$10,4,0)&amp;"_as_is = "&amp;VLOOKUP(B212,Instruções!$F$6:$J$10,4,0)&amp;"_to_be ",
"ON "&amp;VLOOKUP(B212,Instruções!$F$6:$J$10,4,0)&amp;"_as_is = "&amp;VLOOKUP(B212,Instruções!$F$6:$J$10,4,0)&amp;"_to_be AND "&amp;VLOOKUP(B212,Instruções!$F$6:$J$10,5,0)&amp;"_as_is = "&amp;VLOOKUP(B212,Instruções!$F$6:$J$10,5,0)&amp;"_to_be ")</f>
        <v xml:space="preserve">ON instrmnt_id_as_is = instrmnt_id_to_be </v>
      </c>
      <c r="K212" s="17" t="str">
        <f t="shared" si="45"/>
        <v xml:space="preserve">WHERE coalesce(cast(intrst_rt_rst_frqncy_as_is as string), '') &lt;&gt; coalesce(cast(intrst_rt_rst_frqncy_to_be as string), '') </v>
      </c>
      <c r="L212" s="17" t="str">
        <f t="shared" si="46"/>
        <v xml:space="preserve">SELECT count(*) AS NUM_REG_DIF FROM (SELECT instrmnt_id as instrmnt_id_as_is, intrst_rt_rst_frqncy as intrst_rt_rst_frqncy_as_is FROM cd_loan_tapes_bce.lt002_instrument WHERE ref_date='2025-06-30' AND nome_perimetro= 'Individual IDComb' AND segmento= 'ESTR' AND ambito= 'PM' AND entidade='00100' AND cod_visao = 1) A  Inner join (SELECT instrmnt_id as instrmnt_id_to_be, intrst_rt_rst_frqncy as intrst_rt_rst_frqncy_to_be FROM bu_loantape_work.lt002_instrument WHERE ref_date='2025-06-30' AND nome_perimetro= 'Individual IDComb' AND segmento= 'ESTR' AND ambito= 'PM' AND entidade='00100' AND cod_visao = 1) B ON instrmnt_id_as_is = instrmnt_id_to_be WHERE coalesce(cast(intrst_rt_rst_frqncy_as_is as string), '') &lt;&gt; coalesce(cast(intrst_rt_rst_frqncy_to_be as string), '') </v>
      </c>
      <c r="M212" s="17" t="s">
        <v>48</v>
      </c>
      <c r="N212" s="17" t="str">
        <f>"SELECT 'Validação de campos' as tipologia_teste, '"&amp;VLOOKUP(B212,Instruções!$F$6:$J$10,3,0)&amp;"' AS TABELA, '"&amp;E212&amp;"' AS CAMPO, '"&amp;Instruções!$D$7&amp;"' as ref_date, coalesce(NUM_REG_DIF, 0) AS NUM_REG_DIF FROM ("&amp;L212&amp;") A "</f>
        <v xml:space="preserve">SELECT 'Validação de campos' as tipologia_teste, 'lt002_instrument' AS TABELA, 'intrst_rt_rst_frqncy' AS CAMPO, '2025-06-30' as ref_date, coalesce(NUM_REG_DIF, 0) AS NUM_REG_DIF FROM (SELECT count(*) AS NUM_REG_DIF FROM (SELECT instrmnt_id as instrmnt_id_as_is, intrst_rt_rst_frqncy as intrst_rt_rst_frqncy_as_is FROM cd_loan_tapes_bce.lt002_instrument WHERE ref_date='2025-06-30' AND nome_perimetro= 'Individual IDComb' AND segmento= 'ESTR' AND ambito= 'PM' AND entidade='00100' AND cod_visao = 1) A  Inner join (SELECT instrmnt_id as instrmnt_id_to_be, intrst_rt_rst_frqncy as intrst_rt_rst_frqncy_to_be FROM bu_loantape_work.lt002_instrument WHERE ref_date='2025-06-30' AND nome_perimetro= 'Individual IDComb' AND segmento= 'ESTR' AND ambito= 'PM' AND entidade='00100' AND cod_visao = 1) B ON instrmnt_id_as_is = instrmnt_id_to_be WHERE coalesce(cast(intrst_rt_rst_frqncy_as_is as string), '') &lt;&gt; coalesce(cast(intrst_rt_rst_frqncy_to_be as string), '') ) A </v>
      </c>
      <c r="O212" s="19" t="str">
        <f t="shared" si="47"/>
        <v>SELECT 'Validação de campos' as tipologia_teste, 'lt002_instrument' AS TABELA, 'intrst_rt_rst_frqncy' AS CAMPO, '2025-06-30' as ref_date, coalesce(NUM_REG_DIF, 0) AS NUM_REG_DIF FROM (SELECT count(*) AS NUM_REG_DIF FROM (SELECT instrmnt_id as instrmnt_id_as_is, intrst_rt_rst_frqncy as intrst_rt_rst_frqncy_as_is FROM cd_loan_tapes_bce.lt002_instrument WHERE ref_date='2025-06-30' AND nome_perimetro= 'Individual IDComb' AND segmento= 'ESTR' AND ambito= 'PM' AND entidade='00100' AND cod_visao = 1) A  Inner join (SELECT instrmnt_id as instrmnt_id_to_be, intrst_rt_rst_frqncy as intrst_rt_rst_frqncy_to_be FROM bu_loantape_work.lt002_instrument WHERE ref_date='2025-06-30' AND nome_perimetro= 'Individual IDComb' AND segmento= 'ESTR' AND ambito= 'PM' AND entidade='00100' AND cod_visao = 1) B ON instrmnt_id_as_is = instrmnt_id_to_be WHERE coalesce(cast(intrst_rt_rst_frqncy_as_is as string), '') &lt;&gt; coalesce(cast(intrst_rt_rst_frqncy_to_be as string), '') ) A UNION ALL</v>
      </c>
      <c r="P212" s="17">
        <f t="shared" si="48"/>
        <v>3</v>
      </c>
    </row>
    <row r="213" spans="2:16" s="15" customFormat="1" ht="11.5" x14ac:dyDescent="0.25">
      <c r="B213" s="17" t="s">
        <v>24</v>
      </c>
      <c r="C213" s="17" t="str">
        <f>_xlfn.CONCAT(Instruções!$D$5,".",VLOOKUP(B213,Instruções!$F$5:$H$10,2,0))</f>
        <v>cd_loan_tapes_bce.lt002_instrument</v>
      </c>
      <c r="D213" s="17" t="str">
        <f>_xlfn.CONCAT(Instruções!$D$6,".",VLOOKUP(B213,Instruções!$F$5:$H$10,3,0))</f>
        <v>bu_loantape_work.lt002_instrument</v>
      </c>
      <c r="E213" s="17" t="s">
        <v>235</v>
      </c>
      <c r="F213" s="17" t="str">
        <f t="shared" si="43"/>
        <v>isin_as_is</v>
      </c>
      <c r="G213" s="17" t="str">
        <f t="shared" si="44"/>
        <v>isin_to_be</v>
      </c>
      <c r="H213" s="17" t="str">
        <f>IF(VLOOKUP(B213,Instruções!$F$6:$J$10,5,0)="",
"(SELECT "&amp;VLOOKUP(B213,Instruções!$F$6:$J$10,4,0)&amp;" as "&amp;VLOOKUP(B213,Instruções!$F$6:$J$10,4,0)&amp;"_as_is, "&amp;E213&amp;" as "&amp;F213&amp;" FROM "&amp;C213&amp;" WHERE "&amp;Instruções!$D$11&amp;") A ",
"(SELECT "&amp;VLOOKUP(B213,Instruções!$F$6:$J$10,4,0)&amp;" as "&amp;VLOOKUP(B213,Instruções!$F$6:$J$10,4,0)&amp;"_as_is, "&amp;VLOOKUP(B213,Instruções!$F$6:$J$10,5,0)&amp;" as "&amp;VLOOKUP(B213,Instruções!$F$6:$J$10,5,0)&amp;"_as_is,"&amp;E213&amp;" as "&amp;F213&amp;" FROM "&amp;C213&amp;" WHERE "&amp;Instruções!$D$11&amp;") A ")</f>
        <v xml:space="preserve">(SELECT instrmnt_id as instrmnt_id_as_is, isin as isin_as_is FROM cd_loan_tapes_bce.lt002_instrument WHERE ref_date='2025-06-30' AND nome_perimetro= 'Individual IDComb' AND segmento= 'ESTR' AND ambito= 'PM' AND entidade='00100' AND cod_visao = 1) A </v>
      </c>
      <c r="I213" s="17" t="str">
        <f>IF(VLOOKUP(B213,Instruções!$F$6:$J$10,5,0)="",
"(SELECT "&amp;VLOOKUP(B213,Instruções!$F$6:$J$10,4,0)&amp;" as "&amp;VLOOKUP(B213,Instruções!$F$6:$J$10,4,0)&amp;"_to_be, "&amp;E213&amp;" as "&amp;G213&amp;" FROM "&amp;D213&amp;" WHERE "&amp;Instruções!$D$11&amp;") B ",
"(SELECT "&amp;VLOOKUP(B213,Instruções!$F$6:$J$10,4,0)&amp;" as "&amp;VLOOKUP(B213,Instruções!$F$6:$J$10,4,0)&amp;"_to_be, "&amp;VLOOKUP(B213,Instruções!$F$6:$J$10,5,0)&amp;" as "&amp;VLOOKUP(B213,Instruções!$F$6:$J$10,5,0)&amp;"_to_be,"&amp;E213&amp;" as "&amp;G213&amp;" FROM "&amp;D213&amp;" WHERE "&amp;Instruções!$D$11&amp;") B ")</f>
        <v xml:space="preserve">(SELECT instrmnt_id as instrmnt_id_to_be, isin as isin_to_be FROM bu_loantape_work.lt002_instrument WHERE ref_date='2025-06-30' AND nome_perimetro= 'Individual IDComb' AND segmento= 'ESTR' AND ambito= 'PM' AND entidade='00100' AND cod_visao = 1) B </v>
      </c>
      <c r="J213" s="17" t="str">
        <f>IF(VLOOKUP(B213,Instruções!$F$6:$J$10,5,0)="",
"ON "&amp;VLOOKUP(B213,Instruções!$F$6:$J$10,4,0)&amp;"_as_is = "&amp;VLOOKUP(B213,Instruções!$F$6:$J$10,4,0)&amp;"_to_be ",
"ON "&amp;VLOOKUP(B213,Instruções!$F$6:$J$10,4,0)&amp;"_as_is = "&amp;VLOOKUP(B213,Instruções!$F$6:$J$10,4,0)&amp;"_to_be AND "&amp;VLOOKUP(B213,Instruções!$F$6:$J$10,5,0)&amp;"_as_is = "&amp;VLOOKUP(B213,Instruções!$F$6:$J$10,5,0)&amp;"_to_be ")</f>
        <v xml:space="preserve">ON instrmnt_id_as_is = instrmnt_id_to_be </v>
      </c>
      <c r="K213" s="17" t="str">
        <f t="shared" si="45"/>
        <v xml:space="preserve">WHERE coalesce(cast(isin_as_is as string), '') &lt;&gt; coalesce(cast(isin_to_be as string), '') </v>
      </c>
      <c r="L213" s="17" t="str">
        <f t="shared" si="46"/>
        <v xml:space="preserve">SELECT count(*) AS NUM_REG_DIF FROM (SELECT instrmnt_id as instrmnt_id_as_is, isin as isin_as_is FROM cd_loan_tapes_bce.lt002_instrument WHERE ref_date='2025-06-30' AND nome_perimetro= 'Individual IDComb' AND segmento= 'ESTR' AND ambito= 'PM' AND entidade='00100' AND cod_visao = 1) A  Inner join (SELECT instrmnt_id as instrmnt_id_to_be, isin as isin_to_be FROM bu_loantape_work.lt002_instrument WHERE ref_date='2025-06-30' AND nome_perimetro= 'Individual IDComb' AND segmento= 'ESTR' AND ambito= 'PM' AND entidade='00100' AND cod_visao = 1) B ON instrmnt_id_as_is = instrmnt_id_to_be WHERE coalesce(cast(isin_as_is as string), '') &lt;&gt; coalesce(cast(isin_to_be as string), '') </v>
      </c>
      <c r="M213" s="17" t="s">
        <v>48</v>
      </c>
      <c r="N213" s="17" t="str">
        <f>"SELECT 'Validação de campos' as tipologia_teste, '"&amp;VLOOKUP(B213,Instruções!$F$6:$J$10,3,0)&amp;"' AS TABELA, '"&amp;E213&amp;"' AS CAMPO, '"&amp;Instruções!$D$7&amp;"' as ref_date, coalesce(NUM_REG_DIF, 0) AS NUM_REG_DIF FROM ("&amp;L213&amp;") A "</f>
        <v xml:space="preserve">SELECT 'Validação de campos' as tipologia_teste, 'lt002_instrument' AS TABELA, 'isin' AS CAMPO, '2025-06-30' as ref_date, coalesce(NUM_REG_DIF, 0) AS NUM_REG_DIF FROM (SELECT count(*) AS NUM_REG_DIF FROM (SELECT instrmnt_id as instrmnt_id_as_is, isin as isin_as_is FROM cd_loan_tapes_bce.lt002_instrument WHERE ref_date='2025-06-30' AND nome_perimetro= 'Individual IDComb' AND segmento= 'ESTR' AND ambito= 'PM' AND entidade='00100' AND cod_visao = 1) A  Inner join (SELECT instrmnt_id as instrmnt_id_to_be, isin as isin_to_be FROM bu_loantape_work.lt002_instrument WHERE ref_date='2025-06-30' AND nome_perimetro= 'Individual IDComb' AND segmento= 'ESTR' AND ambito= 'PM' AND entidade='00100' AND cod_visao = 1) B ON instrmnt_id_as_is = instrmnt_id_to_be WHERE coalesce(cast(isin_as_is as string), '') &lt;&gt; coalesce(cast(isin_to_be as string), '') ) A </v>
      </c>
      <c r="O213" s="19" t="str">
        <f t="shared" si="47"/>
        <v>SELECT 'Validação de campos' as tipologia_teste, 'lt002_instrument' AS TABELA, 'isin' AS CAMPO, '2025-06-30' as ref_date, coalesce(NUM_REG_DIF, 0) AS NUM_REG_DIF FROM (SELECT count(*) AS NUM_REG_DIF FROM (SELECT instrmnt_id as instrmnt_id_as_is, isin as isin_as_is FROM cd_loan_tapes_bce.lt002_instrument WHERE ref_date='2025-06-30' AND nome_perimetro= 'Individual IDComb' AND segmento= 'ESTR' AND ambito= 'PM' AND entidade='00100' AND cod_visao = 1) A  Inner join (SELECT instrmnt_id as instrmnt_id_to_be, isin as isin_to_be FROM bu_loantape_work.lt002_instrument WHERE ref_date='2025-06-30' AND nome_perimetro= 'Individual IDComb' AND segmento= 'ESTR' AND ambito= 'PM' AND entidade='00100' AND cod_visao = 1) B ON instrmnt_id_as_is = instrmnt_id_to_be WHERE coalesce(cast(isin_as_is as string), '') &lt;&gt; coalesce(cast(isin_to_be as string), '') ) A UNION ALL</v>
      </c>
      <c r="P213" s="17">
        <f t="shared" si="48"/>
        <v>4</v>
      </c>
    </row>
    <row r="214" spans="2:16" s="15" customFormat="1" ht="11.5" x14ac:dyDescent="0.25">
      <c r="B214" s="17" t="s">
        <v>24</v>
      </c>
      <c r="C214" s="17" t="str">
        <f>_xlfn.CONCAT(Instruções!$D$5,".",VLOOKUP(B214,Instruções!$F$5:$H$10,2,0))</f>
        <v>cd_loan_tapes_bce.lt002_instrument</v>
      </c>
      <c r="D214" s="17" t="str">
        <f>_xlfn.CONCAT(Instruções!$D$6,".",VLOOKUP(B214,Instruções!$F$5:$H$10,3,0))</f>
        <v>bu_loantape_work.lt002_instrument</v>
      </c>
      <c r="E214" s="17" t="s">
        <v>236</v>
      </c>
      <c r="F214" s="17" t="str">
        <f t="shared" si="43"/>
        <v>isin_scrtstn_as_is</v>
      </c>
      <c r="G214" s="17" t="str">
        <f t="shared" si="44"/>
        <v>isin_scrtstn_to_be</v>
      </c>
      <c r="H214" s="17" t="str">
        <f>IF(VLOOKUP(B214,Instruções!$F$6:$J$10,5,0)="",
"(SELECT "&amp;VLOOKUP(B214,Instruções!$F$6:$J$10,4,0)&amp;" as "&amp;VLOOKUP(B214,Instruções!$F$6:$J$10,4,0)&amp;"_as_is, "&amp;E214&amp;" as "&amp;F214&amp;" FROM "&amp;C214&amp;" WHERE "&amp;Instruções!$D$11&amp;") A ",
"(SELECT "&amp;VLOOKUP(B214,Instruções!$F$6:$J$10,4,0)&amp;" as "&amp;VLOOKUP(B214,Instruções!$F$6:$J$10,4,0)&amp;"_as_is, "&amp;VLOOKUP(B214,Instruções!$F$6:$J$10,5,0)&amp;" as "&amp;VLOOKUP(B214,Instruções!$F$6:$J$10,5,0)&amp;"_as_is,"&amp;E214&amp;" as "&amp;F214&amp;" FROM "&amp;C214&amp;" WHERE "&amp;Instruções!$D$11&amp;") A ")</f>
        <v xml:space="preserve">(SELECT instrmnt_id as instrmnt_id_as_is, isin_scrtstn as isin_scrtstn_as_is FROM cd_loan_tapes_bce.lt002_instrument WHERE ref_date='2025-06-30' AND nome_perimetro= 'Individual IDComb' AND segmento= 'ESTR' AND ambito= 'PM' AND entidade='00100' AND cod_visao = 1) A </v>
      </c>
      <c r="I214" s="17" t="str">
        <f>IF(VLOOKUP(B214,Instruções!$F$6:$J$10,5,0)="",
"(SELECT "&amp;VLOOKUP(B214,Instruções!$F$6:$J$10,4,0)&amp;" as "&amp;VLOOKUP(B214,Instruções!$F$6:$J$10,4,0)&amp;"_to_be, "&amp;E214&amp;" as "&amp;G214&amp;" FROM "&amp;D214&amp;" WHERE "&amp;Instruções!$D$11&amp;") B ",
"(SELECT "&amp;VLOOKUP(B214,Instruções!$F$6:$J$10,4,0)&amp;" as "&amp;VLOOKUP(B214,Instruções!$F$6:$J$10,4,0)&amp;"_to_be, "&amp;VLOOKUP(B214,Instruções!$F$6:$J$10,5,0)&amp;" as "&amp;VLOOKUP(B214,Instruções!$F$6:$J$10,5,0)&amp;"_to_be,"&amp;E214&amp;" as "&amp;G214&amp;" FROM "&amp;D214&amp;" WHERE "&amp;Instruções!$D$11&amp;") B ")</f>
        <v xml:space="preserve">(SELECT instrmnt_id as instrmnt_id_to_be, isin_scrtstn as isin_scrtstn_to_be FROM bu_loantape_work.lt002_instrument WHERE ref_date='2025-06-30' AND nome_perimetro= 'Individual IDComb' AND segmento= 'ESTR' AND ambito= 'PM' AND entidade='00100' AND cod_visao = 1) B </v>
      </c>
      <c r="J214" s="17" t="str">
        <f>IF(VLOOKUP(B214,Instruções!$F$6:$J$10,5,0)="",
"ON "&amp;VLOOKUP(B214,Instruções!$F$6:$J$10,4,0)&amp;"_as_is = "&amp;VLOOKUP(B214,Instruções!$F$6:$J$10,4,0)&amp;"_to_be ",
"ON "&amp;VLOOKUP(B214,Instruções!$F$6:$J$10,4,0)&amp;"_as_is = "&amp;VLOOKUP(B214,Instruções!$F$6:$J$10,4,0)&amp;"_to_be AND "&amp;VLOOKUP(B214,Instruções!$F$6:$J$10,5,0)&amp;"_as_is = "&amp;VLOOKUP(B214,Instruções!$F$6:$J$10,5,0)&amp;"_to_be ")</f>
        <v xml:space="preserve">ON instrmnt_id_as_is = instrmnt_id_to_be </v>
      </c>
      <c r="K214" s="17" t="str">
        <f t="shared" si="45"/>
        <v xml:space="preserve">WHERE coalesce(cast(isin_scrtstn_as_is as string), '') &lt;&gt; coalesce(cast(isin_scrtstn_to_be as string), '') </v>
      </c>
      <c r="L214" s="17" t="str">
        <f t="shared" si="46"/>
        <v xml:space="preserve">SELECT count(*) AS NUM_REG_DIF FROM (SELECT instrmnt_id as instrmnt_id_as_is, isin_scrtstn as isin_scrtstn_as_is FROM cd_loan_tapes_bce.lt002_instrument WHERE ref_date='2025-06-30' AND nome_perimetro= 'Individual IDComb' AND segmento= 'ESTR' AND ambito= 'PM' AND entidade='00100' AND cod_visao = 1) A  Inner join (SELECT instrmnt_id as instrmnt_id_to_be, isin_scrtstn as isin_scrtstn_to_be FROM bu_loantape_work.lt002_instrument WHERE ref_date='2025-06-30' AND nome_perimetro= 'Individual IDComb' AND segmento= 'ESTR' AND ambito= 'PM' AND entidade='00100' AND cod_visao = 1) B ON instrmnt_id_as_is = instrmnt_id_to_be WHERE coalesce(cast(isin_scrtstn_as_is as string), '') &lt;&gt; coalesce(cast(isin_scrtstn_to_be as string), '') </v>
      </c>
      <c r="M214" s="17" t="s">
        <v>48</v>
      </c>
      <c r="N214" s="17" t="str">
        <f>"SELECT 'Validação de campos' as tipologia_teste, '"&amp;VLOOKUP(B214,Instruções!$F$6:$J$10,3,0)&amp;"' AS TABELA, '"&amp;E214&amp;"' AS CAMPO, '"&amp;Instruções!$D$7&amp;"' as ref_date, coalesce(NUM_REG_DIF, 0) AS NUM_REG_DIF FROM ("&amp;L214&amp;") A "</f>
        <v xml:space="preserve">SELECT 'Validação de campos' as tipologia_teste, 'lt002_instrument' AS TABELA, 'isin_scrtstn' AS CAMPO, '2025-06-30' as ref_date, coalesce(NUM_REG_DIF, 0) AS NUM_REG_DIF FROM (SELECT count(*) AS NUM_REG_DIF FROM (SELECT instrmnt_id as instrmnt_id_as_is, isin_scrtstn as isin_scrtstn_as_is FROM cd_loan_tapes_bce.lt002_instrument WHERE ref_date='2025-06-30' AND nome_perimetro= 'Individual IDComb' AND segmento= 'ESTR' AND ambito= 'PM' AND entidade='00100' AND cod_visao = 1) A  Inner join (SELECT instrmnt_id as instrmnt_id_to_be, isin_scrtstn as isin_scrtstn_to_be FROM bu_loantape_work.lt002_instrument WHERE ref_date='2025-06-30' AND nome_perimetro= 'Individual IDComb' AND segmento= 'ESTR' AND ambito= 'PM' AND entidade='00100' AND cod_visao = 1) B ON instrmnt_id_as_is = instrmnt_id_to_be WHERE coalesce(cast(isin_scrtstn_as_is as string), '') &lt;&gt; coalesce(cast(isin_scrtstn_to_be as string), '') ) A </v>
      </c>
      <c r="O214" s="19" t="str">
        <f t="shared" si="47"/>
        <v>SELECT 'Validação de campos' as tipologia_teste, 'lt002_instrument' AS TABELA, 'isin_scrtstn' AS CAMPO, '2025-06-30' as ref_date, coalesce(NUM_REG_DIF, 0) AS NUM_REG_DIF FROM (SELECT count(*) AS NUM_REG_DIF FROM (SELECT instrmnt_id as instrmnt_id_as_is, isin_scrtstn as isin_scrtstn_as_is FROM cd_loan_tapes_bce.lt002_instrument WHERE ref_date='2025-06-30' AND nome_perimetro= 'Individual IDComb' AND segmento= 'ESTR' AND ambito= 'PM' AND entidade='00100' AND cod_visao = 1) A  Inner join (SELECT instrmnt_id as instrmnt_id_to_be, isin_scrtstn as isin_scrtstn_to_be FROM bu_loantape_work.lt002_instrument WHERE ref_date='2025-06-30' AND nome_perimetro= 'Individual IDComb' AND segmento= 'ESTR' AND ambito= 'PM' AND entidade='00100' AND cod_visao = 1) B ON instrmnt_id_as_is = instrmnt_id_to_be WHERE coalesce(cast(isin_scrtstn_as_is as string), '') &lt;&gt; coalesce(cast(isin_scrtstn_to_be as string), '') ) A UNION ALL</v>
      </c>
      <c r="P214" s="17">
        <f t="shared" si="48"/>
        <v>5</v>
      </c>
    </row>
    <row r="215" spans="2:16" s="15" customFormat="1" ht="11.5" x14ac:dyDescent="0.25">
      <c r="B215" s="17" t="s">
        <v>24</v>
      </c>
      <c r="C215" s="17" t="str">
        <f>_xlfn.CONCAT(Instruções!$D$5,".",VLOOKUP(B215,Instruções!$F$5:$H$10,2,0))</f>
        <v>cd_loan_tapes_bce.lt002_instrument</v>
      </c>
      <c r="D215" s="17" t="str">
        <f>_xlfn.CONCAT(Instruções!$D$6,".",VLOOKUP(B215,Instruções!$F$5:$H$10,3,0))</f>
        <v>bu_loantape_work.lt002_instrument</v>
      </c>
      <c r="E215" s="17" t="s">
        <v>237</v>
      </c>
      <c r="F215" s="17" t="str">
        <f t="shared" si="43"/>
        <v>issr_cntry_as_is</v>
      </c>
      <c r="G215" s="17" t="str">
        <f t="shared" si="44"/>
        <v>issr_cntry_to_be</v>
      </c>
      <c r="H215" s="17" t="str">
        <f>IF(VLOOKUP(B215,Instruções!$F$6:$J$10,5,0)="",
"(SELECT "&amp;VLOOKUP(B215,Instruções!$F$6:$J$10,4,0)&amp;" as "&amp;VLOOKUP(B215,Instruções!$F$6:$J$10,4,0)&amp;"_as_is, "&amp;E215&amp;" as "&amp;F215&amp;" FROM "&amp;C215&amp;" WHERE "&amp;Instruções!$D$11&amp;") A ",
"(SELECT "&amp;VLOOKUP(B215,Instruções!$F$6:$J$10,4,0)&amp;" as "&amp;VLOOKUP(B215,Instruções!$F$6:$J$10,4,0)&amp;"_as_is, "&amp;VLOOKUP(B215,Instruções!$F$6:$J$10,5,0)&amp;" as "&amp;VLOOKUP(B215,Instruções!$F$6:$J$10,5,0)&amp;"_as_is,"&amp;E215&amp;" as "&amp;F215&amp;" FROM "&amp;C215&amp;" WHERE "&amp;Instruções!$D$11&amp;") A ")</f>
        <v xml:space="preserve">(SELECT instrmnt_id as instrmnt_id_as_is, issr_cntry as issr_cntry_as_is FROM cd_loan_tapes_bce.lt002_instrument WHERE ref_date='2025-06-30' AND nome_perimetro= 'Individual IDComb' AND segmento= 'ESTR' AND ambito= 'PM' AND entidade='00100' AND cod_visao = 1) A </v>
      </c>
      <c r="I215" s="17" t="str">
        <f>IF(VLOOKUP(B215,Instruções!$F$6:$J$10,5,0)="",
"(SELECT "&amp;VLOOKUP(B215,Instruções!$F$6:$J$10,4,0)&amp;" as "&amp;VLOOKUP(B215,Instruções!$F$6:$J$10,4,0)&amp;"_to_be, "&amp;E215&amp;" as "&amp;G215&amp;" FROM "&amp;D215&amp;" WHERE "&amp;Instruções!$D$11&amp;") B ",
"(SELECT "&amp;VLOOKUP(B215,Instruções!$F$6:$J$10,4,0)&amp;" as "&amp;VLOOKUP(B215,Instruções!$F$6:$J$10,4,0)&amp;"_to_be, "&amp;VLOOKUP(B215,Instruções!$F$6:$J$10,5,0)&amp;" as "&amp;VLOOKUP(B215,Instruções!$F$6:$J$10,5,0)&amp;"_to_be,"&amp;E215&amp;" as "&amp;G215&amp;" FROM "&amp;D215&amp;" WHERE "&amp;Instruções!$D$11&amp;") B ")</f>
        <v xml:space="preserve">(SELECT instrmnt_id as instrmnt_id_to_be, issr_cntry as issr_cntry_to_be FROM bu_loantape_work.lt002_instrument WHERE ref_date='2025-06-30' AND nome_perimetro= 'Individual IDComb' AND segmento= 'ESTR' AND ambito= 'PM' AND entidade='00100' AND cod_visao = 1) B </v>
      </c>
      <c r="J215" s="17" t="str">
        <f>IF(VLOOKUP(B215,Instruções!$F$6:$J$10,5,0)="",
"ON "&amp;VLOOKUP(B215,Instruções!$F$6:$J$10,4,0)&amp;"_as_is = "&amp;VLOOKUP(B215,Instruções!$F$6:$J$10,4,0)&amp;"_to_be ",
"ON "&amp;VLOOKUP(B215,Instruções!$F$6:$J$10,4,0)&amp;"_as_is = "&amp;VLOOKUP(B215,Instruções!$F$6:$J$10,4,0)&amp;"_to_be AND "&amp;VLOOKUP(B215,Instruções!$F$6:$J$10,5,0)&amp;"_as_is = "&amp;VLOOKUP(B215,Instruções!$F$6:$J$10,5,0)&amp;"_to_be ")</f>
        <v xml:space="preserve">ON instrmnt_id_as_is = instrmnt_id_to_be </v>
      </c>
      <c r="K215" s="17" t="str">
        <f t="shared" si="45"/>
        <v xml:space="preserve">WHERE coalesce(cast(issr_cntry_as_is as string), '') &lt;&gt; coalesce(cast(issr_cntry_to_be as string), '') </v>
      </c>
      <c r="L215" s="17" t="str">
        <f t="shared" si="46"/>
        <v xml:space="preserve">SELECT count(*) AS NUM_REG_DIF FROM (SELECT instrmnt_id as instrmnt_id_as_is, issr_cntry as issr_cntry_as_is FROM cd_loan_tapes_bce.lt002_instrument WHERE ref_date='2025-06-30' AND nome_perimetro= 'Individual IDComb' AND segmento= 'ESTR' AND ambito= 'PM' AND entidade='00100' AND cod_visao = 1) A  Inner join (SELECT instrmnt_id as instrmnt_id_to_be, issr_cntry as issr_cntry_to_be FROM bu_loantape_work.lt002_instrument WHERE ref_date='2025-06-30' AND nome_perimetro= 'Individual IDComb' AND segmento= 'ESTR' AND ambito= 'PM' AND entidade='00100' AND cod_visao = 1) B ON instrmnt_id_as_is = instrmnt_id_to_be WHERE coalesce(cast(issr_cntry_as_is as string), '') &lt;&gt; coalesce(cast(issr_cntry_to_be as string), '') </v>
      </c>
      <c r="M215" s="17" t="s">
        <v>48</v>
      </c>
      <c r="N215" s="17" t="str">
        <f>"SELECT 'Validação de campos' as tipologia_teste, '"&amp;VLOOKUP(B215,Instruções!$F$6:$J$10,3,0)&amp;"' AS TABELA, '"&amp;E215&amp;"' AS CAMPO, '"&amp;Instruções!$D$7&amp;"' as ref_date, coalesce(NUM_REG_DIF, 0) AS NUM_REG_DIF FROM ("&amp;L215&amp;") A "</f>
        <v xml:space="preserve">SELECT 'Validação de campos' as tipologia_teste, 'lt002_instrument' AS TABELA, 'issr_cntry' AS CAMPO, '2025-06-30' as ref_date, coalesce(NUM_REG_DIF, 0) AS NUM_REG_DIF FROM (SELECT count(*) AS NUM_REG_DIF FROM (SELECT instrmnt_id as instrmnt_id_as_is, issr_cntry as issr_cntry_as_is FROM cd_loan_tapes_bce.lt002_instrument WHERE ref_date='2025-06-30' AND nome_perimetro= 'Individual IDComb' AND segmento= 'ESTR' AND ambito= 'PM' AND entidade='00100' AND cod_visao = 1) A  Inner join (SELECT instrmnt_id as instrmnt_id_to_be, issr_cntry as issr_cntry_to_be FROM bu_loantape_work.lt002_instrument WHERE ref_date='2025-06-30' AND nome_perimetro= 'Individual IDComb' AND segmento= 'ESTR' AND ambito= 'PM' AND entidade='00100' AND cod_visao = 1) B ON instrmnt_id_as_is = instrmnt_id_to_be WHERE coalesce(cast(issr_cntry_as_is as string), '') &lt;&gt; coalesce(cast(issr_cntry_to_be as string), '') ) A </v>
      </c>
      <c r="O215" s="19" t="str">
        <f t="shared" si="47"/>
        <v>SELECT 'Validação de campos' as tipologia_teste, 'lt002_instrument' AS TABELA, 'issr_cntry' AS CAMPO, '2025-06-30' as ref_date, coalesce(NUM_REG_DIF, 0) AS NUM_REG_DIF FROM (SELECT count(*) AS NUM_REG_DIF FROM (SELECT instrmnt_id as instrmnt_id_as_is, issr_cntry as issr_cntry_as_is FROM cd_loan_tapes_bce.lt002_instrument WHERE ref_date='2025-06-30' AND nome_perimetro= 'Individual IDComb' AND segmento= 'ESTR' AND ambito= 'PM' AND entidade='00100' AND cod_visao = 1) A  Inner join (SELECT instrmnt_id as instrmnt_id_to_be, issr_cntry as issr_cntry_to_be FROM bu_loantape_work.lt002_instrument WHERE ref_date='2025-06-30' AND nome_perimetro= 'Individual IDComb' AND segmento= 'ESTR' AND ambito= 'PM' AND entidade='00100' AND cod_visao = 1) B ON instrmnt_id_as_is = instrmnt_id_to_be WHERE coalesce(cast(issr_cntry_as_is as string), '') &lt;&gt; coalesce(cast(issr_cntry_to_be as string), '') ) A UNION ALL</v>
      </c>
      <c r="P215" s="17">
        <f t="shared" si="48"/>
        <v>6</v>
      </c>
    </row>
    <row r="216" spans="2:16" s="15" customFormat="1" ht="11.5" x14ac:dyDescent="0.25">
      <c r="B216" s="17" t="s">
        <v>24</v>
      </c>
      <c r="C216" s="17" t="str">
        <f>_xlfn.CONCAT(Instruções!$D$5,".",VLOOKUP(B216,Instruções!$F$5:$H$10,2,0))</f>
        <v>cd_loan_tapes_bce.lt002_instrument</v>
      </c>
      <c r="D216" s="17" t="str">
        <f>_xlfn.CONCAT(Instruções!$D$6,".",VLOOKUP(B216,Instruções!$F$5:$H$10,3,0))</f>
        <v>bu_loantape_work.lt002_instrument</v>
      </c>
      <c r="E216" s="17" t="s">
        <v>238</v>
      </c>
      <c r="F216" s="17" t="str">
        <f t="shared" si="43"/>
        <v>issr_esa_2010_as_is</v>
      </c>
      <c r="G216" s="17" t="str">
        <f t="shared" si="44"/>
        <v>issr_esa_2010_to_be</v>
      </c>
      <c r="H216" s="17" t="str">
        <f>IF(VLOOKUP(B216,Instruções!$F$6:$J$10,5,0)="",
"(SELECT "&amp;VLOOKUP(B216,Instruções!$F$6:$J$10,4,0)&amp;" as "&amp;VLOOKUP(B216,Instruções!$F$6:$J$10,4,0)&amp;"_as_is, "&amp;E216&amp;" as "&amp;F216&amp;" FROM "&amp;C216&amp;" WHERE "&amp;Instruções!$D$11&amp;") A ",
"(SELECT "&amp;VLOOKUP(B216,Instruções!$F$6:$J$10,4,0)&amp;" as "&amp;VLOOKUP(B216,Instruções!$F$6:$J$10,4,0)&amp;"_as_is, "&amp;VLOOKUP(B216,Instruções!$F$6:$J$10,5,0)&amp;" as "&amp;VLOOKUP(B216,Instruções!$F$6:$J$10,5,0)&amp;"_as_is,"&amp;E216&amp;" as "&amp;F216&amp;" FROM "&amp;C216&amp;" WHERE "&amp;Instruções!$D$11&amp;") A ")</f>
        <v xml:space="preserve">(SELECT instrmnt_id as instrmnt_id_as_is, issr_esa_2010 as issr_esa_2010_as_is FROM cd_loan_tapes_bce.lt002_instrument WHERE ref_date='2025-06-30' AND nome_perimetro= 'Individual IDComb' AND segmento= 'ESTR' AND ambito= 'PM' AND entidade='00100' AND cod_visao = 1) A </v>
      </c>
      <c r="I216" s="17" t="str">
        <f>IF(VLOOKUP(B216,Instruções!$F$6:$J$10,5,0)="",
"(SELECT "&amp;VLOOKUP(B216,Instruções!$F$6:$J$10,4,0)&amp;" as "&amp;VLOOKUP(B216,Instruções!$F$6:$J$10,4,0)&amp;"_to_be, "&amp;E216&amp;" as "&amp;G216&amp;" FROM "&amp;D216&amp;" WHERE "&amp;Instruções!$D$11&amp;") B ",
"(SELECT "&amp;VLOOKUP(B216,Instruções!$F$6:$J$10,4,0)&amp;" as "&amp;VLOOKUP(B216,Instruções!$F$6:$J$10,4,0)&amp;"_to_be, "&amp;VLOOKUP(B216,Instruções!$F$6:$J$10,5,0)&amp;" as "&amp;VLOOKUP(B216,Instruções!$F$6:$J$10,5,0)&amp;"_to_be,"&amp;E216&amp;" as "&amp;G216&amp;" FROM "&amp;D216&amp;" WHERE "&amp;Instruções!$D$11&amp;") B ")</f>
        <v xml:space="preserve">(SELECT instrmnt_id as instrmnt_id_to_be, issr_esa_2010 as issr_esa_2010_to_be FROM bu_loantape_work.lt002_instrument WHERE ref_date='2025-06-30' AND nome_perimetro= 'Individual IDComb' AND segmento= 'ESTR' AND ambito= 'PM' AND entidade='00100' AND cod_visao = 1) B </v>
      </c>
      <c r="J216" s="17" t="str">
        <f>IF(VLOOKUP(B216,Instruções!$F$6:$J$10,5,0)="",
"ON "&amp;VLOOKUP(B216,Instruções!$F$6:$J$10,4,0)&amp;"_as_is = "&amp;VLOOKUP(B216,Instruções!$F$6:$J$10,4,0)&amp;"_to_be ",
"ON "&amp;VLOOKUP(B216,Instruções!$F$6:$J$10,4,0)&amp;"_as_is = "&amp;VLOOKUP(B216,Instruções!$F$6:$J$10,4,0)&amp;"_to_be AND "&amp;VLOOKUP(B216,Instruções!$F$6:$J$10,5,0)&amp;"_as_is = "&amp;VLOOKUP(B216,Instruções!$F$6:$J$10,5,0)&amp;"_to_be ")</f>
        <v xml:space="preserve">ON instrmnt_id_as_is = instrmnt_id_to_be </v>
      </c>
      <c r="K216" s="17" t="str">
        <f t="shared" si="45"/>
        <v xml:space="preserve">WHERE coalesce(cast(issr_esa_2010_as_is as string), '') &lt;&gt; coalesce(cast(issr_esa_2010_to_be as string), '') </v>
      </c>
      <c r="L216" s="17" t="str">
        <f t="shared" si="46"/>
        <v xml:space="preserve">SELECT count(*) AS NUM_REG_DIF FROM (SELECT instrmnt_id as instrmnt_id_as_is, issr_esa_2010 as issr_esa_2010_as_is FROM cd_loan_tapes_bce.lt002_instrument WHERE ref_date='2025-06-30' AND nome_perimetro= 'Individual IDComb' AND segmento= 'ESTR' AND ambito= 'PM' AND entidade='00100' AND cod_visao = 1) A  Inner join (SELECT instrmnt_id as instrmnt_id_to_be, issr_esa_2010 as issr_esa_2010_to_be FROM bu_loantape_work.lt002_instrument WHERE ref_date='2025-06-30' AND nome_perimetro= 'Individual IDComb' AND segmento= 'ESTR' AND ambito= 'PM' AND entidade='00100' AND cod_visao = 1) B ON instrmnt_id_as_is = instrmnt_id_to_be WHERE coalesce(cast(issr_esa_2010_as_is as string), '') &lt;&gt; coalesce(cast(issr_esa_2010_to_be as string), '') </v>
      </c>
      <c r="M216" s="17" t="s">
        <v>48</v>
      </c>
      <c r="N216" s="17" t="str">
        <f>"SELECT 'Validação de campos' as tipologia_teste, '"&amp;VLOOKUP(B216,Instruções!$F$6:$J$10,3,0)&amp;"' AS TABELA, '"&amp;E216&amp;"' AS CAMPO, '"&amp;Instruções!$D$7&amp;"' as ref_date, coalesce(NUM_REG_DIF, 0) AS NUM_REG_DIF FROM ("&amp;L216&amp;") A "</f>
        <v xml:space="preserve">SELECT 'Validação de campos' as tipologia_teste, 'lt002_instrument' AS TABELA, 'issr_esa_2010' AS CAMPO, '2025-06-30' as ref_date, coalesce(NUM_REG_DIF, 0) AS NUM_REG_DIF FROM (SELECT count(*) AS NUM_REG_DIF FROM (SELECT instrmnt_id as instrmnt_id_as_is, issr_esa_2010 as issr_esa_2010_as_is FROM cd_loan_tapes_bce.lt002_instrument WHERE ref_date='2025-06-30' AND nome_perimetro= 'Individual IDComb' AND segmento= 'ESTR' AND ambito= 'PM' AND entidade='00100' AND cod_visao = 1) A  Inner join (SELECT instrmnt_id as instrmnt_id_to_be, issr_esa_2010 as issr_esa_2010_to_be FROM bu_loantape_work.lt002_instrument WHERE ref_date='2025-06-30' AND nome_perimetro= 'Individual IDComb' AND segmento= 'ESTR' AND ambito= 'PM' AND entidade='00100' AND cod_visao = 1) B ON instrmnt_id_as_is = instrmnt_id_to_be WHERE coalesce(cast(issr_esa_2010_as_is as string), '') &lt;&gt; coalesce(cast(issr_esa_2010_to_be as string), '') ) A </v>
      </c>
      <c r="O216" s="19" t="str">
        <f t="shared" si="47"/>
        <v>SELECT 'Validação de campos' as tipologia_teste, 'lt002_instrument' AS TABELA, 'issr_esa_2010' AS CAMPO, '2025-06-30' as ref_date, coalesce(NUM_REG_DIF, 0) AS NUM_REG_DIF FROM (SELECT count(*) AS NUM_REG_DIF FROM (SELECT instrmnt_id as instrmnt_id_as_is, issr_esa_2010 as issr_esa_2010_as_is FROM cd_loan_tapes_bce.lt002_instrument WHERE ref_date='2025-06-30' AND nome_perimetro= 'Individual IDComb' AND segmento= 'ESTR' AND ambito= 'PM' AND entidade='00100' AND cod_visao = 1) A  Inner join (SELECT instrmnt_id as instrmnt_id_to_be, issr_esa_2010 as issr_esa_2010_to_be FROM bu_loantape_work.lt002_instrument WHERE ref_date='2025-06-30' AND nome_perimetro= 'Individual IDComb' AND segmento= 'ESTR' AND ambito= 'PM' AND entidade='00100' AND cod_visao = 1) B ON instrmnt_id_as_is = instrmnt_id_to_be WHERE coalesce(cast(issr_esa_2010_as_is as string), '') &lt;&gt; coalesce(cast(issr_esa_2010_to_be as string), '') ) A UNION ALL</v>
      </c>
      <c r="P216" s="17">
        <f t="shared" si="48"/>
        <v>7</v>
      </c>
    </row>
    <row r="217" spans="2:16" s="15" customFormat="1" ht="11.5" x14ac:dyDescent="0.25">
      <c r="B217" s="17" t="s">
        <v>24</v>
      </c>
      <c r="C217" s="17" t="str">
        <f>_xlfn.CONCAT(Instruções!$D$5,".",VLOOKUP(B217,Instruções!$F$5:$H$10,2,0))</f>
        <v>cd_loan_tapes_bce.lt002_instrument</v>
      </c>
      <c r="D217" s="17" t="str">
        <f>_xlfn.CONCAT(Instruções!$D$6,".",VLOOKUP(B217,Instruções!$F$5:$H$10,3,0))</f>
        <v>bu_loantape_work.lt002_instrument</v>
      </c>
      <c r="E217" s="17" t="s">
        <v>239</v>
      </c>
      <c r="F217" s="17" t="str">
        <f t="shared" si="43"/>
        <v>issr_id_as_is</v>
      </c>
      <c r="G217" s="17" t="str">
        <f t="shared" si="44"/>
        <v>issr_id_to_be</v>
      </c>
      <c r="H217" s="17" t="str">
        <f>IF(VLOOKUP(B217,Instruções!$F$6:$J$10,5,0)="",
"(SELECT "&amp;VLOOKUP(B217,Instruções!$F$6:$J$10,4,0)&amp;" as "&amp;VLOOKUP(B217,Instruções!$F$6:$J$10,4,0)&amp;"_as_is, "&amp;E217&amp;" as "&amp;F217&amp;" FROM "&amp;C217&amp;" WHERE "&amp;Instruções!$D$11&amp;") A ",
"(SELECT "&amp;VLOOKUP(B217,Instruções!$F$6:$J$10,4,0)&amp;" as "&amp;VLOOKUP(B217,Instruções!$F$6:$J$10,4,0)&amp;"_as_is, "&amp;VLOOKUP(B217,Instruções!$F$6:$J$10,5,0)&amp;" as "&amp;VLOOKUP(B217,Instruções!$F$6:$J$10,5,0)&amp;"_as_is,"&amp;E217&amp;" as "&amp;F217&amp;" FROM "&amp;C217&amp;" WHERE "&amp;Instruções!$D$11&amp;") A ")</f>
        <v xml:space="preserve">(SELECT instrmnt_id as instrmnt_id_as_is, issr_id as issr_id_as_is FROM cd_loan_tapes_bce.lt002_instrument WHERE ref_date='2025-06-30' AND nome_perimetro= 'Individual IDComb' AND segmento= 'ESTR' AND ambito= 'PM' AND entidade='00100' AND cod_visao = 1) A </v>
      </c>
      <c r="I217" s="17" t="str">
        <f>IF(VLOOKUP(B217,Instruções!$F$6:$J$10,5,0)="",
"(SELECT "&amp;VLOOKUP(B217,Instruções!$F$6:$J$10,4,0)&amp;" as "&amp;VLOOKUP(B217,Instruções!$F$6:$J$10,4,0)&amp;"_to_be, "&amp;E217&amp;" as "&amp;G217&amp;" FROM "&amp;D217&amp;" WHERE "&amp;Instruções!$D$11&amp;") B ",
"(SELECT "&amp;VLOOKUP(B217,Instruções!$F$6:$J$10,4,0)&amp;" as "&amp;VLOOKUP(B217,Instruções!$F$6:$J$10,4,0)&amp;"_to_be, "&amp;VLOOKUP(B217,Instruções!$F$6:$J$10,5,0)&amp;" as "&amp;VLOOKUP(B217,Instruções!$F$6:$J$10,5,0)&amp;"_to_be,"&amp;E217&amp;" as "&amp;G217&amp;" FROM "&amp;D217&amp;" WHERE "&amp;Instruções!$D$11&amp;") B ")</f>
        <v xml:space="preserve">(SELECT instrmnt_id as instrmnt_id_to_be, issr_id as issr_id_to_be FROM bu_loantape_work.lt002_instrument WHERE ref_date='2025-06-30' AND nome_perimetro= 'Individual IDComb' AND segmento= 'ESTR' AND ambito= 'PM' AND entidade='00100' AND cod_visao = 1) B </v>
      </c>
      <c r="J217" s="17" t="str">
        <f>IF(VLOOKUP(B217,Instruções!$F$6:$J$10,5,0)="",
"ON "&amp;VLOOKUP(B217,Instruções!$F$6:$J$10,4,0)&amp;"_as_is = "&amp;VLOOKUP(B217,Instruções!$F$6:$J$10,4,0)&amp;"_to_be ",
"ON "&amp;VLOOKUP(B217,Instruções!$F$6:$J$10,4,0)&amp;"_as_is = "&amp;VLOOKUP(B217,Instruções!$F$6:$J$10,4,0)&amp;"_to_be AND "&amp;VLOOKUP(B217,Instruções!$F$6:$J$10,5,0)&amp;"_as_is = "&amp;VLOOKUP(B217,Instruções!$F$6:$J$10,5,0)&amp;"_to_be ")</f>
        <v xml:space="preserve">ON instrmnt_id_as_is = instrmnt_id_to_be </v>
      </c>
      <c r="K217" s="17" t="str">
        <f t="shared" si="45"/>
        <v xml:space="preserve">WHERE coalesce(cast(issr_id_as_is as string), '') &lt;&gt; coalesce(cast(issr_id_to_be as string), '') </v>
      </c>
      <c r="L217" s="17" t="str">
        <f t="shared" si="46"/>
        <v xml:space="preserve">SELECT count(*) AS NUM_REG_DIF FROM (SELECT instrmnt_id as instrmnt_id_as_is, issr_id as issr_id_as_is FROM cd_loan_tapes_bce.lt002_instrument WHERE ref_date='2025-06-30' AND nome_perimetro= 'Individual IDComb' AND segmento= 'ESTR' AND ambito= 'PM' AND entidade='00100' AND cod_visao = 1) A  Inner join (SELECT instrmnt_id as instrmnt_id_to_be, issr_id as issr_id_to_be FROM bu_loantape_work.lt002_instrument WHERE ref_date='2025-06-30' AND nome_perimetro= 'Individual IDComb' AND segmento= 'ESTR' AND ambito= 'PM' AND entidade='00100' AND cod_visao = 1) B ON instrmnt_id_as_is = instrmnt_id_to_be WHERE coalesce(cast(issr_id_as_is as string), '') &lt;&gt; coalesce(cast(issr_id_to_be as string), '') </v>
      </c>
      <c r="M217" s="17" t="s">
        <v>48</v>
      </c>
      <c r="N217" s="17" t="str">
        <f>"SELECT 'Validação de campos' as tipologia_teste, '"&amp;VLOOKUP(B217,Instruções!$F$6:$J$10,3,0)&amp;"' AS TABELA, '"&amp;E217&amp;"' AS CAMPO, '"&amp;Instruções!$D$7&amp;"' as ref_date, coalesce(NUM_REG_DIF, 0) AS NUM_REG_DIF FROM ("&amp;L217&amp;") A "</f>
        <v xml:space="preserve">SELECT 'Validação de campos' as tipologia_teste, 'lt002_instrument' AS TABELA, 'issr_id' AS CAMPO, '2025-06-30' as ref_date, coalesce(NUM_REG_DIF, 0) AS NUM_REG_DIF FROM (SELECT count(*) AS NUM_REG_DIF FROM (SELECT instrmnt_id as instrmnt_id_as_is, issr_id as issr_id_as_is FROM cd_loan_tapes_bce.lt002_instrument WHERE ref_date='2025-06-30' AND nome_perimetro= 'Individual IDComb' AND segmento= 'ESTR' AND ambito= 'PM' AND entidade='00100' AND cod_visao = 1) A  Inner join (SELECT instrmnt_id as instrmnt_id_to_be, issr_id as issr_id_to_be FROM bu_loantape_work.lt002_instrument WHERE ref_date='2025-06-30' AND nome_perimetro= 'Individual IDComb' AND segmento= 'ESTR' AND ambito= 'PM' AND entidade='00100' AND cod_visao = 1) B ON instrmnt_id_as_is = instrmnt_id_to_be WHERE coalesce(cast(issr_id_as_is as string), '') &lt;&gt; coalesce(cast(issr_id_to_be as string), '') ) A </v>
      </c>
      <c r="O217" s="19" t="str">
        <f t="shared" si="47"/>
        <v>SELECT 'Validação de campos' as tipologia_teste, 'lt002_instrument' AS TABELA, 'issr_id' AS CAMPO, '2025-06-30' as ref_date, coalesce(NUM_REG_DIF, 0) AS NUM_REG_DIF FROM (SELECT count(*) AS NUM_REG_DIF FROM (SELECT instrmnt_id as instrmnt_id_as_is, issr_id as issr_id_as_is FROM cd_loan_tapes_bce.lt002_instrument WHERE ref_date='2025-06-30' AND nome_perimetro= 'Individual IDComb' AND segmento= 'ESTR' AND ambito= 'PM' AND entidade='00100' AND cod_visao = 1) A  Inner join (SELECT instrmnt_id as instrmnt_id_to_be, issr_id as issr_id_to_be FROM bu_loantape_work.lt002_instrument WHERE ref_date='2025-06-30' AND nome_perimetro= 'Individual IDComb' AND segmento= 'ESTR' AND ambito= 'PM' AND entidade='00100' AND cod_visao = 1) B ON instrmnt_id_as_is = instrmnt_id_to_be WHERE coalesce(cast(issr_id_as_is as string), '') &lt;&gt; coalesce(cast(issr_id_to_be as string), '') ) A UNION ALL</v>
      </c>
      <c r="P217" s="17">
        <f t="shared" si="48"/>
        <v>8</v>
      </c>
    </row>
    <row r="218" spans="2:16" s="15" customFormat="1" ht="11.5" x14ac:dyDescent="0.25">
      <c r="B218" s="17" t="s">
        <v>24</v>
      </c>
      <c r="C218" s="17" t="str">
        <f>_xlfn.CONCAT(Instruções!$D$5,".",VLOOKUP(B218,Instruções!$F$5:$H$10,2,0))</f>
        <v>cd_loan_tapes_bce.lt002_instrument</v>
      </c>
      <c r="D218" s="17" t="str">
        <f>_xlfn.CONCAT(Instruções!$D$6,".",VLOOKUP(B218,Instruções!$F$5:$H$10,3,0))</f>
        <v>bu_loantape_work.lt002_instrument</v>
      </c>
      <c r="E218" s="17" t="s">
        <v>240</v>
      </c>
      <c r="F218" s="17" t="str">
        <f t="shared" si="43"/>
        <v>issr_id_typ_as_is</v>
      </c>
      <c r="G218" s="17" t="str">
        <f t="shared" si="44"/>
        <v>issr_id_typ_to_be</v>
      </c>
      <c r="H218" s="17" t="str">
        <f>IF(VLOOKUP(B218,Instruções!$F$6:$J$10,5,0)="",
"(SELECT "&amp;VLOOKUP(B218,Instruções!$F$6:$J$10,4,0)&amp;" as "&amp;VLOOKUP(B218,Instruções!$F$6:$J$10,4,0)&amp;"_as_is, "&amp;E218&amp;" as "&amp;F218&amp;" FROM "&amp;C218&amp;" WHERE "&amp;Instruções!$D$11&amp;") A ",
"(SELECT "&amp;VLOOKUP(B218,Instruções!$F$6:$J$10,4,0)&amp;" as "&amp;VLOOKUP(B218,Instruções!$F$6:$J$10,4,0)&amp;"_as_is, "&amp;VLOOKUP(B218,Instruções!$F$6:$J$10,5,0)&amp;" as "&amp;VLOOKUP(B218,Instruções!$F$6:$J$10,5,0)&amp;"_as_is,"&amp;E218&amp;" as "&amp;F218&amp;" FROM "&amp;C218&amp;" WHERE "&amp;Instruções!$D$11&amp;") A ")</f>
        <v xml:space="preserve">(SELECT instrmnt_id as instrmnt_id_as_is, issr_id_typ as issr_id_typ_as_is FROM cd_loan_tapes_bce.lt002_instrument WHERE ref_date='2025-06-30' AND nome_perimetro= 'Individual IDComb' AND segmento= 'ESTR' AND ambito= 'PM' AND entidade='00100' AND cod_visao = 1) A </v>
      </c>
      <c r="I218" s="17" t="str">
        <f>IF(VLOOKUP(B218,Instruções!$F$6:$J$10,5,0)="",
"(SELECT "&amp;VLOOKUP(B218,Instruções!$F$6:$J$10,4,0)&amp;" as "&amp;VLOOKUP(B218,Instruções!$F$6:$J$10,4,0)&amp;"_to_be, "&amp;E218&amp;" as "&amp;G218&amp;" FROM "&amp;D218&amp;" WHERE "&amp;Instruções!$D$11&amp;") B ",
"(SELECT "&amp;VLOOKUP(B218,Instruções!$F$6:$J$10,4,0)&amp;" as "&amp;VLOOKUP(B218,Instruções!$F$6:$J$10,4,0)&amp;"_to_be, "&amp;VLOOKUP(B218,Instruções!$F$6:$J$10,5,0)&amp;" as "&amp;VLOOKUP(B218,Instruções!$F$6:$J$10,5,0)&amp;"_to_be,"&amp;E218&amp;" as "&amp;G218&amp;" FROM "&amp;D218&amp;" WHERE "&amp;Instruções!$D$11&amp;") B ")</f>
        <v xml:space="preserve">(SELECT instrmnt_id as instrmnt_id_to_be, issr_id_typ as issr_id_typ_to_be FROM bu_loantape_work.lt002_instrument WHERE ref_date='2025-06-30' AND nome_perimetro= 'Individual IDComb' AND segmento= 'ESTR' AND ambito= 'PM' AND entidade='00100' AND cod_visao = 1) B </v>
      </c>
      <c r="J218" s="17" t="str">
        <f>IF(VLOOKUP(B218,Instruções!$F$6:$J$10,5,0)="",
"ON "&amp;VLOOKUP(B218,Instruções!$F$6:$J$10,4,0)&amp;"_as_is = "&amp;VLOOKUP(B218,Instruções!$F$6:$J$10,4,0)&amp;"_to_be ",
"ON "&amp;VLOOKUP(B218,Instruções!$F$6:$J$10,4,0)&amp;"_as_is = "&amp;VLOOKUP(B218,Instruções!$F$6:$J$10,4,0)&amp;"_to_be AND "&amp;VLOOKUP(B218,Instruções!$F$6:$J$10,5,0)&amp;"_as_is = "&amp;VLOOKUP(B218,Instruções!$F$6:$J$10,5,0)&amp;"_to_be ")</f>
        <v xml:space="preserve">ON instrmnt_id_as_is = instrmnt_id_to_be </v>
      </c>
      <c r="K218" s="17" t="str">
        <f t="shared" si="45"/>
        <v xml:space="preserve">WHERE coalesce(cast(issr_id_typ_as_is as string), '') &lt;&gt; coalesce(cast(issr_id_typ_to_be as string), '') </v>
      </c>
      <c r="L218" s="17" t="str">
        <f t="shared" si="46"/>
        <v xml:space="preserve">SELECT count(*) AS NUM_REG_DIF FROM (SELECT instrmnt_id as instrmnt_id_as_is, issr_id_typ as issr_id_typ_as_is FROM cd_loan_tapes_bce.lt002_instrument WHERE ref_date='2025-06-30' AND nome_perimetro= 'Individual IDComb' AND segmento= 'ESTR' AND ambito= 'PM' AND entidade='00100' AND cod_visao = 1) A  Inner join (SELECT instrmnt_id as instrmnt_id_to_be, issr_id_typ as issr_id_typ_to_be FROM bu_loantape_work.lt002_instrument WHERE ref_date='2025-06-30' AND nome_perimetro= 'Individual IDComb' AND segmento= 'ESTR' AND ambito= 'PM' AND entidade='00100' AND cod_visao = 1) B ON instrmnt_id_as_is = instrmnt_id_to_be WHERE coalesce(cast(issr_id_typ_as_is as string), '') &lt;&gt; coalesce(cast(issr_id_typ_to_be as string), '') </v>
      </c>
      <c r="M218" s="17" t="s">
        <v>48</v>
      </c>
      <c r="N218" s="17" t="str">
        <f>"SELECT 'Validação de campos' as tipologia_teste, '"&amp;VLOOKUP(B218,Instruções!$F$6:$J$10,3,0)&amp;"' AS TABELA, '"&amp;E218&amp;"' AS CAMPO, '"&amp;Instruções!$D$7&amp;"' as ref_date, coalesce(NUM_REG_DIF, 0) AS NUM_REG_DIF FROM ("&amp;L218&amp;") A "</f>
        <v xml:space="preserve">SELECT 'Validação de campos' as tipologia_teste, 'lt002_instrument' AS TABELA, 'issr_id_typ' AS CAMPO, '2025-06-30' as ref_date, coalesce(NUM_REG_DIF, 0) AS NUM_REG_DIF FROM (SELECT count(*) AS NUM_REG_DIF FROM (SELECT instrmnt_id as instrmnt_id_as_is, issr_id_typ as issr_id_typ_as_is FROM cd_loan_tapes_bce.lt002_instrument WHERE ref_date='2025-06-30' AND nome_perimetro= 'Individual IDComb' AND segmento= 'ESTR' AND ambito= 'PM' AND entidade='00100' AND cod_visao = 1) A  Inner join (SELECT instrmnt_id as instrmnt_id_to_be, issr_id_typ as issr_id_typ_to_be FROM bu_loantape_work.lt002_instrument WHERE ref_date='2025-06-30' AND nome_perimetro= 'Individual IDComb' AND segmento= 'ESTR' AND ambito= 'PM' AND entidade='00100' AND cod_visao = 1) B ON instrmnt_id_as_is = instrmnt_id_to_be WHERE coalesce(cast(issr_id_typ_as_is as string), '') &lt;&gt; coalesce(cast(issr_id_typ_to_be as string), '') ) A </v>
      </c>
      <c r="O218" s="19" t="str">
        <f t="shared" si="47"/>
        <v>SELECT 'Validação de campos' as tipologia_teste, 'lt002_instrument' AS TABELA, 'issr_id_typ' AS CAMPO, '2025-06-30' as ref_date, coalesce(NUM_REG_DIF, 0) AS NUM_REG_DIF FROM (SELECT count(*) AS NUM_REG_DIF FROM (SELECT instrmnt_id as instrmnt_id_as_is, issr_id_typ as issr_id_typ_as_is FROM cd_loan_tapes_bce.lt002_instrument WHERE ref_date='2025-06-30' AND nome_perimetro= 'Individual IDComb' AND segmento= 'ESTR' AND ambito= 'PM' AND entidade='00100' AND cod_visao = 1) A  Inner join (SELECT instrmnt_id as instrmnt_id_to_be, issr_id_typ as issr_id_typ_to_be FROM bu_loantape_work.lt002_instrument WHERE ref_date='2025-06-30' AND nome_perimetro= 'Individual IDComb' AND segmento= 'ESTR' AND ambito= 'PM' AND entidade='00100' AND cod_visao = 1) B ON instrmnt_id_as_is = instrmnt_id_to_be WHERE coalesce(cast(issr_id_typ_as_is as string), '') &lt;&gt; coalesce(cast(issr_id_typ_to_be as string), '') ) A UNION ALL</v>
      </c>
      <c r="P218" s="17">
        <f t="shared" si="48"/>
        <v>9</v>
      </c>
    </row>
    <row r="219" spans="2:16" s="15" customFormat="1" ht="11.5" x14ac:dyDescent="0.25">
      <c r="B219" s="17" t="s">
        <v>24</v>
      </c>
      <c r="C219" s="17" t="str">
        <f>_xlfn.CONCAT(Instruções!$D$5,".",VLOOKUP(B219,Instruções!$F$5:$H$10,2,0))</f>
        <v>cd_loan_tapes_bce.lt002_instrument</v>
      </c>
      <c r="D219" s="17" t="str">
        <f>_xlfn.CONCAT(Instruções!$D$6,".",VLOOKUP(B219,Instruções!$F$5:$H$10,3,0))</f>
        <v>bu_loantape_work.lt002_instrument</v>
      </c>
      <c r="E219" s="17" t="s">
        <v>241</v>
      </c>
      <c r="F219" s="17" t="str">
        <f t="shared" si="43"/>
        <v>issr_nace_sctr_as_is</v>
      </c>
      <c r="G219" s="17" t="str">
        <f t="shared" si="44"/>
        <v>issr_nace_sctr_to_be</v>
      </c>
      <c r="H219" s="17" t="str">
        <f>IF(VLOOKUP(B219,Instruções!$F$6:$J$10,5,0)="",
"(SELECT "&amp;VLOOKUP(B219,Instruções!$F$6:$J$10,4,0)&amp;" as "&amp;VLOOKUP(B219,Instruções!$F$6:$J$10,4,0)&amp;"_as_is, "&amp;E219&amp;" as "&amp;F219&amp;" FROM "&amp;C219&amp;" WHERE "&amp;Instruções!$D$11&amp;") A ",
"(SELECT "&amp;VLOOKUP(B219,Instruções!$F$6:$J$10,4,0)&amp;" as "&amp;VLOOKUP(B219,Instruções!$F$6:$J$10,4,0)&amp;"_as_is, "&amp;VLOOKUP(B219,Instruções!$F$6:$J$10,5,0)&amp;" as "&amp;VLOOKUP(B219,Instruções!$F$6:$J$10,5,0)&amp;"_as_is,"&amp;E219&amp;" as "&amp;F219&amp;" FROM "&amp;C219&amp;" WHERE "&amp;Instruções!$D$11&amp;") A ")</f>
        <v xml:space="preserve">(SELECT instrmnt_id as instrmnt_id_as_is, issr_nace_sctr as issr_nace_sctr_as_is FROM cd_loan_tapes_bce.lt002_instrument WHERE ref_date='2025-06-30' AND nome_perimetro= 'Individual IDComb' AND segmento= 'ESTR' AND ambito= 'PM' AND entidade='00100' AND cod_visao = 1) A </v>
      </c>
      <c r="I219" s="17" t="str">
        <f>IF(VLOOKUP(B219,Instruções!$F$6:$J$10,5,0)="",
"(SELECT "&amp;VLOOKUP(B219,Instruções!$F$6:$J$10,4,0)&amp;" as "&amp;VLOOKUP(B219,Instruções!$F$6:$J$10,4,0)&amp;"_to_be, "&amp;E219&amp;" as "&amp;G219&amp;" FROM "&amp;D219&amp;" WHERE "&amp;Instruções!$D$11&amp;") B ",
"(SELECT "&amp;VLOOKUP(B219,Instruções!$F$6:$J$10,4,0)&amp;" as "&amp;VLOOKUP(B219,Instruções!$F$6:$J$10,4,0)&amp;"_to_be, "&amp;VLOOKUP(B219,Instruções!$F$6:$J$10,5,0)&amp;" as "&amp;VLOOKUP(B219,Instruções!$F$6:$J$10,5,0)&amp;"_to_be,"&amp;E219&amp;" as "&amp;G219&amp;" FROM "&amp;D219&amp;" WHERE "&amp;Instruções!$D$11&amp;") B ")</f>
        <v xml:space="preserve">(SELECT instrmnt_id as instrmnt_id_to_be, issr_nace_sctr as issr_nace_sctr_to_be FROM bu_loantape_work.lt002_instrument WHERE ref_date='2025-06-30' AND nome_perimetro= 'Individual IDComb' AND segmento= 'ESTR' AND ambito= 'PM' AND entidade='00100' AND cod_visao = 1) B </v>
      </c>
      <c r="J219" s="17" t="str">
        <f>IF(VLOOKUP(B219,Instruções!$F$6:$J$10,5,0)="",
"ON "&amp;VLOOKUP(B219,Instruções!$F$6:$J$10,4,0)&amp;"_as_is = "&amp;VLOOKUP(B219,Instruções!$F$6:$J$10,4,0)&amp;"_to_be ",
"ON "&amp;VLOOKUP(B219,Instruções!$F$6:$J$10,4,0)&amp;"_as_is = "&amp;VLOOKUP(B219,Instruções!$F$6:$J$10,4,0)&amp;"_to_be AND "&amp;VLOOKUP(B219,Instruções!$F$6:$J$10,5,0)&amp;"_as_is = "&amp;VLOOKUP(B219,Instruções!$F$6:$J$10,5,0)&amp;"_to_be ")</f>
        <v xml:space="preserve">ON instrmnt_id_as_is = instrmnt_id_to_be </v>
      </c>
      <c r="K219" s="17" t="str">
        <f t="shared" si="45"/>
        <v xml:space="preserve">WHERE coalesce(cast(issr_nace_sctr_as_is as string), '') &lt;&gt; coalesce(cast(issr_nace_sctr_to_be as string), '') </v>
      </c>
      <c r="L219" s="17" t="str">
        <f t="shared" si="46"/>
        <v xml:space="preserve">SELECT count(*) AS NUM_REG_DIF FROM (SELECT instrmnt_id as instrmnt_id_as_is, issr_nace_sctr as issr_nace_sctr_as_is FROM cd_loan_tapes_bce.lt002_instrument WHERE ref_date='2025-06-30' AND nome_perimetro= 'Individual IDComb' AND segmento= 'ESTR' AND ambito= 'PM' AND entidade='00100' AND cod_visao = 1) A  Inner join (SELECT instrmnt_id as instrmnt_id_to_be, issr_nace_sctr as issr_nace_sctr_to_be FROM bu_loantape_work.lt002_instrument WHERE ref_date='2025-06-30' AND nome_perimetro= 'Individual IDComb' AND segmento= 'ESTR' AND ambito= 'PM' AND entidade='00100' AND cod_visao = 1) B ON instrmnt_id_as_is = instrmnt_id_to_be WHERE coalesce(cast(issr_nace_sctr_as_is as string), '') &lt;&gt; coalesce(cast(issr_nace_sctr_to_be as string), '') </v>
      </c>
      <c r="M219" s="17" t="s">
        <v>48</v>
      </c>
      <c r="N219" s="17" t="str">
        <f>"SELECT 'Validação de campos' as tipologia_teste, '"&amp;VLOOKUP(B219,Instruções!$F$6:$J$10,3,0)&amp;"' AS TABELA, '"&amp;E219&amp;"' AS CAMPO, '"&amp;Instruções!$D$7&amp;"' as ref_date, coalesce(NUM_REG_DIF, 0) AS NUM_REG_DIF FROM ("&amp;L219&amp;") A "</f>
        <v xml:space="preserve">SELECT 'Validação de campos' as tipologia_teste, 'lt002_instrument' AS TABELA, 'issr_nace_sctr' AS CAMPO, '2025-06-30' as ref_date, coalesce(NUM_REG_DIF, 0) AS NUM_REG_DIF FROM (SELECT count(*) AS NUM_REG_DIF FROM (SELECT instrmnt_id as instrmnt_id_as_is, issr_nace_sctr as issr_nace_sctr_as_is FROM cd_loan_tapes_bce.lt002_instrument WHERE ref_date='2025-06-30' AND nome_perimetro= 'Individual IDComb' AND segmento= 'ESTR' AND ambito= 'PM' AND entidade='00100' AND cod_visao = 1) A  Inner join (SELECT instrmnt_id as instrmnt_id_to_be, issr_nace_sctr as issr_nace_sctr_to_be FROM bu_loantape_work.lt002_instrument WHERE ref_date='2025-06-30' AND nome_perimetro= 'Individual IDComb' AND segmento= 'ESTR' AND ambito= 'PM' AND entidade='00100' AND cod_visao = 1) B ON instrmnt_id_as_is = instrmnt_id_to_be WHERE coalesce(cast(issr_nace_sctr_as_is as string), '') &lt;&gt; coalesce(cast(issr_nace_sctr_to_be as string), '') ) A </v>
      </c>
      <c r="O219" s="19" t="str">
        <f t="shared" si="47"/>
        <v>SELECT 'Validação de campos' as tipologia_teste, 'lt002_instrument' AS TABELA, 'issr_nace_sctr' AS CAMPO, '2025-06-30' as ref_date, coalesce(NUM_REG_DIF, 0) AS NUM_REG_DIF FROM (SELECT count(*) AS NUM_REG_DIF FROM (SELECT instrmnt_id as instrmnt_id_as_is, issr_nace_sctr as issr_nace_sctr_as_is FROM cd_loan_tapes_bce.lt002_instrument WHERE ref_date='2025-06-30' AND nome_perimetro= 'Individual IDComb' AND segmento= 'ESTR' AND ambito= 'PM' AND entidade='00100' AND cod_visao = 1) A  Inner join (SELECT instrmnt_id as instrmnt_id_to_be, issr_nace_sctr as issr_nace_sctr_to_be FROM bu_loantape_work.lt002_instrument WHERE ref_date='2025-06-30' AND nome_perimetro= 'Individual IDComb' AND segmento= 'ESTR' AND ambito= 'PM' AND entidade='00100' AND cod_visao = 1) B ON instrmnt_id_as_is = instrmnt_id_to_be WHERE coalesce(cast(issr_nace_sctr_as_is as string), '') &lt;&gt; coalesce(cast(issr_nace_sctr_to_be as string), '') ) A UNION ALL</v>
      </c>
      <c r="P219" s="17">
        <f t="shared" si="48"/>
        <v>10</v>
      </c>
    </row>
    <row r="220" spans="2:16" s="15" customFormat="1" ht="11.5" x14ac:dyDescent="0.25">
      <c r="B220" s="17" t="s">
        <v>24</v>
      </c>
      <c r="C220" s="17" t="str">
        <f>_xlfn.CONCAT(Instruções!$D$5,".",VLOOKUP(B220,Instruções!$F$5:$H$10,2,0))</f>
        <v>cd_loan_tapes_bce.lt002_instrument</v>
      </c>
      <c r="D220" s="17" t="str">
        <f>_xlfn.CONCAT(Instruções!$D$6,".",VLOOKUP(B220,Instruções!$F$5:$H$10,3,0))</f>
        <v>bu_loantape_work.lt002_instrument</v>
      </c>
      <c r="E220" s="17" t="s">
        <v>242</v>
      </c>
      <c r="F220" s="17" t="str">
        <f t="shared" si="43"/>
        <v>issr_rtng_as_is</v>
      </c>
      <c r="G220" s="17" t="str">
        <f t="shared" si="44"/>
        <v>issr_rtng_to_be</v>
      </c>
      <c r="H220" s="17" t="str">
        <f>IF(VLOOKUP(B220,Instruções!$F$6:$J$10,5,0)="",
"(SELECT "&amp;VLOOKUP(B220,Instruções!$F$6:$J$10,4,0)&amp;" as "&amp;VLOOKUP(B220,Instruções!$F$6:$J$10,4,0)&amp;"_as_is, "&amp;E220&amp;" as "&amp;F220&amp;" FROM "&amp;C220&amp;" WHERE "&amp;Instruções!$D$11&amp;") A ",
"(SELECT "&amp;VLOOKUP(B220,Instruções!$F$6:$J$10,4,0)&amp;" as "&amp;VLOOKUP(B220,Instruções!$F$6:$J$10,4,0)&amp;"_as_is, "&amp;VLOOKUP(B220,Instruções!$F$6:$J$10,5,0)&amp;" as "&amp;VLOOKUP(B220,Instruções!$F$6:$J$10,5,0)&amp;"_as_is,"&amp;E220&amp;" as "&amp;F220&amp;" FROM "&amp;C220&amp;" WHERE "&amp;Instruções!$D$11&amp;") A ")</f>
        <v xml:space="preserve">(SELECT instrmnt_id as instrmnt_id_as_is, issr_rtng as issr_rtng_as_is FROM cd_loan_tapes_bce.lt002_instrument WHERE ref_date='2025-06-30' AND nome_perimetro= 'Individual IDComb' AND segmento= 'ESTR' AND ambito= 'PM' AND entidade='00100' AND cod_visao = 1) A </v>
      </c>
      <c r="I220" s="17" t="str">
        <f>IF(VLOOKUP(B220,Instruções!$F$6:$J$10,5,0)="",
"(SELECT "&amp;VLOOKUP(B220,Instruções!$F$6:$J$10,4,0)&amp;" as "&amp;VLOOKUP(B220,Instruções!$F$6:$J$10,4,0)&amp;"_to_be, "&amp;E220&amp;" as "&amp;G220&amp;" FROM "&amp;D220&amp;" WHERE "&amp;Instruções!$D$11&amp;") B ",
"(SELECT "&amp;VLOOKUP(B220,Instruções!$F$6:$J$10,4,0)&amp;" as "&amp;VLOOKUP(B220,Instruções!$F$6:$J$10,4,0)&amp;"_to_be, "&amp;VLOOKUP(B220,Instruções!$F$6:$J$10,5,0)&amp;" as "&amp;VLOOKUP(B220,Instruções!$F$6:$J$10,5,0)&amp;"_to_be,"&amp;E220&amp;" as "&amp;G220&amp;" FROM "&amp;D220&amp;" WHERE "&amp;Instruções!$D$11&amp;") B ")</f>
        <v xml:space="preserve">(SELECT instrmnt_id as instrmnt_id_to_be, issr_rtng as issr_rtng_to_be FROM bu_loantape_work.lt002_instrument WHERE ref_date='2025-06-30' AND nome_perimetro= 'Individual IDComb' AND segmento= 'ESTR' AND ambito= 'PM' AND entidade='00100' AND cod_visao = 1) B </v>
      </c>
      <c r="J220" s="17" t="str">
        <f>IF(VLOOKUP(B220,Instruções!$F$6:$J$10,5,0)="",
"ON "&amp;VLOOKUP(B220,Instruções!$F$6:$J$10,4,0)&amp;"_as_is = "&amp;VLOOKUP(B220,Instruções!$F$6:$J$10,4,0)&amp;"_to_be ",
"ON "&amp;VLOOKUP(B220,Instruções!$F$6:$J$10,4,0)&amp;"_as_is = "&amp;VLOOKUP(B220,Instruções!$F$6:$J$10,4,0)&amp;"_to_be AND "&amp;VLOOKUP(B220,Instruções!$F$6:$J$10,5,0)&amp;"_as_is = "&amp;VLOOKUP(B220,Instruções!$F$6:$J$10,5,0)&amp;"_to_be ")</f>
        <v xml:space="preserve">ON instrmnt_id_as_is = instrmnt_id_to_be </v>
      </c>
      <c r="K220" s="17" t="str">
        <f t="shared" si="45"/>
        <v xml:space="preserve">WHERE coalesce(cast(issr_rtng_as_is as string), '') &lt;&gt; coalesce(cast(issr_rtng_to_be as string), '') </v>
      </c>
      <c r="L220" s="17" t="str">
        <f t="shared" si="46"/>
        <v xml:space="preserve">SELECT count(*) AS NUM_REG_DIF FROM (SELECT instrmnt_id as instrmnt_id_as_is, issr_rtng as issr_rtng_as_is FROM cd_loan_tapes_bce.lt002_instrument WHERE ref_date='2025-06-30' AND nome_perimetro= 'Individual IDComb' AND segmento= 'ESTR' AND ambito= 'PM' AND entidade='00100' AND cod_visao = 1) A  Inner join (SELECT instrmnt_id as instrmnt_id_to_be, issr_rtng as issr_rtng_to_be FROM bu_loantape_work.lt002_instrument WHERE ref_date='2025-06-30' AND nome_perimetro= 'Individual IDComb' AND segmento= 'ESTR' AND ambito= 'PM' AND entidade='00100' AND cod_visao = 1) B ON instrmnt_id_as_is = instrmnt_id_to_be WHERE coalesce(cast(issr_rtng_as_is as string), '') &lt;&gt; coalesce(cast(issr_rtng_to_be as string), '') </v>
      </c>
      <c r="M220" s="17" t="s">
        <v>48</v>
      </c>
      <c r="N220" s="17" t="str">
        <f>"SELECT 'Validação de campos' as tipologia_teste, '"&amp;VLOOKUP(B220,Instruções!$F$6:$J$10,3,0)&amp;"' AS TABELA, '"&amp;E220&amp;"' AS CAMPO, '"&amp;Instruções!$D$7&amp;"' as ref_date, coalesce(NUM_REG_DIF, 0) AS NUM_REG_DIF FROM ("&amp;L220&amp;") A "</f>
        <v xml:space="preserve">SELECT 'Validação de campos' as tipologia_teste, 'lt002_instrument' AS TABELA, 'issr_rtng' AS CAMPO, '2025-06-30' as ref_date, coalesce(NUM_REG_DIF, 0) AS NUM_REG_DIF FROM (SELECT count(*) AS NUM_REG_DIF FROM (SELECT instrmnt_id as instrmnt_id_as_is, issr_rtng as issr_rtng_as_is FROM cd_loan_tapes_bce.lt002_instrument WHERE ref_date='2025-06-30' AND nome_perimetro= 'Individual IDComb' AND segmento= 'ESTR' AND ambito= 'PM' AND entidade='00100' AND cod_visao = 1) A  Inner join (SELECT instrmnt_id as instrmnt_id_to_be, issr_rtng as issr_rtng_to_be FROM bu_loantape_work.lt002_instrument WHERE ref_date='2025-06-30' AND nome_perimetro= 'Individual IDComb' AND segmento= 'ESTR' AND ambito= 'PM' AND entidade='00100' AND cod_visao = 1) B ON instrmnt_id_as_is = instrmnt_id_to_be WHERE coalesce(cast(issr_rtng_as_is as string), '') &lt;&gt; coalesce(cast(issr_rtng_to_be as string), '') ) A </v>
      </c>
      <c r="O220" s="19" t="str">
        <f t="shared" si="47"/>
        <v>SELECT 'Validação de campos' as tipologia_teste, 'lt002_instrument' AS TABELA, 'issr_rtng' AS CAMPO, '2025-06-30' as ref_date, coalesce(NUM_REG_DIF, 0) AS NUM_REG_DIF FROM (SELECT count(*) AS NUM_REG_DIF FROM (SELECT instrmnt_id as instrmnt_id_as_is, issr_rtng as issr_rtng_as_is FROM cd_loan_tapes_bce.lt002_instrument WHERE ref_date='2025-06-30' AND nome_perimetro= 'Individual IDComb' AND segmento= 'ESTR' AND ambito= 'PM' AND entidade='00100' AND cod_visao = 1) A  Inner join (SELECT instrmnt_id as instrmnt_id_to_be, issr_rtng as issr_rtng_to_be FROM bu_loantape_work.lt002_instrument WHERE ref_date='2025-06-30' AND nome_perimetro= 'Individual IDComb' AND segmento= 'ESTR' AND ambito= 'PM' AND entidade='00100' AND cod_visao = 1) B ON instrmnt_id_as_is = instrmnt_id_to_be WHERE coalesce(cast(issr_rtng_as_is as string), '') &lt;&gt; coalesce(cast(issr_rtng_to_be as string), '') ) A UNION ALL</v>
      </c>
      <c r="P220" s="17">
        <f t="shared" si="48"/>
        <v>11</v>
      </c>
    </row>
    <row r="221" spans="2:16" s="15" customFormat="1" ht="11.5" x14ac:dyDescent="0.25">
      <c r="B221" s="17" t="s">
        <v>24</v>
      </c>
      <c r="C221" s="17" t="str">
        <f>_xlfn.CONCAT(Instruções!$D$5,".",VLOOKUP(B221,Instruções!$F$5:$H$10,2,0))</f>
        <v>cd_loan_tapes_bce.lt002_instrument</v>
      </c>
      <c r="D221" s="17" t="str">
        <f>_xlfn.CONCAT(Instruções!$D$6,".",VLOOKUP(B221,Instruções!$F$5:$H$10,3,0))</f>
        <v>bu_loantape_work.lt002_instrument</v>
      </c>
      <c r="E221" s="17" t="s">
        <v>243</v>
      </c>
      <c r="F221" s="17" t="str">
        <f t="shared" si="43"/>
        <v>issr_rtng_src_as_is</v>
      </c>
      <c r="G221" s="17" t="str">
        <f t="shared" si="44"/>
        <v>issr_rtng_src_to_be</v>
      </c>
      <c r="H221" s="17" t="str">
        <f>IF(VLOOKUP(B221,Instruções!$F$6:$J$10,5,0)="",
"(SELECT "&amp;VLOOKUP(B221,Instruções!$F$6:$J$10,4,0)&amp;" as "&amp;VLOOKUP(B221,Instruções!$F$6:$J$10,4,0)&amp;"_as_is, "&amp;E221&amp;" as "&amp;F221&amp;" FROM "&amp;C221&amp;" WHERE "&amp;Instruções!$D$11&amp;") A ",
"(SELECT "&amp;VLOOKUP(B221,Instruções!$F$6:$J$10,4,0)&amp;" as "&amp;VLOOKUP(B221,Instruções!$F$6:$J$10,4,0)&amp;"_as_is, "&amp;VLOOKUP(B221,Instruções!$F$6:$J$10,5,0)&amp;" as "&amp;VLOOKUP(B221,Instruções!$F$6:$J$10,5,0)&amp;"_as_is,"&amp;E221&amp;" as "&amp;F221&amp;" FROM "&amp;C221&amp;" WHERE "&amp;Instruções!$D$11&amp;") A ")</f>
        <v xml:space="preserve">(SELECT instrmnt_id as instrmnt_id_as_is, issr_rtng_src as issr_rtng_src_as_is FROM cd_loan_tapes_bce.lt002_instrument WHERE ref_date='2025-06-30' AND nome_perimetro= 'Individual IDComb' AND segmento= 'ESTR' AND ambito= 'PM' AND entidade='00100' AND cod_visao = 1) A </v>
      </c>
      <c r="I221" s="17" t="str">
        <f>IF(VLOOKUP(B221,Instruções!$F$6:$J$10,5,0)="",
"(SELECT "&amp;VLOOKUP(B221,Instruções!$F$6:$J$10,4,0)&amp;" as "&amp;VLOOKUP(B221,Instruções!$F$6:$J$10,4,0)&amp;"_to_be, "&amp;E221&amp;" as "&amp;G221&amp;" FROM "&amp;D221&amp;" WHERE "&amp;Instruções!$D$11&amp;") B ",
"(SELECT "&amp;VLOOKUP(B221,Instruções!$F$6:$J$10,4,0)&amp;" as "&amp;VLOOKUP(B221,Instruções!$F$6:$J$10,4,0)&amp;"_to_be, "&amp;VLOOKUP(B221,Instruções!$F$6:$J$10,5,0)&amp;" as "&amp;VLOOKUP(B221,Instruções!$F$6:$J$10,5,0)&amp;"_to_be,"&amp;E221&amp;" as "&amp;G221&amp;" FROM "&amp;D221&amp;" WHERE "&amp;Instruções!$D$11&amp;") B ")</f>
        <v xml:space="preserve">(SELECT instrmnt_id as instrmnt_id_to_be, issr_rtng_src as issr_rtng_src_to_be FROM bu_loantape_work.lt002_instrument WHERE ref_date='2025-06-30' AND nome_perimetro= 'Individual IDComb' AND segmento= 'ESTR' AND ambito= 'PM' AND entidade='00100' AND cod_visao = 1) B </v>
      </c>
      <c r="J221" s="17" t="str">
        <f>IF(VLOOKUP(B221,Instruções!$F$6:$J$10,5,0)="",
"ON "&amp;VLOOKUP(B221,Instruções!$F$6:$J$10,4,0)&amp;"_as_is = "&amp;VLOOKUP(B221,Instruções!$F$6:$J$10,4,0)&amp;"_to_be ",
"ON "&amp;VLOOKUP(B221,Instruções!$F$6:$J$10,4,0)&amp;"_as_is = "&amp;VLOOKUP(B221,Instruções!$F$6:$J$10,4,0)&amp;"_to_be AND "&amp;VLOOKUP(B221,Instruções!$F$6:$J$10,5,0)&amp;"_as_is = "&amp;VLOOKUP(B221,Instruções!$F$6:$J$10,5,0)&amp;"_to_be ")</f>
        <v xml:space="preserve">ON instrmnt_id_as_is = instrmnt_id_to_be </v>
      </c>
      <c r="K221" s="17" t="str">
        <f t="shared" si="45"/>
        <v xml:space="preserve">WHERE coalesce(cast(issr_rtng_src_as_is as string), '') &lt;&gt; coalesce(cast(issr_rtng_src_to_be as string), '') </v>
      </c>
      <c r="L221" s="17" t="str">
        <f t="shared" si="46"/>
        <v xml:space="preserve">SELECT count(*) AS NUM_REG_DIF FROM (SELECT instrmnt_id as instrmnt_id_as_is, issr_rtng_src as issr_rtng_src_as_is FROM cd_loan_tapes_bce.lt002_instrument WHERE ref_date='2025-06-30' AND nome_perimetro= 'Individual IDComb' AND segmento= 'ESTR' AND ambito= 'PM' AND entidade='00100' AND cod_visao = 1) A  Inner join (SELECT instrmnt_id as instrmnt_id_to_be, issr_rtng_src as issr_rtng_src_to_be FROM bu_loantape_work.lt002_instrument WHERE ref_date='2025-06-30' AND nome_perimetro= 'Individual IDComb' AND segmento= 'ESTR' AND ambito= 'PM' AND entidade='00100' AND cod_visao = 1) B ON instrmnt_id_as_is = instrmnt_id_to_be WHERE coalesce(cast(issr_rtng_src_as_is as string), '') &lt;&gt; coalesce(cast(issr_rtng_src_to_be as string), '') </v>
      </c>
      <c r="M221" s="17" t="s">
        <v>48</v>
      </c>
      <c r="N221" s="17" t="str">
        <f>"SELECT 'Validação de campos' as tipologia_teste, '"&amp;VLOOKUP(B221,Instruções!$F$6:$J$10,3,0)&amp;"' AS TABELA, '"&amp;E221&amp;"' AS CAMPO, '"&amp;Instruções!$D$7&amp;"' as ref_date, coalesce(NUM_REG_DIF, 0) AS NUM_REG_DIF FROM ("&amp;L221&amp;") A "</f>
        <v xml:space="preserve">SELECT 'Validação de campos' as tipologia_teste, 'lt002_instrument' AS TABELA, 'issr_rtng_src' AS CAMPO, '2025-06-30' as ref_date, coalesce(NUM_REG_DIF, 0) AS NUM_REG_DIF FROM (SELECT count(*) AS NUM_REG_DIF FROM (SELECT instrmnt_id as instrmnt_id_as_is, issr_rtng_src as issr_rtng_src_as_is FROM cd_loan_tapes_bce.lt002_instrument WHERE ref_date='2025-06-30' AND nome_perimetro= 'Individual IDComb' AND segmento= 'ESTR' AND ambito= 'PM' AND entidade='00100' AND cod_visao = 1) A  Inner join (SELECT instrmnt_id as instrmnt_id_to_be, issr_rtng_src as issr_rtng_src_to_be FROM bu_loantape_work.lt002_instrument WHERE ref_date='2025-06-30' AND nome_perimetro= 'Individual IDComb' AND segmento= 'ESTR' AND ambito= 'PM' AND entidade='00100' AND cod_visao = 1) B ON instrmnt_id_as_is = instrmnt_id_to_be WHERE coalesce(cast(issr_rtng_src_as_is as string), '') &lt;&gt; coalesce(cast(issr_rtng_src_to_be as string), '') ) A </v>
      </c>
      <c r="O221" s="19" t="str">
        <f t="shared" si="47"/>
        <v>SELECT 'Validação de campos' as tipologia_teste, 'lt002_instrument' AS TABELA, 'issr_rtng_src' AS CAMPO, '2025-06-30' as ref_date, coalesce(NUM_REG_DIF, 0) AS NUM_REG_DIF FROM (SELECT count(*) AS NUM_REG_DIF FROM (SELECT instrmnt_id as instrmnt_id_as_is, issr_rtng_src as issr_rtng_src_as_is FROM cd_loan_tapes_bce.lt002_instrument WHERE ref_date='2025-06-30' AND nome_perimetro= 'Individual IDComb' AND segmento= 'ESTR' AND ambito= 'PM' AND entidade='00100' AND cod_visao = 1) A  Inner join (SELECT instrmnt_id as instrmnt_id_to_be, issr_rtng_src as issr_rtng_src_to_be FROM bu_loantape_work.lt002_instrument WHERE ref_date='2025-06-30' AND nome_perimetro= 'Individual IDComb' AND segmento= 'ESTR' AND ambito= 'PM' AND entidade='00100' AND cod_visao = 1) B ON instrmnt_id_as_is = instrmnt_id_to_be WHERE coalesce(cast(issr_rtng_src_as_is as string), '') &lt;&gt; coalesce(cast(issr_rtng_src_to_be as string), '') ) A UNION ALL</v>
      </c>
      <c r="P221" s="17">
        <f t="shared" si="48"/>
        <v>12</v>
      </c>
    </row>
    <row r="222" spans="2:16" s="15" customFormat="1" ht="11.5" x14ac:dyDescent="0.25">
      <c r="B222" s="17" t="s">
        <v>24</v>
      </c>
      <c r="C222" s="17" t="str">
        <f>_xlfn.CONCAT(Instruções!$D$5,".",VLOOKUP(B222,Instruções!$F$5:$H$10,2,0))</f>
        <v>cd_loan_tapes_bce.lt002_instrument</v>
      </c>
      <c r="D222" s="17" t="str">
        <f>_xlfn.CONCAT(Instruções!$D$6,".",VLOOKUP(B222,Instruções!$F$5:$H$10,3,0))</f>
        <v>bu_loantape_work.lt002_instrument</v>
      </c>
      <c r="E222" s="17" t="s">
        <v>244</v>
      </c>
      <c r="F222" s="17" t="str">
        <f t="shared" si="43"/>
        <v>issr_typ_as_is</v>
      </c>
      <c r="G222" s="17" t="str">
        <f t="shared" si="44"/>
        <v>issr_typ_to_be</v>
      </c>
      <c r="H222" s="17" t="str">
        <f>IF(VLOOKUP(B222,Instruções!$F$6:$J$10,5,0)="",
"(SELECT "&amp;VLOOKUP(B222,Instruções!$F$6:$J$10,4,0)&amp;" as "&amp;VLOOKUP(B222,Instruções!$F$6:$J$10,4,0)&amp;"_as_is, "&amp;E222&amp;" as "&amp;F222&amp;" FROM "&amp;C222&amp;" WHERE "&amp;Instruções!$D$11&amp;") A ",
"(SELECT "&amp;VLOOKUP(B222,Instruções!$F$6:$J$10,4,0)&amp;" as "&amp;VLOOKUP(B222,Instruções!$F$6:$J$10,4,0)&amp;"_as_is, "&amp;VLOOKUP(B222,Instruções!$F$6:$J$10,5,0)&amp;" as "&amp;VLOOKUP(B222,Instruções!$F$6:$J$10,5,0)&amp;"_as_is,"&amp;E222&amp;" as "&amp;F222&amp;" FROM "&amp;C222&amp;" WHERE "&amp;Instruções!$D$11&amp;") A ")</f>
        <v xml:space="preserve">(SELECT instrmnt_id as instrmnt_id_as_is, issr_typ as issr_typ_as_is FROM cd_loan_tapes_bce.lt002_instrument WHERE ref_date='2025-06-30' AND nome_perimetro= 'Individual IDComb' AND segmento= 'ESTR' AND ambito= 'PM' AND entidade='00100' AND cod_visao = 1) A </v>
      </c>
      <c r="I222" s="17" t="str">
        <f>IF(VLOOKUP(B222,Instruções!$F$6:$J$10,5,0)="",
"(SELECT "&amp;VLOOKUP(B222,Instruções!$F$6:$J$10,4,0)&amp;" as "&amp;VLOOKUP(B222,Instruções!$F$6:$J$10,4,0)&amp;"_to_be, "&amp;E222&amp;" as "&amp;G222&amp;" FROM "&amp;D222&amp;" WHERE "&amp;Instruções!$D$11&amp;") B ",
"(SELECT "&amp;VLOOKUP(B222,Instruções!$F$6:$J$10,4,0)&amp;" as "&amp;VLOOKUP(B222,Instruções!$F$6:$J$10,4,0)&amp;"_to_be, "&amp;VLOOKUP(B222,Instruções!$F$6:$J$10,5,0)&amp;" as "&amp;VLOOKUP(B222,Instruções!$F$6:$J$10,5,0)&amp;"_to_be,"&amp;E222&amp;" as "&amp;G222&amp;" FROM "&amp;D222&amp;" WHERE "&amp;Instruções!$D$11&amp;") B ")</f>
        <v xml:space="preserve">(SELECT instrmnt_id as instrmnt_id_to_be, issr_typ as issr_typ_to_be FROM bu_loantape_work.lt002_instrument WHERE ref_date='2025-06-30' AND nome_perimetro= 'Individual IDComb' AND segmento= 'ESTR' AND ambito= 'PM' AND entidade='00100' AND cod_visao = 1) B </v>
      </c>
      <c r="J222" s="17" t="str">
        <f>IF(VLOOKUP(B222,Instruções!$F$6:$J$10,5,0)="",
"ON "&amp;VLOOKUP(B222,Instruções!$F$6:$J$10,4,0)&amp;"_as_is = "&amp;VLOOKUP(B222,Instruções!$F$6:$J$10,4,0)&amp;"_to_be ",
"ON "&amp;VLOOKUP(B222,Instruções!$F$6:$J$10,4,0)&amp;"_as_is = "&amp;VLOOKUP(B222,Instruções!$F$6:$J$10,4,0)&amp;"_to_be AND "&amp;VLOOKUP(B222,Instruções!$F$6:$J$10,5,0)&amp;"_as_is = "&amp;VLOOKUP(B222,Instruções!$F$6:$J$10,5,0)&amp;"_to_be ")</f>
        <v xml:space="preserve">ON instrmnt_id_as_is = instrmnt_id_to_be </v>
      </c>
      <c r="K222" s="17" t="str">
        <f t="shared" si="45"/>
        <v xml:space="preserve">WHERE coalesce(cast(issr_typ_as_is as string), '') &lt;&gt; coalesce(cast(issr_typ_to_be as string), '') </v>
      </c>
      <c r="L222" s="17" t="str">
        <f t="shared" si="46"/>
        <v xml:space="preserve">SELECT count(*) AS NUM_REG_DIF FROM (SELECT instrmnt_id as instrmnt_id_as_is, issr_typ as issr_typ_as_is FROM cd_loan_tapes_bce.lt002_instrument WHERE ref_date='2025-06-30' AND nome_perimetro= 'Individual IDComb' AND segmento= 'ESTR' AND ambito= 'PM' AND entidade='00100' AND cod_visao = 1) A  Inner join (SELECT instrmnt_id as instrmnt_id_to_be, issr_typ as issr_typ_to_be FROM bu_loantape_work.lt002_instrument WHERE ref_date='2025-06-30' AND nome_perimetro= 'Individual IDComb' AND segmento= 'ESTR' AND ambito= 'PM' AND entidade='00100' AND cod_visao = 1) B ON instrmnt_id_as_is = instrmnt_id_to_be WHERE coalesce(cast(issr_typ_as_is as string), '') &lt;&gt; coalesce(cast(issr_typ_to_be as string), '') </v>
      </c>
      <c r="M222" s="17" t="s">
        <v>48</v>
      </c>
      <c r="N222" s="17" t="str">
        <f>"SELECT 'Validação de campos' as tipologia_teste, '"&amp;VLOOKUP(B222,Instruções!$F$6:$J$10,3,0)&amp;"' AS TABELA, '"&amp;E222&amp;"' AS CAMPO, '"&amp;Instruções!$D$7&amp;"' as ref_date, coalesce(NUM_REG_DIF, 0) AS NUM_REG_DIF FROM ("&amp;L222&amp;") A "</f>
        <v xml:space="preserve">SELECT 'Validação de campos' as tipologia_teste, 'lt002_instrument' AS TABELA, 'issr_typ' AS CAMPO, '2025-06-30' as ref_date, coalesce(NUM_REG_DIF, 0) AS NUM_REG_DIF FROM (SELECT count(*) AS NUM_REG_DIF FROM (SELECT instrmnt_id as instrmnt_id_as_is, issr_typ as issr_typ_as_is FROM cd_loan_tapes_bce.lt002_instrument WHERE ref_date='2025-06-30' AND nome_perimetro= 'Individual IDComb' AND segmento= 'ESTR' AND ambito= 'PM' AND entidade='00100' AND cod_visao = 1) A  Inner join (SELECT instrmnt_id as instrmnt_id_to_be, issr_typ as issr_typ_to_be FROM bu_loantape_work.lt002_instrument WHERE ref_date='2025-06-30' AND nome_perimetro= 'Individual IDComb' AND segmento= 'ESTR' AND ambito= 'PM' AND entidade='00100' AND cod_visao = 1) B ON instrmnt_id_as_is = instrmnt_id_to_be WHERE coalesce(cast(issr_typ_as_is as string), '') &lt;&gt; coalesce(cast(issr_typ_to_be as string), '') ) A </v>
      </c>
      <c r="O222" s="19" t="str">
        <f t="shared" si="47"/>
        <v>SELECT 'Validação de campos' as tipologia_teste, 'lt002_instrument' AS TABELA, 'issr_typ' AS CAMPO, '2025-06-30' as ref_date, coalesce(NUM_REG_DIF, 0) AS NUM_REG_DIF FROM (SELECT count(*) AS NUM_REG_DIF FROM (SELECT instrmnt_id as instrmnt_id_as_is, issr_typ as issr_typ_as_is FROM cd_loan_tapes_bce.lt002_instrument WHERE ref_date='2025-06-30' AND nome_perimetro= 'Individual IDComb' AND segmento= 'ESTR' AND ambito= 'PM' AND entidade='00100' AND cod_visao = 1) A  Inner join (SELECT instrmnt_id as instrmnt_id_to_be, issr_typ as issr_typ_to_be FROM bu_loantape_work.lt002_instrument WHERE ref_date='2025-06-30' AND nome_perimetro= 'Individual IDComb' AND segmento= 'ESTR' AND ambito= 'PM' AND entidade='00100' AND cod_visao = 1) B ON instrmnt_id_as_is = instrmnt_id_to_be WHERE coalesce(cast(issr_typ_as_is as string), '') &lt;&gt; coalesce(cast(issr_typ_to_be as string), '') ) A UNION ALL</v>
      </c>
      <c r="P222" s="17">
        <f t="shared" si="48"/>
        <v>13</v>
      </c>
    </row>
    <row r="223" spans="2:16" s="15" customFormat="1" ht="11.5" x14ac:dyDescent="0.25">
      <c r="B223" s="17" t="s">
        <v>24</v>
      </c>
      <c r="C223" s="17" t="str">
        <f>_xlfn.CONCAT(Instruções!$D$5,".",VLOOKUP(B223,Instruções!$F$5:$H$10,2,0))</f>
        <v>cd_loan_tapes_bce.lt002_instrument</v>
      </c>
      <c r="D223" s="17" t="str">
        <f>_xlfn.CONCAT(Instruções!$D$6,".",VLOOKUP(B223,Instruções!$F$5:$H$10,3,0))</f>
        <v>bu_loantape_work.lt002_instrument</v>
      </c>
      <c r="E223" s="17" t="s">
        <v>245</v>
      </c>
      <c r="F223" s="17" t="str">
        <f t="shared" si="43"/>
        <v>lcl_instmrnt_id_as_is</v>
      </c>
      <c r="G223" s="17" t="str">
        <f t="shared" si="44"/>
        <v>lcl_instmrnt_id_to_be</v>
      </c>
      <c r="H223" s="17" t="str">
        <f>IF(VLOOKUP(B223,Instruções!$F$6:$J$10,5,0)="",
"(SELECT "&amp;VLOOKUP(B223,Instruções!$F$6:$J$10,4,0)&amp;" as "&amp;VLOOKUP(B223,Instruções!$F$6:$J$10,4,0)&amp;"_as_is, "&amp;E223&amp;" as "&amp;F223&amp;" FROM "&amp;C223&amp;" WHERE "&amp;Instruções!$D$11&amp;") A ",
"(SELECT "&amp;VLOOKUP(B223,Instruções!$F$6:$J$10,4,0)&amp;" as "&amp;VLOOKUP(B223,Instruções!$F$6:$J$10,4,0)&amp;"_as_is, "&amp;VLOOKUP(B223,Instruções!$F$6:$J$10,5,0)&amp;" as "&amp;VLOOKUP(B223,Instruções!$F$6:$J$10,5,0)&amp;"_as_is,"&amp;E223&amp;" as "&amp;F223&amp;" FROM "&amp;C223&amp;" WHERE "&amp;Instruções!$D$11&amp;") A ")</f>
        <v xml:space="preserve">(SELECT instrmnt_id as instrmnt_id_as_is, lcl_instmrnt_id as lcl_instmrnt_id_as_is FROM cd_loan_tapes_bce.lt002_instrument WHERE ref_date='2025-06-30' AND nome_perimetro= 'Individual IDComb' AND segmento= 'ESTR' AND ambito= 'PM' AND entidade='00100' AND cod_visao = 1) A </v>
      </c>
      <c r="I223" s="17" t="str">
        <f>IF(VLOOKUP(B223,Instruções!$F$6:$J$10,5,0)="",
"(SELECT "&amp;VLOOKUP(B223,Instruções!$F$6:$J$10,4,0)&amp;" as "&amp;VLOOKUP(B223,Instruções!$F$6:$J$10,4,0)&amp;"_to_be, "&amp;E223&amp;" as "&amp;G223&amp;" FROM "&amp;D223&amp;" WHERE "&amp;Instruções!$D$11&amp;") B ",
"(SELECT "&amp;VLOOKUP(B223,Instruções!$F$6:$J$10,4,0)&amp;" as "&amp;VLOOKUP(B223,Instruções!$F$6:$J$10,4,0)&amp;"_to_be, "&amp;VLOOKUP(B223,Instruções!$F$6:$J$10,5,0)&amp;" as "&amp;VLOOKUP(B223,Instruções!$F$6:$J$10,5,0)&amp;"_to_be,"&amp;E223&amp;" as "&amp;G223&amp;" FROM "&amp;D223&amp;" WHERE "&amp;Instruções!$D$11&amp;") B ")</f>
        <v xml:space="preserve">(SELECT instrmnt_id as instrmnt_id_to_be, lcl_instmrnt_id as lcl_instmrnt_id_to_be FROM bu_loantape_work.lt002_instrument WHERE ref_date='2025-06-30' AND nome_perimetro= 'Individual IDComb' AND segmento= 'ESTR' AND ambito= 'PM' AND entidade='00100' AND cod_visao = 1) B </v>
      </c>
      <c r="J223" s="17" t="str">
        <f>IF(VLOOKUP(B223,Instruções!$F$6:$J$10,5,0)="",
"ON "&amp;VLOOKUP(B223,Instruções!$F$6:$J$10,4,0)&amp;"_as_is = "&amp;VLOOKUP(B223,Instruções!$F$6:$J$10,4,0)&amp;"_to_be ",
"ON "&amp;VLOOKUP(B223,Instruções!$F$6:$J$10,4,0)&amp;"_as_is = "&amp;VLOOKUP(B223,Instruções!$F$6:$J$10,4,0)&amp;"_to_be AND "&amp;VLOOKUP(B223,Instruções!$F$6:$J$10,5,0)&amp;"_as_is = "&amp;VLOOKUP(B223,Instruções!$F$6:$J$10,5,0)&amp;"_to_be ")</f>
        <v xml:space="preserve">ON instrmnt_id_as_is = instrmnt_id_to_be </v>
      </c>
      <c r="K223" s="17" t="str">
        <f t="shared" si="45"/>
        <v xml:space="preserve">WHERE coalesce(cast(lcl_instmrnt_id_as_is as string), '') &lt;&gt; coalesce(cast(lcl_instmrnt_id_to_be as string), '') </v>
      </c>
      <c r="L223" s="17" t="str">
        <f t="shared" si="46"/>
        <v xml:space="preserve">SELECT count(*) AS NUM_REG_DIF FROM (SELECT instrmnt_id as instrmnt_id_as_is, lcl_instmrnt_id as lcl_instmrnt_id_as_is FROM cd_loan_tapes_bce.lt002_instrument WHERE ref_date='2025-06-30' AND nome_perimetro= 'Individual IDComb' AND segmento= 'ESTR' AND ambito= 'PM' AND entidade='00100' AND cod_visao = 1) A  Inner join (SELECT instrmnt_id as instrmnt_id_to_be, lcl_instmrnt_id as lcl_instmrnt_id_to_be FROM bu_loantape_work.lt002_instrument WHERE ref_date='2025-06-30' AND nome_perimetro= 'Individual IDComb' AND segmento= 'ESTR' AND ambito= 'PM' AND entidade='00100' AND cod_visao = 1) B ON instrmnt_id_as_is = instrmnt_id_to_be WHERE coalesce(cast(lcl_instmrnt_id_as_is as string), '') &lt;&gt; coalesce(cast(lcl_instmrnt_id_to_be as string), '') </v>
      </c>
      <c r="M223" s="17" t="s">
        <v>48</v>
      </c>
      <c r="N223" s="17" t="str">
        <f>"SELECT 'Validação de campos' as tipologia_teste, '"&amp;VLOOKUP(B223,Instruções!$F$6:$J$10,3,0)&amp;"' AS TABELA, '"&amp;E223&amp;"' AS CAMPO, '"&amp;Instruções!$D$7&amp;"' as ref_date, coalesce(NUM_REG_DIF, 0) AS NUM_REG_DIF FROM ("&amp;L223&amp;") A "</f>
        <v xml:space="preserve">SELECT 'Validação de campos' as tipologia_teste, 'lt002_instrument' AS TABELA, 'lcl_instmrnt_id' AS CAMPO, '2025-06-30' as ref_date, coalesce(NUM_REG_DIF, 0) AS NUM_REG_DIF FROM (SELECT count(*) AS NUM_REG_DIF FROM (SELECT instrmnt_id as instrmnt_id_as_is, lcl_instmrnt_id as lcl_instmrnt_id_as_is FROM cd_loan_tapes_bce.lt002_instrument WHERE ref_date='2025-06-30' AND nome_perimetro= 'Individual IDComb' AND segmento= 'ESTR' AND ambito= 'PM' AND entidade='00100' AND cod_visao = 1) A  Inner join (SELECT instrmnt_id as instrmnt_id_to_be, lcl_instmrnt_id as lcl_instmrnt_id_to_be FROM bu_loantape_work.lt002_instrument WHERE ref_date='2025-06-30' AND nome_perimetro= 'Individual IDComb' AND segmento= 'ESTR' AND ambito= 'PM' AND entidade='00100' AND cod_visao = 1) B ON instrmnt_id_as_is = instrmnt_id_to_be WHERE coalesce(cast(lcl_instmrnt_id_as_is as string), '') &lt;&gt; coalesce(cast(lcl_instmrnt_id_to_be as string), '') ) A </v>
      </c>
      <c r="O223" s="19" t="str">
        <f t="shared" si="47"/>
        <v>SELECT 'Validação de campos' as tipologia_teste, 'lt002_instrument' AS TABELA, 'lcl_instmrnt_id' AS CAMPO, '2025-06-30' as ref_date, coalesce(NUM_REG_DIF, 0) AS NUM_REG_DIF FROM (SELECT count(*) AS NUM_REG_DIF FROM (SELECT instrmnt_id as instrmnt_id_as_is, lcl_instmrnt_id as lcl_instmrnt_id_as_is FROM cd_loan_tapes_bce.lt002_instrument WHERE ref_date='2025-06-30' AND nome_perimetro= 'Individual IDComb' AND segmento= 'ESTR' AND ambito= 'PM' AND entidade='00100' AND cod_visao = 1) A  Inner join (SELECT instrmnt_id as instrmnt_id_to_be, lcl_instmrnt_id as lcl_instmrnt_id_to_be FROM bu_loantape_work.lt002_instrument WHERE ref_date='2025-06-30' AND nome_perimetro= 'Individual IDComb' AND segmento= 'ESTR' AND ambito= 'PM' AND entidade='00100' AND cod_visao = 1) B ON instrmnt_id_as_is = instrmnt_id_to_be WHERE coalesce(cast(lcl_instmrnt_id_as_is as string), '') &lt;&gt; coalesce(cast(lcl_instmrnt_id_to_be as string), '') ) A UNION ALL</v>
      </c>
      <c r="P223" s="17">
        <f t="shared" si="48"/>
        <v>14</v>
      </c>
    </row>
    <row r="224" spans="2:16" s="15" customFormat="1" ht="11.5" x14ac:dyDescent="0.25">
      <c r="B224" s="17" t="s">
        <v>24</v>
      </c>
      <c r="C224" s="17" t="str">
        <f>_xlfn.CONCAT(Instruções!$D$5,".",VLOOKUP(B224,Instruções!$F$5:$H$10,2,0))</f>
        <v>cd_loan_tapes_bce.lt002_instrument</v>
      </c>
      <c r="D224" s="17" t="str">
        <f>_xlfn.CONCAT(Instruções!$D$6,".",VLOOKUP(B224,Instruções!$F$5:$H$10,3,0))</f>
        <v>bu_loantape_work.lt002_instrument</v>
      </c>
      <c r="E224" s="17" t="s">
        <v>246</v>
      </c>
      <c r="F224" s="17" t="str">
        <f t="shared" si="43"/>
        <v>lcr_bffr_ctgry_as_is</v>
      </c>
      <c r="G224" s="17" t="str">
        <f t="shared" si="44"/>
        <v>lcr_bffr_ctgry_to_be</v>
      </c>
      <c r="H224" s="17" t="str">
        <f>IF(VLOOKUP(B224,Instruções!$F$6:$J$10,5,0)="",
"(SELECT "&amp;VLOOKUP(B224,Instruções!$F$6:$J$10,4,0)&amp;" as "&amp;VLOOKUP(B224,Instruções!$F$6:$J$10,4,0)&amp;"_as_is, "&amp;E224&amp;" as "&amp;F224&amp;" FROM "&amp;C224&amp;" WHERE "&amp;Instruções!$D$11&amp;") A ",
"(SELECT "&amp;VLOOKUP(B224,Instruções!$F$6:$J$10,4,0)&amp;" as "&amp;VLOOKUP(B224,Instruções!$F$6:$J$10,4,0)&amp;"_as_is, "&amp;VLOOKUP(B224,Instruções!$F$6:$J$10,5,0)&amp;" as "&amp;VLOOKUP(B224,Instruções!$F$6:$J$10,5,0)&amp;"_as_is,"&amp;E224&amp;" as "&amp;F224&amp;" FROM "&amp;C224&amp;" WHERE "&amp;Instruções!$D$11&amp;") A ")</f>
        <v xml:space="preserve">(SELECT instrmnt_id as instrmnt_id_as_is, lcr_bffr_ctgry as lcr_bffr_ctgry_as_is FROM cd_loan_tapes_bce.lt002_instrument WHERE ref_date='2025-06-30' AND nome_perimetro= 'Individual IDComb' AND segmento= 'ESTR' AND ambito= 'PM' AND entidade='00100' AND cod_visao = 1) A </v>
      </c>
      <c r="I224" s="17" t="str">
        <f>IF(VLOOKUP(B224,Instruções!$F$6:$J$10,5,0)="",
"(SELECT "&amp;VLOOKUP(B224,Instruções!$F$6:$J$10,4,0)&amp;" as "&amp;VLOOKUP(B224,Instruções!$F$6:$J$10,4,0)&amp;"_to_be, "&amp;E224&amp;" as "&amp;G224&amp;" FROM "&amp;D224&amp;" WHERE "&amp;Instruções!$D$11&amp;") B ",
"(SELECT "&amp;VLOOKUP(B224,Instruções!$F$6:$J$10,4,0)&amp;" as "&amp;VLOOKUP(B224,Instruções!$F$6:$J$10,4,0)&amp;"_to_be, "&amp;VLOOKUP(B224,Instruções!$F$6:$J$10,5,0)&amp;" as "&amp;VLOOKUP(B224,Instruções!$F$6:$J$10,5,0)&amp;"_to_be,"&amp;E224&amp;" as "&amp;G224&amp;" FROM "&amp;D224&amp;" WHERE "&amp;Instruções!$D$11&amp;") B ")</f>
        <v xml:space="preserve">(SELECT instrmnt_id as instrmnt_id_to_be, lcr_bffr_ctgry as lcr_bffr_ctgry_to_be FROM bu_loantape_work.lt002_instrument WHERE ref_date='2025-06-30' AND nome_perimetro= 'Individual IDComb' AND segmento= 'ESTR' AND ambito= 'PM' AND entidade='00100' AND cod_visao = 1) B </v>
      </c>
      <c r="J224" s="17" t="str">
        <f>IF(VLOOKUP(B224,Instruções!$F$6:$J$10,5,0)="",
"ON "&amp;VLOOKUP(B224,Instruções!$F$6:$J$10,4,0)&amp;"_as_is = "&amp;VLOOKUP(B224,Instruções!$F$6:$J$10,4,0)&amp;"_to_be ",
"ON "&amp;VLOOKUP(B224,Instruções!$F$6:$J$10,4,0)&amp;"_as_is = "&amp;VLOOKUP(B224,Instruções!$F$6:$J$10,4,0)&amp;"_to_be AND "&amp;VLOOKUP(B224,Instruções!$F$6:$J$10,5,0)&amp;"_as_is = "&amp;VLOOKUP(B224,Instruções!$F$6:$J$10,5,0)&amp;"_to_be ")</f>
        <v xml:space="preserve">ON instrmnt_id_as_is = instrmnt_id_to_be </v>
      </c>
      <c r="K224" s="17" t="str">
        <f t="shared" si="45"/>
        <v xml:space="preserve">WHERE coalesce(cast(lcr_bffr_ctgry_as_is as string), '') &lt;&gt; coalesce(cast(lcr_bffr_ctgry_to_be as string), '') </v>
      </c>
      <c r="L224" s="17" t="str">
        <f t="shared" si="46"/>
        <v xml:space="preserve">SELECT count(*) AS NUM_REG_DIF FROM (SELECT instrmnt_id as instrmnt_id_as_is, lcr_bffr_ctgry as lcr_bffr_ctgry_as_is FROM cd_loan_tapes_bce.lt002_instrument WHERE ref_date='2025-06-30' AND nome_perimetro= 'Individual IDComb' AND segmento= 'ESTR' AND ambito= 'PM' AND entidade='00100' AND cod_visao = 1) A  Inner join (SELECT instrmnt_id as instrmnt_id_to_be, lcr_bffr_ctgry as lcr_bffr_ctgry_to_be FROM bu_loantape_work.lt002_instrument WHERE ref_date='2025-06-30' AND nome_perimetro= 'Individual IDComb' AND segmento= 'ESTR' AND ambito= 'PM' AND entidade='00100' AND cod_visao = 1) B ON instrmnt_id_as_is = instrmnt_id_to_be WHERE coalesce(cast(lcr_bffr_ctgry_as_is as string), '') &lt;&gt; coalesce(cast(lcr_bffr_ctgry_to_be as string), '') </v>
      </c>
      <c r="M224" s="17" t="s">
        <v>48</v>
      </c>
      <c r="N224" s="17" t="str">
        <f>"SELECT 'Validação de campos' as tipologia_teste, '"&amp;VLOOKUP(B224,Instruções!$F$6:$J$10,3,0)&amp;"' AS TABELA, '"&amp;E224&amp;"' AS CAMPO, '"&amp;Instruções!$D$7&amp;"' as ref_date, coalesce(NUM_REG_DIF, 0) AS NUM_REG_DIF FROM ("&amp;L224&amp;") A "</f>
        <v xml:space="preserve">SELECT 'Validação de campos' as tipologia_teste, 'lt002_instrument' AS TABELA, 'lcr_bffr_ctgry' AS CAMPO, '2025-06-30' as ref_date, coalesce(NUM_REG_DIF, 0) AS NUM_REG_DIF FROM (SELECT count(*) AS NUM_REG_DIF FROM (SELECT instrmnt_id as instrmnt_id_as_is, lcr_bffr_ctgry as lcr_bffr_ctgry_as_is FROM cd_loan_tapes_bce.lt002_instrument WHERE ref_date='2025-06-30' AND nome_perimetro= 'Individual IDComb' AND segmento= 'ESTR' AND ambito= 'PM' AND entidade='00100' AND cod_visao = 1) A  Inner join (SELECT instrmnt_id as instrmnt_id_to_be, lcr_bffr_ctgry as lcr_bffr_ctgry_to_be FROM bu_loantape_work.lt002_instrument WHERE ref_date='2025-06-30' AND nome_perimetro= 'Individual IDComb' AND segmento= 'ESTR' AND ambito= 'PM' AND entidade='00100' AND cod_visao = 1) B ON instrmnt_id_as_is = instrmnt_id_to_be WHERE coalesce(cast(lcr_bffr_ctgry_as_is as string), '') &lt;&gt; coalesce(cast(lcr_bffr_ctgry_to_be as string), '') ) A </v>
      </c>
      <c r="O224" s="19" t="str">
        <f t="shared" si="47"/>
        <v>SELECT 'Validação de campos' as tipologia_teste, 'lt002_instrument' AS TABELA, 'lcr_bffr_ctgry' AS CAMPO, '2025-06-30' as ref_date, coalesce(NUM_REG_DIF, 0) AS NUM_REG_DIF FROM (SELECT count(*) AS NUM_REG_DIF FROM (SELECT instrmnt_id as instrmnt_id_as_is, lcr_bffr_ctgry as lcr_bffr_ctgry_as_is FROM cd_loan_tapes_bce.lt002_instrument WHERE ref_date='2025-06-30' AND nome_perimetro= 'Individual IDComb' AND segmento= 'ESTR' AND ambito= 'PM' AND entidade='00100' AND cod_visao = 1) A  Inner join (SELECT instrmnt_id as instrmnt_id_to_be, lcr_bffr_ctgry as lcr_bffr_ctgry_to_be FROM bu_loantape_work.lt002_instrument WHERE ref_date='2025-06-30' AND nome_perimetro= 'Individual IDComb' AND segmento= 'ESTR' AND ambito= 'PM' AND entidade='00100' AND cod_visao = 1) B ON instrmnt_id_as_is = instrmnt_id_to_be WHERE coalesce(cast(lcr_bffr_ctgry_as_is as string), '') &lt;&gt; coalesce(cast(lcr_bffr_ctgry_to_be as string), '') ) A UNION ALL</v>
      </c>
      <c r="P224" s="17">
        <f t="shared" si="48"/>
        <v>15</v>
      </c>
    </row>
    <row r="225" spans="2:16" s="15" customFormat="1" ht="11.5" x14ac:dyDescent="0.25">
      <c r="B225" s="17" t="s">
        <v>24</v>
      </c>
      <c r="C225" s="17" t="str">
        <f>_xlfn.CONCAT(Instruções!$D$5,".",VLOOKUP(B225,Instruções!$F$5:$H$10,2,0))</f>
        <v>cd_loan_tapes_bce.lt002_instrument</v>
      </c>
      <c r="D225" s="17" t="str">
        <f>_xlfn.CONCAT(Instruções!$D$6,".",VLOOKUP(B225,Instruções!$F$5:$H$10,3,0))</f>
        <v>bu_loantape_work.lt002_instrument</v>
      </c>
      <c r="E225" s="17" t="s">
        <v>247</v>
      </c>
      <c r="F225" s="17" t="str">
        <f t="shared" si="43"/>
        <v>lcre_as_is</v>
      </c>
      <c r="G225" s="17" t="str">
        <f t="shared" si="44"/>
        <v>lcre_to_be</v>
      </c>
      <c r="H225" s="17" t="str">
        <f>IF(VLOOKUP(B225,Instruções!$F$6:$J$10,5,0)="",
"(SELECT "&amp;VLOOKUP(B225,Instruções!$F$6:$J$10,4,0)&amp;" as "&amp;VLOOKUP(B225,Instruções!$F$6:$J$10,4,0)&amp;"_as_is, "&amp;E225&amp;" as "&amp;F225&amp;" FROM "&amp;C225&amp;" WHERE "&amp;Instruções!$D$11&amp;") A ",
"(SELECT "&amp;VLOOKUP(B225,Instruções!$F$6:$J$10,4,0)&amp;" as "&amp;VLOOKUP(B225,Instruções!$F$6:$J$10,4,0)&amp;"_as_is, "&amp;VLOOKUP(B225,Instruções!$F$6:$J$10,5,0)&amp;" as "&amp;VLOOKUP(B225,Instruções!$F$6:$J$10,5,0)&amp;"_as_is,"&amp;E225&amp;" as "&amp;F225&amp;" FROM "&amp;C225&amp;" WHERE "&amp;Instruções!$D$11&amp;") A ")</f>
        <v xml:space="preserve">(SELECT instrmnt_id as instrmnt_id_as_is, lcre as lcre_as_is FROM cd_loan_tapes_bce.lt002_instrument WHERE ref_date='2025-06-30' AND nome_perimetro= 'Individual IDComb' AND segmento= 'ESTR' AND ambito= 'PM' AND entidade='00100' AND cod_visao = 1) A </v>
      </c>
      <c r="I225" s="17" t="str">
        <f>IF(VLOOKUP(B225,Instruções!$F$6:$J$10,5,0)="",
"(SELECT "&amp;VLOOKUP(B225,Instruções!$F$6:$J$10,4,0)&amp;" as "&amp;VLOOKUP(B225,Instruções!$F$6:$J$10,4,0)&amp;"_to_be, "&amp;E225&amp;" as "&amp;G225&amp;" FROM "&amp;D225&amp;" WHERE "&amp;Instruções!$D$11&amp;") B ",
"(SELECT "&amp;VLOOKUP(B225,Instruções!$F$6:$J$10,4,0)&amp;" as "&amp;VLOOKUP(B225,Instruções!$F$6:$J$10,4,0)&amp;"_to_be, "&amp;VLOOKUP(B225,Instruções!$F$6:$J$10,5,0)&amp;" as "&amp;VLOOKUP(B225,Instruções!$F$6:$J$10,5,0)&amp;"_to_be,"&amp;E225&amp;" as "&amp;G225&amp;" FROM "&amp;D225&amp;" WHERE "&amp;Instruções!$D$11&amp;") B ")</f>
        <v xml:space="preserve">(SELECT instrmnt_id as instrmnt_id_to_be, lcre as lcre_to_be FROM bu_loantape_work.lt002_instrument WHERE ref_date='2025-06-30' AND nome_perimetro= 'Individual IDComb' AND segmento= 'ESTR' AND ambito= 'PM' AND entidade='00100' AND cod_visao = 1) B </v>
      </c>
      <c r="J225" s="17" t="str">
        <f>IF(VLOOKUP(B225,Instruções!$F$6:$J$10,5,0)="",
"ON "&amp;VLOOKUP(B225,Instruções!$F$6:$J$10,4,0)&amp;"_as_is = "&amp;VLOOKUP(B225,Instruções!$F$6:$J$10,4,0)&amp;"_to_be ",
"ON "&amp;VLOOKUP(B225,Instruções!$F$6:$J$10,4,0)&amp;"_as_is = "&amp;VLOOKUP(B225,Instruções!$F$6:$J$10,4,0)&amp;"_to_be AND "&amp;VLOOKUP(B225,Instruções!$F$6:$J$10,5,0)&amp;"_as_is = "&amp;VLOOKUP(B225,Instruções!$F$6:$J$10,5,0)&amp;"_to_be ")</f>
        <v xml:space="preserve">ON instrmnt_id_as_is = instrmnt_id_to_be </v>
      </c>
      <c r="K225" s="17" t="str">
        <f t="shared" si="45"/>
        <v xml:space="preserve">WHERE coalesce(cast(lcre_as_is as string), '') &lt;&gt; coalesce(cast(lcre_to_be as string), '') </v>
      </c>
      <c r="L225" s="17" t="str">
        <f t="shared" si="46"/>
        <v xml:space="preserve">SELECT count(*) AS NUM_REG_DIF FROM (SELECT instrmnt_id as instrmnt_id_as_is, lcre as lcre_as_is FROM cd_loan_tapes_bce.lt002_instrument WHERE ref_date='2025-06-30' AND nome_perimetro= 'Individual IDComb' AND segmento= 'ESTR' AND ambito= 'PM' AND entidade='00100' AND cod_visao = 1) A  Inner join (SELECT instrmnt_id as instrmnt_id_to_be, lcre as lcre_to_be FROM bu_loantape_work.lt002_instrument WHERE ref_date='2025-06-30' AND nome_perimetro= 'Individual IDComb' AND segmento= 'ESTR' AND ambito= 'PM' AND entidade='00100' AND cod_visao = 1) B ON instrmnt_id_as_is = instrmnt_id_to_be WHERE coalesce(cast(lcre_as_is as string), '') &lt;&gt; coalesce(cast(lcre_to_be as string), '') </v>
      </c>
      <c r="M225" s="17" t="s">
        <v>48</v>
      </c>
      <c r="N225" s="17" t="str">
        <f>"SELECT 'Validação de campos' as tipologia_teste, '"&amp;VLOOKUP(B225,Instruções!$F$6:$J$10,3,0)&amp;"' AS TABELA, '"&amp;E225&amp;"' AS CAMPO, '"&amp;Instruções!$D$7&amp;"' as ref_date, coalesce(NUM_REG_DIF, 0) AS NUM_REG_DIF FROM ("&amp;L225&amp;") A "</f>
        <v xml:space="preserve">SELECT 'Validação de campos' as tipologia_teste, 'lt002_instrument' AS TABELA, 'lcre' AS CAMPO, '2025-06-30' as ref_date, coalesce(NUM_REG_DIF, 0) AS NUM_REG_DIF FROM (SELECT count(*) AS NUM_REG_DIF FROM (SELECT instrmnt_id as instrmnt_id_as_is, lcre as lcre_as_is FROM cd_loan_tapes_bce.lt002_instrument WHERE ref_date='2025-06-30' AND nome_perimetro= 'Individual IDComb' AND segmento= 'ESTR' AND ambito= 'PM' AND entidade='00100' AND cod_visao = 1) A  Inner join (SELECT instrmnt_id as instrmnt_id_to_be, lcre as lcre_to_be FROM bu_loantape_work.lt002_instrument WHERE ref_date='2025-06-30' AND nome_perimetro= 'Individual IDComb' AND segmento= 'ESTR' AND ambito= 'PM' AND entidade='00100' AND cod_visao = 1) B ON instrmnt_id_as_is = instrmnt_id_to_be WHERE coalesce(cast(lcre_as_is as string), '') &lt;&gt; coalesce(cast(lcre_to_be as string), '') ) A </v>
      </c>
      <c r="O225" s="19" t="str">
        <f t="shared" si="47"/>
        <v>SELECT 'Validação de campos' as tipologia_teste, 'lt002_instrument' AS TABELA, 'lcre' AS CAMPO, '2025-06-30' as ref_date, coalesce(NUM_REG_DIF, 0) AS NUM_REG_DIF FROM (SELECT count(*) AS NUM_REG_DIF FROM (SELECT instrmnt_id as instrmnt_id_as_is, lcre as lcre_as_is FROM cd_loan_tapes_bce.lt002_instrument WHERE ref_date='2025-06-30' AND nome_perimetro= 'Individual IDComb' AND segmento= 'ESTR' AND ambito= 'PM' AND entidade='00100' AND cod_visao = 1) A  Inner join (SELECT instrmnt_id as instrmnt_id_to_be, lcre as lcre_to_be FROM bu_loantape_work.lt002_instrument WHERE ref_date='2025-06-30' AND nome_perimetro= 'Individual IDComb' AND segmento= 'ESTR' AND ambito= 'PM' AND entidade='00100' AND cod_visao = 1) B ON instrmnt_id_as_is = instrmnt_id_to_be WHERE coalesce(cast(lcre_as_is as string), '') &lt;&gt; coalesce(cast(lcre_to_be as string), '') ) A UNION ALL</v>
      </c>
      <c r="P225" s="17">
        <f t="shared" si="48"/>
        <v>16</v>
      </c>
    </row>
    <row r="226" spans="2:16" s="15" customFormat="1" ht="11.5" x14ac:dyDescent="0.25">
      <c r="B226" s="17" t="s">
        <v>24</v>
      </c>
      <c r="C226" s="17" t="str">
        <f>_xlfn.CONCAT(Instruções!$D$5,".",VLOOKUP(B226,Instruções!$F$5:$H$10,2,0))</f>
        <v>cd_loan_tapes_bce.lt002_instrument</v>
      </c>
      <c r="D226" s="17" t="str">
        <f>_xlfn.CONCAT(Instruções!$D$6,".",VLOOKUP(B226,Instruções!$F$5:$H$10,3,0))</f>
        <v>bu_loantape_work.lt002_instrument</v>
      </c>
      <c r="E226" s="17" t="s">
        <v>248</v>
      </c>
      <c r="F226" s="17" t="str">
        <f t="shared" si="43"/>
        <v>lgd_as_is</v>
      </c>
      <c r="G226" s="17" t="str">
        <f t="shared" si="44"/>
        <v>lgd_to_be</v>
      </c>
      <c r="H226" s="17" t="str">
        <f>IF(VLOOKUP(B226,Instruções!$F$6:$J$10,5,0)="",
"(SELECT "&amp;VLOOKUP(B226,Instruções!$F$6:$J$10,4,0)&amp;" as "&amp;VLOOKUP(B226,Instruções!$F$6:$J$10,4,0)&amp;"_as_is, "&amp;E226&amp;" as "&amp;F226&amp;" FROM "&amp;C226&amp;" WHERE "&amp;Instruções!$D$11&amp;") A ",
"(SELECT "&amp;VLOOKUP(B226,Instruções!$F$6:$J$10,4,0)&amp;" as "&amp;VLOOKUP(B226,Instruções!$F$6:$J$10,4,0)&amp;"_as_is, "&amp;VLOOKUP(B226,Instruções!$F$6:$J$10,5,0)&amp;" as "&amp;VLOOKUP(B226,Instruções!$F$6:$J$10,5,0)&amp;"_as_is,"&amp;E226&amp;" as "&amp;F226&amp;" FROM "&amp;C226&amp;" WHERE "&amp;Instruções!$D$11&amp;") A ")</f>
        <v xml:space="preserve">(SELECT instrmnt_id as instrmnt_id_as_is, lgd as lgd_as_is FROM cd_loan_tapes_bce.lt002_instrument WHERE ref_date='2025-06-30' AND nome_perimetro= 'Individual IDComb' AND segmento= 'ESTR' AND ambito= 'PM' AND entidade='00100' AND cod_visao = 1) A </v>
      </c>
      <c r="I226" s="17" t="str">
        <f>IF(VLOOKUP(B226,Instruções!$F$6:$J$10,5,0)="",
"(SELECT "&amp;VLOOKUP(B226,Instruções!$F$6:$J$10,4,0)&amp;" as "&amp;VLOOKUP(B226,Instruções!$F$6:$J$10,4,0)&amp;"_to_be, "&amp;E226&amp;" as "&amp;G226&amp;" FROM "&amp;D226&amp;" WHERE "&amp;Instruções!$D$11&amp;") B ",
"(SELECT "&amp;VLOOKUP(B226,Instruções!$F$6:$J$10,4,0)&amp;" as "&amp;VLOOKUP(B226,Instruções!$F$6:$J$10,4,0)&amp;"_to_be, "&amp;VLOOKUP(B226,Instruções!$F$6:$J$10,5,0)&amp;" as "&amp;VLOOKUP(B226,Instruções!$F$6:$J$10,5,0)&amp;"_to_be,"&amp;E226&amp;" as "&amp;G226&amp;" FROM "&amp;D226&amp;" WHERE "&amp;Instruções!$D$11&amp;") B ")</f>
        <v xml:space="preserve">(SELECT instrmnt_id as instrmnt_id_to_be, lgd as lgd_to_be FROM bu_loantape_work.lt002_instrument WHERE ref_date='2025-06-30' AND nome_perimetro= 'Individual IDComb' AND segmento= 'ESTR' AND ambito= 'PM' AND entidade='00100' AND cod_visao = 1) B </v>
      </c>
      <c r="J226" s="17" t="str">
        <f>IF(VLOOKUP(B226,Instruções!$F$6:$J$10,5,0)="",
"ON "&amp;VLOOKUP(B226,Instruções!$F$6:$J$10,4,0)&amp;"_as_is = "&amp;VLOOKUP(B226,Instruções!$F$6:$J$10,4,0)&amp;"_to_be ",
"ON "&amp;VLOOKUP(B226,Instruções!$F$6:$J$10,4,0)&amp;"_as_is = "&amp;VLOOKUP(B226,Instruções!$F$6:$J$10,4,0)&amp;"_to_be AND "&amp;VLOOKUP(B226,Instruções!$F$6:$J$10,5,0)&amp;"_as_is = "&amp;VLOOKUP(B226,Instruções!$F$6:$J$10,5,0)&amp;"_to_be ")</f>
        <v xml:space="preserve">ON instrmnt_id_as_is = instrmnt_id_to_be </v>
      </c>
      <c r="K226" s="17" t="str">
        <f t="shared" si="45"/>
        <v xml:space="preserve">WHERE coalesce(cast(lgd_as_is as string), '') &lt;&gt; coalesce(cast(lgd_to_be as string), '') </v>
      </c>
      <c r="L226" s="17" t="str">
        <f t="shared" si="46"/>
        <v xml:space="preserve">SELECT count(*) AS NUM_REG_DIF FROM (SELECT instrmnt_id as instrmnt_id_as_is, lgd as lgd_as_is FROM cd_loan_tapes_bce.lt002_instrument WHERE ref_date='2025-06-30' AND nome_perimetro= 'Individual IDComb' AND segmento= 'ESTR' AND ambito= 'PM' AND entidade='00100' AND cod_visao = 1) A  Inner join (SELECT instrmnt_id as instrmnt_id_to_be, lgd as lgd_to_be FROM bu_loantape_work.lt002_instrument WHERE ref_date='2025-06-30' AND nome_perimetro= 'Individual IDComb' AND segmento= 'ESTR' AND ambito= 'PM' AND entidade='00100' AND cod_visao = 1) B ON instrmnt_id_as_is = instrmnt_id_to_be WHERE coalesce(cast(lgd_as_is as string), '') &lt;&gt; coalesce(cast(lgd_to_be as string), '') </v>
      </c>
      <c r="M226" s="17" t="s">
        <v>48</v>
      </c>
      <c r="N226" s="17" t="str">
        <f>"SELECT 'Validação de campos' as tipologia_teste, '"&amp;VLOOKUP(B226,Instruções!$F$6:$J$10,3,0)&amp;"' AS TABELA, '"&amp;E226&amp;"' AS CAMPO, '"&amp;Instruções!$D$7&amp;"' as ref_date, coalesce(NUM_REG_DIF, 0) AS NUM_REG_DIF FROM ("&amp;L226&amp;") A "</f>
        <v xml:space="preserve">SELECT 'Validação de campos' as tipologia_teste, 'lt002_instrument' AS TABELA, 'lgd' AS CAMPO, '2025-06-30' as ref_date, coalesce(NUM_REG_DIF, 0) AS NUM_REG_DIF FROM (SELECT count(*) AS NUM_REG_DIF FROM (SELECT instrmnt_id as instrmnt_id_as_is, lgd as lgd_as_is FROM cd_loan_tapes_bce.lt002_instrument WHERE ref_date='2025-06-30' AND nome_perimetro= 'Individual IDComb' AND segmento= 'ESTR' AND ambito= 'PM' AND entidade='00100' AND cod_visao = 1) A  Inner join (SELECT instrmnt_id as instrmnt_id_to_be, lgd as lgd_to_be FROM bu_loantape_work.lt002_instrument WHERE ref_date='2025-06-30' AND nome_perimetro= 'Individual IDComb' AND segmento= 'ESTR' AND ambito= 'PM' AND entidade='00100' AND cod_visao = 1) B ON instrmnt_id_as_is = instrmnt_id_to_be WHERE coalesce(cast(lgd_as_is as string), '') &lt;&gt; coalesce(cast(lgd_to_be as string), '') ) A </v>
      </c>
      <c r="O226" s="19" t="str">
        <f t="shared" si="47"/>
        <v>SELECT 'Validação de campos' as tipologia_teste, 'lt002_instrument' AS TABELA, 'lgd' AS CAMPO, '2025-06-30' as ref_date, coalesce(NUM_REG_DIF, 0) AS NUM_REG_DIF FROM (SELECT count(*) AS NUM_REG_DIF FROM (SELECT instrmnt_id as instrmnt_id_as_is, lgd as lgd_as_is FROM cd_loan_tapes_bce.lt002_instrument WHERE ref_date='2025-06-30' AND nome_perimetro= 'Individual IDComb' AND segmento= 'ESTR' AND ambito= 'PM' AND entidade='00100' AND cod_visao = 1) A  Inner join (SELECT instrmnt_id as instrmnt_id_to_be, lgd as lgd_to_be FROM bu_loantape_work.lt002_instrument WHERE ref_date='2025-06-30' AND nome_perimetro= 'Individual IDComb' AND segmento= 'ESTR' AND ambito= 'PM' AND entidade='00100' AND cod_visao = 1) B ON instrmnt_id_as_is = instrmnt_id_to_be WHERE coalesce(cast(lgd_as_is as string), '') &lt;&gt; coalesce(cast(lgd_to_be as string), '') ) A UNION ALL</v>
      </c>
      <c r="P226" s="17">
        <f t="shared" si="48"/>
        <v>17</v>
      </c>
    </row>
    <row r="227" spans="2:16" s="15" customFormat="1" ht="11.5" x14ac:dyDescent="0.25">
      <c r="B227" s="17" t="s">
        <v>24</v>
      </c>
      <c r="C227" s="17" t="str">
        <f>_xlfn.CONCAT(Instruções!$D$5,".",VLOOKUP(B227,Instruções!$F$5:$H$10,2,0))</f>
        <v>cd_loan_tapes_bce.lt002_instrument</v>
      </c>
      <c r="D227" s="17" t="str">
        <f>_xlfn.CONCAT(Instruções!$D$6,".",VLOOKUP(B227,Instruções!$F$5:$H$10,3,0))</f>
        <v>bu_loantape_work.lt002_instrument</v>
      </c>
      <c r="E227" s="17" t="s">
        <v>249</v>
      </c>
      <c r="F227" s="17" t="str">
        <f t="shared" si="43"/>
        <v>lgl_prcdng_stts_as_is</v>
      </c>
      <c r="G227" s="17" t="str">
        <f t="shared" si="44"/>
        <v>lgl_prcdng_stts_to_be</v>
      </c>
      <c r="H227" s="17" t="str">
        <f>IF(VLOOKUP(B227,Instruções!$F$6:$J$10,5,0)="",
"(SELECT "&amp;VLOOKUP(B227,Instruções!$F$6:$J$10,4,0)&amp;" as "&amp;VLOOKUP(B227,Instruções!$F$6:$J$10,4,0)&amp;"_as_is, "&amp;E227&amp;" as "&amp;F227&amp;" FROM "&amp;C227&amp;" WHERE "&amp;Instruções!$D$11&amp;") A ",
"(SELECT "&amp;VLOOKUP(B227,Instruções!$F$6:$J$10,4,0)&amp;" as "&amp;VLOOKUP(B227,Instruções!$F$6:$J$10,4,0)&amp;"_as_is, "&amp;VLOOKUP(B227,Instruções!$F$6:$J$10,5,0)&amp;" as "&amp;VLOOKUP(B227,Instruções!$F$6:$J$10,5,0)&amp;"_as_is,"&amp;E227&amp;" as "&amp;F227&amp;" FROM "&amp;C227&amp;" WHERE "&amp;Instruções!$D$11&amp;") A ")</f>
        <v xml:space="preserve">(SELECT instrmnt_id as instrmnt_id_as_is, lgl_prcdng_stts as lgl_prcdng_stts_as_is FROM cd_loan_tapes_bce.lt002_instrument WHERE ref_date='2025-06-30' AND nome_perimetro= 'Individual IDComb' AND segmento= 'ESTR' AND ambito= 'PM' AND entidade='00100' AND cod_visao = 1) A </v>
      </c>
      <c r="I227" s="17" t="str">
        <f>IF(VLOOKUP(B227,Instruções!$F$6:$J$10,5,0)="",
"(SELECT "&amp;VLOOKUP(B227,Instruções!$F$6:$J$10,4,0)&amp;" as "&amp;VLOOKUP(B227,Instruções!$F$6:$J$10,4,0)&amp;"_to_be, "&amp;E227&amp;" as "&amp;G227&amp;" FROM "&amp;D227&amp;" WHERE "&amp;Instruções!$D$11&amp;") B ",
"(SELECT "&amp;VLOOKUP(B227,Instruções!$F$6:$J$10,4,0)&amp;" as "&amp;VLOOKUP(B227,Instruções!$F$6:$J$10,4,0)&amp;"_to_be, "&amp;VLOOKUP(B227,Instruções!$F$6:$J$10,5,0)&amp;" as "&amp;VLOOKUP(B227,Instruções!$F$6:$J$10,5,0)&amp;"_to_be,"&amp;E227&amp;" as "&amp;G227&amp;" FROM "&amp;D227&amp;" WHERE "&amp;Instruções!$D$11&amp;") B ")</f>
        <v xml:space="preserve">(SELECT instrmnt_id as instrmnt_id_to_be, lgl_prcdng_stts as lgl_prcdng_stts_to_be FROM bu_loantape_work.lt002_instrument WHERE ref_date='2025-06-30' AND nome_perimetro= 'Individual IDComb' AND segmento= 'ESTR' AND ambito= 'PM' AND entidade='00100' AND cod_visao = 1) B </v>
      </c>
      <c r="J227" s="17" t="str">
        <f>IF(VLOOKUP(B227,Instruções!$F$6:$J$10,5,0)="",
"ON "&amp;VLOOKUP(B227,Instruções!$F$6:$J$10,4,0)&amp;"_as_is = "&amp;VLOOKUP(B227,Instruções!$F$6:$J$10,4,0)&amp;"_to_be ",
"ON "&amp;VLOOKUP(B227,Instruções!$F$6:$J$10,4,0)&amp;"_as_is = "&amp;VLOOKUP(B227,Instruções!$F$6:$J$10,4,0)&amp;"_to_be AND "&amp;VLOOKUP(B227,Instruções!$F$6:$J$10,5,0)&amp;"_as_is = "&amp;VLOOKUP(B227,Instruções!$F$6:$J$10,5,0)&amp;"_to_be ")</f>
        <v xml:space="preserve">ON instrmnt_id_as_is = instrmnt_id_to_be </v>
      </c>
      <c r="K227" s="17" t="str">
        <f t="shared" si="45"/>
        <v xml:space="preserve">WHERE coalesce(cast(lgl_prcdng_stts_as_is as string), '') &lt;&gt; coalesce(cast(lgl_prcdng_stts_to_be as string), '') </v>
      </c>
      <c r="L227" s="17" t="str">
        <f t="shared" si="46"/>
        <v xml:space="preserve">SELECT count(*) AS NUM_REG_DIF FROM (SELECT instrmnt_id as instrmnt_id_as_is, lgl_prcdng_stts as lgl_prcdng_stts_as_is FROM cd_loan_tapes_bce.lt002_instrument WHERE ref_date='2025-06-30' AND nome_perimetro= 'Individual IDComb' AND segmento= 'ESTR' AND ambito= 'PM' AND entidade='00100' AND cod_visao = 1) A  Inner join (SELECT instrmnt_id as instrmnt_id_to_be, lgl_prcdng_stts as lgl_prcdng_stts_to_be FROM bu_loantape_work.lt002_instrument WHERE ref_date='2025-06-30' AND nome_perimetro= 'Individual IDComb' AND segmento= 'ESTR' AND ambito= 'PM' AND entidade='00100' AND cod_visao = 1) B ON instrmnt_id_as_is = instrmnt_id_to_be WHERE coalesce(cast(lgl_prcdng_stts_as_is as string), '') &lt;&gt; coalesce(cast(lgl_prcdng_stts_to_be as string), '') </v>
      </c>
      <c r="M227" s="17" t="s">
        <v>48</v>
      </c>
      <c r="N227" s="17" t="str">
        <f>"SELECT 'Validação de campos' as tipologia_teste, '"&amp;VLOOKUP(B227,Instruções!$F$6:$J$10,3,0)&amp;"' AS TABELA, '"&amp;E227&amp;"' AS CAMPO, '"&amp;Instruções!$D$7&amp;"' as ref_date, coalesce(NUM_REG_DIF, 0) AS NUM_REG_DIF FROM ("&amp;L227&amp;") A "</f>
        <v xml:space="preserve">SELECT 'Validação de campos' as tipologia_teste, 'lt002_instrument' AS TABELA, 'lgl_prcdng_stts' AS CAMPO, '2025-06-30' as ref_date, coalesce(NUM_REG_DIF, 0) AS NUM_REG_DIF FROM (SELECT count(*) AS NUM_REG_DIF FROM (SELECT instrmnt_id as instrmnt_id_as_is, lgl_prcdng_stts as lgl_prcdng_stts_as_is FROM cd_loan_tapes_bce.lt002_instrument WHERE ref_date='2025-06-30' AND nome_perimetro= 'Individual IDComb' AND segmento= 'ESTR' AND ambito= 'PM' AND entidade='00100' AND cod_visao = 1) A  Inner join (SELECT instrmnt_id as instrmnt_id_to_be, lgl_prcdng_stts as lgl_prcdng_stts_to_be FROM bu_loantape_work.lt002_instrument WHERE ref_date='2025-06-30' AND nome_perimetro= 'Individual IDComb' AND segmento= 'ESTR' AND ambito= 'PM' AND entidade='00100' AND cod_visao = 1) B ON instrmnt_id_as_is = instrmnt_id_to_be WHERE coalesce(cast(lgl_prcdng_stts_as_is as string), '') &lt;&gt; coalesce(cast(lgl_prcdng_stts_to_be as string), '') ) A </v>
      </c>
      <c r="O227" s="19" t="str">
        <f t="shared" si="47"/>
        <v>SELECT 'Validação de campos' as tipologia_teste, 'lt002_instrument' AS TABELA, 'lgl_prcdng_stts' AS CAMPO, '2025-06-30' as ref_date, coalesce(NUM_REG_DIF, 0) AS NUM_REG_DIF FROM (SELECT count(*) AS NUM_REG_DIF FROM (SELECT instrmnt_id as instrmnt_id_as_is, lgl_prcdng_stts as lgl_prcdng_stts_as_is FROM cd_loan_tapes_bce.lt002_instrument WHERE ref_date='2025-06-30' AND nome_perimetro= 'Individual IDComb' AND segmento= 'ESTR' AND ambito= 'PM' AND entidade='00100' AND cod_visao = 1) A  Inner join (SELECT instrmnt_id as instrmnt_id_to_be, lgl_prcdng_stts as lgl_prcdng_stts_to_be FROM bu_loantape_work.lt002_instrument WHERE ref_date='2025-06-30' AND nome_perimetro= 'Individual IDComb' AND segmento= 'ESTR' AND ambito= 'PM' AND entidade='00100' AND cod_visao = 1) B ON instrmnt_id_as_is = instrmnt_id_to_be WHERE coalesce(cast(lgl_prcdng_stts_as_is as string), '') &lt;&gt; coalesce(cast(lgl_prcdng_stts_to_be as string), '') ) A UNION ALL</v>
      </c>
      <c r="P227" s="17">
        <f t="shared" si="48"/>
        <v>18</v>
      </c>
    </row>
    <row r="228" spans="2:16" s="15" customFormat="1" ht="11.5" x14ac:dyDescent="0.25">
      <c r="B228" s="17" t="s">
        <v>24</v>
      </c>
      <c r="C228" s="17" t="str">
        <f>_xlfn.CONCAT(Instruções!$D$5,".",VLOOKUP(B228,Instruções!$F$5:$H$10,2,0))</f>
        <v>cd_loan_tapes_bce.lt002_instrument</v>
      </c>
      <c r="D228" s="17" t="str">
        <f>_xlfn.CONCAT(Instruções!$D$6,".",VLOOKUP(B228,Instruções!$F$5:$H$10,3,0))</f>
        <v>bu_loantape_work.lt002_instrument</v>
      </c>
      <c r="E228" s="17" t="s">
        <v>250</v>
      </c>
      <c r="F228" s="17" t="str">
        <f t="shared" si="43"/>
        <v>lnd_drgtn_as_is</v>
      </c>
      <c r="G228" s="17" t="str">
        <f t="shared" si="44"/>
        <v>lnd_drgtn_to_be</v>
      </c>
      <c r="H228" s="17" t="str">
        <f>IF(VLOOKUP(B228,Instruções!$F$6:$J$10,5,0)="",
"(SELECT "&amp;VLOOKUP(B228,Instruções!$F$6:$J$10,4,0)&amp;" as "&amp;VLOOKUP(B228,Instruções!$F$6:$J$10,4,0)&amp;"_as_is, "&amp;E228&amp;" as "&amp;F228&amp;" FROM "&amp;C228&amp;" WHERE "&amp;Instruções!$D$11&amp;") A ",
"(SELECT "&amp;VLOOKUP(B228,Instruções!$F$6:$J$10,4,0)&amp;" as "&amp;VLOOKUP(B228,Instruções!$F$6:$J$10,4,0)&amp;"_as_is, "&amp;VLOOKUP(B228,Instruções!$F$6:$J$10,5,0)&amp;" as "&amp;VLOOKUP(B228,Instruções!$F$6:$J$10,5,0)&amp;"_as_is,"&amp;E228&amp;" as "&amp;F228&amp;" FROM "&amp;C228&amp;" WHERE "&amp;Instruções!$D$11&amp;") A ")</f>
        <v xml:space="preserve">(SELECT instrmnt_id as instrmnt_id_as_is, lnd_drgtn as lnd_drgtn_as_is FROM cd_loan_tapes_bce.lt002_instrument WHERE ref_date='2025-06-30' AND nome_perimetro= 'Individual IDComb' AND segmento= 'ESTR' AND ambito= 'PM' AND entidade='00100' AND cod_visao = 1) A </v>
      </c>
      <c r="I228" s="17" t="str">
        <f>IF(VLOOKUP(B228,Instruções!$F$6:$J$10,5,0)="",
"(SELECT "&amp;VLOOKUP(B228,Instruções!$F$6:$J$10,4,0)&amp;" as "&amp;VLOOKUP(B228,Instruções!$F$6:$J$10,4,0)&amp;"_to_be, "&amp;E228&amp;" as "&amp;G228&amp;" FROM "&amp;D228&amp;" WHERE "&amp;Instruções!$D$11&amp;") B ",
"(SELECT "&amp;VLOOKUP(B228,Instruções!$F$6:$J$10,4,0)&amp;" as "&amp;VLOOKUP(B228,Instruções!$F$6:$J$10,4,0)&amp;"_to_be, "&amp;VLOOKUP(B228,Instruções!$F$6:$J$10,5,0)&amp;" as "&amp;VLOOKUP(B228,Instruções!$F$6:$J$10,5,0)&amp;"_to_be,"&amp;E228&amp;" as "&amp;G228&amp;" FROM "&amp;D228&amp;" WHERE "&amp;Instruções!$D$11&amp;") B ")</f>
        <v xml:space="preserve">(SELECT instrmnt_id as instrmnt_id_to_be, lnd_drgtn as lnd_drgtn_to_be FROM bu_loantape_work.lt002_instrument WHERE ref_date='2025-06-30' AND nome_perimetro= 'Individual IDComb' AND segmento= 'ESTR' AND ambito= 'PM' AND entidade='00100' AND cod_visao = 1) B </v>
      </c>
      <c r="J228" s="17" t="str">
        <f>IF(VLOOKUP(B228,Instruções!$F$6:$J$10,5,0)="",
"ON "&amp;VLOOKUP(B228,Instruções!$F$6:$J$10,4,0)&amp;"_as_is = "&amp;VLOOKUP(B228,Instruções!$F$6:$J$10,4,0)&amp;"_to_be ",
"ON "&amp;VLOOKUP(B228,Instruções!$F$6:$J$10,4,0)&amp;"_as_is = "&amp;VLOOKUP(B228,Instruções!$F$6:$J$10,4,0)&amp;"_to_be AND "&amp;VLOOKUP(B228,Instruções!$F$6:$J$10,5,0)&amp;"_as_is = "&amp;VLOOKUP(B228,Instruções!$F$6:$J$10,5,0)&amp;"_to_be ")</f>
        <v xml:space="preserve">ON instrmnt_id_as_is = instrmnt_id_to_be </v>
      </c>
      <c r="K228" s="17" t="str">
        <f t="shared" si="45"/>
        <v xml:space="preserve">WHERE coalesce(cast(lnd_drgtn_as_is as string), '') &lt;&gt; coalesce(cast(lnd_drgtn_to_be as string), '') </v>
      </c>
      <c r="L228" s="17" t="str">
        <f t="shared" si="46"/>
        <v xml:space="preserve">SELECT count(*) AS NUM_REG_DIF FROM (SELECT instrmnt_id as instrmnt_id_as_is, lnd_drgtn as lnd_drgtn_as_is FROM cd_loan_tapes_bce.lt002_instrument WHERE ref_date='2025-06-30' AND nome_perimetro= 'Individual IDComb' AND segmento= 'ESTR' AND ambito= 'PM' AND entidade='00100' AND cod_visao = 1) A  Inner join (SELECT instrmnt_id as instrmnt_id_to_be, lnd_drgtn as lnd_drgtn_to_be FROM bu_loantape_work.lt002_instrument WHERE ref_date='2025-06-30' AND nome_perimetro= 'Individual IDComb' AND segmento= 'ESTR' AND ambito= 'PM' AND entidade='00100' AND cod_visao = 1) B ON instrmnt_id_as_is = instrmnt_id_to_be WHERE coalesce(cast(lnd_drgtn_as_is as string), '') &lt;&gt; coalesce(cast(lnd_drgtn_to_be as string), '') </v>
      </c>
      <c r="M228" s="17" t="s">
        <v>48</v>
      </c>
      <c r="N228" s="17" t="str">
        <f>"SELECT 'Validação de campos' as tipologia_teste, '"&amp;VLOOKUP(B228,Instruções!$F$6:$J$10,3,0)&amp;"' AS TABELA, '"&amp;E228&amp;"' AS CAMPO, '"&amp;Instruções!$D$7&amp;"' as ref_date, coalesce(NUM_REG_DIF, 0) AS NUM_REG_DIF FROM ("&amp;L228&amp;") A "</f>
        <v xml:space="preserve">SELECT 'Validação de campos' as tipologia_teste, 'lt002_instrument' AS TABELA, 'lnd_drgtn' AS CAMPO, '2025-06-30' as ref_date, coalesce(NUM_REG_DIF, 0) AS NUM_REG_DIF FROM (SELECT count(*) AS NUM_REG_DIF FROM (SELECT instrmnt_id as instrmnt_id_as_is, lnd_drgtn as lnd_drgtn_as_is FROM cd_loan_tapes_bce.lt002_instrument WHERE ref_date='2025-06-30' AND nome_perimetro= 'Individual IDComb' AND segmento= 'ESTR' AND ambito= 'PM' AND entidade='00100' AND cod_visao = 1) A  Inner join (SELECT instrmnt_id as instrmnt_id_to_be, lnd_drgtn as lnd_drgtn_to_be FROM bu_loantape_work.lt002_instrument WHERE ref_date='2025-06-30' AND nome_perimetro= 'Individual IDComb' AND segmento= 'ESTR' AND ambito= 'PM' AND entidade='00100' AND cod_visao = 1) B ON instrmnt_id_as_is = instrmnt_id_to_be WHERE coalesce(cast(lnd_drgtn_as_is as string), '') &lt;&gt; coalesce(cast(lnd_drgtn_to_be as string), '') ) A </v>
      </c>
      <c r="O228" s="19" t="str">
        <f>IF(O229="",N228,N228&amp;$O$3)</f>
        <v>SELECT 'Validação de campos' as tipologia_teste, 'lt002_instrument' AS TABELA, 'lnd_drgtn' AS CAMPO, '2025-06-30' as ref_date, coalesce(NUM_REG_DIF, 0) AS NUM_REG_DIF FROM (SELECT count(*) AS NUM_REG_DIF FROM (SELECT instrmnt_id as instrmnt_id_as_is, lnd_drgtn as lnd_drgtn_as_is FROM cd_loan_tapes_bce.lt002_instrument WHERE ref_date='2025-06-30' AND nome_perimetro= 'Individual IDComb' AND segmento= 'ESTR' AND ambito= 'PM' AND entidade='00100' AND cod_visao = 1) A  Inner join (SELECT instrmnt_id as instrmnt_id_to_be, lnd_drgtn as lnd_drgtn_to_be FROM bu_loantape_work.lt002_instrument WHERE ref_date='2025-06-30' AND nome_perimetro= 'Individual IDComb' AND segmento= 'ESTR' AND ambito= 'PM' AND entidade='00100' AND cod_visao = 1) B ON instrmnt_id_as_is = instrmnt_id_to_be WHERE coalesce(cast(lnd_drgtn_as_is as string), '') &lt;&gt; coalesce(cast(lnd_drgtn_to_be as string), '') ) A UNION ALL</v>
      </c>
      <c r="P228" s="17">
        <f t="shared" si="48"/>
        <v>19</v>
      </c>
    </row>
    <row r="229" spans="2:16" s="15" customFormat="1" ht="11.5" x14ac:dyDescent="0.25">
      <c r="B229" s="17" t="s">
        <v>24</v>
      </c>
      <c r="C229" s="17" t="str">
        <f>_xlfn.CONCAT(Instruções!$D$5,".",VLOOKUP(B229,Instruções!$F$5:$H$10,2,0))</f>
        <v>cd_loan_tapes_bce.lt002_instrument</v>
      </c>
      <c r="D229" s="17" t="str">
        <f>_xlfn.CONCAT(Instruções!$D$6,".",VLOOKUP(B229,Instruções!$F$5:$H$10,3,0))</f>
        <v>bu_loantape_work.lt002_instrument</v>
      </c>
      <c r="E229" s="17" t="s">
        <v>251</v>
      </c>
      <c r="F229" s="17" t="str">
        <f t="shared" si="43"/>
        <v>lsti_as_is</v>
      </c>
      <c r="G229" s="17" t="str">
        <f t="shared" si="44"/>
        <v>lsti_to_be</v>
      </c>
      <c r="H229" s="17" t="str">
        <f>IF(VLOOKUP(B229,Instruções!$F$6:$J$10,5,0)="",
"(SELECT "&amp;VLOOKUP(B229,Instruções!$F$6:$J$10,4,0)&amp;" as "&amp;VLOOKUP(B229,Instruções!$F$6:$J$10,4,0)&amp;"_as_is, "&amp;E229&amp;" as "&amp;F229&amp;" FROM "&amp;C229&amp;" WHERE "&amp;Instruções!$D$11&amp;") A ",
"(SELECT "&amp;VLOOKUP(B229,Instruções!$F$6:$J$10,4,0)&amp;" as "&amp;VLOOKUP(B229,Instruções!$F$6:$J$10,4,0)&amp;"_as_is, "&amp;VLOOKUP(B229,Instruções!$F$6:$J$10,5,0)&amp;" as "&amp;VLOOKUP(B229,Instruções!$F$6:$J$10,5,0)&amp;"_as_is,"&amp;E229&amp;" as "&amp;F229&amp;" FROM "&amp;C229&amp;" WHERE "&amp;Instruções!$D$11&amp;") A ")</f>
        <v xml:space="preserve">(SELECT instrmnt_id as instrmnt_id_as_is, lsti as lsti_as_is FROM cd_loan_tapes_bce.lt002_instrument WHERE ref_date='2025-06-30' AND nome_perimetro= 'Individual IDComb' AND segmento= 'ESTR' AND ambito= 'PM' AND entidade='00100' AND cod_visao = 1) A </v>
      </c>
      <c r="I229" s="17" t="str">
        <f>IF(VLOOKUP(B229,Instruções!$F$6:$J$10,5,0)="",
"(SELECT "&amp;VLOOKUP(B229,Instruções!$F$6:$J$10,4,0)&amp;" as "&amp;VLOOKUP(B229,Instruções!$F$6:$J$10,4,0)&amp;"_to_be, "&amp;E229&amp;" as "&amp;G229&amp;" FROM "&amp;D229&amp;" WHERE "&amp;Instruções!$D$11&amp;") B ",
"(SELECT "&amp;VLOOKUP(B229,Instruções!$F$6:$J$10,4,0)&amp;" as "&amp;VLOOKUP(B229,Instruções!$F$6:$J$10,4,0)&amp;"_to_be, "&amp;VLOOKUP(B229,Instruções!$F$6:$J$10,5,0)&amp;" as "&amp;VLOOKUP(B229,Instruções!$F$6:$J$10,5,0)&amp;"_to_be,"&amp;E229&amp;" as "&amp;G229&amp;" FROM "&amp;D229&amp;" WHERE "&amp;Instruções!$D$11&amp;") B ")</f>
        <v xml:space="preserve">(SELECT instrmnt_id as instrmnt_id_to_be, lsti as lsti_to_be FROM bu_loantape_work.lt002_instrument WHERE ref_date='2025-06-30' AND nome_perimetro= 'Individual IDComb' AND segmento= 'ESTR' AND ambito= 'PM' AND entidade='00100' AND cod_visao = 1) B </v>
      </c>
      <c r="J229" s="17" t="str">
        <f>IF(VLOOKUP(B229,Instruções!$F$6:$J$10,5,0)="",
"ON "&amp;VLOOKUP(B229,Instruções!$F$6:$J$10,4,0)&amp;"_as_is = "&amp;VLOOKUP(B229,Instruções!$F$6:$J$10,4,0)&amp;"_to_be ",
"ON "&amp;VLOOKUP(B229,Instruções!$F$6:$J$10,4,0)&amp;"_as_is = "&amp;VLOOKUP(B229,Instruções!$F$6:$J$10,4,0)&amp;"_to_be AND "&amp;VLOOKUP(B229,Instruções!$F$6:$J$10,5,0)&amp;"_as_is = "&amp;VLOOKUP(B229,Instruções!$F$6:$J$10,5,0)&amp;"_to_be ")</f>
        <v xml:space="preserve">ON instrmnt_id_as_is = instrmnt_id_to_be </v>
      </c>
      <c r="K229" s="17" t="str">
        <f t="shared" si="45"/>
        <v xml:space="preserve">WHERE coalesce(cast(lsti_as_is as string), '') &lt;&gt; coalesce(cast(lsti_to_be as string), '') </v>
      </c>
      <c r="L229" s="17" t="str">
        <f t="shared" si="46"/>
        <v xml:space="preserve">SELECT count(*) AS NUM_REG_DIF FROM (SELECT instrmnt_id as instrmnt_id_as_is, lsti as lsti_as_is FROM cd_loan_tapes_bce.lt002_instrument WHERE ref_date='2025-06-30' AND nome_perimetro= 'Individual IDComb' AND segmento= 'ESTR' AND ambito= 'PM' AND entidade='00100' AND cod_visao = 1) A  Inner join (SELECT instrmnt_id as instrmnt_id_to_be, lsti as lsti_to_be FROM bu_loantape_work.lt002_instrument WHERE ref_date='2025-06-30' AND nome_perimetro= 'Individual IDComb' AND segmento= 'ESTR' AND ambito= 'PM' AND entidade='00100' AND cod_visao = 1) B ON instrmnt_id_as_is = instrmnt_id_to_be WHERE coalesce(cast(lsti_as_is as string), '') &lt;&gt; coalesce(cast(lsti_to_be as string), '') </v>
      </c>
      <c r="M229" s="17" t="s">
        <v>48</v>
      </c>
      <c r="N229" s="17" t="str">
        <f>"SELECT 'Validação de campos' as tipologia_teste, '"&amp;VLOOKUP(B229,Instruções!$F$6:$J$10,3,0)&amp;"' AS TABELA, '"&amp;E229&amp;"' AS CAMPO, '"&amp;Instruções!$D$7&amp;"' as ref_date, coalesce(NUM_REG_DIF, 0) AS NUM_REG_DIF FROM ("&amp;L229&amp;") A "</f>
        <v xml:space="preserve">SELECT 'Validação de campos' as tipologia_teste, 'lt002_instrument' AS TABELA, 'lsti' AS CAMPO, '2025-06-30' as ref_date, coalesce(NUM_REG_DIF, 0) AS NUM_REG_DIF FROM (SELECT count(*) AS NUM_REG_DIF FROM (SELECT instrmnt_id as instrmnt_id_as_is, lsti as lsti_as_is FROM cd_loan_tapes_bce.lt002_instrument WHERE ref_date='2025-06-30' AND nome_perimetro= 'Individual IDComb' AND segmento= 'ESTR' AND ambito= 'PM' AND entidade='00100' AND cod_visao = 1) A  Inner join (SELECT instrmnt_id as instrmnt_id_to_be, lsti as lsti_to_be FROM bu_loantape_work.lt002_instrument WHERE ref_date='2025-06-30' AND nome_perimetro= 'Individual IDComb' AND segmento= 'ESTR' AND ambito= 'PM' AND entidade='00100' AND cod_visao = 1) B ON instrmnt_id_as_is = instrmnt_id_to_be WHERE coalesce(cast(lsti_as_is as string), '') &lt;&gt; coalesce(cast(lsti_to_be as string), '') ) A </v>
      </c>
      <c r="O229" s="19" t="str">
        <f>IF(O230="",N229,N229&amp;$O$3)</f>
        <v xml:space="preserve">SELECT 'Validação de campos' as tipologia_teste, 'lt002_instrument' AS TABELA, 'lsti' AS CAMPO, '2025-06-30' as ref_date, coalesce(NUM_REG_DIF, 0) AS NUM_REG_DIF FROM (SELECT count(*) AS NUM_REG_DIF FROM (SELECT instrmnt_id as instrmnt_id_as_is, lsti as lsti_as_is FROM cd_loan_tapes_bce.lt002_instrument WHERE ref_date='2025-06-30' AND nome_perimetro= 'Individual IDComb' AND segmento= 'ESTR' AND ambito= 'PM' AND entidade='00100' AND cod_visao = 1) A  Inner join (SELECT instrmnt_id as instrmnt_id_to_be, lsti as lsti_to_be FROM bu_loantape_work.lt002_instrument WHERE ref_date='2025-06-30' AND nome_perimetro= 'Individual IDComb' AND segmento= 'ESTR' AND ambito= 'PM' AND entidade='00100' AND cod_visao = 1) B ON instrmnt_id_as_is = instrmnt_id_to_be WHERE coalesce(cast(lsti_as_is as string), '') &lt;&gt; coalesce(cast(lsti_to_be as string), '') ) A </v>
      </c>
      <c r="P229" s="17">
        <f t="shared" si="48"/>
        <v>20</v>
      </c>
    </row>
    <row r="230" spans="2:16" s="15" customFormat="1" ht="11.5" x14ac:dyDescent="0.25"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9"/>
      <c r="P230" s="18"/>
    </row>
    <row r="231" spans="2:16" s="15" customFormat="1" ht="11.5" x14ac:dyDescent="0.25">
      <c r="B231" s="17" t="s">
        <v>24</v>
      </c>
      <c r="C231" s="17" t="str">
        <f>_xlfn.CONCAT(Instruções!$D$5,".",VLOOKUP(B231,Instruções!$F$5:$H$10,2,0))</f>
        <v>cd_loan_tapes_bce.lt002_instrument</v>
      </c>
      <c r="D231" s="17" t="str">
        <f>_xlfn.CONCAT(Instruções!$D$6,".",VLOOKUP(B231,Instruções!$F$5:$H$10,3,0))</f>
        <v>bu_loantape_work.lt002_instrument</v>
      </c>
      <c r="E231" s="17" t="s">
        <v>252</v>
      </c>
      <c r="F231" s="17" t="str">
        <f t="shared" si="43"/>
        <v>lti_instrmnt_as_is</v>
      </c>
      <c r="G231" s="17" t="str">
        <f t="shared" si="44"/>
        <v>lti_instrmnt_to_be</v>
      </c>
      <c r="H231" s="17" t="str">
        <f>IF(VLOOKUP(B231,Instruções!$F$6:$J$10,5,0)="",
"(SELECT "&amp;VLOOKUP(B231,Instruções!$F$6:$J$10,4,0)&amp;" as "&amp;VLOOKUP(B231,Instruções!$F$6:$J$10,4,0)&amp;"_as_is, "&amp;E231&amp;" as "&amp;F231&amp;" FROM "&amp;C231&amp;" WHERE "&amp;Instruções!$D$11&amp;") A ",
"(SELECT "&amp;VLOOKUP(B231,Instruções!$F$6:$J$10,4,0)&amp;" as "&amp;VLOOKUP(B231,Instruções!$F$6:$J$10,4,0)&amp;"_as_is, "&amp;VLOOKUP(B231,Instruções!$F$6:$J$10,5,0)&amp;" as "&amp;VLOOKUP(B231,Instruções!$F$6:$J$10,5,0)&amp;"_as_is,"&amp;E231&amp;" as "&amp;F231&amp;" FROM "&amp;C231&amp;" WHERE "&amp;Instruções!$D$11&amp;") A ")</f>
        <v xml:space="preserve">(SELECT instrmnt_id as instrmnt_id_as_is, lti_instrmnt as lti_instrmnt_as_is FROM cd_loan_tapes_bce.lt002_instrument WHERE ref_date='2025-06-30' AND nome_perimetro= 'Individual IDComb' AND segmento= 'ESTR' AND ambito= 'PM' AND entidade='00100' AND cod_visao = 1) A </v>
      </c>
      <c r="I231" s="17" t="str">
        <f>IF(VLOOKUP(B231,Instruções!$F$6:$J$10,5,0)="",
"(SELECT "&amp;VLOOKUP(B231,Instruções!$F$6:$J$10,4,0)&amp;" as "&amp;VLOOKUP(B231,Instruções!$F$6:$J$10,4,0)&amp;"_to_be, "&amp;E231&amp;" as "&amp;G231&amp;" FROM "&amp;D231&amp;" WHERE "&amp;Instruções!$D$11&amp;") B ",
"(SELECT "&amp;VLOOKUP(B231,Instruções!$F$6:$J$10,4,0)&amp;" as "&amp;VLOOKUP(B231,Instruções!$F$6:$J$10,4,0)&amp;"_to_be, "&amp;VLOOKUP(B231,Instruções!$F$6:$J$10,5,0)&amp;" as "&amp;VLOOKUP(B231,Instruções!$F$6:$J$10,5,0)&amp;"_to_be,"&amp;E231&amp;" as "&amp;G231&amp;" FROM "&amp;D231&amp;" WHERE "&amp;Instruções!$D$11&amp;") B ")</f>
        <v xml:space="preserve">(SELECT instrmnt_id as instrmnt_id_to_be, lti_instrmnt as lti_instrmnt_to_be FROM bu_loantape_work.lt002_instrument WHERE ref_date='2025-06-30' AND nome_perimetro= 'Individual IDComb' AND segmento= 'ESTR' AND ambito= 'PM' AND entidade='00100' AND cod_visao = 1) B </v>
      </c>
      <c r="J231" s="17" t="str">
        <f>IF(VLOOKUP(B231,Instruções!$F$6:$J$10,5,0)="",
"ON "&amp;VLOOKUP(B231,Instruções!$F$6:$J$10,4,0)&amp;"_as_is = "&amp;VLOOKUP(B231,Instruções!$F$6:$J$10,4,0)&amp;"_to_be ",
"ON "&amp;VLOOKUP(B231,Instruções!$F$6:$J$10,4,0)&amp;"_as_is = "&amp;VLOOKUP(B231,Instruções!$F$6:$J$10,4,0)&amp;"_to_be AND "&amp;VLOOKUP(B231,Instruções!$F$6:$J$10,5,0)&amp;"_as_is = "&amp;VLOOKUP(B231,Instruções!$F$6:$J$10,5,0)&amp;"_to_be ")</f>
        <v xml:space="preserve">ON instrmnt_id_as_is = instrmnt_id_to_be </v>
      </c>
      <c r="K231" s="17" t="str">
        <f t="shared" si="45"/>
        <v xml:space="preserve">WHERE coalesce(cast(lti_instrmnt_as_is as string), '') &lt;&gt; coalesce(cast(lti_instrmnt_to_be as string), '') </v>
      </c>
      <c r="L231" s="17" t="str">
        <f t="shared" si="46"/>
        <v xml:space="preserve">SELECT count(*) AS NUM_REG_DIF FROM (SELECT instrmnt_id as instrmnt_id_as_is, lti_instrmnt as lti_instrmnt_as_is FROM cd_loan_tapes_bce.lt002_instrument WHERE ref_date='2025-06-30' AND nome_perimetro= 'Individual IDComb' AND segmento= 'ESTR' AND ambito= 'PM' AND entidade='00100' AND cod_visao = 1) A  Inner join (SELECT instrmnt_id as instrmnt_id_to_be, lti_instrmnt as lti_instrmnt_to_be FROM bu_loantape_work.lt002_instrument WHERE ref_date='2025-06-30' AND nome_perimetro= 'Individual IDComb' AND segmento= 'ESTR' AND ambito= 'PM' AND entidade='00100' AND cod_visao = 1) B ON instrmnt_id_as_is = instrmnt_id_to_be WHERE coalesce(cast(lti_instrmnt_as_is as string), '') &lt;&gt; coalesce(cast(lti_instrmnt_to_be as string), '') </v>
      </c>
      <c r="M231" s="17" t="s">
        <v>48</v>
      </c>
      <c r="N231" s="17" t="str">
        <f>"SELECT 'Validação de campos' as tipologia_teste, '"&amp;VLOOKUP(B231,Instruções!$F$6:$J$10,3,0)&amp;"' AS TABELA, '"&amp;E231&amp;"' AS CAMPO, '"&amp;Instruções!$D$7&amp;"' as ref_date, coalesce(NUM_REG_DIF, 0) AS NUM_REG_DIF FROM ("&amp;L231&amp;") A "</f>
        <v xml:space="preserve">SELECT 'Validação de campos' as tipologia_teste, 'lt002_instrument' AS TABELA, 'lti_instrmnt' AS CAMPO, '2025-06-30' as ref_date, coalesce(NUM_REG_DIF, 0) AS NUM_REG_DIF FROM (SELECT count(*) AS NUM_REG_DIF FROM (SELECT instrmnt_id as instrmnt_id_as_is, lti_instrmnt as lti_instrmnt_as_is FROM cd_loan_tapes_bce.lt002_instrument WHERE ref_date='2025-06-30' AND nome_perimetro= 'Individual IDComb' AND segmento= 'ESTR' AND ambito= 'PM' AND entidade='00100' AND cod_visao = 1) A  Inner join (SELECT instrmnt_id as instrmnt_id_to_be, lti_instrmnt as lti_instrmnt_to_be FROM bu_loantape_work.lt002_instrument WHERE ref_date='2025-06-30' AND nome_perimetro= 'Individual IDComb' AND segmento= 'ESTR' AND ambito= 'PM' AND entidade='00100' AND cod_visao = 1) B ON instrmnt_id_as_is = instrmnt_id_to_be WHERE coalesce(cast(lti_instrmnt_as_is as string), '') &lt;&gt; coalesce(cast(lti_instrmnt_to_be as string), '') ) A </v>
      </c>
      <c r="O231" s="19" t="str">
        <f>IF(O232="",N231,N231&amp;$O$3)</f>
        <v>SELECT 'Validação de campos' as tipologia_teste, 'lt002_instrument' AS TABELA, 'lti_instrmnt' AS CAMPO, '2025-06-30' as ref_date, coalesce(NUM_REG_DIF, 0) AS NUM_REG_DIF FROM (SELECT count(*) AS NUM_REG_DIF FROM (SELECT instrmnt_id as instrmnt_id_as_is, lti_instrmnt as lti_instrmnt_as_is FROM cd_loan_tapes_bce.lt002_instrument WHERE ref_date='2025-06-30' AND nome_perimetro= 'Individual IDComb' AND segmento= 'ESTR' AND ambito= 'PM' AND entidade='00100' AND cod_visao = 1) A  Inner join (SELECT instrmnt_id as instrmnt_id_to_be, lti_instrmnt as lti_instrmnt_to_be FROM bu_loantape_work.lt002_instrument WHERE ref_date='2025-06-30' AND nome_perimetro= 'Individual IDComb' AND segmento= 'ESTR' AND ambito= 'PM' AND entidade='00100' AND cod_visao = 1) B ON instrmnt_id_as_is = instrmnt_id_to_be WHERE coalesce(cast(lti_instrmnt_as_is as string), '') &lt;&gt; coalesce(cast(lti_instrmnt_to_be as string), '') ) A UNION ALL</v>
      </c>
      <c r="P231" s="17">
        <v>1</v>
      </c>
    </row>
    <row r="232" spans="2:16" s="15" customFormat="1" ht="11.5" x14ac:dyDescent="0.25">
      <c r="B232" s="17" t="s">
        <v>24</v>
      </c>
      <c r="C232" s="17" t="str">
        <f>_xlfn.CONCAT(Instruções!$D$5,".",VLOOKUP(B232,Instruções!$F$5:$H$10,2,0))</f>
        <v>cd_loan_tapes_bce.lt002_instrument</v>
      </c>
      <c r="D232" s="17" t="str">
        <f>_xlfn.CONCAT(Instruções!$D$6,".",VLOOKUP(B232,Instruções!$F$5:$H$10,3,0))</f>
        <v>bu_loantape_work.lt002_instrument</v>
      </c>
      <c r="E232" s="17" t="s">
        <v>253</v>
      </c>
      <c r="F232" s="17" t="str">
        <f t="shared" si="43"/>
        <v>ltv_as_is</v>
      </c>
      <c r="G232" s="17" t="str">
        <f t="shared" si="44"/>
        <v>ltv_to_be</v>
      </c>
      <c r="H232" s="17" t="str">
        <f>IF(VLOOKUP(B232,Instruções!$F$6:$J$10,5,0)="",
"(SELECT "&amp;VLOOKUP(B232,Instruções!$F$6:$J$10,4,0)&amp;" as "&amp;VLOOKUP(B232,Instruções!$F$6:$J$10,4,0)&amp;"_as_is, "&amp;E232&amp;" as "&amp;F232&amp;" FROM "&amp;C232&amp;" WHERE "&amp;Instruções!$D$11&amp;") A ",
"(SELECT "&amp;VLOOKUP(B232,Instruções!$F$6:$J$10,4,0)&amp;" as "&amp;VLOOKUP(B232,Instruções!$F$6:$J$10,4,0)&amp;"_as_is, "&amp;VLOOKUP(B232,Instruções!$F$6:$J$10,5,0)&amp;" as "&amp;VLOOKUP(B232,Instruções!$F$6:$J$10,5,0)&amp;"_as_is,"&amp;E232&amp;" as "&amp;F232&amp;" FROM "&amp;C232&amp;" WHERE "&amp;Instruções!$D$11&amp;") A ")</f>
        <v xml:space="preserve">(SELECT instrmnt_id as instrmnt_id_as_is, ltv as ltv_as_is FROM cd_loan_tapes_bce.lt002_instrument WHERE ref_date='2025-06-30' AND nome_perimetro= 'Individual IDComb' AND segmento= 'ESTR' AND ambito= 'PM' AND entidade='00100' AND cod_visao = 1) A </v>
      </c>
      <c r="I232" s="17" t="str">
        <f>IF(VLOOKUP(B232,Instruções!$F$6:$J$10,5,0)="",
"(SELECT "&amp;VLOOKUP(B232,Instruções!$F$6:$J$10,4,0)&amp;" as "&amp;VLOOKUP(B232,Instruções!$F$6:$J$10,4,0)&amp;"_to_be, "&amp;E232&amp;" as "&amp;G232&amp;" FROM "&amp;D232&amp;" WHERE "&amp;Instruções!$D$11&amp;") B ",
"(SELECT "&amp;VLOOKUP(B232,Instruções!$F$6:$J$10,4,0)&amp;" as "&amp;VLOOKUP(B232,Instruções!$F$6:$J$10,4,0)&amp;"_to_be, "&amp;VLOOKUP(B232,Instruções!$F$6:$J$10,5,0)&amp;" as "&amp;VLOOKUP(B232,Instruções!$F$6:$J$10,5,0)&amp;"_to_be,"&amp;E232&amp;" as "&amp;G232&amp;" FROM "&amp;D232&amp;" WHERE "&amp;Instruções!$D$11&amp;") B ")</f>
        <v xml:space="preserve">(SELECT instrmnt_id as instrmnt_id_to_be, ltv as ltv_to_be FROM bu_loantape_work.lt002_instrument WHERE ref_date='2025-06-30' AND nome_perimetro= 'Individual IDComb' AND segmento= 'ESTR' AND ambito= 'PM' AND entidade='00100' AND cod_visao = 1) B </v>
      </c>
      <c r="J232" s="17" t="str">
        <f>IF(VLOOKUP(B232,Instruções!$F$6:$J$10,5,0)="",
"ON "&amp;VLOOKUP(B232,Instruções!$F$6:$J$10,4,0)&amp;"_as_is = "&amp;VLOOKUP(B232,Instruções!$F$6:$J$10,4,0)&amp;"_to_be ",
"ON "&amp;VLOOKUP(B232,Instruções!$F$6:$J$10,4,0)&amp;"_as_is = "&amp;VLOOKUP(B232,Instruções!$F$6:$J$10,4,0)&amp;"_to_be AND "&amp;VLOOKUP(B232,Instruções!$F$6:$J$10,5,0)&amp;"_as_is = "&amp;VLOOKUP(B232,Instruções!$F$6:$J$10,5,0)&amp;"_to_be ")</f>
        <v xml:space="preserve">ON instrmnt_id_as_is = instrmnt_id_to_be </v>
      </c>
      <c r="K232" s="17" t="str">
        <f t="shared" si="45"/>
        <v xml:space="preserve">WHERE coalesce(cast(ltv_as_is as string), '') &lt;&gt; coalesce(cast(ltv_to_be as string), '') </v>
      </c>
      <c r="L232" s="17" t="str">
        <f t="shared" si="46"/>
        <v xml:space="preserve">SELECT count(*) AS NUM_REG_DIF FROM (SELECT instrmnt_id as instrmnt_id_as_is, ltv as ltv_as_is FROM cd_loan_tapes_bce.lt002_instrument WHERE ref_date='2025-06-30' AND nome_perimetro= 'Individual IDComb' AND segmento= 'ESTR' AND ambito= 'PM' AND entidade='00100' AND cod_visao = 1) A  Inner join (SELECT instrmnt_id as instrmnt_id_to_be, ltv as ltv_to_be FROM bu_loantape_work.lt002_instrument WHERE ref_date='2025-06-30' AND nome_perimetro= 'Individual IDComb' AND segmento= 'ESTR' AND ambito= 'PM' AND entidade='00100' AND cod_visao = 1) B ON instrmnt_id_as_is = instrmnt_id_to_be WHERE coalesce(cast(ltv_as_is as string), '') &lt;&gt; coalesce(cast(ltv_to_be as string), '') </v>
      </c>
      <c r="M232" s="17" t="s">
        <v>48</v>
      </c>
      <c r="N232" s="17" t="str">
        <f>"SELECT 'Validação de campos' as tipologia_teste, '"&amp;VLOOKUP(B232,Instruções!$F$6:$J$10,3,0)&amp;"' AS TABELA, '"&amp;E232&amp;"' AS CAMPO, '"&amp;Instruções!$D$7&amp;"' as ref_date, coalesce(NUM_REG_DIF, 0) AS NUM_REG_DIF FROM ("&amp;L232&amp;") A "</f>
        <v xml:space="preserve">SELECT 'Validação de campos' as tipologia_teste, 'lt002_instrument' AS TABELA, 'ltv' AS CAMPO, '2025-06-30' as ref_date, coalesce(NUM_REG_DIF, 0) AS NUM_REG_DIF FROM (SELECT count(*) AS NUM_REG_DIF FROM (SELECT instrmnt_id as instrmnt_id_as_is, ltv as ltv_as_is FROM cd_loan_tapes_bce.lt002_instrument WHERE ref_date='2025-06-30' AND nome_perimetro= 'Individual IDComb' AND segmento= 'ESTR' AND ambito= 'PM' AND entidade='00100' AND cod_visao = 1) A  Inner join (SELECT instrmnt_id as instrmnt_id_to_be, ltv as ltv_to_be FROM bu_loantape_work.lt002_instrument WHERE ref_date='2025-06-30' AND nome_perimetro= 'Individual IDComb' AND segmento= 'ESTR' AND ambito= 'PM' AND entidade='00100' AND cod_visao = 1) B ON instrmnt_id_as_is = instrmnt_id_to_be WHERE coalesce(cast(ltv_as_is as string), '') &lt;&gt; coalesce(cast(ltv_to_be as string), '') ) A </v>
      </c>
      <c r="O232" s="19" t="str">
        <f t="shared" si="47"/>
        <v>SELECT 'Validação de campos' as tipologia_teste, 'lt002_instrument' AS TABELA, 'ltv' AS CAMPO, '2025-06-30' as ref_date, coalesce(NUM_REG_DIF, 0) AS NUM_REG_DIF FROM (SELECT count(*) AS NUM_REG_DIF FROM (SELECT instrmnt_id as instrmnt_id_as_is, ltv as ltv_as_is FROM cd_loan_tapes_bce.lt002_instrument WHERE ref_date='2025-06-30' AND nome_perimetro= 'Individual IDComb' AND segmento= 'ESTR' AND ambito= 'PM' AND entidade='00100' AND cod_visao = 1) A  Inner join (SELECT instrmnt_id as instrmnt_id_to_be, ltv as ltv_to_be FROM bu_loantape_work.lt002_instrument WHERE ref_date='2025-06-30' AND nome_perimetro= 'Individual IDComb' AND segmento= 'ESTR' AND ambito= 'PM' AND entidade='00100' AND cod_visao = 1) B ON instrmnt_id_as_is = instrmnt_id_to_be WHERE coalesce(cast(ltv_as_is as string), '') &lt;&gt; coalesce(cast(ltv_to_be as string), '') ) A UNION ALL</v>
      </c>
      <c r="P232" s="17">
        <f t="shared" si="48"/>
        <v>2</v>
      </c>
    </row>
    <row r="233" spans="2:16" s="15" customFormat="1" ht="11.5" x14ac:dyDescent="0.25">
      <c r="B233" s="17" t="s">
        <v>24</v>
      </c>
      <c r="C233" s="17" t="str">
        <f>_xlfn.CONCAT(Instruções!$D$5,".",VLOOKUP(B233,Instruções!$F$5:$H$10,2,0))</f>
        <v>cd_loan_tapes_bce.lt002_instrument</v>
      </c>
      <c r="D233" s="17" t="str">
        <f>_xlfn.CONCAT(Instruções!$D$6,".",VLOOKUP(B233,Instruções!$F$5:$H$10,3,0))</f>
        <v>bu_loantape_work.lt002_instrument</v>
      </c>
      <c r="E233" s="17" t="s">
        <v>254</v>
      </c>
      <c r="F233" s="17" t="str">
        <f t="shared" si="43"/>
        <v>ltv_incptn_as_is</v>
      </c>
      <c r="G233" s="17" t="str">
        <f t="shared" si="44"/>
        <v>ltv_incptn_to_be</v>
      </c>
      <c r="H233" s="17" t="str">
        <f>IF(VLOOKUP(B233,Instruções!$F$6:$J$10,5,0)="",
"(SELECT "&amp;VLOOKUP(B233,Instruções!$F$6:$J$10,4,0)&amp;" as "&amp;VLOOKUP(B233,Instruções!$F$6:$J$10,4,0)&amp;"_as_is, "&amp;E233&amp;" as "&amp;F233&amp;" FROM "&amp;C233&amp;" WHERE "&amp;Instruções!$D$11&amp;") A ",
"(SELECT "&amp;VLOOKUP(B233,Instruções!$F$6:$J$10,4,0)&amp;" as "&amp;VLOOKUP(B233,Instruções!$F$6:$J$10,4,0)&amp;"_as_is, "&amp;VLOOKUP(B233,Instruções!$F$6:$J$10,5,0)&amp;" as "&amp;VLOOKUP(B233,Instruções!$F$6:$J$10,5,0)&amp;"_as_is,"&amp;E233&amp;" as "&amp;F233&amp;" FROM "&amp;C233&amp;" WHERE "&amp;Instruções!$D$11&amp;") A ")</f>
        <v xml:space="preserve">(SELECT instrmnt_id as instrmnt_id_as_is, ltv_incptn as ltv_incptn_as_is FROM cd_loan_tapes_bce.lt002_instrument WHERE ref_date='2025-06-30' AND nome_perimetro= 'Individual IDComb' AND segmento= 'ESTR' AND ambito= 'PM' AND entidade='00100' AND cod_visao = 1) A </v>
      </c>
      <c r="I233" s="17" t="str">
        <f>IF(VLOOKUP(B233,Instruções!$F$6:$J$10,5,0)="",
"(SELECT "&amp;VLOOKUP(B233,Instruções!$F$6:$J$10,4,0)&amp;" as "&amp;VLOOKUP(B233,Instruções!$F$6:$J$10,4,0)&amp;"_to_be, "&amp;E233&amp;" as "&amp;G233&amp;" FROM "&amp;D233&amp;" WHERE "&amp;Instruções!$D$11&amp;") B ",
"(SELECT "&amp;VLOOKUP(B233,Instruções!$F$6:$J$10,4,0)&amp;" as "&amp;VLOOKUP(B233,Instruções!$F$6:$J$10,4,0)&amp;"_to_be, "&amp;VLOOKUP(B233,Instruções!$F$6:$J$10,5,0)&amp;" as "&amp;VLOOKUP(B233,Instruções!$F$6:$J$10,5,0)&amp;"_to_be,"&amp;E233&amp;" as "&amp;G233&amp;" FROM "&amp;D233&amp;" WHERE "&amp;Instruções!$D$11&amp;") B ")</f>
        <v xml:space="preserve">(SELECT instrmnt_id as instrmnt_id_to_be, ltv_incptn as ltv_incptn_to_be FROM bu_loantape_work.lt002_instrument WHERE ref_date='2025-06-30' AND nome_perimetro= 'Individual IDComb' AND segmento= 'ESTR' AND ambito= 'PM' AND entidade='00100' AND cod_visao = 1) B </v>
      </c>
      <c r="J233" s="17" t="str">
        <f>IF(VLOOKUP(B233,Instruções!$F$6:$J$10,5,0)="",
"ON "&amp;VLOOKUP(B233,Instruções!$F$6:$J$10,4,0)&amp;"_as_is = "&amp;VLOOKUP(B233,Instruções!$F$6:$J$10,4,0)&amp;"_to_be ",
"ON "&amp;VLOOKUP(B233,Instruções!$F$6:$J$10,4,0)&amp;"_as_is = "&amp;VLOOKUP(B233,Instruções!$F$6:$J$10,4,0)&amp;"_to_be AND "&amp;VLOOKUP(B233,Instruções!$F$6:$J$10,5,0)&amp;"_as_is = "&amp;VLOOKUP(B233,Instruções!$F$6:$J$10,5,0)&amp;"_to_be ")</f>
        <v xml:space="preserve">ON instrmnt_id_as_is = instrmnt_id_to_be </v>
      </c>
      <c r="K233" s="17" t="str">
        <f t="shared" si="45"/>
        <v xml:space="preserve">WHERE coalesce(cast(ltv_incptn_as_is as string), '') &lt;&gt; coalesce(cast(ltv_incptn_to_be as string), '') </v>
      </c>
      <c r="L233" s="17" t="str">
        <f t="shared" si="46"/>
        <v xml:space="preserve">SELECT count(*) AS NUM_REG_DIF FROM (SELECT instrmnt_id as instrmnt_id_as_is, ltv_incptn as ltv_incptn_as_is FROM cd_loan_tapes_bce.lt002_instrument WHERE ref_date='2025-06-30' AND nome_perimetro= 'Individual IDComb' AND segmento= 'ESTR' AND ambito= 'PM' AND entidade='00100' AND cod_visao = 1) A  Inner join (SELECT instrmnt_id as instrmnt_id_to_be, ltv_incptn as ltv_incptn_to_be FROM bu_loantape_work.lt002_instrument WHERE ref_date='2025-06-30' AND nome_perimetro= 'Individual IDComb' AND segmento= 'ESTR' AND ambito= 'PM' AND entidade='00100' AND cod_visao = 1) B ON instrmnt_id_as_is = instrmnt_id_to_be WHERE coalesce(cast(ltv_incptn_as_is as string), '') &lt;&gt; coalesce(cast(ltv_incptn_to_be as string), '') </v>
      </c>
      <c r="M233" s="17" t="s">
        <v>48</v>
      </c>
      <c r="N233" s="17" t="str">
        <f>"SELECT 'Validação de campos' as tipologia_teste, '"&amp;VLOOKUP(B233,Instruções!$F$6:$J$10,3,0)&amp;"' AS TABELA, '"&amp;E233&amp;"' AS CAMPO, '"&amp;Instruções!$D$7&amp;"' as ref_date, coalesce(NUM_REG_DIF, 0) AS NUM_REG_DIF FROM ("&amp;L233&amp;") A "</f>
        <v xml:space="preserve">SELECT 'Validação de campos' as tipologia_teste, 'lt002_instrument' AS TABELA, 'ltv_incptn' AS CAMPO, '2025-06-30' as ref_date, coalesce(NUM_REG_DIF, 0) AS NUM_REG_DIF FROM (SELECT count(*) AS NUM_REG_DIF FROM (SELECT instrmnt_id as instrmnt_id_as_is, ltv_incptn as ltv_incptn_as_is FROM cd_loan_tapes_bce.lt002_instrument WHERE ref_date='2025-06-30' AND nome_perimetro= 'Individual IDComb' AND segmento= 'ESTR' AND ambito= 'PM' AND entidade='00100' AND cod_visao = 1) A  Inner join (SELECT instrmnt_id as instrmnt_id_to_be, ltv_incptn as ltv_incptn_to_be FROM bu_loantape_work.lt002_instrument WHERE ref_date='2025-06-30' AND nome_perimetro= 'Individual IDComb' AND segmento= 'ESTR' AND ambito= 'PM' AND entidade='00100' AND cod_visao = 1) B ON instrmnt_id_as_is = instrmnt_id_to_be WHERE coalesce(cast(ltv_incptn_as_is as string), '') &lt;&gt; coalesce(cast(ltv_incptn_to_be as string), '') ) A </v>
      </c>
      <c r="O233" s="19" t="str">
        <f t="shared" si="47"/>
        <v>SELECT 'Validação de campos' as tipologia_teste, 'lt002_instrument' AS TABELA, 'ltv_incptn' AS CAMPO, '2025-06-30' as ref_date, coalesce(NUM_REG_DIF, 0) AS NUM_REG_DIF FROM (SELECT count(*) AS NUM_REG_DIF FROM (SELECT instrmnt_id as instrmnt_id_as_is, ltv_incptn as ltv_incptn_as_is FROM cd_loan_tapes_bce.lt002_instrument WHERE ref_date='2025-06-30' AND nome_perimetro= 'Individual IDComb' AND segmento= 'ESTR' AND ambito= 'PM' AND entidade='00100' AND cod_visao = 1) A  Inner join (SELECT instrmnt_id as instrmnt_id_to_be, ltv_incptn as ltv_incptn_to_be FROM bu_loantape_work.lt002_instrument WHERE ref_date='2025-06-30' AND nome_perimetro= 'Individual IDComb' AND segmento= 'ESTR' AND ambito= 'PM' AND entidade='00100' AND cod_visao = 1) B ON instrmnt_id_as_is = instrmnt_id_to_be WHERE coalesce(cast(ltv_incptn_as_is as string), '') &lt;&gt; coalesce(cast(ltv_incptn_to_be as string), '') ) A UNION ALL</v>
      </c>
      <c r="P233" s="17">
        <f t="shared" si="48"/>
        <v>3</v>
      </c>
    </row>
    <row r="234" spans="2:16" s="15" customFormat="1" ht="11.5" x14ac:dyDescent="0.25">
      <c r="B234" s="17" t="s">
        <v>24</v>
      </c>
      <c r="C234" s="17" t="str">
        <f>_xlfn.CONCAT(Instruções!$D$5,".",VLOOKUP(B234,Instruções!$F$5:$H$10,2,0))</f>
        <v>cd_loan_tapes_bce.lt002_instrument</v>
      </c>
      <c r="D234" s="17" t="str">
        <f>_xlfn.CONCAT(Instruções!$D$6,".",VLOOKUP(B234,Instruções!$F$5:$H$10,3,0))</f>
        <v>bu_loantape_work.lt002_instrument</v>
      </c>
      <c r="E234" s="17" t="s">
        <v>255</v>
      </c>
      <c r="F234" s="17" t="str">
        <f t="shared" si="43"/>
        <v>ltv_npe_as_is</v>
      </c>
      <c r="G234" s="17" t="str">
        <f t="shared" si="44"/>
        <v>ltv_npe_to_be</v>
      </c>
      <c r="H234" s="17" t="str">
        <f>IF(VLOOKUP(B234,Instruções!$F$6:$J$10,5,0)="",
"(SELECT "&amp;VLOOKUP(B234,Instruções!$F$6:$J$10,4,0)&amp;" as "&amp;VLOOKUP(B234,Instruções!$F$6:$J$10,4,0)&amp;"_as_is, "&amp;E234&amp;" as "&amp;F234&amp;" FROM "&amp;C234&amp;" WHERE "&amp;Instruções!$D$11&amp;") A ",
"(SELECT "&amp;VLOOKUP(B234,Instruções!$F$6:$J$10,4,0)&amp;" as "&amp;VLOOKUP(B234,Instruções!$F$6:$J$10,4,0)&amp;"_as_is, "&amp;VLOOKUP(B234,Instruções!$F$6:$J$10,5,0)&amp;" as "&amp;VLOOKUP(B234,Instruções!$F$6:$J$10,5,0)&amp;"_as_is,"&amp;E234&amp;" as "&amp;F234&amp;" FROM "&amp;C234&amp;" WHERE "&amp;Instruções!$D$11&amp;") A ")</f>
        <v xml:space="preserve">(SELECT instrmnt_id as instrmnt_id_as_is, ltv_npe as ltv_npe_as_is FROM cd_loan_tapes_bce.lt002_instrument WHERE ref_date='2025-06-30' AND nome_perimetro= 'Individual IDComb' AND segmento= 'ESTR' AND ambito= 'PM' AND entidade='00100' AND cod_visao = 1) A </v>
      </c>
      <c r="I234" s="17" t="str">
        <f>IF(VLOOKUP(B234,Instruções!$F$6:$J$10,5,0)="",
"(SELECT "&amp;VLOOKUP(B234,Instruções!$F$6:$J$10,4,0)&amp;" as "&amp;VLOOKUP(B234,Instruções!$F$6:$J$10,4,0)&amp;"_to_be, "&amp;E234&amp;" as "&amp;G234&amp;" FROM "&amp;D234&amp;" WHERE "&amp;Instruções!$D$11&amp;") B ",
"(SELECT "&amp;VLOOKUP(B234,Instruções!$F$6:$J$10,4,0)&amp;" as "&amp;VLOOKUP(B234,Instruções!$F$6:$J$10,4,0)&amp;"_to_be, "&amp;VLOOKUP(B234,Instruções!$F$6:$J$10,5,0)&amp;" as "&amp;VLOOKUP(B234,Instruções!$F$6:$J$10,5,0)&amp;"_to_be,"&amp;E234&amp;" as "&amp;G234&amp;" FROM "&amp;D234&amp;" WHERE "&amp;Instruções!$D$11&amp;") B ")</f>
        <v xml:space="preserve">(SELECT instrmnt_id as instrmnt_id_to_be, ltv_npe as ltv_npe_to_be FROM bu_loantape_work.lt002_instrument WHERE ref_date='2025-06-30' AND nome_perimetro= 'Individual IDComb' AND segmento= 'ESTR' AND ambito= 'PM' AND entidade='00100' AND cod_visao = 1) B </v>
      </c>
      <c r="J234" s="17" t="str">
        <f>IF(VLOOKUP(B234,Instruções!$F$6:$J$10,5,0)="",
"ON "&amp;VLOOKUP(B234,Instruções!$F$6:$J$10,4,0)&amp;"_as_is = "&amp;VLOOKUP(B234,Instruções!$F$6:$J$10,4,0)&amp;"_to_be ",
"ON "&amp;VLOOKUP(B234,Instruções!$F$6:$J$10,4,0)&amp;"_as_is = "&amp;VLOOKUP(B234,Instruções!$F$6:$J$10,4,0)&amp;"_to_be AND "&amp;VLOOKUP(B234,Instruções!$F$6:$J$10,5,0)&amp;"_as_is = "&amp;VLOOKUP(B234,Instruções!$F$6:$J$10,5,0)&amp;"_to_be ")</f>
        <v xml:space="preserve">ON instrmnt_id_as_is = instrmnt_id_to_be </v>
      </c>
      <c r="K234" s="17" t="str">
        <f t="shared" si="45"/>
        <v xml:space="preserve">WHERE coalesce(cast(ltv_npe_as_is as string), '') &lt;&gt; coalesce(cast(ltv_npe_to_be as string), '') </v>
      </c>
      <c r="L234" s="17" t="str">
        <f t="shared" si="46"/>
        <v xml:space="preserve">SELECT count(*) AS NUM_REG_DIF FROM (SELECT instrmnt_id as instrmnt_id_as_is, ltv_npe as ltv_npe_as_is FROM cd_loan_tapes_bce.lt002_instrument WHERE ref_date='2025-06-30' AND nome_perimetro= 'Individual IDComb' AND segmento= 'ESTR' AND ambito= 'PM' AND entidade='00100' AND cod_visao = 1) A  Inner join (SELECT instrmnt_id as instrmnt_id_to_be, ltv_npe as ltv_npe_to_be FROM bu_loantape_work.lt002_instrument WHERE ref_date='2025-06-30' AND nome_perimetro= 'Individual IDComb' AND segmento= 'ESTR' AND ambito= 'PM' AND entidade='00100' AND cod_visao = 1) B ON instrmnt_id_as_is = instrmnt_id_to_be WHERE coalesce(cast(ltv_npe_as_is as string), '') &lt;&gt; coalesce(cast(ltv_npe_to_be as string), '') </v>
      </c>
      <c r="M234" s="17" t="s">
        <v>48</v>
      </c>
      <c r="N234" s="17" t="str">
        <f>"SELECT 'Validação de campos' as tipologia_teste, '"&amp;VLOOKUP(B234,Instruções!$F$6:$J$10,3,0)&amp;"' AS TABELA, '"&amp;E234&amp;"' AS CAMPO, '"&amp;Instruções!$D$7&amp;"' as ref_date, coalesce(NUM_REG_DIF, 0) AS NUM_REG_DIF FROM ("&amp;L234&amp;") A "</f>
        <v xml:space="preserve">SELECT 'Validação de campos' as tipologia_teste, 'lt002_instrument' AS TABELA, 'ltv_npe' AS CAMPO, '2025-06-30' as ref_date, coalesce(NUM_REG_DIF, 0) AS NUM_REG_DIF FROM (SELECT count(*) AS NUM_REG_DIF FROM (SELECT instrmnt_id as instrmnt_id_as_is, ltv_npe as ltv_npe_as_is FROM cd_loan_tapes_bce.lt002_instrument WHERE ref_date='2025-06-30' AND nome_perimetro= 'Individual IDComb' AND segmento= 'ESTR' AND ambito= 'PM' AND entidade='00100' AND cod_visao = 1) A  Inner join (SELECT instrmnt_id as instrmnt_id_to_be, ltv_npe as ltv_npe_to_be FROM bu_loantape_work.lt002_instrument WHERE ref_date='2025-06-30' AND nome_perimetro= 'Individual IDComb' AND segmento= 'ESTR' AND ambito= 'PM' AND entidade='00100' AND cod_visao = 1) B ON instrmnt_id_as_is = instrmnt_id_to_be WHERE coalesce(cast(ltv_npe_as_is as string), '') &lt;&gt; coalesce(cast(ltv_npe_to_be as string), '') ) A </v>
      </c>
      <c r="O234" s="19" t="str">
        <f t="shared" si="47"/>
        <v>SELECT 'Validação de campos' as tipologia_teste, 'lt002_instrument' AS TABELA, 'ltv_npe' AS CAMPO, '2025-06-30' as ref_date, coalesce(NUM_REG_DIF, 0) AS NUM_REG_DIF FROM (SELECT count(*) AS NUM_REG_DIF FROM (SELECT instrmnt_id as instrmnt_id_as_is, ltv_npe as ltv_npe_as_is FROM cd_loan_tapes_bce.lt002_instrument WHERE ref_date='2025-06-30' AND nome_perimetro= 'Individual IDComb' AND segmento= 'ESTR' AND ambito= 'PM' AND entidade='00100' AND cod_visao = 1) A  Inner join (SELECT instrmnt_id as instrmnt_id_to_be, ltv_npe as ltv_npe_to_be FROM bu_loantape_work.lt002_instrument WHERE ref_date='2025-06-30' AND nome_perimetro= 'Individual IDComb' AND segmento= 'ESTR' AND ambito= 'PM' AND entidade='00100' AND cod_visao = 1) B ON instrmnt_id_as_is = instrmnt_id_to_be WHERE coalesce(cast(ltv_npe_as_is as string), '') &lt;&gt; coalesce(cast(ltv_npe_to_be as string), '') ) A UNION ALL</v>
      </c>
      <c r="P234" s="17">
        <f t="shared" si="48"/>
        <v>4</v>
      </c>
    </row>
    <row r="235" spans="2:16" s="15" customFormat="1" ht="11.5" x14ac:dyDescent="0.25">
      <c r="B235" s="17" t="s">
        <v>24</v>
      </c>
      <c r="C235" s="17" t="str">
        <f>_xlfn.CONCAT(Instruções!$D$5,".",VLOOKUP(B235,Instruções!$F$5:$H$10,2,0))</f>
        <v>cd_loan_tapes_bce.lt002_instrument</v>
      </c>
      <c r="D235" s="17" t="str">
        <f>_xlfn.CONCAT(Instruções!$D$6,".",VLOOKUP(B235,Instruções!$F$5:$H$10,3,0))</f>
        <v>bu_loantape_work.lt002_instrument</v>
      </c>
      <c r="E235" s="17" t="s">
        <v>256</v>
      </c>
      <c r="F235" s="17" t="str">
        <f t="shared" si="43"/>
        <v>lvrg_fnnc_flg_as_is</v>
      </c>
      <c r="G235" s="17" t="str">
        <f t="shared" si="44"/>
        <v>lvrg_fnnc_flg_to_be</v>
      </c>
      <c r="H235" s="17" t="str">
        <f>IF(VLOOKUP(B235,Instruções!$F$6:$J$10,5,0)="",
"(SELECT "&amp;VLOOKUP(B235,Instruções!$F$6:$J$10,4,0)&amp;" as "&amp;VLOOKUP(B235,Instruções!$F$6:$J$10,4,0)&amp;"_as_is, "&amp;E235&amp;" as "&amp;F235&amp;" FROM "&amp;C235&amp;" WHERE "&amp;Instruções!$D$11&amp;") A ",
"(SELECT "&amp;VLOOKUP(B235,Instruções!$F$6:$J$10,4,0)&amp;" as "&amp;VLOOKUP(B235,Instruções!$F$6:$J$10,4,0)&amp;"_as_is, "&amp;VLOOKUP(B235,Instruções!$F$6:$J$10,5,0)&amp;" as "&amp;VLOOKUP(B235,Instruções!$F$6:$J$10,5,0)&amp;"_as_is,"&amp;E235&amp;" as "&amp;F235&amp;" FROM "&amp;C235&amp;" WHERE "&amp;Instruções!$D$11&amp;") A ")</f>
        <v xml:space="preserve">(SELECT instrmnt_id as instrmnt_id_as_is, lvrg_fnnc_flg as lvrg_fnnc_flg_as_is FROM cd_loan_tapes_bce.lt002_instrument WHERE ref_date='2025-06-30' AND nome_perimetro= 'Individual IDComb' AND segmento= 'ESTR' AND ambito= 'PM' AND entidade='00100' AND cod_visao = 1) A </v>
      </c>
      <c r="I235" s="17" t="str">
        <f>IF(VLOOKUP(B235,Instruções!$F$6:$J$10,5,0)="",
"(SELECT "&amp;VLOOKUP(B235,Instruções!$F$6:$J$10,4,0)&amp;" as "&amp;VLOOKUP(B235,Instruções!$F$6:$J$10,4,0)&amp;"_to_be, "&amp;E235&amp;" as "&amp;G235&amp;" FROM "&amp;D235&amp;" WHERE "&amp;Instruções!$D$11&amp;") B ",
"(SELECT "&amp;VLOOKUP(B235,Instruções!$F$6:$J$10,4,0)&amp;" as "&amp;VLOOKUP(B235,Instruções!$F$6:$J$10,4,0)&amp;"_to_be, "&amp;VLOOKUP(B235,Instruções!$F$6:$J$10,5,0)&amp;" as "&amp;VLOOKUP(B235,Instruções!$F$6:$J$10,5,0)&amp;"_to_be,"&amp;E235&amp;" as "&amp;G235&amp;" FROM "&amp;D235&amp;" WHERE "&amp;Instruções!$D$11&amp;") B ")</f>
        <v xml:space="preserve">(SELECT instrmnt_id as instrmnt_id_to_be, lvrg_fnnc_flg as lvrg_fnnc_flg_to_be FROM bu_loantape_work.lt002_instrument WHERE ref_date='2025-06-30' AND nome_perimetro= 'Individual IDComb' AND segmento= 'ESTR' AND ambito= 'PM' AND entidade='00100' AND cod_visao = 1) B </v>
      </c>
      <c r="J235" s="17" t="str">
        <f>IF(VLOOKUP(B235,Instruções!$F$6:$J$10,5,0)="",
"ON "&amp;VLOOKUP(B235,Instruções!$F$6:$J$10,4,0)&amp;"_as_is = "&amp;VLOOKUP(B235,Instruções!$F$6:$J$10,4,0)&amp;"_to_be ",
"ON "&amp;VLOOKUP(B235,Instruções!$F$6:$J$10,4,0)&amp;"_as_is = "&amp;VLOOKUP(B235,Instruções!$F$6:$J$10,4,0)&amp;"_to_be AND "&amp;VLOOKUP(B235,Instruções!$F$6:$J$10,5,0)&amp;"_as_is = "&amp;VLOOKUP(B235,Instruções!$F$6:$J$10,5,0)&amp;"_to_be ")</f>
        <v xml:space="preserve">ON instrmnt_id_as_is = instrmnt_id_to_be </v>
      </c>
      <c r="K235" s="17" t="str">
        <f t="shared" si="45"/>
        <v xml:space="preserve">WHERE coalesce(cast(lvrg_fnnc_flg_as_is as string), '') &lt;&gt; coalesce(cast(lvrg_fnnc_flg_to_be as string), '') </v>
      </c>
      <c r="L235" s="17" t="str">
        <f t="shared" si="46"/>
        <v xml:space="preserve">SELECT count(*) AS NUM_REG_DIF FROM (SELECT instrmnt_id as instrmnt_id_as_is, lvrg_fnnc_flg as lvrg_fnnc_flg_as_is FROM cd_loan_tapes_bce.lt002_instrument WHERE ref_date='2025-06-30' AND nome_perimetro= 'Individual IDComb' AND segmento= 'ESTR' AND ambito= 'PM' AND entidade='00100' AND cod_visao = 1) A  Inner join (SELECT instrmnt_id as instrmnt_id_to_be, lvrg_fnnc_flg as lvrg_fnnc_flg_to_be FROM bu_loantape_work.lt002_instrument WHERE ref_date='2025-06-30' AND nome_perimetro= 'Individual IDComb' AND segmento= 'ESTR' AND ambito= 'PM' AND entidade='00100' AND cod_visao = 1) B ON instrmnt_id_as_is = instrmnt_id_to_be WHERE coalesce(cast(lvrg_fnnc_flg_as_is as string), '') &lt;&gt; coalesce(cast(lvrg_fnnc_flg_to_be as string), '') </v>
      </c>
      <c r="M235" s="17" t="s">
        <v>48</v>
      </c>
      <c r="N235" s="17" t="str">
        <f>"SELECT 'Validação de campos' as tipologia_teste, '"&amp;VLOOKUP(B235,Instruções!$F$6:$J$10,3,0)&amp;"' AS TABELA, '"&amp;E235&amp;"' AS CAMPO, '"&amp;Instruções!$D$7&amp;"' as ref_date, coalesce(NUM_REG_DIF, 0) AS NUM_REG_DIF FROM ("&amp;L235&amp;") A "</f>
        <v xml:space="preserve">SELECT 'Validação de campos' as tipologia_teste, 'lt002_instrument' AS TABELA, 'lvrg_fnnc_flg' AS CAMPO, '2025-06-30' as ref_date, coalesce(NUM_REG_DIF, 0) AS NUM_REG_DIF FROM (SELECT count(*) AS NUM_REG_DIF FROM (SELECT instrmnt_id as instrmnt_id_as_is, lvrg_fnnc_flg as lvrg_fnnc_flg_as_is FROM cd_loan_tapes_bce.lt002_instrument WHERE ref_date='2025-06-30' AND nome_perimetro= 'Individual IDComb' AND segmento= 'ESTR' AND ambito= 'PM' AND entidade='00100' AND cod_visao = 1) A  Inner join (SELECT instrmnt_id as instrmnt_id_to_be, lvrg_fnnc_flg as lvrg_fnnc_flg_to_be FROM bu_loantape_work.lt002_instrument WHERE ref_date='2025-06-30' AND nome_perimetro= 'Individual IDComb' AND segmento= 'ESTR' AND ambito= 'PM' AND entidade='00100' AND cod_visao = 1) B ON instrmnt_id_as_is = instrmnt_id_to_be WHERE coalesce(cast(lvrg_fnnc_flg_as_is as string), '') &lt;&gt; coalesce(cast(lvrg_fnnc_flg_to_be as string), '') ) A </v>
      </c>
      <c r="O235" s="19" t="str">
        <f t="shared" si="47"/>
        <v>SELECT 'Validação de campos' as tipologia_teste, 'lt002_instrument' AS TABELA, 'lvrg_fnnc_flg' AS CAMPO, '2025-06-30' as ref_date, coalesce(NUM_REG_DIF, 0) AS NUM_REG_DIF FROM (SELECT count(*) AS NUM_REG_DIF FROM (SELECT instrmnt_id as instrmnt_id_as_is, lvrg_fnnc_flg as lvrg_fnnc_flg_as_is FROM cd_loan_tapes_bce.lt002_instrument WHERE ref_date='2025-06-30' AND nome_perimetro= 'Individual IDComb' AND segmento= 'ESTR' AND ambito= 'PM' AND entidade='00100' AND cod_visao = 1) A  Inner join (SELECT instrmnt_id as instrmnt_id_to_be, lvrg_fnnc_flg as lvrg_fnnc_flg_to_be FROM bu_loantape_work.lt002_instrument WHERE ref_date='2025-06-30' AND nome_perimetro= 'Individual IDComb' AND segmento= 'ESTR' AND ambito= 'PM' AND entidade='00100' AND cod_visao = 1) B ON instrmnt_id_as_is = instrmnt_id_to_be WHERE coalesce(cast(lvrg_fnnc_flg_as_is as string), '') &lt;&gt; coalesce(cast(lvrg_fnnc_flg_to_be as string), '') ) A UNION ALL</v>
      </c>
      <c r="P235" s="17">
        <f t="shared" si="48"/>
        <v>5</v>
      </c>
    </row>
    <row r="236" spans="2:16" s="15" customFormat="1" ht="11.5" x14ac:dyDescent="0.25">
      <c r="B236" s="17" t="s">
        <v>24</v>
      </c>
      <c r="C236" s="17" t="str">
        <f>_xlfn.CONCAT(Instruções!$D$5,".",VLOOKUP(B236,Instruções!$F$5:$H$10,2,0))</f>
        <v>cd_loan_tapes_bce.lt002_instrument</v>
      </c>
      <c r="D236" s="17" t="str">
        <f>_xlfn.CONCAT(Instruções!$D$6,".",VLOOKUP(B236,Instruções!$F$5:$H$10,3,0))</f>
        <v>bu_loantape_work.lt002_instrument</v>
      </c>
      <c r="E236" s="17" t="s">
        <v>257</v>
      </c>
      <c r="F236" s="17" t="str">
        <f t="shared" si="43"/>
        <v>nmbr_frbrnc_msrs_as_is</v>
      </c>
      <c r="G236" s="17" t="str">
        <f t="shared" si="44"/>
        <v>nmbr_frbrnc_msrs_to_be</v>
      </c>
      <c r="H236" s="17" t="str">
        <f>IF(VLOOKUP(B236,Instruções!$F$6:$J$10,5,0)="",
"(SELECT "&amp;VLOOKUP(B236,Instruções!$F$6:$J$10,4,0)&amp;" as "&amp;VLOOKUP(B236,Instruções!$F$6:$J$10,4,0)&amp;"_as_is, "&amp;E236&amp;" as "&amp;F236&amp;" FROM "&amp;C236&amp;" WHERE "&amp;Instruções!$D$11&amp;") A ",
"(SELECT "&amp;VLOOKUP(B236,Instruções!$F$6:$J$10,4,0)&amp;" as "&amp;VLOOKUP(B236,Instruções!$F$6:$J$10,4,0)&amp;"_as_is, "&amp;VLOOKUP(B236,Instruções!$F$6:$J$10,5,0)&amp;" as "&amp;VLOOKUP(B236,Instruções!$F$6:$J$10,5,0)&amp;"_as_is,"&amp;E236&amp;" as "&amp;F236&amp;" FROM "&amp;C236&amp;" WHERE "&amp;Instruções!$D$11&amp;") A ")</f>
        <v xml:space="preserve">(SELECT instrmnt_id as instrmnt_id_as_is, nmbr_frbrnc_msrs as nmbr_frbrnc_msrs_as_is FROM cd_loan_tapes_bce.lt002_instrument WHERE ref_date='2025-06-30' AND nome_perimetro= 'Individual IDComb' AND segmento= 'ESTR' AND ambito= 'PM' AND entidade='00100' AND cod_visao = 1) A </v>
      </c>
      <c r="I236" s="17" t="str">
        <f>IF(VLOOKUP(B236,Instruções!$F$6:$J$10,5,0)="",
"(SELECT "&amp;VLOOKUP(B236,Instruções!$F$6:$J$10,4,0)&amp;" as "&amp;VLOOKUP(B236,Instruções!$F$6:$J$10,4,0)&amp;"_to_be, "&amp;E236&amp;" as "&amp;G236&amp;" FROM "&amp;D236&amp;" WHERE "&amp;Instruções!$D$11&amp;") B ",
"(SELECT "&amp;VLOOKUP(B236,Instruções!$F$6:$J$10,4,0)&amp;" as "&amp;VLOOKUP(B236,Instruções!$F$6:$J$10,4,0)&amp;"_to_be, "&amp;VLOOKUP(B236,Instruções!$F$6:$J$10,5,0)&amp;" as "&amp;VLOOKUP(B236,Instruções!$F$6:$J$10,5,0)&amp;"_to_be,"&amp;E236&amp;" as "&amp;G236&amp;" FROM "&amp;D236&amp;" WHERE "&amp;Instruções!$D$11&amp;") B ")</f>
        <v xml:space="preserve">(SELECT instrmnt_id as instrmnt_id_to_be, nmbr_frbrnc_msrs as nmbr_frbrnc_msrs_to_be FROM bu_loantape_work.lt002_instrument WHERE ref_date='2025-06-30' AND nome_perimetro= 'Individual IDComb' AND segmento= 'ESTR' AND ambito= 'PM' AND entidade='00100' AND cod_visao = 1) B </v>
      </c>
      <c r="J236" s="17" t="str">
        <f>IF(VLOOKUP(B236,Instruções!$F$6:$J$10,5,0)="",
"ON "&amp;VLOOKUP(B236,Instruções!$F$6:$J$10,4,0)&amp;"_as_is = "&amp;VLOOKUP(B236,Instruções!$F$6:$J$10,4,0)&amp;"_to_be ",
"ON "&amp;VLOOKUP(B236,Instruções!$F$6:$J$10,4,0)&amp;"_as_is = "&amp;VLOOKUP(B236,Instruções!$F$6:$J$10,4,0)&amp;"_to_be AND "&amp;VLOOKUP(B236,Instruções!$F$6:$J$10,5,0)&amp;"_as_is = "&amp;VLOOKUP(B236,Instruções!$F$6:$J$10,5,0)&amp;"_to_be ")</f>
        <v xml:space="preserve">ON instrmnt_id_as_is = instrmnt_id_to_be </v>
      </c>
      <c r="K236" s="17" t="str">
        <f t="shared" si="45"/>
        <v xml:space="preserve">WHERE coalesce(cast(nmbr_frbrnc_msrs_as_is as string), '') &lt;&gt; coalesce(cast(nmbr_frbrnc_msrs_to_be as string), '') </v>
      </c>
      <c r="L236" s="17" t="str">
        <f t="shared" si="46"/>
        <v xml:space="preserve">SELECT count(*) AS NUM_REG_DIF FROM (SELECT instrmnt_id as instrmnt_id_as_is, nmbr_frbrnc_msrs as nmbr_frbrnc_msrs_as_is FROM cd_loan_tapes_bce.lt002_instrument WHERE ref_date='2025-06-30' AND nome_perimetro= 'Individual IDComb' AND segmento= 'ESTR' AND ambito= 'PM' AND entidade='00100' AND cod_visao = 1) A  Inner join (SELECT instrmnt_id as instrmnt_id_to_be, nmbr_frbrnc_msrs as nmbr_frbrnc_msrs_to_be FROM bu_loantape_work.lt002_instrument WHERE ref_date='2025-06-30' AND nome_perimetro= 'Individual IDComb' AND segmento= 'ESTR' AND ambito= 'PM' AND entidade='00100' AND cod_visao = 1) B ON instrmnt_id_as_is = instrmnt_id_to_be WHERE coalesce(cast(nmbr_frbrnc_msrs_as_is as string), '') &lt;&gt; coalesce(cast(nmbr_frbrnc_msrs_to_be as string), '') </v>
      </c>
      <c r="M236" s="17" t="s">
        <v>48</v>
      </c>
      <c r="N236" s="17" t="str">
        <f>"SELECT 'Validação de campos' as tipologia_teste, '"&amp;VLOOKUP(B236,Instruções!$F$6:$J$10,3,0)&amp;"' AS TABELA, '"&amp;E236&amp;"' AS CAMPO, '"&amp;Instruções!$D$7&amp;"' as ref_date, coalesce(NUM_REG_DIF, 0) AS NUM_REG_DIF FROM ("&amp;L236&amp;") A "</f>
        <v xml:space="preserve">SELECT 'Validação de campos' as tipologia_teste, 'lt002_instrument' AS TABELA, 'nmbr_frbrnc_msrs' AS CAMPO, '2025-06-30' as ref_date, coalesce(NUM_REG_DIF, 0) AS NUM_REG_DIF FROM (SELECT count(*) AS NUM_REG_DIF FROM (SELECT instrmnt_id as instrmnt_id_as_is, nmbr_frbrnc_msrs as nmbr_frbrnc_msrs_as_is FROM cd_loan_tapes_bce.lt002_instrument WHERE ref_date='2025-06-30' AND nome_perimetro= 'Individual IDComb' AND segmento= 'ESTR' AND ambito= 'PM' AND entidade='00100' AND cod_visao = 1) A  Inner join (SELECT instrmnt_id as instrmnt_id_to_be, nmbr_frbrnc_msrs as nmbr_frbrnc_msrs_to_be FROM bu_loantape_work.lt002_instrument WHERE ref_date='2025-06-30' AND nome_perimetro= 'Individual IDComb' AND segmento= 'ESTR' AND ambito= 'PM' AND entidade='00100' AND cod_visao = 1) B ON instrmnt_id_as_is = instrmnt_id_to_be WHERE coalesce(cast(nmbr_frbrnc_msrs_as_is as string), '') &lt;&gt; coalesce(cast(nmbr_frbrnc_msrs_to_be as string), '') ) A </v>
      </c>
      <c r="O236" s="19" t="str">
        <f t="shared" si="47"/>
        <v>SELECT 'Validação de campos' as tipologia_teste, 'lt002_instrument' AS TABELA, 'nmbr_frbrnc_msrs' AS CAMPO, '2025-06-30' as ref_date, coalesce(NUM_REG_DIF, 0) AS NUM_REG_DIF FROM (SELECT count(*) AS NUM_REG_DIF FROM (SELECT instrmnt_id as instrmnt_id_as_is, nmbr_frbrnc_msrs as nmbr_frbrnc_msrs_as_is FROM cd_loan_tapes_bce.lt002_instrument WHERE ref_date='2025-06-30' AND nome_perimetro= 'Individual IDComb' AND segmento= 'ESTR' AND ambito= 'PM' AND entidade='00100' AND cod_visao = 1) A  Inner join (SELECT instrmnt_id as instrmnt_id_to_be, nmbr_frbrnc_msrs as nmbr_frbrnc_msrs_to_be FROM bu_loantape_work.lt002_instrument WHERE ref_date='2025-06-30' AND nome_perimetro= 'Individual IDComb' AND segmento= 'ESTR' AND ambito= 'PM' AND entidade='00100' AND cod_visao = 1) B ON instrmnt_id_as_is = instrmnt_id_to_be WHERE coalesce(cast(nmbr_frbrnc_msrs_as_is as string), '') &lt;&gt; coalesce(cast(nmbr_frbrnc_msrs_to_be as string), '') ) A UNION ALL</v>
      </c>
      <c r="P236" s="17">
        <f t="shared" si="48"/>
        <v>6</v>
      </c>
    </row>
    <row r="237" spans="2:16" s="15" customFormat="1" ht="11.5" x14ac:dyDescent="0.25">
      <c r="B237" s="17" t="s">
        <v>24</v>
      </c>
      <c r="C237" s="17" t="str">
        <f>_xlfn.CONCAT(Instruções!$D$5,".",VLOOKUP(B237,Instruções!$F$5:$H$10,2,0))</f>
        <v>cd_loan_tapes_bce.lt002_instrument</v>
      </c>
      <c r="D237" s="17" t="str">
        <f>_xlfn.CONCAT(Instruções!$D$6,".",VLOOKUP(B237,Instruções!$F$5:$H$10,3,0))</f>
        <v>bu_loantape_work.lt002_instrument</v>
      </c>
      <c r="E237" s="17" t="s">
        <v>258</v>
      </c>
      <c r="F237" s="17" t="str">
        <f t="shared" si="43"/>
        <v>rwa_mthd_as_is</v>
      </c>
      <c r="G237" s="17" t="str">
        <f t="shared" si="44"/>
        <v>rwa_mthd_to_be</v>
      </c>
      <c r="H237" s="17" t="str">
        <f>IF(VLOOKUP(B237,Instruções!$F$6:$J$10,5,0)="",
"(SELECT "&amp;VLOOKUP(B237,Instruções!$F$6:$J$10,4,0)&amp;" as "&amp;VLOOKUP(B237,Instruções!$F$6:$J$10,4,0)&amp;"_as_is, "&amp;E237&amp;" as "&amp;F237&amp;" FROM "&amp;C237&amp;" WHERE "&amp;Instruções!$D$11&amp;") A ",
"(SELECT "&amp;VLOOKUP(B237,Instruções!$F$6:$J$10,4,0)&amp;" as "&amp;VLOOKUP(B237,Instruções!$F$6:$J$10,4,0)&amp;"_as_is, "&amp;VLOOKUP(B237,Instruções!$F$6:$J$10,5,0)&amp;" as "&amp;VLOOKUP(B237,Instruções!$F$6:$J$10,5,0)&amp;"_as_is,"&amp;E237&amp;" as "&amp;F237&amp;" FROM "&amp;C237&amp;" WHERE "&amp;Instruções!$D$11&amp;") A ")</f>
        <v xml:space="preserve">(SELECT instrmnt_id as instrmnt_id_as_is, rwa_mthd as rwa_mthd_as_is FROM cd_loan_tapes_bce.lt002_instrument WHERE ref_date='2025-06-30' AND nome_perimetro= 'Individual IDComb' AND segmento= 'ESTR' AND ambito= 'PM' AND entidade='00100' AND cod_visao = 1) A </v>
      </c>
      <c r="I237" s="17" t="str">
        <f>IF(VLOOKUP(B237,Instruções!$F$6:$J$10,5,0)="",
"(SELECT "&amp;VLOOKUP(B237,Instruções!$F$6:$J$10,4,0)&amp;" as "&amp;VLOOKUP(B237,Instruções!$F$6:$J$10,4,0)&amp;"_to_be, "&amp;E237&amp;" as "&amp;G237&amp;" FROM "&amp;D237&amp;" WHERE "&amp;Instruções!$D$11&amp;") B ",
"(SELECT "&amp;VLOOKUP(B237,Instruções!$F$6:$J$10,4,0)&amp;" as "&amp;VLOOKUP(B237,Instruções!$F$6:$J$10,4,0)&amp;"_to_be, "&amp;VLOOKUP(B237,Instruções!$F$6:$J$10,5,0)&amp;" as "&amp;VLOOKUP(B237,Instruções!$F$6:$J$10,5,0)&amp;"_to_be,"&amp;E237&amp;" as "&amp;G237&amp;" FROM "&amp;D237&amp;" WHERE "&amp;Instruções!$D$11&amp;") B ")</f>
        <v xml:space="preserve">(SELECT instrmnt_id as instrmnt_id_to_be, rwa_mthd as rwa_mthd_to_be FROM bu_loantape_work.lt002_instrument WHERE ref_date='2025-06-30' AND nome_perimetro= 'Individual IDComb' AND segmento= 'ESTR' AND ambito= 'PM' AND entidade='00100' AND cod_visao = 1) B </v>
      </c>
      <c r="J237" s="17" t="str">
        <f>IF(VLOOKUP(B237,Instruções!$F$6:$J$10,5,0)="",
"ON "&amp;VLOOKUP(B237,Instruções!$F$6:$J$10,4,0)&amp;"_as_is = "&amp;VLOOKUP(B237,Instruções!$F$6:$J$10,4,0)&amp;"_to_be ",
"ON "&amp;VLOOKUP(B237,Instruções!$F$6:$J$10,4,0)&amp;"_as_is = "&amp;VLOOKUP(B237,Instruções!$F$6:$J$10,4,0)&amp;"_to_be AND "&amp;VLOOKUP(B237,Instruções!$F$6:$J$10,5,0)&amp;"_as_is = "&amp;VLOOKUP(B237,Instruções!$F$6:$J$10,5,0)&amp;"_to_be ")</f>
        <v xml:space="preserve">ON instrmnt_id_as_is = instrmnt_id_to_be </v>
      </c>
      <c r="K237" s="17" t="str">
        <f t="shared" si="45"/>
        <v xml:space="preserve">WHERE coalesce(cast(rwa_mthd_as_is as string), '') &lt;&gt; coalesce(cast(rwa_mthd_to_be as string), '') </v>
      </c>
      <c r="L237" s="17" t="str">
        <f t="shared" si="46"/>
        <v xml:space="preserve">SELECT count(*) AS NUM_REG_DIF FROM (SELECT instrmnt_id as instrmnt_id_as_is, rwa_mthd as rwa_mthd_as_is FROM cd_loan_tapes_bce.lt002_instrument WHERE ref_date='2025-06-30' AND nome_perimetro= 'Individual IDComb' AND segmento= 'ESTR' AND ambito= 'PM' AND entidade='00100' AND cod_visao = 1) A  Inner join (SELECT instrmnt_id as instrmnt_id_to_be, rwa_mthd as rwa_mthd_to_be FROM bu_loantape_work.lt002_instrument WHERE ref_date='2025-06-30' AND nome_perimetro= 'Individual IDComb' AND segmento= 'ESTR' AND ambito= 'PM' AND entidade='00100' AND cod_visao = 1) B ON instrmnt_id_as_is = instrmnt_id_to_be WHERE coalesce(cast(rwa_mthd_as_is as string), '') &lt;&gt; coalesce(cast(rwa_mthd_to_be as string), '') </v>
      </c>
      <c r="M237" s="17" t="s">
        <v>48</v>
      </c>
      <c r="N237" s="17" t="str">
        <f>"SELECT 'Validação de campos' as tipologia_teste, '"&amp;VLOOKUP(B237,Instruções!$F$6:$J$10,3,0)&amp;"' AS TABELA, '"&amp;E237&amp;"' AS CAMPO, '"&amp;Instruções!$D$7&amp;"' as ref_date, coalesce(NUM_REG_DIF, 0) AS NUM_REG_DIF FROM ("&amp;L237&amp;") A "</f>
        <v xml:space="preserve">SELECT 'Validação de campos' as tipologia_teste, 'lt002_instrument' AS TABELA, 'rwa_mthd' AS CAMPO, '2025-06-30' as ref_date, coalesce(NUM_REG_DIF, 0) AS NUM_REG_DIF FROM (SELECT count(*) AS NUM_REG_DIF FROM (SELECT instrmnt_id as instrmnt_id_as_is, rwa_mthd as rwa_mthd_as_is FROM cd_loan_tapes_bce.lt002_instrument WHERE ref_date='2025-06-30' AND nome_perimetro= 'Individual IDComb' AND segmento= 'ESTR' AND ambito= 'PM' AND entidade='00100' AND cod_visao = 1) A  Inner join (SELECT instrmnt_id as instrmnt_id_to_be, rwa_mthd as rwa_mthd_to_be FROM bu_loantape_work.lt002_instrument WHERE ref_date='2025-06-30' AND nome_perimetro= 'Individual IDComb' AND segmento= 'ESTR' AND ambito= 'PM' AND entidade='00100' AND cod_visao = 1) B ON instrmnt_id_as_is = instrmnt_id_to_be WHERE coalesce(cast(rwa_mthd_as_is as string), '') &lt;&gt; coalesce(cast(rwa_mthd_to_be as string), '') ) A </v>
      </c>
      <c r="O237" s="19" t="str">
        <f t="shared" si="47"/>
        <v>SELECT 'Validação de campos' as tipologia_teste, 'lt002_instrument' AS TABELA, 'rwa_mthd' AS CAMPO, '2025-06-30' as ref_date, coalesce(NUM_REG_DIF, 0) AS NUM_REG_DIF FROM (SELECT count(*) AS NUM_REG_DIF FROM (SELECT instrmnt_id as instrmnt_id_as_is, rwa_mthd as rwa_mthd_as_is FROM cd_loan_tapes_bce.lt002_instrument WHERE ref_date='2025-06-30' AND nome_perimetro= 'Individual IDComb' AND segmento= 'ESTR' AND ambito= 'PM' AND entidade='00100' AND cod_visao = 1) A  Inner join (SELECT instrmnt_id as instrmnt_id_to_be, rwa_mthd as rwa_mthd_to_be FROM bu_loantape_work.lt002_instrument WHERE ref_date='2025-06-30' AND nome_perimetro= 'Individual IDComb' AND segmento= 'ESTR' AND ambito= 'PM' AND entidade='00100' AND cod_visao = 1) B ON instrmnt_id_as_is = instrmnt_id_to_be WHERE coalesce(cast(rwa_mthd_as_is as string), '') &lt;&gt; coalesce(cast(rwa_mthd_to_be as string), '') ) A UNION ALL</v>
      </c>
      <c r="P237" s="17">
        <f t="shared" si="48"/>
        <v>7</v>
      </c>
    </row>
    <row r="238" spans="2:16" s="15" customFormat="1" ht="11.5" x14ac:dyDescent="0.25">
      <c r="B238" s="17" t="s">
        <v>24</v>
      </c>
      <c r="C238" s="17" t="str">
        <f>_xlfn.CONCAT(Instruções!$D$5,".",VLOOKUP(B238,Instruções!$F$5:$H$10,2,0))</f>
        <v>cd_loan_tapes_bce.lt002_instrument</v>
      </c>
      <c r="D238" s="17" t="str">
        <f>_xlfn.CONCAT(Instruções!$D$6,".",VLOOKUP(B238,Instruções!$F$5:$H$10,3,0))</f>
        <v>bu_loantape_work.lt002_instrument</v>
      </c>
      <c r="E238" s="17" t="s">
        <v>259</v>
      </c>
      <c r="F238" s="17" t="str">
        <f t="shared" si="43"/>
        <v>obsrvd_agnt_id_as_is</v>
      </c>
      <c r="G238" s="17" t="str">
        <f t="shared" si="44"/>
        <v>obsrvd_agnt_id_to_be</v>
      </c>
      <c r="H238" s="17" t="str">
        <f>IF(VLOOKUP(B238,Instruções!$F$6:$J$10,5,0)="",
"(SELECT "&amp;VLOOKUP(B238,Instruções!$F$6:$J$10,4,0)&amp;" as "&amp;VLOOKUP(B238,Instruções!$F$6:$J$10,4,0)&amp;"_as_is, "&amp;E238&amp;" as "&amp;F238&amp;" FROM "&amp;C238&amp;" WHERE "&amp;Instruções!$D$11&amp;") A ",
"(SELECT "&amp;VLOOKUP(B238,Instruções!$F$6:$J$10,4,0)&amp;" as "&amp;VLOOKUP(B238,Instruções!$F$6:$J$10,4,0)&amp;"_as_is, "&amp;VLOOKUP(B238,Instruções!$F$6:$J$10,5,0)&amp;" as "&amp;VLOOKUP(B238,Instruções!$F$6:$J$10,5,0)&amp;"_as_is,"&amp;E238&amp;" as "&amp;F238&amp;" FROM "&amp;C238&amp;" WHERE "&amp;Instruções!$D$11&amp;") A ")</f>
        <v xml:space="preserve">(SELECT instrmnt_id as instrmnt_id_as_is, obsrvd_agnt_id as obsrvd_agnt_id_as_is FROM cd_loan_tapes_bce.lt002_instrument WHERE ref_date='2025-06-30' AND nome_perimetro= 'Individual IDComb' AND segmento= 'ESTR' AND ambito= 'PM' AND entidade='00100' AND cod_visao = 1) A </v>
      </c>
      <c r="I238" s="17" t="str">
        <f>IF(VLOOKUP(B238,Instruções!$F$6:$J$10,5,0)="",
"(SELECT "&amp;VLOOKUP(B238,Instruções!$F$6:$J$10,4,0)&amp;" as "&amp;VLOOKUP(B238,Instruções!$F$6:$J$10,4,0)&amp;"_to_be, "&amp;E238&amp;" as "&amp;G238&amp;" FROM "&amp;D238&amp;" WHERE "&amp;Instruções!$D$11&amp;") B ",
"(SELECT "&amp;VLOOKUP(B238,Instruções!$F$6:$J$10,4,0)&amp;" as "&amp;VLOOKUP(B238,Instruções!$F$6:$J$10,4,0)&amp;"_to_be, "&amp;VLOOKUP(B238,Instruções!$F$6:$J$10,5,0)&amp;" as "&amp;VLOOKUP(B238,Instruções!$F$6:$J$10,5,0)&amp;"_to_be,"&amp;E238&amp;" as "&amp;G238&amp;" FROM "&amp;D238&amp;" WHERE "&amp;Instruções!$D$11&amp;") B ")</f>
        <v xml:space="preserve">(SELECT instrmnt_id as instrmnt_id_to_be, obsrvd_agnt_id as obsrvd_agnt_id_to_be FROM bu_loantape_work.lt002_instrument WHERE ref_date='2025-06-30' AND nome_perimetro= 'Individual IDComb' AND segmento= 'ESTR' AND ambito= 'PM' AND entidade='00100' AND cod_visao = 1) B </v>
      </c>
      <c r="J238" s="17" t="str">
        <f>IF(VLOOKUP(B238,Instruções!$F$6:$J$10,5,0)="",
"ON "&amp;VLOOKUP(B238,Instruções!$F$6:$J$10,4,0)&amp;"_as_is = "&amp;VLOOKUP(B238,Instruções!$F$6:$J$10,4,0)&amp;"_to_be ",
"ON "&amp;VLOOKUP(B238,Instruções!$F$6:$J$10,4,0)&amp;"_as_is = "&amp;VLOOKUP(B238,Instruções!$F$6:$J$10,4,0)&amp;"_to_be AND "&amp;VLOOKUP(B238,Instruções!$F$6:$J$10,5,0)&amp;"_as_is = "&amp;VLOOKUP(B238,Instruções!$F$6:$J$10,5,0)&amp;"_to_be ")</f>
        <v xml:space="preserve">ON instrmnt_id_as_is = instrmnt_id_to_be </v>
      </c>
      <c r="K238" s="17" t="str">
        <f t="shared" si="45"/>
        <v xml:space="preserve">WHERE coalesce(cast(obsrvd_agnt_id_as_is as string), '') &lt;&gt; coalesce(cast(obsrvd_agnt_id_to_be as string), '') </v>
      </c>
      <c r="L238" s="17" t="str">
        <f t="shared" si="46"/>
        <v xml:space="preserve">SELECT count(*) AS NUM_REG_DIF FROM (SELECT instrmnt_id as instrmnt_id_as_is, obsrvd_agnt_id as obsrvd_agnt_id_as_is FROM cd_loan_tapes_bce.lt002_instrument WHERE ref_date='2025-06-30' AND nome_perimetro= 'Individual IDComb' AND segmento= 'ESTR' AND ambito= 'PM' AND entidade='00100' AND cod_visao = 1) A  Inner join (SELECT instrmnt_id as instrmnt_id_to_be, obsrvd_agnt_id as obsrvd_agnt_id_to_be FROM bu_loantape_work.lt002_instrument WHERE ref_date='2025-06-30' AND nome_perimetro= 'Individual IDComb' AND segmento= 'ESTR' AND ambito= 'PM' AND entidade='00100' AND cod_visao = 1) B ON instrmnt_id_as_is = instrmnt_id_to_be WHERE coalesce(cast(obsrvd_agnt_id_as_is as string), '') &lt;&gt; coalesce(cast(obsrvd_agnt_id_to_be as string), '') </v>
      </c>
      <c r="M238" s="17" t="s">
        <v>48</v>
      </c>
      <c r="N238" s="17" t="str">
        <f>"SELECT 'Validação de campos' as tipologia_teste, '"&amp;VLOOKUP(B238,Instruções!$F$6:$J$10,3,0)&amp;"' AS TABELA, '"&amp;E238&amp;"' AS CAMPO, '"&amp;Instruções!$D$7&amp;"' as ref_date, coalesce(NUM_REG_DIF, 0) AS NUM_REG_DIF FROM ("&amp;L238&amp;") A "</f>
        <v xml:space="preserve">SELECT 'Validação de campos' as tipologia_teste, 'lt002_instrument' AS TABELA, 'obsrvd_agnt_id' AS CAMPO, '2025-06-30' as ref_date, coalesce(NUM_REG_DIF, 0) AS NUM_REG_DIF FROM (SELECT count(*) AS NUM_REG_DIF FROM (SELECT instrmnt_id as instrmnt_id_as_is, obsrvd_agnt_id as obsrvd_agnt_id_as_is FROM cd_loan_tapes_bce.lt002_instrument WHERE ref_date='2025-06-30' AND nome_perimetro= 'Individual IDComb' AND segmento= 'ESTR' AND ambito= 'PM' AND entidade='00100' AND cod_visao = 1) A  Inner join (SELECT instrmnt_id as instrmnt_id_to_be, obsrvd_agnt_id as obsrvd_agnt_id_to_be FROM bu_loantape_work.lt002_instrument WHERE ref_date='2025-06-30' AND nome_perimetro= 'Individual IDComb' AND segmento= 'ESTR' AND ambito= 'PM' AND entidade='00100' AND cod_visao = 1) B ON instrmnt_id_as_is = instrmnt_id_to_be WHERE coalesce(cast(obsrvd_agnt_id_as_is as string), '') &lt;&gt; coalesce(cast(obsrvd_agnt_id_to_be as string), '') ) A </v>
      </c>
      <c r="O238" s="19" t="str">
        <f t="shared" si="47"/>
        <v>SELECT 'Validação de campos' as tipologia_teste, 'lt002_instrument' AS TABELA, 'obsrvd_agnt_id' AS CAMPO, '2025-06-30' as ref_date, coalesce(NUM_REG_DIF, 0) AS NUM_REG_DIF FROM (SELECT count(*) AS NUM_REG_DIF FROM (SELECT instrmnt_id as instrmnt_id_as_is, obsrvd_agnt_id as obsrvd_agnt_id_as_is FROM cd_loan_tapes_bce.lt002_instrument WHERE ref_date='2025-06-30' AND nome_perimetro= 'Individual IDComb' AND segmento= 'ESTR' AND ambito= 'PM' AND entidade='00100' AND cod_visao = 1) A  Inner join (SELECT instrmnt_id as instrmnt_id_to_be, obsrvd_agnt_id as obsrvd_agnt_id_to_be FROM bu_loantape_work.lt002_instrument WHERE ref_date='2025-06-30' AND nome_perimetro= 'Individual IDComb' AND segmento= 'ESTR' AND ambito= 'PM' AND entidade='00100' AND cod_visao = 1) B ON instrmnt_id_as_is = instrmnt_id_to_be WHERE coalesce(cast(obsrvd_agnt_id_as_is as string), '') &lt;&gt; coalesce(cast(obsrvd_agnt_id_to_be as string), '') ) A UNION ALL</v>
      </c>
      <c r="P238" s="17">
        <f t="shared" si="48"/>
        <v>8</v>
      </c>
    </row>
    <row r="239" spans="2:16" s="15" customFormat="1" ht="11.5" x14ac:dyDescent="0.25">
      <c r="B239" s="17" t="s">
        <v>24</v>
      </c>
      <c r="C239" s="17" t="str">
        <f>_xlfn.CONCAT(Instruções!$D$5,".",VLOOKUP(B239,Instruções!$F$5:$H$10,2,0))</f>
        <v>cd_loan_tapes_bce.lt002_instrument</v>
      </c>
      <c r="D239" s="17" t="str">
        <f>_xlfn.CONCAT(Instruções!$D$6,".",VLOOKUP(B239,Instruções!$F$5:$H$10,3,0))</f>
        <v>bu_loantape_work.lt002_instrument</v>
      </c>
      <c r="E239" s="17" t="s">
        <v>260</v>
      </c>
      <c r="F239" s="17" t="str">
        <f t="shared" si="43"/>
        <v>obsrvd_agnt_nm_as_is</v>
      </c>
      <c r="G239" s="17" t="str">
        <f t="shared" si="44"/>
        <v>obsrvd_agnt_nm_to_be</v>
      </c>
      <c r="H239" s="17" t="str">
        <f>IF(VLOOKUP(B239,Instruções!$F$6:$J$10,5,0)="",
"(SELECT "&amp;VLOOKUP(B239,Instruções!$F$6:$J$10,4,0)&amp;" as "&amp;VLOOKUP(B239,Instruções!$F$6:$J$10,4,0)&amp;"_as_is, "&amp;E239&amp;" as "&amp;F239&amp;" FROM "&amp;C239&amp;" WHERE "&amp;Instruções!$D$11&amp;") A ",
"(SELECT "&amp;VLOOKUP(B239,Instruções!$F$6:$J$10,4,0)&amp;" as "&amp;VLOOKUP(B239,Instruções!$F$6:$J$10,4,0)&amp;"_as_is, "&amp;VLOOKUP(B239,Instruções!$F$6:$J$10,5,0)&amp;" as "&amp;VLOOKUP(B239,Instruções!$F$6:$J$10,5,0)&amp;"_as_is,"&amp;E239&amp;" as "&amp;F239&amp;" FROM "&amp;C239&amp;" WHERE "&amp;Instruções!$D$11&amp;") A ")</f>
        <v xml:space="preserve">(SELECT instrmnt_id as instrmnt_id_as_is, obsrvd_agnt_nm as obsrvd_agnt_nm_as_is FROM cd_loan_tapes_bce.lt002_instrument WHERE ref_date='2025-06-30' AND nome_perimetro= 'Individual IDComb' AND segmento= 'ESTR' AND ambito= 'PM' AND entidade='00100' AND cod_visao = 1) A </v>
      </c>
      <c r="I239" s="17" t="str">
        <f>IF(VLOOKUP(B239,Instruções!$F$6:$J$10,5,0)="",
"(SELECT "&amp;VLOOKUP(B239,Instruções!$F$6:$J$10,4,0)&amp;" as "&amp;VLOOKUP(B239,Instruções!$F$6:$J$10,4,0)&amp;"_to_be, "&amp;E239&amp;" as "&amp;G239&amp;" FROM "&amp;D239&amp;" WHERE "&amp;Instruções!$D$11&amp;") B ",
"(SELECT "&amp;VLOOKUP(B239,Instruções!$F$6:$J$10,4,0)&amp;" as "&amp;VLOOKUP(B239,Instruções!$F$6:$J$10,4,0)&amp;"_to_be, "&amp;VLOOKUP(B239,Instruções!$F$6:$J$10,5,0)&amp;" as "&amp;VLOOKUP(B239,Instruções!$F$6:$J$10,5,0)&amp;"_to_be,"&amp;E239&amp;" as "&amp;G239&amp;" FROM "&amp;D239&amp;" WHERE "&amp;Instruções!$D$11&amp;") B ")</f>
        <v xml:space="preserve">(SELECT instrmnt_id as instrmnt_id_to_be, obsrvd_agnt_nm as obsrvd_agnt_nm_to_be FROM bu_loantape_work.lt002_instrument WHERE ref_date='2025-06-30' AND nome_perimetro= 'Individual IDComb' AND segmento= 'ESTR' AND ambito= 'PM' AND entidade='00100' AND cod_visao = 1) B </v>
      </c>
      <c r="J239" s="17" t="str">
        <f>IF(VLOOKUP(B239,Instruções!$F$6:$J$10,5,0)="",
"ON "&amp;VLOOKUP(B239,Instruções!$F$6:$J$10,4,0)&amp;"_as_is = "&amp;VLOOKUP(B239,Instruções!$F$6:$J$10,4,0)&amp;"_to_be ",
"ON "&amp;VLOOKUP(B239,Instruções!$F$6:$J$10,4,0)&amp;"_as_is = "&amp;VLOOKUP(B239,Instruções!$F$6:$J$10,4,0)&amp;"_to_be AND "&amp;VLOOKUP(B239,Instruções!$F$6:$J$10,5,0)&amp;"_as_is = "&amp;VLOOKUP(B239,Instruções!$F$6:$J$10,5,0)&amp;"_to_be ")</f>
        <v xml:space="preserve">ON instrmnt_id_as_is = instrmnt_id_to_be </v>
      </c>
      <c r="K239" s="17" t="str">
        <f t="shared" si="45"/>
        <v xml:space="preserve">WHERE coalesce(cast(obsrvd_agnt_nm_as_is as string), '') &lt;&gt; coalesce(cast(obsrvd_agnt_nm_to_be as string), '') </v>
      </c>
      <c r="L239" s="17" t="str">
        <f t="shared" si="46"/>
        <v xml:space="preserve">SELECT count(*) AS NUM_REG_DIF FROM (SELECT instrmnt_id as instrmnt_id_as_is, obsrvd_agnt_nm as obsrvd_agnt_nm_as_is FROM cd_loan_tapes_bce.lt002_instrument WHERE ref_date='2025-06-30' AND nome_perimetro= 'Individual IDComb' AND segmento= 'ESTR' AND ambito= 'PM' AND entidade='00100' AND cod_visao = 1) A  Inner join (SELECT instrmnt_id as instrmnt_id_to_be, obsrvd_agnt_nm as obsrvd_agnt_nm_to_be FROM bu_loantape_work.lt002_instrument WHERE ref_date='2025-06-30' AND nome_perimetro= 'Individual IDComb' AND segmento= 'ESTR' AND ambito= 'PM' AND entidade='00100' AND cod_visao = 1) B ON instrmnt_id_as_is = instrmnt_id_to_be WHERE coalesce(cast(obsrvd_agnt_nm_as_is as string), '') &lt;&gt; coalesce(cast(obsrvd_agnt_nm_to_be as string), '') </v>
      </c>
      <c r="M239" s="17" t="s">
        <v>48</v>
      </c>
      <c r="N239" s="17" t="str">
        <f>"SELECT 'Validação de campos' as tipologia_teste, '"&amp;VLOOKUP(B239,Instruções!$F$6:$J$10,3,0)&amp;"' AS TABELA, '"&amp;E239&amp;"' AS CAMPO, '"&amp;Instruções!$D$7&amp;"' as ref_date, coalesce(NUM_REG_DIF, 0) AS NUM_REG_DIF FROM ("&amp;L239&amp;") A "</f>
        <v xml:space="preserve">SELECT 'Validação de campos' as tipologia_teste, 'lt002_instrument' AS TABELA, 'obsrvd_agnt_nm' AS CAMPO, '2025-06-30' as ref_date, coalesce(NUM_REG_DIF, 0) AS NUM_REG_DIF FROM (SELECT count(*) AS NUM_REG_DIF FROM (SELECT instrmnt_id as instrmnt_id_as_is, obsrvd_agnt_nm as obsrvd_agnt_nm_as_is FROM cd_loan_tapes_bce.lt002_instrument WHERE ref_date='2025-06-30' AND nome_perimetro= 'Individual IDComb' AND segmento= 'ESTR' AND ambito= 'PM' AND entidade='00100' AND cod_visao = 1) A  Inner join (SELECT instrmnt_id as instrmnt_id_to_be, obsrvd_agnt_nm as obsrvd_agnt_nm_to_be FROM bu_loantape_work.lt002_instrument WHERE ref_date='2025-06-30' AND nome_perimetro= 'Individual IDComb' AND segmento= 'ESTR' AND ambito= 'PM' AND entidade='00100' AND cod_visao = 1) B ON instrmnt_id_as_is = instrmnt_id_to_be WHERE coalesce(cast(obsrvd_agnt_nm_as_is as string), '') &lt;&gt; coalesce(cast(obsrvd_agnt_nm_to_be as string), '') ) A </v>
      </c>
      <c r="O239" s="19" t="str">
        <f t="shared" si="47"/>
        <v>SELECT 'Validação de campos' as tipologia_teste, 'lt002_instrument' AS TABELA, 'obsrvd_agnt_nm' AS CAMPO, '2025-06-30' as ref_date, coalesce(NUM_REG_DIF, 0) AS NUM_REG_DIF FROM (SELECT count(*) AS NUM_REG_DIF FROM (SELECT instrmnt_id as instrmnt_id_as_is, obsrvd_agnt_nm as obsrvd_agnt_nm_as_is FROM cd_loan_tapes_bce.lt002_instrument WHERE ref_date='2025-06-30' AND nome_perimetro= 'Individual IDComb' AND segmento= 'ESTR' AND ambito= 'PM' AND entidade='00100' AND cod_visao = 1) A  Inner join (SELECT instrmnt_id as instrmnt_id_to_be, obsrvd_agnt_nm as obsrvd_agnt_nm_to_be FROM bu_loantape_work.lt002_instrument WHERE ref_date='2025-06-30' AND nome_perimetro= 'Individual IDComb' AND segmento= 'ESTR' AND ambito= 'PM' AND entidade='00100' AND cod_visao = 1) B ON instrmnt_id_as_is = instrmnt_id_to_be WHERE coalesce(cast(obsrvd_agnt_nm_as_is as string), '') &lt;&gt; coalesce(cast(obsrvd_agnt_nm_to_be as string), '') ) A UNION ALL</v>
      </c>
      <c r="P239" s="17">
        <f t="shared" si="48"/>
        <v>9</v>
      </c>
    </row>
    <row r="240" spans="2:16" s="15" customFormat="1" ht="11.5" x14ac:dyDescent="0.25">
      <c r="B240" s="17" t="s">
        <v>24</v>
      </c>
      <c r="C240" s="17" t="str">
        <f>_xlfn.CONCAT(Instruções!$D$5,".",VLOOKUP(B240,Instruções!$F$5:$H$10,2,0))</f>
        <v>cd_loan_tapes_bce.lt002_instrument</v>
      </c>
      <c r="D240" s="17" t="str">
        <f>_xlfn.CONCAT(Instruções!$D$6,".",VLOOKUP(B240,Instruções!$F$5:$H$10,3,0))</f>
        <v>bu_loantape_work.lt002_instrument</v>
      </c>
      <c r="E240" s="17" t="s">
        <v>261</v>
      </c>
      <c r="F240" s="17" t="str">
        <f t="shared" si="43"/>
        <v>off_blnc_sht_amnt_instrmnt_as_is</v>
      </c>
      <c r="G240" s="17" t="str">
        <f t="shared" si="44"/>
        <v>off_blnc_sht_amnt_instrmnt_to_be</v>
      </c>
      <c r="H240" s="17" t="str">
        <f>IF(VLOOKUP(B240,Instruções!$F$6:$J$10,5,0)="",
"(SELECT "&amp;VLOOKUP(B240,Instruções!$F$6:$J$10,4,0)&amp;" as "&amp;VLOOKUP(B240,Instruções!$F$6:$J$10,4,0)&amp;"_as_is, "&amp;E240&amp;" as "&amp;F240&amp;" FROM "&amp;C240&amp;" WHERE "&amp;Instruções!$D$11&amp;") A ",
"(SELECT "&amp;VLOOKUP(B240,Instruções!$F$6:$J$10,4,0)&amp;" as "&amp;VLOOKUP(B240,Instruções!$F$6:$J$10,4,0)&amp;"_as_is, "&amp;VLOOKUP(B240,Instruções!$F$6:$J$10,5,0)&amp;" as "&amp;VLOOKUP(B240,Instruções!$F$6:$J$10,5,0)&amp;"_as_is,"&amp;E240&amp;" as "&amp;F240&amp;" FROM "&amp;C240&amp;" WHERE "&amp;Instruções!$D$11&amp;") A ")</f>
        <v xml:space="preserve">(SELECT instrmnt_id as instrmnt_id_as_is, off_blnc_sht_amnt_instrmnt as off_blnc_sht_amnt_instrmnt_as_is FROM cd_loan_tapes_bce.lt002_instrument WHERE ref_date='2025-06-30' AND nome_perimetro= 'Individual IDComb' AND segmento= 'ESTR' AND ambito= 'PM' AND entidade='00100' AND cod_visao = 1) A </v>
      </c>
      <c r="I240" s="17" t="str">
        <f>IF(VLOOKUP(B240,Instruções!$F$6:$J$10,5,0)="",
"(SELECT "&amp;VLOOKUP(B240,Instruções!$F$6:$J$10,4,0)&amp;" as "&amp;VLOOKUP(B240,Instruções!$F$6:$J$10,4,0)&amp;"_to_be, "&amp;E240&amp;" as "&amp;G240&amp;" FROM "&amp;D240&amp;" WHERE "&amp;Instruções!$D$11&amp;") B ",
"(SELECT "&amp;VLOOKUP(B240,Instruções!$F$6:$J$10,4,0)&amp;" as "&amp;VLOOKUP(B240,Instruções!$F$6:$J$10,4,0)&amp;"_to_be, "&amp;VLOOKUP(B240,Instruções!$F$6:$J$10,5,0)&amp;" as "&amp;VLOOKUP(B240,Instruções!$F$6:$J$10,5,0)&amp;"_to_be,"&amp;E240&amp;" as "&amp;G240&amp;" FROM "&amp;D240&amp;" WHERE "&amp;Instruções!$D$11&amp;") B ")</f>
        <v xml:space="preserve">(SELECT instrmnt_id as instrmnt_id_to_be, off_blnc_sht_amnt_instrmnt as off_blnc_sht_amnt_instrmnt_to_be FROM bu_loantape_work.lt002_instrument WHERE ref_date='2025-06-30' AND nome_perimetro= 'Individual IDComb' AND segmento= 'ESTR' AND ambito= 'PM' AND entidade='00100' AND cod_visao = 1) B </v>
      </c>
      <c r="J240" s="17" t="str">
        <f>IF(VLOOKUP(B240,Instruções!$F$6:$J$10,5,0)="",
"ON "&amp;VLOOKUP(B240,Instruções!$F$6:$J$10,4,0)&amp;"_as_is = "&amp;VLOOKUP(B240,Instruções!$F$6:$J$10,4,0)&amp;"_to_be ",
"ON "&amp;VLOOKUP(B240,Instruções!$F$6:$J$10,4,0)&amp;"_as_is = "&amp;VLOOKUP(B240,Instruções!$F$6:$J$10,4,0)&amp;"_to_be AND "&amp;VLOOKUP(B240,Instruções!$F$6:$J$10,5,0)&amp;"_as_is = "&amp;VLOOKUP(B240,Instruções!$F$6:$J$10,5,0)&amp;"_to_be ")</f>
        <v xml:space="preserve">ON instrmnt_id_as_is = instrmnt_id_to_be </v>
      </c>
      <c r="K240" s="17" t="str">
        <f t="shared" si="45"/>
        <v xml:space="preserve">WHERE coalesce(cast(off_blnc_sht_amnt_instrmnt_as_is as string), '') &lt;&gt; coalesce(cast(off_blnc_sht_amnt_instrmnt_to_be as string), '') </v>
      </c>
      <c r="L240" s="17" t="str">
        <f t="shared" si="46"/>
        <v xml:space="preserve">SELECT count(*) AS NUM_REG_DIF FROM (SELECT instrmnt_id as instrmnt_id_as_is, off_blnc_sht_amnt_instrmnt as off_blnc_sht_amnt_instrmnt_as_is FROM cd_loan_tapes_bce.lt002_instrument WHERE ref_date='2025-06-30' AND nome_perimetro= 'Individual IDComb' AND segmento= 'ESTR' AND ambito= 'PM' AND entidade='00100' AND cod_visao = 1) A  Inner join (SELECT instrmnt_id as instrmnt_id_to_be, off_blnc_sht_amnt_instrmnt as off_blnc_sht_amnt_instrmnt_to_be FROM bu_loantape_work.lt002_instrument WHERE ref_date='2025-06-30' AND nome_perimetro= 'Individual IDComb' AND segmento= 'ESTR' AND ambito= 'PM' AND entidade='00100' AND cod_visao = 1) B ON instrmnt_id_as_is = instrmnt_id_to_be WHERE coalesce(cast(off_blnc_sht_amnt_instrmnt_as_is as string), '') &lt;&gt; coalesce(cast(off_blnc_sht_amnt_instrmnt_to_be as string), '') </v>
      </c>
      <c r="M240" s="17" t="s">
        <v>48</v>
      </c>
      <c r="N240" s="17" t="str">
        <f>"SELECT 'Validação de campos' as tipologia_teste, '"&amp;VLOOKUP(B240,Instruções!$F$6:$J$10,3,0)&amp;"' AS TABELA, '"&amp;E240&amp;"' AS CAMPO, '"&amp;Instruções!$D$7&amp;"' as ref_date, coalesce(NUM_REG_DIF, 0) AS NUM_REG_DIF FROM ("&amp;L240&amp;") A "</f>
        <v xml:space="preserve">SELECT 'Validação de campos' as tipologia_teste, 'lt002_instrument' AS TABELA, 'off_blnc_sht_amnt_instrmnt' AS CAMPO, '2025-06-30' as ref_date, coalesce(NUM_REG_DIF, 0) AS NUM_REG_DIF FROM (SELECT count(*) AS NUM_REG_DIF FROM (SELECT instrmnt_id as instrmnt_id_as_is, off_blnc_sht_amnt_instrmnt as off_blnc_sht_amnt_instrmnt_as_is FROM cd_loan_tapes_bce.lt002_instrument WHERE ref_date='2025-06-30' AND nome_perimetro= 'Individual IDComb' AND segmento= 'ESTR' AND ambito= 'PM' AND entidade='00100' AND cod_visao = 1) A  Inner join (SELECT instrmnt_id as instrmnt_id_to_be, off_blnc_sht_amnt_instrmnt as off_blnc_sht_amnt_instrmnt_to_be FROM bu_loantape_work.lt002_instrument WHERE ref_date='2025-06-30' AND nome_perimetro= 'Individual IDComb' AND segmento= 'ESTR' AND ambito= 'PM' AND entidade='00100' AND cod_visao = 1) B ON instrmnt_id_as_is = instrmnt_id_to_be WHERE coalesce(cast(off_blnc_sht_amnt_instrmnt_as_is as string), '') &lt;&gt; coalesce(cast(off_blnc_sht_amnt_instrmnt_to_be as string), '') ) A </v>
      </c>
      <c r="O240" s="19" t="str">
        <f t="shared" si="47"/>
        <v>SELECT 'Validação de campos' as tipologia_teste, 'lt002_instrument' AS TABELA, 'off_blnc_sht_amnt_instrmnt' AS CAMPO, '2025-06-30' as ref_date, coalesce(NUM_REG_DIF, 0) AS NUM_REG_DIF FROM (SELECT count(*) AS NUM_REG_DIF FROM (SELECT instrmnt_id as instrmnt_id_as_is, off_blnc_sht_amnt_instrmnt as off_blnc_sht_amnt_instrmnt_as_is FROM cd_loan_tapes_bce.lt002_instrument WHERE ref_date='2025-06-30' AND nome_perimetro= 'Individual IDComb' AND segmento= 'ESTR' AND ambito= 'PM' AND entidade='00100' AND cod_visao = 1) A  Inner join (SELECT instrmnt_id as instrmnt_id_to_be, off_blnc_sht_amnt_instrmnt as off_blnc_sht_amnt_instrmnt_to_be FROM bu_loantape_work.lt002_instrument WHERE ref_date='2025-06-30' AND nome_perimetro= 'Individual IDComb' AND segmento= 'ESTR' AND ambito= 'PM' AND entidade='00100' AND cod_visao = 1) B ON instrmnt_id_as_is = instrmnt_id_to_be WHERE coalesce(cast(off_blnc_sht_amnt_instrmnt_as_is as string), '') &lt;&gt; coalesce(cast(off_blnc_sht_amnt_instrmnt_to_be as string), '') ) A UNION ALL</v>
      </c>
      <c r="P240" s="17">
        <f t="shared" si="48"/>
        <v>10</v>
      </c>
    </row>
    <row r="241" spans="2:16" s="15" customFormat="1" ht="11.5" x14ac:dyDescent="0.25">
      <c r="B241" s="17" t="s">
        <v>24</v>
      </c>
      <c r="C241" s="17" t="str">
        <f>_xlfn.CONCAT(Instruções!$D$5,".",VLOOKUP(B241,Instruções!$F$5:$H$10,2,0))</f>
        <v>cd_loan_tapes_bce.lt002_instrument</v>
      </c>
      <c r="D241" s="17" t="str">
        <f>_xlfn.CONCAT(Instruções!$D$6,".",VLOOKUP(B241,Instruções!$F$5:$H$10,3,0))</f>
        <v>bu_loantape_work.lt002_instrument</v>
      </c>
      <c r="E241" s="17" t="s">
        <v>262</v>
      </c>
      <c r="F241" s="17" t="str">
        <f t="shared" si="43"/>
        <v>off_blnc_sht_amnt_instrmnt_prvs_as_is</v>
      </c>
      <c r="G241" s="17" t="str">
        <f t="shared" si="44"/>
        <v>off_blnc_sht_amnt_instrmnt_prvs_to_be</v>
      </c>
      <c r="H241" s="17" t="str">
        <f>IF(VLOOKUP(B241,Instruções!$F$6:$J$10,5,0)="",
"(SELECT "&amp;VLOOKUP(B241,Instruções!$F$6:$J$10,4,0)&amp;" as "&amp;VLOOKUP(B241,Instruções!$F$6:$J$10,4,0)&amp;"_as_is, "&amp;E241&amp;" as "&amp;F241&amp;" FROM "&amp;C241&amp;" WHERE "&amp;Instruções!$D$11&amp;") A ",
"(SELECT "&amp;VLOOKUP(B241,Instruções!$F$6:$J$10,4,0)&amp;" as "&amp;VLOOKUP(B241,Instruções!$F$6:$J$10,4,0)&amp;"_as_is, "&amp;VLOOKUP(B241,Instruções!$F$6:$J$10,5,0)&amp;" as "&amp;VLOOKUP(B241,Instruções!$F$6:$J$10,5,0)&amp;"_as_is,"&amp;E241&amp;" as "&amp;F241&amp;" FROM "&amp;C241&amp;" WHERE "&amp;Instruções!$D$11&amp;") A ")</f>
        <v xml:space="preserve">(SELECT instrmnt_id as instrmnt_id_as_is, off_blnc_sht_amnt_instrmnt_prvs as off_blnc_sht_amnt_instrmnt_prvs_as_is FROM cd_loan_tapes_bce.lt002_instrument WHERE ref_date='2025-06-30' AND nome_perimetro= 'Individual IDComb' AND segmento= 'ESTR' AND ambito= 'PM' AND entidade='00100' AND cod_visao = 1) A </v>
      </c>
      <c r="I241" s="17" t="str">
        <f>IF(VLOOKUP(B241,Instruções!$F$6:$J$10,5,0)="",
"(SELECT "&amp;VLOOKUP(B241,Instruções!$F$6:$J$10,4,0)&amp;" as "&amp;VLOOKUP(B241,Instruções!$F$6:$J$10,4,0)&amp;"_to_be, "&amp;E241&amp;" as "&amp;G241&amp;" FROM "&amp;D241&amp;" WHERE "&amp;Instruções!$D$11&amp;") B ",
"(SELECT "&amp;VLOOKUP(B241,Instruções!$F$6:$J$10,4,0)&amp;" as "&amp;VLOOKUP(B241,Instruções!$F$6:$J$10,4,0)&amp;"_to_be, "&amp;VLOOKUP(B241,Instruções!$F$6:$J$10,5,0)&amp;" as "&amp;VLOOKUP(B241,Instruções!$F$6:$J$10,5,0)&amp;"_to_be,"&amp;E241&amp;" as "&amp;G241&amp;" FROM "&amp;D241&amp;" WHERE "&amp;Instruções!$D$11&amp;") B ")</f>
        <v xml:space="preserve">(SELECT instrmnt_id as instrmnt_id_to_be, off_blnc_sht_amnt_instrmnt_prvs as off_blnc_sht_amnt_instrmnt_prvs_to_be FROM bu_loantape_work.lt002_instrument WHERE ref_date='2025-06-30' AND nome_perimetro= 'Individual IDComb' AND segmento= 'ESTR' AND ambito= 'PM' AND entidade='00100' AND cod_visao = 1) B </v>
      </c>
      <c r="J241" s="17" t="str">
        <f>IF(VLOOKUP(B241,Instruções!$F$6:$J$10,5,0)="",
"ON "&amp;VLOOKUP(B241,Instruções!$F$6:$J$10,4,0)&amp;"_as_is = "&amp;VLOOKUP(B241,Instruções!$F$6:$J$10,4,0)&amp;"_to_be ",
"ON "&amp;VLOOKUP(B241,Instruções!$F$6:$J$10,4,0)&amp;"_as_is = "&amp;VLOOKUP(B241,Instruções!$F$6:$J$10,4,0)&amp;"_to_be AND "&amp;VLOOKUP(B241,Instruções!$F$6:$J$10,5,0)&amp;"_as_is = "&amp;VLOOKUP(B241,Instruções!$F$6:$J$10,5,0)&amp;"_to_be ")</f>
        <v xml:space="preserve">ON instrmnt_id_as_is = instrmnt_id_to_be </v>
      </c>
      <c r="K241" s="17" t="str">
        <f t="shared" si="45"/>
        <v xml:space="preserve">WHERE coalesce(cast(off_blnc_sht_amnt_instrmnt_prvs_as_is as string), '') &lt;&gt; coalesce(cast(off_blnc_sht_amnt_instrmnt_prvs_to_be as string), '') </v>
      </c>
      <c r="L241" s="17" t="str">
        <f t="shared" si="46"/>
        <v xml:space="preserve">SELECT count(*) AS NUM_REG_DIF FROM (SELECT instrmnt_id as instrmnt_id_as_is, off_blnc_sht_amnt_instrmnt_prvs as off_blnc_sht_amnt_instrmnt_prvs_as_is FROM cd_loan_tapes_bce.lt002_instrument WHERE ref_date='2025-06-30' AND nome_perimetro= 'Individual IDComb' AND segmento= 'ESTR' AND ambito= 'PM' AND entidade='00100' AND cod_visao = 1) A  Inner join (SELECT instrmnt_id as instrmnt_id_to_be, off_blnc_sht_amnt_instrmnt_prvs as off_blnc_sht_amnt_instrmnt_prvs_to_be FROM bu_loantape_work.lt002_instrument WHERE ref_date='2025-06-30' AND nome_perimetro= 'Individual IDComb' AND segmento= 'ESTR' AND ambito= 'PM' AND entidade='00100' AND cod_visao = 1) B ON instrmnt_id_as_is = instrmnt_id_to_be WHERE coalesce(cast(off_blnc_sht_amnt_instrmnt_prvs_as_is as string), '') &lt;&gt; coalesce(cast(off_blnc_sht_amnt_instrmnt_prvs_to_be as string), '') </v>
      </c>
      <c r="M241" s="17" t="s">
        <v>48</v>
      </c>
      <c r="N241" s="17" t="str">
        <f>"SELECT 'Validação de campos' as tipologia_teste, '"&amp;VLOOKUP(B241,Instruções!$F$6:$J$10,3,0)&amp;"' AS TABELA, '"&amp;E241&amp;"' AS CAMPO, '"&amp;Instruções!$D$7&amp;"' as ref_date, coalesce(NUM_REG_DIF, 0) AS NUM_REG_DIF FROM ("&amp;L241&amp;") A "</f>
        <v xml:space="preserve">SELECT 'Validação de campos' as tipologia_teste, 'lt002_instrument' AS TABELA, 'off_blnc_sht_amnt_instrmnt_prvs' AS CAMPO, '2025-06-30' as ref_date, coalesce(NUM_REG_DIF, 0) AS NUM_REG_DIF FROM (SELECT count(*) AS NUM_REG_DIF FROM (SELECT instrmnt_id as instrmnt_id_as_is, off_blnc_sht_amnt_instrmnt_prvs as off_blnc_sht_amnt_instrmnt_prvs_as_is FROM cd_loan_tapes_bce.lt002_instrument WHERE ref_date='2025-06-30' AND nome_perimetro= 'Individual IDComb' AND segmento= 'ESTR' AND ambito= 'PM' AND entidade='00100' AND cod_visao = 1) A  Inner join (SELECT instrmnt_id as instrmnt_id_to_be, off_blnc_sht_amnt_instrmnt_prvs as off_blnc_sht_amnt_instrmnt_prvs_to_be FROM bu_loantape_work.lt002_instrument WHERE ref_date='2025-06-30' AND nome_perimetro= 'Individual IDComb' AND segmento= 'ESTR' AND ambito= 'PM' AND entidade='00100' AND cod_visao = 1) B ON instrmnt_id_as_is = instrmnt_id_to_be WHERE coalesce(cast(off_blnc_sht_amnt_instrmnt_prvs_as_is as string), '') &lt;&gt; coalesce(cast(off_blnc_sht_amnt_instrmnt_prvs_to_be as string), '') ) A </v>
      </c>
      <c r="O241" s="19" t="str">
        <f t="shared" si="47"/>
        <v>SELECT 'Validação de campos' as tipologia_teste, 'lt002_instrument' AS TABELA, 'off_blnc_sht_amnt_instrmnt_prvs' AS CAMPO, '2025-06-30' as ref_date, coalesce(NUM_REG_DIF, 0) AS NUM_REG_DIF FROM (SELECT count(*) AS NUM_REG_DIF FROM (SELECT instrmnt_id as instrmnt_id_as_is, off_blnc_sht_amnt_instrmnt_prvs as off_blnc_sht_amnt_instrmnt_prvs_as_is FROM cd_loan_tapes_bce.lt002_instrument WHERE ref_date='2025-06-30' AND nome_perimetro= 'Individual IDComb' AND segmento= 'ESTR' AND ambito= 'PM' AND entidade='00100' AND cod_visao = 1) A  Inner join (SELECT instrmnt_id as instrmnt_id_to_be, off_blnc_sht_amnt_instrmnt_prvs as off_blnc_sht_amnt_instrmnt_prvs_to_be FROM bu_loantape_work.lt002_instrument WHERE ref_date='2025-06-30' AND nome_perimetro= 'Individual IDComb' AND segmento= 'ESTR' AND ambito= 'PM' AND entidade='00100' AND cod_visao = 1) B ON instrmnt_id_as_is = instrmnt_id_to_be WHERE coalesce(cast(off_blnc_sht_amnt_instrmnt_prvs_as_is as string), '') &lt;&gt; coalesce(cast(off_blnc_sht_amnt_instrmnt_prvs_to_be as string), '') ) A UNION ALL</v>
      </c>
      <c r="P241" s="17">
        <f t="shared" si="48"/>
        <v>11</v>
      </c>
    </row>
    <row r="242" spans="2:16" s="15" customFormat="1" ht="11.5" x14ac:dyDescent="0.25">
      <c r="B242" s="17" t="s">
        <v>24</v>
      </c>
      <c r="C242" s="17" t="str">
        <f>_xlfn.CONCAT(Instruções!$D$5,".",VLOOKUP(B242,Instruções!$F$5:$H$10,2,0))</f>
        <v>cd_loan_tapes_bce.lt002_instrument</v>
      </c>
      <c r="D242" s="17" t="str">
        <f>_xlfn.CONCAT(Instruções!$D$6,".",VLOOKUP(B242,Instruções!$F$5:$H$10,3,0))</f>
        <v>bu_loantape_work.lt002_instrument</v>
      </c>
      <c r="E242" s="17" t="s">
        <v>263</v>
      </c>
      <c r="F242" s="17" t="str">
        <f t="shared" si="43"/>
        <v>otstndng_nmnl_amnt_instrmnt_as_is</v>
      </c>
      <c r="G242" s="17" t="str">
        <f t="shared" si="44"/>
        <v>otstndng_nmnl_amnt_instrmnt_to_be</v>
      </c>
      <c r="H242" s="17" t="str">
        <f>IF(VLOOKUP(B242,Instruções!$F$6:$J$10,5,0)="",
"(SELECT "&amp;VLOOKUP(B242,Instruções!$F$6:$J$10,4,0)&amp;" as "&amp;VLOOKUP(B242,Instruções!$F$6:$J$10,4,0)&amp;"_as_is, "&amp;E242&amp;" as "&amp;F242&amp;" FROM "&amp;C242&amp;" WHERE "&amp;Instruções!$D$11&amp;") A ",
"(SELECT "&amp;VLOOKUP(B242,Instruções!$F$6:$J$10,4,0)&amp;" as "&amp;VLOOKUP(B242,Instruções!$F$6:$J$10,4,0)&amp;"_as_is, "&amp;VLOOKUP(B242,Instruções!$F$6:$J$10,5,0)&amp;" as "&amp;VLOOKUP(B242,Instruções!$F$6:$J$10,5,0)&amp;"_as_is,"&amp;E242&amp;" as "&amp;F242&amp;" FROM "&amp;C242&amp;" WHERE "&amp;Instruções!$D$11&amp;") A ")</f>
        <v xml:space="preserve">(SELECT instrmnt_id as instrmnt_id_as_is, otstndng_nmnl_amnt_instrmnt as otstndng_nmnl_amnt_instrmnt_as_is FROM cd_loan_tapes_bce.lt002_instrument WHERE ref_date='2025-06-30' AND nome_perimetro= 'Individual IDComb' AND segmento= 'ESTR' AND ambito= 'PM' AND entidade='00100' AND cod_visao = 1) A </v>
      </c>
      <c r="I242" s="17" t="str">
        <f>IF(VLOOKUP(B242,Instruções!$F$6:$J$10,5,0)="",
"(SELECT "&amp;VLOOKUP(B242,Instruções!$F$6:$J$10,4,0)&amp;" as "&amp;VLOOKUP(B242,Instruções!$F$6:$J$10,4,0)&amp;"_to_be, "&amp;E242&amp;" as "&amp;G242&amp;" FROM "&amp;D242&amp;" WHERE "&amp;Instruções!$D$11&amp;") B ",
"(SELECT "&amp;VLOOKUP(B242,Instruções!$F$6:$J$10,4,0)&amp;" as "&amp;VLOOKUP(B242,Instruções!$F$6:$J$10,4,0)&amp;"_to_be, "&amp;VLOOKUP(B242,Instruções!$F$6:$J$10,5,0)&amp;" as "&amp;VLOOKUP(B242,Instruções!$F$6:$J$10,5,0)&amp;"_to_be,"&amp;E242&amp;" as "&amp;G242&amp;" FROM "&amp;D242&amp;" WHERE "&amp;Instruções!$D$11&amp;") B ")</f>
        <v xml:space="preserve">(SELECT instrmnt_id as instrmnt_id_to_be, otstndng_nmnl_amnt_instrmnt as otstndng_nmnl_amnt_instrmnt_to_be FROM bu_loantape_work.lt002_instrument WHERE ref_date='2025-06-30' AND nome_perimetro= 'Individual IDComb' AND segmento= 'ESTR' AND ambito= 'PM' AND entidade='00100' AND cod_visao = 1) B </v>
      </c>
      <c r="J242" s="17" t="str">
        <f>IF(VLOOKUP(B242,Instruções!$F$6:$J$10,5,0)="",
"ON "&amp;VLOOKUP(B242,Instruções!$F$6:$J$10,4,0)&amp;"_as_is = "&amp;VLOOKUP(B242,Instruções!$F$6:$J$10,4,0)&amp;"_to_be ",
"ON "&amp;VLOOKUP(B242,Instruções!$F$6:$J$10,4,0)&amp;"_as_is = "&amp;VLOOKUP(B242,Instruções!$F$6:$J$10,4,0)&amp;"_to_be AND "&amp;VLOOKUP(B242,Instruções!$F$6:$J$10,5,0)&amp;"_as_is = "&amp;VLOOKUP(B242,Instruções!$F$6:$J$10,5,0)&amp;"_to_be ")</f>
        <v xml:space="preserve">ON instrmnt_id_as_is = instrmnt_id_to_be </v>
      </c>
      <c r="K242" s="17" t="str">
        <f t="shared" si="45"/>
        <v xml:space="preserve">WHERE coalesce(cast(otstndng_nmnl_amnt_instrmnt_as_is as string), '') &lt;&gt; coalesce(cast(otstndng_nmnl_amnt_instrmnt_to_be as string), '') </v>
      </c>
      <c r="L242" s="17" t="str">
        <f t="shared" si="46"/>
        <v xml:space="preserve">SELECT count(*) AS NUM_REG_DIF FROM (SELECT instrmnt_id as instrmnt_id_as_is, otstndng_nmnl_amnt_instrmnt as otstndng_nmnl_amnt_instrmnt_as_is FROM cd_loan_tapes_bce.lt002_instrument WHERE ref_date='2025-06-30' AND nome_perimetro= 'Individual IDComb' AND segmento= 'ESTR' AND ambito= 'PM' AND entidade='00100' AND cod_visao = 1) A  Inner join (SELECT instrmnt_id as instrmnt_id_to_be, otstndng_nmnl_amnt_instrmnt as otstndng_nmnl_amnt_instrmnt_to_be FROM bu_loantape_work.lt002_instrument WHERE ref_date='2025-06-30' AND nome_perimetro= 'Individual IDComb' AND segmento= 'ESTR' AND ambito= 'PM' AND entidade='00100' AND cod_visao = 1) B ON instrmnt_id_as_is = instrmnt_id_to_be WHERE coalesce(cast(otstndng_nmnl_amnt_instrmnt_as_is as string), '') &lt;&gt; coalesce(cast(otstndng_nmnl_amnt_instrmnt_to_be as string), '') </v>
      </c>
      <c r="M242" s="17" t="s">
        <v>48</v>
      </c>
      <c r="N242" s="17" t="str">
        <f>"SELECT 'Validação de campos' as tipologia_teste, '"&amp;VLOOKUP(B242,Instruções!$F$6:$J$10,3,0)&amp;"' AS TABELA, '"&amp;E242&amp;"' AS CAMPO, '"&amp;Instruções!$D$7&amp;"' as ref_date, coalesce(NUM_REG_DIF, 0) AS NUM_REG_DIF FROM ("&amp;L242&amp;") A "</f>
        <v xml:space="preserve">SELECT 'Validação de campos' as tipologia_teste, 'lt002_instrument' AS TABELA, 'otstndng_nmnl_amnt_instrmnt' AS CAMPO, '2025-06-30' as ref_date, coalesce(NUM_REG_DIF, 0) AS NUM_REG_DIF FROM (SELECT count(*) AS NUM_REG_DIF FROM (SELECT instrmnt_id as instrmnt_id_as_is, otstndng_nmnl_amnt_instrmnt as otstndng_nmnl_amnt_instrmnt_as_is FROM cd_loan_tapes_bce.lt002_instrument WHERE ref_date='2025-06-30' AND nome_perimetro= 'Individual IDComb' AND segmento= 'ESTR' AND ambito= 'PM' AND entidade='00100' AND cod_visao = 1) A  Inner join (SELECT instrmnt_id as instrmnt_id_to_be, otstndng_nmnl_amnt_instrmnt as otstndng_nmnl_amnt_instrmnt_to_be FROM bu_loantape_work.lt002_instrument WHERE ref_date='2025-06-30' AND nome_perimetro= 'Individual IDComb' AND segmento= 'ESTR' AND ambito= 'PM' AND entidade='00100' AND cod_visao = 1) B ON instrmnt_id_as_is = instrmnt_id_to_be WHERE coalesce(cast(otstndng_nmnl_amnt_instrmnt_as_is as string), '') &lt;&gt; coalesce(cast(otstndng_nmnl_amnt_instrmnt_to_be as string), '') ) A </v>
      </c>
      <c r="O242" s="19" t="str">
        <f t="shared" si="47"/>
        <v>SELECT 'Validação de campos' as tipologia_teste, 'lt002_instrument' AS TABELA, 'otstndng_nmnl_amnt_instrmnt' AS CAMPO, '2025-06-30' as ref_date, coalesce(NUM_REG_DIF, 0) AS NUM_REG_DIF FROM (SELECT count(*) AS NUM_REG_DIF FROM (SELECT instrmnt_id as instrmnt_id_as_is, otstndng_nmnl_amnt_instrmnt as otstndng_nmnl_amnt_instrmnt_as_is FROM cd_loan_tapes_bce.lt002_instrument WHERE ref_date='2025-06-30' AND nome_perimetro= 'Individual IDComb' AND segmento= 'ESTR' AND ambito= 'PM' AND entidade='00100' AND cod_visao = 1) A  Inner join (SELECT instrmnt_id as instrmnt_id_to_be, otstndng_nmnl_amnt_instrmnt as otstndng_nmnl_amnt_instrmnt_to_be FROM bu_loantape_work.lt002_instrument WHERE ref_date='2025-06-30' AND nome_perimetro= 'Individual IDComb' AND segmento= 'ESTR' AND ambito= 'PM' AND entidade='00100' AND cod_visao = 1) B ON instrmnt_id_as_is = instrmnt_id_to_be WHERE coalesce(cast(otstndng_nmnl_amnt_instrmnt_as_is as string), '') &lt;&gt; coalesce(cast(otstndng_nmnl_amnt_instrmnt_to_be as string), '') ) A UNION ALL</v>
      </c>
      <c r="P242" s="17">
        <f t="shared" si="48"/>
        <v>12</v>
      </c>
    </row>
    <row r="243" spans="2:16" s="15" customFormat="1" ht="11.5" x14ac:dyDescent="0.25">
      <c r="B243" s="17" t="s">
        <v>24</v>
      </c>
      <c r="C243" s="17" t="str">
        <f>_xlfn.CONCAT(Instruções!$D$5,".",VLOOKUP(B243,Instruções!$F$5:$H$10,2,0))</f>
        <v>cd_loan_tapes_bce.lt002_instrument</v>
      </c>
      <c r="D243" s="17" t="str">
        <f>_xlfn.CONCAT(Instruções!$D$6,".",VLOOKUP(B243,Instruções!$F$5:$H$10,3,0))</f>
        <v>bu_loantape_work.lt002_instrument</v>
      </c>
      <c r="E243" s="17" t="s">
        <v>264</v>
      </c>
      <c r="F243" s="17" t="str">
        <f t="shared" si="43"/>
        <v>otstndng_nmnl_amnt_instrmnt_prvs_as_is</v>
      </c>
      <c r="G243" s="17" t="str">
        <f t="shared" si="44"/>
        <v>otstndng_nmnl_amnt_instrmnt_prvs_to_be</v>
      </c>
      <c r="H243" s="17" t="str">
        <f>IF(VLOOKUP(B243,Instruções!$F$6:$J$10,5,0)="",
"(SELECT "&amp;VLOOKUP(B243,Instruções!$F$6:$J$10,4,0)&amp;" as "&amp;VLOOKUP(B243,Instruções!$F$6:$J$10,4,0)&amp;"_as_is, "&amp;E243&amp;" as "&amp;F243&amp;" FROM "&amp;C243&amp;" WHERE "&amp;Instruções!$D$11&amp;") A ",
"(SELECT "&amp;VLOOKUP(B243,Instruções!$F$6:$J$10,4,0)&amp;" as "&amp;VLOOKUP(B243,Instruções!$F$6:$J$10,4,0)&amp;"_as_is, "&amp;VLOOKUP(B243,Instruções!$F$6:$J$10,5,0)&amp;" as "&amp;VLOOKUP(B243,Instruções!$F$6:$J$10,5,0)&amp;"_as_is,"&amp;E243&amp;" as "&amp;F243&amp;" FROM "&amp;C243&amp;" WHERE "&amp;Instruções!$D$11&amp;") A ")</f>
        <v xml:space="preserve">(SELECT instrmnt_id as instrmnt_id_as_is, otstndng_nmnl_amnt_instrmnt_prvs as otstndng_nmnl_amnt_instrmnt_prvs_as_is FROM cd_loan_tapes_bce.lt002_instrument WHERE ref_date='2025-06-30' AND nome_perimetro= 'Individual IDComb' AND segmento= 'ESTR' AND ambito= 'PM' AND entidade='00100' AND cod_visao = 1) A </v>
      </c>
      <c r="I243" s="17" t="str">
        <f>IF(VLOOKUP(B243,Instruções!$F$6:$J$10,5,0)="",
"(SELECT "&amp;VLOOKUP(B243,Instruções!$F$6:$J$10,4,0)&amp;" as "&amp;VLOOKUP(B243,Instruções!$F$6:$J$10,4,0)&amp;"_to_be, "&amp;E243&amp;" as "&amp;G243&amp;" FROM "&amp;D243&amp;" WHERE "&amp;Instruções!$D$11&amp;") B ",
"(SELECT "&amp;VLOOKUP(B243,Instruções!$F$6:$J$10,4,0)&amp;" as "&amp;VLOOKUP(B243,Instruções!$F$6:$J$10,4,0)&amp;"_to_be, "&amp;VLOOKUP(B243,Instruções!$F$6:$J$10,5,0)&amp;" as "&amp;VLOOKUP(B243,Instruções!$F$6:$J$10,5,0)&amp;"_to_be,"&amp;E243&amp;" as "&amp;G243&amp;" FROM "&amp;D243&amp;" WHERE "&amp;Instruções!$D$11&amp;") B ")</f>
        <v xml:space="preserve">(SELECT instrmnt_id as instrmnt_id_to_be, otstndng_nmnl_amnt_instrmnt_prvs as otstndng_nmnl_amnt_instrmnt_prvs_to_be FROM bu_loantape_work.lt002_instrument WHERE ref_date='2025-06-30' AND nome_perimetro= 'Individual IDComb' AND segmento= 'ESTR' AND ambito= 'PM' AND entidade='00100' AND cod_visao = 1) B </v>
      </c>
      <c r="J243" s="17" t="str">
        <f>IF(VLOOKUP(B243,Instruções!$F$6:$J$10,5,0)="",
"ON "&amp;VLOOKUP(B243,Instruções!$F$6:$J$10,4,0)&amp;"_as_is = "&amp;VLOOKUP(B243,Instruções!$F$6:$J$10,4,0)&amp;"_to_be ",
"ON "&amp;VLOOKUP(B243,Instruções!$F$6:$J$10,4,0)&amp;"_as_is = "&amp;VLOOKUP(B243,Instruções!$F$6:$J$10,4,0)&amp;"_to_be AND "&amp;VLOOKUP(B243,Instruções!$F$6:$J$10,5,0)&amp;"_as_is = "&amp;VLOOKUP(B243,Instruções!$F$6:$J$10,5,0)&amp;"_to_be ")</f>
        <v xml:space="preserve">ON instrmnt_id_as_is = instrmnt_id_to_be </v>
      </c>
      <c r="K243" s="17" t="str">
        <f t="shared" si="45"/>
        <v xml:space="preserve">WHERE coalesce(cast(otstndng_nmnl_amnt_instrmnt_prvs_as_is as string), '') &lt;&gt; coalesce(cast(otstndng_nmnl_amnt_instrmnt_prvs_to_be as string), '') </v>
      </c>
      <c r="L243" s="17" t="str">
        <f t="shared" si="46"/>
        <v xml:space="preserve">SELECT count(*) AS NUM_REG_DIF FROM (SELECT instrmnt_id as instrmnt_id_as_is, otstndng_nmnl_amnt_instrmnt_prvs as otstndng_nmnl_amnt_instrmnt_prvs_as_is FROM cd_loan_tapes_bce.lt002_instrument WHERE ref_date='2025-06-30' AND nome_perimetro= 'Individual IDComb' AND segmento= 'ESTR' AND ambito= 'PM' AND entidade='00100' AND cod_visao = 1) A  Inner join (SELECT instrmnt_id as instrmnt_id_to_be, otstndng_nmnl_amnt_instrmnt_prvs as otstndng_nmnl_amnt_instrmnt_prvs_to_be FROM bu_loantape_work.lt002_instrument WHERE ref_date='2025-06-30' AND nome_perimetro= 'Individual IDComb' AND segmento= 'ESTR' AND ambito= 'PM' AND entidade='00100' AND cod_visao = 1) B ON instrmnt_id_as_is = instrmnt_id_to_be WHERE coalesce(cast(otstndng_nmnl_amnt_instrmnt_prvs_as_is as string), '') &lt;&gt; coalesce(cast(otstndng_nmnl_amnt_instrmnt_prvs_to_be as string), '') </v>
      </c>
      <c r="M243" s="17" t="s">
        <v>48</v>
      </c>
      <c r="N243" s="17" t="str">
        <f>"SELECT 'Validação de campos' as tipologia_teste, '"&amp;VLOOKUP(B243,Instruções!$F$6:$J$10,3,0)&amp;"' AS TABELA, '"&amp;E243&amp;"' AS CAMPO, '"&amp;Instruções!$D$7&amp;"' as ref_date, coalesce(NUM_REG_DIF, 0) AS NUM_REG_DIF FROM ("&amp;L243&amp;") A "</f>
        <v xml:space="preserve">SELECT 'Validação de campos' as tipologia_teste, 'lt002_instrument' AS TABELA, 'otstndng_nmnl_amnt_instrmnt_prvs' AS CAMPO, '2025-06-30' as ref_date, coalesce(NUM_REG_DIF, 0) AS NUM_REG_DIF FROM (SELECT count(*) AS NUM_REG_DIF FROM (SELECT instrmnt_id as instrmnt_id_as_is, otstndng_nmnl_amnt_instrmnt_prvs as otstndng_nmnl_amnt_instrmnt_prvs_as_is FROM cd_loan_tapes_bce.lt002_instrument WHERE ref_date='2025-06-30' AND nome_perimetro= 'Individual IDComb' AND segmento= 'ESTR' AND ambito= 'PM' AND entidade='00100' AND cod_visao = 1) A  Inner join (SELECT instrmnt_id as instrmnt_id_to_be, otstndng_nmnl_amnt_instrmnt_prvs as otstndng_nmnl_amnt_instrmnt_prvs_to_be FROM bu_loantape_work.lt002_instrument WHERE ref_date='2025-06-30' AND nome_perimetro= 'Individual IDComb' AND segmento= 'ESTR' AND ambito= 'PM' AND entidade='00100' AND cod_visao = 1) B ON instrmnt_id_as_is = instrmnt_id_to_be WHERE coalesce(cast(otstndng_nmnl_amnt_instrmnt_prvs_as_is as string), '') &lt;&gt; coalesce(cast(otstndng_nmnl_amnt_instrmnt_prvs_to_be as string), '') ) A </v>
      </c>
      <c r="O243" s="19" t="str">
        <f t="shared" si="47"/>
        <v>SELECT 'Validação de campos' as tipologia_teste, 'lt002_instrument' AS TABELA, 'otstndng_nmnl_amnt_instrmnt_prvs' AS CAMPO, '2025-06-30' as ref_date, coalesce(NUM_REG_DIF, 0) AS NUM_REG_DIF FROM (SELECT count(*) AS NUM_REG_DIF FROM (SELECT instrmnt_id as instrmnt_id_as_is, otstndng_nmnl_amnt_instrmnt_prvs as otstndng_nmnl_amnt_instrmnt_prvs_as_is FROM cd_loan_tapes_bce.lt002_instrument WHERE ref_date='2025-06-30' AND nome_perimetro= 'Individual IDComb' AND segmento= 'ESTR' AND ambito= 'PM' AND entidade='00100' AND cod_visao = 1) A  Inner join (SELECT instrmnt_id as instrmnt_id_to_be, otstndng_nmnl_amnt_instrmnt_prvs as otstndng_nmnl_amnt_instrmnt_prvs_to_be FROM bu_loantape_work.lt002_instrument WHERE ref_date='2025-06-30' AND nome_perimetro= 'Individual IDComb' AND segmento= 'ESTR' AND ambito= 'PM' AND entidade='00100' AND cod_visao = 1) B ON instrmnt_id_as_is = instrmnt_id_to_be WHERE coalesce(cast(otstndng_nmnl_amnt_instrmnt_prvs_as_is as string), '') &lt;&gt; coalesce(cast(otstndng_nmnl_amnt_instrmnt_prvs_to_be as string), '') ) A UNION ALL</v>
      </c>
      <c r="P243" s="17">
        <f t="shared" si="48"/>
        <v>13</v>
      </c>
    </row>
    <row r="244" spans="2:16" s="15" customFormat="1" ht="11.5" x14ac:dyDescent="0.25">
      <c r="B244" s="17" t="s">
        <v>24</v>
      </c>
      <c r="C244" s="17" t="str">
        <f>_xlfn.CONCAT(Instruções!$D$5,".",VLOOKUP(B244,Instruções!$F$5:$H$10,2,0))</f>
        <v>cd_loan_tapes_bce.lt002_instrument</v>
      </c>
      <c r="D244" s="17" t="str">
        <f>_xlfn.CONCAT(Instruções!$D$6,".",VLOOKUP(B244,Instruções!$F$5:$H$10,3,0))</f>
        <v>bu_loantape_work.lt002_instrument</v>
      </c>
      <c r="E244" s="17" t="s">
        <v>265</v>
      </c>
      <c r="F244" s="17" t="str">
        <f t="shared" si="43"/>
        <v>pd_crr_incptn_as_is</v>
      </c>
      <c r="G244" s="17" t="str">
        <f t="shared" si="44"/>
        <v>pd_crr_incptn_to_be</v>
      </c>
      <c r="H244" s="17" t="str">
        <f>IF(VLOOKUP(B244,Instruções!$F$6:$J$10,5,0)="",
"(SELECT "&amp;VLOOKUP(B244,Instruções!$F$6:$J$10,4,0)&amp;" as "&amp;VLOOKUP(B244,Instruções!$F$6:$J$10,4,0)&amp;"_as_is, "&amp;E244&amp;" as "&amp;F244&amp;" FROM "&amp;C244&amp;" WHERE "&amp;Instruções!$D$11&amp;") A ",
"(SELECT "&amp;VLOOKUP(B244,Instruções!$F$6:$J$10,4,0)&amp;" as "&amp;VLOOKUP(B244,Instruções!$F$6:$J$10,4,0)&amp;"_as_is, "&amp;VLOOKUP(B244,Instruções!$F$6:$J$10,5,0)&amp;" as "&amp;VLOOKUP(B244,Instruções!$F$6:$J$10,5,0)&amp;"_as_is,"&amp;E244&amp;" as "&amp;F244&amp;" FROM "&amp;C244&amp;" WHERE "&amp;Instruções!$D$11&amp;") A ")</f>
        <v xml:space="preserve">(SELECT instrmnt_id as instrmnt_id_as_is, pd_crr_incptn as pd_crr_incptn_as_is FROM cd_loan_tapes_bce.lt002_instrument WHERE ref_date='2025-06-30' AND nome_perimetro= 'Individual IDComb' AND segmento= 'ESTR' AND ambito= 'PM' AND entidade='00100' AND cod_visao = 1) A </v>
      </c>
      <c r="I244" s="17" t="str">
        <f>IF(VLOOKUP(B244,Instruções!$F$6:$J$10,5,0)="",
"(SELECT "&amp;VLOOKUP(B244,Instruções!$F$6:$J$10,4,0)&amp;" as "&amp;VLOOKUP(B244,Instruções!$F$6:$J$10,4,0)&amp;"_to_be, "&amp;E244&amp;" as "&amp;G244&amp;" FROM "&amp;D244&amp;" WHERE "&amp;Instruções!$D$11&amp;") B ",
"(SELECT "&amp;VLOOKUP(B244,Instruções!$F$6:$J$10,4,0)&amp;" as "&amp;VLOOKUP(B244,Instruções!$F$6:$J$10,4,0)&amp;"_to_be, "&amp;VLOOKUP(B244,Instruções!$F$6:$J$10,5,0)&amp;" as "&amp;VLOOKUP(B244,Instruções!$F$6:$J$10,5,0)&amp;"_to_be,"&amp;E244&amp;" as "&amp;G244&amp;" FROM "&amp;D244&amp;" WHERE "&amp;Instruções!$D$11&amp;") B ")</f>
        <v xml:space="preserve">(SELECT instrmnt_id as instrmnt_id_to_be, pd_crr_incptn as pd_crr_incptn_to_be FROM bu_loantape_work.lt002_instrument WHERE ref_date='2025-06-30' AND nome_perimetro= 'Individual IDComb' AND segmento= 'ESTR' AND ambito= 'PM' AND entidade='00100' AND cod_visao = 1) B </v>
      </c>
      <c r="J244" s="17" t="str">
        <f>IF(VLOOKUP(B244,Instruções!$F$6:$J$10,5,0)="",
"ON "&amp;VLOOKUP(B244,Instruções!$F$6:$J$10,4,0)&amp;"_as_is = "&amp;VLOOKUP(B244,Instruções!$F$6:$J$10,4,0)&amp;"_to_be ",
"ON "&amp;VLOOKUP(B244,Instruções!$F$6:$J$10,4,0)&amp;"_as_is = "&amp;VLOOKUP(B244,Instruções!$F$6:$J$10,4,0)&amp;"_to_be AND "&amp;VLOOKUP(B244,Instruções!$F$6:$J$10,5,0)&amp;"_as_is = "&amp;VLOOKUP(B244,Instruções!$F$6:$J$10,5,0)&amp;"_to_be ")</f>
        <v xml:space="preserve">ON instrmnt_id_as_is = instrmnt_id_to_be </v>
      </c>
      <c r="K244" s="17" t="str">
        <f t="shared" si="45"/>
        <v xml:space="preserve">WHERE coalesce(cast(pd_crr_incptn_as_is as string), '') &lt;&gt; coalesce(cast(pd_crr_incptn_to_be as string), '') </v>
      </c>
      <c r="L244" s="17" t="str">
        <f t="shared" si="46"/>
        <v xml:space="preserve">SELECT count(*) AS NUM_REG_DIF FROM (SELECT instrmnt_id as instrmnt_id_as_is, pd_crr_incptn as pd_crr_incptn_as_is FROM cd_loan_tapes_bce.lt002_instrument WHERE ref_date='2025-06-30' AND nome_perimetro= 'Individual IDComb' AND segmento= 'ESTR' AND ambito= 'PM' AND entidade='00100' AND cod_visao = 1) A  Inner join (SELECT instrmnt_id as instrmnt_id_to_be, pd_crr_incptn as pd_crr_incptn_to_be FROM bu_loantape_work.lt002_instrument WHERE ref_date='2025-06-30' AND nome_perimetro= 'Individual IDComb' AND segmento= 'ESTR' AND ambito= 'PM' AND entidade='00100' AND cod_visao = 1) B ON instrmnt_id_as_is = instrmnt_id_to_be WHERE coalesce(cast(pd_crr_incptn_as_is as string), '') &lt;&gt; coalesce(cast(pd_crr_incptn_to_be as string), '') </v>
      </c>
      <c r="M244" s="17" t="s">
        <v>48</v>
      </c>
      <c r="N244" s="17" t="str">
        <f>"SELECT 'Validação de campos' as tipologia_teste, '"&amp;VLOOKUP(B244,Instruções!$F$6:$J$10,3,0)&amp;"' AS TABELA, '"&amp;E244&amp;"' AS CAMPO, '"&amp;Instruções!$D$7&amp;"' as ref_date, coalesce(NUM_REG_DIF, 0) AS NUM_REG_DIF FROM ("&amp;L244&amp;") A "</f>
        <v xml:space="preserve">SELECT 'Validação de campos' as tipologia_teste, 'lt002_instrument' AS TABELA, 'pd_crr_incptn' AS CAMPO, '2025-06-30' as ref_date, coalesce(NUM_REG_DIF, 0) AS NUM_REG_DIF FROM (SELECT count(*) AS NUM_REG_DIF FROM (SELECT instrmnt_id as instrmnt_id_as_is, pd_crr_incptn as pd_crr_incptn_as_is FROM cd_loan_tapes_bce.lt002_instrument WHERE ref_date='2025-06-30' AND nome_perimetro= 'Individual IDComb' AND segmento= 'ESTR' AND ambito= 'PM' AND entidade='00100' AND cod_visao = 1) A  Inner join (SELECT instrmnt_id as instrmnt_id_to_be, pd_crr_incptn as pd_crr_incptn_to_be FROM bu_loantape_work.lt002_instrument WHERE ref_date='2025-06-30' AND nome_perimetro= 'Individual IDComb' AND segmento= 'ESTR' AND ambito= 'PM' AND entidade='00100' AND cod_visao = 1) B ON instrmnt_id_as_is = instrmnt_id_to_be WHERE coalesce(cast(pd_crr_incptn_as_is as string), '') &lt;&gt; coalesce(cast(pd_crr_incptn_to_be as string), '') ) A </v>
      </c>
      <c r="O244" s="19" t="str">
        <f t="shared" si="47"/>
        <v>SELECT 'Validação de campos' as tipologia_teste, 'lt002_instrument' AS TABELA, 'pd_crr_incptn' AS CAMPO, '2025-06-30' as ref_date, coalesce(NUM_REG_DIF, 0) AS NUM_REG_DIF FROM (SELECT count(*) AS NUM_REG_DIF FROM (SELECT instrmnt_id as instrmnt_id_as_is, pd_crr_incptn as pd_crr_incptn_as_is FROM cd_loan_tapes_bce.lt002_instrument WHERE ref_date='2025-06-30' AND nome_perimetro= 'Individual IDComb' AND segmento= 'ESTR' AND ambito= 'PM' AND entidade='00100' AND cod_visao = 1) A  Inner join (SELECT instrmnt_id as instrmnt_id_to_be, pd_crr_incptn as pd_crr_incptn_to_be FROM bu_loantape_work.lt002_instrument WHERE ref_date='2025-06-30' AND nome_perimetro= 'Individual IDComb' AND segmento= 'ESTR' AND ambito= 'PM' AND entidade='00100' AND cod_visao = 1) B ON instrmnt_id_as_is = instrmnt_id_to_be WHERE coalesce(cast(pd_crr_incptn_as_is as string), '') &lt;&gt; coalesce(cast(pd_crr_incptn_to_be as string), '') ) A UNION ALL</v>
      </c>
      <c r="P244" s="17">
        <f t="shared" si="48"/>
        <v>14</v>
      </c>
    </row>
    <row r="245" spans="2:16" s="15" customFormat="1" ht="11.5" x14ac:dyDescent="0.25">
      <c r="B245" s="17" t="s">
        <v>24</v>
      </c>
      <c r="C245" s="17" t="str">
        <f>_xlfn.CONCAT(Instruções!$D$5,".",VLOOKUP(B245,Instruções!$F$5:$H$10,2,0))</f>
        <v>cd_loan_tapes_bce.lt002_instrument</v>
      </c>
      <c r="D245" s="17" t="str">
        <f>_xlfn.CONCAT(Instruções!$D$6,".",VLOOKUP(B245,Instruções!$F$5:$H$10,3,0))</f>
        <v>bu_loantape_work.lt002_instrument</v>
      </c>
      <c r="E245" s="17" t="s">
        <v>126</v>
      </c>
      <c r="F245" s="17" t="str">
        <f t="shared" si="43"/>
        <v>pd_crr_rd_as_is</v>
      </c>
      <c r="G245" s="17" t="str">
        <f t="shared" si="44"/>
        <v>pd_crr_rd_to_be</v>
      </c>
      <c r="H245" s="17" t="str">
        <f>IF(VLOOKUP(B245,Instruções!$F$6:$J$10,5,0)="",
"(SELECT "&amp;VLOOKUP(B245,Instruções!$F$6:$J$10,4,0)&amp;" as "&amp;VLOOKUP(B245,Instruções!$F$6:$J$10,4,0)&amp;"_as_is, "&amp;E245&amp;" as "&amp;F245&amp;" FROM "&amp;C245&amp;" WHERE "&amp;Instruções!$D$11&amp;") A ",
"(SELECT "&amp;VLOOKUP(B245,Instruções!$F$6:$J$10,4,0)&amp;" as "&amp;VLOOKUP(B245,Instruções!$F$6:$J$10,4,0)&amp;"_as_is, "&amp;VLOOKUP(B245,Instruções!$F$6:$J$10,5,0)&amp;" as "&amp;VLOOKUP(B245,Instruções!$F$6:$J$10,5,0)&amp;"_as_is,"&amp;E245&amp;" as "&amp;F245&amp;" FROM "&amp;C245&amp;" WHERE "&amp;Instruções!$D$11&amp;") A ")</f>
        <v xml:space="preserve">(SELECT instrmnt_id as instrmnt_id_as_is, pd_crr_rd as pd_crr_rd_as_is FROM cd_loan_tapes_bce.lt002_instrument WHERE ref_date='2025-06-30' AND nome_perimetro= 'Individual IDComb' AND segmento= 'ESTR' AND ambito= 'PM' AND entidade='00100' AND cod_visao = 1) A </v>
      </c>
      <c r="I245" s="17" t="str">
        <f>IF(VLOOKUP(B245,Instruções!$F$6:$J$10,5,0)="",
"(SELECT "&amp;VLOOKUP(B245,Instruções!$F$6:$J$10,4,0)&amp;" as "&amp;VLOOKUP(B245,Instruções!$F$6:$J$10,4,0)&amp;"_to_be, "&amp;E245&amp;" as "&amp;G245&amp;" FROM "&amp;D245&amp;" WHERE "&amp;Instruções!$D$11&amp;") B ",
"(SELECT "&amp;VLOOKUP(B245,Instruções!$F$6:$J$10,4,0)&amp;" as "&amp;VLOOKUP(B245,Instruções!$F$6:$J$10,4,0)&amp;"_to_be, "&amp;VLOOKUP(B245,Instruções!$F$6:$J$10,5,0)&amp;" as "&amp;VLOOKUP(B245,Instruções!$F$6:$J$10,5,0)&amp;"_to_be,"&amp;E245&amp;" as "&amp;G245&amp;" FROM "&amp;D245&amp;" WHERE "&amp;Instruções!$D$11&amp;") B ")</f>
        <v xml:space="preserve">(SELECT instrmnt_id as instrmnt_id_to_be, pd_crr_rd as pd_crr_rd_to_be FROM bu_loantape_work.lt002_instrument WHERE ref_date='2025-06-30' AND nome_perimetro= 'Individual IDComb' AND segmento= 'ESTR' AND ambito= 'PM' AND entidade='00100' AND cod_visao = 1) B </v>
      </c>
      <c r="J245" s="17" t="str">
        <f>IF(VLOOKUP(B245,Instruções!$F$6:$J$10,5,0)="",
"ON "&amp;VLOOKUP(B245,Instruções!$F$6:$J$10,4,0)&amp;"_as_is = "&amp;VLOOKUP(B245,Instruções!$F$6:$J$10,4,0)&amp;"_to_be ",
"ON "&amp;VLOOKUP(B245,Instruções!$F$6:$J$10,4,0)&amp;"_as_is = "&amp;VLOOKUP(B245,Instruções!$F$6:$J$10,4,0)&amp;"_to_be AND "&amp;VLOOKUP(B245,Instruções!$F$6:$J$10,5,0)&amp;"_as_is = "&amp;VLOOKUP(B245,Instruções!$F$6:$J$10,5,0)&amp;"_to_be ")</f>
        <v xml:space="preserve">ON instrmnt_id_as_is = instrmnt_id_to_be </v>
      </c>
      <c r="K245" s="17" t="str">
        <f t="shared" si="45"/>
        <v xml:space="preserve">WHERE coalesce(cast(pd_crr_rd_as_is as string), '') &lt;&gt; coalesce(cast(pd_crr_rd_to_be as string), '') </v>
      </c>
      <c r="L245" s="17" t="str">
        <f t="shared" si="46"/>
        <v xml:space="preserve">SELECT count(*) AS NUM_REG_DIF FROM (SELECT instrmnt_id as instrmnt_id_as_is, pd_crr_rd as pd_crr_rd_as_is FROM cd_loan_tapes_bce.lt002_instrument WHERE ref_date='2025-06-30' AND nome_perimetro= 'Individual IDComb' AND segmento= 'ESTR' AND ambito= 'PM' AND entidade='00100' AND cod_visao = 1) A  Inner join (SELECT instrmnt_id as instrmnt_id_to_be, pd_crr_rd as pd_crr_rd_to_be FROM bu_loantape_work.lt002_instrument WHERE ref_date='2025-06-30' AND nome_perimetro= 'Individual IDComb' AND segmento= 'ESTR' AND ambito= 'PM' AND entidade='00100' AND cod_visao = 1) B ON instrmnt_id_as_is = instrmnt_id_to_be WHERE coalesce(cast(pd_crr_rd_as_is as string), '') &lt;&gt; coalesce(cast(pd_crr_rd_to_be as string), '') </v>
      </c>
      <c r="M245" s="17" t="s">
        <v>48</v>
      </c>
      <c r="N245" s="17" t="str">
        <f>"SELECT 'Validação de campos' as tipologia_teste, '"&amp;VLOOKUP(B245,Instruções!$F$6:$J$10,3,0)&amp;"' AS TABELA, '"&amp;E245&amp;"' AS CAMPO, '"&amp;Instruções!$D$7&amp;"' as ref_date, coalesce(NUM_REG_DIF, 0) AS NUM_REG_DIF FROM ("&amp;L245&amp;") A "</f>
        <v xml:space="preserve">SELECT 'Validação de campos' as tipologia_teste, 'lt002_instrument' AS TABELA, 'pd_crr_rd' AS CAMPO, '2025-06-30' as ref_date, coalesce(NUM_REG_DIF, 0) AS NUM_REG_DIF FROM (SELECT count(*) AS NUM_REG_DIF FROM (SELECT instrmnt_id as instrmnt_id_as_is, pd_crr_rd as pd_crr_rd_as_is FROM cd_loan_tapes_bce.lt002_instrument WHERE ref_date='2025-06-30' AND nome_perimetro= 'Individual IDComb' AND segmento= 'ESTR' AND ambito= 'PM' AND entidade='00100' AND cod_visao = 1) A  Inner join (SELECT instrmnt_id as instrmnt_id_to_be, pd_crr_rd as pd_crr_rd_to_be FROM bu_loantape_work.lt002_instrument WHERE ref_date='2025-06-30' AND nome_perimetro= 'Individual IDComb' AND segmento= 'ESTR' AND ambito= 'PM' AND entidade='00100' AND cod_visao = 1) B ON instrmnt_id_as_is = instrmnt_id_to_be WHERE coalesce(cast(pd_crr_rd_as_is as string), '') &lt;&gt; coalesce(cast(pd_crr_rd_to_be as string), '') ) A </v>
      </c>
      <c r="O245" s="19" t="str">
        <f t="shared" si="47"/>
        <v>SELECT 'Validação de campos' as tipologia_teste, 'lt002_instrument' AS TABELA, 'pd_crr_rd' AS CAMPO, '2025-06-30' as ref_date, coalesce(NUM_REG_DIF, 0) AS NUM_REG_DIF FROM (SELECT count(*) AS NUM_REG_DIF FROM (SELECT instrmnt_id as instrmnt_id_as_is, pd_crr_rd as pd_crr_rd_as_is FROM cd_loan_tapes_bce.lt002_instrument WHERE ref_date='2025-06-30' AND nome_perimetro= 'Individual IDComb' AND segmento= 'ESTR' AND ambito= 'PM' AND entidade='00100' AND cod_visao = 1) A  Inner join (SELECT instrmnt_id as instrmnt_id_to_be, pd_crr_rd as pd_crr_rd_to_be FROM bu_loantape_work.lt002_instrument WHERE ref_date='2025-06-30' AND nome_perimetro= 'Individual IDComb' AND segmento= 'ESTR' AND ambito= 'PM' AND entidade='00100' AND cod_visao = 1) B ON instrmnt_id_as_is = instrmnt_id_to_be WHERE coalesce(cast(pd_crr_rd_as_is as string), '') &lt;&gt; coalesce(cast(pd_crr_rd_to_be as string), '') ) A UNION ALL</v>
      </c>
      <c r="P245" s="17">
        <f t="shared" si="48"/>
        <v>15</v>
      </c>
    </row>
    <row r="246" spans="2:16" s="15" customFormat="1" ht="11.5" x14ac:dyDescent="0.25">
      <c r="B246" s="17" t="s">
        <v>24</v>
      </c>
      <c r="C246" s="17" t="str">
        <f>_xlfn.CONCAT(Instruções!$D$5,".",VLOOKUP(B246,Instruções!$F$5:$H$10,2,0))</f>
        <v>cd_loan_tapes_bce.lt002_instrument</v>
      </c>
      <c r="D246" s="17" t="str">
        <f>_xlfn.CONCAT(Instruções!$D$6,".",VLOOKUP(B246,Instruções!$F$5:$H$10,3,0))</f>
        <v>bu_loantape_work.lt002_instrument</v>
      </c>
      <c r="E246" s="17" t="s">
        <v>127</v>
      </c>
      <c r="F246" s="17" t="str">
        <f t="shared" si="43"/>
        <v>pd_crr_rd_t1_as_is</v>
      </c>
      <c r="G246" s="17" t="str">
        <f t="shared" si="44"/>
        <v>pd_crr_rd_t1_to_be</v>
      </c>
      <c r="H246" s="17" t="str">
        <f>IF(VLOOKUP(B246,Instruções!$F$6:$J$10,5,0)="",
"(SELECT "&amp;VLOOKUP(B246,Instruções!$F$6:$J$10,4,0)&amp;" as "&amp;VLOOKUP(B246,Instruções!$F$6:$J$10,4,0)&amp;"_as_is, "&amp;E246&amp;" as "&amp;F246&amp;" FROM "&amp;C246&amp;" WHERE "&amp;Instruções!$D$11&amp;") A ",
"(SELECT "&amp;VLOOKUP(B246,Instruções!$F$6:$J$10,4,0)&amp;" as "&amp;VLOOKUP(B246,Instruções!$F$6:$J$10,4,0)&amp;"_as_is, "&amp;VLOOKUP(B246,Instruções!$F$6:$J$10,5,0)&amp;" as "&amp;VLOOKUP(B246,Instruções!$F$6:$J$10,5,0)&amp;"_as_is,"&amp;E246&amp;" as "&amp;F246&amp;" FROM "&amp;C246&amp;" WHERE "&amp;Instruções!$D$11&amp;") A ")</f>
        <v xml:space="preserve">(SELECT instrmnt_id as instrmnt_id_as_is, pd_crr_rd_t1 as pd_crr_rd_t1_as_is FROM cd_loan_tapes_bce.lt002_instrument WHERE ref_date='2025-06-30' AND nome_perimetro= 'Individual IDComb' AND segmento= 'ESTR' AND ambito= 'PM' AND entidade='00100' AND cod_visao = 1) A </v>
      </c>
      <c r="I246" s="17" t="str">
        <f>IF(VLOOKUP(B246,Instruções!$F$6:$J$10,5,0)="",
"(SELECT "&amp;VLOOKUP(B246,Instruções!$F$6:$J$10,4,0)&amp;" as "&amp;VLOOKUP(B246,Instruções!$F$6:$J$10,4,0)&amp;"_to_be, "&amp;E246&amp;" as "&amp;G246&amp;" FROM "&amp;D246&amp;" WHERE "&amp;Instruções!$D$11&amp;") B ",
"(SELECT "&amp;VLOOKUP(B246,Instruções!$F$6:$J$10,4,0)&amp;" as "&amp;VLOOKUP(B246,Instruções!$F$6:$J$10,4,0)&amp;"_to_be, "&amp;VLOOKUP(B246,Instruções!$F$6:$J$10,5,0)&amp;" as "&amp;VLOOKUP(B246,Instruções!$F$6:$J$10,5,0)&amp;"_to_be,"&amp;E246&amp;" as "&amp;G246&amp;" FROM "&amp;D246&amp;" WHERE "&amp;Instruções!$D$11&amp;") B ")</f>
        <v xml:space="preserve">(SELECT instrmnt_id as instrmnt_id_to_be, pd_crr_rd_t1 as pd_crr_rd_t1_to_be FROM bu_loantape_work.lt002_instrument WHERE ref_date='2025-06-30' AND nome_perimetro= 'Individual IDComb' AND segmento= 'ESTR' AND ambito= 'PM' AND entidade='00100' AND cod_visao = 1) B </v>
      </c>
      <c r="J246" s="17" t="str">
        <f>IF(VLOOKUP(B246,Instruções!$F$6:$J$10,5,0)="",
"ON "&amp;VLOOKUP(B246,Instruções!$F$6:$J$10,4,0)&amp;"_as_is = "&amp;VLOOKUP(B246,Instruções!$F$6:$J$10,4,0)&amp;"_to_be ",
"ON "&amp;VLOOKUP(B246,Instruções!$F$6:$J$10,4,0)&amp;"_as_is = "&amp;VLOOKUP(B246,Instruções!$F$6:$J$10,4,0)&amp;"_to_be AND "&amp;VLOOKUP(B246,Instruções!$F$6:$J$10,5,0)&amp;"_as_is = "&amp;VLOOKUP(B246,Instruções!$F$6:$J$10,5,0)&amp;"_to_be ")</f>
        <v xml:space="preserve">ON instrmnt_id_as_is = instrmnt_id_to_be </v>
      </c>
      <c r="K246" s="17" t="str">
        <f t="shared" si="45"/>
        <v xml:space="preserve">WHERE coalesce(cast(pd_crr_rd_t1_as_is as string), '') &lt;&gt; coalesce(cast(pd_crr_rd_t1_to_be as string), '') </v>
      </c>
      <c r="L246" s="17" t="str">
        <f t="shared" si="46"/>
        <v xml:space="preserve">SELECT count(*) AS NUM_REG_DIF FROM (SELECT instrmnt_id as instrmnt_id_as_is, pd_crr_rd_t1 as pd_crr_rd_t1_as_is FROM cd_loan_tapes_bce.lt002_instrument WHERE ref_date='2025-06-30' AND nome_perimetro= 'Individual IDComb' AND segmento= 'ESTR' AND ambito= 'PM' AND entidade='00100' AND cod_visao = 1) A  Inner join (SELECT instrmnt_id as instrmnt_id_to_be, pd_crr_rd_t1 as pd_crr_rd_t1_to_be FROM bu_loantape_work.lt002_instrument WHERE ref_date='2025-06-30' AND nome_perimetro= 'Individual IDComb' AND segmento= 'ESTR' AND ambito= 'PM' AND entidade='00100' AND cod_visao = 1) B ON instrmnt_id_as_is = instrmnt_id_to_be WHERE coalesce(cast(pd_crr_rd_t1_as_is as string), '') &lt;&gt; coalesce(cast(pd_crr_rd_t1_to_be as string), '') </v>
      </c>
      <c r="M246" s="17" t="s">
        <v>48</v>
      </c>
      <c r="N246" s="17" t="str">
        <f>"SELECT 'Validação de campos' as tipologia_teste, '"&amp;VLOOKUP(B246,Instruções!$F$6:$J$10,3,0)&amp;"' AS TABELA, '"&amp;E246&amp;"' AS CAMPO, '"&amp;Instruções!$D$7&amp;"' as ref_date, coalesce(NUM_REG_DIF, 0) AS NUM_REG_DIF FROM ("&amp;L246&amp;") A "</f>
        <v xml:space="preserve">SELECT 'Validação de campos' as tipologia_teste, 'lt002_instrument' AS TABELA, 'pd_crr_rd_t1' AS CAMPO, '2025-06-30' as ref_date, coalesce(NUM_REG_DIF, 0) AS NUM_REG_DIF FROM (SELECT count(*) AS NUM_REG_DIF FROM (SELECT instrmnt_id as instrmnt_id_as_is, pd_crr_rd_t1 as pd_crr_rd_t1_as_is FROM cd_loan_tapes_bce.lt002_instrument WHERE ref_date='2025-06-30' AND nome_perimetro= 'Individual IDComb' AND segmento= 'ESTR' AND ambito= 'PM' AND entidade='00100' AND cod_visao = 1) A  Inner join (SELECT instrmnt_id as instrmnt_id_to_be, pd_crr_rd_t1 as pd_crr_rd_t1_to_be FROM bu_loantape_work.lt002_instrument WHERE ref_date='2025-06-30' AND nome_perimetro= 'Individual IDComb' AND segmento= 'ESTR' AND ambito= 'PM' AND entidade='00100' AND cod_visao = 1) B ON instrmnt_id_as_is = instrmnt_id_to_be WHERE coalesce(cast(pd_crr_rd_t1_as_is as string), '') &lt;&gt; coalesce(cast(pd_crr_rd_t1_to_be as string), '') ) A </v>
      </c>
      <c r="O246" s="19" t="str">
        <f t="shared" si="47"/>
        <v>SELECT 'Validação de campos' as tipologia_teste, 'lt002_instrument' AS TABELA, 'pd_crr_rd_t1' AS CAMPO, '2025-06-30' as ref_date, coalesce(NUM_REG_DIF, 0) AS NUM_REG_DIF FROM (SELECT count(*) AS NUM_REG_DIF FROM (SELECT instrmnt_id as instrmnt_id_as_is, pd_crr_rd_t1 as pd_crr_rd_t1_as_is FROM cd_loan_tapes_bce.lt002_instrument WHERE ref_date='2025-06-30' AND nome_perimetro= 'Individual IDComb' AND segmento= 'ESTR' AND ambito= 'PM' AND entidade='00100' AND cod_visao = 1) A  Inner join (SELECT instrmnt_id as instrmnt_id_to_be, pd_crr_rd_t1 as pd_crr_rd_t1_to_be FROM bu_loantape_work.lt002_instrument WHERE ref_date='2025-06-30' AND nome_perimetro= 'Individual IDComb' AND segmento= 'ESTR' AND ambito= 'PM' AND entidade='00100' AND cod_visao = 1) B ON instrmnt_id_as_is = instrmnt_id_to_be WHERE coalesce(cast(pd_crr_rd_t1_as_is as string), '') &lt;&gt; coalesce(cast(pd_crr_rd_t1_to_be as string), '') ) A UNION ALL</v>
      </c>
      <c r="P246" s="17">
        <f t="shared" si="48"/>
        <v>16</v>
      </c>
    </row>
    <row r="247" spans="2:16" s="15" customFormat="1" ht="11.5" x14ac:dyDescent="0.25">
      <c r="B247" s="17" t="s">
        <v>24</v>
      </c>
      <c r="C247" s="17" t="str">
        <f>_xlfn.CONCAT(Instruções!$D$5,".",VLOOKUP(B247,Instruções!$F$5:$H$10,2,0))</f>
        <v>cd_loan_tapes_bce.lt002_instrument</v>
      </c>
      <c r="D247" s="17" t="str">
        <f>_xlfn.CONCAT(Instruções!$D$6,".",VLOOKUP(B247,Instruções!$F$5:$H$10,3,0))</f>
        <v>bu_loantape_work.lt002_instrument</v>
      </c>
      <c r="E247" s="17" t="s">
        <v>266</v>
      </c>
      <c r="F247" s="17" t="str">
        <f t="shared" si="43"/>
        <v>pd_ifrs9_12m_incptn_as_is</v>
      </c>
      <c r="G247" s="17" t="str">
        <f t="shared" si="44"/>
        <v>pd_ifrs9_12m_incptn_to_be</v>
      </c>
      <c r="H247" s="17" t="str">
        <f>IF(VLOOKUP(B247,Instruções!$F$6:$J$10,5,0)="",
"(SELECT "&amp;VLOOKUP(B247,Instruções!$F$6:$J$10,4,0)&amp;" as "&amp;VLOOKUP(B247,Instruções!$F$6:$J$10,4,0)&amp;"_as_is, "&amp;E247&amp;" as "&amp;F247&amp;" FROM "&amp;C247&amp;" WHERE "&amp;Instruções!$D$11&amp;") A ",
"(SELECT "&amp;VLOOKUP(B247,Instruções!$F$6:$J$10,4,0)&amp;" as "&amp;VLOOKUP(B247,Instruções!$F$6:$J$10,4,0)&amp;"_as_is, "&amp;VLOOKUP(B247,Instruções!$F$6:$J$10,5,0)&amp;" as "&amp;VLOOKUP(B247,Instruções!$F$6:$J$10,5,0)&amp;"_as_is,"&amp;E247&amp;" as "&amp;F247&amp;" FROM "&amp;C247&amp;" WHERE "&amp;Instruções!$D$11&amp;") A ")</f>
        <v xml:space="preserve">(SELECT instrmnt_id as instrmnt_id_as_is, pd_ifrs9_12m_incptn as pd_ifrs9_12m_incptn_as_is FROM cd_loan_tapes_bce.lt002_instrument WHERE ref_date='2025-06-30' AND nome_perimetro= 'Individual IDComb' AND segmento= 'ESTR' AND ambito= 'PM' AND entidade='00100' AND cod_visao = 1) A </v>
      </c>
      <c r="I247" s="17" t="str">
        <f>IF(VLOOKUP(B247,Instruções!$F$6:$J$10,5,0)="",
"(SELECT "&amp;VLOOKUP(B247,Instruções!$F$6:$J$10,4,0)&amp;" as "&amp;VLOOKUP(B247,Instruções!$F$6:$J$10,4,0)&amp;"_to_be, "&amp;E247&amp;" as "&amp;G247&amp;" FROM "&amp;D247&amp;" WHERE "&amp;Instruções!$D$11&amp;") B ",
"(SELECT "&amp;VLOOKUP(B247,Instruções!$F$6:$J$10,4,0)&amp;" as "&amp;VLOOKUP(B247,Instruções!$F$6:$J$10,4,0)&amp;"_to_be, "&amp;VLOOKUP(B247,Instruções!$F$6:$J$10,5,0)&amp;" as "&amp;VLOOKUP(B247,Instruções!$F$6:$J$10,5,0)&amp;"_to_be,"&amp;E247&amp;" as "&amp;G247&amp;" FROM "&amp;D247&amp;" WHERE "&amp;Instruções!$D$11&amp;") B ")</f>
        <v xml:space="preserve">(SELECT instrmnt_id as instrmnt_id_to_be, pd_ifrs9_12m_incptn as pd_ifrs9_12m_incptn_to_be FROM bu_loantape_work.lt002_instrument WHERE ref_date='2025-06-30' AND nome_perimetro= 'Individual IDComb' AND segmento= 'ESTR' AND ambito= 'PM' AND entidade='00100' AND cod_visao = 1) B </v>
      </c>
      <c r="J247" s="17" t="str">
        <f>IF(VLOOKUP(B247,Instruções!$F$6:$J$10,5,0)="",
"ON "&amp;VLOOKUP(B247,Instruções!$F$6:$J$10,4,0)&amp;"_as_is = "&amp;VLOOKUP(B247,Instruções!$F$6:$J$10,4,0)&amp;"_to_be ",
"ON "&amp;VLOOKUP(B247,Instruções!$F$6:$J$10,4,0)&amp;"_as_is = "&amp;VLOOKUP(B247,Instruções!$F$6:$J$10,4,0)&amp;"_to_be AND "&amp;VLOOKUP(B247,Instruções!$F$6:$J$10,5,0)&amp;"_as_is = "&amp;VLOOKUP(B247,Instruções!$F$6:$J$10,5,0)&amp;"_to_be ")</f>
        <v xml:space="preserve">ON instrmnt_id_as_is = instrmnt_id_to_be </v>
      </c>
      <c r="K247" s="17" t="str">
        <f t="shared" si="45"/>
        <v xml:space="preserve">WHERE coalesce(cast(pd_ifrs9_12m_incptn_as_is as string), '') &lt;&gt; coalesce(cast(pd_ifrs9_12m_incptn_to_be as string), '') </v>
      </c>
      <c r="L247" s="17" t="str">
        <f t="shared" si="46"/>
        <v xml:space="preserve">SELECT count(*) AS NUM_REG_DIF FROM (SELECT instrmnt_id as instrmnt_id_as_is, pd_ifrs9_12m_incptn as pd_ifrs9_12m_incptn_as_is FROM cd_loan_tapes_bce.lt002_instrument WHERE ref_date='2025-06-30' AND nome_perimetro= 'Individual IDComb' AND segmento= 'ESTR' AND ambito= 'PM' AND entidade='00100' AND cod_visao = 1) A  Inner join (SELECT instrmnt_id as instrmnt_id_to_be, pd_ifrs9_12m_incptn as pd_ifrs9_12m_incptn_to_be FROM bu_loantape_work.lt002_instrument WHERE ref_date='2025-06-30' AND nome_perimetro= 'Individual IDComb' AND segmento= 'ESTR' AND ambito= 'PM' AND entidade='00100' AND cod_visao = 1) B ON instrmnt_id_as_is = instrmnt_id_to_be WHERE coalesce(cast(pd_ifrs9_12m_incptn_as_is as string), '') &lt;&gt; coalesce(cast(pd_ifrs9_12m_incptn_to_be as string), '') </v>
      </c>
      <c r="M247" s="17" t="s">
        <v>48</v>
      </c>
      <c r="N247" s="17" t="str">
        <f>"SELECT 'Validação de campos' as tipologia_teste, '"&amp;VLOOKUP(B247,Instruções!$F$6:$J$10,3,0)&amp;"' AS TABELA, '"&amp;E247&amp;"' AS CAMPO, '"&amp;Instruções!$D$7&amp;"' as ref_date, coalesce(NUM_REG_DIF, 0) AS NUM_REG_DIF FROM ("&amp;L247&amp;") A "</f>
        <v xml:space="preserve">SELECT 'Validação de campos' as tipologia_teste, 'lt002_instrument' AS TABELA, 'pd_ifrs9_12m_incptn' AS CAMPO, '2025-06-30' as ref_date, coalesce(NUM_REG_DIF, 0) AS NUM_REG_DIF FROM (SELECT count(*) AS NUM_REG_DIF FROM (SELECT instrmnt_id as instrmnt_id_as_is, pd_ifrs9_12m_incptn as pd_ifrs9_12m_incptn_as_is FROM cd_loan_tapes_bce.lt002_instrument WHERE ref_date='2025-06-30' AND nome_perimetro= 'Individual IDComb' AND segmento= 'ESTR' AND ambito= 'PM' AND entidade='00100' AND cod_visao = 1) A  Inner join (SELECT instrmnt_id as instrmnt_id_to_be, pd_ifrs9_12m_incptn as pd_ifrs9_12m_incptn_to_be FROM bu_loantape_work.lt002_instrument WHERE ref_date='2025-06-30' AND nome_perimetro= 'Individual IDComb' AND segmento= 'ESTR' AND ambito= 'PM' AND entidade='00100' AND cod_visao = 1) B ON instrmnt_id_as_is = instrmnt_id_to_be WHERE coalesce(cast(pd_ifrs9_12m_incptn_as_is as string), '') &lt;&gt; coalesce(cast(pd_ifrs9_12m_incptn_to_be as string), '') ) A </v>
      </c>
      <c r="O247" s="19" t="str">
        <f t="shared" si="47"/>
        <v>SELECT 'Validação de campos' as tipologia_teste, 'lt002_instrument' AS TABELA, 'pd_ifrs9_12m_incptn' AS CAMPO, '2025-06-30' as ref_date, coalesce(NUM_REG_DIF, 0) AS NUM_REG_DIF FROM (SELECT count(*) AS NUM_REG_DIF FROM (SELECT instrmnt_id as instrmnt_id_as_is, pd_ifrs9_12m_incptn as pd_ifrs9_12m_incptn_as_is FROM cd_loan_tapes_bce.lt002_instrument WHERE ref_date='2025-06-30' AND nome_perimetro= 'Individual IDComb' AND segmento= 'ESTR' AND ambito= 'PM' AND entidade='00100' AND cod_visao = 1) A  Inner join (SELECT instrmnt_id as instrmnt_id_to_be, pd_ifrs9_12m_incptn as pd_ifrs9_12m_incptn_to_be FROM bu_loantape_work.lt002_instrument WHERE ref_date='2025-06-30' AND nome_perimetro= 'Individual IDComb' AND segmento= 'ESTR' AND ambito= 'PM' AND entidade='00100' AND cod_visao = 1) B ON instrmnt_id_as_is = instrmnt_id_to_be WHERE coalesce(cast(pd_ifrs9_12m_incptn_as_is as string), '') &lt;&gt; coalesce(cast(pd_ifrs9_12m_incptn_to_be as string), '') ) A UNION ALL</v>
      </c>
      <c r="P247" s="17">
        <f t="shared" si="48"/>
        <v>17</v>
      </c>
    </row>
    <row r="248" spans="2:16" s="15" customFormat="1" ht="11.5" x14ac:dyDescent="0.25">
      <c r="B248" s="17" t="s">
        <v>24</v>
      </c>
      <c r="C248" s="17" t="str">
        <f>_xlfn.CONCAT(Instruções!$D$5,".",VLOOKUP(B248,Instruções!$F$5:$H$10,2,0))</f>
        <v>cd_loan_tapes_bce.lt002_instrument</v>
      </c>
      <c r="D248" s="17" t="str">
        <f>_xlfn.CONCAT(Instruções!$D$6,".",VLOOKUP(B248,Instruções!$F$5:$H$10,3,0))</f>
        <v>bu_loantape_work.lt002_instrument</v>
      </c>
      <c r="E248" s="17" t="s">
        <v>128</v>
      </c>
      <c r="F248" s="17" t="str">
        <f t="shared" si="43"/>
        <v>pd_ifrs9_12m_rd_as_is</v>
      </c>
      <c r="G248" s="17" t="str">
        <f t="shared" si="44"/>
        <v>pd_ifrs9_12m_rd_to_be</v>
      </c>
      <c r="H248" s="17" t="str">
        <f>IF(VLOOKUP(B248,Instruções!$F$6:$J$10,5,0)="",
"(SELECT "&amp;VLOOKUP(B248,Instruções!$F$6:$J$10,4,0)&amp;" as "&amp;VLOOKUP(B248,Instruções!$F$6:$J$10,4,0)&amp;"_as_is, "&amp;E248&amp;" as "&amp;F248&amp;" FROM "&amp;C248&amp;" WHERE "&amp;Instruções!$D$11&amp;") A ",
"(SELECT "&amp;VLOOKUP(B248,Instruções!$F$6:$J$10,4,0)&amp;" as "&amp;VLOOKUP(B248,Instruções!$F$6:$J$10,4,0)&amp;"_as_is, "&amp;VLOOKUP(B248,Instruções!$F$6:$J$10,5,0)&amp;" as "&amp;VLOOKUP(B248,Instruções!$F$6:$J$10,5,0)&amp;"_as_is,"&amp;E248&amp;" as "&amp;F248&amp;" FROM "&amp;C248&amp;" WHERE "&amp;Instruções!$D$11&amp;") A ")</f>
        <v xml:space="preserve">(SELECT instrmnt_id as instrmnt_id_as_is, pd_ifrs9_12m_rd as pd_ifrs9_12m_rd_as_is FROM cd_loan_tapes_bce.lt002_instrument WHERE ref_date='2025-06-30' AND nome_perimetro= 'Individual IDComb' AND segmento= 'ESTR' AND ambito= 'PM' AND entidade='00100' AND cod_visao = 1) A </v>
      </c>
      <c r="I248" s="17" t="str">
        <f>IF(VLOOKUP(B248,Instruções!$F$6:$J$10,5,0)="",
"(SELECT "&amp;VLOOKUP(B248,Instruções!$F$6:$J$10,4,0)&amp;" as "&amp;VLOOKUP(B248,Instruções!$F$6:$J$10,4,0)&amp;"_to_be, "&amp;E248&amp;" as "&amp;G248&amp;" FROM "&amp;D248&amp;" WHERE "&amp;Instruções!$D$11&amp;") B ",
"(SELECT "&amp;VLOOKUP(B248,Instruções!$F$6:$J$10,4,0)&amp;" as "&amp;VLOOKUP(B248,Instruções!$F$6:$J$10,4,0)&amp;"_to_be, "&amp;VLOOKUP(B248,Instruções!$F$6:$J$10,5,0)&amp;" as "&amp;VLOOKUP(B248,Instruções!$F$6:$J$10,5,0)&amp;"_to_be,"&amp;E248&amp;" as "&amp;G248&amp;" FROM "&amp;D248&amp;" WHERE "&amp;Instruções!$D$11&amp;") B ")</f>
        <v xml:space="preserve">(SELECT instrmnt_id as instrmnt_id_to_be, pd_ifrs9_12m_rd as pd_ifrs9_12m_rd_to_be FROM bu_loantape_work.lt002_instrument WHERE ref_date='2025-06-30' AND nome_perimetro= 'Individual IDComb' AND segmento= 'ESTR' AND ambito= 'PM' AND entidade='00100' AND cod_visao = 1) B </v>
      </c>
      <c r="J248" s="17" t="str">
        <f>IF(VLOOKUP(B248,Instruções!$F$6:$J$10,5,0)="",
"ON "&amp;VLOOKUP(B248,Instruções!$F$6:$J$10,4,0)&amp;"_as_is = "&amp;VLOOKUP(B248,Instruções!$F$6:$J$10,4,0)&amp;"_to_be ",
"ON "&amp;VLOOKUP(B248,Instruções!$F$6:$J$10,4,0)&amp;"_as_is = "&amp;VLOOKUP(B248,Instruções!$F$6:$J$10,4,0)&amp;"_to_be AND "&amp;VLOOKUP(B248,Instruções!$F$6:$J$10,5,0)&amp;"_as_is = "&amp;VLOOKUP(B248,Instruções!$F$6:$J$10,5,0)&amp;"_to_be ")</f>
        <v xml:space="preserve">ON instrmnt_id_as_is = instrmnt_id_to_be </v>
      </c>
      <c r="K248" s="17" t="str">
        <f t="shared" si="45"/>
        <v xml:space="preserve">WHERE coalesce(cast(pd_ifrs9_12m_rd_as_is as string), '') &lt;&gt; coalesce(cast(pd_ifrs9_12m_rd_to_be as string), '') </v>
      </c>
      <c r="L248" s="17" t="str">
        <f t="shared" si="46"/>
        <v xml:space="preserve">SELECT count(*) AS NUM_REG_DIF FROM (SELECT instrmnt_id as instrmnt_id_as_is, pd_ifrs9_12m_rd as pd_ifrs9_12m_rd_as_is FROM cd_loan_tapes_bce.lt002_instrument WHERE ref_date='2025-06-30' AND nome_perimetro= 'Individual IDComb' AND segmento= 'ESTR' AND ambito= 'PM' AND entidade='00100' AND cod_visao = 1) A  Inner join (SELECT instrmnt_id as instrmnt_id_to_be, pd_ifrs9_12m_rd as pd_ifrs9_12m_rd_to_be FROM bu_loantape_work.lt002_instrument WHERE ref_date='2025-06-30' AND nome_perimetro= 'Individual IDComb' AND segmento= 'ESTR' AND ambito= 'PM' AND entidade='00100' AND cod_visao = 1) B ON instrmnt_id_as_is = instrmnt_id_to_be WHERE coalesce(cast(pd_ifrs9_12m_rd_as_is as string), '') &lt;&gt; coalesce(cast(pd_ifrs9_12m_rd_to_be as string), '') </v>
      </c>
      <c r="M248" s="17" t="s">
        <v>48</v>
      </c>
      <c r="N248" s="17" t="str">
        <f>"SELECT 'Validação de campos' as tipologia_teste, '"&amp;VLOOKUP(B248,Instruções!$F$6:$J$10,3,0)&amp;"' AS TABELA, '"&amp;E248&amp;"' AS CAMPO, '"&amp;Instruções!$D$7&amp;"' as ref_date, coalesce(NUM_REG_DIF, 0) AS NUM_REG_DIF FROM ("&amp;L248&amp;") A "</f>
        <v xml:space="preserve">SELECT 'Validação de campos' as tipologia_teste, 'lt002_instrument' AS TABELA, 'pd_ifrs9_12m_rd' AS CAMPO, '2025-06-30' as ref_date, coalesce(NUM_REG_DIF, 0) AS NUM_REG_DIF FROM (SELECT count(*) AS NUM_REG_DIF FROM (SELECT instrmnt_id as instrmnt_id_as_is, pd_ifrs9_12m_rd as pd_ifrs9_12m_rd_as_is FROM cd_loan_tapes_bce.lt002_instrument WHERE ref_date='2025-06-30' AND nome_perimetro= 'Individual IDComb' AND segmento= 'ESTR' AND ambito= 'PM' AND entidade='00100' AND cod_visao = 1) A  Inner join (SELECT instrmnt_id as instrmnt_id_to_be, pd_ifrs9_12m_rd as pd_ifrs9_12m_rd_to_be FROM bu_loantape_work.lt002_instrument WHERE ref_date='2025-06-30' AND nome_perimetro= 'Individual IDComb' AND segmento= 'ESTR' AND ambito= 'PM' AND entidade='00100' AND cod_visao = 1) B ON instrmnt_id_as_is = instrmnt_id_to_be WHERE coalesce(cast(pd_ifrs9_12m_rd_as_is as string), '') &lt;&gt; coalesce(cast(pd_ifrs9_12m_rd_to_be as string), '') ) A </v>
      </c>
      <c r="O248" s="19" t="str">
        <f t="shared" si="47"/>
        <v>SELECT 'Validação de campos' as tipologia_teste, 'lt002_instrument' AS TABELA, 'pd_ifrs9_12m_rd' AS CAMPO, '2025-06-30' as ref_date, coalesce(NUM_REG_DIF, 0) AS NUM_REG_DIF FROM (SELECT count(*) AS NUM_REG_DIF FROM (SELECT instrmnt_id as instrmnt_id_as_is, pd_ifrs9_12m_rd as pd_ifrs9_12m_rd_as_is FROM cd_loan_tapes_bce.lt002_instrument WHERE ref_date='2025-06-30' AND nome_perimetro= 'Individual IDComb' AND segmento= 'ESTR' AND ambito= 'PM' AND entidade='00100' AND cod_visao = 1) A  Inner join (SELECT instrmnt_id as instrmnt_id_to_be, pd_ifrs9_12m_rd as pd_ifrs9_12m_rd_to_be FROM bu_loantape_work.lt002_instrument WHERE ref_date='2025-06-30' AND nome_perimetro= 'Individual IDComb' AND segmento= 'ESTR' AND ambito= 'PM' AND entidade='00100' AND cod_visao = 1) B ON instrmnt_id_as_is = instrmnt_id_to_be WHERE coalesce(cast(pd_ifrs9_12m_rd_as_is as string), '') &lt;&gt; coalesce(cast(pd_ifrs9_12m_rd_to_be as string), '') ) A UNION ALL</v>
      </c>
      <c r="P248" s="17">
        <f t="shared" si="48"/>
        <v>18</v>
      </c>
    </row>
    <row r="249" spans="2:16" s="15" customFormat="1" ht="11.5" x14ac:dyDescent="0.25">
      <c r="B249" s="17" t="s">
        <v>24</v>
      </c>
      <c r="C249" s="17" t="str">
        <f>_xlfn.CONCAT(Instruções!$D$5,".",VLOOKUP(B249,Instruções!$F$5:$H$10,2,0))</f>
        <v>cd_loan_tapes_bce.lt002_instrument</v>
      </c>
      <c r="D249" s="17" t="str">
        <f>_xlfn.CONCAT(Instruções!$D$6,".",VLOOKUP(B249,Instruções!$F$5:$H$10,3,0))</f>
        <v>bu_loantape_work.lt002_instrument</v>
      </c>
      <c r="E249" s="17" t="s">
        <v>129</v>
      </c>
      <c r="F249" s="17" t="str">
        <f t="shared" si="43"/>
        <v>pd_ifrs9_12m_rd_t1_as_is</v>
      </c>
      <c r="G249" s="17" t="str">
        <f t="shared" si="44"/>
        <v>pd_ifrs9_12m_rd_t1_to_be</v>
      </c>
      <c r="H249" s="17" t="str">
        <f>IF(VLOOKUP(B249,Instruções!$F$6:$J$10,5,0)="",
"(SELECT "&amp;VLOOKUP(B249,Instruções!$F$6:$J$10,4,0)&amp;" as "&amp;VLOOKUP(B249,Instruções!$F$6:$J$10,4,0)&amp;"_as_is, "&amp;E249&amp;" as "&amp;F249&amp;" FROM "&amp;C249&amp;" WHERE "&amp;Instruções!$D$11&amp;") A ",
"(SELECT "&amp;VLOOKUP(B249,Instruções!$F$6:$J$10,4,0)&amp;" as "&amp;VLOOKUP(B249,Instruções!$F$6:$J$10,4,0)&amp;"_as_is, "&amp;VLOOKUP(B249,Instruções!$F$6:$J$10,5,0)&amp;" as "&amp;VLOOKUP(B249,Instruções!$F$6:$J$10,5,0)&amp;"_as_is,"&amp;E249&amp;" as "&amp;F249&amp;" FROM "&amp;C249&amp;" WHERE "&amp;Instruções!$D$11&amp;") A ")</f>
        <v xml:space="preserve">(SELECT instrmnt_id as instrmnt_id_as_is, pd_ifrs9_12m_rd_t1 as pd_ifrs9_12m_rd_t1_as_is FROM cd_loan_tapes_bce.lt002_instrument WHERE ref_date='2025-06-30' AND nome_perimetro= 'Individual IDComb' AND segmento= 'ESTR' AND ambito= 'PM' AND entidade='00100' AND cod_visao = 1) A </v>
      </c>
      <c r="I249" s="17" t="str">
        <f>IF(VLOOKUP(B249,Instruções!$F$6:$J$10,5,0)="",
"(SELECT "&amp;VLOOKUP(B249,Instruções!$F$6:$J$10,4,0)&amp;" as "&amp;VLOOKUP(B249,Instruções!$F$6:$J$10,4,0)&amp;"_to_be, "&amp;E249&amp;" as "&amp;G249&amp;" FROM "&amp;D249&amp;" WHERE "&amp;Instruções!$D$11&amp;") B ",
"(SELECT "&amp;VLOOKUP(B249,Instruções!$F$6:$J$10,4,0)&amp;" as "&amp;VLOOKUP(B249,Instruções!$F$6:$J$10,4,0)&amp;"_to_be, "&amp;VLOOKUP(B249,Instruções!$F$6:$J$10,5,0)&amp;" as "&amp;VLOOKUP(B249,Instruções!$F$6:$J$10,5,0)&amp;"_to_be,"&amp;E249&amp;" as "&amp;G249&amp;" FROM "&amp;D249&amp;" WHERE "&amp;Instruções!$D$11&amp;") B ")</f>
        <v xml:space="preserve">(SELECT instrmnt_id as instrmnt_id_to_be, pd_ifrs9_12m_rd_t1 as pd_ifrs9_12m_rd_t1_to_be FROM bu_loantape_work.lt002_instrument WHERE ref_date='2025-06-30' AND nome_perimetro= 'Individual IDComb' AND segmento= 'ESTR' AND ambito= 'PM' AND entidade='00100' AND cod_visao = 1) B </v>
      </c>
      <c r="J249" s="17" t="str">
        <f>IF(VLOOKUP(B249,Instruções!$F$6:$J$10,5,0)="",
"ON "&amp;VLOOKUP(B249,Instruções!$F$6:$J$10,4,0)&amp;"_as_is = "&amp;VLOOKUP(B249,Instruções!$F$6:$J$10,4,0)&amp;"_to_be ",
"ON "&amp;VLOOKUP(B249,Instruções!$F$6:$J$10,4,0)&amp;"_as_is = "&amp;VLOOKUP(B249,Instruções!$F$6:$J$10,4,0)&amp;"_to_be AND "&amp;VLOOKUP(B249,Instruções!$F$6:$J$10,5,0)&amp;"_as_is = "&amp;VLOOKUP(B249,Instruções!$F$6:$J$10,5,0)&amp;"_to_be ")</f>
        <v xml:space="preserve">ON instrmnt_id_as_is = instrmnt_id_to_be </v>
      </c>
      <c r="K249" s="17" t="str">
        <f t="shared" si="45"/>
        <v xml:space="preserve">WHERE coalesce(cast(pd_ifrs9_12m_rd_t1_as_is as string), '') &lt;&gt; coalesce(cast(pd_ifrs9_12m_rd_t1_to_be as string), '') </v>
      </c>
      <c r="L249" s="17" t="str">
        <f t="shared" si="46"/>
        <v xml:space="preserve">SELECT count(*) AS NUM_REG_DIF FROM (SELECT instrmnt_id as instrmnt_id_as_is, pd_ifrs9_12m_rd_t1 as pd_ifrs9_12m_rd_t1_as_is FROM cd_loan_tapes_bce.lt002_instrument WHERE ref_date='2025-06-30' AND nome_perimetro= 'Individual IDComb' AND segmento= 'ESTR' AND ambito= 'PM' AND entidade='00100' AND cod_visao = 1) A  Inner join (SELECT instrmnt_id as instrmnt_id_to_be, pd_ifrs9_12m_rd_t1 as pd_ifrs9_12m_rd_t1_to_be FROM bu_loantape_work.lt002_instrument WHERE ref_date='2025-06-30' AND nome_perimetro= 'Individual IDComb' AND segmento= 'ESTR' AND ambito= 'PM' AND entidade='00100' AND cod_visao = 1) B ON instrmnt_id_as_is = instrmnt_id_to_be WHERE coalesce(cast(pd_ifrs9_12m_rd_t1_as_is as string), '') &lt;&gt; coalesce(cast(pd_ifrs9_12m_rd_t1_to_be as string), '') </v>
      </c>
      <c r="M249" s="17" t="s">
        <v>48</v>
      </c>
      <c r="N249" s="17" t="str">
        <f>"SELECT 'Validação de campos' as tipologia_teste, '"&amp;VLOOKUP(B249,Instruções!$F$6:$J$10,3,0)&amp;"' AS TABELA, '"&amp;E249&amp;"' AS CAMPO, '"&amp;Instruções!$D$7&amp;"' as ref_date, coalesce(NUM_REG_DIF, 0) AS NUM_REG_DIF FROM ("&amp;L249&amp;") A "</f>
        <v xml:space="preserve">SELECT 'Validação de campos' as tipologia_teste, 'lt002_instrument' AS TABELA, 'pd_ifrs9_12m_rd_t1' AS CAMPO, '2025-06-30' as ref_date, coalesce(NUM_REG_DIF, 0) AS NUM_REG_DIF FROM (SELECT count(*) AS NUM_REG_DIF FROM (SELECT instrmnt_id as instrmnt_id_as_is, pd_ifrs9_12m_rd_t1 as pd_ifrs9_12m_rd_t1_as_is FROM cd_loan_tapes_bce.lt002_instrument WHERE ref_date='2025-06-30' AND nome_perimetro= 'Individual IDComb' AND segmento= 'ESTR' AND ambito= 'PM' AND entidade='00100' AND cod_visao = 1) A  Inner join (SELECT instrmnt_id as instrmnt_id_to_be, pd_ifrs9_12m_rd_t1 as pd_ifrs9_12m_rd_t1_to_be FROM bu_loantape_work.lt002_instrument WHERE ref_date='2025-06-30' AND nome_perimetro= 'Individual IDComb' AND segmento= 'ESTR' AND ambito= 'PM' AND entidade='00100' AND cod_visao = 1) B ON instrmnt_id_as_is = instrmnt_id_to_be WHERE coalesce(cast(pd_ifrs9_12m_rd_t1_as_is as string), '') &lt;&gt; coalesce(cast(pd_ifrs9_12m_rd_t1_to_be as string), '') ) A </v>
      </c>
      <c r="O249" s="19" t="str">
        <f t="shared" si="47"/>
        <v>SELECT 'Validação de campos' as tipologia_teste, 'lt002_instrument' AS TABELA, 'pd_ifrs9_12m_rd_t1' AS CAMPO, '2025-06-30' as ref_date, coalesce(NUM_REG_DIF, 0) AS NUM_REG_DIF FROM (SELECT count(*) AS NUM_REG_DIF FROM (SELECT instrmnt_id as instrmnt_id_as_is, pd_ifrs9_12m_rd_t1 as pd_ifrs9_12m_rd_t1_as_is FROM cd_loan_tapes_bce.lt002_instrument WHERE ref_date='2025-06-30' AND nome_perimetro= 'Individual IDComb' AND segmento= 'ESTR' AND ambito= 'PM' AND entidade='00100' AND cod_visao = 1) A  Inner join (SELECT instrmnt_id as instrmnt_id_to_be, pd_ifrs9_12m_rd_t1 as pd_ifrs9_12m_rd_t1_to_be FROM bu_loantape_work.lt002_instrument WHERE ref_date='2025-06-30' AND nome_perimetro= 'Individual IDComb' AND segmento= 'ESTR' AND ambito= 'PM' AND entidade='00100' AND cod_visao = 1) B ON instrmnt_id_as_is = instrmnt_id_to_be WHERE coalesce(cast(pd_ifrs9_12m_rd_t1_as_is as string), '') &lt;&gt; coalesce(cast(pd_ifrs9_12m_rd_t1_to_be as string), '') ) A UNION ALL</v>
      </c>
      <c r="P249" s="17">
        <f t="shared" si="48"/>
        <v>19</v>
      </c>
    </row>
    <row r="250" spans="2:16" s="15" customFormat="1" ht="11.5" x14ac:dyDescent="0.25">
      <c r="B250" s="17" t="s">
        <v>24</v>
      </c>
      <c r="C250" s="17" t="str">
        <f>_xlfn.CONCAT(Instruções!$D$5,".",VLOOKUP(B250,Instruções!$F$5:$H$10,2,0))</f>
        <v>cd_loan_tapes_bce.lt002_instrument</v>
      </c>
      <c r="D250" s="17" t="str">
        <f>_xlfn.CONCAT(Instruções!$D$6,".",VLOOKUP(B250,Instruções!$F$5:$H$10,3,0))</f>
        <v>bu_loantape_work.lt002_instrument</v>
      </c>
      <c r="E250" s="17" t="s">
        <v>267</v>
      </c>
      <c r="F250" s="17" t="str">
        <f t="shared" si="43"/>
        <v>pd_ifrs9_lftm_incptn_as_is</v>
      </c>
      <c r="G250" s="17" t="str">
        <f t="shared" si="44"/>
        <v>pd_ifrs9_lftm_incptn_to_be</v>
      </c>
      <c r="H250" s="17" t="str">
        <f>IF(VLOOKUP(B250,Instruções!$F$6:$J$10,5,0)="",
"(SELECT "&amp;VLOOKUP(B250,Instruções!$F$6:$J$10,4,0)&amp;" as "&amp;VLOOKUP(B250,Instruções!$F$6:$J$10,4,0)&amp;"_as_is, "&amp;E250&amp;" as "&amp;F250&amp;" FROM "&amp;C250&amp;" WHERE "&amp;Instruções!$D$11&amp;") A ",
"(SELECT "&amp;VLOOKUP(B250,Instruções!$F$6:$J$10,4,0)&amp;" as "&amp;VLOOKUP(B250,Instruções!$F$6:$J$10,4,0)&amp;"_as_is, "&amp;VLOOKUP(B250,Instruções!$F$6:$J$10,5,0)&amp;" as "&amp;VLOOKUP(B250,Instruções!$F$6:$J$10,5,0)&amp;"_as_is,"&amp;E250&amp;" as "&amp;F250&amp;" FROM "&amp;C250&amp;" WHERE "&amp;Instruções!$D$11&amp;") A ")</f>
        <v xml:space="preserve">(SELECT instrmnt_id as instrmnt_id_as_is, pd_ifrs9_lftm_incptn as pd_ifrs9_lftm_incptn_as_is FROM cd_loan_tapes_bce.lt002_instrument WHERE ref_date='2025-06-30' AND nome_perimetro= 'Individual IDComb' AND segmento= 'ESTR' AND ambito= 'PM' AND entidade='00100' AND cod_visao = 1) A </v>
      </c>
      <c r="I250" s="17" t="str">
        <f>IF(VLOOKUP(B250,Instruções!$F$6:$J$10,5,0)="",
"(SELECT "&amp;VLOOKUP(B250,Instruções!$F$6:$J$10,4,0)&amp;" as "&amp;VLOOKUP(B250,Instruções!$F$6:$J$10,4,0)&amp;"_to_be, "&amp;E250&amp;" as "&amp;G250&amp;" FROM "&amp;D250&amp;" WHERE "&amp;Instruções!$D$11&amp;") B ",
"(SELECT "&amp;VLOOKUP(B250,Instruções!$F$6:$J$10,4,0)&amp;" as "&amp;VLOOKUP(B250,Instruções!$F$6:$J$10,4,0)&amp;"_to_be, "&amp;VLOOKUP(B250,Instruções!$F$6:$J$10,5,0)&amp;" as "&amp;VLOOKUP(B250,Instruções!$F$6:$J$10,5,0)&amp;"_to_be,"&amp;E250&amp;" as "&amp;G250&amp;" FROM "&amp;D250&amp;" WHERE "&amp;Instruções!$D$11&amp;") B ")</f>
        <v xml:space="preserve">(SELECT instrmnt_id as instrmnt_id_to_be, pd_ifrs9_lftm_incptn as pd_ifrs9_lftm_incptn_to_be FROM bu_loantape_work.lt002_instrument WHERE ref_date='2025-06-30' AND nome_perimetro= 'Individual IDComb' AND segmento= 'ESTR' AND ambito= 'PM' AND entidade='00100' AND cod_visao = 1) B </v>
      </c>
      <c r="J250" s="17" t="str">
        <f>IF(VLOOKUP(B250,Instruções!$F$6:$J$10,5,0)="",
"ON "&amp;VLOOKUP(B250,Instruções!$F$6:$J$10,4,0)&amp;"_as_is = "&amp;VLOOKUP(B250,Instruções!$F$6:$J$10,4,0)&amp;"_to_be ",
"ON "&amp;VLOOKUP(B250,Instruções!$F$6:$J$10,4,0)&amp;"_as_is = "&amp;VLOOKUP(B250,Instruções!$F$6:$J$10,4,0)&amp;"_to_be AND "&amp;VLOOKUP(B250,Instruções!$F$6:$J$10,5,0)&amp;"_as_is = "&amp;VLOOKUP(B250,Instruções!$F$6:$J$10,5,0)&amp;"_to_be ")</f>
        <v xml:space="preserve">ON instrmnt_id_as_is = instrmnt_id_to_be </v>
      </c>
      <c r="K250" s="17" t="str">
        <f t="shared" si="45"/>
        <v xml:space="preserve">WHERE coalesce(cast(pd_ifrs9_lftm_incptn_as_is as string), '') &lt;&gt; coalesce(cast(pd_ifrs9_lftm_incptn_to_be as string), '') </v>
      </c>
      <c r="L250" s="17" t="str">
        <f t="shared" si="46"/>
        <v xml:space="preserve">SELECT count(*) AS NUM_REG_DIF FROM (SELECT instrmnt_id as instrmnt_id_as_is, pd_ifrs9_lftm_incptn as pd_ifrs9_lftm_incptn_as_is FROM cd_loan_tapes_bce.lt002_instrument WHERE ref_date='2025-06-30' AND nome_perimetro= 'Individual IDComb' AND segmento= 'ESTR' AND ambito= 'PM' AND entidade='00100' AND cod_visao = 1) A  Inner join (SELECT instrmnt_id as instrmnt_id_to_be, pd_ifrs9_lftm_incptn as pd_ifrs9_lftm_incptn_to_be FROM bu_loantape_work.lt002_instrument WHERE ref_date='2025-06-30' AND nome_perimetro= 'Individual IDComb' AND segmento= 'ESTR' AND ambito= 'PM' AND entidade='00100' AND cod_visao = 1) B ON instrmnt_id_as_is = instrmnt_id_to_be WHERE coalesce(cast(pd_ifrs9_lftm_incptn_as_is as string), '') &lt;&gt; coalesce(cast(pd_ifrs9_lftm_incptn_to_be as string), '') </v>
      </c>
      <c r="M250" s="17" t="s">
        <v>48</v>
      </c>
      <c r="N250" s="17" t="str">
        <f>"SELECT 'Validação de campos' as tipologia_teste, '"&amp;VLOOKUP(B250,Instruções!$F$6:$J$10,3,0)&amp;"' AS TABELA, '"&amp;E250&amp;"' AS CAMPO, '"&amp;Instruções!$D$7&amp;"' as ref_date, coalesce(NUM_REG_DIF, 0) AS NUM_REG_DIF FROM ("&amp;L250&amp;") A "</f>
        <v xml:space="preserve">SELECT 'Validação de campos' as tipologia_teste, 'lt002_instrument' AS TABELA, 'pd_ifrs9_lftm_incptn' AS CAMPO, '2025-06-30' as ref_date, coalesce(NUM_REG_DIF, 0) AS NUM_REG_DIF FROM (SELECT count(*) AS NUM_REG_DIF FROM (SELECT instrmnt_id as instrmnt_id_as_is, pd_ifrs9_lftm_incptn as pd_ifrs9_lftm_incptn_as_is FROM cd_loan_tapes_bce.lt002_instrument WHERE ref_date='2025-06-30' AND nome_perimetro= 'Individual IDComb' AND segmento= 'ESTR' AND ambito= 'PM' AND entidade='00100' AND cod_visao = 1) A  Inner join (SELECT instrmnt_id as instrmnt_id_to_be, pd_ifrs9_lftm_incptn as pd_ifrs9_lftm_incptn_to_be FROM bu_loantape_work.lt002_instrument WHERE ref_date='2025-06-30' AND nome_perimetro= 'Individual IDComb' AND segmento= 'ESTR' AND ambito= 'PM' AND entidade='00100' AND cod_visao = 1) B ON instrmnt_id_as_is = instrmnt_id_to_be WHERE coalesce(cast(pd_ifrs9_lftm_incptn_as_is as string), '') &lt;&gt; coalesce(cast(pd_ifrs9_lftm_incptn_to_be as string), '') ) A </v>
      </c>
      <c r="O250" s="19" t="str">
        <f t="shared" si="47"/>
        <v>SELECT 'Validação de campos' as tipologia_teste, 'lt002_instrument' AS TABELA, 'pd_ifrs9_lftm_incptn' AS CAMPO, '2025-06-30' as ref_date, coalesce(NUM_REG_DIF, 0) AS NUM_REG_DIF FROM (SELECT count(*) AS NUM_REG_DIF FROM (SELECT instrmnt_id as instrmnt_id_as_is, pd_ifrs9_lftm_incptn as pd_ifrs9_lftm_incptn_as_is FROM cd_loan_tapes_bce.lt002_instrument WHERE ref_date='2025-06-30' AND nome_perimetro= 'Individual IDComb' AND segmento= 'ESTR' AND ambito= 'PM' AND entidade='00100' AND cod_visao = 1) A  Inner join (SELECT instrmnt_id as instrmnt_id_to_be, pd_ifrs9_lftm_incptn as pd_ifrs9_lftm_incptn_to_be FROM bu_loantape_work.lt002_instrument WHERE ref_date='2025-06-30' AND nome_perimetro= 'Individual IDComb' AND segmento= 'ESTR' AND ambito= 'PM' AND entidade='00100' AND cod_visao = 1) B ON instrmnt_id_as_is = instrmnt_id_to_be WHERE coalesce(cast(pd_ifrs9_lftm_incptn_as_is as string), '') &lt;&gt; coalesce(cast(pd_ifrs9_lftm_incptn_to_be as string), '') ) A UNION ALL</v>
      </c>
      <c r="P250" s="17">
        <f t="shared" si="48"/>
        <v>20</v>
      </c>
    </row>
    <row r="251" spans="2:16" s="15" customFormat="1" ht="11.5" x14ac:dyDescent="0.25">
      <c r="B251" s="17" t="s">
        <v>24</v>
      </c>
      <c r="C251" s="17" t="str">
        <f>_xlfn.CONCAT(Instruções!$D$5,".",VLOOKUP(B251,Instruções!$F$5:$H$10,2,0))</f>
        <v>cd_loan_tapes_bce.lt002_instrument</v>
      </c>
      <c r="D251" s="17" t="str">
        <f>_xlfn.CONCAT(Instruções!$D$6,".",VLOOKUP(B251,Instruções!$F$5:$H$10,3,0))</f>
        <v>bu_loantape_work.lt002_instrument</v>
      </c>
      <c r="E251" s="17" t="s">
        <v>268</v>
      </c>
      <c r="F251" s="17" t="str">
        <f t="shared" si="43"/>
        <v>pd_ifrs9_rmnng_lftm_incptn_as_is</v>
      </c>
      <c r="G251" s="17" t="str">
        <f t="shared" si="44"/>
        <v>pd_ifrs9_rmnng_lftm_incptn_to_be</v>
      </c>
      <c r="H251" s="17" t="str">
        <f>IF(VLOOKUP(B251,Instruções!$F$6:$J$10,5,0)="",
"(SELECT "&amp;VLOOKUP(B251,Instruções!$F$6:$J$10,4,0)&amp;" as "&amp;VLOOKUP(B251,Instruções!$F$6:$J$10,4,0)&amp;"_as_is, "&amp;E251&amp;" as "&amp;F251&amp;" FROM "&amp;C251&amp;" WHERE "&amp;Instruções!$D$11&amp;") A ",
"(SELECT "&amp;VLOOKUP(B251,Instruções!$F$6:$J$10,4,0)&amp;" as "&amp;VLOOKUP(B251,Instruções!$F$6:$J$10,4,0)&amp;"_as_is, "&amp;VLOOKUP(B251,Instruções!$F$6:$J$10,5,0)&amp;" as "&amp;VLOOKUP(B251,Instruções!$F$6:$J$10,5,0)&amp;"_as_is,"&amp;E251&amp;" as "&amp;F251&amp;" FROM "&amp;C251&amp;" WHERE "&amp;Instruções!$D$11&amp;") A ")</f>
        <v xml:space="preserve">(SELECT instrmnt_id as instrmnt_id_as_is, pd_ifrs9_rmnng_lftm_incptn as pd_ifrs9_rmnng_lftm_incptn_as_is FROM cd_loan_tapes_bce.lt002_instrument WHERE ref_date='2025-06-30' AND nome_perimetro= 'Individual IDComb' AND segmento= 'ESTR' AND ambito= 'PM' AND entidade='00100' AND cod_visao = 1) A </v>
      </c>
      <c r="I251" s="17" t="str">
        <f>IF(VLOOKUP(B251,Instruções!$F$6:$J$10,5,0)="",
"(SELECT "&amp;VLOOKUP(B251,Instruções!$F$6:$J$10,4,0)&amp;" as "&amp;VLOOKUP(B251,Instruções!$F$6:$J$10,4,0)&amp;"_to_be, "&amp;E251&amp;" as "&amp;G251&amp;" FROM "&amp;D251&amp;" WHERE "&amp;Instruções!$D$11&amp;") B ",
"(SELECT "&amp;VLOOKUP(B251,Instruções!$F$6:$J$10,4,0)&amp;" as "&amp;VLOOKUP(B251,Instruções!$F$6:$J$10,4,0)&amp;"_to_be, "&amp;VLOOKUP(B251,Instruções!$F$6:$J$10,5,0)&amp;" as "&amp;VLOOKUP(B251,Instruções!$F$6:$J$10,5,0)&amp;"_to_be,"&amp;E251&amp;" as "&amp;G251&amp;" FROM "&amp;D251&amp;" WHERE "&amp;Instruções!$D$11&amp;") B ")</f>
        <v xml:space="preserve">(SELECT instrmnt_id as instrmnt_id_to_be, pd_ifrs9_rmnng_lftm_incptn as pd_ifrs9_rmnng_lftm_incptn_to_be FROM bu_loantape_work.lt002_instrument WHERE ref_date='2025-06-30' AND nome_perimetro= 'Individual IDComb' AND segmento= 'ESTR' AND ambito= 'PM' AND entidade='00100' AND cod_visao = 1) B </v>
      </c>
      <c r="J251" s="17" t="str">
        <f>IF(VLOOKUP(B251,Instruções!$F$6:$J$10,5,0)="",
"ON "&amp;VLOOKUP(B251,Instruções!$F$6:$J$10,4,0)&amp;"_as_is = "&amp;VLOOKUP(B251,Instruções!$F$6:$J$10,4,0)&amp;"_to_be ",
"ON "&amp;VLOOKUP(B251,Instruções!$F$6:$J$10,4,0)&amp;"_as_is = "&amp;VLOOKUP(B251,Instruções!$F$6:$J$10,4,0)&amp;"_to_be AND "&amp;VLOOKUP(B251,Instruções!$F$6:$J$10,5,0)&amp;"_as_is = "&amp;VLOOKUP(B251,Instruções!$F$6:$J$10,5,0)&amp;"_to_be ")</f>
        <v xml:space="preserve">ON instrmnt_id_as_is = instrmnt_id_to_be </v>
      </c>
      <c r="K251" s="17" t="str">
        <f t="shared" si="45"/>
        <v xml:space="preserve">WHERE coalesce(cast(pd_ifrs9_rmnng_lftm_incptn_as_is as string), '') &lt;&gt; coalesce(cast(pd_ifrs9_rmnng_lftm_incptn_to_be as string), '') </v>
      </c>
      <c r="L251" s="17" t="str">
        <f t="shared" si="46"/>
        <v xml:space="preserve">SELECT count(*) AS NUM_REG_DIF FROM (SELECT instrmnt_id as instrmnt_id_as_is, pd_ifrs9_rmnng_lftm_incptn as pd_ifrs9_rmnng_lftm_incptn_as_is FROM cd_loan_tapes_bce.lt002_instrument WHERE ref_date='2025-06-30' AND nome_perimetro= 'Individual IDComb' AND segmento= 'ESTR' AND ambito= 'PM' AND entidade='00100' AND cod_visao = 1) A  Inner join (SELECT instrmnt_id as instrmnt_id_to_be, pd_ifrs9_rmnng_lftm_incptn as pd_ifrs9_rmnng_lftm_incptn_to_be FROM bu_loantape_work.lt002_instrument WHERE ref_date='2025-06-30' AND nome_perimetro= 'Individual IDComb' AND segmento= 'ESTR' AND ambito= 'PM' AND entidade='00100' AND cod_visao = 1) B ON instrmnt_id_as_is = instrmnt_id_to_be WHERE coalesce(cast(pd_ifrs9_rmnng_lftm_incptn_as_is as string), '') &lt;&gt; coalesce(cast(pd_ifrs9_rmnng_lftm_incptn_to_be as string), '') </v>
      </c>
      <c r="M251" s="17" t="s">
        <v>48</v>
      </c>
      <c r="N251" s="17" t="str">
        <f>"SELECT 'Validação de campos' as tipologia_teste, '"&amp;VLOOKUP(B251,Instruções!$F$6:$J$10,3,0)&amp;"' AS TABELA, '"&amp;E251&amp;"' AS CAMPO, '"&amp;Instruções!$D$7&amp;"' as ref_date, coalesce(NUM_REG_DIF, 0) AS NUM_REG_DIF FROM ("&amp;L251&amp;") A "</f>
        <v xml:space="preserve">SELECT 'Validação de campos' as tipologia_teste, 'lt002_instrument' AS TABELA, 'pd_ifrs9_rmnng_lftm_incptn' AS CAMPO, '2025-06-30' as ref_date, coalesce(NUM_REG_DIF, 0) AS NUM_REG_DIF FROM (SELECT count(*) AS NUM_REG_DIF FROM (SELECT instrmnt_id as instrmnt_id_as_is, pd_ifrs9_rmnng_lftm_incptn as pd_ifrs9_rmnng_lftm_incptn_as_is FROM cd_loan_tapes_bce.lt002_instrument WHERE ref_date='2025-06-30' AND nome_perimetro= 'Individual IDComb' AND segmento= 'ESTR' AND ambito= 'PM' AND entidade='00100' AND cod_visao = 1) A  Inner join (SELECT instrmnt_id as instrmnt_id_to_be, pd_ifrs9_rmnng_lftm_incptn as pd_ifrs9_rmnng_lftm_incptn_to_be FROM bu_loantape_work.lt002_instrument WHERE ref_date='2025-06-30' AND nome_perimetro= 'Individual IDComb' AND segmento= 'ESTR' AND ambito= 'PM' AND entidade='00100' AND cod_visao = 1) B ON instrmnt_id_as_is = instrmnt_id_to_be WHERE coalesce(cast(pd_ifrs9_rmnng_lftm_incptn_as_is as string), '') &lt;&gt; coalesce(cast(pd_ifrs9_rmnng_lftm_incptn_to_be as string), '') ) A </v>
      </c>
      <c r="O251" s="19" t="str">
        <f t="shared" si="47"/>
        <v>SELECT 'Validação de campos' as tipologia_teste, 'lt002_instrument' AS TABELA, 'pd_ifrs9_rmnng_lftm_incptn' AS CAMPO, '2025-06-30' as ref_date, coalesce(NUM_REG_DIF, 0) AS NUM_REG_DIF FROM (SELECT count(*) AS NUM_REG_DIF FROM (SELECT instrmnt_id as instrmnt_id_as_is, pd_ifrs9_rmnng_lftm_incptn as pd_ifrs9_rmnng_lftm_incptn_as_is FROM cd_loan_tapes_bce.lt002_instrument WHERE ref_date='2025-06-30' AND nome_perimetro= 'Individual IDComb' AND segmento= 'ESTR' AND ambito= 'PM' AND entidade='00100' AND cod_visao = 1) A  Inner join (SELECT instrmnt_id as instrmnt_id_to_be, pd_ifrs9_rmnng_lftm_incptn as pd_ifrs9_rmnng_lftm_incptn_to_be FROM bu_loantape_work.lt002_instrument WHERE ref_date='2025-06-30' AND nome_perimetro= 'Individual IDComb' AND segmento= 'ESTR' AND ambito= 'PM' AND entidade='00100' AND cod_visao = 1) B ON instrmnt_id_as_is = instrmnt_id_to_be WHERE coalesce(cast(pd_ifrs9_rmnng_lftm_incptn_as_is as string), '') &lt;&gt; coalesce(cast(pd_ifrs9_rmnng_lftm_incptn_to_be as string), '') ) A UNION ALL</v>
      </c>
      <c r="P251" s="17">
        <f t="shared" si="48"/>
        <v>21</v>
      </c>
    </row>
    <row r="252" spans="2:16" s="15" customFormat="1" ht="11.5" x14ac:dyDescent="0.25">
      <c r="B252" s="17" t="s">
        <v>24</v>
      </c>
      <c r="C252" s="17" t="str">
        <f>_xlfn.CONCAT(Instruções!$D$5,".",VLOOKUP(B252,Instruções!$F$5:$H$10,2,0))</f>
        <v>cd_loan_tapes_bce.lt002_instrument</v>
      </c>
      <c r="D252" s="17" t="str">
        <f>_xlfn.CONCAT(Instruções!$D$6,".",VLOOKUP(B252,Instruções!$F$5:$H$10,3,0))</f>
        <v>bu_loantape_work.lt002_instrument</v>
      </c>
      <c r="E252" s="17" t="s">
        <v>269</v>
      </c>
      <c r="F252" s="17" t="str">
        <f t="shared" si="43"/>
        <v>pd_ifrs9_rmnng_lftm_rd_as_is</v>
      </c>
      <c r="G252" s="17" t="str">
        <f t="shared" si="44"/>
        <v>pd_ifrs9_rmnng_lftm_rd_to_be</v>
      </c>
      <c r="H252" s="17" t="str">
        <f>IF(VLOOKUP(B252,Instruções!$F$6:$J$10,5,0)="",
"(SELECT "&amp;VLOOKUP(B252,Instruções!$F$6:$J$10,4,0)&amp;" as "&amp;VLOOKUP(B252,Instruções!$F$6:$J$10,4,0)&amp;"_as_is, "&amp;E252&amp;" as "&amp;F252&amp;" FROM "&amp;C252&amp;" WHERE "&amp;Instruções!$D$11&amp;") A ",
"(SELECT "&amp;VLOOKUP(B252,Instruções!$F$6:$J$10,4,0)&amp;" as "&amp;VLOOKUP(B252,Instruções!$F$6:$J$10,4,0)&amp;"_as_is, "&amp;VLOOKUP(B252,Instruções!$F$6:$J$10,5,0)&amp;" as "&amp;VLOOKUP(B252,Instruções!$F$6:$J$10,5,0)&amp;"_as_is,"&amp;E252&amp;" as "&amp;F252&amp;" FROM "&amp;C252&amp;" WHERE "&amp;Instruções!$D$11&amp;") A ")</f>
        <v xml:space="preserve">(SELECT instrmnt_id as instrmnt_id_as_is, pd_ifrs9_rmnng_lftm_rd as pd_ifrs9_rmnng_lftm_rd_as_is FROM cd_loan_tapes_bce.lt002_instrument WHERE ref_date='2025-06-30' AND nome_perimetro= 'Individual IDComb' AND segmento= 'ESTR' AND ambito= 'PM' AND entidade='00100' AND cod_visao = 1) A </v>
      </c>
      <c r="I252" s="17" t="str">
        <f>IF(VLOOKUP(B252,Instruções!$F$6:$J$10,5,0)="",
"(SELECT "&amp;VLOOKUP(B252,Instruções!$F$6:$J$10,4,0)&amp;" as "&amp;VLOOKUP(B252,Instruções!$F$6:$J$10,4,0)&amp;"_to_be, "&amp;E252&amp;" as "&amp;G252&amp;" FROM "&amp;D252&amp;" WHERE "&amp;Instruções!$D$11&amp;") B ",
"(SELECT "&amp;VLOOKUP(B252,Instruções!$F$6:$J$10,4,0)&amp;" as "&amp;VLOOKUP(B252,Instruções!$F$6:$J$10,4,0)&amp;"_to_be, "&amp;VLOOKUP(B252,Instruções!$F$6:$J$10,5,0)&amp;" as "&amp;VLOOKUP(B252,Instruções!$F$6:$J$10,5,0)&amp;"_to_be,"&amp;E252&amp;" as "&amp;G252&amp;" FROM "&amp;D252&amp;" WHERE "&amp;Instruções!$D$11&amp;") B ")</f>
        <v xml:space="preserve">(SELECT instrmnt_id as instrmnt_id_to_be, pd_ifrs9_rmnng_lftm_rd as pd_ifrs9_rmnng_lftm_rd_to_be FROM bu_loantape_work.lt002_instrument WHERE ref_date='2025-06-30' AND nome_perimetro= 'Individual IDComb' AND segmento= 'ESTR' AND ambito= 'PM' AND entidade='00100' AND cod_visao = 1) B </v>
      </c>
      <c r="J252" s="17" t="str">
        <f>IF(VLOOKUP(B252,Instruções!$F$6:$J$10,5,0)="",
"ON "&amp;VLOOKUP(B252,Instruções!$F$6:$J$10,4,0)&amp;"_as_is = "&amp;VLOOKUP(B252,Instruções!$F$6:$J$10,4,0)&amp;"_to_be ",
"ON "&amp;VLOOKUP(B252,Instruções!$F$6:$J$10,4,0)&amp;"_as_is = "&amp;VLOOKUP(B252,Instruções!$F$6:$J$10,4,0)&amp;"_to_be AND "&amp;VLOOKUP(B252,Instruções!$F$6:$J$10,5,0)&amp;"_as_is = "&amp;VLOOKUP(B252,Instruções!$F$6:$J$10,5,0)&amp;"_to_be ")</f>
        <v xml:space="preserve">ON instrmnt_id_as_is = instrmnt_id_to_be </v>
      </c>
      <c r="K252" s="17" t="str">
        <f t="shared" si="45"/>
        <v xml:space="preserve">WHERE coalesce(cast(pd_ifrs9_rmnng_lftm_rd_as_is as string), '') &lt;&gt; coalesce(cast(pd_ifrs9_rmnng_lftm_rd_to_be as string), '') </v>
      </c>
      <c r="L252" s="17" t="str">
        <f t="shared" si="46"/>
        <v xml:space="preserve">SELECT count(*) AS NUM_REG_DIF FROM (SELECT instrmnt_id as instrmnt_id_as_is, pd_ifrs9_rmnng_lftm_rd as pd_ifrs9_rmnng_lftm_rd_as_is FROM cd_loan_tapes_bce.lt002_instrument WHERE ref_date='2025-06-30' AND nome_perimetro= 'Individual IDComb' AND segmento= 'ESTR' AND ambito= 'PM' AND entidade='00100' AND cod_visao = 1) A  Inner join (SELECT instrmnt_id as instrmnt_id_to_be, pd_ifrs9_rmnng_lftm_rd as pd_ifrs9_rmnng_lftm_rd_to_be FROM bu_loantape_work.lt002_instrument WHERE ref_date='2025-06-30' AND nome_perimetro= 'Individual IDComb' AND segmento= 'ESTR' AND ambito= 'PM' AND entidade='00100' AND cod_visao = 1) B ON instrmnt_id_as_is = instrmnt_id_to_be WHERE coalesce(cast(pd_ifrs9_rmnng_lftm_rd_as_is as string), '') &lt;&gt; coalesce(cast(pd_ifrs9_rmnng_lftm_rd_to_be as string), '') </v>
      </c>
      <c r="M252" s="17" t="s">
        <v>48</v>
      </c>
      <c r="N252" s="17" t="str">
        <f>"SELECT 'Validação de campos' as tipologia_teste, '"&amp;VLOOKUP(B252,Instruções!$F$6:$J$10,3,0)&amp;"' AS TABELA, '"&amp;E252&amp;"' AS CAMPO, '"&amp;Instruções!$D$7&amp;"' as ref_date, coalesce(NUM_REG_DIF, 0) AS NUM_REG_DIF FROM ("&amp;L252&amp;") A "</f>
        <v xml:space="preserve">SELECT 'Validação de campos' as tipologia_teste, 'lt002_instrument' AS TABELA, 'pd_ifrs9_rmnng_lftm_rd' AS CAMPO, '2025-06-30' as ref_date, coalesce(NUM_REG_DIF, 0) AS NUM_REG_DIF FROM (SELECT count(*) AS NUM_REG_DIF FROM (SELECT instrmnt_id as instrmnt_id_as_is, pd_ifrs9_rmnng_lftm_rd as pd_ifrs9_rmnng_lftm_rd_as_is FROM cd_loan_tapes_bce.lt002_instrument WHERE ref_date='2025-06-30' AND nome_perimetro= 'Individual IDComb' AND segmento= 'ESTR' AND ambito= 'PM' AND entidade='00100' AND cod_visao = 1) A  Inner join (SELECT instrmnt_id as instrmnt_id_to_be, pd_ifrs9_rmnng_lftm_rd as pd_ifrs9_rmnng_lftm_rd_to_be FROM bu_loantape_work.lt002_instrument WHERE ref_date='2025-06-30' AND nome_perimetro= 'Individual IDComb' AND segmento= 'ESTR' AND ambito= 'PM' AND entidade='00100' AND cod_visao = 1) B ON instrmnt_id_as_is = instrmnt_id_to_be WHERE coalesce(cast(pd_ifrs9_rmnng_lftm_rd_as_is as string), '') &lt;&gt; coalesce(cast(pd_ifrs9_rmnng_lftm_rd_to_be as string), '') ) A </v>
      </c>
      <c r="O252" s="19" t="str">
        <f t="shared" si="47"/>
        <v>SELECT 'Validação de campos' as tipologia_teste, 'lt002_instrument' AS TABELA, 'pd_ifrs9_rmnng_lftm_rd' AS CAMPO, '2025-06-30' as ref_date, coalesce(NUM_REG_DIF, 0) AS NUM_REG_DIF FROM (SELECT count(*) AS NUM_REG_DIF FROM (SELECT instrmnt_id as instrmnt_id_as_is, pd_ifrs9_rmnng_lftm_rd as pd_ifrs9_rmnng_lftm_rd_as_is FROM cd_loan_tapes_bce.lt002_instrument WHERE ref_date='2025-06-30' AND nome_perimetro= 'Individual IDComb' AND segmento= 'ESTR' AND ambito= 'PM' AND entidade='00100' AND cod_visao = 1) A  Inner join (SELECT instrmnt_id as instrmnt_id_to_be, pd_ifrs9_rmnng_lftm_rd as pd_ifrs9_rmnng_lftm_rd_to_be FROM bu_loantape_work.lt002_instrument WHERE ref_date='2025-06-30' AND nome_perimetro= 'Individual IDComb' AND segmento= 'ESTR' AND ambito= 'PM' AND entidade='00100' AND cod_visao = 1) B ON instrmnt_id_as_is = instrmnt_id_to_be WHERE coalesce(cast(pd_ifrs9_rmnng_lftm_rd_as_is as string), '') &lt;&gt; coalesce(cast(pd_ifrs9_rmnng_lftm_rd_to_be as string), '') ) A UNION ALL</v>
      </c>
      <c r="P252" s="17">
        <f t="shared" si="48"/>
        <v>22</v>
      </c>
    </row>
    <row r="253" spans="2:16" s="15" customFormat="1" ht="11.5" x14ac:dyDescent="0.25">
      <c r="B253" s="17" t="s">
        <v>24</v>
      </c>
      <c r="C253" s="17" t="str">
        <f>_xlfn.CONCAT(Instruções!$D$5,".",VLOOKUP(B253,Instruções!$F$5:$H$10,2,0))</f>
        <v>cd_loan_tapes_bce.lt002_instrument</v>
      </c>
      <c r="D253" s="17" t="str">
        <f>_xlfn.CONCAT(Instruções!$D$6,".",VLOOKUP(B253,Instruções!$F$5:$H$10,3,0))</f>
        <v>bu_loantape_work.lt002_instrument</v>
      </c>
      <c r="E253" s="17" t="s">
        <v>270</v>
      </c>
      <c r="F253" s="17" t="str">
        <f t="shared" ref="F253:F330" si="49">E253&amp;"_as_is"</f>
        <v>poci_as_is</v>
      </c>
      <c r="G253" s="17" t="str">
        <f t="shared" ref="G253:G330" si="50">E253&amp;"_to_be"</f>
        <v>poci_to_be</v>
      </c>
      <c r="H253" s="17" t="str">
        <f>IF(VLOOKUP(B253,Instruções!$F$6:$J$10,5,0)="",
"(SELECT "&amp;VLOOKUP(B253,Instruções!$F$6:$J$10,4,0)&amp;" as "&amp;VLOOKUP(B253,Instruções!$F$6:$J$10,4,0)&amp;"_as_is, "&amp;E253&amp;" as "&amp;F253&amp;" FROM "&amp;C253&amp;" WHERE "&amp;Instruções!$D$11&amp;") A ",
"(SELECT "&amp;VLOOKUP(B253,Instruções!$F$6:$J$10,4,0)&amp;" as "&amp;VLOOKUP(B253,Instruções!$F$6:$J$10,4,0)&amp;"_as_is, "&amp;VLOOKUP(B253,Instruções!$F$6:$J$10,5,0)&amp;" as "&amp;VLOOKUP(B253,Instruções!$F$6:$J$10,5,0)&amp;"_as_is,"&amp;E253&amp;" as "&amp;F253&amp;" FROM "&amp;C253&amp;" WHERE "&amp;Instruções!$D$11&amp;") A ")</f>
        <v xml:space="preserve">(SELECT instrmnt_id as instrmnt_id_as_is, poci as poci_as_is FROM cd_loan_tapes_bce.lt002_instrument WHERE ref_date='2025-06-30' AND nome_perimetro= 'Individual IDComb' AND segmento= 'ESTR' AND ambito= 'PM' AND entidade='00100' AND cod_visao = 1) A </v>
      </c>
      <c r="I253" s="17" t="str">
        <f>IF(VLOOKUP(B253,Instruções!$F$6:$J$10,5,0)="",
"(SELECT "&amp;VLOOKUP(B253,Instruções!$F$6:$J$10,4,0)&amp;" as "&amp;VLOOKUP(B253,Instruções!$F$6:$J$10,4,0)&amp;"_to_be, "&amp;E253&amp;" as "&amp;G253&amp;" FROM "&amp;D253&amp;" WHERE "&amp;Instruções!$D$11&amp;") B ",
"(SELECT "&amp;VLOOKUP(B253,Instruções!$F$6:$J$10,4,0)&amp;" as "&amp;VLOOKUP(B253,Instruções!$F$6:$J$10,4,0)&amp;"_to_be, "&amp;VLOOKUP(B253,Instruções!$F$6:$J$10,5,0)&amp;" as "&amp;VLOOKUP(B253,Instruções!$F$6:$J$10,5,0)&amp;"_to_be,"&amp;E253&amp;" as "&amp;G253&amp;" FROM "&amp;D253&amp;" WHERE "&amp;Instruções!$D$11&amp;") B ")</f>
        <v xml:space="preserve">(SELECT instrmnt_id as instrmnt_id_to_be, poci as poci_to_be FROM bu_loantape_work.lt002_instrument WHERE ref_date='2025-06-30' AND nome_perimetro= 'Individual IDComb' AND segmento= 'ESTR' AND ambito= 'PM' AND entidade='00100' AND cod_visao = 1) B </v>
      </c>
      <c r="J253" s="17" t="str">
        <f>IF(VLOOKUP(B253,Instruções!$F$6:$J$10,5,0)="",
"ON "&amp;VLOOKUP(B253,Instruções!$F$6:$J$10,4,0)&amp;"_as_is = "&amp;VLOOKUP(B253,Instruções!$F$6:$J$10,4,0)&amp;"_to_be ",
"ON "&amp;VLOOKUP(B253,Instruções!$F$6:$J$10,4,0)&amp;"_as_is = "&amp;VLOOKUP(B253,Instruções!$F$6:$J$10,4,0)&amp;"_to_be AND "&amp;VLOOKUP(B253,Instruções!$F$6:$J$10,5,0)&amp;"_as_is = "&amp;VLOOKUP(B253,Instruções!$F$6:$J$10,5,0)&amp;"_to_be ")</f>
        <v xml:space="preserve">ON instrmnt_id_as_is = instrmnt_id_to_be </v>
      </c>
      <c r="K253" s="17" t="str">
        <f t="shared" ref="K253:K330" si="51">"WHERE coalesce(cast("&amp;F253&amp;" as string), '') &lt;&gt; coalesce(cast("&amp;G253&amp;" as string), '') "</f>
        <v xml:space="preserve">WHERE coalesce(cast(poci_as_is as string), '') &lt;&gt; coalesce(cast(poci_to_be as string), '') </v>
      </c>
      <c r="L253" s="17" t="str">
        <f t="shared" si="46"/>
        <v xml:space="preserve">SELECT count(*) AS NUM_REG_DIF FROM (SELECT instrmnt_id as instrmnt_id_as_is, poci as poci_as_is FROM cd_loan_tapes_bce.lt002_instrument WHERE ref_date='2025-06-30' AND nome_perimetro= 'Individual IDComb' AND segmento= 'ESTR' AND ambito= 'PM' AND entidade='00100' AND cod_visao = 1) A  Inner join (SELECT instrmnt_id as instrmnt_id_to_be, poci as poci_to_be FROM bu_loantape_work.lt002_instrument WHERE ref_date='2025-06-30' AND nome_perimetro= 'Individual IDComb' AND segmento= 'ESTR' AND ambito= 'PM' AND entidade='00100' AND cod_visao = 1) B ON instrmnt_id_as_is = instrmnt_id_to_be WHERE coalesce(cast(poci_as_is as string), '') &lt;&gt; coalesce(cast(poci_to_be as string), '') </v>
      </c>
      <c r="M253" s="17" t="s">
        <v>48</v>
      </c>
      <c r="N253" s="17" t="str">
        <f>"SELECT 'Validação de campos' as tipologia_teste, '"&amp;VLOOKUP(B253,Instruções!$F$6:$J$10,3,0)&amp;"' AS TABELA, '"&amp;E253&amp;"' AS CAMPO, '"&amp;Instruções!$D$7&amp;"' as ref_date, coalesce(NUM_REG_DIF, 0) AS NUM_REG_DIF FROM ("&amp;L253&amp;") A "</f>
        <v xml:space="preserve">SELECT 'Validação de campos' as tipologia_teste, 'lt002_instrument' AS TABELA, 'poci' AS CAMPO, '2025-06-30' as ref_date, coalesce(NUM_REG_DIF, 0) AS NUM_REG_DIF FROM (SELECT count(*) AS NUM_REG_DIF FROM (SELECT instrmnt_id as instrmnt_id_as_is, poci as poci_as_is FROM cd_loan_tapes_bce.lt002_instrument WHERE ref_date='2025-06-30' AND nome_perimetro= 'Individual IDComb' AND segmento= 'ESTR' AND ambito= 'PM' AND entidade='00100' AND cod_visao = 1) A  Inner join (SELECT instrmnt_id as instrmnt_id_to_be, poci as poci_to_be FROM bu_loantape_work.lt002_instrument WHERE ref_date='2025-06-30' AND nome_perimetro= 'Individual IDComb' AND segmento= 'ESTR' AND ambito= 'PM' AND entidade='00100' AND cod_visao = 1) B ON instrmnt_id_as_is = instrmnt_id_to_be WHERE coalesce(cast(poci_as_is as string), '') &lt;&gt; coalesce(cast(poci_to_be as string), '') ) A </v>
      </c>
      <c r="O253" s="19" t="str">
        <f t="shared" si="47"/>
        <v>SELECT 'Validação de campos' as tipologia_teste, 'lt002_instrument' AS TABELA, 'poci' AS CAMPO, '2025-06-30' as ref_date, coalesce(NUM_REG_DIF, 0) AS NUM_REG_DIF FROM (SELECT count(*) AS NUM_REG_DIF FROM (SELECT instrmnt_id as instrmnt_id_as_is, poci as poci_as_is FROM cd_loan_tapes_bce.lt002_instrument WHERE ref_date='2025-06-30' AND nome_perimetro= 'Individual IDComb' AND segmento= 'ESTR' AND ambito= 'PM' AND entidade='00100' AND cod_visao = 1) A  Inner join (SELECT instrmnt_id as instrmnt_id_to_be, poci as poci_to_be FROM bu_loantape_work.lt002_instrument WHERE ref_date='2025-06-30' AND nome_perimetro= 'Individual IDComb' AND segmento= 'ESTR' AND ambito= 'PM' AND entidade='00100' AND cod_visao = 1) B ON instrmnt_id_as_is = instrmnt_id_to_be WHERE coalesce(cast(poci_as_is as string), '') &lt;&gt; coalesce(cast(poci_to_be as string), '') ) A UNION ALL</v>
      </c>
      <c r="P253" s="17">
        <f t="shared" si="48"/>
        <v>23</v>
      </c>
    </row>
    <row r="254" spans="2:16" s="15" customFormat="1" ht="11.5" x14ac:dyDescent="0.25">
      <c r="B254" s="17" t="s">
        <v>24</v>
      </c>
      <c r="C254" s="17" t="str">
        <f>_xlfn.CONCAT(Instruções!$D$5,".",VLOOKUP(B254,Instruções!$F$5:$H$10,2,0))</f>
        <v>cd_loan_tapes_bce.lt002_instrument</v>
      </c>
      <c r="D254" s="17" t="str">
        <f>_xlfn.CONCAT(Instruções!$D$6,".",VLOOKUP(B254,Instruções!$F$5:$H$10,3,0))</f>
        <v>bu_loantape_work.lt002_instrument</v>
      </c>
      <c r="E254" s="17" t="s">
        <v>271</v>
      </c>
      <c r="F254" s="17" t="str">
        <f t="shared" si="49"/>
        <v>prch_undr_rsl_agr_as_is</v>
      </c>
      <c r="G254" s="17" t="str">
        <f t="shared" si="50"/>
        <v>prch_undr_rsl_agr_to_be</v>
      </c>
      <c r="H254" s="17" t="str">
        <f>IF(VLOOKUP(B254,Instruções!$F$6:$J$10,5,0)="",
"(SELECT "&amp;VLOOKUP(B254,Instruções!$F$6:$J$10,4,0)&amp;" as "&amp;VLOOKUP(B254,Instruções!$F$6:$J$10,4,0)&amp;"_as_is, "&amp;E254&amp;" as "&amp;F254&amp;" FROM "&amp;C254&amp;" WHERE "&amp;Instruções!$D$11&amp;") A ",
"(SELECT "&amp;VLOOKUP(B254,Instruções!$F$6:$J$10,4,0)&amp;" as "&amp;VLOOKUP(B254,Instruções!$F$6:$J$10,4,0)&amp;"_as_is, "&amp;VLOOKUP(B254,Instruções!$F$6:$J$10,5,0)&amp;" as "&amp;VLOOKUP(B254,Instruções!$F$6:$J$10,5,0)&amp;"_as_is,"&amp;E254&amp;" as "&amp;F254&amp;" FROM "&amp;C254&amp;" WHERE "&amp;Instruções!$D$11&amp;") A ")</f>
        <v xml:space="preserve">(SELECT instrmnt_id as instrmnt_id_as_is, prch_undr_rsl_agr as prch_undr_rsl_agr_as_is FROM cd_loan_tapes_bce.lt002_instrument WHERE ref_date='2025-06-30' AND nome_perimetro= 'Individual IDComb' AND segmento= 'ESTR' AND ambito= 'PM' AND entidade='00100' AND cod_visao = 1) A </v>
      </c>
      <c r="I254" s="17" t="str">
        <f>IF(VLOOKUP(B254,Instruções!$F$6:$J$10,5,0)="",
"(SELECT "&amp;VLOOKUP(B254,Instruções!$F$6:$J$10,4,0)&amp;" as "&amp;VLOOKUP(B254,Instruções!$F$6:$J$10,4,0)&amp;"_to_be, "&amp;E254&amp;" as "&amp;G254&amp;" FROM "&amp;D254&amp;" WHERE "&amp;Instruções!$D$11&amp;") B ",
"(SELECT "&amp;VLOOKUP(B254,Instruções!$F$6:$J$10,4,0)&amp;" as "&amp;VLOOKUP(B254,Instruções!$F$6:$J$10,4,0)&amp;"_to_be, "&amp;VLOOKUP(B254,Instruções!$F$6:$J$10,5,0)&amp;" as "&amp;VLOOKUP(B254,Instruções!$F$6:$J$10,5,0)&amp;"_to_be,"&amp;E254&amp;" as "&amp;G254&amp;" FROM "&amp;D254&amp;" WHERE "&amp;Instruções!$D$11&amp;") B ")</f>
        <v xml:space="preserve">(SELECT instrmnt_id as instrmnt_id_to_be, prch_undr_rsl_agr as prch_undr_rsl_agr_to_be FROM bu_loantape_work.lt002_instrument WHERE ref_date='2025-06-30' AND nome_perimetro= 'Individual IDComb' AND segmento= 'ESTR' AND ambito= 'PM' AND entidade='00100' AND cod_visao = 1) B </v>
      </c>
      <c r="J254" s="17" t="str">
        <f>IF(VLOOKUP(B254,Instruções!$F$6:$J$10,5,0)="",
"ON "&amp;VLOOKUP(B254,Instruções!$F$6:$J$10,4,0)&amp;"_as_is = "&amp;VLOOKUP(B254,Instruções!$F$6:$J$10,4,0)&amp;"_to_be ",
"ON "&amp;VLOOKUP(B254,Instruções!$F$6:$J$10,4,0)&amp;"_as_is = "&amp;VLOOKUP(B254,Instruções!$F$6:$J$10,4,0)&amp;"_to_be AND "&amp;VLOOKUP(B254,Instruções!$F$6:$J$10,5,0)&amp;"_as_is = "&amp;VLOOKUP(B254,Instruções!$F$6:$J$10,5,0)&amp;"_to_be ")</f>
        <v xml:space="preserve">ON instrmnt_id_as_is = instrmnt_id_to_be </v>
      </c>
      <c r="K254" s="17" t="str">
        <f t="shared" si="51"/>
        <v xml:space="preserve">WHERE coalesce(cast(prch_undr_rsl_agr_as_is as string), '') &lt;&gt; coalesce(cast(prch_undr_rsl_agr_to_be as string), '') </v>
      </c>
      <c r="L254" s="17" t="str">
        <f t="shared" si="46"/>
        <v xml:space="preserve">SELECT count(*) AS NUM_REG_DIF FROM (SELECT instrmnt_id as instrmnt_id_as_is, prch_undr_rsl_agr as prch_undr_rsl_agr_as_is FROM cd_loan_tapes_bce.lt002_instrument WHERE ref_date='2025-06-30' AND nome_perimetro= 'Individual IDComb' AND segmento= 'ESTR' AND ambito= 'PM' AND entidade='00100' AND cod_visao = 1) A  Inner join (SELECT instrmnt_id as instrmnt_id_to_be, prch_undr_rsl_agr as prch_undr_rsl_agr_to_be FROM bu_loantape_work.lt002_instrument WHERE ref_date='2025-06-30' AND nome_perimetro= 'Individual IDComb' AND segmento= 'ESTR' AND ambito= 'PM' AND entidade='00100' AND cod_visao = 1) B ON instrmnt_id_as_is = instrmnt_id_to_be WHERE coalesce(cast(prch_undr_rsl_agr_as_is as string), '') &lt;&gt; coalesce(cast(prch_undr_rsl_agr_to_be as string), '') </v>
      </c>
      <c r="M254" s="17" t="s">
        <v>48</v>
      </c>
      <c r="N254" s="17" t="str">
        <f>"SELECT 'Validação de campos' as tipologia_teste, '"&amp;VLOOKUP(B254,Instruções!$F$6:$J$10,3,0)&amp;"' AS TABELA, '"&amp;E254&amp;"' AS CAMPO, '"&amp;Instruções!$D$7&amp;"' as ref_date, coalesce(NUM_REG_DIF, 0) AS NUM_REG_DIF FROM ("&amp;L254&amp;") A "</f>
        <v xml:space="preserve">SELECT 'Validação de campos' as tipologia_teste, 'lt002_instrument' AS TABELA, 'prch_undr_rsl_agr' AS CAMPO, '2025-06-30' as ref_date, coalesce(NUM_REG_DIF, 0) AS NUM_REG_DIF FROM (SELECT count(*) AS NUM_REG_DIF FROM (SELECT instrmnt_id as instrmnt_id_as_is, prch_undr_rsl_agr as prch_undr_rsl_agr_as_is FROM cd_loan_tapes_bce.lt002_instrument WHERE ref_date='2025-06-30' AND nome_perimetro= 'Individual IDComb' AND segmento= 'ESTR' AND ambito= 'PM' AND entidade='00100' AND cod_visao = 1) A  Inner join (SELECT instrmnt_id as instrmnt_id_to_be, prch_undr_rsl_agr as prch_undr_rsl_agr_to_be FROM bu_loantape_work.lt002_instrument WHERE ref_date='2025-06-30' AND nome_perimetro= 'Individual IDComb' AND segmento= 'ESTR' AND ambito= 'PM' AND entidade='00100' AND cod_visao = 1) B ON instrmnt_id_as_is = instrmnt_id_to_be WHERE coalesce(cast(prch_undr_rsl_agr_as_is as string), '') &lt;&gt; coalesce(cast(prch_undr_rsl_agr_to_be as string), '') ) A </v>
      </c>
      <c r="O254" s="19" t="str">
        <f t="shared" si="47"/>
        <v xml:space="preserve">SELECT 'Validação de campos' as tipologia_teste, 'lt002_instrument' AS TABELA, 'prch_undr_rsl_agr' AS CAMPO, '2025-06-30' as ref_date, coalesce(NUM_REG_DIF, 0) AS NUM_REG_DIF FROM (SELECT count(*) AS NUM_REG_DIF FROM (SELECT instrmnt_id as instrmnt_id_as_is, prch_undr_rsl_agr as prch_undr_rsl_agr_as_is FROM cd_loan_tapes_bce.lt002_instrument WHERE ref_date='2025-06-30' AND nome_perimetro= 'Individual IDComb' AND segmento= 'ESTR' AND ambito= 'PM' AND entidade='00100' AND cod_visao = 1) A  Inner join (SELECT instrmnt_id as instrmnt_id_to_be, prch_undr_rsl_agr as prch_undr_rsl_agr_to_be FROM bu_loantape_work.lt002_instrument WHERE ref_date='2025-06-30' AND nome_perimetro= 'Individual IDComb' AND segmento= 'ESTR' AND ambito= 'PM' AND entidade='00100' AND cod_visao = 1) B ON instrmnt_id_as_is = instrmnt_id_to_be WHERE coalesce(cast(prch_undr_rsl_agr_as_is as string), '') &lt;&gt; coalesce(cast(prch_undr_rsl_agr_to_be as string), '') ) A </v>
      </c>
      <c r="P254" s="17">
        <f t="shared" si="48"/>
        <v>24</v>
      </c>
    </row>
    <row r="255" spans="2:16" s="15" customFormat="1" ht="11.5" x14ac:dyDescent="0.25"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9"/>
      <c r="P255" s="18"/>
    </row>
    <row r="256" spans="2:16" s="15" customFormat="1" ht="11.5" x14ac:dyDescent="0.25">
      <c r="B256" s="17" t="s">
        <v>24</v>
      </c>
      <c r="C256" s="17" t="str">
        <f>_xlfn.CONCAT(Instruções!$D$5,".",VLOOKUP(B256,Instruções!$F$5:$H$10,2,0))</f>
        <v>cd_loan_tapes_bce.lt002_instrument</v>
      </c>
      <c r="D256" s="17" t="str">
        <f>_xlfn.CONCAT(Instruções!$D$6,".",VLOOKUP(B256,Instruções!$F$5:$H$10,3,0))</f>
        <v>bu_loantape_work.lt002_instrument</v>
      </c>
      <c r="E256" s="17" t="s">
        <v>272</v>
      </c>
      <c r="F256" s="17" t="str">
        <f t="shared" si="49"/>
        <v>prdct_as_is</v>
      </c>
      <c r="G256" s="17" t="str">
        <f t="shared" si="50"/>
        <v>prdct_to_be</v>
      </c>
      <c r="H256" s="17" t="str">
        <f>IF(VLOOKUP(B256,Instruções!$F$6:$J$10,5,0)="",
"(SELECT "&amp;VLOOKUP(B256,Instruções!$F$6:$J$10,4,0)&amp;" as "&amp;VLOOKUP(B256,Instruções!$F$6:$J$10,4,0)&amp;"_as_is, "&amp;E256&amp;" as "&amp;F256&amp;" FROM "&amp;C256&amp;" WHERE "&amp;Instruções!$D$11&amp;") A ",
"(SELECT "&amp;VLOOKUP(B256,Instruções!$F$6:$J$10,4,0)&amp;" as "&amp;VLOOKUP(B256,Instruções!$F$6:$J$10,4,0)&amp;"_as_is, "&amp;VLOOKUP(B256,Instruções!$F$6:$J$10,5,0)&amp;" as "&amp;VLOOKUP(B256,Instruções!$F$6:$J$10,5,0)&amp;"_as_is,"&amp;E256&amp;" as "&amp;F256&amp;" FROM "&amp;C256&amp;" WHERE "&amp;Instruções!$D$11&amp;") A ")</f>
        <v xml:space="preserve">(SELECT instrmnt_id as instrmnt_id_as_is, prdct as prdct_as_is FROM cd_loan_tapes_bce.lt002_instrument WHERE ref_date='2025-06-30' AND nome_perimetro= 'Individual IDComb' AND segmento= 'ESTR' AND ambito= 'PM' AND entidade='00100' AND cod_visao = 1) A </v>
      </c>
      <c r="I256" s="17" t="str">
        <f>IF(VLOOKUP(B256,Instruções!$F$6:$J$10,5,0)="",
"(SELECT "&amp;VLOOKUP(B256,Instruções!$F$6:$J$10,4,0)&amp;" as "&amp;VLOOKUP(B256,Instruções!$F$6:$J$10,4,0)&amp;"_to_be, "&amp;E256&amp;" as "&amp;G256&amp;" FROM "&amp;D256&amp;" WHERE "&amp;Instruções!$D$11&amp;") B ",
"(SELECT "&amp;VLOOKUP(B256,Instruções!$F$6:$J$10,4,0)&amp;" as "&amp;VLOOKUP(B256,Instruções!$F$6:$J$10,4,0)&amp;"_to_be, "&amp;VLOOKUP(B256,Instruções!$F$6:$J$10,5,0)&amp;" as "&amp;VLOOKUP(B256,Instruções!$F$6:$J$10,5,0)&amp;"_to_be,"&amp;E256&amp;" as "&amp;G256&amp;" FROM "&amp;D256&amp;" WHERE "&amp;Instruções!$D$11&amp;") B ")</f>
        <v xml:space="preserve">(SELECT instrmnt_id as instrmnt_id_to_be, prdct as prdct_to_be FROM bu_loantape_work.lt002_instrument WHERE ref_date='2025-06-30' AND nome_perimetro= 'Individual IDComb' AND segmento= 'ESTR' AND ambito= 'PM' AND entidade='00100' AND cod_visao = 1) B </v>
      </c>
      <c r="J256" s="17" t="str">
        <f>IF(VLOOKUP(B256,Instruções!$F$6:$J$10,5,0)="",
"ON "&amp;VLOOKUP(B256,Instruções!$F$6:$J$10,4,0)&amp;"_as_is = "&amp;VLOOKUP(B256,Instruções!$F$6:$J$10,4,0)&amp;"_to_be ",
"ON "&amp;VLOOKUP(B256,Instruções!$F$6:$J$10,4,0)&amp;"_as_is = "&amp;VLOOKUP(B256,Instruções!$F$6:$J$10,4,0)&amp;"_to_be AND "&amp;VLOOKUP(B256,Instruções!$F$6:$J$10,5,0)&amp;"_as_is = "&amp;VLOOKUP(B256,Instruções!$F$6:$J$10,5,0)&amp;"_to_be ")</f>
        <v xml:space="preserve">ON instrmnt_id_as_is = instrmnt_id_to_be </v>
      </c>
      <c r="K256" s="17" t="str">
        <f t="shared" si="51"/>
        <v xml:space="preserve">WHERE coalesce(cast(prdct_as_is as string), '') &lt;&gt; coalesce(cast(prdct_to_be as string), '') </v>
      </c>
      <c r="L256" s="17" t="str">
        <f t="shared" si="46"/>
        <v xml:space="preserve">SELECT count(*) AS NUM_REG_DIF FROM (SELECT instrmnt_id as instrmnt_id_as_is, prdct as prdct_as_is FROM cd_loan_tapes_bce.lt002_instrument WHERE ref_date='2025-06-30' AND nome_perimetro= 'Individual IDComb' AND segmento= 'ESTR' AND ambito= 'PM' AND entidade='00100' AND cod_visao = 1) A  Inner join (SELECT instrmnt_id as instrmnt_id_to_be, prdct as prdct_to_be FROM bu_loantape_work.lt002_instrument WHERE ref_date='2025-06-30' AND nome_perimetro= 'Individual IDComb' AND segmento= 'ESTR' AND ambito= 'PM' AND entidade='00100' AND cod_visao = 1) B ON instrmnt_id_as_is = instrmnt_id_to_be WHERE coalesce(cast(prdct_as_is as string), '') &lt;&gt; coalesce(cast(prdct_to_be as string), '') </v>
      </c>
      <c r="M256" s="17" t="s">
        <v>48</v>
      </c>
      <c r="N256" s="17" t="str">
        <f>"SELECT 'Validação de campos' as tipologia_teste, '"&amp;VLOOKUP(B256,Instruções!$F$6:$J$10,3,0)&amp;"' AS TABELA, '"&amp;E256&amp;"' AS CAMPO, '"&amp;Instruções!$D$7&amp;"' as ref_date, coalesce(NUM_REG_DIF, 0) AS NUM_REG_DIF FROM ("&amp;L256&amp;") A "</f>
        <v xml:space="preserve">SELECT 'Validação de campos' as tipologia_teste, 'lt002_instrument' AS TABELA, 'prdct' AS CAMPO, '2025-06-30' as ref_date, coalesce(NUM_REG_DIF, 0) AS NUM_REG_DIF FROM (SELECT count(*) AS NUM_REG_DIF FROM (SELECT instrmnt_id as instrmnt_id_as_is, prdct as prdct_as_is FROM cd_loan_tapes_bce.lt002_instrument WHERE ref_date='2025-06-30' AND nome_perimetro= 'Individual IDComb' AND segmento= 'ESTR' AND ambito= 'PM' AND entidade='00100' AND cod_visao = 1) A  Inner join (SELECT instrmnt_id as instrmnt_id_to_be, prdct as prdct_to_be FROM bu_loantape_work.lt002_instrument WHERE ref_date='2025-06-30' AND nome_perimetro= 'Individual IDComb' AND segmento= 'ESTR' AND ambito= 'PM' AND entidade='00100' AND cod_visao = 1) B ON instrmnt_id_as_is = instrmnt_id_to_be WHERE coalesce(cast(prdct_as_is as string), '') &lt;&gt; coalesce(cast(prdct_to_be as string), '') ) A </v>
      </c>
      <c r="O256" s="19" t="str">
        <f>IF(O257="",N256,N256&amp;$O$3)</f>
        <v>SELECT 'Validação de campos' as tipologia_teste, 'lt002_instrument' AS TABELA, 'prdct' AS CAMPO, '2025-06-30' as ref_date, coalesce(NUM_REG_DIF, 0) AS NUM_REG_DIF FROM (SELECT count(*) AS NUM_REG_DIF FROM (SELECT instrmnt_id as instrmnt_id_as_is, prdct as prdct_as_is FROM cd_loan_tapes_bce.lt002_instrument WHERE ref_date='2025-06-30' AND nome_perimetro= 'Individual IDComb' AND segmento= 'ESTR' AND ambito= 'PM' AND entidade='00100' AND cod_visao = 1) A  Inner join (SELECT instrmnt_id as instrmnt_id_to_be, prdct as prdct_to_be FROM bu_loantape_work.lt002_instrument WHERE ref_date='2025-06-30' AND nome_perimetro= 'Individual IDComb' AND segmento= 'ESTR' AND ambito= 'PM' AND entidade='00100' AND cod_visao = 1) B ON instrmnt_id_as_is = instrmnt_id_to_be WHERE coalesce(cast(prdct_as_is as string), '') &lt;&gt; coalesce(cast(prdct_to_be as string), '') ) A UNION ALL</v>
      </c>
      <c r="P256" s="17">
        <f t="shared" ref="P256:P318" si="52">P255+1</f>
        <v>1</v>
      </c>
    </row>
    <row r="257" spans="2:16" s="15" customFormat="1" ht="11.5" x14ac:dyDescent="0.25">
      <c r="B257" s="17" t="s">
        <v>24</v>
      </c>
      <c r="C257" s="17" t="str">
        <f>_xlfn.CONCAT(Instruções!$D$5,".",VLOOKUP(B257,Instruções!$F$5:$H$10,2,0))</f>
        <v>cd_loan_tapes_bce.lt002_instrument</v>
      </c>
      <c r="D257" s="17" t="str">
        <f>_xlfn.CONCAT(Instruções!$D$6,".",VLOOKUP(B257,Instruções!$F$5:$H$10,3,0))</f>
        <v>bu_loantape_work.lt002_instrument</v>
      </c>
      <c r="E257" s="17" t="s">
        <v>273</v>
      </c>
      <c r="F257" s="17" t="str">
        <f t="shared" si="49"/>
        <v>prdntl_prtfl_as_is</v>
      </c>
      <c r="G257" s="17" t="str">
        <f t="shared" si="50"/>
        <v>prdntl_prtfl_to_be</v>
      </c>
      <c r="H257" s="17" t="str">
        <f>IF(VLOOKUP(B257,Instruções!$F$6:$J$10,5,0)="",
"(SELECT "&amp;VLOOKUP(B257,Instruções!$F$6:$J$10,4,0)&amp;" as "&amp;VLOOKUP(B257,Instruções!$F$6:$J$10,4,0)&amp;"_as_is, "&amp;E257&amp;" as "&amp;F257&amp;" FROM "&amp;C257&amp;" WHERE "&amp;Instruções!$D$11&amp;") A ",
"(SELECT "&amp;VLOOKUP(B257,Instruções!$F$6:$J$10,4,0)&amp;" as "&amp;VLOOKUP(B257,Instruções!$F$6:$J$10,4,0)&amp;"_as_is, "&amp;VLOOKUP(B257,Instruções!$F$6:$J$10,5,0)&amp;" as "&amp;VLOOKUP(B257,Instruções!$F$6:$J$10,5,0)&amp;"_as_is,"&amp;E257&amp;" as "&amp;F257&amp;" FROM "&amp;C257&amp;" WHERE "&amp;Instruções!$D$11&amp;") A ")</f>
        <v xml:space="preserve">(SELECT instrmnt_id as instrmnt_id_as_is, prdntl_prtfl as prdntl_prtfl_as_is FROM cd_loan_tapes_bce.lt002_instrument WHERE ref_date='2025-06-30' AND nome_perimetro= 'Individual IDComb' AND segmento= 'ESTR' AND ambito= 'PM' AND entidade='00100' AND cod_visao = 1) A </v>
      </c>
      <c r="I257" s="17" t="str">
        <f>IF(VLOOKUP(B257,Instruções!$F$6:$J$10,5,0)="",
"(SELECT "&amp;VLOOKUP(B257,Instruções!$F$6:$J$10,4,0)&amp;" as "&amp;VLOOKUP(B257,Instruções!$F$6:$J$10,4,0)&amp;"_to_be, "&amp;E257&amp;" as "&amp;G257&amp;" FROM "&amp;D257&amp;" WHERE "&amp;Instruções!$D$11&amp;") B ",
"(SELECT "&amp;VLOOKUP(B257,Instruções!$F$6:$J$10,4,0)&amp;" as "&amp;VLOOKUP(B257,Instruções!$F$6:$J$10,4,0)&amp;"_to_be, "&amp;VLOOKUP(B257,Instruções!$F$6:$J$10,5,0)&amp;" as "&amp;VLOOKUP(B257,Instruções!$F$6:$J$10,5,0)&amp;"_to_be,"&amp;E257&amp;" as "&amp;G257&amp;" FROM "&amp;D257&amp;" WHERE "&amp;Instruções!$D$11&amp;") B ")</f>
        <v xml:space="preserve">(SELECT instrmnt_id as instrmnt_id_to_be, prdntl_prtfl as prdntl_prtfl_to_be FROM bu_loantape_work.lt002_instrument WHERE ref_date='2025-06-30' AND nome_perimetro= 'Individual IDComb' AND segmento= 'ESTR' AND ambito= 'PM' AND entidade='00100' AND cod_visao = 1) B </v>
      </c>
      <c r="J257" s="17" t="str">
        <f>IF(VLOOKUP(B257,Instruções!$F$6:$J$10,5,0)="",
"ON "&amp;VLOOKUP(B257,Instruções!$F$6:$J$10,4,0)&amp;"_as_is = "&amp;VLOOKUP(B257,Instruções!$F$6:$J$10,4,0)&amp;"_to_be ",
"ON "&amp;VLOOKUP(B257,Instruções!$F$6:$J$10,4,0)&amp;"_as_is = "&amp;VLOOKUP(B257,Instruções!$F$6:$J$10,4,0)&amp;"_to_be AND "&amp;VLOOKUP(B257,Instruções!$F$6:$J$10,5,0)&amp;"_as_is = "&amp;VLOOKUP(B257,Instruções!$F$6:$J$10,5,0)&amp;"_to_be ")</f>
        <v xml:space="preserve">ON instrmnt_id_as_is = instrmnt_id_to_be </v>
      </c>
      <c r="K257" s="17" t="str">
        <f t="shared" si="51"/>
        <v xml:space="preserve">WHERE coalesce(cast(prdntl_prtfl_as_is as string), '') &lt;&gt; coalesce(cast(prdntl_prtfl_to_be as string), '') </v>
      </c>
      <c r="L257" s="17" t="str">
        <f t="shared" si="46"/>
        <v xml:space="preserve">SELECT count(*) AS NUM_REG_DIF FROM (SELECT instrmnt_id as instrmnt_id_as_is, prdntl_prtfl as prdntl_prtfl_as_is FROM cd_loan_tapes_bce.lt002_instrument WHERE ref_date='2025-06-30' AND nome_perimetro= 'Individual IDComb' AND segmento= 'ESTR' AND ambito= 'PM' AND entidade='00100' AND cod_visao = 1) A  Inner join (SELECT instrmnt_id as instrmnt_id_to_be, prdntl_prtfl as prdntl_prtfl_to_be FROM bu_loantape_work.lt002_instrument WHERE ref_date='2025-06-30' AND nome_perimetro= 'Individual IDComb' AND segmento= 'ESTR' AND ambito= 'PM' AND entidade='00100' AND cod_visao = 1) B ON instrmnt_id_as_is = instrmnt_id_to_be WHERE coalesce(cast(prdntl_prtfl_as_is as string), '') &lt;&gt; coalesce(cast(prdntl_prtfl_to_be as string), '') </v>
      </c>
      <c r="M257" s="17" t="s">
        <v>48</v>
      </c>
      <c r="N257" s="17" t="str">
        <f>"SELECT 'Validação de campos' as tipologia_teste, '"&amp;VLOOKUP(B257,Instruções!$F$6:$J$10,3,0)&amp;"' AS TABELA, '"&amp;E257&amp;"' AS CAMPO, '"&amp;Instruções!$D$7&amp;"' as ref_date, coalesce(NUM_REG_DIF, 0) AS NUM_REG_DIF FROM ("&amp;L257&amp;") A "</f>
        <v xml:space="preserve">SELECT 'Validação de campos' as tipologia_teste, 'lt002_instrument' AS TABELA, 'prdntl_prtfl' AS CAMPO, '2025-06-30' as ref_date, coalesce(NUM_REG_DIF, 0) AS NUM_REG_DIF FROM (SELECT count(*) AS NUM_REG_DIF FROM (SELECT instrmnt_id as instrmnt_id_as_is, prdntl_prtfl as prdntl_prtfl_as_is FROM cd_loan_tapes_bce.lt002_instrument WHERE ref_date='2025-06-30' AND nome_perimetro= 'Individual IDComb' AND segmento= 'ESTR' AND ambito= 'PM' AND entidade='00100' AND cod_visao = 1) A  Inner join (SELECT instrmnt_id as instrmnt_id_to_be, prdntl_prtfl as prdntl_prtfl_to_be FROM bu_loantape_work.lt002_instrument WHERE ref_date='2025-06-30' AND nome_perimetro= 'Individual IDComb' AND segmento= 'ESTR' AND ambito= 'PM' AND entidade='00100' AND cod_visao = 1) B ON instrmnt_id_as_is = instrmnt_id_to_be WHERE coalesce(cast(prdntl_prtfl_as_is as string), '') &lt;&gt; coalesce(cast(prdntl_prtfl_to_be as string), '') ) A </v>
      </c>
      <c r="O257" s="19" t="str">
        <f t="shared" ref="O257:O318" si="53">IF(O258="",N257,N257&amp;$O$3)</f>
        <v>SELECT 'Validação de campos' as tipologia_teste, 'lt002_instrument' AS TABELA, 'prdntl_prtfl' AS CAMPO, '2025-06-30' as ref_date, coalesce(NUM_REG_DIF, 0) AS NUM_REG_DIF FROM (SELECT count(*) AS NUM_REG_DIF FROM (SELECT instrmnt_id as instrmnt_id_as_is, prdntl_prtfl as prdntl_prtfl_as_is FROM cd_loan_tapes_bce.lt002_instrument WHERE ref_date='2025-06-30' AND nome_perimetro= 'Individual IDComb' AND segmento= 'ESTR' AND ambito= 'PM' AND entidade='00100' AND cod_visao = 1) A  Inner join (SELECT instrmnt_id as instrmnt_id_to_be, prdntl_prtfl as prdntl_prtfl_to_be FROM bu_loantape_work.lt002_instrument WHERE ref_date='2025-06-30' AND nome_perimetro= 'Individual IDComb' AND segmento= 'ESTR' AND ambito= 'PM' AND entidade='00100' AND cod_visao = 1) B ON instrmnt_id_as_is = instrmnt_id_to_be WHERE coalesce(cast(prdntl_prtfl_as_is as string), '') &lt;&gt; coalesce(cast(prdntl_prtfl_to_be as string), '') ) A UNION ALL</v>
      </c>
      <c r="P257" s="17">
        <f t="shared" si="52"/>
        <v>2</v>
      </c>
    </row>
    <row r="258" spans="2:16" s="15" customFormat="1" ht="11.5" x14ac:dyDescent="0.25">
      <c r="B258" s="17" t="s">
        <v>24</v>
      </c>
      <c r="C258" s="17" t="str">
        <f>_xlfn.CONCAT(Instruções!$D$5,".",VLOOKUP(B258,Instruções!$F$5:$H$10,2,0))</f>
        <v>cd_loan_tapes_bce.lt002_instrument</v>
      </c>
      <c r="D258" s="17" t="str">
        <f>_xlfn.CONCAT(Instruções!$D$6,".",VLOOKUP(B258,Instruções!$F$5:$H$10,3,0))</f>
        <v>bu_loantape_work.lt002_instrument</v>
      </c>
      <c r="E258" s="17" t="s">
        <v>274</v>
      </c>
      <c r="F258" s="17" t="str">
        <f t="shared" si="49"/>
        <v>prfrmng_stts_as_is</v>
      </c>
      <c r="G258" s="17" t="str">
        <f t="shared" si="50"/>
        <v>prfrmng_stts_to_be</v>
      </c>
      <c r="H258" s="17" t="str">
        <f>IF(VLOOKUP(B258,Instruções!$F$6:$J$10,5,0)="",
"(SELECT "&amp;VLOOKUP(B258,Instruções!$F$6:$J$10,4,0)&amp;" as "&amp;VLOOKUP(B258,Instruções!$F$6:$J$10,4,0)&amp;"_as_is, "&amp;E258&amp;" as "&amp;F258&amp;" FROM "&amp;C258&amp;" WHERE "&amp;Instruções!$D$11&amp;") A ",
"(SELECT "&amp;VLOOKUP(B258,Instruções!$F$6:$J$10,4,0)&amp;" as "&amp;VLOOKUP(B258,Instruções!$F$6:$J$10,4,0)&amp;"_as_is, "&amp;VLOOKUP(B258,Instruções!$F$6:$J$10,5,0)&amp;" as "&amp;VLOOKUP(B258,Instruções!$F$6:$J$10,5,0)&amp;"_as_is,"&amp;E258&amp;" as "&amp;F258&amp;" FROM "&amp;C258&amp;" WHERE "&amp;Instruções!$D$11&amp;") A ")</f>
        <v xml:space="preserve">(SELECT instrmnt_id as instrmnt_id_as_is, prfrmng_stts as prfrmng_stts_as_is FROM cd_loan_tapes_bce.lt002_instrument WHERE ref_date='2025-06-30' AND nome_perimetro= 'Individual IDComb' AND segmento= 'ESTR' AND ambito= 'PM' AND entidade='00100' AND cod_visao = 1) A </v>
      </c>
      <c r="I258" s="17" t="str">
        <f>IF(VLOOKUP(B258,Instruções!$F$6:$J$10,5,0)="",
"(SELECT "&amp;VLOOKUP(B258,Instruções!$F$6:$J$10,4,0)&amp;" as "&amp;VLOOKUP(B258,Instruções!$F$6:$J$10,4,0)&amp;"_to_be, "&amp;E258&amp;" as "&amp;G258&amp;" FROM "&amp;D258&amp;" WHERE "&amp;Instruções!$D$11&amp;") B ",
"(SELECT "&amp;VLOOKUP(B258,Instruções!$F$6:$J$10,4,0)&amp;" as "&amp;VLOOKUP(B258,Instruções!$F$6:$J$10,4,0)&amp;"_to_be, "&amp;VLOOKUP(B258,Instruções!$F$6:$J$10,5,0)&amp;" as "&amp;VLOOKUP(B258,Instruções!$F$6:$J$10,5,0)&amp;"_to_be,"&amp;E258&amp;" as "&amp;G258&amp;" FROM "&amp;D258&amp;" WHERE "&amp;Instruções!$D$11&amp;") B ")</f>
        <v xml:space="preserve">(SELECT instrmnt_id as instrmnt_id_to_be, prfrmng_stts as prfrmng_stts_to_be FROM bu_loantape_work.lt002_instrument WHERE ref_date='2025-06-30' AND nome_perimetro= 'Individual IDComb' AND segmento= 'ESTR' AND ambito= 'PM' AND entidade='00100' AND cod_visao = 1) B </v>
      </c>
      <c r="J258" s="17" t="str">
        <f>IF(VLOOKUP(B258,Instruções!$F$6:$J$10,5,0)="",
"ON "&amp;VLOOKUP(B258,Instruções!$F$6:$J$10,4,0)&amp;"_as_is = "&amp;VLOOKUP(B258,Instruções!$F$6:$J$10,4,0)&amp;"_to_be ",
"ON "&amp;VLOOKUP(B258,Instruções!$F$6:$J$10,4,0)&amp;"_as_is = "&amp;VLOOKUP(B258,Instruções!$F$6:$J$10,4,0)&amp;"_to_be AND "&amp;VLOOKUP(B258,Instruções!$F$6:$J$10,5,0)&amp;"_as_is = "&amp;VLOOKUP(B258,Instruções!$F$6:$J$10,5,0)&amp;"_to_be ")</f>
        <v xml:space="preserve">ON instrmnt_id_as_is = instrmnt_id_to_be </v>
      </c>
      <c r="K258" s="17" t="str">
        <f t="shared" si="51"/>
        <v xml:space="preserve">WHERE coalesce(cast(prfrmng_stts_as_is as string), '') &lt;&gt; coalesce(cast(prfrmng_stts_to_be as string), '') </v>
      </c>
      <c r="L258" s="17" t="str">
        <f t="shared" ref="L258:L334" si="54">"SELECT count(*) AS NUM_REG_DIF FROM "&amp;H258&amp;" Inner join "&amp;I258&amp;J258&amp;K258</f>
        <v xml:space="preserve">SELECT count(*) AS NUM_REG_DIF FROM (SELECT instrmnt_id as instrmnt_id_as_is, prfrmng_stts as prfrmng_stts_as_is FROM cd_loan_tapes_bce.lt002_instrument WHERE ref_date='2025-06-30' AND nome_perimetro= 'Individual IDComb' AND segmento= 'ESTR' AND ambito= 'PM' AND entidade='00100' AND cod_visao = 1) A  Inner join (SELECT instrmnt_id as instrmnt_id_to_be, prfrmng_stts as prfrmng_stts_to_be FROM bu_loantape_work.lt002_instrument WHERE ref_date='2025-06-30' AND nome_perimetro= 'Individual IDComb' AND segmento= 'ESTR' AND ambito= 'PM' AND entidade='00100' AND cod_visao = 1) B ON instrmnt_id_as_is = instrmnt_id_to_be WHERE coalesce(cast(prfrmng_stts_as_is as string), '') &lt;&gt; coalesce(cast(prfrmng_stts_to_be as string), '') </v>
      </c>
      <c r="M258" s="17" t="s">
        <v>48</v>
      </c>
      <c r="N258" s="17" t="str">
        <f>"SELECT 'Validação de campos' as tipologia_teste, '"&amp;VLOOKUP(B258,Instruções!$F$6:$J$10,3,0)&amp;"' AS TABELA, '"&amp;E258&amp;"' AS CAMPO, '"&amp;Instruções!$D$7&amp;"' as ref_date, coalesce(NUM_REG_DIF, 0) AS NUM_REG_DIF FROM ("&amp;L258&amp;") A "</f>
        <v xml:space="preserve">SELECT 'Validação de campos' as tipologia_teste, 'lt002_instrument' AS TABELA, 'prfrmng_stts' AS CAMPO, '2025-06-30' as ref_date, coalesce(NUM_REG_DIF, 0) AS NUM_REG_DIF FROM (SELECT count(*) AS NUM_REG_DIF FROM (SELECT instrmnt_id as instrmnt_id_as_is, prfrmng_stts as prfrmng_stts_as_is FROM cd_loan_tapes_bce.lt002_instrument WHERE ref_date='2025-06-30' AND nome_perimetro= 'Individual IDComb' AND segmento= 'ESTR' AND ambito= 'PM' AND entidade='00100' AND cod_visao = 1) A  Inner join (SELECT instrmnt_id as instrmnt_id_to_be, prfrmng_stts as prfrmng_stts_to_be FROM bu_loantape_work.lt002_instrument WHERE ref_date='2025-06-30' AND nome_perimetro= 'Individual IDComb' AND segmento= 'ESTR' AND ambito= 'PM' AND entidade='00100' AND cod_visao = 1) B ON instrmnt_id_as_is = instrmnt_id_to_be WHERE coalesce(cast(prfrmng_stts_as_is as string), '') &lt;&gt; coalesce(cast(prfrmng_stts_to_be as string), '') ) A </v>
      </c>
      <c r="O258" s="19" t="str">
        <f t="shared" si="53"/>
        <v>SELECT 'Validação de campos' as tipologia_teste, 'lt002_instrument' AS TABELA, 'prfrmng_stts' AS CAMPO, '2025-06-30' as ref_date, coalesce(NUM_REG_DIF, 0) AS NUM_REG_DIF FROM (SELECT count(*) AS NUM_REG_DIF FROM (SELECT instrmnt_id as instrmnt_id_as_is, prfrmng_stts as prfrmng_stts_as_is FROM cd_loan_tapes_bce.lt002_instrument WHERE ref_date='2025-06-30' AND nome_perimetro= 'Individual IDComb' AND segmento= 'ESTR' AND ambito= 'PM' AND entidade='00100' AND cod_visao = 1) A  Inner join (SELECT instrmnt_id as instrmnt_id_to_be, prfrmng_stts as prfrmng_stts_to_be FROM bu_loantape_work.lt002_instrument WHERE ref_date='2025-06-30' AND nome_perimetro= 'Individual IDComb' AND segmento= 'ESTR' AND ambito= 'PM' AND entidade='00100' AND cod_visao = 1) B ON instrmnt_id_as_is = instrmnt_id_to_be WHERE coalesce(cast(prfrmng_stts_as_is as string), '') &lt;&gt; coalesce(cast(prfrmng_stts_to_be as string), '') ) A UNION ALL</v>
      </c>
      <c r="P258" s="17">
        <f t="shared" si="52"/>
        <v>3</v>
      </c>
    </row>
    <row r="259" spans="2:16" s="15" customFormat="1" ht="11.5" x14ac:dyDescent="0.25">
      <c r="B259" s="17" t="s">
        <v>24</v>
      </c>
      <c r="C259" s="17" t="str">
        <f>_xlfn.CONCAT(Instruções!$D$5,".",VLOOKUP(B259,Instruções!$F$5:$H$10,2,0))</f>
        <v>cd_loan_tapes_bce.lt002_instrument</v>
      </c>
      <c r="D259" s="17" t="str">
        <f>_xlfn.CONCAT(Instruções!$D$6,".",VLOOKUP(B259,Instruções!$F$5:$H$10,3,0))</f>
        <v>bu_loantape_work.lt002_instrument</v>
      </c>
      <c r="E259" s="17" t="s">
        <v>275</v>
      </c>
      <c r="F259" s="17" t="str">
        <f t="shared" si="49"/>
        <v>prfrmng_stts_prvs_as_is</v>
      </c>
      <c r="G259" s="17" t="str">
        <f t="shared" si="50"/>
        <v>prfrmng_stts_prvs_to_be</v>
      </c>
      <c r="H259" s="17" t="str">
        <f>IF(VLOOKUP(B259,Instruções!$F$6:$J$10,5,0)="",
"(SELECT "&amp;VLOOKUP(B259,Instruções!$F$6:$J$10,4,0)&amp;" as "&amp;VLOOKUP(B259,Instruções!$F$6:$J$10,4,0)&amp;"_as_is, "&amp;E259&amp;" as "&amp;F259&amp;" FROM "&amp;C259&amp;" WHERE "&amp;Instruções!$D$11&amp;") A ",
"(SELECT "&amp;VLOOKUP(B259,Instruções!$F$6:$J$10,4,0)&amp;" as "&amp;VLOOKUP(B259,Instruções!$F$6:$J$10,4,0)&amp;"_as_is, "&amp;VLOOKUP(B259,Instruções!$F$6:$J$10,5,0)&amp;" as "&amp;VLOOKUP(B259,Instruções!$F$6:$J$10,5,0)&amp;"_as_is,"&amp;E259&amp;" as "&amp;F259&amp;" FROM "&amp;C259&amp;" WHERE "&amp;Instruções!$D$11&amp;") A ")</f>
        <v xml:space="preserve">(SELECT instrmnt_id as instrmnt_id_as_is, prfrmng_stts_prvs as prfrmng_stts_prvs_as_is FROM cd_loan_tapes_bce.lt002_instrument WHERE ref_date='2025-06-30' AND nome_perimetro= 'Individual IDComb' AND segmento= 'ESTR' AND ambito= 'PM' AND entidade='00100' AND cod_visao = 1) A </v>
      </c>
      <c r="I259" s="17" t="str">
        <f>IF(VLOOKUP(B259,Instruções!$F$6:$J$10,5,0)="",
"(SELECT "&amp;VLOOKUP(B259,Instruções!$F$6:$J$10,4,0)&amp;" as "&amp;VLOOKUP(B259,Instruções!$F$6:$J$10,4,0)&amp;"_to_be, "&amp;E259&amp;" as "&amp;G259&amp;" FROM "&amp;D259&amp;" WHERE "&amp;Instruções!$D$11&amp;") B ",
"(SELECT "&amp;VLOOKUP(B259,Instruções!$F$6:$J$10,4,0)&amp;" as "&amp;VLOOKUP(B259,Instruções!$F$6:$J$10,4,0)&amp;"_to_be, "&amp;VLOOKUP(B259,Instruções!$F$6:$J$10,5,0)&amp;" as "&amp;VLOOKUP(B259,Instruções!$F$6:$J$10,5,0)&amp;"_to_be,"&amp;E259&amp;" as "&amp;G259&amp;" FROM "&amp;D259&amp;" WHERE "&amp;Instruções!$D$11&amp;") B ")</f>
        <v xml:space="preserve">(SELECT instrmnt_id as instrmnt_id_to_be, prfrmng_stts_prvs as prfrmng_stts_prvs_to_be FROM bu_loantape_work.lt002_instrument WHERE ref_date='2025-06-30' AND nome_perimetro= 'Individual IDComb' AND segmento= 'ESTR' AND ambito= 'PM' AND entidade='00100' AND cod_visao = 1) B </v>
      </c>
      <c r="J259" s="17" t="str">
        <f>IF(VLOOKUP(B259,Instruções!$F$6:$J$10,5,0)="",
"ON "&amp;VLOOKUP(B259,Instruções!$F$6:$J$10,4,0)&amp;"_as_is = "&amp;VLOOKUP(B259,Instruções!$F$6:$J$10,4,0)&amp;"_to_be ",
"ON "&amp;VLOOKUP(B259,Instruções!$F$6:$J$10,4,0)&amp;"_as_is = "&amp;VLOOKUP(B259,Instruções!$F$6:$J$10,4,0)&amp;"_to_be AND "&amp;VLOOKUP(B259,Instruções!$F$6:$J$10,5,0)&amp;"_as_is = "&amp;VLOOKUP(B259,Instruções!$F$6:$J$10,5,0)&amp;"_to_be ")</f>
        <v xml:space="preserve">ON instrmnt_id_as_is = instrmnt_id_to_be </v>
      </c>
      <c r="K259" s="17" t="str">
        <f t="shared" si="51"/>
        <v xml:space="preserve">WHERE coalesce(cast(prfrmng_stts_prvs_as_is as string), '') &lt;&gt; coalesce(cast(prfrmng_stts_prvs_to_be as string), '') </v>
      </c>
      <c r="L259" s="17" t="str">
        <f t="shared" si="54"/>
        <v xml:space="preserve">SELECT count(*) AS NUM_REG_DIF FROM (SELECT instrmnt_id as instrmnt_id_as_is, prfrmng_stts_prvs as prfrmng_stts_prvs_as_is FROM cd_loan_tapes_bce.lt002_instrument WHERE ref_date='2025-06-30' AND nome_perimetro= 'Individual IDComb' AND segmento= 'ESTR' AND ambito= 'PM' AND entidade='00100' AND cod_visao = 1) A  Inner join (SELECT instrmnt_id as instrmnt_id_to_be, prfrmng_stts_prvs as prfrmng_stts_prvs_to_be FROM bu_loantape_work.lt002_instrument WHERE ref_date='2025-06-30' AND nome_perimetro= 'Individual IDComb' AND segmento= 'ESTR' AND ambito= 'PM' AND entidade='00100' AND cod_visao = 1) B ON instrmnt_id_as_is = instrmnt_id_to_be WHERE coalesce(cast(prfrmng_stts_prvs_as_is as string), '') &lt;&gt; coalesce(cast(prfrmng_stts_prvs_to_be as string), '') </v>
      </c>
      <c r="M259" s="17" t="s">
        <v>48</v>
      </c>
      <c r="N259" s="17" t="str">
        <f>"SELECT 'Validação de campos' as tipologia_teste, '"&amp;VLOOKUP(B259,Instruções!$F$6:$J$10,3,0)&amp;"' AS TABELA, '"&amp;E259&amp;"' AS CAMPO, '"&amp;Instruções!$D$7&amp;"' as ref_date, coalesce(NUM_REG_DIF, 0) AS NUM_REG_DIF FROM ("&amp;L259&amp;") A "</f>
        <v xml:space="preserve">SELECT 'Validação de campos' as tipologia_teste, 'lt002_instrument' AS TABELA, 'prfrmng_stts_prvs' AS CAMPO, '2025-06-30' as ref_date, coalesce(NUM_REG_DIF, 0) AS NUM_REG_DIF FROM (SELECT count(*) AS NUM_REG_DIF FROM (SELECT instrmnt_id as instrmnt_id_as_is, prfrmng_stts_prvs as prfrmng_stts_prvs_as_is FROM cd_loan_tapes_bce.lt002_instrument WHERE ref_date='2025-06-30' AND nome_perimetro= 'Individual IDComb' AND segmento= 'ESTR' AND ambito= 'PM' AND entidade='00100' AND cod_visao = 1) A  Inner join (SELECT instrmnt_id as instrmnt_id_to_be, prfrmng_stts_prvs as prfrmng_stts_prvs_to_be FROM bu_loantape_work.lt002_instrument WHERE ref_date='2025-06-30' AND nome_perimetro= 'Individual IDComb' AND segmento= 'ESTR' AND ambito= 'PM' AND entidade='00100' AND cod_visao = 1) B ON instrmnt_id_as_is = instrmnt_id_to_be WHERE coalesce(cast(prfrmng_stts_prvs_as_is as string), '') &lt;&gt; coalesce(cast(prfrmng_stts_prvs_to_be as string), '') ) A </v>
      </c>
      <c r="O259" s="19" t="str">
        <f t="shared" si="53"/>
        <v>SELECT 'Validação de campos' as tipologia_teste, 'lt002_instrument' AS TABELA, 'prfrmng_stts_prvs' AS CAMPO, '2025-06-30' as ref_date, coalesce(NUM_REG_DIF, 0) AS NUM_REG_DIF FROM (SELECT count(*) AS NUM_REG_DIF FROM (SELECT instrmnt_id as instrmnt_id_as_is, prfrmng_stts_prvs as prfrmng_stts_prvs_as_is FROM cd_loan_tapes_bce.lt002_instrument WHERE ref_date='2025-06-30' AND nome_perimetro= 'Individual IDComb' AND segmento= 'ESTR' AND ambito= 'PM' AND entidade='00100' AND cod_visao = 1) A  Inner join (SELECT instrmnt_id as instrmnt_id_to_be, prfrmng_stts_prvs as prfrmng_stts_prvs_to_be FROM bu_loantape_work.lt002_instrument WHERE ref_date='2025-06-30' AND nome_perimetro= 'Individual IDComb' AND segmento= 'ESTR' AND ambito= 'PM' AND entidade='00100' AND cod_visao = 1) B ON instrmnt_id_as_is = instrmnt_id_to_be WHERE coalesce(cast(prfrmng_stts_prvs_as_is as string), '') &lt;&gt; coalesce(cast(prfrmng_stts_prvs_to_be as string), '') ) A UNION ALL</v>
      </c>
      <c r="P259" s="17">
        <f t="shared" si="52"/>
        <v>4</v>
      </c>
    </row>
    <row r="260" spans="2:16" s="15" customFormat="1" ht="11.5" x14ac:dyDescent="0.25">
      <c r="B260" s="17" t="s">
        <v>24</v>
      </c>
      <c r="C260" s="17" t="str">
        <f>_xlfn.CONCAT(Instruções!$D$5,".",VLOOKUP(B260,Instruções!$F$5:$H$10,2,0))</f>
        <v>cd_loan_tapes_bce.lt002_instrument</v>
      </c>
      <c r="D260" s="17" t="str">
        <f>_xlfn.CONCAT(Instruções!$D$6,".",VLOOKUP(B260,Instruções!$F$5:$H$10,3,0))</f>
        <v>bu_loantape_work.lt002_instrument</v>
      </c>
      <c r="E260" s="17" t="s">
        <v>276</v>
      </c>
      <c r="F260" s="17" t="str">
        <f t="shared" si="49"/>
        <v>prjct_fnnc_ln_as_is</v>
      </c>
      <c r="G260" s="17" t="str">
        <f t="shared" si="50"/>
        <v>prjct_fnnc_ln_to_be</v>
      </c>
      <c r="H260" s="17" t="str">
        <f>IF(VLOOKUP(B260,Instruções!$F$6:$J$10,5,0)="",
"(SELECT "&amp;VLOOKUP(B260,Instruções!$F$6:$J$10,4,0)&amp;" as "&amp;VLOOKUP(B260,Instruções!$F$6:$J$10,4,0)&amp;"_as_is, "&amp;E260&amp;" as "&amp;F260&amp;" FROM "&amp;C260&amp;" WHERE "&amp;Instruções!$D$11&amp;") A ",
"(SELECT "&amp;VLOOKUP(B260,Instruções!$F$6:$J$10,4,0)&amp;" as "&amp;VLOOKUP(B260,Instruções!$F$6:$J$10,4,0)&amp;"_as_is, "&amp;VLOOKUP(B260,Instruções!$F$6:$J$10,5,0)&amp;" as "&amp;VLOOKUP(B260,Instruções!$F$6:$J$10,5,0)&amp;"_as_is,"&amp;E260&amp;" as "&amp;F260&amp;" FROM "&amp;C260&amp;" WHERE "&amp;Instruções!$D$11&amp;") A ")</f>
        <v xml:space="preserve">(SELECT instrmnt_id as instrmnt_id_as_is, prjct_fnnc_ln as prjct_fnnc_ln_as_is FROM cd_loan_tapes_bce.lt002_instrument WHERE ref_date='2025-06-30' AND nome_perimetro= 'Individual IDComb' AND segmento= 'ESTR' AND ambito= 'PM' AND entidade='00100' AND cod_visao = 1) A </v>
      </c>
      <c r="I260" s="17" t="str">
        <f>IF(VLOOKUP(B260,Instruções!$F$6:$J$10,5,0)="",
"(SELECT "&amp;VLOOKUP(B260,Instruções!$F$6:$J$10,4,0)&amp;" as "&amp;VLOOKUP(B260,Instruções!$F$6:$J$10,4,0)&amp;"_to_be, "&amp;E260&amp;" as "&amp;G260&amp;" FROM "&amp;D260&amp;" WHERE "&amp;Instruções!$D$11&amp;") B ",
"(SELECT "&amp;VLOOKUP(B260,Instruções!$F$6:$J$10,4,0)&amp;" as "&amp;VLOOKUP(B260,Instruções!$F$6:$J$10,4,0)&amp;"_to_be, "&amp;VLOOKUP(B260,Instruções!$F$6:$J$10,5,0)&amp;" as "&amp;VLOOKUP(B260,Instruções!$F$6:$J$10,5,0)&amp;"_to_be,"&amp;E260&amp;" as "&amp;G260&amp;" FROM "&amp;D260&amp;" WHERE "&amp;Instruções!$D$11&amp;") B ")</f>
        <v xml:space="preserve">(SELECT instrmnt_id as instrmnt_id_to_be, prjct_fnnc_ln as prjct_fnnc_ln_to_be FROM bu_loantape_work.lt002_instrument WHERE ref_date='2025-06-30' AND nome_perimetro= 'Individual IDComb' AND segmento= 'ESTR' AND ambito= 'PM' AND entidade='00100' AND cod_visao = 1) B </v>
      </c>
      <c r="J260" s="17" t="str">
        <f>IF(VLOOKUP(B260,Instruções!$F$6:$J$10,5,0)="",
"ON "&amp;VLOOKUP(B260,Instruções!$F$6:$J$10,4,0)&amp;"_as_is = "&amp;VLOOKUP(B260,Instruções!$F$6:$J$10,4,0)&amp;"_to_be ",
"ON "&amp;VLOOKUP(B260,Instruções!$F$6:$J$10,4,0)&amp;"_as_is = "&amp;VLOOKUP(B260,Instruções!$F$6:$J$10,4,0)&amp;"_to_be AND "&amp;VLOOKUP(B260,Instruções!$F$6:$J$10,5,0)&amp;"_as_is = "&amp;VLOOKUP(B260,Instruções!$F$6:$J$10,5,0)&amp;"_to_be ")</f>
        <v xml:space="preserve">ON instrmnt_id_as_is = instrmnt_id_to_be </v>
      </c>
      <c r="K260" s="17" t="str">
        <f t="shared" si="51"/>
        <v xml:space="preserve">WHERE coalesce(cast(prjct_fnnc_ln_as_is as string), '') &lt;&gt; coalesce(cast(prjct_fnnc_ln_to_be as string), '') </v>
      </c>
      <c r="L260" s="17" t="str">
        <f t="shared" si="54"/>
        <v xml:space="preserve">SELECT count(*) AS NUM_REG_DIF FROM (SELECT instrmnt_id as instrmnt_id_as_is, prjct_fnnc_ln as prjct_fnnc_ln_as_is FROM cd_loan_tapes_bce.lt002_instrument WHERE ref_date='2025-06-30' AND nome_perimetro= 'Individual IDComb' AND segmento= 'ESTR' AND ambito= 'PM' AND entidade='00100' AND cod_visao = 1) A  Inner join (SELECT instrmnt_id as instrmnt_id_to_be, prjct_fnnc_ln as prjct_fnnc_ln_to_be FROM bu_loantape_work.lt002_instrument WHERE ref_date='2025-06-30' AND nome_perimetro= 'Individual IDComb' AND segmento= 'ESTR' AND ambito= 'PM' AND entidade='00100' AND cod_visao = 1) B ON instrmnt_id_as_is = instrmnt_id_to_be WHERE coalesce(cast(prjct_fnnc_ln_as_is as string), '') &lt;&gt; coalesce(cast(prjct_fnnc_ln_to_be as string), '') </v>
      </c>
      <c r="M260" s="17" t="s">
        <v>48</v>
      </c>
      <c r="N260" s="17" t="str">
        <f>"SELECT 'Validação de campos' as tipologia_teste, '"&amp;VLOOKUP(B260,Instruções!$F$6:$J$10,3,0)&amp;"' AS TABELA, '"&amp;E260&amp;"' AS CAMPO, '"&amp;Instruções!$D$7&amp;"' as ref_date, coalesce(NUM_REG_DIF, 0) AS NUM_REG_DIF FROM ("&amp;L260&amp;") A "</f>
        <v xml:space="preserve">SELECT 'Validação de campos' as tipologia_teste, 'lt002_instrument' AS TABELA, 'prjct_fnnc_ln' AS CAMPO, '2025-06-30' as ref_date, coalesce(NUM_REG_DIF, 0) AS NUM_REG_DIF FROM (SELECT count(*) AS NUM_REG_DIF FROM (SELECT instrmnt_id as instrmnt_id_as_is, prjct_fnnc_ln as prjct_fnnc_ln_as_is FROM cd_loan_tapes_bce.lt002_instrument WHERE ref_date='2025-06-30' AND nome_perimetro= 'Individual IDComb' AND segmento= 'ESTR' AND ambito= 'PM' AND entidade='00100' AND cod_visao = 1) A  Inner join (SELECT instrmnt_id as instrmnt_id_to_be, prjct_fnnc_ln as prjct_fnnc_ln_to_be FROM bu_loantape_work.lt002_instrument WHERE ref_date='2025-06-30' AND nome_perimetro= 'Individual IDComb' AND segmento= 'ESTR' AND ambito= 'PM' AND entidade='00100' AND cod_visao = 1) B ON instrmnt_id_as_is = instrmnt_id_to_be WHERE coalesce(cast(prjct_fnnc_ln_as_is as string), '') &lt;&gt; coalesce(cast(prjct_fnnc_ln_to_be as string), '') ) A </v>
      </c>
      <c r="O260" s="19" t="str">
        <f t="shared" si="53"/>
        <v>SELECT 'Validação de campos' as tipologia_teste, 'lt002_instrument' AS TABELA, 'prjct_fnnc_ln' AS CAMPO, '2025-06-30' as ref_date, coalesce(NUM_REG_DIF, 0) AS NUM_REG_DIF FROM (SELECT count(*) AS NUM_REG_DIF FROM (SELECT instrmnt_id as instrmnt_id_as_is, prjct_fnnc_ln as prjct_fnnc_ln_as_is FROM cd_loan_tapes_bce.lt002_instrument WHERE ref_date='2025-06-30' AND nome_perimetro= 'Individual IDComb' AND segmento= 'ESTR' AND ambito= 'PM' AND entidade='00100' AND cod_visao = 1) A  Inner join (SELECT instrmnt_id as instrmnt_id_to_be, prjct_fnnc_ln as prjct_fnnc_ln_to_be FROM bu_loantape_work.lt002_instrument WHERE ref_date='2025-06-30' AND nome_perimetro= 'Individual IDComb' AND segmento= 'ESTR' AND ambito= 'PM' AND entidade='00100' AND cod_visao = 1) B ON instrmnt_id_as_is = instrmnt_id_to_be WHERE coalesce(cast(prjct_fnnc_ln_as_is as string), '') &lt;&gt; coalesce(cast(prjct_fnnc_ln_to_be as string), '') ) A UNION ALL</v>
      </c>
      <c r="P260" s="17">
        <f t="shared" si="52"/>
        <v>5</v>
      </c>
    </row>
    <row r="261" spans="2:16" s="15" customFormat="1" ht="11.5" x14ac:dyDescent="0.25">
      <c r="B261" s="17" t="s">
        <v>24</v>
      </c>
      <c r="C261" s="17" t="str">
        <f>_xlfn.CONCAT(Instruções!$D$5,".",VLOOKUP(B261,Instruções!$F$5:$H$10,2,0))</f>
        <v>cd_loan_tapes_bce.lt002_instrument</v>
      </c>
      <c r="D261" s="17" t="str">
        <f>_xlfn.CONCAT(Instruções!$D$6,".",VLOOKUP(B261,Instruções!$F$5:$H$10,3,0))</f>
        <v>bu_loantape_work.lt002_instrument</v>
      </c>
      <c r="E261" s="17" t="s">
        <v>277</v>
      </c>
      <c r="F261" s="17" t="str">
        <f t="shared" si="49"/>
        <v>prmry_asst_clssf_as_is</v>
      </c>
      <c r="G261" s="17" t="str">
        <f t="shared" si="50"/>
        <v>prmry_asst_clssf_to_be</v>
      </c>
      <c r="H261" s="17" t="str">
        <f>IF(VLOOKUP(B261,Instruções!$F$6:$J$10,5,0)="",
"(SELECT "&amp;VLOOKUP(B261,Instruções!$F$6:$J$10,4,0)&amp;" as "&amp;VLOOKUP(B261,Instruções!$F$6:$J$10,4,0)&amp;"_as_is, "&amp;E261&amp;" as "&amp;F261&amp;" FROM "&amp;C261&amp;" WHERE "&amp;Instruções!$D$11&amp;") A ",
"(SELECT "&amp;VLOOKUP(B261,Instruções!$F$6:$J$10,4,0)&amp;" as "&amp;VLOOKUP(B261,Instruções!$F$6:$J$10,4,0)&amp;"_as_is, "&amp;VLOOKUP(B261,Instruções!$F$6:$J$10,5,0)&amp;" as "&amp;VLOOKUP(B261,Instruções!$F$6:$J$10,5,0)&amp;"_as_is,"&amp;E261&amp;" as "&amp;F261&amp;" FROM "&amp;C261&amp;" WHERE "&amp;Instruções!$D$11&amp;") A ")</f>
        <v xml:space="preserve">(SELECT instrmnt_id as instrmnt_id_as_is, prmry_asst_clssf as prmry_asst_clssf_as_is FROM cd_loan_tapes_bce.lt002_instrument WHERE ref_date='2025-06-30' AND nome_perimetro= 'Individual IDComb' AND segmento= 'ESTR' AND ambito= 'PM' AND entidade='00100' AND cod_visao = 1) A </v>
      </c>
      <c r="I261" s="17" t="str">
        <f>IF(VLOOKUP(B261,Instruções!$F$6:$J$10,5,0)="",
"(SELECT "&amp;VLOOKUP(B261,Instruções!$F$6:$J$10,4,0)&amp;" as "&amp;VLOOKUP(B261,Instruções!$F$6:$J$10,4,0)&amp;"_to_be, "&amp;E261&amp;" as "&amp;G261&amp;" FROM "&amp;D261&amp;" WHERE "&amp;Instruções!$D$11&amp;") B ",
"(SELECT "&amp;VLOOKUP(B261,Instruções!$F$6:$J$10,4,0)&amp;" as "&amp;VLOOKUP(B261,Instruções!$F$6:$J$10,4,0)&amp;"_to_be, "&amp;VLOOKUP(B261,Instruções!$F$6:$J$10,5,0)&amp;" as "&amp;VLOOKUP(B261,Instruções!$F$6:$J$10,5,0)&amp;"_to_be,"&amp;E261&amp;" as "&amp;G261&amp;" FROM "&amp;D261&amp;" WHERE "&amp;Instruções!$D$11&amp;") B ")</f>
        <v xml:space="preserve">(SELECT instrmnt_id as instrmnt_id_to_be, prmry_asst_clssf as prmry_asst_clssf_to_be FROM bu_loantape_work.lt002_instrument WHERE ref_date='2025-06-30' AND nome_perimetro= 'Individual IDComb' AND segmento= 'ESTR' AND ambito= 'PM' AND entidade='00100' AND cod_visao = 1) B </v>
      </c>
      <c r="J261" s="17" t="str">
        <f>IF(VLOOKUP(B261,Instruções!$F$6:$J$10,5,0)="",
"ON "&amp;VLOOKUP(B261,Instruções!$F$6:$J$10,4,0)&amp;"_as_is = "&amp;VLOOKUP(B261,Instruções!$F$6:$J$10,4,0)&amp;"_to_be ",
"ON "&amp;VLOOKUP(B261,Instruções!$F$6:$J$10,4,0)&amp;"_as_is = "&amp;VLOOKUP(B261,Instruções!$F$6:$J$10,4,0)&amp;"_to_be AND "&amp;VLOOKUP(B261,Instruções!$F$6:$J$10,5,0)&amp;"_as_is = "&amp;VLOOKUP(B261,Instruções!$F$6:$J$10,5,0)&amp;"_to_be ")</f>
        <v xml:space="preserve">ON instrmnt_id_as_is = instrmnt_id_to_be </v>
      </c>
      <c r="K261" s="17" t="str">
        <f t="shared" si="51"/>
        <v xml:space="preserve">WHERE coalesce(cast(prmry_asst_clssf_as_is as string), '') &lt;&gt; coalesce(cast(prmry_asst_clssf_to_be as string), '') </v>
      </c>
      <c r="L261" s="17" t="str">
        <f t="shared" si="54"/>
        <v xml:space="preserve">SELECT count(*) AS NUM_REG_DIF FROM (SELECT instrmnt_id as instrmnt_id_as_is, prmry_asst_clssf as prmry_asst_clssf_as_is FROM cd_loan_tapes_bce.lt002_instrument WHERE ref_date='2025-06-30' AND nome_perimetro= 'Individual IDComb' AND segmento= 'ESTR' AND ambito= 'PM' AND entidade='00100' AND cod_visao = 1) A  Inner join (SELECT instrmnt_id as instrmnt_id_to_be, prmry_asst_clssf as prmry_asst_clssf_to_be FROM bu_loantape_work.lt002_instrument WHERE ref_date='2025-06-30' AND nome_perimetro= 'Individual IDComb' AND segmento= 'ESTR' AND ambito= 'PM' AND entidade='00100' AND cod_visao = 1) B ON instrmnt_id_as_is = instrmnt_id_to_be WHERE coalesce(cast(prmry_asst_clssf_as_is as string), '') &lt;&gt; coalesce(cast(prmry_asst_clssf_to_be as string), '') </v>
      </c>
      <c r="M261" s="17" t="s">
        <v>48</v>
      </c>
      <c r="N261" s="17" t="str">
        <f>"SELECT 'Validação de campos' as tipologia_teste, '"&amp;VLOOKUP(B261,Instruções!$F$6:$J$10,3,0)&amp;"' AS TABELA, '"&amp;E261&amp;"' AS CAMPO, '"&amp;Instruções!$D$7&amp;"' as ref_date, coalesce(NUM_REG_DIF, 0) AS NUM_REG_DIF FROM ("&amp;L261&amp;") A "</f>
        <v xml:space="preserve">SELECT 'Validação de campos' as tipologia_teste, 'lt002_instrument' AS TABELA, 'prmry_asst_clssf' AS CAMPO, '2025-06-30' as ref_date, coalesce(NUM_REG_DIF, 0) AS NUM_REG_DIF FROM (SELECT count(*) AS NUM_REG_DIF FROM (SELECT instrmnt_id as instrmnt_id_as_is, prmry_asst_clssf as prmry_asst_clssf_as_is FROM cd_loan_tapes_bce.lt002_instrument WHERE ref_date='2025-06-30' AND nome_perimetro= 'Individual IDComb' AND segmento= 'ESTR' AND ambito= 'PM' AND entidade='00100' AND cod_visao = 1) A  Inner join (SELECT instrmnt_id as instrmnt_id_to_be, prmry_asst_clssf as prmry_asst_clssf_to_be FROM bu_loantape_work.lt002_instrument WHERE ref_date='2025-06-30' AND nome_perimetro= 'Individual IDComb' AND segmento= 'ESTR' AND ambito= 'PM' AND entidade='00100' AND cod_visao = 1) B ON instrmnt_id_as_is = instrmnt_id_to_be WHERE coalesce(cast(prmry_asst_clssf_as_is as string), '') &lt;&gt; coalesce(cast(prmry_asst_clssf_to_be as string), '') ) A </v>
      </c>
      <c r="O261" s="19" t="str">
        <f t="shared" si="53"/>
        <v>SELECT 'Validação de campos' as tipologia_teste, 'lt002_instrument' AS TABELA, 'prmry_asst_clssf' AS CAMPO, '2025-06-30' as ref_date, coalesce(NUM_REG_DIF, 0) AS NUM_REG_DIF FROM (SELECT count(*) AS NUM_REG_DIF FROM (SELECT instrmnt_id as instrmnt_id_as_is, prmry_asst_clssf as prmry_asst_clssf_as_is FROM cd_loan_tapes_bce.lt002_instrument WHERE ref_date='2025-06-30' AND nome_perimetro= 'Individual IDComb' AND segmento= 'ESTR' AND ambito= 'PM' AND entidade='00100' AND cod_visao = 1) A  Inner join (SELECT instrmnt_id as instrmnt_id_to_be, prmry_asst_clssf as prmry_asst_clssf_to_be FROM bu_loantape_work.lt002_instrument WHERE ref_date='2025-06-30' AND nome_perimetro= 'Individual IDComb' AND segmento= 'ESTR' AND ambito= 'PM' AND entidade='00100' AND cod_visao = 1) B ON instrmnt_id_as_is = instrmnt_id_to_be WHERE coalesce(cast(prmry_asst_clssf_as_is as string), '') &lt;&gt; coalesce(cast(prmry_asst_clssf_to_be as string), '') ) A UNION ALL</v>
      </c>
      <c r="P261" s="17">
        <f t="shared" si="52"/>
        <v>6</v>
      </c>
    </row>
    <row r="262" spans="2:16" s="15" customFormat="1" ht="11.5" x14ac:dyDescent="0.25">
      <c r="B262" s="17" t="s">
        <v>24</v>
      </c>
      <c r="C262" s="17" t="str">
        <f>_xlfn.CONCAT(Instruções!$D$5,".",VLOOKUP(B262,Instruções!$F$5:$H$10,2,0))</f>
        <v>cd_loan_tapes_bce.lt002_instrument</v>
      </c>
      <c r="D262" s="17" t="str">
        <f>_xlfn.CONCAT(Instruções!$D$6,".",VLOOKUP(B262,Instruções!$F$5:$H$10,3,0))</f>
        <v>bu_loantape_work.lt002_instrument</v>
      </c>
      <c r="E262" s="17" t="s">
        <v>278</v>
      </c>
      <c r="F262" s="17" t="str">
        <f t="shared" si="49"/>
        <v>prps_as_is</v>
      </c>
      <c r="G262" s="17" t="str">
        <f t="shared" si="50"/>
        <v>prps_to_be</v>
      </c>
      <c r="H262" s="17" t="str">
        <f>IF(VLOOKUP(B262,Instruções!$F$6:$J$10,5,0)="",
"(SELECT "&amp;VLOOKUP(B262,Instruções!$F$6:$J$10,4,0)&amp;" as "&amp;VLOOKUP(B262,Instruções!$F$6:$J$10,4,0)&amp;"_as_is, "&amp;E262&amp;" as "&amp;F262&amp;" FROM "&amp;C262&amp;" WHERE "&amp;Instruções!$D$11&amp;") A ",
"(SELECT "&amp;VLOOKUP(B262,Instruções!$F$6:$J$10,4,0)&amp;" as "&amp;VLOOKUP(B262,Instruções!$F$6:$J$10,4,0)&amp;"_as_is, "&amp;VLOOKUP(B262,Instruções!$F$6:$J$10,5,0)&amp;" as "&amp;VLOOKUP(B262,Instruções!$F$6:$J$10,5,0)&amp;"_as_is,"&amp;E262&amp;" as "&amp;F262&amp;" FROM "&amp;C262&amp;" WHERE "&amp;Instruções!$D$11&amp;") A ")</f>
        <v xml:space="preserve">(SELECT instrmnt_id as instrmnt_id_as_is, prps as prps_as_is FROM cd_loan_tapes_bce.lt002_instrument WHERE ref_date='2025-06-30' AND nome_perimetro= 'Individual IDComb' AND segmento= 'ESTR' AND ambito= 'PM' AND entidade='00100' AND cod_visao = 1) A </v>
      </c>
      <c r="I262" s="17" t="str">
        <f>IF(VLOOKUP(B262,Instruções!$F$6:$J$10,5,0)="",
"(SELECT "&amp;VLOOKUP(B262,Instruções!$F$6:$J$10,4,0)&amp;" as "&amp;VLOOKUP(B262,Instruções!$F$6:$J$10,4,0)&amp;"_to_be, "&amp;E262&amp;" as "&amp;G262&amp;" FROM "&amp;D262&amp;" WHERE "&amp;Instruções!$D$11&amp;") B ",
"(SELECT "&amp;VLOOKUP(B262,Instruções!$F$6:$J$10,4,0)&amp;" as "&amp;VLOOKUP(B262,Instruções!$F$6:$J$10,4,0)&amp;"_to_be, "&amp;VLOOKUP(B262,Instruções!$F$6:$J$10,5,0)&amp;" as "&amp;VLOOKUP(B262,Instruções!$F$6:$J$10,5,0)&amp;"_to_be,"&amp;E262&amp;" as "&amp;G262&amp;" FROM "&amp;D262&amp;" WHERE "&amp;Instruções!$D$11&amp;") B ")</f>
        <v xml:space="preserve">(SELECT instrmnt_id as instrmnt_id_to_be, prps as prps_to_be FROM bu_loantape_work.lt002_instrument WHERE ref_date='2025-06-30' AND nome_perimetro= 'Individual IDComb' AND segmento= 'ESTR' AND ambito= 'PM' AND entidade='00100' AND cod_visao = 1) B </v>
      </c>
      <c r="J262" s="17" t="str">
        <f>IF(VLOOKUP(B262,Instruções!$F$6:$J$10,5,0)="",
"ON "&amp;VLOOKUP(B262,Instruções!$F$6:$J$10,4,0)&amp;"_as_is = "&amp;VLOOKUP(B262,Instruções!$F$6:$J$10,4,0)&amp;"_to_be ",
"ON "&amp;VLOOKUP(B262,Instruções!$F$6:$J$10,4,0)&amp;"_as_is = "&amp;VLOOKUP(B262,Instruções!$F$6:$J$10,4,0)&amp;"_to_be AND "&amp;VLOOKUP(B262,Instruções!$F$6:$J$10,5,0)&amp;"_as_is = "&amp;VLOOKUP(B262,Instruções!$F$6:$J$10,5,0)&amp;"_to_be ")</f>
        <v xml:space="preserve">ON instrmnt_id_as_is = instrmnt_id_to_be </v>
      </c>
      <c r="K262" s="17" t="str">
        <f t="shared" si="51"/>
        <v xml:space="preserve">WHERE coalesce(cast(prps_as_is as string), '') &lt;&gt; coalesce(cast(prps_to_be as string), '') </v>
      </c>
      <c r="L262" s="17" t="str">
        <f t="shared" si="54"/>
        <v xml:space="preserve">SELECT count(*) AS NUM_REG_DIF FROM (SELECT instrmnt_id as instrmnt_id_as_is, prps as prps_as_is FROM cd_loan_tapes_bce.lt002_instrument WHERE ref_date='2025-06-30' AND nome_perimetro= 'Individual IDComb' AND segmento= 'ESTR' AND ambito= 'PM' AND entidade='00100' AND cod_visao = 1) A  Inner join (SELECT instrmnt_id as instrmnt_id_to_be, prps as prps_to_be FROM bu_loantape_work.lt002_instrument WHERE ref_date='2025-06-30' AND nome_perimetro= 'Individual IDComb' AND segmento= 'ESTR' AND ambito= 'PM' AND entidade='00100' AND cod_visao = 1) B ON instrmnt_id_as_is = instrmnt_id_to_be WHERE coalesce(cast(prps_as_is as string), '') &lt;&gt; coalesce(cast(prps_to_be as string), '') </v>
      </c>
      <c r="M262" s="17" t="s">
        <v>48</v>
      </c>
      <c r="N262" s="17" t="str">
        <f>"SELECT 'Validação de campos' as tipologia_teste, '"&amp;VLOOKUP(B262,Instruções!$F$6:$J$10,3,0)&amp;"' AS TABELA, '"&amp;E262&amp;"' AS CAMPO, '"&amp;Instruções!$D$7&amp;"' as ref_date, coalesce(NUM_REG_DIF, 0) AS NUM_REG_DIF FROM ("&amp;L262&amp;") A "</f>
        <v xml:space="preserve">SELECT 'Validação de campos' as tipologia_teste, 'lt002_instrument' AS TABELA, 'prps' AS CAMPO, '2025-06-30' as ref_date, coalesce(NUM_REG_DIF, 0) AS NUM_REG_DIF FROM (SELECT count(*) AS NUM_REG_DIF FROM (SELECT instrmnt_id as instrmnt_id_as_is, prps as prps_as_is FROM cd_loan_tapes_bce.lt002_instrument WHERE ref_date='2025-06-30' AND nome_perimetro= 'Individual IDComb' AND segmento= 'ESTR' AND ambito= 'PM' AND entidade='00100' AND cod_visao = 1) A  Inner join (SELECT instrmnt_id as instrmnt_id_to_be, prps as prps_to_be FROM bu_loantape_work.lt002_instrument WHERE ref_date='2025-06-30' AND nome_perimetro= 'Individual IDComb' AND segmento= 'ESTR' AND ambito= 'PM' AND entidade='00100' AND cod_visao = 1) B ON instrmnt_id_as_is = instrmnt_id_to_be WHERE coalesce(cast(prps_as_is as string), '') &lt;&gt; coalesce(cast(prps_to_be as string), '') ) A </v>
      </c>
      <c r="O262" s="19" t="str">
        <f t="shared" si="53"/>
        <v>SELECT 'Validação de campos' as tipologia_teste, 'lt002_instrument' AS TABELA, 'prps' AS CAMPO, '2025-06-30' as ref_date, coalesce(NUM_REG_DIF, 0) AS NUM_REG_DIF FROM (SELECT count(*) AS NUM_REG_DIF FROM (SELECT instrmnt_id as instrmnt_id_as_is, prps as prps_as_is FROM cd_loan_tapes_bce.lt002_instrument WHERE ref_date='2025-06-30' AND nome_perimetro= 'Individual IDComb' AND segmento= 'ESTR' AND ambito= 'PM' AND entidade='00100' AND cod_visao = 1) A  Inner join (SELECT instrmnt_id as instrmnt_id_to_be, prps as prps_to_be FROM bu_loantape_work.lt002_instrument WHERE ref_date='2025-06-30' AND nome_perimetro= 'Individual IDComb' AND segmento= 'ESTR' AND ambito= 'PM' AND entidade='00100' AND cod_visao = 1) B ON instrmnt_id_as_is = instrmnt_id_to_be WHERE coalesce(cast(prps_as_is as string), '') &lt;&gt; coalesce(cast(prps_to_be as string), '') ) A UNION ALL</v>
      </c>
      <c r="P262" s="17">
        <f t="shared" si="52"/>
        <v>7</v>
      </c>
    </row>
    <row r="263" spans="2:16" s="15" customFormat="1" ht="11.5" x14ac:dyDescent="0.25">
      <c r="B263" s="17" t="s">
        <v>24</v>
      </c>
      <c r="C263" s="17" t="str">
        <f>_xlfn.CONCAT(Instruções!$D$5,".",VLOOKUP(B263,Instruções!$F$5:$H$10,2,0))</f>
        <v>cd_loan_tapes_bce.lt002_instrument</v>
      </c>
      <c r="D263" s="17" t="str">
        <f>_xlfn.CONCAT(Instruções!$D$6,".",VLOOKUP(B263,Instruções!$F$5:$H$10,3,0))</f>
        <v>bu_loantape_work.lt002_instrument</v>
      </c>
      <c r="E263" s="17" t="s">
        <v>279</v>
      </c>
      <c r="F263" s="17" t="str">
        <f t="shared" si="49"/>
        <v>prt_lcr_bffr_as_is</v>
      </c>
      <c r="G263" s="17" t="str">
        <f t="shared" si="50"/>
        <v>prt_lcr_bffr_to_be</v>
      </c>
      <c r="H263" s="17" t="str">
        <f>IF(VLOOKUP(B263,Instruções!$F$6:$J$10,5,0)="",
"(SELECT "&amp;VLOOKUP(B263,Instruções!$F$6:$J$10,4,0)&amp;" as "&amp;VLOOKUP(B263,Instruções!$F$6:$J$10,4,0)&amp;"_as_is, "&amp;E263&amp;" as "&amp;F263&amp;" FROM "&amp;C263&amp;" WHERE "&amp;Instruções!$D$11&amp;") A ",
"(SELECT "&amp;VLOOKUP(B263,Instruções!$F$6:$J$10,4,0)&amp;" as "&amp;VLOOKUP(B263,Instruções!$F$6:$J$10,4,0)&amp;"_as_is, "&amp;VLOOKUP(B263,Instruções!$F$6:$J$10,5,0)&amp;" as "&amp;VLOOKUP(B263,Instruções!$F$6:$J$10,5,0)&amp;"_as_is,"&amp;E263&amp;" as "&amp;F263&amp;" FROM "&amp;C263&amp;" WHERE "&amp;Instruções!$D$11&amp;") A ")</f>
        <v xml:space="preserve">(SELECT instrmnt_id as instrmnt_id_as_is, prt_lcr_bffr as prt_lcr_bffr_as_is FROM cd_loan_tapes_bce.lt002_instrument WHERE ref_date='2025-06-30' AND nome_perimetro= 'Individual IDComb' AND segmento= 'ESTR' AND ambito= 'PM' AND entidade='00100' AND cod_visao = 1) A </v>
      </c>
      <c r="I263" s="17" t="str">
        <f>IF(VLOOKUP(B263,Instruções!$F$6:$J$10,5,0)="",
"(SELECT "&amp;VLOOKUP(B263,Instruções!$F$6:$J$10,4,0)&amp;" as "&amp;VLOOKUP(B263,Instruções!$F$6:$J$10,4,0)&amp;"_to_be, "&amp;E263&amp;" as "&amp;G263&amp;" FROM "&amp;D263&amp;" WHERE "&amp;Instruções!$D$11&amp;") B ",
"(SELECT "&amp;VLOOKUP(B263,Instruções!$F$6:$J$10,4,0)&amp;" as "&amp;VLOOKUP(B263,Instruções!$F$6:$J$10,4,0)&amp;"_to_be, "&amp;VLOOKUP(B263,Instruções!$F$6:$J$10,5,0)&amp;" as "&amp;VLOOKUP(B263,Instruções!$F$6:$J$10,5,0)&amp;"_to_be,"&amp;E263&amp;" as "&amp;G263&amp;" FROM "&amp;D263&amp;" WHERE "&amp;Instruções!$D$11&amp;") B ")</f>
        <v xml:space="preserve">(SELECT instrmnt_id as instrmnt_id_to_be, prt_lcr_bffr as prt_lcr_bffr_to_be FROM bu_loantape_work.lt002_instrument WHERE ref_date='2025-06-30' AND nome_perimetro= 'Individual IDComb' AND segmento= 'ESTR' AND ambito= 'PM' AND entidade='00100' AND cod_visao = 1) B </v>
      </c>
      <c r="J263" s="17" t="str">
        <f>IF(VLOOKUP(B263,Instruções!$F$6:$J$10,5,0)="",
"ON "&amp;VLOOKUP(B263,Instruções!$F$6:$J$10,4,0)&amp;"_as_is = "&amp;VLOOKUP(B263,Instruções!$F$6:$J$10,4,0)&amp;"_to_be ",
"ON "&amp;VLOOKUP(B263,Instruções!$F$6:$J$10,4,0)&amp;"_as_is = "&amp;VLOOKUP(B263,Instruções!$F$6:$J$10,4,0)&amp;"_to_be AND "&amp;VLOOKUP(B263,Instruções!$F$6:$J$10,5,0)&amp;"_as_is = "&amp;VLOOKUP(B263,Instruções!$F$6:$J$10,5,0)&amp;"_to_be ")</f>
        <v xml:space="preserve">ON instrmnt_id_as_is = instrmnt_id_to_be </v>
      </c>
      <c r="K263" s="17" t="str">
        <f t="shared" si="51"/>
        <v xml:space="preserve">WHERE coalesce(cast(prt_lcr_bffr_as_is as string), '') &lt;&gt; coalesce(cast(prt_lcr_bffr_to_be as string), '') </v>
      </c>
      <c r="L263" s="17" t="str">
        <f t="shared" si="54"/>
        <v xml:space="preserve">SELECT count(*) AS NUM_REG_DIF FROM (SELECT instrmnt_id as instrmnt_id_as_is, prt_lcr_bffr as prt_lcr_bffr_as_is FROM cd_loan_tapes_bce.lt002_instrument WHERE ref_date='2025-06-30' AND nome_perimetro= 'Individual IDComb' AND segmento= 'ESTR' AND ambito= 'PM' AND entidade='00100' AND cod_visao = 1) A  Inner join (SELECT instrmnt_id as instrmnt_id_to_be, prt_lcr_bffr as prt_lcr_bffr_to_be FROM bu_loantape_work.lt002_instrument WHERE ref_date='2025-06-30' AND nome_perimetro= 'Individual IDComb' AND segmento= 'ESTR' AND ambito= 'PM' AND entidade='00100' AND cod_visao = 1) B ON instrmnt_id_as_is = instrmnt_id_to_be WHERE coalesce(cast(prt_lcr_bffr_as_is as string), '') &lt;&gt; coalesce(cast(prt_lcr_bffr_to_be as string), '') </v>
      </c>
      <c r="M263" s="17" t="s">
        <v>48</v>
      </c>
      <c r="N263" s="17" t="str">
        <f>"SELECT 'Validação de campos' as tipologia_teste, '"&amp;VLOOKUP(B263,Instruções!$F$6:$J$10,3,0)&amp;"' AS TABELA, '"&amp;E263&amp;"' AS CAMPO, '"&amp;Instruções!$D$7&amp;"' as ref_date, coalesce(NUM_REG_DIF, 0) AS NUM_REG_DIF FROM ("&amp;L263&amp;") A "</f>
        <v xml:space="preserve">SELECT 'Validação de campos' as tipologia_teste, 'lt002_instrument' AS TABELA, 'prt_lcr_bffr' AS CAMPO, '2025-06-30' as ref_date, coalesce(NUM_REG_DIF, 0) AS NUM_REG_DIF FROM (SELECT count(*) AS NUM_REG_DIF FROM (SELECT instrmnt_id as instrmnt_id_as_is, prt_lcr_bffr as prt_lcr_bffr_as_is FROM cd_loan_tapes_bce.lt002_instrument WHERE ref_date='2025-06-30' AND nome_perimetro= 'Individual IDComb' AND segmento= 'ESTR' AND ambito= 'PM' AND entidade='00100' AND cod_visao = 1) A  Inner join (SELECT instrmnt_id as instrmnt_id_to_be, prt_lcr_bffr as prt_lcr_bffr_to_be FROM bu_loantape_work.lt002_instrument WHERE ref_date='2025-06-30' AND nome_perimetro= 'Individual IDComb' AND segmento= 'ESTR' AND ambito= 'PM' AND entidade='00100' AND cod_visao = 1) B ON instrmnt_id_as_is = instrmnt_id_to_be WHERE coalesce(cast(prt_lcr_bffr_as_is as string), '') &lt;&gt; coalesce(cast(prt_lcr_bffr_to_be as string), '') ) A </v>
      </c>
      <c r="O263" s="19" t="str">
        <f t="shared" si="53"/>
        <v>SELECT 'Validação de campos' as tipologia_teste, 'lt002_instrument' AS TABELA, 'prt_lcr_bffr' AS CAMPO, '2025-06-30' as ref_date, coalesce(NUM_REG_DIF, 0) AS NUM_REG_DIF FROM (SELECT count(*) AS NUM_REG_DIF FROM (SELECT instrmnt_id as instrmnt_id_as_is, prt_lcr_bffr as prt_lcr_bffr_as_is FROM cd_loan_tapes_bce.lt002_instrument WHERE ref_date='2025-06-30' AND nome_perimetro= 'Individual IDComb' AND segmento= 'ESTR' AND ambito= 'PM' AND entidade='00100' AND cod_visao = 1) A  Inner join (SELECT instrmnt_id as instrmnt_id_to_be, prt_lcr_bffr as prt_lcr_bffr_to_be FROM bu_loantape_work.lt002_instrument WHERE ref_date='2025-06-30' AND nome_perimetro= 'Individual IDComb' AND segmento= 'ESTR' AND ambito= 'PM' AND entidade='00100' AND cod_visao = 1) B ON instrmnt_id_as_is = instrmnt_id_to_be WHERE coalesce(cast(prt_lcr_bffr_as_is as string), '') &lt;&gt; coalesce(cast(prt_lcr_bffr_to_be as string), '') ) A UNION ALL</v>
      </c>
      <c r="P263" s="17">
        <f t="shared" si="52"/>
        <v>8</v>
      </c>
    </row>
    <row r="264" spans="2:16" s="15" customFormat="1" ht="11.5" x14ac:dyDescent="0.25">
      <c r="B264" s="17" t="s">
        <v>24</v>
      </c>
      <c r="C264" s="17" t="str">
        <f>_xlfn.CONCAT(Instruções!$D$5,".",VLOOKUP(B264,Instruções!$F$5:$H$10,2,0))</f>
        <v>cd_loan_tapes_bce.lt002_instrument</v>
      </c>
      <c r="D264" s="17" t="str">
        <f>_xlfn.CONCAT(Instruções!$D$6,".",VLOOKUP(B264,Instruções!$F$5:$H$10,3,0))</f>
        <v>bu_loantape_work.lt002_instrument</v>
      </c>
      <c r="E264" s="17" t="s">
        <v>280</v>
      </c>
      <c r="F264" s="17" t="str">
        <f t="shared" si="49"/>
        <v>prvsns_off_blnc_sht_as_is</v>
      </c>
      <c r="G264" s="17" t="str">
        <f t="shared" si="50"/>
        <v>prvsns_off_blnc_sht_to_be</v>
      </c>
      <c r="H264" s="17" t="str">
        <f>IF(VLOOKUP(B264,Instruções!$F$6:$J$10,5,0)="",
"(SELECT "&amp;VLOOKUP(B264,Instruções!$F$6:$J$10,4,0)&amp;" as "&amp;VLOOKUP(B264,Instruções!$F$6:$J$10,4,0)&amp;"_as_is, "&amp;E264&amp;" as "&amp;F264&amp;" FROM "&amp;C264&amp;" WHERE "&amp;Instruções!$D$11&amp;") A ",
"(SELECT "&amp;VLOOKUP(B264,Instruções!$F$6:$J$10,4,0)&amp;" as "&amp;VLOOKUP(B264,Instruções!$F$6:$J$10,4,0)&amp;"_as_is, "&amp;VLOOKUP(B264,Instruções!$F$6:$J$10,5,0)&amp;" as "&amp;VLOOKUP(B264,Instruções!$F$6:$J$10,5,0)&amp;"_as_is,"&amp;E264&amp;" as "&amp;F264&amp;" FROM "&amp;C264&amp;" WHERE "&amp;Instruções!$D$11&amp;") A ")</f>
        <v xml:space="preserve">(SELECT instrmnt_id as instrmnt_id_as_is, prvsns_off_blnc_sht as prvsns_off_blnc_sht_as_is FROM cd_loan_tapes_bce.lt002_instrument WHERE ref_date='2025-06-30' AND nome_perimetro= 'Individual IDComb' AND segmento= 'ESTR' AND ambito= 'PM' AND entidade='00100' AND cod_visao = 1) A </v>
      </c>
      <c r="I264" s="17" t="str">
        <f>IF(VLOOKUP(B264,Instruções!$F$6:$J$10,5,0)="",
"(SELECT "&amp;VLOOKUP(B264,Instruções!$F$6:$J$10,4,0)&amp;" as "&amp;VLOOKUP(B264,Instruções!$F$6:$J$10,4,0)&amp;"_to_be, "&amp;E264&amp;" as "&amp;G264&amp;" FROM "&amp;D264&amp;" WHERE "&amp;Instruções!$D$11&amp;") B ",
"(SELECT "&amp;VLOOKUP(B264,Instruções!$F$6:$J$10,4,0)&amp;" as "&amp;VLOOKUP(B264,Instruções!$F$6:$J$10,4,0)&amp;"_to_be, "&amp;VLOOKUP(B264,Instruções!$F$6:$J$10,5,0)&amp;" as "&amp;VLOOKUP(B264,Instruções!$F$6:$J$10,5,0)&amp;"_to_be,"&amp;E264&amp;" as "&amp;G264&amp;" FROM "&amp;D264&amp;" WHERE "&amp;Instruções!$D$11&amp;") B ")</f>
        <v xml:space="preserve">(SELECT instrmnt_id as instrmnt_id_to_be, prvsns_off_blnc_sht as prvsns_off_blnc_sht_to_be FROM bu_loantape_work.lt002_instrument WHERE ref_date='2025-06-30' AND nome_perimetro= 'Individual IDComb' AND segmento= 'ESTR' AND ambito= 'PM' AND entidade='00100' AND cod_visao = 1) B </v>
      </c>
      <c r="J264" s="17" t="str">
        <f>IF(VLOOKUP(B264,Instruções!$F$6:$J$10,5,0)="",
"ON "&amp;VLOOKUP(B264,Instruções!$F$6:$J$10,4,0)&amp;"_as_is = "&amp;VLOOKUP(B264,Instruções!$F$6:$J$10,4,0)&amp;"_to_be ",
"ON "&amp;VLOOKUP(B264,Instruções!$F$6:$J$10,4,0)&amp;"_as_is = "&amp;VLOOKUP(B264,Instruções!$F$6:$J$10,4,0)&amp;"_to_be AND "&amp;VLOOKUP(B264,Instruções!$F$6:$J$10,5,0)&amp;"_as_is = "&amp;VLOOKUP(B264,Instruções!$F$6:$J$10,5,0)&amp;"_to_be ")</f>
        <v xml:space="preserve">ON instrmnt_id_as_is = instrmnt_id_to_be </v>
      </c>
      <c r="K264" s="17" t="str">
        <f t="shared" si="51"/>
        <v xml:space="preserve">WHERE coalesce(cast(prvsns_off_blnc_sht_as_is as string), '') &lt;&gt; coalesce(cast(prvsns_off_blnc_sht_to_be as string), '') </v>
      </c>
      <c r="L264" s="17" t="str">
        <f t="shared" si="54"/>
        <v xml:space="preserve">SELECT count(*) AS NUM_REG_DIF FROM (SELECT instrmnt_id as instrmnt_id_as_is, prvsns_off_blnc_sht as prvsns_off_blnc_sht_as_is FROM cd_loan_tapes_bce.lt002_instrument WHERE ref_date='2025-06-30' AND nome_perimetro= 'Individual IDComb' AND segmento= 'ESTR' AND ambito= 'PM' AND entidade='00100' AND cod_visao = 1) A  Inner join (SELECT instrmnt_id as instrmnt_id_to_be, prvsns_off_blnc_sht as prvsns_off_blnc_sht_to_be FROM bu_loantape_work.lt002_instrument WHERE ref_date='2025-06-30' AND nome_perimetro= 'Individual IDComb' AND segmento= 'ESTR' AND ambito= 'PM' AND entidade='00100' AND cod_visao = 1) B ON instrmnt_id_as_is = instrmnt_id_to_be WHERE coalesce(cast(prvsns_off_blnc_sht_as_is as string), '') &lt;&gt; coalesce(cast(prvsns_off_blnc_sht_to_be as string), '') </v>
      </c>
      <c r="M264" s="17" t="s">
        <v>48</v>
      </c>
      <c r="N264" s="17" t="str">
        <f>"SELECT 'Validação de campos' as tipologia_teste, '"&amp;VLOOKUP(B264,Instruções!$F$6:$J$10,3,0)&amp;"' AS TABELA, '"&amp;E264&amp;"' AS CAMPO, '"&amp;Instruções!$D$7&amp;"' as ref_date, coalesce(NUM_REG_DIF, 0) AS NUM_REG_DIF FROM ("&amp;L264&amp;") A "</f>
        <v xml:space="preserve">SELECT 'Validação de campos' as tipologia_teste, 'lt002_instrument' AS TABELA, 'prvsns_off_blnc_sht' AS CAMPO, '2025-06-30' as ref_date, coalesce(NUM_REG_DIF, 0) AS NUM_REG_DIF FROM (SELECT count(*) AS NUM_REG_DIF FROM (SELECT instrmnt_id as instrmnt_id_as_is, prvsns_off_blnc_sht as prvsns_off_blnc_sht_as_is FROM cd_loan_tapes_bce.lt002_instrument WHERE ref_date='2025-06-30' AND nome_perimetro= 'Individual IDComb' AND segmento= 'ESTR' AND ambito= 'PM' AND entidade='00100' AND cod_visao = 1) A  Inner join (SELECT instrmnt_id as instrmnt_id_to_be, prvsns_off_blnc_sht as prvsns_off_blnc_sht_to_be FROM bu_loantape_work.lt002_instrument WHERE ref_date='2025-06-30' AND nome_perimetro= 'Individual IDComb' AND segmento= 'ESTR' AND ambito= 'PM' AND entidade='00100' AND cod_visao = 1) B ON instrmnt_id_as_is = instrmnt_id_to_be WHERE coalesce(cast(prvsns_off_blnc_sht_as_is as string), '') &lt;&gt; coalesce(cast(prvsns_off_blnc_sht_to_be as string), '') ) A </v>
      </c>
      <c r="O264" s="19" t="str">
        <f t="shared" si="53"/>
        <v>SELECT 'Validação de campos' as tipologia_teste, 'lt002_instrument' AS TABELA, 'prvsns_off_blnc_sht' AS CAMPO, '2025-06-30' as ref_date, coalesce(NUM_REG_DIF, 0) AS NUM_REG_DIF FROM (SELECT count(*) AS NUM_REG_DIF FROM (SELECT instrmnt_id as instrmnt_id_as_is, prvsns_off_blnc_sht as prvsns_off_blnc_sht_as_is FROM cd_loan_tapes_bce.lt002_instrument WHERE ref_date='2025-06-30' AND nome_perimetro= 'Individual IDComb' AND segmento= 'ESTR' AND ambito= 'PM' AND entidade='00100' AND cod_visao = 1) A  Inner join (SELECT instrmnt_id as instrmnt_id_to_be, prvsns_off_blnc_sht as prvsns_off_blnc_sht_to_be FROM bu_loantape_work.lt002_instrument WHERE ref_date='2025-06-30' AND nome_perimetro= 'Individual IDComb' AND segmento= 'ESTR' AND ambito= 'PM' AND entidade='00100' AND cod_visao = 1) B ON instrmnt_id_as_is = instrmnt_id_to_be WHERE coalesce(cast(prvsns_off_blnc_sht_as_is as string), '') &lt;&gt; coalesce(cast(prvsns_off_blnc_sht_to_be as string), '') ) A UNION ALL</v>
      </c>
      <c r="P264" s="17">
        <f t="shared" si="52"/>
        <v>9</v>
      </c>
    </row>
    <row r="265" spans="2:16" s="15" customFormat="1" ht="11.5" x14ac:dyDescent="0.25">
      <c r="B265" s="17" t="s">
        <v>24</v>
      </c>
      <c r="C265" s="17" t="str">
        <f>_xlfn.CONCAT(Instruções!$D$5,".",VLOOKUP(B265,Instruções!$F$5:$H$10,2,0))</f>
        <v>cd_loan_tapes_bce.lt002_instrument</v>
      </c>
      <c r="D265" s="17" t="str">
        <f>_xlfn.CONCAT(Instruções!$D$6,".",VLOOKUP(B265,Instruções!$F$5:$H$10,3,0))</f>
        <v>bu_loantape_work.lt002_instrument</v>
      </c>
      <c r="E265" s="17" t="s">
        <v>281</v>
      </c>
      <c r="F265" s="17" t="str">
        <f t="shared" si="49"/>
        <v>pymnt_frqncy_as_is</v>
      </c>
      <c r="G265" s="17" t="str">
        <f t="shared" si="50"/>
        <v>pymnt_frqncy_to_be</v>
      </c>
      <c r="H265" s="17" t="str">
        <f>IF(VLOOKUP(B265,Instruções!$F$6:$J$10,5,0)="",
"(SELECT "&amp;VLOOKUP(B265,Instruções!$F$6:$J$10,4,0)&amp;" as "&amp;VLOOKUP(B265,Instruções!$F$6:$J$10,4,0)&amp;"_as_is, "&amp;E265&amp;" as "&amp;F265&amp;" FROM "&amp;C265&amp;" WHERE "&amp;Instruções!$D$11&amp;") A ",
"(SELECT "&amp;VLOOKUP(B265,Instruções!$F$6:$J$10,4,0)&amp;" as "&amp;VLOOKUP(B265,Instruções!$F$6:$J$10,4,0)&amp;"_as_is, "&amp;VLOOKUP(B265,Instruções!$F$6:$J$10,5,0)&amp;" as "&amp;VLOOKUP(B265,Instruções!$F$6:$J$10,5,0)&amp;"_as_is,"&amp;E265&amp;" as "&amp;F265&amp;" FROM "&amp;C265&amp;" WHERE "&amp;Instruções!$D$11&amp;") A ")</f>
        <v xml:space="preserve">(SELECT instrmnt_id as instrmnt_id_as_is, pymnt_frqncy as pymnt_frqncy_as_is FROM cd_loan_tapes_bce.lt002_instrument WHERE ref_date='2025-06-30' AND nome_perimetro= 'Individual IDComb' AND segmento= 'ESTR' AND ambito= 'PM' AND entidade='00100' AND cod_visao = 1) A </v>
      </c>
      <c r="I265" s="17" t="str">
        <f>IF(VLOOKUP(B265,Instruções!$F$6:$J$10,5,0)="",
"(SELECT "&amp;VLOOKUP(B265,Instruções!$F$6:$J$10,4,0)&amp;" as "&amp;VLOOKUP(B265,Instruções!$F$6:$J$10,4,0)&amp;"_to_be, "&amp;E265&amp;" as "&amp;G265&amp;" FROM "&amp;D265&amp;" WHERE "&amp;Instruções!$D$11&amp;") B ",
"(SELECT "&amp;VLOOKUP(B265,Instruções!$F$6:$J$10,4,0)&amp;" as "&amp;VLOOKUP(B265,Instruções!$F$6:$J$10,4,0)&amp;"_to_be, "&amp;VLOOKUP(B265,Instruções!$F$6:$J$10,5,0)&amp;" as "&amp;VLOOKUP(B265,Instruções!$F$6:$J$10,5,0)&amp;"_to_be,"&amp;E265&amp;" as "&amp;G265&amp;" FROM "&amp;D265&amp;" WHERE "&amp;Instruções!$D$11&amp;") B ")</f>
        <v xml:space="preserve">(SELECT instrmnt_id as instrmnt_id_to_be, pymnt_frqncy as pymnt_frqncy_to_be FROM bu_loantape_work.lt002_instrument WHERE ref_date='2025-06-30' AND nome_perimetro= 'Individual IDComb' AND segmento= 'ESTR' AND ambito= 'PM' AND entidade='00100' AND cod_visao = 1) B </v>
      </c>
      <c r="J265" s="17" t="str">
        <f>IF(VLOOKUP(B265,Instruções!$F$6:$J$10,5,0)="",
"ON "&amp;VLOOKUP(B265,Instruções!$F$6:$J$10,4,0)&amp;"_as_is = "&amp;VLOOKUP(B265,Instruções!$F$6:$J$10,4,0)&amp;"_to_be ",
"ON "&amp;VLOOKUP(B265,Instruções!$F$6:$J$10,4,0)&amp;"_as_is = "&amp;VLOOKUP(B265,Instruções!$F$6:$J$10,4,0)&amp;"_to_be AND "&amp;VLOOKUP(B265,Instruções!$F$6:$J$10,5,0)&amp;"_as_is = "&amp;VLOOKUP(B265,Instruções!$F$6:$J$10,5,0)&amp;"_to_be ")</f>
        <v xml:space="preserve">ON instrmnt_id_as_is = instrmnt_id_to_be </v>
      </c>
      <c r="K265" s="17" t="str">
        <f t="shared" si="51"/>
        <v xml:space="preserve">WHERE coalesce(cast(pymnt_frqncy_as_is as string), '') &lt;&gt; coalesce(cast(pymnt_frqncy_to_be as string), '') </v>
      </c>
      <c r="L265" s="17" t="str">
        <f t="shared" si="54"/>
        <v xml:space="preserve">SELECT count(*) AS NUM_REG_DIF FROM (SELECT instrmnt_id as instrmnt_id_as_is, pymnt_frqncy as pymnt_frqncy_as_is FROM cd_loan_tapes_bce.lt002_instrument WHERE ref_date='2025-06-30' AND nome_perimetro= 'Individual IDComb' AND segmento= 'ESTR' AND ambito= 'PM' AND entidade='00100' AND cod_visao = 1) A  Inner join (SELECT instrmnt_id as instrmnt_id_to_be, pymnt_frqncy as pymnt_frqncy_to_be FROM bu_loantape_work.lt002_instrument WHERE ref_date='2025-06-30' AND nome_perimetro= 'Individual IDComb' AND segmento= 'ESTR' AND ambito= 'PM' AND entidade='00100' AND cod_visao = 1) B ON instrmnt_id_as_is = instrmnt_id_to_be WHERE coalesce(cast(pymnt_frqncy_as_is as string), '') &lt;&gt; coalesce(cast(pymnt_frqncy_to_be as string), '') </v>
      </c>
      <c r="M265" s="17" t="s">
        <v>48</v>
      </c>
      <c r="N265" s="17" t="str">
        <f>"SELECT 'Validação de campos' as tipologia_teste, '"&amp;VLOOKUP(B265,Instruções!$F$6:$J$10,3,0)&amp;"' AS TABELA, '"&amp;E265&amp;"' AS CAMPO, '"&amp;Instruções!$D$7&amp;"' as ref_date, coalesce(NUM_REG_DIF, 0) AS NUM_REG_DIF FROM ("&amp;L265&amp;") A "</f>
        <v xml:space="preserve">SELECT 'Validação de campos' as tipologia_teste, 'lt002_instrument' AS TABELA, 'pymnt_frqncy' AS CAMPO, '2025-06-30' as ref_date, coalesce(NUM_REG_DIF, 0) AS NUM_REG_DIF FROM (SELECT count(*) AS NUM_REG_DIF FROM (SELECT instrmnt_id as instrmnt_id_as_is, pymnt_frqncy as pymnt_frqncy_as_is FROM cd_loan_tapes_bce.lt002_instrument WHERE ref_date='2025-06-30' AND nome_perimetro= 'Individual IDComb' AND segmento= 'ESTR' AND ambito= 'PM' AND entidade='00100' AND cod_visao = 1) A  Inner join (SELECT instrmnt_id as instrmnt_id_to_be, pymnt_frqncy as pymnt_frqncy_to_be FROM bu_loantape_work.lt002_instrument WHERE ref_date='2025-06-30' AND nome_perimetro= 'Individual IDComb' AND segmento= 'ESTR' AND ambito= 'PM' AND entidade='00100' AND cod_visao = 1) B ON instrmnt_id_as_is = instrmnt_id_to_be WHERE coalesce(cast(pymnt_frqncy_as_is as string), '') &lt;&gt; coalesce(cast(pymnt_frqncy_to_be as string), '') ) A </v>
      </c>
      <c r="O265" s="19" t="str">
        <f t="shared" si="53"/>
        <v>SELECT 'Validação de campos' as tipologia_teste, 'lt002_instrument' AS TABELA, 'pymnt_frqncy' AS CAMPO, '2025-06-30' as ref_date, coalesce(NUM_REG_DIF, 0) AS NUM_REG_DIF FROM (SELECT count(*) AS NUM_REG_DIF FROM (SELECT instrmnt_id as instrmnt_id_as_is, pymnt_frqncy as pymnt_frqncy_as_is FROM cd_loan_tapes_bce.lt002_instrument WHERE ref_date='2025-06-30' AND nome_perimetro= 'Individual IDComb' AND segmento= 'ESTR' AND ambito= 'PM' AND entidade='00100' AND cod_visao = 1) A  Inner join (SELECT instrmnt_id as instrmnt_id_to_be, pymnt_frqncy as pymnt_frqncy_to_be FROM bu_loantape_work.lt002_instrument WHERE ref_date='2025-06-30' AND nome_perimetro= 'Individual IDComb' AND segmento= 'ESTR' AND ambito= 'PM' AND entidade='00100' AND cod_visao = 1) B ON instrmnt_id_as_is = instrmnt_id_to_be WHERE coalesce(cast(pymnt_frqncy_as_is as string), '') &lt;&gt; coalesce(cast(pymnt_frqncy_to_be as string), '') ) A UNION ALL</v>
      </c>
      <c r="P265" s="17">
        <f t="shared" si="52"/>
        <v>10</v>
      </c>
    </row>
    <row r="266" spans="2:16" s="15" customFormat="1" ht="11.5" x14ac:dyDescent="0.25">
      <c r="B266" s="17" t="s">
        <v>24</v>
      </c>
      <c r="C266" s="17" t="str">
        <f>_xlfn.CONCAT(Instruções!$D$5,".",VLOOKUP(B266,Instruções!$F$5:$H$10,2,0))</f>
        <v>cd_loan_tapes_bce.lt002_instrument</v>
      </c>
      <c r="D266" s="17" t="str">
        <f>_xlfn.CONCAT(Instruções!$D$6,".",VLOOKUP(B266,Instruções!$F$5:$H$10,3,0))</f>
        <v>bu_loantape_work.lt002_instrument</v>
      </c>
      <c r="E266" s="17" t="s">
        <v>282</v>
      </c>
      <c r="F266" s="17" t="str">
        <f t="shared" si="49"/>
        <v>pymnt_intrst_only_as_is</v>
      </c>
      <c r="G266" s="17" t="str">
        <f t="shared" si="50"/>
        <v>pymnt_intrst_only_to_be</v>
      </c>
      <c r="H266" s="17" t="str">
        <f>IF(VLOOKUP(B266,Instruções!$F$6:$J$10,5,0)="",
"(SELECT "&amp;VLOOKUP(B266,Instruções!$F$6:$J$10,4,0)&amp;" as "&amp;VLOOKUP(B266,Instruções!$F$6:$J$10,4,0)&amp;"_as_is, "&amp;E266&amp;" as "&amp;F266&amp;" FROM "&amp;C266&amp;" WHERE "&amp;Instruções!$D$11&amp;") A ",
"(SELECT "&amp;VLOOKUP(B266,Instruções!$F$6:$J$10,4,0)&amp;" as "&amp;VLOOKUP(B266,Instruções!$F$6:$J$10,4,0)&amp;"_as_is, "&amp;VLOOKUP(B266,Instruções!$F$6:$J$10,5,0)&amp;" as "&amp;VLOOKUP(B266,Instruções!$F$6:$J$10,5,0)&amp;"_as_is,"&amp;E266&amp;" as "&amp;F266&amp;" FROM "&amp;C266&amp;" WHERE "&amp;Instruções!$D$11&amp;") A ")</f>
        <v xml:space="preserve">(SELECT instrmnt_id as instrmnt_id_as_is, pymnt_intrst_only as pymnt_intrst_only_as_is FROM cd_loan_tapes_bce.lt002_instrument WHERE ref_date='2025-06-30' AND nome_perimetro= 'Individual IDComb' AND segmento= 'ESTR' AND ambito= 'PM' AND entidade='00100' AND cod_visao = 1) A </v>
      </c>
      <c r="I266" s="17" t="str">
        <f>IF(VLOOKUP(B266,Instruções!$F$6:$J$10,5,0)="",
"(SELECT "&amp;VLOOKUP(B266,Instruções!$F$6:$J$10,4,0)&amp;" as "&amp;VLOOKUP(B266,Instruções!$F$6:$J$10,4,0)&amp;"_to_be, "&amp;E266&amp;" as "&amp;G266&amp;" FROM "&amp;D266&amp;" WHERE "&amp;Instruções!$D$11&amp;") B ",
"(SELECT "&amp;VLOOKUP(B266,Instruções!$F$6:$J$10,4,0)&amp;" as "&amp;VLOOKUP(B266,Instruções!$F$6:$J$10,4,0)&amp;"_to_be, "&amp;VLOOKUP(B266,Instruções!$F$6:$J$10,5,0)&amp;" as "&amp;VLOOKUP(B266,Instruções!$F$6:$J$10,5,0)&amp;"_to_be,"&amp;E266&amp;" as "&amp;G266&amp;" FROM "&amp;D266&amp;" WHERE "&amp;Instruções!$D$11&amp;") B ")</f>
        <v xml:space="preserve">(SELECT instrmnt_id as instrmnt_id_to_be, pymnt_intrst_only as pymnt_intrst_only_to_be FROM bu_loantape_work.lt002_instrument WHERE ref_date='2025-06-30' AND nome_perimetro= 'Individual IDComb' AND segmento= 'ESTR' AND ambito= 'PM' AND entidade='00100' AND cod_visao = 1) B </v>
      </c>
      <c r="J266" s="17" t="str">
        <f>IF(VLOOKUP(B266,Instruções!$F$6:$J$10,5,0)="",
"ON "&amp;VLOOKUP(B266,Instruções!$F$6:$J$10,4,0)&amp;"_as_is = "&amp;VLOOKUP(B266,Instruções!$F$6:$J$10,4,0)&amp;"_to_be ",
"ON "&amp;VLOOKUP(B266,Instruções!$F$6:$J$10,4,0)&amp;"_as_is = "&amp;VLOOKUP(B266,Instruções!$F$6:$J$10,4,0)&amp;"_to_be AND "&amp;VLOOKUP(B266,Instruções!$F$6:$J$10,5,0)&amp;"_as_is = "&amp;VLOOKUP(B266,Instruções!$F$6:$J$10,5,0)&amp;"_to_be ")</f>
        <v xml:space="preserve">ON instrmnt_id_as_is = instrmnt_id_to_be </v>
      </c>
      <c r="K266" s="17" t="str">
        <f t="shared" si="51"/>
        <v xml:space="preserve">WHERE coalesce(cast(pymnt_intrst_only_as_is as string), '') &lt;&gt; coalesce(cast(pymnt_intrst_only_to_be as string), '') </v>
      </c>
      <c r="L266" s="17" t="str">
        <f t="shared" si="54"/>
        <v xml:space="preserve">SELECT count(*) AS NUM_REG_DIF FROM (SELECT instrmnt_id as instrmnt_id_as_is, pymnt_intrst_only as pymnt_intrst_only_as_is FROM cd_loan_tapes_bce.lt002_instrument WHERE ref_date='2025-06-30' AND nome_perimetro= 'Individual IDComb' AND segmento= 'ESTR' AND ambito= 'PM' AND entidade='00100' AND cod_visao = 1) A  Inner join (SELECT instrmnt_id as instrmnt_id_to_be, pymnt_intrst_only as pymnt_intrst_only_to_be FROM bu_loantape_work.lt002_instrument WHERE ref_date='2025-06-30' AND nome_perimetro= 'Individual IDComb' AND segmento= 'ESTR' AND ambito= 'PM' AND entidade='00100' AND cod_visao = 1) B ON instrmnt_id_as_is = instrmnt_id_to_be WHERE coalesce(cast(pymnt_intrst_only_as_is as string), '') &lt;&gt; coalesce(cast(pymnt_intrst_only_to_be as string), '') </v>
      </c>
      <c r="M266" s="17" t="s">
        <v>48</v>
      </c>
      <c r="N266" s="17" t="str">
        <f>"SELECT 'Validação de campos' as tipologia_teste, '"&amp;VLOOKUP(B266,Instruções!$F$6:$J$10,3,0)&amp;"' AS TABELA, '"&amp;E266&amp;"' AS CAMPO, '"&amp;Instruções!$D$7&amp;"' as ref_date, coalesce(NUM_REG_DIF, 0) AS NUM_REG_DIF FROM ("&amp;L266&amp;") A "</f>
        <v xml:space="preserve">SELECT 'Validação de campos' as tipologia_teste, 'lt002_instrument' AS TABELA, 'pymnt_intrst_only' AS CAMPO, '2025-06-30' as ref_date, coalesce(NUM_REG_DIF, 0) AS NUM_REG_DIF FROM (SELECT count(*) AS NUM_REG_DIF FROM (SELECT instrmnt_id as instrmnt_id_as_is, pymnt_intrst_only as pymnt_intrst_only_as_is FROM cd_loan_tapes_bce.lt002_instrument WHERE ref_date='2025-06-30' AND nome_perimetro= 'Individual IDComb' AND segmento= 'ESTR' AND ambito= 'PM' AND entidade='00100' AND cod_visao = 1) A  Inner join (SELECT instrmnt_id as instrmnt_id_to_be, pymnt_intrst_only as pymnt_intrst_only_to_be FROM bu_loantape_work.lt002_instrument WHERE ref_date='2025-06-30' AND nome_perimetro= 'Individual IDComb' AND segmento= 'ESTR' AND ambito= 'PM' AND entidade='00100' AND cod_visao = 1) B ON instrmnt_id_as_is = instrmnt_id_to_be WHERE coalesce(cast(pymnt_intrst_only_as_is as string), '') &lt;&gt; coalesce(cast(pymnt_intrst_only_to_be as string), '') ) A </v>
      </c>
      <c r="O266" s="19" t="str">
        <f t="shared" si="53"/>
        <v>SELECT 'Validação de campos' as tipologia_teste, 'lt002_instrument' AS TABELA, 'pymnt_intrst_only' AS CAMPO, '2025-06-30' as ref_date, coalesce(NUM_REG_DIF, 0) AS NUM_REG_DIF FROM (SELECT count(*) AS NUM_REG_DIF FROM (SELECT instrmnt_id as instrmnt_id_as_is, pymnt_intrst_only as pymnt_intrst_only_as_is FROM cd_loan_tapes_bce.lt002_instrument WHERE ref_date='2025-06-30' AND nome_perimetro= 'Individual IDComb' AND segmento= 'ESTR' AND ambito= 'PM' AND entidade='00100' AND cod_visao = 1) A  Inner join (SELECT instrmnt_id as instrmnt_id_to_be, pymnt_intrst_only as pymnt_intrst_only_to_be FROM bu_loantape_work.lt002_instrument WHERE ref_date='2025-06-30' AND nome_perimetro= 'Individual IDComb' AND segmento= 'ESTR' AND ambito= 'PM' AND entidade='00100' AND cod_visao = 1) B ON instrmnt_id_as_is = instrmnt_id_to_be WHERE coalesce(cast(pymnt_intrst_only_as_is as string), '') &lt;&gt; coalesce(cast(pymnt_intrst_only_to_be as string), '') ) A UNION ALL</v>
      </c>
      <c r="P266" s="17">
        <f t="shared" si="52"/>
        <v>11</v>
      </c>
    </row>
    <row r="267" spans="2:16" s="15" customFormat="1" ht="11.5" x14ac:dyDescent="0.25">
      <c r="B267" s="17" t="s">
        <v>24</v>
      </c>
      <c r="C267" s="17" t="str">
        <f>_xlfn.CONCAT(Instruções!$D$5,".",VLOOKUP(B267,Instruções!$F$5:$H$10,2,0))</f>
        <v>cd_loan_tapes_bce.lt002_instrument</v>
      </c>
      <c r="D267" s="17" t="str">
        <f>_xlfn.CONCAT(Instruções!$D$6,".",VLOOKUP(B267,Instruções!$F$5:$H$10,3,0))</f>
        <v>bu_loantape_work.lt002_instrument</v>
      </c>
      <c r="E267" s="17" t="s">
        <v>283</v>
      </c>
      <c r="F267" s="17" t="str">
        <f t="shared" si="49"/>
        <v>rcrs_as_is</v>
      </c>
      <c r="G267" s="17" t="str">
        <f t="shared" si="50"/>
        <v>rcrs_to_be</v>
      </c>
      <c r="H267" s="17" t="str">
        <f>IF(VLOOKUP(B267,Instruções!$F$6:$J$10,5,0)="",
"(SELECT "&amp;VLOOKUP(B267,Instruções!$F$6:$J$10,4,0)&amp;" as "&amp;VLOOKUP(B267,Instruções!$F$6:$J$10,4,0)&amp;"_as_is, "&amp;E267&amp;" as "&amp;F267&amp;" FROM "&amp;C267&amp;" WHERE "&amp;Instruções!$D$11&amp;") A ",
"(SELECT "&amp;VLOOKUP(B267,Instruções!$F$6:$J$10,4,0)&amp;" as "&amp;VLOOKUP(B267,Instruções!$F$6:$J$10,4,0)&amp;"_as_is, "&amp;VLOOKUP(B267,Instruções!$F$6:$J$10,5,0)&amp;" as "&amp;VLOOKUP(B267,Instruções!$F$6:$J$10,5,0)&amp;"_as_is,"&amp;E267&amp;" as "&amp;F267&amp;" FROM "&amp;C267&amp;" WHERE "&amp;Instruções!$D$11&amp;") A ")</f>
        <v xml:space="preserve">(SELECT instrmnt_id as instrmnt_id_as_is, rcrs as rcrs_as_is FROM cd_loan_tapes_bce.lt002_instrument WHERE ref_date='2025-06-30' AND nome_perimetro= 'Individual IDComb' AND segmento= 'ESTR' AND ambito= 'PM' AND entidade='00100' AND cod_visao = 1) A </v>
      </c>
      <c r="I267" s="17" t="str">
        <f>IF(VLOOKUP(B267,Instruções!$F$6:$J$10,5,0)="",
"(SELECT "&amp;VLOOKUP(B267,Instruções!$F$6:$J$10,4,0)&amp;" as "&amp;VLOOKUP(B267,Instruções!$F$6:$J$10,4,0)&amp;"_to_be, "&amp;E267&amp;" as "&amp;G267&amp;" FROM "&amp;D267&amp;" WHERE "&amp;Instruções!$D$11&amp;") B ",
"(SELECT "&amp;VLOOKUP(B267,Instruções!$F$6:$J$10,4,0)&amp;" as "&amp;VLOOKUP(B267,Instruções!$F$6:$J$10,4,0)&amp;"_to_be, "&amp;VLOOKUP(B267,Instruções!$F$6:$J$10,5,0)&amp;" as "&amp;VLOOKUP(B267,Instruções!$F$6:$J$10,5,0)&amp;"_to_be,"&amp;E267&amp;" as "&amp;G267&amp;" FROM "&amp;D267&amp;" WHERE "&amp;Instruções!$D$11&amp;") B ")</f>
        <v xml:space="preserve">(SELECT instrmnt_id as instrmnt_id_to_be, rcrs as rcrs_to_be FROM bu_loantape_work.lt002_instrument WHERE ref_date='2025-06-30' AND nome_perimetro= 'Individual IDComb' AND segmento= 'ESTR' AND ambito= 'PM' AND entidade='00100' AND cod_visao = 1) B </v>
      </c>
      <c r="J267" s="17" t="str">
        <f>IF(VLOOKUP(B267,Instruções!$F$6:$J$10,5,0)="",
"ON "&amp;VLOOKUP(B267,Instruções!$F$6:$J$10,4,0)&amp;"_as_is = "&amp;VLOOKUP(B267,Instruções!$F$6:$J$10,4,0)&amp;"_to_be ",
"ON "&amp;VLOOKUP(B267,Instruções!$F$6:$J$10,4,0)&amp;"_as_is = "&amp;VLOOKUP(B267,Instruções!$F$6:$J$10,4,0)&amp;"_to_be AND "&amp;VLOOKUP(B267,Instruções!$F$6:$J$10,5,0)&amp;"_as_is = "&amp;VLOOKUP(B267,Instruções!$F$6:$J$10,5,0)&amp;"_to_be ")</f>
        <v xml:space="preserve">ON instrmnt_id_as_is = instrmnt_id_to_be </v>
      </c>
      <c r="K267" s="17" t="str">
        <f t="shared" si="51"/>
        <v xml:space="preserve">WHERE coalesce(cast(rcrs_as_is as string), '') &lt;&gt; coalesce(cast(rcrs_to_be as string), '') </v>
      </c>
      <c r="L267" s="17" t="str">
        <f t="shared" si="54"/>
        <v xml:space="preserve">SELECT count(*) AS NUM_REG_DIF FROM (SELECT instrmnt_id as instrmnt_id_as_is, rcrs as rcrs_as_is FROM cd_loan_tapes_bce.lt002_instrument WHERE ref_date='2025-06-30' AND nome_perimetro= 'Individual IDComb' AND segmento= 'ESTR' AND ambito= 'PM' AND entidade='00100' AND cod_visao = 1) A  Inner join (SELECT instrmnt_id as instrmnt_id_to_be, rcrs as rcrs_to_be FROM bu_loantape_work.lt002_instrument WHERE ref_date='2025-06-30' AND nome_perimetro= 'Individual IDComb' AND segmento= 'ESTR' AND ambito= 'PM' AND entidade='00100' AND cod_visao = 1) B ON instrmnt_id_as_is = instrmnt_id_to_be WHERE coalesce(cast(rcrs_as_is as string), '') &lt;&gt; coalesce(cast(rcrs_to_be as string), '') </v>
      </c>
      <c r="M267" s="17" t="s">
        <v>48</v>
      </c>
      <c r="N267" s="17" t="str">
        <f>"SELECT 'Validação de campos' as tipologia_teste, '"&amp;VLOOKUP(B267,Instruções!$F$6:$J$10,3,0)&amp;"' AS TABELA, '"&amp;E267&amp;"' AS CAMPO, '"&amp;Instruções!$D$7&amp;"' as ref_date, coalesce(NUM_REG_DIF, 0) AS NUM_REG_DIF FROM ("&amp;L267&amp;") A "</f>
        <v xml:space="preserve">SELECT 'Validação de campos' as tipologia_teste, 'lt002_instrument' AS TABELA, 'rcrs' AS CAMPO, '2025-06-30' as ref_date, coalesce(NUM_REG_DIF, 0) AS NUM_REG_DIF FROM (SELECT count(*) AS NUM_REG_DIF FROM (SELECT instrmnt_id as instrmnt_id_as_is, rcrs as rcrs_as_is FROM cd_loan_tapes_bce.lt002_instrument WHERE ref_date='2025-06-30' AND nome_perimetro= 'Individual IDComb' AND segmento= 'ESTR' AND ambito= 'PM' AND entidade='00100' AND cod_visao = 1) A  Inner join (SELECT instrmnt_id as instrmnt_id_to_be, rcrs as rcrs_to_be FROM bu_loantape_work.lt002_instrument WHERE ref_date='2025-06-30' AND nome_perimetro= 'Individual IDComb' AND segmento= 'ESTR' AND ambito= 'PM' AND entidade='00100' AND cod_visao = 1) B ON instrmnt_id_as_is = instrmnt_id_to_be WHERE coalesce(cast(rcrs_as_is as string), '') &lt;&gt; coalesce(cast(rcrs_to_be as string), '') ) A </v>
      </c>
      <c r="O267" s="19" t="str">
        <f t="shared" si="53"/>
        <v>SELECT 'Validação de campos' as tipologia_teste, 'lt002_instrument' AS TABELA, 'rcrs' AS CAMPO, '2025-06-30' as ref_date, coalesce(NUM_REG_DIF, 0) AS NUM_REG_DIF FROM (SELECT count(*) AS NUM_REG_DIF FROM (SELECT instrmnt_id as instrmnt_id_as_is, rcrs as rcrs_as_is FROM cd_loan_tapes_bce.lt002_instrument WHERE ref_date='2025-06-30' AND nome_perimetro= 'Individual IDComb' AND segmento= 'ESTR' AND ambito= 'PM' AND entidade='00100' AND cod_visao = 1) A  Inner join (SELECT instrmnt_id as instrmnt_id_to_be, rcrs as rcrs_to_be FROM bu_loantape_work.lt002_instrument WHERE ref_date='2025-06-30' AND nome_perimetro= 'Individual IDComb' AND segmento= 'ESTR' AND ambito= 'PM' AND entidade='00100' AND cod_visao = 1) B ON instrmnt_id_as_is = instrmnt_id_to_be WHERE coalesce(cast(rcrs_as_is as string), '') &lt;&gt; coalesce(cast(rcrs_to_be as string), '') ) A UNION ALL</v>
      </c>
      <c r="P267" s="17">
        <f t="shared" si="52"/>
        <v>12</v>
      </c>
    </row>
    <row r="268" spans="2:16" s="15" customFormat="1" ht="11.5" x14ac:dyDescent="0.25">
      <c r="B268" s="17" t="s">
        <v>24</v>
      </c>
      <c r="C268" s="17" t="str">
        <f>_xlfn.CONCAT(Instruções!$D$5,".",VLOOKUP(B268,Instruções!$F$5:$H$10,2,0))</f>
        <v>cd_loan_tapes_bce.lt002_instrument</v>
      </c>
      <c r="D268" s="17" t="str">
        <f>_xlfn.CONCAT(Instruções!$D$6,".",VLOOKUP(B268,Instruções!$F$5:$H$10,3,0))</f>
        <v>bu_loantape_work.lt002_instrument</v>
      </c>
      <c r="E268" s="17" t="s">
        <v>284</v>
      </c>
      <c r="F268" s="17" t="str">
        <f t="shared" si="49"/>
        <v>rcvd_amrtstn_12m_as_is</v>
      </c>
      <c r="G268" s="17" t="str">
        <f t="shared" si="50"/>
        <v>rcvd_amrtstn_12m_to_be</v>
      </c>
      <c r="H268" s="17" t="str">
        <f>IF(VLOOKUP(B268,Instruções!$F$6:$J$10,5,0)="",
"(SELECT "&amp;VLOOKUP(B268,Instruções!$F$6:$J$10,4,0)&amp;" as "&amp;VLOOKUP(B268,Instruções!$F$6:$J$10,4,0)&amp;"_as_is, "&amp;E268&amp;" as "&amp;F268&amp;" FROM "&amp;C268&amp;" WHERE "&amp;Instruções!$D$11&amp;") A ",
"(SELECT "&amp;VLOOKUP(B268,Instruções!$F$6:$J$10,4,0)&amp;" as "&amp;VLOOKUP(B268,Instruções!$F$6:$J$10,4,0)&amp;"_as_is, "&amp;VLOOKUP(B268,Instruções!$F$6:$J$10,5,0)&amp;" as "&amp;VLOOKUP(B268,Instruções!$F$6:$J$10,5,0)&amp;"_as_is,"&amp;E268&amp;" as "&amp;F268&amp;" FROM "&amp;C268&amp;" WHERE "&amp;Instruções!$D$11&amp;") A ")</f>
        <v xml:space="preserve">(SELECT instrmnt_id as instrmnt_id_as_is, rcvd_amrtstn_12m as rcvd_amrtstn_12m_as_is FROM cd_loan_tapes_bce.lt002_instrument WHERE ref_date='2025-06-30' AND nome_perimetro= 'Individual IDComb' AND segmento= 'ESTR' AND ambito= 'PM' AND entidade='00100' AND cod_visao = 1) A </v>
      </c>
      <c r="I268" s="17" t="str">
        <f>IF(VLOOKUP(B268,Instruções!$F$6:$J$10,5,0)="",
"(SELECT "&amp;VLOOKUP(B268,Instruções!$F$6:$J$10,4,0)&amp;" as "&amp;VLOOKUP(B268,Instruções!$F$6:$J$10,4,0)&amp;"_to_be, "&amp;E268&amp;" as "&amp;G268&amp;" FROM "&amp;D268&amp;" WHERE "&amp;Instruções!$D$11&amp;") B ",
"(SELECT "&amp;VLOOKUP(B268,Instruções!$F$6:$J$10,4,0)&amp;" as "&amp;VLOOKUP(B268,Instruções!$F$6:$J$10,4,0)&amp;"_to_be, "&amp;VLOOKUP(B268,Instruções!$F$6:$J$10,5,0)&amp;" as "&amp;VLOOKUP(B268,Instruções!$F$6:$J$10,5,0)&amp;"_to_be,"&amp;E268&amp;" as "&amp;G268&amp;" FROM "&amp;D268&amp;" WHERE "&amp;Instruções!$D$11&amp;") B ")</f>
        <v xml:space="preserve">(SELECT instrmnt_id as instrmnt_id_to_be, rcvd_amrtstn_12m as rcvd_amrtstn_12m_to_be FROM bu_loantape_work.lt002_instrument WHERE ref_date='2025-06-30' AND nome_perimetro= 'Individual IDComb' AND segmento= 'ESTR' AND ambito= 'PM' AND entidade='00100' AND cod_visao = 1) B </v>
      </c>
      <c r="J268" s="17" t="str">
        <f>IF(VLOOKUP(B268,Instruções!$F$6:$J$10,5,0)="",
"ON "&amp;VLOOKUP(B268,Instruções!$F$6:$J$10,4,0)&amp;"_as_is = "&amp;VLOOKUP(B268,Instruções!$F$6:$J$10,4,0)&amp;"_to_be ",
"ON "&amp;VLOOKUP(B268,Instruções!$F$6:$J$10,4,0)&amp;"_as_is = "&amp;VLOOKUP(B268,Instruções!$F$6:$J$10,4,0)&amp;"_to_be AND "&amp;VLOOKUP(B268,Instruções!$F$6:$J$10,5,0)&amp;"_as_is = "&amp;VLOOKUP(B268,Instruções!$F$6:$J$10,5,0)&amp;"_to_be ")</f>
        <v xml:space="preserve">ON instrmnt_id_as_is = instrmnt_id_to_be </v>
      </c>
      <c r="K268" s="17" t="str">
        <f t="shared" si="51"/>
        <v xml:space="preserve">WHERE coalesce(cast(rcvd_amrtstn_12m_as_is as string), '') &lt;&gt; coalesce(cast(rcvd_amrtstn_12m_to_be as string), '') </v>
      </c>
      <c r="L268" s="17" t="str">
        <f t="shared" si="54"/>
        <v xml:space="preserve">SELECT count(*) AS NUM_REG_DIF FROM (SELECT instrmnt_id as instrmnt_id_as_is, rcvd_amrtstn_12m as rcvd_amrtstn_12m_as_is FROM cd_loan_tapes_bce.lt002_instrument WHERE ref_date='2025-06-30' AND nome_perimetro= 'Individual IDComb' AND segmento= 'ESTR' AND ambito= 'PM' AND entidade='00100' AND cod_visao = 1) A  Inner join (SELECT instrmnt_id as instrmnt_id_to_be, rcvd_amrtstn_12m as rcvd_amrtstn_12m_to_be FROM bu_loantape_work.lt002_instrument WHERE ref_date='2025-06-30' AND nome_perimetro= 'Individual IDComb' AND segmento= 'ESTR' AND ambito= 'PM' AND entidade='00100' AND cod_visao = 1) B ON instrmnt_id_as_is = instrmnt_id_to_be WHERE coalesce(cast(rcvd_amrtstn_12m_as_is as string), '') &lt;&gt; coalesce(cast(rcvd_amrtstn_12m_to_be as string), '') </v>
      </c>
      <c r="M268" s="17" t="s">
        <v>48</v>
      </c>
      <c r="N268" s="17" t="str">
        <f>"SELECT 'Validação de campos' as tipologia_teste, '"&amp;VLOOKUP(B268,Instruções!$F$6:$J$10,3,0)&amp;"' AS TABELA, '"&amp;E268&amp;"' AS CAMPO, '"&amp;Instruções!$D$7&amp;"' as ref_date, coalesce(NUM_REG_DIF, 0) AS NUM_REG_DIF FROM ("&amp;L268&amp;") A "</f>
        <v xml:space="preserve">SELECT 'Validação de campos' as tipologia_teste, 'lt002_instrument' AS TABELA, 'rcvd_amrtstn_12m' AS CAMPO, '2025-06-30' as ref_date, coalesce(NUM_REG_DIF, 0) AS NUM_REG_DIF FROM (SELECT count(*) AS NUM_REG_DIF FROM (SELECT instrmnt_id as instrmnt_id_as_is, rcvd_amrtstn_12m as rcvd_amrtstn_12m_as_is FROM cd_loan_tapes_bce.lt002_instrument WHERE ref_date='2025-06-30' AND nome_perimetro= 'Individual IDComb' AND segmento= 'ESTR' AND ambito= 'PM' AND entidade='00100' AND cod_visao = 1) A  Inner join (SELECT instrmnt_id as instrmnt_id_to_be, rcvd_amrtstn_12m as rcvd_amrtstn_12m_to_be FROM bu_loantape_work.lt002_instrument WHERE ref_date='2025-06-30' AND nome_perimetro= 'Individual IDComb' AND segmento= 'ESTR' AND ambito= 'PM' AND entidade='00100' AND cod_visao = 1) B ON instrmnt_id_as_is = instrmnt_id_to_be WHERE coalesce(cast(rcvd_amrtstn_12m_as_is as string), '') &lt;&gt; coalesce(cast(rcvd_amrtstn_12m_to_be as string), '') ) A </v>
      </c>
      <c r="O268" s="19" t="str">
        <f t="shared" si="53"/>
        <v>SELECT 'Validação de campos' as tipologia_teste, 'lt002_instrument' AS TABELA, 'rcvd_amrtstn_12m' AS CAMPO, '2025-06-30' as ref_date, coalesce(NUM_REG_DIF, 0) AS NUM_REG_DIF FROM (SELECT count(*) AS NUM_REG_DIF FROM (SELECT instrmnt_id as instrmnt_id_as_is, rcvd_amrtstn_12m as rcvd_amrtstn_12m_as_is FROM cd_loan_tapes_bce.lt002_instrument WHERE ref_date='2025-06-30' AND nome_perimetro= 'Individual IDComb' AND segmento= 'ESTR' AND ambito= 'PM' AND entidade='00100' AND cod_visao = 1) A  Inner join (SELECT instrmnt_id as instrmnt_id_to_be, rcvd_amrtstn_12m as rcvd_amrtstn_12m_to_be FROM bu_loantape_work.lt002_instrument WHERE ref_date='2025-06-30' AND nome_perimetro= 'Individual IDComb' AND segmento= 'ESTR' AND ambito= 'PM' AND entidade='00100' AND cod_visao = 1) B ON instrmnt_id_as_is = instrmnt_id_to_be WHERE coalesce(cast(rcvd_amrtstn_12m_as_is as string), '') &lt;&gt; coalesce(cast(rcvd_amrtstn_12m_to_be as string), '') ) A UNION ALL</v>
      </c>
      <c r="P268" s="17">
        <f t="shared" si="52"/>
        <v>13</v>
      </c>
    </row>
    <row r="269" spans="2:16" s="15" customFormat="1" ht="11.5" x14ac:dyDescent="0.25">
      <c r="B269" s="17" t="s">
        <v>24</v>
      </c>
      <c r="C269" s="17" t="str">
        <f>_xlfn.CONCAT(Instruções!$D$5,".",VLOOKUP(B269,Instruções!$F$5:$H$10,2,0))</f>
        <v>cd_loan_tapes_bce.lt002_instrument</v>
      </c>
      <c r="D269" s="17" t="str">
        <f>_xlfn.CONCAT(Instruções!$D$6,".",VLOOKUP(B269,Instruções!$F$5:$H$10,3,0))</f>
        <v>bu_loantape_work.lt002_instrument</v>
      </c>
      <c r="E269" s="17" t="s">
        <v>285</v>
      </c>
      <c r="F269" s="17" t="str">
        <f t="shared" si="49"/>
        <v>rcvd_amrtstn_24m_as_is</v>
      </c>
      <c r="G269" s="17" t="str">
        <f t="shared" si="50"/>
        <v>rcvd_amrtstn_24m_to_be</v>
      </c>
      <c r="H269" s="17" t="str">
        <f>IF(VLOOKUP(B269,Instruções!$F$6:$J$10,5,0)="",
"(SELECT "&amp;VLOOKUP(B269,Instruções!$F$6:$J$10,4,0)&amp;" as "&amp;VLOOKUP(B269,Instruções!$F$6:$J$10,4,0)&amp;"_as_is, "&amp;E269&amp;" as "&amp;F269&amp;" FROM "&amp;C269&amp;" WHERE "&amp;Instruções!$D$11&amp;") A ",
"(SELECT "&amp;VLOOKUP(B269,Instruções!$F$6:$J$10,4,0)&amp;" as "&amp;VLOOKUP(B269,Instruções!$F$6:$J$10,4,0)&amp;"_as_is, "&amp;VLOOKUP(B269,Instruções!$F$6:$J$10,5,0)&amp;" as "&amp;VLOOKUP(B269,Instruções!$F$6:$J$10,5,0)&amp;"_as_is,"&amp;E269&amp;" as "&amp;F269&amp;" FROM "&amp;C269&amp;" WHERE "&amp;Instruções!$D$11&amp;") A ")</f>
        <v xml:space="preserve">(SELECT instrmnt_id as instrmnt_id_as_is, rcvd_amrtstn_24m as rcvd_amrtstn_24m_as_is FROM cd_loan_tapes_bce.lt002_instrument WHERE ref_date='2025-06-30' AND nome_perimetro= 'Individual IDComb' AND segmento= 'ESTR' AND ambito= 'PM' AND entidade='00100' AND cod_visao = 1) A </v>
      </c>
      <c r="I269" s="17" t="str">
        <f>IF(VLOOKUP(B269,Instruções!$F$6:$J$10,5,0)="",
"(SELECT "&amp;VLOOKUP(B269,Instruções!$F$6:$J$10,4,0)&amp;" as "&amp;VLOOKUP(B269,Instruções!$F$6:$J$10,4,0)&amp;"_to_be, "&amp;E269&amp;" as "&amp;G269&amp;" FROM "&amp;D269&amp;" WHERE "&amp;Instruções!$D$11&amp;") B ",
"(SELECT "&amp;VLOOKUP(B269,Instruções!$F$6:$J$10,4,0)&amp;" as "&amp;VLOOKUP(B269,Instruções!$F$6:$J$10,4,0)&amp;"_to_be, "&amp;VLOOKUP(B269,Instruções!$F$6:$J$10,5,0)&amp;" as "&amp;VLOOKUP(B269,Instruções!$F$6:$J$10,5,0)&amp;"_to_be,"&amp;E269&amp;" as "&amp;G269&amp;" FROM "&amp;D269&amp;" WHERE "&amp;Instruções!$D$11&amp;") B ")</f>
        <v xml:space="preserve">(SELECT instrmnt_id as instrmnt_id_to_be, rcvd_amrtstn_24m as rcvd_amrtstn_24m_to_be FROM bu_loantape_work.lt002_instrument WHERE ref_date='2025-06-30' AND nome_perimetro= 'Individual IDComb' AND segmento= 'ESTR' AND ambito= 'PM' AND entidade='00100' AND cod_visao = 1) B </v>
      </c>
      <c r="J269" s="17" t="str">
        <f>IF(VLOOKUP(B269,Instruções!$F$6:$J$10,5,0)="",
"ON "&amp;VLOOKUP(B269,Instruções!$F$6:$J$10,4,0)&amp;"_as_is = "&amp;VLOOKUP(B269,Instruções!$F$6:$J$10,4,0)&amp;"_to_be ",
"ON "&amp;VLOOKUP(B269,Instruções!$F$6:$J$10,4,0)&amp;"_as_is = "&amp;VLOOKUP(B269,Instruções!$F$6:$J$10,4,0)&amp;"_to_be AND "&amp;VLOOKUP(B269,Instruções!$F$6:$J$10,5,0)&amp;"_as_is = "&amp;VLOOKUP(B269,Instruções!$F$6:$J$10,5,0)&amp;"_to_be ")</f>
        <v xml:space="preserve">ON instrmnt_id_as_is = instrmnt_id_to_be </v>
      </c>
      <c r="K269" s="17" t="str">
        <f t="shared" si="51"/>
        <v xml:space="preserve">WHERE coalesce(cast(rcvd_amrtstn_24m_as_is as string), '') &lt;&gt; coalesce(cast(rcvd_amrtstn_24m_to_be as string), '') </v>
      </c>
      <c r="L269" s="17" t="str">
        <f t="shared" si="54"/>
        <v xml:space="preserve">SELECT count(*) AS NUM_REG_DIF FROM (SELECT instrmnt_id as instrmnt_id_as_is, rcvd_amrtstn_24m as rcvd_amrtstn_24m_as_is FROM cd_loan_tapes_bce.lt002_instrument WHERE ref_date='2025-06-30' AND nome_perimetro= 'Individual IDComb' AND segmento= 'ESTR' AND ambito= 'PM' AND entidade='00100' AND cod_visao = 1) A  Inner join (SELECT instrmnt_id as instrmnt_id_to_be, rcvd_amrtstn_24m as rcvd_amrtstn_24m_to_be FROM bu_loantape_work.lt002_instrument WHERE ref_date='2025-06-30' AND nome_perimetro= 'Individual IDComb' AND segmento= 'ESTR' AND ambito= 'PM' AND entidade='00100' AND cod_visao = 1) B ON instrmnt_id_as_is = instrmnt_id_to_be WHERE coalesce(cast(rcvd_amrtstn_24m_as_is as string), '') &lt;&gt; coalesce(cast(rcvd_amrtstn_24m_to_be as string), '') </v>
      </c>
      <c r="M269" s="17" t="s">
        <v>48</v>
      </c>
      <c r="N269" s="17" t="str">
        <f>"SELECT 'Validação de campos' as tipologia_teste, '"&amp;VLOOKUP(B269,Instruções!$F$6:$J$10,3,0)&amp;"' AS TABELA, '"&amp;E269&amp;"' AS CAMPO, '"&amp;Instruções!$D$7&amp;"' as ref_date, coalesce(NUM_REG_DIF, 0) AS NUM_REG_DIF FROM ("&amp;L269&amp;") A "</f>
        <v xml:space="preserve">SELECT 'Validação de campos' as tipologia_teste, 'lt002_instrument' AS TABELA, 'rcvd_amrtstn_24m' AS CAMPO, '2025-06-30' as ref_date, coalesce(NUM_REG_DIF, 0) AS NUM_REG_DIF FROM (SELECT count(*) AS NUM_REG_DIF FROM (SELECT instrmnt_id as instrmnt_id_as_is, rcvd_amrtstn_24m as rcvd_amrtstn_24m_as_is FROM cd_loan_tapes_bce.lt002_instrument WHERE ref_date='2025-06-30' AND nome_perimetro= 'Individual IDComb' AND segmento= 'ESTR' AND ambito= 'PM' AND entidade='00100' AND cod_visao = 1) A  Inner join (SELECT instrmnt_id as instrmnt_id_to_be, rcvd_amrtstn_24m as rcvd_amrtstn_24m_to_be FROM bu_loantape_work.lt002_instrument WHERE ref_date='2025-06-30' AND nome_perimetro= 'Individual IDComb' AND segmento= 'ESTR' AND ambito= 'PM' AND entidade='00100' AND cod_visao = 1) B ON instrmnt_id_as_is = instrmnt_id_to_be WHERE coalesce(cast(rcvd_amrtstn_24m_as_is as string), '') &lt;&gt; coalesce(cast(rcvd_amrtstn_24m_to_be as string), '') ) A </v>
      </c>
      <c r="O269" s="19" t="str">
        <f t="shared" si="53"/>
        <v>SELECT 'Validação de campos' as tipologia_teste, 'lt002_instrument' AS TABELA, 'rcvd_amrtstn_24m' AS CAMPO, '2025-06-30' as ref_date, coalesce(NUM_REG_DIF, 0) AS NUM_REG_DIF FROM (SELECT count(*) AS NUM_REG_DIF FROM (SELECT instrmnt_id as instrmnt_id_as_is, rcvd_amrtstn_24m as rcvd_amrtstn_24m_as_is FROM cd_loan_tapes_bce.lt002_instrument WHERE ref_date='2025-06-30' AND nome_perimetro= 'Individual IDComb' AND segmento= 'ESTR' AND ambito= 'PM' AND entidade='00100' AND cod_visao = 1) A  Inner join (SELECT instrmnt_id as instrmnt_id_to_be, rcvd_amrtstn_24m as rcvd_amrtstn_24m_to_be FROM bu_loantape_work.lt002_instrument WHERE ref_date='2025-06-30' AND nome_perimetro= 'Individual IDComb' AND segmento= 'ESTR' AND ambito= 'PM' AND entidade='00100' AND cod_visao = 1) B ON instrmnt_id_as_is = instrmnt_id_to_be WHERE coalesce(cast(rcvd_amrtstn_24m_as_is as string), '') &lt;&gt; coalesce(cast(rcvd_amrtstn_24m_to_be as string), '') ) A UNION ALL</v>
      </c>
      <c r="P269" s="17">
        <f t="shared" si="52"/>
        <v>14</v>
      </c>
    </row>
    <row r="270" spans="2:16" s="15" customFormat="1" ht="11.5" x14ac:dyDescent="0.25">
      <c r="B270" s="17" t="s">
        <v>24</v>
      </c>
      <c r="C270" s="17" t="str">
        <f>_xlfn.CONCAT(Instruções!$D$5,".",VLOOKUP(B270,Instruções!$F$5:$H$10,2,0))</f>
        <v>cd_loan_tapes_bce.lt002_instrument</v>
      </c>
      <c r="D270" s="17" t="str">
        <f>_xlfn.CONCAT(Instruções!$D$6,".",VLOOKUP(B270,Instruções!$F$5:$H$10,3,0))</f>
        <v>bu_loantape_work.lt002_instrument</v>
      </c>
      <c r="E270" s="17" t="s">
        <v>286</v>
      </c>
      <c r="F270" s="17" t="str">
        <f t="shared" si="49"/>
        <v>rcvd_intrst_12m_as_is</v>
      </c>
      <c r="G270" s="17" t="str">
        <f t="shared" si="50"/>
        <v>rcvd_intrst_12m_to_be</v>
      </c>
      <c r="H270" s="17" t="str">
        <f>IF(VLOOKUP(B270,Instruções!$F$6:$J$10,5,0)="",
"(SELECT "&amp;VLOOKUP(B270,Instruções!$F$6:$J$10,4,0)&amp;" as "&amp;VLOOKUP(B270,Instruções!$F$6:$J$10,4,0)&amp;"_as_is, "&amp;E270&amp;" as "&amp;F270&amp;" FROM "&amp;C270&amp;" WHERE "&amp;Instruções!$D$11&amp;") A ",
"(SELECT "&amp;VLOOKUP(B270,Instruções!$F$6:$J$10,4,0)&amp;" as "&amp;VLOOKUP(B270,Instruções!$F$6:$J$10,4,0)&amp;"_as_is, "&amp;VLOOKUP(B270,Instruções!$F$6:$J$10,5,0)&amp;" as "&amp;VLOOKUP(B270,Instruções!$F$6:$J$10,5,0)&amp;"_as_is,"&amp;E270&amp;" as "&amp;F270&amp;" FROM "&amp;C270&amp;" WHERE "&amp;Instruções!$D$11&amp;") A ")</f>
        <v xml:space="preserve">(SELECT instrmnt_id as instrmnt_id_as_is, rcvd_intrst_12m as rcvd_intrst_12m_as_is FROM cd_loan_tapes_bce.lt002_instrument WHERE ref_date='2025-06-30' AND nome_perimetro= 'Individual IDComb' AND segmento= 'ESTR' AND ambito= 'PM' AND entidade='00100' AND cod_visao = 1) A </v>
      </c>
      <c r="I270" s="17" t="str">
        <f>IF(VLOOKUP(B270,Instruções!$F$6:$J$10,5,0)="",
"(SELECT "&amp;VLOOKUP(B270,Instruções!$F$6:$J$10,4,0)&amp;" as "&amp;VLOOKUP(B270,Instruções!$F$6:$J$10,4,0)&amp;"_to_be, "&amp;E270&amp;" as "&amp;G270&amp;" FROM "&amp;D270&amp;" WHERE "&amp;Instruções!$D$11&amp;") B ",
"(SELECT "&amp;VLOOKUP(B270,Instruções!$F$6:$J$10,4,0)&amp;" as "&amp;VLOOKUP(B270,Instruções!$F$6:$J$10,4,0)&amp;"_to_be, "&amp;VLOOKUP(B270,Instruções!$F$6:$J$10,5,0)&amp;" as "&amp;VLOOKUP(B270,Instruções!$F$6:$J$10,5,0)&amp;"_to_be,"&amp;E270&amp;" as "&amp;G270&amp;" FROM "&amp;D270&amp;" WHERE "&amp;Instruções!$D$11&amp;") B ")</f>
        <v xml:space="preserve">(SELECT instrmnt_id as instrmnt_id_to_be, rcvd_intrst_12m as rcvd_intrst_12m_to_be FROM bu_loantape_work.lt002_instrument WHERE ref_date='2025-06-30' AND nome_perimetro= 'Individual IDComb' AND segmento= 'ESTR' AND ambito= 'PM' AND entidade='00100' AND cod_visao = 1) B </v>
      </c>
      <c r="J270" s="17" t="str">
        <f>IF(VLOOKUP(B270,Instruções!$F$6:$J$10,5,0)="",
"ON "&amp;VLOOKUP(B270,Instruções!$F$6:$J$10,4,0)&amp;"_as_is = "&amp;VLOOKUP(B270,Instruções!$F$6:$J$10,4,0)&amp;"_to_be ",
"ON "&amp;VLOOKUP(B270,Instruções!$F$6:$J$10,4,0)&amp;"_as_is = "&amp;VLOOKUP(B270,Instruções!$F$6:$J$10,4,0)&amp;"_to_be AND "&amp;VLOOKUP(B270,Instruções!$F$6:$J$10,5,0)&amp;"_as_is = "&amp;VLOOKUP(B270,Instruções!$F$6:$J$10,5,0)&amp;"_to_be ")</f>
        <v xml:space="preserve">ON instrmnt_id_as_is = instrmnt_id_to_be </v>
      </c>
      <c r="K270" s="17" t="str">
        <f t="shared" si="51"/>
        <v xml:space="preserve">WHERE coalesce(cast(rcvd_intrst_12m_as_is as string), '') &lt;&gt; coalesce(cast(rcvd_intrst_12m_to_be as string), '') </v>
      </c>
      <c r="L270" s="17" t="str">
        <f t="shared" si="54"/>
        <v xml:space="preserve">SELECT count(*) AS NUM_REG_DIF FROM (SELECT instrmnt_id as instrmnt_id_as_is, rcvd_intrst_12m as rcvd_intrst_12m_as_is FROM cd_loan_tapes_bce.lt002_instrument WHERE ref_date='2025-06-30' AND nome_perimetro= 'Individual IDComb' AND segmento= 'ESTR' AND ambito= 'PM' AND entidade='00100' AND cod_visao = 1) A  Inner join (SELECT instrmnt_id as instrmnt_id_to_be, rcvd_intrst_12m as rcvd_intrst_12m_to_be FROM bu_loantape_work.lt002_instrument WHERE ref_date='2025-06-30' AND nome_perimetro= 'Individual IDComb' AND segmento= 'ESTR' AND ambito= 'PM' AND entidade='00100' AND cod_visao = 1) B ON instrmnt_id_as_is = instrmnt_id_to_be WHERE coalesce(cast(rcvd_intrst_12m_as_is as string), '') &lt;&gt; coalesce(cast(rcvd_intrst_12m_to_be as string), '') </v>
      </c>
      <c r="M270" s="17" t="s">
        <v>48</v>
      </c>
      <c r="N270" s="17" t="str">
        <f>"SELECT 'Validação de campos' as tipologia_teste, '"&amp;VLOOKUP(B270,Instruções!$F$6:$J$10,3,0)&amp;"' AS TABELA, '"&amp;E270&amp;"' AS CAMPO, '"&amp;Instruções!$D$7&amp;"' as ref_date, coalesce(NUM_REG_DIF, 0) AS NUM_REG_DIF FROM ("&amp;L270&amp;") A "</f>
        <v xml:space="preserve">SELECT 'Validação de campos' as tipologia_teste, 'lt002_instrument' AS TABELA, 'rcvd_intrst_12m' AS CAMPO, '2025-06-30' as ref_date, coalesce(NUM_REG_DIF, 0) AS NUM_REG_DIF FROM (SELECT count(*) AS NUM_REG_DIF FROM (SELECT instrmnt_id as instrmnt_id_as_is, rcvd_intrst_12m as rcvd_intrst_12m_as_is FROM cd_loan_tapes_bce.lt002_instrument WHERE ref_date='2025-06-30' AND nome_perimetro= 'Individual IDComb' AND segmento= 'ESTR' AND ambito= 'PM' AND entidade='00100' AND cod_visao = 1) A  Inner join (SELECT instrmnt_id as instrmnt_id_to_be, rcvd_intrst_12m as rcvd_intrst_12m_to_be FROM bu_loantape_work.lt002_instrument WHERE ref_date='2025-06-30' AND nome_perimetro= 'Individual IDComb' AND segmento= 'ESTR' AND ambito= 'PM' AND entidade='00100' AND cod_visao = 1) B ON instrmnt_id_as_is = instrmnt_id_to_be WHERE coalesce(cast(rcvd_intrst_12m_as_is as string), '') &lt;&gt; coalesce(cast(rcvd_intrst_12m_to_be as string), '') ) A </v>
      </c>
      <c r="O270" s="19" t="str">
        <f t="shared" si="53"/>
        <v>SELECT 'Validação de campos' as tipologia_teste, 'lt002_instrument' AS TABELA, 'rcvd_intrst_12m' AS CAMPO, '2025-06-30' as ref_date, coalesce(NUM_REG_DIF, 0) AS NUM_REG_DIF FROM (SELECT count(*) AS NUM_REG_DIF FROM (SELECT instrmnt_id as instrmnt_id_as_is, rcvd_intrst_12m as rcvd_intrst_12m_as_is FROM cd_loan_tapes_bce.lt002_instrument WHERE ref_date='2025-06-30' AND nome_perimetro= 'Individual IDComb' AND segmento= 'ESTR' AND ambito= 'PM' AND entidade='00100' AND cod_visao = 1) A  Inner join (SELECT instrmnt_id as instrmnt_id_to_be, rcvd_intrst_12m as rcvd_intrst_12m_to_be FROM bu_loantape_work.lt002_instrument WHERE ref_date='2025-06-30' AND nome_perimetro= 'Individual IDComb' AND segmento= 'ESTR' AND ambito= 'PM' AND entidade='00100' AND cod_visao = 1) B ON instrmnt_id_as_is = instrmnt_id_to_be WHERE coalesce(cast(rcvd_intrst_12m_as_is as string), '') &lt;&gt; coalesce(cast(rcvd_intrst_12m_to_be as string), '') ) A UNION ALL</v>
      </c>
      <c r="P270" s="17">
        <f t="shared" si="52"/>
        <v>15</v>
      </c>
    </row>
    <row r="271" spans="2:16" s="15" customFormat="1" ht="11.5" x14ac:dyDescent="0.25">
      <c r="B271" s="17" t="s">
        <v>24</v>
      </c>
      <c r="C271" s="17" t="str">
        <f>_xlfn.CONCAT(Instruções!$D$5,".",VLOOKUP(B271,Instruções!$F$5:$H$10,2,0))</f>
        <v>cd_loan_tapes_bce.lt002_instrument</v>
      </c>
      <c r="D271" s="17" t="str">
        <f>_xlfn.CONCAT(Instruções!$D$6,".",VLOOKUP(B271,Instruções!$F$5:$H$10,3,0))</f>
        <v>bu_loantape_work.lt002_instrument</v>
      </c>
      <c r="E271" s="17" t="s">
        <v>287</v>
      </c>
      <c r="F271" s="17" t="str">
        <f t="shared" si="49"/>
        <v>rcvd_intrst_24m_as_is</v>
      </c>
      <c r="G271" s="17" t="str">
        <f t="shared" si="50"/>
        <v>rcvd_intrst_24m_to_be</v>
      </c>
      <c r="H271" s="17" t="str">
        <f>IF(VLOOKUP(B271,Instruções!$F$6:$J$10,5,0)="",
"(SELECT "&amp;VLOOKUP(B271,Instruções!$F$6:$J$10,4,0)&amp;" as "&amp;VLOOKUP(B271,Instruções!$F$6:$J$10,4,0)&amp;"_as_is, "&amp;E271&amp;" as "&amp;F271&amp;" FROM "&amp;C271&amp;" WHERE "&amp;Instruções!$D$11&amp;") A ",
"(SELECT "&amp;VLOOKUP(B271,Instruções!$F$6:$J$10,4,0)&amp;" as "&amp;VLOOKUP(B271,Instruções!$F$6:$J$10,4,0)&amp;"_as_is, "&amp;VLOOKUP(B271,Instruções!$F$6:$J$10,5,0)&amp;" as "&amp;VLOOKUP(B271,Instruções!$F$6:$J$10,5,0)&amp;"_as_is,"&amp;E271&amp;" as "&amp;F271&amp;" FROM "&amp;C271&amp;" WHERE "&amp;Instruções!$D$11&amp;") A ")</f>
        <v xml:space="preserve">(SELECT instrmnt_id as instrmnt_id_as_is, rcvd_intrst_24m as rcvd_intrst_24m_as_is FROM cd_loan_tapes_bce.lt002_instrument WHERE ref_date='2025-06-30' AND nome_perimetro= 'Individual IDComb' AND segmento= 'ESTR' AND ambito= 'PM' AND entidade='00100' AND cod_visao = 1) A </v>
      </c>
      <c r="I271" s="17" t="str">
        <f>IF(VLOOKUP(B271,Instruções!$F$6:$J$10,5,0)="",
"(SELECT "&amp;VLOOKUP(B271,Instruções!$F$6:$J$10,4,0)&amp;" as "&amp;VLOOKUP(B271,Instruções!$F$6:$J$10,4,0)&amp;"_to_be, "&amp;E271&amp;" as "&amp;G271&amp;" FROM "&amp;D271&amp;" WHERE "&amp;Instruções!$D$11&amp;") B ",
"(SELECT "&amp;VLOOKUP(B271,Instruções!$F$6:$J$10,4,0)&amp;" as "&amp;VLOOKUP(B271,Instruções!$F$6:$J$10,4,0)&amp;"_to_be, "&amp;VLOOKUP(B271,Instruções!$F$6:$J$10,5,0)&amp;" as "&amp;VLOOKUP(B271,Instruções!$F$6:$J$10,5,0)&amp;"_to_be,"&amp;E271&amp;" as "&amp;G271&amp;" FROM "&amp;D271&amp;" WHERE "&amp;Instruções!$D$11&amp;") B ")</f>
        <v xml:space="preserve">(SELECT instrmnt_id as instrmnt_id_to_be, rcvd_intrst_24m as rcvd_intrst_24m_to_be FROM bu_loantape_work.lt002_instrument WHERE ref_date='2025-06-30' AND nome_perimetro= 'Individual IDComb' AND segmento= 'ESTR' AND ambito= 'PM' AND entidade='00100' AND cod_visao = 1) B </v>
      </c>
      <c r="J271" s="17" t="str">
        <f>IF(VLOOKUP(B271,Instruções!$F$6:$J$10,5,0)="",
"ON "&amp;VLOOKUP(B271,Instruções!$F$6:$J$10,4,0)&amp;"_as_is = "&amp;VLOOKUP(B271,Instruções!$F$6:$J$10,4,0)&amp;"_to_be ",
"ON "&amp;VLOOKUP(B271,Instruções!$F$6:$J$10,4,0)&amp;"_as_is = "&amp;VLOOKUP(B271,Instruções!$F$6:$J$10,4,0)&amp;"_to_be AND "&amp;VLOOKUP(B271,Instruções!$F$6:$J$10,5,0)&amp;"_as_is = "&amp;VLOOKUP(B271,Instruções!$F$6:$J$10,5,0)&amp;"_to_be ")</f>
        <v xml:space="preserve">ON instrmnt_id_as_is = instrmnt_id_to_be </v>
      </c>
      <c r="K271" s="17" t="str">
        <f t="shared" si="51"/>
        <v xml:space="preserve">WHERE coalesce(cast(rcvd_intrst_24m_as_is as string), '') &lt;&gt; coalesce(cast(rcvd_intrst_24m_to_be as string), '') </v>
      </c>
      <c r="L271" s="17" t="str">
        <f t="shared" si="54"/>
        <v xml:space="preserve">SELECT count(*) AS NUM_REG_DIF FROM (SELECT instrmnt_id as instrmnt_id_as_is, rcvd_intrst_24m as rcvd_intrst_24m_as_is FROM cd_loan_tapes_bce.lt002_instrument WHERE ref_date='2025-06-30' AND nome_perimetro= 'Individual IDComb' AND segmento= 'ESTR' AND ambito= 'PM' AND entidade='00100' AND cod_visao = 1) A  Inner join (SELECT instrmnt_id as instrmnt_id_to_be, rcvd_intrst_24m as rcvd_intrst_24m_to_be FROM bu_loantape_work.lt002_instrument WHERE ref_date='2025-06-30' AND nome_perimetro= 'Individual IDComb' AND segmento= 'ESTR' AND ambito= 'PM' AND entidade='00100' AND cod_visao = 1) B ON instrmnt_id_as_is = instrmnt_id_to_be WHERE coalesce(cast(rcvd_intrst_24m_as_is as string), '') &lt;&gt; coalesce(cast(rcvd_intrst_24m_to_be as string), '') </v>
      </c>
      <c r="M271" s="17" t="s">
        <v>48</v>
      </c>
      <c r="N271" s="17" t="str">
        <f>"SELECT 'Validação de campos' as tipologia_teste, '"&amp;VLOOKUP(B271,Instruções!$F$6:$J$10,3,0)&amp;"' AS TABELA, '"&amp;E271&amp;"' AS CAMPO, '"&amp;Instruções!$D$7&amp;"' as ref_date, coalesce(NUM_REG_DIF, 0) AS NUM_REG_DIF FROM ("&amp;L271&amp;") A "</f>
        <v xml:space="preserve">SELECT 'Validação de campos' as tipologia_teste, 'lt002_instrument' AS TABELA, 'rcvd_intrst_24m' AS CAMPO, '2025-06-30' as ref_date, coalesce(NUM_REG_DIF, 0) AS NUM_REG_DIF FROM (SELECT count(*) AS NUM_REG_DIF FROM (SELECT instrmnt_id as instrmnt_id_as_is, rcvd_intrst_24m as rcvd_intrst_24m_as_is FROM cd_loan_tapes_bce.lt002_instrument WHERE ref_date='2025-06-30' AND nome_perimetro= 'Individual IDComb' AND segmento= 'ESTR' AND ambito= 'PM' AND entidade='00100' AND cod_visao = 1) A  Inner join (SELECT instrmnt_id as instrmnt_id_to_be, rcvd_intrst_24m as rcvd_intrst_24m_to_be FROM bu_loantape_work.lt002_instrument WHERE ref_date='2025-06-30' AND nome_perimetro= 'Individual IDComb' AND segmento= 'ESTR' AND ambito= 'PM' AND entidade='00100' AND cod_visao = 1) B ON instrmnt_id_as_is = instrmnt_id_to_be WHERE coalesce(cast(rcvd_intrst_24m_as_is as string), '') &lt;&gt; coalesce(cast(rcvd_intrst_24m_to_be as string), '') ) A </v>
      </c>
      <c r="O271" s="19" t="str">
        <f t="shared" si="53"/>
        <v>SELECT 'Validação de campos' as tipologia_teste, 'lt002_instrument' AS TABELA, 'rcvd_intrst_24m' AS CAMPO, '2025-06-30' as ref_date, coalesce(NUM_REG_DIF, 0) AS NUM_REG_DIF FROM (SELECT count(*) AS NUM_REG_DIF FROM (SELECT instrmnt_id as instrmnt_id_as_is, rcvd_intrst_24m as rcvd_intrst_24m_as_is FROM cd_loan_tapes_bce.lt002_instrument WHERE ref_date='2025-06-30' AND nome_perimetro= 'Individual IDComb' AND segmento= 'ESTR' AND ambito= 'PM' AND entidade='00100' AND cod_visao = 1) A  Inner join (SELECT instrmnt_id as instrmnt_id_to_be, rcvd_intrst_24m as rcvd_intrst_24m_to_be FROM bu_loantape_work.lt002_instrument WHERE ref_date='2025-06-30' AND nome_perimetro= 'Individual IDComb' AND segmento= 'ESTR' AND ambito= 'PM' AND entidade='00100' AND cod_visao = 1) B ON instrmnt_id_as_is = instrmnt_id_to_be WHERE coalesce(cast(rcvd_intrst_24m_as_is as string), '') &lt;&gt; coalesce(cast(rcvd_intrst_24m_to_be as string), '') ) A UNION ALL</v>
      </c>
      <c r="P271" s="17">
        <f t="shared" si="52"/>
        <v>16</v>
      </c>
    </row>
    <row r="272" spans="2:16" s="15" customFormat="1" ht="11.5" x14ac:dyDescent="0.25">
      <c r="B272" s="17" t="s">
        <v>24</v>
      </c>
      <c r="C272" s="17" t="str">
        <f>_xlfn.CONCAT(Instruções!$D$5,".",VLOOKUP(B272,Instruções!$F$5:$H$10,2,0))</f>
        <v>cd_loan_tapes_bce.lt002_instrument</v>
      </c>
      <c r="D272" s="17" t="str">
        <f>_xlfn.CONCAT(Instruções!$D$6,".",VLOOKUP(B272,Instruções!$F$5:$H$10,3,0))</f>
        <v>bu_loantape_work.lt002_instrument</v>
      </c>
      <c r="E272" s="17" t="s">
        <v>288</v>
      </c>
      <c r="F272" s="17" t="str">
        <f t="shared" si="49"/>
        <v>rfnnc_prps_as_is</v>
      </c>
      <c r="G272" s="17" t="str">
        <f t="shared" si="50"/>
        <v>rfnnc_prps_to_be</v>
      </c>
      <c r="H272" s="17" t="str">
        <f>IF(VLOOKUP(B272,Instruções!$F$6:$J$10,5,0)="",
"(SELECT "&amp;VLOOKUP(B272,Instruções!$F$6:$J$10,4,0)&amp;" as "&amp;VLOOKUP(B272,Instruções!$F$6:$J$10,4,0)&amp;"_as_is, "&amp;E272&amp;" as "&amp;F272&amp;" FROM "&amp;C272&amp;" WHERE "&amp;Instruções!$D$11&amp;") A ",
"(SELECT "&amp;VLOOKUP(B272,Instruções!$F$6:$J$10,4,0)&amp;" as "&amp;VLOOKUP(B272,Instruções!$F$6:$J$10,4,0)&amp;"_as_is, "&amp;VLOOKUP(B272,Instruções!$F$6:$J$10,5,0)&amp;" as "&amp;VLOOKUP(B272,Instruções!$F$6:$J$10,5,0)&amp;"_as_is,"&amp;E272&amp;" as "&amp;F272&amp;" FROM "&amp;C272&amp;" WHERE "&amp;Instruções!$D$11&amp;") A ")</f>
        <v xml:space="preserve">(SELECT instrmnt_id as instrmnt_id_as_is, rfnnc_prps as rfnnc_prps_as_is FROM cd_loan_tapes_bce.lt002_instrument WHERE ref_date='2025-06-30' AND nome_perimetro= 'Individual IDComb' AND segmento= 'ESTR' AND ambito= 'PM' AND entidade='00100' AND cod_visao = 1) A </v>
      </c>
      <c r="I272" s="17" t="str">
        <f>IF(VLOOKUP(B272,Instruções!$F$6:$J$10,5,0)="",
"(SELECT "&amp;VLOOKUP(B272,Instruções!$F$6:$J$10,4,0)&amp;" as "&amp;VLOOKUP(B272,Instruções!$F$6:$J$10,4,0)&amp;"_to_be, "&amp;E272&amp;" as "&amp;G272&amp;" FROM "&amp;D272&amp;" WHERE "&amp;Instruções!$D$11&amp;") B ",
"(SELECT "&amp;VLOOKUP(B272,Instruções!$F$6:$J$10,4,0)&amp;" as "&amp;VLOOKUP(B272,Instruções!$F$6:$J$10,4,0)&amp;"_to_be, "&amp;VLOOKUP(B272,Instruções!$F$6:$J$10,5,0)&amp;" as "&amp;VLOOKUP(B272,Instruções!$F$6:$J$10,5,0)&amp;"_to_be,"&amp;E272&amp;" as "&amp;G272&amp;" FROM "&amp;D272&amp;" WHERE "&amp;Instruções!$D$11&amp;") B ")</f>
        <v xml:space="preserve">(SELECT instrmnt_id as instrmnt_id_to_be, rfnnc_prps as rfnnc_prps_to_be FROM bu_loantape_work.lt002_instrument WHERE ref_date='2025-06-30' AND nome_perimetro= 'Individual IDComb' AND segmento= 'ESTR' AND ambito= 'PM' AND entidade='00100' AND cod_visao = 1) B </v>
      </c>
      <c r="J272" s="17" t="str">
        <f>IF(VLOOKUP(B272,Instruções!$F$6:$J$10,5,0)="",
"ON "&amp;VLOOKUP(B272,Instruções!$F$6:$J$10,4,0)&amp;"_as_is = "&amp;VLOOKUP(B272,Instruções!$F$6:$J$10,4,0)&amp;"_to_be ",
"ON "&amp;VLOOKUP(B272,Instruções!$F$6:$J$10,4,0)&amp;"_as_is = "&amp;VLOOKUP(B272,Instruções!$F$6:$J$10,4,0)&amp;"_to_be AND "&amp;VLOOKUP(B272,Instruções!$F$6:$J$10,5,0)&amp;"_as_is = "&amp;VLOOKUP(B272,Instruções!$F$6:$J$10,5,0)&amp;"_to_be ")</f>
        <v xml:space="preserve">ON instrmnt_id_as_is = instrmnt_id_to_be </v>
      </c>
      <c r="K272" s="17" t="str">
        <f t="shared" si="51"/>
        <v xml:space="preserve">WHERE coalesce(cast(rfnnc_prps_as_is as string), '') &lt;&gt; coalesce(cast(rfnnc_prps_to_be as string), '') </v>
      </c>
      <c r="L272" s="17" t="str">
        <f t="shared" si="54"/>
        <v xml:space="preserve">SELECT count(*) AS NUM_REG_DIF FROM (SELECT instrmnt_id as instrmnt_id_as_is, rfnnc_prps as rfnnc_prps_as_is FROM cd_loan_tapes_bce.lt002_instrument WHERE ref_date='2025-06-30' AND nome_perimetro= 'Individual IDComb' AND segmento= 'ESTR' AND ambito= 'PM' AND entidade='00100' AND cod_visao = 1) A  Inner join (SELECT instrmnt_id as instrmnt_id_to_be, rfnnc_prps as rfnnc_prps_to_be FROM bu_loantape_work.lt002_instrument WHERE ref_date='2025-06-30' AND nome_perimetro= 'Individual IDComb' AND segmento= 'ESTR' AND ambito= 'PM' AND entidade='00100' AND cod_visao = 1) B ON instrmnt_id_as_is = instrmnt_id_to_be WHERE coalesce(cast(rfnnc_prps_as_is as string), '') &lt;&gt; coalesce(cast(rfnnc_prps_to_be as string), '') </v>
      </c>
      <c r="M272" s="17" t="s">
        <v>48</v>
      </c>
      <c r="N272" s="17" t="str">
        <f>"SELECT 'Validação de campos' as tipologia_teste, '"&amp;VLOOKUP(B272,Instruções!$F$6:$J$10,3,0)&amp;"' AS TABELA, '"&amp;E272&amp;"' AS CAMPO, '"&amp;Instruções!$D$7&amp;"' as ref_date, coalesce(NUM_REG_DIF, 0) AS NUM_REG_DIF FROM ("&amp;L272&amp;") A "</f>
        <v xml:space="preserve">SELECT 'Validação de campos' as tipologia_teste, 'lt002_instrument' AS TABELA, 'rfnnc_prps' AS CAMPO, '2025-06-30' as ref_date, coalesce(NUM_REG_DIF, 0) AS NUM_REG_DIF FROM (SELECT count(*) AS NUM_REG_DIF FROM (SELECT instrmnt_id as instrmnt_id_as_is, rfnnc_prps as rfnnc_prps_as_is FROM cd_loan_tapes_bce.lt002_instrument WHERE ref_date='2025-06-30' AND nome_perimetro= 'Individual IDComb' AND segmento= 'ESTR' AND ambito= 'PM' AND entidade='00100' AND cod_visao = 1) A  Inner join (SELECT instrmnt_id as instrmnt_id_to_be, rfnnc_prps as rfnnc_prps_to_be FROM bu_loantape_work.lt002_instrument WHERE ref_date='2025-06-30' AND nome_perimetro= 'Individual IDComb' AND segmento= 'ESTR' AND ambito= 'PM' AND entidade='00100' AND cod_visao = 1) B ON instrmnt_id_as_is = instrmnt_id_to_be WHERE coalesce(cast(rfnnc_prps_as_is as string), '') &lt;&gt; coalesce(cast(rfnnc_prps_to_be as string), '') ) A </v>
      </c>
      <c r="O272" s="19" t="str">
        <f t="shared" si="53"/>
        <v>SELECT 'Validação de campos' as tipologia_teste, 'lt002_instrument' AS TABELA, 'rfnnc_prps' AS CAMPO, '2025-06-30' as ref_date, coalesce(NUM_REG_DIF, 0) AS NUM_REG_DIF FROM (SELECT count(*) AS NUM_REG_DIF FROM (SELECT instrmnt_id as instrmnt_id_as_is, rfnnc_prps as rfnnc_prps_as_is FROM cd_loan_tapes_bce.lt002_instrument WHERE ref_date='2025-06-30' AND nome_perimetro= 'Individual IDComb' AND segmento= 'ESTR' AND ambito= 'PM' AND entidade='00100' AND cod_visao = 1) A  Inner join (SELECT instrmnt_id as instrmnt_id_to_be, rfnnc_prps as rfnnc_prps_to_be FROM bu_loantape_work.lt002_instrument WHERE ref_date='2025-06-30' AND nome_perimetro= 'Individual IDComb' AND segmento= 'ESTR' AND ambito= 'PM' AND entidade='00100' AND cod_visao = 1) B ON instrmnt_id_as_is = instrmnt_id_to_be WHERE coalesce(cast(rfnnc_prps_as_is as string), '') &lt;&gt; coalesce(cast(rfnnc_prps_to_be as string), '') ) A UNION ALL</v>
      </c>
      <c r="P272" s="17">
        <f t="shared" si="52"/>
        <v>17</v>
      </c>
    </row>
    <row r="273" spans="2:16" s="15" customFormat="1" ht="11.5" x14ac:dyDescent="0.25">
      <c r="B273" s="17" t="s">
        <v>24</v>
      </c>
      <c r="C273" s="17" t="str">
        <f>_xlfn.CONCAT(Instruções!$D$5,".",VLOOKUP(B273,Instruções!$F$5:$H$10,2,0))</f>
        <v>cd_loan_tapes_bce.lt002_instrument</v>
      </c>
      <c r="D273" s="17" t="str">
        <f>_xlfn.CONCAT(Instruções!$D$6,".",VLOOKUP(B273,Instruções!$F$5:$H$10,3,0))</f>
        <v>bu_loantape_work.lt002_instrument</v>
      </c>
      <c r="E273" s="17" t="s">
        <v>289</v>
      </c>
      <c r="F273" s="17" t="str">
        <f t="shared" si="49"/>
        <v>rfrnc_rt_as_is</v>
      </c>
      <c r="G273" s="17" t="str">
        <f t="shared" si="50"/>
        <v>rfrnc_rt_to_be</v>
      </c>
      <c r="H273" s="17" t="str">
        <f>IF(VLOOKUP(B273,Instruções!$F$6:$J$10,5,0)="",
"(SELECT "&amp;VLOOKUP(B273,Instruções!$F$6:$J$10,4,0)&amp;" as "&amp;VLOOKUP(B273,Instruções!$F$6:$J$10,4,0)&amp;"_as_is, "&amp;E273&amp;" as "&amp;F273&amp;" FROM "&amp;C273&amp;" WHERE "&amp;Instruções!$D$11&amp;") A ",
"(SELECT "&amp;VLOOKUP(B273,Instruções!$F$6:$J$10,4,0)&amp;" as "&amp;VLOOKUP(B273,Instruções!$F$6:$J$10,4,0)&amp;"_as_is, "&amp;VLOOKUP(B273,Instruções!$F$6:$J$10,5,0)&amp;" as "&amp;VLOOKUP(B273,Instruções!$F$6:$J$10,5,0)&amp;"_as_is,"&amp;E273&amp;" as "&amp;F273&amp;" FROM "&amp;C273&amp;" WHERE "&amp;Instruções!$D$11&amp;") A ")</f>
        <v xml:space="preserve">(SELECT instrmnt_id as instrmnt_id_as_is, rfrnc_rt as rfrnc_rt_as_is FROM cd_loan_tapes_bce.lt002_instrument WHERE ref_date='2025-06-30' AND nome_perimetro= 'Individual IDComb' AND segmento= 'ESTR' AND ambito= 'PM' AND entidade='00100' AND cod_visao = 1) A </v>
      </c>
      <c r="I273" s="17" t="str">
        <f>IF(VLOOKUP(B273,Instruções!$F$6:$J$10,5,0)="",
"(SELECT "&amp;VLOOKUP(B273,Instruções!$F$6:$J$10,4,0)&amp;" as "&amp;VLOOKUP(B273,Instruções!$F$6:$J$10,4,0)&amp;"_to_be, "&amp;E273&amp;" as "&amp;G273&amp;" FROM "&amp;D273&amp;" WHERE "&amp;Instruções!$D$11&amp;") B ",
"(SELECT "&amp;VLOOKUP(B273,Instruções!$F$6:$J$10,4,0)&amp;" as "&amp;VLOOKUP(B273,Instruções!$F$6:$J$10,4,0)&amp;"_to_be, "&amp;VLOOKUP(B273,Instruções!$F$6:$J$10,5,0)&amp;" as "&amp;VLOOKUP(B273,Instruções!$F$6:$J$10,5,0)&amp;"_to_be,"&amp;E273&amp;" as "&amp;G273&amp;" FROM "&amp;D273&amp;" WHERE "&amp;Instruções!$D$11&amp;") B ")</f>
        <v xml:space="preserve">(SELECT instrmnt_id as instrmnt_id_to_be, rfrnc_rt as rfrnc_rt_to_be FROM bu_loantape_work.lt002_instrument WHERE ref_date='2025-06-30' AND nome_perimetro= 'Individual IDComb' AND segmento= 'ESTR' AND ambito= 'PM' AND entidade='00100' AND cod_visao = 1) B </v>
      </c>
      <c r="J273" s="17" t="str">
        <f>IF(VLOOKUP(B273,Instruções!$F$6:$J$10,5,0)="",
"ON "&amp;VLOOKUP(B273,Instruções!$F$6:$J$10,4,0)&amp;"_as_is = "&amp;VLOOKUP(B273,Instruções!$F$6:$J$10,4,0)&amp;"_to_be ",
"ON "&amp;VLOOKUP(B273,Instruções!$F$6:$J$10,4,0)&amp;"_as_is = "&amp;VLOOKUP(B273,Instruções!$F$6:$J$10,4,0)&amp;"_to_be AND "&amp;VLOOKUP(B273,Instruções!$F$6:$J$10,5,0)&amp;"_as_is = "&amp;VLOOKUP(B273,Instruções!$F$6:$J$10,5,0)&amp;"_to_be ")</f>
        <v xml:space="preserve">ON instrmnt_id_as_is = instrmnt_id_to_be </v>
      </c>
      <c r="K273" s="17" t="str">
        <f t="shared" si="51"/>
        <v xml:space="preserve">WHERE coalesce(cast(rfrnc_rt_as_is as string), '') &lt;&gt; coalesce(cast(rfrnc_rt_to_be as string), '') </v>
      </c>
      <c r="L273" s="17" t="str">
        <f t="shared" si="54"/>
        <v xml:space="preserve">SELECT count(*) AS NUM_REG_DIF FROM (SELECT instrmnt_id as instrmnt_id_as_is, rfrnc_rt as rfrnc_rt_as_is FROM cd_loan_tapes_bce.lt002_instrument WHERE ref_date='2025-06-30' AND nome_perimetro= 'Individual IDComb' AND segmento= 'ESTR' AND ambito= 'PM' AND entidade='00100' AND cod_visao = 1) A  Inner join (SELECT instrmnt_id as instrmnt_id_to_be, rfrnc_rt as rfrnc_rt_to_be FROM bu_loantape_work.lt002_instrument WHERE ref_date='2025-06-30' AND nome_perimetro= 'Individual IDComb' AND segmento= 'ESTR' AND ambito= 'PM' AND entidade='00100' AND cod_visao = 1) B ON instrmnt_id_as_is = instrmnt_id_to_be WHERE coalesce(cast(rfrnc_rt_as_is as string), '') &lt;&gt; coalesce(cast(rfrnc_rt_to_be as string), '') </v>
      </c>
      <c r="M273" s="17" t="s">
        <v>48</v>
      </c>
      <c r="N273" s="17" t="str">
        <f>"SELECT 'Validação de campos' as tipologia_teste, '"&amp;VLOOKUP(B273,Instruções!$F$6:$J$10,3,0)&amp;"' AS TABELA, '"&amp;E273&amp;"' AS CAMPO, '"&amp;Instruções!$D$7&amp;"' as ref_date, coalesce(NUM_REG_DIF, 0) AS NUM_REG_DIF FROM ("&amp;L273&amp;") A "</f>
        <v xml:space="preserve">SELECT 'Validação de campos' as tipologia_teste, 'lt002_instrument' AS TABELA, 'rfrnc_rt' AS CAMPO, '2025-06-30' as ref_date, coalesce(NUM_REG_DIF, 0) AS NUM_REG_DIF FROM (SELECT count(*) AS NUM_REG_DIF FROM (SELECT instrmnt_id as instrmnt_id_as_is, rfrnc_rt as rfrnc_rt_as_is FROM cd_loan_tapes_bce.lt002_instrument WHERE ref_date='2025-06-30' AND nome_perimetro= 'Individual IDComb' AND segmento= 'ESTR' AND ambito= 'PM' AND entidade='00100' AND cod_visao = 1) A  Inner join (SELECT instrmnt_id as instrmnt_id_to_be, rfrnc_rt as rfrnc_rt_to_be FROM bu_loantape_work.lt002_instrument WHERE ref_date='2025-06-30' AND nome_perimetro= 'Individual IDComb' AND segmento= 'ESTR' AND ambito= 'PM' AND entidade='00100' AND cod_visao = 1) B ON instrmnt_id_as_is = instrmnt_id_to_be WHERE coalesce(cast(rfrnc_rt_as_is as string), '') &lt;&gt; coalesce(cast(rfrnc_rt_to_be as string), '') ) A </v>
      </c>
      <c r="O273" s="19" t="str">
        <f t="shared" si="53"/>
        <v>SELECT 'Validação de campos' as tipologia_teste, 'lt002_instrument' AS TABELA, 'rfrnc_rt' AS CAMPO, '2025-06-30' as ref_date, coalesce(NUM_REG_DIF, 0) AS NUM_REG_DIF FROM (SELECT count(*) AS NUM_REG_DIF FROM (SELECT instrmnt_id as instrmnt_id_as_is, rfrnc_rt as rfrnc_rt_as_is FROM cd_loan_tapes_bce.lt002_instrument WHERE ref_date='2025-06-30' AND nome_perimetro= 'Individual IDComb' AND segmento= 'ESTR' AND ambito= 'PM' AND entidade='00100' AND cod_visao = 1) A  Inner join (SELECT instrmnt_id as instrmnt_id_to_be, rfrnc_rt as rfrnc_rt_to_be FROM bu_loantape_work.lt002_instrument WHERE ref_date='2025-06-30' AND nome_perimetro= 'Individual IDComb' AND segmento= 'ESTR' AND ambito= 'PM' AND entidade='00100' AND cod_visao = 1) B ON instrmnt_id_as_is = instrmnt_id_to_be WHERE coalesce(cast(rfrnc_rt_as_is as string), '') &lt;&gt; coalesce(cast(rfrnc_rt_to_be as string), '') ) A UNION ALL</v>
      </c>
      <c r="P273" s="17">
        <f t="shared" si="52"/>
        <v>18</v>
      </c>
    </row>
    <row r="274" spans="2:16" s="15" customFormat="1" ht="11.5" x14ac:dyDescent="0.25">
      <c r="B274" s="17" t="s">
        <v>24</v>
      </c>
      <c r="C274" s="17" t="str">
        <f>_xlfn.CONCAT(Instruções!$D$5,".",VLOOKUP(B274,Instruções!$F$5:$H$10,2,0))</f>
        <v>cd_loan_tapes_bce.lt002_instrument</v>
      </c>
      <c r="D274" s="17" t="str">
        <f>_xlfn.CONCAT(Instruções!$D$6,".",VLOOKUP(B274,Instruções!$F$5:$H$10,3,0))</f>
        <v>bu_loantape_work.lt002_instrument</v>
      </c>
      <c r="E274" s="17" t="s">
        <v>290</v>
      </c>
      <c r="F274" s="17" t="str">
        <f t="shared" si="49"/>
        <v>rre_fnrp18_as_is</v>
      </c>
      <c r="G274" s="17" t="str">
        <f t="shared" si="50"/>
        <v>rre_fnrp18_to_be</v>
      </c>
      <c r="H274" s="17" t="str">
        <f>IF(VLOOKUP(B274,Instruções!$F$6:$J$10,5,0)="",
"(SELECT "&amp;VLOOKUP(B274,Instruções!$F$6:$J$10,4,0)&amp;" as "&amp;VLOOKUP(B274,Instruções!$F$6:$J$10,4,0)&amp;"_as_is, "&amp;E274&amp;" as "&amp;F274&amp;" FROM "&amp;C274&amp;" WHERE "&amp;Instruções!$D$11&amp;") A ",
"(SELECT "&amp;VLOOKUP(B274,Instruções!$F$6:$J$10,4,0)&amp;" as "&amp;VLOOKUP(B274,Instruções!$F$6:$J$10,4,0)&amp;"_as_is, "&amp;VLOOKUP(B274,Instruções!$F$6:$J$10,5,0)&amp;" as "&amp;VLOOKUP(B274,Instruções!$F$6:$J$10,5,0)&amp;"_as_is,"&amp;E274&amp;" as "&amp;F274&amp;" FROM "&amp;C274&amp;" WHERE "&amp;Instruções!$D$11&amp;") A ")</f>
        <v xml:space="preserve">(SELECT instrmnt_id as instrmnt_id_as_is, rre_fnrp18 as rre_fnrp18_as_is FROM cd_loan_tapes_bce.lt002_instrument WHERE ref_date='2025-06-30' AND nome_perimetro= 'Individual IDComb' AND segmento= 'ESTR' AND ambito= 'PM' AND entidade='00100' AND cod_visao = 1) A </v>
      </c>
      <c r="I274" s="17" t="str">
        <f>IF(VLOOKUP(B274,Instruções!$F$6:$J$10,5,0)="",
"(SELECT "&amp;VLOOKUP(B274,Instruções!$F$6:$J$10,4,0)&amp;" as "&amp;VLOOKUP(B274,Instruções!$F$6:$J$10,4,0)&amp;"_to_be, "&amp;E274&amp;" as "&amp;G274&amp;" FROM "&amp;D274&amp;" WHERE "&amp;Instruções!$D$11&amp;") B ",
"(SELECT "&amp;VLOOKUP(B274,Instruções!$F$6:$J$10,4,0)&amp;" as "&amp;VLOOKUP(B274,Instruções!$F$6:$J$10,4,0)&amp;"_to_be, "&amp;VLOOKUP(B274,Instruções!$F$6:$J$10,5,0)&amp;" as "&amp;VLOOKUP(B274,Instruções!$F$6:$J$10,5,0)&amp;"_to_be,"&amp;E274&amp;" as "&amp;G274&amp;" FROM "&amp;D274&amp;" WHERE "&amp;Instruções!$D$11&amp;") B ")</f>
        <v xml:space="preserve">(SELECT instrmnt_id as instrmnt_id_to_be, rre_fnrp18 as rre_fnrp18_to_be FROM bu_loantape_work.lt002_instrument WHERE ref_date='2025-06-30' AND nome_perimetro= 'Individual IDComb' AND segmento= 'ESTR' AND ambito= 'PM' AND entidade='00100' AND cod_visao = 1) B </v>
      </c>
      <c r="J274" s="17" t="str">
        <f>IF(VLOOKUP(B274,Instruções!$F$6:$J$10,5,0)="",
"ON "&amp;VLOOKUP(B274,Instruções!$F$6:$J$10,4,0)&amp;"_as_is = "&amp;VLOOKUP(B274,Instruções!$F$6:$J$10,4,0)&amp;"_to_be ",
"ON "&amp;VLOOKUP(B274,Instruções!$F$6:$J$10,4,0)&amp;"_as_is = "&amp;VLOOKUP(B274,Instruções!$F$6:$J$10,4,0)&amp;"_to_be AND "&amp;VLOOKUP(B274,Instruções!$F$6:$J$10,5,0)&amp;"_as_is = "&amp;VLOOKUP(B274,Instruções!$F$6:$J$10,5,0)&amp;"_to_be ")</f>
        <v xml:space="preserve">ON instrmnt_id_as_is = instrmnt_id_to_be </v>
      </c>
      <c r="K274" s="17" t="str">
        <f t="shared" si="51"/>
        <v xml:space="preserve">WHERE coalesce(cast(rre_fnrp18_as_is as string), '') &lt;&gt; coalesce(cast(rre_fnrp18_to_be as string), '') </v>
      </c>
      <c r="L274" s="17" t="str">
        <f t="shared" si="54"/>
        <v xml:space="preserve">SELECT count(*) AS NUM_REG_DIF FROM (SELECT instrmnt_id as instrmnt_id_as_is, rre_fnrp18 as rre_fnrp18_as_is FROM cd_loan_tapes_bce.lt002_instrument WHERE ref_date='2025-06-30' AND nome_perimetro= 'Individual IDComb' AND segmento= 'ESTR' AND ambito= 'PM' AND entidade='00100' AND cod_visao = 1) A  Inner join (SELECT instrmnt_id as instrmnt_id_to_be, rre_fnrp18 as rre_fnrp18_to_be FROM bu_loantape_work.lt002_instrument WHERE ref_date='2025-06-30' AND nome_perimetro= 'Individual IDComb' AND segmento= 'ESTR' AND ambito= 'PM' AND entidade='00100' AND cod_visao = 1) B ON instrmnt_id_as_is = instrmnt_id_to_be WHERE coalesce(cast(rre_fnrp18_as_is as string), '') &lt;&gt; coalesce(cast(rre_fnrp18_to_be as string), '') </v>
      </c>
      <c r="M274" s="17" t="s">
        <v>48</v>
      </c>
      <c r="N274" s="17" t="str">
        <f>"SELECT 'Validação de campos' as tipologia_teste, '"&amp;VLOOKUP(B274,Instruções!$F$6:$J$10,3,0)&amp;"' AS TABELA, '"&amp;E274&amp;"' AS CAMPO, '"&amp;Instruções!$D$7&amp;"' as ref_date, coalesce(NUM_REG_DIF, 0) AS NUM_REG_DIF FROM ("&amp;L274&amp;") A "</f>
        <v xml:space="preserve">SELECT 'Validação de campos' as tipologia_teste, 'lt002_instrument' AS TABELA, 'rre_fnrp18' AS CAMPO, '2025-06-30' as ref_date, coalesce(NUM_REG_DIF, 0) AS NUM_REG_DIF FROM (SELECT count(*) AS NUM_REG_DIF FROM (SELECT instrmnt_id as instrmnt_id_as_is, rre_fnrp18 as rre_fnrp18_as_is FROM cd_loan_tapes_bce.lt002_instrument WHERE ref_date='2025-06-30' AND nome_perimetro= 'Individual IDComb' AND segmento= 'ESTR' AND ambito= 'PM' AND entidade='00100' AND cod_visao = 1) A  Inner join (SELECT instrmnt_id as instrmnt_id_to_be, rre_fnrp18 as rre_fnrp18_to_be FROM bu_loantape_work.lt002_instrument WHERE ref_date='2025-06-30' AND nome_perimetro= 'Individual IDComb' AND segmento= 'ESTR' AND ambito= 'PM' AND entidade='00100' AND cod_visao = 1) B ON instrmnt_id_as_is = instrmnt_id_to_be WHERE coalesce(cast(rre_fnrp18_as_is as string), '') &lt;&gt; coalesce(cast(rre_fnrp18_to_be as string), '') ) A </v>
      </c>
      <c r="O274" s="19" t="str">
        <f t="shared" si="53"/>
        <v>SELECT 'Validação de campos' as tipologia_teste, 'lt002_instrument' AS TABELA, 'rre_fnrp18' AS CAMPO, '2025-06-30' as ref_date, coalesce(NUM_REG_DIF, 0) AS NUM_REG_DIF FROM (SELECT count(*) AS NUM_REG_DIF FROM (SELECT instrmnt_id as instrmnt_id_as_is, rre_fnrp18 as rre_fnrp18_as_is FROM cd_loan_tapes_bce.lt002_instrument WHERE ref_date='2025-06-30' AND nome_perimetro= 'Individual IDComb' AND segmento= 'ESTR' AND ambito= 'PM' AND entidade='00100' AND cod_visao = 1) A  Inner join (SELECT instrmnt_id as instrmnt_id_to_be, rre_fnrp18 as rre_fnrp18_to_be FROM bu_loantape_work.lt002_instrument WHERE ref_date='2025-06-30' AND nome_perimetro= 'Individual IDComb' AND segmento= 'ESTR' AND ambito= 'PM' AND entidade='00100' AND cod_visao = 1) B ON instrmnt_id_as_is = instrmnt_id_to_be WHERE coalesce(cast(rre_fnrp18_as_is as string), '') &lt;&gt; coalesce(cast(rre_fnrp18_to_be as string), '') ) A UNION ALL</v>
      </c>
      <c r="P274" s="17">
        <f t="shared" si="52"/>
        <v>19</v>
      </c>
    </row>
    <row r="275" spans="2:16" s="15" customFormat="1" ht="11.5" x14ac:dyDescent="0.25">
      <c r="B275" s="17" t="s">
        <v>24</v>
      </c>
      <c r="C275" s="17" t="str">
        <f>_xlfn.CONCAT(Instruções!$D$5,".",VLOOKUP(B275,Instruções!$F$5:$H$10,2,0))</f>
        <v>cd_loan_tapes_bce.lt002_instrument</v>
      </c>
      <c r="D275" s="17" t="str">
        <f>_xlfn.CONCAT(Instruções!$D$6,".",VLOOKUP(B275,Instruções!$F$5:$H$10,3,0))</f>
        <v>bu_loantape_work.lt002_instrument</v>
      </c>
      <c r="E275" s="17" t="s">
        <v>132</v>
      </c>
      <c r="F275" s="17" t="str">
        <f t="shared" si="49"/>
        <v>rtng_mthd_as_is</v>
      </c>
      <c r="G275" s="17" t="str">
        <f t="shared" si="50"/>
        <v>rtng_mthd_to_be</v>
      </c>
      <c r="H275" s="17" t="str">
        <f>IF(VLOOKUP(B275,Instruções!$F$6:$J$10,5,0)="",
"(SELECT "&amp;VLOOKUP(B275,Instruções!$F$6:$J$10,4,0)&amp;" as "&amp;VLOOKUP(B275,Instruções!$F$6:$J$10,4,0)&amp;"_as_is, "&amp;E275&amp;" as "&amp;F275&amp;" FROM "&amp;C275&amp;" WHERE "&amp;Instruções!$D$11&amp;") A ",
"(SELECT "&amp;VLOOKUP(B275,Instruções!$F$6:$J$10,4,0)&amp;" as "&amp;VLOOKUP(B275,Instruções!$F$6:$J$10,4,0)&amp;"_as_is, "&amp;VLOOKUP(B275,Instruções!$F$6:$J$10,5,0)&amp;" as "&amp;VLOOKUP(B275,Instruções!$F$6:$J$10,5,0)&amp;"_as_is,"&amp;E275&amp;" as "&amp;F275&amp;" FROM "&amp;C275&amp;" WHERE "&amp;Instruções!$D$11&amp;") A ")</f>
        <v xml:space="preserve">(SELECT instrmnt_id as instrmnt_id_as_is, rtng_mthd as rtng_mthd_as_is FROM cd_loan_tapes_bce.lt002_instrument WHERE ref_date='2025-06-30' AND nome_perimetro= 'Individual IDComb' AND segmento= 'ESTR' AND ambito= 'PM' AND entidade='00100' AND cod_visao = 1) A </v>
      </c>
      <c r="I275" s="17" t="str">
        <f>IF(VLOOKUP(B275,Instruções!$F$6:$J$10,5,0)="",
"(SELECT "&amp;VLOOKUP(B275,Instruções!$F$6:$J$10,4,0)&amp;" as "&amp;VLOOKUP(B275,Instruções!$F$6:$J$10,4,0)&amp;"_to_be, "&amp;E275&amp;" as "&amp;G275&amp;" FROM "&amp;D275&amp;" WHERE "&amp;Instruções!$D$11&amp;") B ",
"(SELECT "&amp;VLOOKUP(B275,Instruções!$F$6:$J$10,4,0)&amp;" as "&amp;VLOOKUP(B275,Instruções!$F$6:$J$10,4,0)&amp;"_to_be, "&amp;VLOOKUP(B275,Instruções!$F$6:$J$10,5,0)&amp;" as "&amp;VLOOKUP(B275,Instruções!$F$6:$J$10,5,0)&amp;"_to_be,"&amp;E275&amp;" as "&amp;G275&amp;" FROM "&amp;D275&amp;" WHERE "&amp;Instruções!$D$11&amp;") B ")</f>
        <v xml:space="preserve">(SELECT instrmnt_id as instrmnt_id_to_be, rtng_mthd as rtng_mthd_to_be FROM bu_loantape_work.lt002_instrument WHERE ref_date='2025-06-30' AND nome_perimetro= 'Individual IDComb' AND segmento= 'ESTR' AND ambito= 'PM' AND entidade='00100' AND cod_visao = 1) B </v>
      </c>
      <c r="J275" s="17" t="str">
        <f>IF(VLOOKUP(B275,Instruções!$F$6:$J$10,5,0)="",
"ON "&amp;VLOOKUP(B275,Instruções!$F$6:$J$10,4,0)&amp;"_as_is = "&amp;VLOOKUP(B275,Instruções!$F$6:$J$10,4,0)&amp;"_to_be ",
"ON "&amp;VLOOKUP(B275,Instruções!$F$6:$J$10,4,0)&amp;"_as_is = "&amp;VLOOKUP(B275,Instruções!$F$6:$J$10,4,0)&amp;"_to_be AND "&amp;VLOOKUP(B275,Instruções!$F$6:$J$10,5,0)&amp;"_as_is = "&amp;VLOOKUP(B275,Instruções!$F$6:$J$10,5,0)&amp;"_to_be ")</f>
        <v xml:space="preserve">ON instrmnt_id_as_is = instrmnt_id_to_be </v>
      </c>
      <c r="K275" s="17" t="str">
        <f t="shared" si="51"/>
        <v xml:space="preserve">WHERE coalesce(cast(rtng_mthd_as_is as string), '') &lt;&gt; coalesce(cast(rtng_mthd_to_be as string), '') </v>
      </c>
      <c r="L275" s="17" t="str">
        <f t="shared" si="54"/>
        <v xml:space="preserve">SELECT count(*) AS NUM_REG_DIF FROM (SELECT instrmnt_id as instrmnt_id_as_is, rtng_mthd as rtng_mthd_as_is FROM cd_loan_tapes_bce.lt002_instrument WHERE ref_date='2025-06-30' AND nome_perimetro= 'Individual IDComb' AND segmento= 'ESTR' AND ambito= 'PM' AND entidade='00100' AND cod_visao = 1) A  Inner join (SELECT instrmnt_id as instrmnt_id_to_be, rtng_mthd as rtng_mthd_to_be FROM bu_loantape_work.lt002_instrument WHERE ref_date='2025-06-30' AND nome_perimetro= 'Individual IDComb' AND segmento= 'ESTR' AND ambito= 'PM' AND entidade='00100' AND cod_visao = 1) B ON instrmnt_id_as_is = instrmnt_id_to_be WHERE coalesce(cast(rtng_mthd_as_is as string), '') &lt;&gt; coalesce(cast(rtng_mthd_to_be as string), '') </v>
      </c>
      <c r="M275" s="17" t="s">
        <v>48</v>
      </c>
      <c r="N275" s="17" t="str">
        <f>"SELECT 'Validação de campos' as tipologia_teste, '"&amp;VLOOKUP(B275,Instruções!$F$6:$J$10,3,0)&amp;"' AS TABELA, '"&amp;E275&amp;"' AS CAMPO, '"&amp;Instruções!$D$7&amp;"' as ref_date, coalesce(NUM_REG_DIF, 0) AS NUM_REG_DIF FROM ("&amp;L275&amp;") A "</f>
        <v xml:space="preserve">SELECT 'Validação de campos' as tipologia_teste, 'lt002_instrument' AS TABELA, 'rtng_mthd' AS CAMPO, '2025-06-30' as ref_date, coalesce(NUM_REG_DIF, 0) AS NUM_REG_DIF FROM (SELECT count(*) AS NUM_REG_DIF FROM (SELECT instrmnt_id as instrmnt_id_as_is, rtng_mthd as rtng_mthd_as_is FROM cd_loan_tapes_bce.lt002_instrument WHERE ref_date='2025-06-30' AND nome_perimetro= 'Individual IDComb' AND segmento= 'ESTR' AND ambito= 'PM' AND entidade='00100' AND cod_visao = 1) A  Inner join (SELECT instrmnt_id as instrmnt_id_to_be, rtng_mthd as rtng_mthd_to_be FROM bu_loantape_work.lt002_instrument WHERE ref_date='2025-06-30' AND nome_perimetro= 'Individual IDComb' AND segmento= 'ESTR' AND ambito= 'PM' AND entidade='00100' AND cod_visao = 1) B ON instrmnt_id_as_is = instrmnt_id_to_be WHERE coalesce(cast(rtng_mthd_as_is as string), '') &lt;&gt; coalesce(cast(rtng_mthd_to_be as string), '') ) A </v>
      </c>
      <c r="O275" s="19" t="str">
        <f t="shared" si="53"/>
        <v>SELECT 'Validação de campos' as tipologia_teste, 'lt002_instrument' AS TABELA, 'rtng_mthd' AS CAMPO, '2025-06-30' as ref_date, coalesce(NUM_REG_DIF, 0) AS NUM_REG_DIF FROM (SELECT count(*) AS NUM_REG_DIF FROM (SELECT instrmnt_id as instrmnt_id_as_is, rtng_mthd as rtng_mthd_as_is FROM cd_loan_tapes_bce.lt002_instrument WHERE ref_date='2025-06-30' AND nome_perimetro= 'Individual IDComb' AND segmento= 'ESTR' AND ambito= 'PM' AND entidade='00100' AND cod_visao = 1) A  Inner join (SELECT instrmnt_id as instrmnt_id_to_be, rtng_mthd as rtng_mthd_to_be FROM bu_loantape_work.lt002_instrument WHERE ref_date='2025-06-30' AND nome_perimetro= 'Individual IDComb' AND segmento= 'ESTR' AND ambito= 'PM' AND entidade='00100' AND cod_visao = 1) B ON instrmnt_id_as_is = instrmnt_id_to_be WHERE coalesce(cast(rtng_mthd_as_is as string), '') &lt;&gt; coalesce(cast(rtng_mthd_to_be as string), '') ) A UNION ALL</v>
      </c>
      <c r="P275" s="17">
        <f t="shared" si="52"/>
        <v>20</v>
      </c>
    </row>
    <row r="276" spans="2:16" s="15" customFormat="1" ht="11.5" x14ac:dyDescent="0.25">
      <c r="B276" s="17" t="s">
        <v>24</v>
      </c>
      <c r="C276" s="17" t="str">
        <f>_xlfn.CONCAT(Instruções!$D$5,".",VLOOKUP(B276,Instruções!$F$5:$H$10,2,0))</f>
        <v>cd_loan_tapes_bce.lt002_instrument</v>
      </c>
      <c r="D276" s="17" t="str">
        <f>_xlfn.CONCAT(Instruções!$D$6,".",VLOOKUP(B276,Instruções!$F$5:$H$10,3,0))</f>
        <v>bu_loantape_work.lt002_instrument</v>
      </c>
      <c r="E276" s="17" t="s">
        <v>133</v>
      </c>
      <c r="F276" s="17" t="str">
        <f t="shared" si="49"/>
        <v>rtng_scl_as_is</v>
      </c>
      <c r="G276" s="17" t="str">
        <f t="shared" si="50"/>
        <v>rtng_scl_to_be</v>
      </c>
      <c r="H276" s="17" t="str">
        <f>IF(VLOOKUP(B276,Instruções!$F$6:$J$10,5,0)="",
"(SELECT "&amp;VLOOKUP(B276,Instruções!$F$6:$J$10,4,0)&amp;" as "&amp;VLOOKUP(B276,Instruções!$F$6:$J$10,4,0)&amp;"_as_is, "&amp;E276&amp;" as "&amp;F276&amp;" FROM "&amp;C276&amp;" WHERE "&amp;Instruções!$D$11&amp;") A ",
"(SELECT "&amp;VLOOKUP(B276,Instruções!$F$6:$J$10,4,0)&amp;" as "&amp;VLOOKUP(B276,Instruções!$F$6:$J$10,4,0)&amp;"_as_is, "&amp;VLOOKUP(B276,Instruções!$F$6:$J$10,5,0)&amp;" as "&amp;VLOOKUP(B276,Instruções!$F$6:$J$10,5,0)&amp;"_as_is,"&amp;E276&amp;" as "&amp;F276&amp;" FROM "&amp;C276&amp;" WHERE "&amp;Instruções!$D$11&amp;") A ")</f>
        <v xml:space="preserve">(SELECT instrmnt_id as instrmnt_id_as_is, rtng_scl as rtng_scl_as_is FROM cd_loan_tapes_bce.lt002_instrument WHERE ref_date='2025-06-30' AND nome_perimetro= 'Individual IDComb' AND segmento= 'ESTR' AND ambito= 'PM' AND entidade='00100' AND cod_visao = 1) A </v>
      </c>
      <c r="I276" s="17" t="str">
        <f>IF(VLOOKUP(B276,Instruções!$F$6:$J$10,5,0)="",
"(SELECT "&amp;VLOOKUP(B276,Instruções!$F$6:$J$10,4,0)&amp;" as "&amp;VLOOKUP(B276,Instruções!$F$6:$J$10,4,0)&amp;"_to_be, "&amp;E276&amp;" as "&amp;G276&amp;" FROM "&amp;D276&amp;" WHERE "&amp;Instruções!$D$11&amp;") B ",
"(SELECT "&amp;VLOOKUP(B276,Instruções!$F$6:$J$10,4,0)&amp;" as "&amp;VLOOKUP(B276,Instruções!$F$6:$J$10,4,0)&amp;"_to_be, "&amp;VLOOKUP(B276,Instruções!$F$6:$J$10,5,0)&amp;" as "&amp;VLOOKUP(B276,Instruções!$F$6:$J$10,5,0)&amp;"_to_be,"&amp;E276&amp;" as "&amp;G276&amp;" FROM "&amp;D276&amp;" WHERE "&amp;Instruções!$D$11&amp;") B ")</f>
        <v xml:space="preserve">(SELECT instrmnt_id as instrmnt_id_to_be, rtng_scl as rtng_scl_to_be FROM bu_loantape_work.lt002_instrument WHERE ref_date='2025-06-30' AND nome_perimetro= 'Individual IDComb' AND segmento= 'ESTR' AND ambito= 'PM' AND entidade='00100' AND cod_visao = 1) B </v>
      </c>
      <c r="J276" s="17" t="str">
        <f>IF(VLOOKUP(B276,Instruções!$F$6:$J$10,5,0)="",
"ON "&amp;VLOOKUP(B276,Instruções!$F$6:$J$10,4,0)&amp;"_as_is = "&amp;VLOOKUP(B276,Instruções!$F$6:$J$10,4,0)&amp;"_to_be ",
"ON "&amp;VLOOKUP(B276,Instruções!$F$6:$J$10,4,0)&amp;"_as_is = "&amp;VLOOKUP(B276,Instruções!$F$6:$J$10,4,0)&amp;"_to_be AND "&amp;VLOOKUP(B276,Instruções!$F$6:$J$10,5,0)&amp;"_as_is = "&amp;VLOOKUP(B276,Instruções!$F$6:$J$10,5,0)&amp;"_to_be ")</f>
        <v xml:space="preserve">ON instrmnt_id_as_is = instrmnt_id_to_be </v>
      </c>
      <c r="K276" s="17" t="str">
        <f t="shared" si="51"/>
        <v xml:space="preserve">WHERE coalesce(cast(rtng_scl_as_is as string), '') &lt;&gt; coalesce(cast(rtng_scl_to_be as string), '') </v>
      </c>
      <c r="L276" s="17" t="str">
        <f t="shared" si="54"/>
        <v xml:space="preserve">SELECT count(*) AS NUM_REG_DIF FROM (SELECT instrmnt_id as instrmnt_id_as_is, rtng_scl as rtng_scl_as_is FROM cd_loan_tapes_bce.lt002_instrument WHERE ref_date='2025-06-30' AND nome_perimetro= 'Individual IDComb' AND segmento= 'ESTR' AND ambito= 'PM' AND entidade='00100' AND cod_visao = 1) A  Inner join (SELECT instrmnt_id as instrmnt_id_to_be, rtng_scl as rtng_scl_to_be FROM bu_loantape_work.lt002_instrument WHERE ref_date='2025-06-30' AND nome_perimetro= 'Individual IDComb' AND segmento= 'ESTR' AND ambito= 'PM' AND entidade='00100' AND cod_visao = 1) B ON instrmnt_id_as_is = instrmnt_id_to_be WHERE coalesce(cast(rtng_scl_as_is as string), '') &lt;&gt; coalesce(cast(rtng_scl_to_be as string), '') </v>
      </c>
      <c r="M276" s="17" t="s">
        <v>48</v>
      </c>
      <c r="N276" s="17" t="str">
        <f>"SELECT 'Validação de campos' as tipologia_teste, '"&amp;VLOOKUP(B276,Instruções!$F$6:$J$10,3,0)&amp;"' AS TABELA, '"&amp;E276&amp;"' AS CAMPO, '"&amp;Instruções!$D$7&amp;"' as ref_date, coalesce(NUM_REG_DIF, 0) AS NUM_REG_DIF FROM ("&amp;L276&amp;") A "</f>
        <v xml:space="preserve">SELECT 'Validação de campos' as tipologia_teste, 'lt002_instrument' AS TABELA, 'rtng_scl' AS CAMPO, '2025-06-30' as ref_date, coalesce(NUM_REG_DIF, 0) AS NUM_REG_DIF FROM (SELECT count(*) AS NUM_REG_DIF FROM (SELECT instrmnt_id as instrmnt_id_as_is, rtng_scl as rtng_scl_as_is FROM cd_loan_tapes_bce.lt002_instrument WHERE ref_date='2025-06-30' AND nome_perimetro= 'Individual IDComb' AND segmento= 'ESTR' AND ambito= 'PM' AND entidade='00100' AND cod_visao = 1) A  Inner join (SELECT instrmnt_id as instrmnt_id_to_be, rtng_scl as rtng_scl_to_be FROM bu_loantape_work.lt002_instrument WHERE ref_date='2025-06-30' AND nome_perimetro= 'Individual IDComb' AND segmento= 'ESTR' AND ambito= 'PM' AND entidade='00100' AND cod_visao = 1) B ON instrmnt_id_as_is = instrmnt_id_to_be WHERE coalesce(cast(rtng_scl_as_is as string), '') &lt;&gt; coalesce(cast(rtng_scl_to_be as string), '') ) A </v>
      </c>
      <c r="O276" s="19" t="str">
        <f t="shared" si="53"/>
        <v>SELECT 'Validação de campos' as tipologia_teste, 'lt002_instrument' AS TABELA, 'rtng_scl' AS CAMPO, '2025-06-30' as ref_date, coalesce(NUM_REG_DIF, 0) AS NUM_REG_DIF FROM (SELECT count(*) AS NUM_REG_DIF FROM (SELECT instrmnt_id as instrmnt_id_as_is, rtng_scl as rtng_scl_as_is FROM cd_loan_tapes_bce.lt002_instrument WHERE ref_date='2025-06-30' AND nome_perimetro= 'Individual IDComb' AND segmento= 'ESTR' AND ambito= 'PM' AND entidade='00100' AND cod_visao = 1) A  Inner join (SELECT instrmnt_id as instrmnt_id_to_be, rtng_scl as rtng_scl_to_be FROM bu_loantape_work.lt002_instrument WHERE ref_date='2025-06-30' AND nome_perimetro= 'Individual IDComb' AND segmento= 'ESTR' AND ambito= 'PM' AND entidade='00100' AND cod_visao = 1) B ON instrmnt_id_as_is = instrmnt_id_to_be WHERE coalesce(cast(rtng_scl_as_is as string), '') &lt;&gt; coalesce(cast(rtng_scl_to_be as string), '') ) A UNION ALL</v>
      </c>
      <c r="P276" s="17">
        <f t="shared" si="52"/>
        <v>21</v>
      </c>
    </row>
    <row r="277" spans="2:16" s="15" customFormat="1" ht="11.5" x14ac:dyDescent="0.25">
      <c r="B277" s="17" t="s">
        <v>24</v>
      </c>
      <c r="C277" s="17" t="str">
        <f>_xlfn.CONCAT(Instruções!$D$5,".",VLOOKUP(B277,Instruções!$F$5:$H$10,2,0))</f>
        <v>cd_loan_tapes_bce.lt002_instrument</v>
      </c>
      <c r="D277" s="17" t="str">
        <f>_xlfn.CONCAT(Instruções!$D$6,".",VLOOKUP(B277,Instruções!$F$5:$H$10,3,0))</f>
        <v>bu_loantape_work.lt002_instrument</v>
      </c>
      <c r="E277" s="17" t="s">
        <v>291</v>
      </c>
      <c r="F277" s="17" t="str">
        <f t="shared" si="49"/>
        <v>rtntn_shr_as_is</v>
      </c>
      <c r="G277" s="17" t="str">
        <f t="shared" si="50"/>
        <v>rtntn_shr_to_be</v>
      </c>
      <c r="H277" s="17" t="str">
        <f>IF(VLOOKUP(B277,Instruções!$F$6:$J$10,5,0)="",
"(SELECT "&amp;VLOOKUP(B277,Instruções!$F$6:$J$10,4,0)&amp;" as "&amp;VLOOKUP(B277,Instruções!$F$6:$J$10,4,0)&amp;"_as_is, "&amp;E277&amp;" as "&amp;F277&amp;" FROM "&amp;C277&amp;" WHERE "&amp;Instruções!$D$11&amp;") A ",
"(SELECT "&amp;VLOOKUP(B277,Instruções!$F$6:$J$10,4,0)&amp;" as "&amp;VLOOKUP(B277,Instruções!$F$6:$J$10,4,0)&amp;"_as_is, "&amp;VLOOKUP(B277,Instruções!$F$6:$J$10,5,0)&amp;" as "&amp;VLOOKUP(B277,Instruções!$F$6:$J$10,5,0)&amp;"_as_is,"&amp;E277&amp;" as "&amp;F277&amp;" FROM "&amp;C277&amp;" WHERE "&amp;Instruções!$D$11&amp;") A ")</f>
        <v xml:space="preserve">(SELECT instrmnt_id as instrmnt_id_as_is, rtntn_shr as rtntn_shr_as_is FROM cd_loan_tapes_bce.lt002_instrument WHERE ref_date='2025-06-30' AND nome_perimetro= 'Individual IDComb' AND segmento= 'ESTR' AND ambito= 'PM' AND entidade='00100' AND cod_visao = 1) A </v>
      </c>
      <c r="I277" s="17" t="str">
        <f>IF(VLOOKUP(B277,Instruções!$F$6:$J$10,5,0)="",
"(SELECT "&amp;VLOOKUP(B277,Instruções!$F$6:$J$10,4,0)&amp;" as "&amp;VLOOKUP(B277,Instruções!$F$6:$J$10,4,0)&amp;"_to_be, "&amp;E277&amp;" as "&amp;G277&amp;" FROM "&amp;D277&amp;" WHERE "&amp;Instruções!$D$11&amp;") B ",
"(SELECT "&amp;VLOOKUP(B277,Instruções!$F$6:$J$10,4,0)&amp;" as "&amp;VLOOKUP(B277,Instruções!$F$6:$J$10,4,0)&amp;"_to_be, "&amp;VLOOKUP(B277,Instruções!$F$6:$J$10,5,0)&amp;" as "&amp;VLOOKUP(B277,Instruções!$F$6:$J$10,5,0)&amp;"_to_be,"&amp;E277&amp;" as "&amp;G277&amp;" FROM "&amp;D277&amp;" WHERE "&amp;Instruções!$D$11&amp;") B ")</f>
        <v xml:space="preserve">(SELECT instrmnt_id as instrmnt_id_to_be, rtntn_shr as rtntn_shr_to_be FROM bu_loantape_work.lt002_instrument WHERE ref_date='2025-06-30' AND nome_perimetro= 'Individual IDComb' AND segmento= 'ESTR' AND ambito= 'PM' AND entidade='00100' AND cod_visao = 1) B </v>
      </c>
      <c r="J277" s="17" t="str">
        <f>IF(VLOOKUP(B277,Instruções!$F$6:$J$10,5,0)="",
"ON "&amp;VLOOKUP(B277,Instruções!$F$6:$J$10,4,0)&amp;"_as_is = "&amp;VLOOKUP(B277,Instruções!$F$6:$J$10,4,0)&amp;"_to_be ",
"ON "&amp;VLOOKUP(B277,Instruções!$F$6:$J$10,4,0)&amp;"_as_is = "&amp;VLOOKUP(B277,Instruções!$F$6:$J$10,4,0)&amp;"_to_be AND "&amp;VLOOKUP(B277,Instruções!$F$6:$J$10,5,0)&amp;"_as_is = "&amp;VLOOKUP(B277,Instruções!$F$6:$J$10,5,0)&amp;"_to_be ")</f>
        <v xml:space="preserve">ON instrmnt_id_as_is = instrmnt_id_to_be </v>
      </c>
      <c r="K277" s="17" t="str">
        <f t="shared" si="51"/>
        <v xml:space="preserve">WHERE coalesce(cast(rtntn_shr_as_is as string), '') &lt;&gt; coalesce(cast(rtntn_shr_to_be as string), '') </v>
      </c>
      <c r="L277" s="17" t="str">
        <f t="shared" si="54"/>
        <v xml:space="preserve">SELECT count(*) AS NUM_REG_DIF FROM (SELECT instrmnt_id as instrmnt_id_as_is, rtntn_shr as rtntn_shr_as_is FROM cd_loan_tapes_bce.lt002_instrument WHERE ref_date='2025-06-30' AND nome_perimetro= 'Individual IDComb' AND segmento= 'ESTR' AND ambito= 'PM' AND entidade='00100' AND cod_visao = 1) A  Inner join (SELECT instrmnt_id as instrmnt_id_to_be, rtntn_shr as rtntn_shr_to_be FROM bu_loantape_work.lt002_instrument WHERE ref_date='2025-06-30' AND nome_perimetro= 'Individual IDComb' AND segmento= 'ESTR' AND ambito= 'PM' AND entidade='00100' AND cod_visao = 1) B ON instrmnt_id_as_is = instrmnt_id_to_be WHERE coalesce(cast(rtntn_shr_as_is as string), '') &lt;&gt; coalesce(cast(rtntn_shr_to_be as string), '') </v>
      </c>
      <c r="M277" s="17" t="s">
        <v>48</v>
      </c>
      <c r="N277" s="17" t="str">
        <f>"SELECT 'Validação de campos' as tipologia_teste, '"&amp;VLOOKUP(B277,Instruções!$F$6:$J$10,3,0)&amp;"' AS TABELA, '"&amp;E277&amp;"' AS CAMPO, '"&amp;Instruções!$D$7&amp;"' as ref_date, coalesce(NUM_REG_DIF, 0) AS NUM_REG_DIF FROM ("&amp;L277&amp;") A "</f>
        <v xml:space="preserve">SELECT 'Validação de campos' as tipologia_teste, 'lt002_instrument' AS TABELA, 'rtntn_shr' AS CAMPO, '2025-06-30' as ref_date, coalesce(NUM_REG_DIF, 0) AS NUM_REG_DIF FROM (SELECT count(*) AS NUM_REG_DIF FROM (SELECT instrmnt_id as instrmnt_id_as_is, rtntn_shr as rtntn_shr_as_is FROM cd_loan_tapes_bce.lt002_instrument WHERE ref_date='2025-06-30' AND nome_perimetro= 'Individual IDComb' AND segmento= 'ESTR' AND ambito= 'PM' AND entidade='00100' AND cod_visao = 1) A  Inner join (SELECT instrmnt_id as instrmnt_id_to_be, rtntn_shr as rtntn_shr_to_be FROM bu_loantape_work.lt002_instrument WHERE ref_date='2025-06-30' AND nome_perimetro= 'Individual IDComb' AND segmento= 'ESTR' AND ambito= 'PM' AND entidade='00100' AND cod_visao = 1) B ON instrmnt_id_as_is = instrmnt_id_to_be WHERE coalesce(cast(rtntn_shr_as_is as string), '') &lt;&gt; coalesce(cast(rtntn_shr_to_be as string), '') ) A </v>
      </c>
      <c r="O277" s="19" t="str">
        <f t="shared" si="53"/>
        <v>SELECT 'Validação de campos' as tipologia_teste, 'lt002_instrument' AS TABELA, 'rtntn_shr' AS CAMPO, '2025-06-30' as ref_date, coalesce(NUM_REG_DIF, 0) AS NUM_REG_DIF FROM (SELECT count(*) AS NUM_REG_DIF FROM (SELECT instrmnt_id as instrmnt_id_as_is, rtntn_shr as rtntn_shr_as_is FROM cd_loan_tapes_bce.lt002_instrument WHERE ref_date='2025-06-30' AND nome_perimetro= 'Individual IDComb' AND segmento= 'ESTR' AND ambito= 'PM' AND entidade='00100' AND cod_visao = 1) A  Inner join (SELECT instrmnt_id as instrmnt_id_to_be, rtntn_shr as rtntn_shr_to_be FROM bu_loantape_work.lt002_instrument WHERE ref_date='2025-06-30' AND nome_perimetro= 'Individual IDComb' AND segmento= 'ESTR' AND ambito= 'PM' AND entidade='00100' AND cod_visao = 1) B ON instrmnt_id_as_is = instrmnt_id_to_be WHERE coalesce(cast(rtntn_shr_as_is as string), '') &lt;&gt; coalesce(cast(rtntn_shr_to_be as string), '') ) A UNION ALL</v>
      </c>
      <c r="P277" s="17">
        <f t="shared" si="52"/>
        <v>22</v>
      </c>
    </row>
    <row r="278" spans="2:16" s="15" customFormat="1" ht="11.5" x14ac:dyDescent="0.25">
      <c r="B278" s="17" t="s">
        <v>24</v>
      </c>
      <c r="C278" s="17" t="str">
        <f>_xlfn.CONCAT(Instruções!$D$5,".",VLOOKUP(B278,Instruções!$F$5:$H$10,2,0))</f>
        <v>cd_loan_tapes_bce.lt002_instrument</v>
      </c>
      <c r="D278" s="17" t="str">
        <f>_xlfn.CONCAT(Instruções!$D$6,".",VLOOKUP(B278,Instruções!$F$5:$H$10,3,0))</f>
        <v>bu_loantape_work.lt002_instrument</v>
      </c>
      <c r="E278" s="17" t="s">
        <v>292</v>
      </c>
      <c r="F278" s="17" t="str">
        <f t="shared" si="49"/>
        <v>rwa_as_is</v>
      </c>
      <c r="G278" s="17" t="str">
        <f t="shared" si="50"/>
        <v>rwa_to_be</v>
      </c>
      <c r="H278" s="17" t="str">
        <f>IF(VLOOKUP(B278,Instruções!$F$6:$J$10,5,0)="",
"(SELECT "&amp;VLOOKUP(B278,Instruções!$F$6:$J$10,4,0)&amp;" as "&amp;VLOOKUP(B278,Instruções!$F$6:$J$10,4,0)&amp;"_as_is, "&amp;E278&amp;" as "&amp;F278&amp;" FROM "&amp;C278&amp;" WHERE "&amp;Instruções!$D$11&amp;") A ",
"(SELECT "&amp;VLOOKUP(B278,Instruções!$F$6:$J$10,4,0)&amp;" as "&amp;VLOOKUP(B278,Instruções!$F$6:$J$10,4,0)&amp;"_as_is, "&amp;VLOOKUP(B278,Instruções!$F$6:$J$10,5,0)&amp;" as "&amp;VLOOKUP(B278,Instruções!$F$6:$J$10,5,0)&amp;"_as_is,"&amp;E278&amp;" as "&amp;F278&amp;" FROM "&amp;C278&amp;" WHERE "&amp;Instruções!$D$11&amp;") A ")</f>
        <v xml:space="preserve">(SELECT instrmnt_id as instrmnt_id_as_is, rwa as rwa_as_is FROM cd_loan_tapes_bce.lt002_instrument WHERE ref_date='2025-06-30' AND nome_perimetro= 'Individual IDComb' AND segmento= 'ESTR' AND ambito= 'PM' AND entidade='00100' AND cod_visao = 1) A </v>
      </c>
      <c r="I278" s="17" t="str">
        <f>IF(VLOOKUP(B278,Instruções!$F$6:$J$10,5,0)="",
"(SELECT "&amp;VLOOKUP(B278,Instruções!$F$6:$J$10,4,0)&amp;" as "&amp;VLOOKUP(B278,Instruções!$F$6:$J$10,4,0)&amp;"_to_be, "&amp;E278&amp;" as "&amp;G278&amp;" FROM "&amp;D278&amp;" WHERE "&amp;Instruções!$D$11&amp;") B ",
"(SELECT "&amp;VLOOKUP(B278,Instruções!$F$6:$J$10,4,0)&amp;" as "&amp;VLOOKUP(B278,Instruções!$F$6:$J$10,4,0)&amp;"_to_be, "&amp;VLOOKUP(B278,Instruções!$F$6:$J$10,5,0)&amp;" as "&amp;VLOOKUP(B278,Instruções!$F$6:$J$10,5,0)&amp;"_to_be,"&amp;E278&amp;" as "&amp;G278&amp;" FROM "&amp;D278&amp;" WHERE "&amp;Instruções!$D$11&amp;") B ")</f>
        <v xml:space="preserve">(SELECT instrmnt_id as instrmnt_id_to_be, rwa as rwa_to_be FROM bu_loantape_work.lt002_instrument WHERE ref_date='2025-06-30' AND nome_perimetro= 'Individual IDComb' AND segmento= 'ESTR' AND ambito= 'PM' AND entidade='00100' AND cod_visao = 1) B </v>
      </c>
      <c r="J278" s="17" t="str">
        <f>IF(VLOOKUP(B278,Instruções!$F$6:$J$10,5,0)="",
"ON "&amp;VLOOKUP(B278,Instruções!$F$6:$J$10,4,0)&amp;"_as_is = "&amp;VLOOKUP(B278,Instruções!$F$6:$J$10,4,0)&amp;"_to_be ",
"ON "&amp;VLOOKUP(B278,Instruções!$F$6:$J$10,4,0)&amp;"_as_is = "&amp;VLOOKUP(B278,Instruções!$F$6:$J$10,4,0)&amp;"_to_be AND "&amp;VLOOKUP(B278,Instruções!$F$6:$J$10,5,0)&amp;"_as_is = "&amp;VLOOKUP(B278,Instruções!$F$6:$J$10,5,0)&amp;"_to_be ")</f>
        <v xml:space="preserve">ON instrmnt_id_as_is = instrmnt_id_to_be </v>
      </c>
      <c r="K278" s="17" t="str">
        <f t="shared" si="51"/>
        <v xml:space="preserve">WHERE coalesce(cast(rwa_as_is as string), '') &lt;&gt; coalesce(cast(rwa_to_be as string), '') </v>
      </c>
      <c r="L278" s="17" t="str">
        <f t="shared" si="54"/>
        <v xml:space="preserve">SELECT count(*) AS NUM_REG_DIF FROM (SELECT instrmnt_id as instrmnt_id_as_is, rwa as rwa_as_is FROM cd_loan_tapes_bce.lt002_instrument WHERE ref_date='2025-06-30' AND nome_perimetro= 'Individual IDComb' AND segmento= 'ESTR' AND ambito= 'PM' AND entidade='00100' AND cod_visao = 1) A  Inner join (SELECT instrmnt_id as instrmnt_id_to_be, rwa as rwa_to_be FROM bu_loantape_work.lt002_instrument WHERE ref_date='2025-06-30' AND nome_perimetro= 'Individual IDComb' AND segmento= 'ESTR' AND ambito= 'PM' AND entidade='00100' AND cod_visao = 1) B ON instrmnt_id_as_is = instrmnt_id_to_be WHERE coalesce(cast(rwa_as_is as string), '') &lt;&gt; coalesce(cast(rwa_to_be as string), '') </v>
      </c>
      <c r="M278" s="17" t="s">
        <v>48</v>
      </c>
      <c r="N278" s="17" t="str">
        <f>"SELECT 'Validação de campos' as tipologia_teste, '"&amp;VLOOKUP(B278,Instruções!$F$6:$J$10,3,0)&amp;"' AS TABELA, '"&amp;E278&amp;"' AS CAMPO, '"&amp;Instruções!$D$7&amp;"' as ref_date, coalesce(NUM_REG_DIF, 0) AS NUM_REG_DIF FROM ("&amp;L278&amp;") A "</f>
        <v xml:space="preserve">SELECT 'Validação de campos' as tipologia_teste, 'lt002_instrument' AS TABELA, 'rwa' AS CAMPO, '2025-06-30' as ref_date, coalesce(NUM_REG_DIF, 0) AS NUM_REG_DIF FROM (SELECT count(*) AS NUM_REG_DIF FROM (SELECT instrmnt_id as instrmnt_id_as_is, rwa as rwa_as_is FROM cd_loan_tapes_bce.lt002_instrument WHERE ref_date='2025-06-30' AND nome_perimetro= 'Individual IDComb' AND segmento= 'ESTR' AND ambito= 'PM' AND entidade='00100' AND cod_visao = 1) A  Inner join (SELECT instrmnt_id as instrmnt_id_to_be, rwa as rwa_to_be FROM bu_loantape_work.lt002_instrument WHERE ref_date='2025-06-30' AND nome_perimetro= 'Individual IDComb' AND segmento= 'ESTR' AND ambito= 'PM' AND entidade='00100' AND cod_visao = 1) B ON instrmnt_id_as_is = instrmnt_id_to_be WHERE coalesce(cast(rwa_as_is as string), '') &lt;&gt; coalesce(cast(rwa_to_be as string), '') ) A </v>
      </c>
      <c r="O278" s="19" t="str">
        <f t="shared" si="53"/>
        <v>SELECT 'Validação de campos' as tipologia_teste, 'lt002_instrument' AS TABELA, 'rwa' AS CAMPO, '2025-06-30' as ref_date, coalesce(NUM_REG_DIF, 0) AS NUM_REG_DIF FROM (SELECT count(*) AS NUM_REG_DIF FROM (SELECT instrmnt_id as instrmnt_id_as_is, rwa as rwa_as_is FROM cd_loan_tapes_bce.lt002_instrument WHERE ref_date='2025-06-30' AND nome_perimetro= 'Individual IDComb' AND segmento= 'ESTR' AND ambito= 'PM' AND entidade='00100' AND cod_visao = 1) A  Inner join (SELECT instrmnt_id as instrmnt_id_to_be, rwa as rwa_to_be FROM bu_loantape_work.lt002_instrument WHERE ref_date='2025-06-30' AND nome_perimetro= 'Individual IDComb' AND segmento= 'ESTR' AND ambito= 'PM' AND entidade='00100' AND cod_visao = 1) B ON instrmnt_id_as_is = instrmnt_id_to_be WHERE coalesce(cast(rwa_as_is as string), '') &lt;&gt; coalesce(cast(rwa_to_be as string), '') ) A UNION ALL</v>
      </c>
      <c r="P278" s="17">
        <f t="shared" si="52"/>
        <v>23</v>
      </c>
    </row>
    <row r="279" spans="2:16" s="15" customFormat="1" ht="11.5" x14ac:dyDescent="0.25">
      <c r="B279" s="17" t="s">
        <v>24</v>
      </c>
      <c r="C279" s="17" t="str">
        <f>_xlfn.CONCAT(Instruções!$D$5,".",VLOOKUP(B279,Instruções!$F$5:$H$10,2,0))</f>
        <v>cd_loan_tapes_bce.lt002_instrument</v>
      </c>
      <c r="D279" s="17" t="str">
        <f>_xlfn.CONCAT(Instruções!$D$6,".",VLOOKUP(B279,Instruções!$F$5:$H$10,3,0))</f>
        <v>bu_loantape_work.lt002_instrument</v>
      </c>
      <c r="E279" s="17" t="s">
        <v>293</v>
      </c>
      <c r="F279" s="17" t="str">
        <f t="shared" si="49"/>
        <v>dt_lgl_fnl_mtrty_as_is</v>
      </c>
      <c r="G279" s="17" t="str">
        <f t="shared" si="50"/>
        <v>dt_lgl_fnl_mtrty_to_be</v>
      </c>
      <c r="H279" s="17" t="str">
        <f>IF(VLOOKUP(B279,Instruções!$F$6:$J$10,5,0)="",
"(SELECT "&amp;VLOOKUP(B279,Instruções!$F$6:$J$10,4,0)&amp;" as "&amp;VLOOKUP(B279,Instruções!$F$6:$J$10,4,0)&amp;"_as_is, "&amp;E279&amp;" as "&amp;F279&amp;" FROM "&amp;C279&amp;" WHERE "&amp;Instruções!$D$11&amp;") A ",
"(SELECT "&amp;VLOOKUP(B279,Instruções!$F$6:$J$10,4,0)&amp;" as "&amp;VLOOKUP(B279,Instruções!$F$6:$J$10,4,0)&amp;"_as_is, "&amp;VLOOKUP(B279,Instruções!$F$6:$J$10,5,0)&amp;" as "&amp;VLOOKUP(B279,Instruções!$F$6:$J$10,5,0)&amp;"_as_is,"&amp;E279&amp;" as "&amp;F279&amp;" FROM "&amp;C279&amp;" WHERE "&amp;Instruções!$D$11&amp;") A ")</f>
        <v xml:space="preserve">(SELECT instrmnt_id as instrmnt_id_as_is, dt_lgl_fnl_mtrty as dt_lgl_fnl_mtrty_as_is FROM cd_loan_tapes_bce.lt002_instrument WHERE ref_date='2025-06-30' AND nome_perimetro= 'Individual IDComb' AND segmento= 'ESTR' AND ambito= 'PM' AND entidade='00100' AND cod_visao = 1) A </v>
      </c>
      <c r="I279" s="17" t="str">
        <f>IF(VLOOKUP(B279,Instruções!$F$6:$J$10,5,0)="",
"(SELECT "&amp;VLOOKUP(B279,Instruções!$F$6:$J$10,4,0)&amp;" as "&amp;VLOOKUP(B279,Instruções!$F$6:$J$10,4,0)&amp;"_to_be, "&amp;E279&amp;" as "&amp;G279&amp;" FROM "&amp;D279&amp;" WHERE "&amp;Instruções!$D$11&amp;") B ",
"(SELECT "&amp;VLOOKUP(B279,Instruções!$F$6:$J$10,4,0)&amp;" as "&amp;VLOOKUP(B279,Instruções!$F$6:$J$10,4,0)&amp;"_to_be, "&amp;VLOOKUP(B279,Instruções!$F$6:$J$10,5,0)&amp;" as "&amp;VLOOKUP(B279,Instruções!$F$6:$J$10,5,0)&amp;"_to_be,"&amp;E279&amp;" as "&amp;G279&amp;" FROM "&amp;D279&amp;" WHERE "&amp;Instruções!$D$11&amp;") B ")</f>
        <v xml:space="preserve">(SELECT instrmnt_id as instrmnt_id_to_be, dt_lgl_fnl_mtrty as dt_lgl_fnl_mtrty_to_be FROM bu_loantape_work.lt002_instrument WHERE ref_date='2025-06-30' AND nome_perimetro= 'Individual IDComb' AND segmento= 'ESTR' AND ambito= 'PM' AND entidade='00100' AND cod_visao = 1) B </v>
      </c>
      <c r="J279" s="17" t="str">
        <f>IF(VLOOKUP(B279,Instruções!$F$6:$J$10,5,0)="",
"ON "&amp;VLOOKUP(B279,Instruções!$F$6:$J$10,4,0)&amp;"_as_is = "&amp;VLOOKUP(B279,Instruções!$F$6:$J$10,4,0)&amp;"_to_be ",
"ON "&amp;VLOOKUP(B279,Instruções!$F$6:$J$10,4,0)&amp;"_as_is = "&amp;VLOOKUP(B279,Instruções!$F$6:$J$10,4,0)&amp;"_to_be AND "&amp;VLOOKUP(B279,Instruções!$F$6:$J$10,5,0)&amp;"_as_is = "&amp;VLOOKUP(B279,Instruções!$F$6:$J$10,5,0)&amp;"_to_be ")</f>
        <v xml:space="preserve">ON instrmnt_id_as_is = instrmnt_id_to_be </v>
      </c>
      <c r="K279" s="17" t="str">
        <f t="shared" si="51"/>
        <v xml:space="preserve">WHERE coalesce(cast(dt_lgl_fnl_mtrty_as_is as string), '') &lt;&gt; coalesce(cast(dt_lgl_fnl_mtrty_to_be as string), '') </v>
      </c>
      <c r="L279" s="17" t="str">
        <f t="shared" si="54"/>
        <v xml:space="preserve">SELECT count(*) AS NUM_REG_DIF FROM (SELECT instrmnt_id as instrmnt_id_as_is, dt_lgl_fnl_mtrty as dt_lgl_fnl_mtrty_as_is FROM cd_loan_tapes_bce.lt002_instrument WHERE ref_date='2025-06-30' AND nome_perimetro= 'Individual IDComb' AND segmento= 'ESTR' AND ambito= 'PM' AND entidade='00100' AND cod_visao = 1) A  Inner join (SELECT instrmnt_id as instrmnt_id_to_be, dt_lgl_fnl_mtrty as dt_lgl_fnl_mtrty_to_be FROM bu_loantape_work.lt002_instrument WHERE ref_date='2025-06-30' AND nome_perimetro= 'Individual IDComb' AND segmento= 'ESTR' AND ambito= 'PM' AND entidade='00100' AND cod_visao = 1) B ON instrmnt_id_as_is = instrmnt_id_to_be WHERE coalesce(cast(dt_lgl_fnl_mtrty_as_is as string), '') &lt;&gt; coalesce(cast(dt_lgl_fnl_mtrty_to_be as string), '') </v>
      </c>
      <c r="M279" s="17" t="s">
        <v>48</v>
      </c>
      <c r="N279" s="17" t="str">
        <f>"SELECT 'Validação de campos' as tipologia_teste, '"&amp;VLOOKUP(B279,Instruções!$F$6:$J$10,3,0)&amp;"' AS TABELA, '"&amp;E279&amp;"' AS CAMPO, '"&amp;Instruções!$D$7&amp;"' as ref_date, coalesce(NUM_REG_DIF, 0) AS NUM_REG_DIF FROM ("&amp;L279&amp;") A "</f>
        <v xml:space="preserve">SELECT 'Validação de campos' as tipologia_teste, 'lt002_instrument' AS TABELA, 'dt_lgl_fnl_mtrty' AS CAMPO, '2025-06-30' as ref_date, coalesce(NUM_REG_DIF, 0) AS NUM_REG_DIF FROM (SELECT count(*) AS NUM_REG_DIF FROM (SELECT instrmnt_id as instrmnt_id_as_is, dt_lgl_fnl_mtrty as dt_lgl_fnl_mtrty_as_is FROM cd_loan_tapes_bce.lt002_instrument WHERE ref_date='2025-06-30' AND nome_perimetro= 'Individual IDComb' AND segmento= 'ESTR' AND ambito= 'PM' AND entidade='00100' AND cod_visao = 1) A  Inner join (SELECT instrmnt_id as instrmnt_id_to_be, dt_lgl_fnl_mtrty as dt_lgl_fnl_mtrty_to_be FROM bu_loantape_work.lt002_instrument WHERE ref_date='2025-06-30' AND nome_perimetro= 'Individual IDComb' AND segmento= 'ESTR' AND ambito= 'PM' AND entidade='00100' AND cod_visao = 1) B ON instrmnt_id_as_is = instrmnt_id_to_be WHERE coalesce(cast(dt_lgl_fnl_mtrty_as_is as string), '') &lt;&gt; coalesce(cast(dt_lgl_fnl_mtrty_to_be as string), '') ) A </v>
      </c>
      <c r="O279" s="19" t="str">
        <f t="shared" si="53"/>
        <v>SELECT 'Validação de campos' as tipologia_teste, 'lt002_instrument' AS TABELA, 'dt_lgl_fnl_mtrty' AS CAMPO, '2025-06-30' as ref_date, coalesce(NUM_REG_DIF, 0) AS NUM_REG_DIF FROM (SELECT count(*) AS NUM_REG_DIF FROM (SELECT instrmnt_id as instrmnt_id_as_is, dt_lgl_fnl_mtrty as dt_lgl_fnl_mtrty_as_is FROM cd_loan_tapes_bce.lt002_instrument WHERE ref_date='2025-06-30' AND nome_perimetro= 'Individual IDComb' AND segmento= 'ESTR' AND ambito= 'PM' AND entidade='00100' AND cod_visao = 1) A  Inner join (SELECT instrmnt_id as instrmnt_id_to_be, dt_lgl_fnl_mtrty as dt_lgl_fnl_mtrty_to_be FROM bu_loantape_work.lt002_instrument WHERE ref_date='2025-06-30' AND nome_perimetro= 'Individual IDComb' AND segmento= 'ESTR' AND ambito= 'PM' AND entidade='00100' AND cod_visao = 1) B ON instrmnt_id_as_is = instrmnt_id_to_be WHERE coalesce(cast(dt_lgl_fnl_mtrty_as_is as string), '') &lt;&gt; coalesce(cast(dt_lgl_fnl_mtrty_to_be as string), '') ) A UNION ALL</v>
      </c>
      <c r="P279" s="17">
        <f t="shared" si="52"/>
        <v>24</v>
      </c>
    </row>
    <row r="280" spans="2:16" s="15" customFormat="1" ht="11.5" x14ac:dyDescent="0.25">
      <c r="B280" s="17" t="s">
        <v>24</v>
      </c>
      <c r="C280" s="17" t="str">
        <f>_xlfn.CONCAT(Instruções!$D$5,".",VLOOKUP(B280,Instruções!$F$5:$H$10,2,0))</f>
        <v>cd_loan_tapes_bce.lt002_instrument</v>
      </c>
      <c r="D280" s="17" t="str">
        <f>_xlfn.CONCAT(Instruções!$D$6,".",VLOOKUP(B280,Instruções!$F$5:$H$10,3,0))</f>
        <v>bu_loantape_work.lt002_instrument</v>
      </c>
      <c r="E280" s="17" t="s">
        <v>294</v>
      </c>
      <c r="F280" s="17" t="str">
        <f t="shared" si="49"/>
        <v>dt_nxt_intrst_rt_rst_as_is</v>
      </c>
      <c r="G280" s="17" t="str">
        <f t="shared" si="50"/>
        <v>dt_nxt_intrst_rt_rst_to_be</v>
      </c>
      <c r="H280" s="17" t="str">
        <f>IF(VLOOKUP(B280,Instruções!$F$6:$J$10,5,0)="",
"(SELECT "&amp;VLOOKUP(B280,Instruções!$F$6:$J$10,4,0)&amp;" as "&amp;VLOOKUP(B280,Instruções!$F$6:$J$10,4,0)&amp;"_as_is, "&amp;E280&amp;" as "&amp;F280&amp;" FROM "&amp;C280&amp;" WHERE "&amp;Instruções!$D$11&amp;") A ",
"(SELECT "&amp;VLOOKUP(B280,Instruções!$F$6:$J$10,4,0)&amp;" as "&amp;VLOOKUP(B280,Instruções!$F$6:$J$10,4,0)&amp;"_as_is, "&amp;VLOOKUP(B280,Instruções!$F$6:$J$10,5,0)&amp;" as "&amp;VLOOKUP(B280,Instruções!$F$6:$J$10,5,0)&amp;"_as_is,"&amp;E280&amp;" as "&amp;F280&amp;" FROM "&amp;C280&amp;" WHERE "&amp;Instruções!$D$11&amp;") A ")</f>
        <v xml:space="preserve">(SELECT instrmnt_id as instrmnt_id_as_is, dt_nxt_intrst_rt_rst as dt_nxt_intrst_rt_rst_as_is FROM cd_loan_tapes_bce.lt002_instrument WHERE ref_date='2025-06-30' AND nome_perimetro= 'Individual IDComb' AND segmento= 'ESTR' AND ambito= 'PM' AND entidade='00100' AND cod_visao = 1) A </v>
      </c>
      <c r="I280" s="17" t="str">
        <f>IF(VLOOKUP(B280,Instruções!$F$6:$J$10,5,0)="",
"(SELECT "&amp;VLOOKUP(B280,Instruções!$F$6:$J$10,4,0)&amp;" as "&amp;VLOOKUP(B280,Instruções!$F$6:$J$10,4,0)&amp;"_to_be, "&amp;E280&amp;" as "&amp;G280&amp;" FROM "&amp;D280&amp;" WHERE "&amp;Instruções!$D$11&amp;") B ",
"(SELECT "&amp;VLOOKUP(B280,Instruções!$F$6:$J$10,4,0)&amp;" as "&amp;VLOOKUP(B280,Instruções!$F$6:$J$10,4,0)&amp;"_to_be, "&amp;VLOOKUP(B280,Instruções!$F$6:$J$10,5,0)&amp;" as "&amp;VLOOKUP(B280,Instruções!$F$6:$J$10,5,0)&amp;"_to_be,"&amp;E280&amp;" as "&amp;G280&amp;" FROM "&amp;D280&amp;" WHERE "&amp;Instruções!$D$11&amp;") B ")</f>
        <v xml:space="preserve">(SELECT instrmnt_id as instrmnt_id_to_be, dt_nxt_intrst_rt_rst as dt_nxt_intrst_rt_rst_to_be FROM bu_loantape_work.lt002_instrument WHERE ref_date='2025-06-30' AND nome_perimetro= 'Individual IDComb' AND segmento= 'ESTR' AND ambito= 'PM' AND entidade='00100' AND cod_visao = 1) B </v>
      </c>
      <c r="J280" s="17" t="str">
        <f>IF(VLOOKUP(B280,Instruções!$F$6:$J$10,5,0)="",
"ON "&amp;VLOOKUP(B280,Instruções!$F$6:$J$10,4,0)&amp;"_as_is = "&amp;VLOOKUP(B280,Instruções!$F$6:$J$10,4,0)&amp;"_to_be ",
"ON "&amp;VLOOKUP(B280,Instruções!$F$6:$J$10,4,0)&amp;"_as_is = "&amp;VLOOKUP(B280,Instruções!$F$6:$J$10,4,0)&amp;"_to_be AND "&amp;VLOOKUP(B280,Instruções!$F$6:$J$10,5,0)&amp;"_as_is = "&amp;VLOOKUP(B280,Instruções!$F$6:$J$10,5,0)&amp;"_to_be ")</f>
        <v xml:space="preserve">ON instrmnt_id_as_is = instrmnt_id_to_be </v>
      </c>
      <c r="K280" s="17" t="str">
        <f t="shared" si="51"/>
        <v xml:space="preserve">WHERE coalesce(cast(dt_nxt_intrst_rt_rst_as_is as string), '') &lt;&gt; coalesce(cast(dt_nxt_intrst_rt_rst_to_be as string), '') </v>
      </c>
      <c r="L280" s="17" t="str">
        <f t="shared" si="54"/>
        <v xml:space="preserve">SELECT count(*) AS NUM_REG_DIF FROM (SELECT instrmnt_id as instrmnt_id_as_is, dt_nxt_intrst_rt_rst as dt_nxt_intrst_rt_rst_as_is FROM cd_loan_tapes_bce.lt002_instrument WHERE ref_date='2025-06-30' AND nome_perimetro= 'Individual IDComb' AND segmento= 'ESTR' AND ambito= 'PM' AND entidade='00100' AND cod_visao = 1) A  Inner join (SELECT instrmnt_id as instrmnt_id_to_be, dt_nxt_intrst_rt_rst as dt_nxt_intrst_rt_rst_to_be FROM bu_loantape_work.lt002_instrument WHERE ref_date='2025-06-30' AND nome_perimetro= 'Individual IDComb' AND segmento= 'ESTR' AND ambito= 'PM' AND entidade='00100' AND cod_visao = 1) B ON instrmnt_id_as_is = instrmnt_id_to_be WHERE coalesce(cast(dt_nxt_intrst_rt_rst_as_is as string), '') &lt;&gt; coalesce(cast(dt_nxt_intrst_rt_rst_to_be as string), '') </v>
      </c>
      <c r="M280" s="17" t="s">
        <v>48</v>
      </c>
      <c r="N280" s="17" t="str">
        <f>"SELECT 'Validação de campos' as tipologia_teste, '"&amp;VLOOKUP(B280,Instruções!$F$6:$J$10,3,0)&amp;"' AS TABELA, '"&amp;E280&amp;"' AS CAMPO, '"&amp;Instruções!$D$7&amp;"' as ref_date, coalesce(NUM_REG_DIF, 0) AS NUM_REG_DIF FROM ("&amp;L280&amp;") A "</f>
        <v xml:space="preserve">SELECT 'Validação de campos' as tipologia_teste, 'lt002_instrument' AS TABELA, 'dt_nxt_intrst_rt_rst' AS CAMPO, '2025-06-30' as ref_date, coalesce(NUM_REG_DIF, 0) AS NUM_REG_DIF FROM (SELECT count(*) AS NUM_REG_DIF FROM (SELECT instrmnt_id as instrmnt_id_as_is, dt_nxt_intrst_rt_rst as dt_nxt_intrst_rt_rst_as_is FROM cd_loan_tapes_bce.lt002_instrument WHERE ref_date='2025-06-30' AND nome_perimetro= 'Individual IDComb' AND segmento= 'ESTR' AND ambito= 'PM' AND entidade='00100' AND cod_visao = 1) A  Inner join (SELECT instrmnt_id as instrmnt_id_to_be, dt_nxt_intrst_rt_rst as dt_nxt_intrst_rt_rst_to_be FROM bu_loantape_work.lt002_instrument WHERE ref_date='2025-06-30' AND nome_perimetro= 'Individual IDComb' AND segmento= 'ESTR' AND ambito= 'PM' AND entidade='00100' AND cod_visao = 1) B ON instrmnt_id_as_is = instrmnt_id_to_be WHERE coalesce(cast(dt_nxt_intrst_rt_rst_as_is as string), '') &lt;&gt; coalesce(cast(dt_nxt_intrst_rt_rst_to_be as string), '') ) A </v>
      </c>
      <c r="O280" s="19" t="str">
        <f t="shared" si="53"/>
        <v>SELECT 'Validação de campos' as tipologia_teste, 'lt002_instrument' AS TABELA, 'dt_nxt_intrst_rt_rst' AS CAMPO, '2025-06-30' as ref_date, coalesce(NUM_REG_DIF, 0) AS NUM_REG_DIF FROM (SELECT count(*) AS NUM_REG_DIF FROM (SELECT instrmnt_id as instrmnt_id_as_is, dt_nxt_intrst_rt_rst as dt_nxt_intrst_rt_rst_as_is FROM cd_loan_tapes_bce.lt002_instrument WHERE ref_date='2025-06-30' AND nome_perimetro= 'Individual IDComb' AND segmento= 'ESTR' AND ambito= 'PM' AND entidade='00100' AND cod_visao = 1) A  Inner join (SELECT instrmnt_id as instrmnt_id_to_be, dt_nxt_intrst_rt_rst as dt_nxt_intrst_rt_rst_to_be FROM bu_loantape_work.lt002_instrument WHERE ref_date='2025-06-30' AND nome_perimetro= 'Individual IDComb' AND segmento= 'ESTR' AND ambito= 'PM' AND entidade='00100' AND cod_visao = 1) B ON instrmnt_id_as_is = instrmnt_id_to_be WHERE coalesce(cast(dt_nxt_intrst_rt_rst_as_is as string), '') &lt;&gt; coalesce(cast(dt_nxt_intrst_rt_rst_to_be as string), '') ) A UNION ALL</v>
      </c>
      <c r="P280" s="17">
        <f t="shared" si="52"/>
        <v>25</v>
      </c>
    </row>
    <row r="281" spans="2:16" s="15" customFormat="1" ht="11.5" x14ac:dyDescent="0.25">
      <c r="B281" s="17" t="s">
        <v>24</v>
      </c>
      <c r="C281" s="17" t="str">
        <f>_xlfn.CONCAT(Instruções!$D$5,".",VLOOKUP(B281,Instruções!$F$5:$H$10,2,0))</f>
        <v>cd_loan_tapes_bce.lt002_instrument</v>
      </c>
      <c r="D281" s="17" t="str">
        <f>_xlfn.CONCAT(Instruções!$D$6,".",VLOOKUP(B281,Instruções!$F$5:$H$10,3,0))</f>
        <v>bu_loantape_work.lt002_instrument</v>
      </c>
      <c r="E281" s="17" t="s">
        <v>295</v>
      </c>
      <c r="F281" s="17" t="str">
        <f t="shared" si="49"/>
        <v>sme_fnrp18_as_is</v>
      </c>
      <c r="G281" s="17" t="str">
        <f t="shared" si="50"/>
        <v>sme_fnrp18_to_be</v>
      </c>
      <c r="H281" s="17" t="str">
        <f>IF(VLOOKUP(B281,Instruções!$F$6:$J$10,5,0)="",
"(SELECT "&amp;VLOOKUP(B281,Instruções!$F$6:$J$10,4,0)&amp;" as "&amp;VLOOKUP(B281,Instruções!$F$6:$J$10,4,0)&amp;"_as_is, "&amp;E281&amp;" as "&amp;F281&amp;" FROM "&amp;C281&amp;" WHERE "&amp;Instruções!$D$11&amp;") A ",
"(SELECT "&amp;VLOOKUP(B281,Instruções!$F$6:$J$10,4,0)&amp;" as "&amp;VLOOKUP(B281,Instruções!$F$6:$J$10,4,0)&amp;"_as_is, "&amp;VLOOKUP(B281,Instruções!$F$6:$J$10,5,0)&amp;" as "&amp;VLOOKUP(B281,Instruções!$F$6:$J$10,5,0)&amp;"_as_is,"&amp;E281&amp;" as "&amp;F281&amp;" FROM "&amp;C281&amp;" WHERE "&amp;Instruções!$D$11&amp;") A ")</f>
        <v xml:space="preserve">(SELECT instrmnt_id as instrmnt_id_as_is, sme_fnrp18 as sme_fnrp18_as_is FROM cd_loan_tapes_bce.lt002_instrument WHERE ref_date='2025-06-30' AND nome_perimetro= 'Individual IDComb' AND segmento= 'ESTR' AND ambito= 'PM' AND entidade='00100' AND cod_visao = 1) A </v>
      </c>
      <c r="I281" s="17" t="str">
        <f>IF(VLOOKUP(B281,Instruções!$F$6:$J$10,5,0)="",
"(SELECT "&amp;VLOOKUP(B281,Instruções!$F$6:$J$10,4,0)&amp;" as "&amp;VLOOKUP(B281,Instruções!$F$6:$J$10,4,0)&amp;"_to_be, "&amp;E281&amp;" as "&amp;G281&amp;" FROM "&amp;D281&amp;" WHERE "&amp;Instruções!$D$11&amp;") B ",
"(SELECT "&amp;VLOOKUP(B281,Instruções!$F$6:$J$10,4,0)&amp;" as "&amp;VLOOKUP(B281,Instruções!$F$6:$J$10,4,0)&amp;"_to_be, "&amp;VLOOKUP(B281,Instruções!$F$6:$J$10,5,0)&amp;" as "&amp;VLOOKUP(B281,Instruções!$F$6:$J$10,5,0)&amp;"_to_be,"&amp;E281&amp;" as "&amp;G281&amp;" FROM "&amp;D281&amp;" WHERE "&amp;Instruções!$D$11&amp;") B ")</f>
        <v xml:space="preserve">(SELECT instrmnt_id as instrmnt_id_to_be, sme_fnrp18 as sme_fnrp18_to_be FROM bu_loantape_work.lt002_instrument WHERE ref_date='2025-06-30' AND nome_perimetro= 'Individual IDComb' AND segmento= 'ESTR' AND ambito= 'PM' AND entidade='00100' AND cod_visao = 1) B </v>
      </c>
      <c r="J281" s="17" t="str">
        <f>IF(VLOOKUP(B281,Instruções!$F$6:$J$10,5,0)="",
"ON "&amp;VLOOKUP(B281,Instruções!$F$6:$J$10,4,0)&amp;"_as_is = "&amp;VLOOKUP(B281,Instruções!$F$6:$J$10,4,0)&amp;"_to_be ",
"ON "&amp;VLOOKUP(B281,Instruções!$F$6:$J$10,4,0)&amp;"_as_is = "&amp;VLOOKUP(B281,Instruções!$F$6:$J$10,4,0)&amp;"_to_be AND "&amp;VLOOKUP(B281,Instruções!$F$6:$J$10,5,0)&amp;"_as_is = "&amp;VLOOKUP(B281,Instruções!$F$6:$J$10,5,0)&amp;"_to_be ")</f>
        <v xml:space="preserve">ON instrmnt_id_as_is = instrmnt_id_to_be </v>
      </c>
      <c r="K281" s="17" t="str">
        <f t="shared" si="51"/>
        <v xml:space="preserve">WHERE coalesce(cast(sme_fnrp18_as_is as string), '') &lt;&gt; coalesce(cast(sme_fnrp18_to_be as string), '') </v>
      </c>
      <c r="L281" s="17" t="str">
        <f t="shared" si="54"/>
        <v xml:space="preserve">SELECT count(*) AS NUM_REG_DIF FROM (SELECT instrmnt_id as instrmnt_id_as_is, sme_fnrp18 as sme_fnrp18_as_is FROM cd_loan_tapes_bce.lt002_instrument WHERE ref_date='2025-06-30' AND nome_perimetro= 'Individual IDComb' AND segmento= 'ESTR' AND ambito= 'PM' AND entidade='00100' AND cod_visao = 1) A  Inner join (SELECT instrmnt_id as instrmnt_id_to_be, sme_fnrp18 as sme_fnrp18_to_be FROM bu_loantape_work.lt002_instrument WHERE ref_date='2025-06-30' AND nome_perimetro= 'Individual IDComb' AND segmento= 'ESTR' AND ambito= 'PM' AND entidade='00100' AND cod_visao = 1) B ON instrmnt_id_as_is = instrmnt_id_to_be WHERE coalesce(cast(sme_fnrp18_as_is as string), '') &lt;&gt; coalesce(cast(sme_fnrp18_to_be as string), '') </v>
      </c>
      <c r="M281" s="17" t="s">
        <v>48</v>
      </c>
      <c r="N281" s="17" t="str">
        <f>"SELECT 'Validação de campos' as tipologia_teste, '"&amp;VLOOKUP(B281,Instruções!$F$6:$J$10,3,0)&amp;"' AS TABELA, '"&amp;E281&amp;"' AS CAMPO, '"&amp;Instruções!$D$7&amp;"' as ref_date, coalesce(NUM_REG_DIF, 0) AS NUM_REG_DIF FROM ("&amp;L281&amp;") A "</f>
        <v xml:space="preserve">SELECT 'Validação de campos' as tipologia_teste, 'lt002_instrument' AS TABELA, 'sme_fnrp18' AS CAMPO, '2025-06-30' as ref_date, coalesce(NUM_REG_DIF, 0) AS NUM_REG_DIF FROM (SELECT count(*) AS NUM_REG_DIF FROM (SELECT instrmnt_id as instrmnt_id_as_is, sme_fnrp18 as sme_fnrp18_as_is FROM cd_loan_tapes_bce.lt002_instrument WHERE ref_date='2025-06-30' AND nome_perimetro= 'Individual IDComb' AND segmento= 'ESTR' AND ambito= 'PM' AND entidade='00100' AND cod_visao = 1) A  Inner join (SELECT instrmnt_id as instrmnt_id_to_be, sme_fnrp18 as sme_fnrp18_to_be FROM bu_loantape_work.lt002_instrument WHERE ref_date='2025-06-30' AND nome_perimetro= 'Individual IDComb' AND segmento= 'ESTR' AND ambito= 'PM' AND entidade='00100' AND cod_visao = 1) B ON instrmnt_id_as_is = instrmnt_id_to_be WHERE coalesce(cast(sme_fnrp18_as_is as string), '') &lt;&gt; coalesce(cast(sme_fnrp18_to_be as string), '') ) A </v>
      </c>
      <c r="O281" s="19" t="str">
        <f t="shared" si="53"/>
        <v>SELECT 'Validação de campos' as tipologia_teste, 'lt002_instrument' AS TABELA, 'sme_fnrp18' AS CAMPO, '2025-06-30' as ref_date, coalesce(NUM_REG_DIF, 0) AS NUM_REG_DIF FROM (SELECT count(*) AS NUM_REG_DIF FROM (SELECT instrmnt_id as instrmnt_id_as_is, sme_fnrp18 as sme_fnrp18_as_is FROM cd_loan_tapes_bce.lt002_instrument WHERE ref_date='2025-06-30' AND nome_perimetro= 'Individual IDComb' AND segmento= 'ESTR' AND ambito= 'PM' AND entidade='00100' AND cod_visao = 1) A  Inner join (SELECT instrmnt_id as instrmnt_id_to_be, sme_fnrp18 as sme_fnrp18_to_be FROM bu_loantape_work.lt002_instrument WHERE ref_date='2025-06-30' AND nome_perimetro= 'Individual IDComb' AND segmento= 'ESTR' AND ambito= 'PM' AND entidade='00100' AND cod_visao = 1) B ON instrmnt_id_as_is = instrmnt_id_to_be WHERE coalesce(cast(sme_fnrp18_as_is as string), '') &lt;&gt; coalesce(cast(sme_fnrp18_to_be as string), '') ) A UNION ALL</v>
      </c>
      <c r="P281" s="17">
        <f t="shared" si="52"/>
        <v>26</v>
      </c>
    </row>
    <row r="282" spans="2:16" s="15" customFormat="1" ht="11.5" x14ac:dyDescent="0.25">
      <c r="B282" s="17" t="s">
        <v>24</v>
      </c>
      <c r="C282" s="17" t="str">
        <f>_xlfn.CONCAT(Instruções!$D$5,".",VLOOKUP(B282,Instruções!$F$5:$H$10,2,0))</f>
        <v>cd_loan_tapes_bce.lt002_instrument</v>
      </c>
      <c r="D282" s="17" t="str">
        <f>_xlfn.CONCAT(Instruções!$D$6,".",VLOOKUP(B282,Instruções!$F$5:$H$10,3,0))</f>
        <v>bu_loantape_work.lt002_instrument</v>
      </c>
      <c r="E282" s="17" t="s">
        <v>296</v>
      </c>
      <c r="F282" s="17" t="str">
        <f t="shared" si="49"/>
        <v>spcltv_lndng_as_is</v>
      </c>
      <c r="G282" s="17" t="str">
        <f t="shared" si="50"/>
        <v>spcltv_lndng_to_be</v>
      </c>
      <c r="H282" s="17" t="str">
        <f>IF(VLOOKUP(B282,Instruções!$F$6:$J$10,5,0)="",
"(SELECT "&amp;VLOOKUP(B282,Instruções!$F$6:$J$10,4,0)&amp;" as "&amp;VLOOKUP(B282,Instruções!$F$6:$J$10,4,0)&amp;"_as_is, "&amp;E282&amp;" as "&amp;F282&amp;" FROM "&amp;C282&amp;" WHERE "&amp;Instruções!$D$11&amp;") A ",
"(SELECT "&amp;VLOOKUP(B282,Instruções!$F$6:$J$10,4,0)&amp;" as "&amp;VLOOKUP(B282,Instruções!$F$6:$J$10,4,0)&amp;"_as_is, "&amp;VLOOKUP(B282,Instruções!$F$6:$J$10,5,0)&amp;" as "&amp;VLOOKUP(B282,Instruções!$F$6:$J$10,5,0)&amp;"_as_is,"&amp;E282&amp;" as "&amp;F282&amp;" FROM "&amp;C282&amp;" WHERE "&amp;Instruções!$D$11&amp;") A ")</f>
        <v xml:space="preserve">(SELECT instrmnt_id as instrmnt_id_as_is, spcltv_lndng as spcltv_lndng_as_is FROM cd_loan_tapes_bce.lt002_instrument WHERE ref_date='2025-06-30' AND nome_perimetro= 'Individual IDComb' AND segmento= 'ESTR' AND ambito= 'PM' AND entidade='00100' AND cod_visao = 1) A </v>
      </c>
      <c r="I282" s="17" t="str">
        <f>IF(VLOOKUP(B282,Instruções!$F$6:$J$10,5,0)="",
"(SELECT "&amp;VLOOKUP(B282,Instruções!$F$6:$J$10,4,0)&amp;" as "&amp;VLOOKUP(B282,Instruções!$F$6:$J$10,4,0)&amp;"_to_be, "&amp;E282&amp;" as "&amp;G282&amp;" FROM "&amp;D282&amp;" WHERE "&amp;Instruções!$D$11&amp;") B ",
"(SELECT "&amp;VLOOKUP(B282,Instruções!$F$6:$J$10,4,0)&amp;" as "&amp;VLOOKUP(B282,Instruções!$F$6:$J$10,4,0)&amp;"_to_be, "&amp;VLOOKUP(B282,Instruções!$F$6:$J$10,5,0)&amp;" as "&amp;VLOOKUP(B282,Instruções!$F$6:$J$10,5,0)&amp;"_to_be,"&amp;E282&amp;" as "&amp;G282&amp;" FROM "&amp;D282&amp;" WHERE "&amp;Instruções!$D$11&amp;") B ")</f>
        <v xml:space="preserve">(SELECT instrmnt_id as instrmnt_id_to_be, spcltv_lndng as spcltv_lndng_to_be FROM bu_loantape_work.lt002_instrument WHERE ref_date='2025-06-30' AND nome_perimetro= 'Individual IDComb' AND segmento= 'ESTR' AND ambito= 'PM' AND entidade='00100' AND cod_visao = 1) B </v>
      </c>
      <c r="J282" s="17" t="str">
        <f>IF(VLOOKUP(B282,Instruções!$F$6:$J$10,5,0)="",
"ON "&amp;VLOOKUP(B282,Instruções!$F$6:$J$10,4,0)&amp;"_as_is = "&amp;VLOOKUP(B282,Instruções!$F$6:$J$10,4,0)&amp;"_to_be ",
"ON "&amp;VLOOKUP(B282,Instruções!$F$6:$J$10,4,0)&amp;"_as_is = "&amp;VLOOKUP(B282,Instruções!$F$6:$J$10,4,0)&amp;"_to_be AND "&amp;VLOOKUP(B282,Instruções!$F$6:$J$10,5,0)&amp;"_as_is = "&amp;VLOOKUP(B282,Instruções!$F$6:$J$10,5,0)&amp;"_to_be ")</f>
        <v xml:space="preserve">ON instrmnt_id_as_is = instrmnt_id_to_be </v>
      </c>
      <c r="K282" s="17" t="str">
        <f t="shared" si="51"/>
        <v xml:space="preserve">WHERE coalesce(cast(spcltv_lndng_as_is as string), '') &lt;&gt; coalesce(cast(spcltv_lndng_to_be as string), '') </v>
      </c>
      <c r="L282" s="17" t="str">
        <f t="shared" si="54"/>
        <v xml:space="preserve">SELECT count(*) AS NUM_REG_DIF FROM (SELECT instrmnt_id as instrmnt_id_as_is, spcltv_lndng as spcltv_lndng_as_is FROM cd_loan_tapes_bce.lt002_instrument WHERE ref_date='2025-06-30' AND nome_perimetro= 'Individual IDComb' AND segmento= 'ESTR' AND ambito= 'PM' AND entidade='00100' AND cod_visao = 1) A  Inner join (SELECT instrmnt_id as instrmnt_id_to_be, spcltv_lndng as spcltv_lndng_to_be FROM bu_loantape_work.lt002_instrument WHERE ref_date='2025-06-30' AND nome_perimetro= 'Individual IDComb' AND segmento= 'ESTR' AND ambito= 'PM' AND entidade='00100' AND cod_visao = 1) B ON instrmnt_id_as_is = instrmnt_id_to_be WHERE coalesce(cast(spcltv_lndng_as_is as string), '') &lt;&gt; coalesce(cast(spcltv_lndng_to_be as string), '') </v>
      </c>
      <c r="M282" s="17" t="s">
        <v>48</v>
      </c>
      <c r="N282" s="17" t="str">
        <f>"SELECT 'Validação de campos' as tipologia_teste, '"&amp;VLOOKUP(B282,Instruções!$F$6:$J$10,3,0)&amp;"' AS TABELA, '"&amp;E282&amp;"' AS CAMPO, '"&amp;Instruções!$D$7&amp;"' as ref_date, coalesce(NUM_REG_DIF, 0) AS NUM_REG_DIF FROM ("&amp;L282&amp;") A "</f>
        <v xml:space="preserve">SELECT 'Validação de campos' as tipologia_teste, 'lt002_instrument' AS TABELA, 'spcltv_lndng' AS CAMPO, '2025-06-30' as ref_date, coalesce(NUM_REG_DIF, 0) AS NUM_REG_DIF FROM (SELECT count(*) AS NUM_REG_DIF FROM (SELECT instrmnt_id as instrmnt_id_as_is, spcltv_lndng as spcltv_lndng_as_is FROM cd_loan_tapes_bce.lt002_instrument WHERE ref_date='2025-06-30' AND nome_perimetro= 'Individual IDComb' AND segmento= 'ESTR' AND ambito= 'PM' AND entidade='00100' AND cod_visao = 1) A  Inner join (SELECT instrmnt_id as instrmnt_id_to_be, spcltv_lndng as spcltv_lndng_to_be FROM bu_loantape_work.lt002_instrument WHERE ref_date='2025-06-30' AND nome_perimetro= 'Individual IDComb' AND segmento= 'ESTR' AND ambito= 'PM' AND entidade='00100' AND cod_visao = 1) B ON instrmnt_id_as_is = instrmnt_id_to_be WHERE coalesce(cast(spcltv_lndng_as_is as string), '') &lt;&gt; coalesce(cast(spcltv_lndng_to_be as string), '') ) A </v>
      </c>
      <c r="O282" s="19" t="str">
        <f t="shared" si="53"/>
        <v>SELECT 'Validação de campos' as tipologia_teste, 'lt002_instrument' AS TABELA, 'spcltv_lndng' AS CAMPO, '2025-06-30' as ref_date, coalesce(NUM_REG_DIF, 0) AS NUM_REG_DIF FROM (SELECT count(*) AS NUM_REG_DIF FROM (SELECT instrmnt_id as instrmnt_id_as_is, spcltv_lndng as spcltv_lndng_as_is FROM cd_loan_tapes_bce.lt002_instrument WHERE ref_date='2025-06-30' AND nome_perimetro= 'Individual IDComb' AND segmento= 'ESTR' AND ambito= 'PM' AND entidade='00100' AND cod_visao = 1) A  Inner join (SELECT instrmnt_id as instrmnt_id_to_be, spcltv_lndng as spcltv_lndng_to_be FROM bu_loantape_work.lt002_instrument WHERE ref_date='2025-06-30' AND nome_perimetro= 'Individual IDComb' AND segmento= 'ESTR' AND ambito= 'PM' AND entidade='00100' AND cod_visao = 1) B ON instrmnt_id_as_is = instrmnt_id_to_be WHERE coalesce(cast(spcltv_lndng_as_is as string), '') &lt;&gt; coalesce(cast(spcltv_lndng_to_be as string), '') ) A UNION ALL</v>
      </c>
      <c r="P282" s="17">
        <f t="shared" si="52"/>
        <v>27</v>
      </c>
    </row>
    <row r="283" spans="2:16" s="15" customFormat="1" ht="11.5" x14ac:dyDescent="0.25">
      <c r="B283" s="17" t="s">
        <v>24</v>
      </c>
      <c r="C283" s="17" t="str">
        <f>_xlfn.CONCAT(Instruções!$D$5,".",VLOOKUP(B283,Instruções!$F$5:$H$10,2,0))</f>
        <v>cd_loan_tapes_bce.lt002_instrument</v>
      </c>
      <c r="D283" s="17" t="str">
        <f>_xlfn.CONCAT(Instruções!$D$6,".",VLOOKUP(B283,Instruções!$F$5:$H$10,3,0))</f>
        <v>bu_loantape_work.lt002_instrument</v>
      </c>
      <c r="E283" s="17" t="s">
        <v>297</v>
      </c>
      <c r="F283" s="17" t="str">
        <f t="shared" si="49"/>
        <v>spnsr_nm_as_is</v>
      </c>
      <c r="G283" s="17" t="str">
        <f t="shared" si="50"/>
        <v>spnsr_nm_to_be</v>
      </c>
      <c r="H283" s="17" t="str">
        <f>IF(VLOOKUP(B283,Instruções!$F$6:$J$10,5,0)="",
"(SELECT "&amp;VLOOKUP(B283,Instruções!$F$6:$J$10,4,0)&amp;" as "&amp;VLOOKUP(B283,Instruções!$F$6:$J$10,4,0)&amp;"_as_is, "&amp;E283&amp;" as "&amp;F283&amp;" FROM "&amp;C283&amp;" WHERE "&amp;Instruções!$D$11&amp;") A ",
"(SELECT "&amp;VLOOKUP(B283,Instruções!$F$6:$J$10,4,0)&amp;" as "&amp;VLOOKUP(B283,Instruções!$F$6:$J$10,4,0)&amp;"_as_is, "&amp;VLOOKUP(B283,Instruções!$F$6:$J$10,5,0)&amp;" as "&amp;VLOOKUP(B283,Instruções!$F$6:$J$10,5,0)&amp;"_as_is,"&amp;E283&amp;" as "&amp;F283&amp;" FROM "&amp;C283&amp;" WHERE "&amp;Instruções!$D$11&amp;") A ")</f>
        <v xml:space="preserve">(SELECT instrmnt_id as instrmnt_id_as_is, spnsr_nm as spnsr_nm_as_is FROM cd_loan_tapes_bce.lt002_instrument WHERE ref_date='2025-06-30' AND nome_perimetro= 'Individual IDComb' AND segmento= 'ESTR' AND ambito= 'PM' AND entidade='00100' AND cod_visao = 1) A </v>
      </c>
      <c r="I283" s="17" t="str">
        <f>IF(VLOOKUP(B283,Instruções!$F$6:$J$10,5,0)="",
"(SELECT "&amp;VLOOKUP(B283,Instruções!$F$6:$J$10,4,0)&amp;" as "&amp;VLOOKUP(B283,Instruções!$F$6:$J$10,4,0)&amp;"_to_be, "&amp;E283&amp;" as "&amp;G283&amp;" FROM "&amp;D283&amp;" WHERE "&amp;Instruções!$D$11&amp;") B ",
"(SELECT "&amp;VLOOKUP(B283,Instruções!$F$6:$J$10,4,0)&amp;" as "&amp;VLOOKUP(B283,Instruções!$F$6:$J$10,4,0)&amp;"_to_be, "&amp;VLOOKUP(B283,Instruções!$F$6:$J$10,5,0)&amp;" as "&amp;VLOOKUP(B283,Instruções!$F$6:$J$10,5,0)&amp;"_to_be,"&amp;E283&amp;" as "&amp;G283&amp;" FROM "&amp;D283&amp;" WHERE "&amp;Instruções!$D$11&amp;") B ")</f>
        <v xml:space="preserve">(SELECT instrmnt_id as instrmnt_id_to_be, spnsr_nm as spnsr_nm_to_be FROM bu_loantape_work.lt002_instrument WHERE ref_date='2025-06-30' AND nome_perimetro= 'Individual IDComb' AND segmento= 'ESTR' AND ambito= 'PM' AND entidade='00100' AND cod_visao = 1) B </v>
      </c>
      <c r="J283" s="17" t="str">
        <f>IF(VLOOKUP(B283,Instruções!$F$6:$J$10,5,0)="",
"ON "&amp;VLOOKUP(B283,Instruções!$F$6:$J$10,4,0)&amp;"_as_is = "&amp;VLOOKUP(B283,Instruções!$F$6:$J$10,4,0)&amp;"_to_be ",
"ON "&amp;VLOOKUP(B283,Instruções!$F$6:$J$10,4,0)&amp;"_as_is = "&amp;VLOOKUP(B283,Instruções!$F$6:$J$10,4,0)&amp;"_to_be AND "&amp;VLOOKUP(B283,Instruções!$F$6:$J$10,5,0)&amp;"_as_is = "&amp;VLOOKUP(B283,Instruções!$F$6:$J$10,5,0)&amp;"_to_be ")</f>
        <v xml:space="preserve">ON instrmnt_id_as_is = instrmnt_id_to_be </v>
      </c>
      <c r="K283" s="17" t="str">
        <f t="shared" si="51"/>
        <v xml:space="preserve">WHERE coalesce(cast(spnsr_nm_as_is as string), '') &lt;&gt; coalesce(cast(spnsr_nm_to_be as string), '') </v>
      </c>
      <c r="L283" s="17" t="str">
        <f t="shared" si="54"/>
        <v xml:space="preserve">SELECT count(*) AS NUM_REG_DIF FROM (SELECT instrmnt_id as instrmnt_id_as_is, spnsr_nm as spnsr_nm_as_is FROM cd_loan_tapes_bce.lt002_instrument WHERE ref_date='2025-06-30' AND nome_perimetro= 'Individual IDComb' AND segmento= 'ESTR' AND ambito= 'PM' AND entidade='00100' AND cod_visao = 1) A  Inner join (SELECT instrmnt_id as instrmnt_id_to_be, spnsr_nm as spnsr_nm_to_be FROM bu_loantape_work.lt002_instrument WHERE ref_date='2025-06-30' AND nome_perimetro= 'Individual IDComb' AND segmento= 'ESTR' AND ambito= 'PM' AND entidade='00100' AND cod_visao = 1) B ON instrmnt_id_as_is = instrmnt_id_to_be WHERE coalesce(cast(spnsr_nm_as_is as string), '') &lt;&gt; coalesce(cast(spnsr_nm_to_be as string), '') </v>
      </c>
      <c r="M283" s="17" t="s">
        <v>48</v>
      </c>
      <c r="N283" s="17" t="str">
        <f>"SELECT 'Validação de campos' as tipologia_teste, '"&amp;VLOOKUP(B283,Instruções!$F$6:$J$10,3,0)&amp;"' AS TABELA, '"&amp;E283&amp;"' AS CAMPO, '"&amp;Instruções!$D$7&amp;"' as ref_date, coalesce(NUM_REG_DIF, 0) AS NUM_REG_DIF FROM ("&amp;L283&amp;") A "</f>
        <v xml:space="preserve">SELECT 'Validação de campos' as tipologia_teste, 'lt002_instrument' AS TABELA, 'spnsr_nm' AS CAMPO, '2025-06-30' as ref_date, coalesce(NUM_REG_DIF, 0) AS NUM_REG_DIF FROM (SELECT count(*) AS NUM_REG_DIF FROM (SELECT instrmnt_id as instrmnt_id_as_is, spnsr_nm as spnsr_nm_as_is FROM cd_loan_tapes_bce.lt002_instrument WHERE ref_date='2025-06-30' AND nome_perimetro= 'Individual IDComb' AND segmento= 'ESTR' AND ambito= 'PM' AND entidade='00100' AND cod_visao = 1) A  Inner join (SELECT instrmnt_id as instrmnt_id_to_be, spnsr_nm as spnsr_nm_to_be FROM bu_loantape_work.lt002_instrument WHERE ref_date='2025-06-30' AND nome_perimetro= 'Individual IDComb' AND segmento= 'ESTR' AND ambito= 'PM' AND entidade='00100' AND cod_visao = 1) B ON instrmnt_id_as_is = instrmnt_id_to_be WHERE coalesce(cast(spnsr_nm_as_is as string), '') &lt;&gt; coalesce(cast(spnsr_nm_to_be as string), '') ) A </v>
      </c>
      <c r="O283" s="19" t="str">
        <f t="shared" si="53"/>
        <v>SELECT 'Validação de campos' as tipologia_teste, 'lt002_instrument' AS TABELA, 'spnsr_nm' AS CAMPO, '2025-06-30' as ref_date, coalesce(NUM_REG_DIF, 0) AS NUM_REG_DIF FROM (SELECT count(*) AS NUM_REG_DIF FROM (SELECT instrmnt_id as instrmnt_id_as_is, spnsr_nm as spnsr_nm_as_is FROM cd_loan_tapes_bce.lt002_instrument WHERE ref_date='2025-06-30' AND nome_perimetro= 'Individual IDComb' AND segmento= 'ESTR' AND ambito= 'PM' AND entidade='00100' AND cod_visao = 1) A  Inner join (SELECT instrmnt_id as instrmnt_id_to_be, spnsr_nm as spnsr_nm_to_be FROM bu_loantape_work.lt002_instrument WHERE ref_date='2025-06-30' AND nome_perimetro= 'Individual IDComb' AND segmento= 'ESTR' AND ambito= 'PM' AND entidade='00100' AND cod_visao = 1) B ON instrmnt_id_as_is = instrmnt_id_to_be WHERE coalesce(cast(spnsr_nm_as_is as string), '') &lt;&gt; coalesce(cast(spnsr_nm_to_be as string), '') ) A UNION ALL</v>
      </c>
      <c r="P283" s="17">
        <f t="shared" si="52"/>
        <v>28</v>
      </c>
    </row>
    <row r="284" spans="2:16" s="15" customFormat="1" ht="11.5" x14ac:dyDescent="0.25">
      <c r="B284" s="17" t="s">
        <v>24</v>
      </c>
      <c r="C284" s="17" t="str">
        <f>_xlfn.CONCAT(Instruções!$D$5,".",VLOOKUP(B284,Instruções!$F$5:$H$10,2,0))</f>
        <v>cd_loan_tapes_bce.lt002_instrument</v>
      </c>
      <c r="D284" s="17" t="str">
        <f>_xlfn.CONCAT(Instruções!$D$6,".",VLOOKUP(B284,Instruções!$F$5:$H$10,3,0))</f>
        <v>bu_loantape_work.lt002_instrument</v>
      </c>
      <c r="E284" s="17" t="s">
        <v>298</v>
      </c>
      <c r="F284" s="17" t="str">
        <f t="shared" si="49"/>
        <v>sprd_as_is</v>
      </c>
      <c r="G284" s="17" t="str">
        <f t="shared" si="50"/>
        <v>sprd_to_be</v>
      </c>
      <c r="H284" s="17" t="str">
        <f>IF(VLOOKUP(B284,Instruções!$F$6:$J$10,5,0)="",
"(SELECT "&amp;VLOOKUP(B284,Instruções!$F$6:$J$10,4,0)&amp;" as "&amp;VLOOKUP(B284,Instruções!$F$6:$J$10,4,0)&amp;"_as_is, "&amp;E284&amp;" as "&amp;F284&amp;" FROM "&amp;C284&amp;" WHERE "&amp;Instruções!$D$11&amp;") A ",
"(SELECT "&amp;VLOOKUP(B284,Instruções!$F$6:$J$10,4,0)&amp;" as "&amp;VLOOKUP(B284,Instruções!$F$6:$J$10,4,0)&amp;"_as_is, "&amp;VLOOKUP(B284,Instruções!$F$6:$J$10,5,0)&amp;" as "&amp;VLOOKUP(B284,Instruções!$F$6:$J$10,5,0)&amp;"_as_is,"&amp;E284&amp;" as "&amp;F284&amp;" FROM "&amp;C284&amp;" WHERE "&amp;Instruções!$D$11&amp;") A ")</f>
        <v xml:space="preserve">(SELECT instrmnt_id as instrmnt_id_as_is, sprd as sprd_as_is FROM cd_loan_tapes_bce.lt002_instrument WHERE ref_date='2025-06-30' AND nome_perimetro= 'Individual IDComb' AND segmento= 'ESTR' AND ambito= 'PM' AND entidade='00100' AND cod_visao = 1) A </v>
      </c>
      <c r="I284" s="17" t="str">
        <f>IF(VLOOKUP(B284,Instruções!$F$6:$J$10,5,0)="",
"(SELECT "&amp;VLOOKUP(B284,Instruções!$F$6:$J$10,4,0)&amp;" as "&amp;VLOOKUP(B284,Instruções!$F$6:$J$10,4,0)&amp;"_to_be, "&amp;E284&amp;" as "&amp;G284&amp;" FROM "&amp;D284&amp;" WHERE "&amp;Instruções!$D$11&amp;") B ",
"(SELECT "&amp;VLOOKUP(B284,Instruções!$F$6:$J$10,4,0)&amp;" as "&amp;VLOOKUP(B284,Instruções!$F$6:$J$10,4,0)&amp;"_to_be, "&amp;VLOOKUP(B284,Instruções!$F$6:$J$10,5,0)&amp;" as "&amp;VLOOKUP(B284,Instruções!$F$6:$J$10,5,0)&amp;"_to_be,"&amp;E284&amp;" as "&amp;G284&amp;" FROM "&amp;D284&amp;" WHERE "&amp;Instruções!$D$11&amp;") B ")</f>
        <v xml:space="preserve">(SELECT instrmnt_id as instrmnt_id_to_be, sprd as sprd_to_be FROM bu_loantape_work.lt002_instrument WHERE ref_date='2025-06-30' AND nome_perimetro= 'Individual IDComb' AND segmento= 'ESTR' AND ambito= 'PM' AND entidade='00100' AND cod_visao = 1) B </v>
      </c>
      <c r="J284" s="17" t="str">
        <f>IF(VLOOKUP(B284,Instruções!$F$6:$J$10,5,0)="",
"ON "&amp;VLOOKUP(B284,Instruções!$F$6:$J$10,4,0)&amp;"_as_is = "&amp;VLOOKUP(B284,Instruções!$F$6:$J$10,4,0)&amp;"_to_be ",
"ON "&amp;VLOOKUP(B284,Instruções!$F$6:$J$10,4,0)&amp;"_as_is = "&amp;VLOOKUP(B284,Instruções!$F$6:$J$10,4,0)&amp;"_to_be AND "&amp;VLOOKUP(B284,Instruções!$F$6:$J$10,5,0)&amp;"_as_is = "&amp;VLOOKUP(B284,Instruções!$F$6:$J$10,5,0)&amp;"_to_be ")</f>
        <v xml:space="preserve">ON instrmnt_id_as_is = instrmnt_id_to_be </v>
      </c>
      <c r="K284" s="17" t="str">
        <f t="shared" si="51"/>
        <v xml:space="preserve">WHERE coalesce(cast(sprd_as_is as string), '') &lt;&gt; coalesce(cast(sprd_to_be as string), '') </v>
      </c>
      <c r="L284" s="17" t="str">
        <f t="shared" si="54"/>
        <v xml:space="preserve">SELECT count(*) AS NUM_REG_DIF FROM (SELECT instrmnt_id as instrmnt_id_as_is, sprd as sprd_as_is FROM cd_loan_tapes_bce.lt002_instrument WHERE ref_date='2025-06-30' AND nome_perimetro= 'Individual IDComb' AND segmento= 'ESTR' AND ambito= 'PM' AND entidade='00100' AND cod_visao = 1) A  Inner join (SELECT instrmnt_id as instrmnt_id_to_be, sprd as sprd_to_be FROM bu_loantape_work.lt002_instrument WHERE ref_date='2025-06-30' AND nome_perimetro= 'Individual IDComb' AND segmento= 'ESTR' AND ambito= 'PM' AND entidade='00100' AND cod_visao = 1) B ON instrmnt_id_as_is = instrmnt_id_to_be WHERE coalesce(cast(sprd_as_is as string), '') &lt;&gt; coalesce(cast(sprd_to_be as string), '') </v>
      </c>
      <c r="M284" s="17" t="s">
        <v>48</v>
      </c>
      <c r="N284" s="17" t="str">
        <f>"SELECT 'Validação de campos' as tipologia_teste, '"&amp;VLOOKUP(B284,Instruções!$F$6:$J$10,3,0)&amp;"' AS TABELA, '"&amp;E284&amp;"' AS CAMPO, '"&amp;Instruções!$D$7&amp;"' as ref_date, coalesce(NUM_REG_DIF, 0) AS NUM_REG_DIF FROM ("&amp;L284&amp;") A "</f>
        <v xml:space="preserve">SELECT 'Validação de campos' as tipologia_teste, 'lt002_instrument' AS TABELA, 'sprd' AS CAMPO, '2025-06-30' as ref_date, coalesce(NUM_REG_DIF, 0) AS NUM_REG_DIF FROM (SELECT count(*) AS NUM_REG_DIF FROM (SELECT instrmnt_id as instrmnt_id_as_is, sprd as sprd_as_is FROM cd_loan_tapes_bce.lt002_instrument WHERE ref_date='2025-06-30' AND nome_perimetro= 'Individual IDComb' AND segmento= 'ESTR' AND ambito= 'PM' AND entidade='00100' AND cod_visao = 1) A  Inner join (SELECT instrmnt_id as instrmnt_id_to_be, sprd as sprd_to_be FROM bu_loantape_work.lt002_instrument WHERE ref_date='2025-06-30' AND nome_perimetro= 'Individual IDComb' AND segmento= 'ESTR' AND ambito= 'PM' AND entidade='00100' AND cod_visao = 1) B ON instrmnt_id_as_is = instrmnt_id_to_be WHERE coalesce(cast(sprd_as_is as string), '') &lt;&gt; coalesce(cast(sprd_to_be as string), '') ) A </v>
      </c>
      <c r="O284" s="19" t="str">
        <f>IF(O285="",N284,N284&amp;$O$3)</f>
        <v>SELECT 'Validação de campos' as tipologia_teste, 'lt002_instrument' AS TABELA, 'sprd' AS CAMPO, '2025-06-30' as ref_date, coalesce(NUM_REG_DIF, 0) AS NUM_REG_DIF FROM (SELECT count(*) AS NUM_REG_DIF FROM (SELECT instrmnt_id as instrmnt_id_as_is, sprd as sprd_as_is FROM cd_loan_tapes_bce.lt002_instrument WHERE ref_date='2025-06-30' AND nome_perimetro= 'Individual IDComb' AND segmento= 'ESTR' AND ambito= 'PM' AND entidade='00100' AND cod_visao = 1) A  Inner join (SELECT instrmnt_id as instrmnt_id_to_be, sprd as sprd_to_be FROM bu_loantape_work.lt002_instrument WHERE ref_date='2025-06-30' AND nome_perimetro= 'Individual IDComb' AND segmento= 'ESTR' AND ambito= 'PM' AND entidade='00100' AND cod_visao = 1) B ON instrmnt_id_as_is = instrmnt_id_to_be WHERE coalesce(cast(sprd_as_is as string), '') &lt;&gt; coalesce(cast(sprd_to_be as string), '') ) A UNION ALL</v>
      </c>
      <c r="P284" s="17">
        <f t="shared" si="52"/>
        <v>29</v>
      </c>
    </row>
    <row r="285" spans="2:16" s="15" customFormat="1" ht="11.5" x14ac:dyDescent="0.25">
      <c r="B285" s="17" t="s">
        <v>24</v>
      </c>
      <c r="C285" s="17" t="str">
        <f>_xlfn.CONCAT(Instruções!$D$5,".",VLOOKUP(B285,Instruções!$F$5:$H$10,2,0))</f>
        <v>cd_loan_tapes_bce.lt002_instrument</v>
      </c>
      <c r="D285" s="17" t="str">
        <f>_xlfn.CONCAT(Instruções!$D$6,".",VLOOKUP(B285,Instruções!$F$5:$H$10,3,0))</f>
        <v>bu_loantape_work.lt002_instrument</v>
      </c>
      <c r="E285" s="17" t="s">
        <v>299</v>
      </c>
      <c r="F285" s="17" t="str">
        <f t="shared" si="49"/>
        <v>srcs_encmbrnc_as_is</v>
      </c>
      <c r="G285" s="17" t="str">
        <f t="shared" si="50"/>
        <v>srcs_encmbrnc_to_be</v>
      </c>
      <c r="H285" s="17" t="str">
        <f>IF(VLOOKUP(B285,Instruções!$F$6:$J$10,5,0)="",
"(SELECT "&amp;VLOOKUP(B285,Instruções!$F$6:$J$10,4,0)&amp;" as "&amp;VLOOKUP(B285,Instruções!$F$6:$J$10,4,0)&amp;"_as_is, "&amp;E285&amp;" as "&amp;F285&amp;" FROM "&amp;C285&amp;" WHERE "&amp;Instruções!$D$11&amp;") A ",
"(SELECT "&amp;VLOOKUP(B285,Instruções!$F$6:$J$10,4,0)&amp;" as "&amp;VLOOKUP(B285,Instruções!$F$6:$J$10,4,0)&amp;"_as_is, "&amp;VLOOKUP(B285,Instruções!$F$6:$J$10,5,0)&amp;" as "&amp;VLOOKUP(B285,Instruções!$F$6:$J$10,5,0)&amp;"_as_is,"&amp;E285&amp;" as "&amp;F285&amp;" FROM "&amp;C285&amp;" WHERE "&amp;Instruções!$D$11&amp;") A ")</f>
        <v xml:space="preserve">(SELECT instrmnt_id as instrmnt_id_as_is, srcs_encmbrnc as srcs_encmbrnc_as_is FROM cd_loan_tapes_bce.lt002_instrument WHERE ref_date='2025-06-30' AND nome_perimetro= 'Individual IDComb' AND segmento= 'ESTR' AND ambito= 'PM' AND entidade='00100' AND cod_visao = 1) A </v>
      </c>
      <c r="I285" s="17" t="str">
        <f>IF(VLOOKUP(B285,Instruções!$F$6:$J$10,5,0)="",
"(SELECT "&amp;VLOOKUP(B285,Instruções!$F$6:$J$10,4,0)&amp;" as "&amp;VLOOKUP(B285,Instruções!$F$6:$J$10,4,0)&amp;"_to_be, "&amp;E285&amp;" as "&amp;G285&amp;" FROM "&amp;D285&amp;" WHERE "&amp;Instruções!$D$11&amp;") B ",
"(SELECT "&amp;VLOOKUP(B285,Instruções!$F$6:$J$10,4,0)&amp;" as "&amp;VLOOKUP(B285,Instruções!$F$6:$J$10,4,0)&amp;"_to_be, "&amp;VLOOKUP(B285,Instruções!$F$6:$J$10,5,0)&amp;" as "&amp;VLOOKUP(B285,Instruções!$F$6:$J$10,5,0)&amp;"_to_be,"&amp;E285&amp;" as "&amp;G285&amp;" FROM "&amp;D285&amp;" WHERE "&amp;Instruções!$D$11&amp;") B ")</f>
        <v xml:space="preserve">(SELECT instrmnt_id as instrmnt_id_to_be, srcs_encmbrnc as srcs_encmbrnc_to_be FROM bu_loantape_work.lt002_instrument WHERE ref_date='2025-06-30' AND nome_perimetro= 'Individual IDComb' AND segmento= 'ESTR' AND ambito= 'PM' AND entidade='00100' AND cod_visao = 1) B </v>
      </c>
      <c r="J285" s="17" t="str">
        <f>IF(VLOOKUP(B285,Instruções!$F$6:$J$10,5,0)="",
"ON "&amp;VLOOKUP(B285,Instruções!$F$6:$J$10,4,0)&amp;"_as_is = "&amp;VLOOKUP(B285,Instruções!$F$6:$J$10,4,0)&amp;"_to_be ",
"ON "&amp;VLOOKUP(B285,Instruções!$F$6:$J$10,4,0)&amp;"_as_is = "&amp;VLOOKUP(B285,Instruções!$F$6:$J$10,4,0)&amp;"_to_be AND "&amp;VLOOKUP(B285,Instruções!$F$6:$J$10,5,0)&amp;"_as_is = "&amp;VLOOKUP(B285,Instruções!$F$6:$J$10,5,0)&amp;"_to_be ")</f>
        <v xml:space="preserve">ON instrmnt_id_as_is = instrmnt_id_to_be </v>
      </c>
      <c r="K285" s="17" t="str">
        <f t="shared" si="51"/>
        <v xml:space="preserve">WHERE coalesce(cast(srcs_encmbrnc_as_is as string), '') &lt;&gt; coalesce(cast(srcs_encmbrnc_to_be as string), '') </v>
      </c>
      <c r="L285" s="17" t="str">
        <f t="shared" si="54"/>
        <v xml:space="preserve">SELECT count(*) AS NUM_REG_DIF FROM (SELECT instrmnt_id as instrmnt_id_as_is, srcs_encmbrnc as srcs_encmbrnc_as_is FROM cd_loan_tapes_bce.lt002_instrument WHERE ref_date='2025-06-30' AND nome_perimetro= 'Individual IDComb' AND segmento= 'ESTR' AND ambito= 'PM' AND entidade='00100' AND cod_visao = 1) A  Inner join (SELECT instrmnt_id as instrmnt_id_to_be, srcs_encmbrnc as srcs_encmbrnc_to_be FROM bu_loantape_work.lt002_instrument WHERE ref_date='2025-06-30' AND nome_perimetro= 'Individual IDComb' AND segmento= 'ESTR' AND ambito= 'PM' AND entidade='00100' AND cod_visao = 1) B ON instrmnt_id_as_is = instrmnt_id_to_be WHERE coalesce(cast(srcs_encmbrnc_as_is as string), '') &lt;&gt; coalesce(cast(srcs_encmbrnc_to_be as string), '') </v>
      </c>
      <c r="M285" s="17" t="s">
        <v>48</v>
      </c>
      <c r="N285" s="17" t="str">
        <f>"SELECT 'Validação de campos' as tipologia_teste, '"&amp;VLOOKUP(B285,Instruções!$F$6:$J$10,3,0)&amp;"' AS TABELA, '"&amp;E285&amp;"' AS CAMPO, '"&amp;Instruções!$D$7&amp;"' as ref_date, coalesce(NUM_REG_DIF, 0) AS NUM_REG_DIF FROM ("&amp;L285&amp;") A "</f>
        <v xml:space="preserve">SELECT 'Validação de campos' as tipologia_teste, 'lt002_instrument' AS TABELA, 'srcs_encmbrnc' AS CAMPO, '2025-06-30' as ref_date, coalesce(NUM_REG_DIF, 0) AS NUM_REG_DIF FROM (SELECT count(*) AS NUM_REG_DIF FROM (SELECT instrmnt_id as instrmnt_id_as_is, srcs_encmbrnc as srcs_encmbrnc_as_is FROM cd_loan_tapes_bce.lt002_instrument WHERE ref_date='2025-06-30' AND nome_perimetro= 'Individual IDComb' AND segmento= 'ESTR' AND ambito= 'PM' AND entidade='00100' AND cod_visao = 1) A  Inner join (SELECT instrmnt_id as instrmnt_id_to_be, srcs_encmbrnc as srcs_encmbrnc_to_be FROM bu_loantape_work.lt002_instrument WHERE ref_date='2025-06-30' AND nome_perimetro= 'Individual IDComb' AND segmento= 'ESTR' AND ambito= 'PM' AND entidade='00100' AND cod_visao = 1) B ON instrmnt_id_as_is = instrmnt_id_to_be WHERE coalesce(cast(srcs_encmbrnc_as_is as string), '') &lt;&gt; coalesce(cast(srcs_encmbrnc_to_be as string), '') ) A </v>
      </c>
      <c r="O285" s="19" t="str">
        <f>IF(O286="",N285,N285&amp;$O$3)</f>
        <v xml:space="preserve">SELECT 'Validação de campos' as tipologia_teste, 'lt002_instrument' AS TABELA, 'srcs_encmbrnc' AS CAMPO, '2025-06-30' as ref_date, coalesce(NUM_REG_DIF, 0) AS NUM_REG_DIF FROM (SELECT count(*) AS NUM_REG_DIF FROM (SELECT instrmnt_id as instrmnt_id_as_is, srcs_encmbrnc as srcs_encmbrnc_as_is FROM cd_loan_tapes_bce.lt002_instrument WHERE ref_date='2025-06-30' AND nome_perimetro= 'Individual IDComb' AND segmento= 'ESTR' AND ambito= 'PM' AND entidade='00100' AND cod_visao = 1) A  Inner join (SELECT instrmnt_id as instrmnt_id_to_be, srcs_encmbrnc as srcs_encmbrnc_to_be FROM bu_loantape_work.lt002_instrument WHERE ref_date='2025-06-30' AND nome_perimetro= 'Individual IDComb' AND segmento= 'ESTR' AND ambito= 'PM' AND entidade='00100' AND cod_visao = 1) B ON instrmnt_id_as_is = instrmnt_id_to_be WHERE coalesce(cast(srcs_encmbrnc_as_is as string), '') &lt;&gt; coalesce(cast(srcs_encmbrnc_to_be as string), '') ) A </v>
      </c>
      <c r="P285" s="17">
        <f t="shared" si="52"/>
        <v>30</v>
      </c>
    </row>
    <row r="286" spans="2:16" s="15" customFormat="1" ht="11.5" x14ac:dyDescent="0.25"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9"/>
      <c r="P286" s="18"/>
    </row>
    <row r="287" spans="2:16" s="15" customFormat="1" ht="11.5" x14ac:dyDescent="0.25">
      <c r="B287" s="17" t="s">
        <v>24</v>
      </c>
      <c r="C287" s="17" t="str">
        <f>_xlfn.CONCAT(Instruções!$D$5,".",VLOOKUP(B287,Instruções!$F$5:$H$10,2,0))</f>
        <v>cd_loan_tapes_bce.lt002_instrument</v>
      </c>
      <c r="D287" s="17" t="str">
        <f>_xlfn.CONCAT(Instruções!$D$6,".",VLOOKUP(B287,Instruções!$F$5:$H$10,3,0))</f>
        <v>bu_loantape_work.lt002_instrument</v>
      </c>
      <c r="E287" s="17" t="s">
        <v>300</v>
      </c>
      <c r="F287" s="17" t="str">
        <f t="shared" si="49"/>
        <v>stts_undrwrttn_trnsctn_as_is</v>
      </c>
      <c r="G287" s="17" t="str">
        <f t="shared" si="50"/>
        <v>stts_undrwrttn_trnsctn_to_be</v>
      </c>
      <c r="H287" s="17" t="str">
        <f>IF(VLOOKUP(B287,Instruções!$F$6:$J$10,5,0)="",
"(SELECT "&amp;VLOOKUP(B287,Instruções!$F$6:$J$10,4,0)&amp;" as "&amp;VLOOKUP(B287,Instruções!$F$6:$J$10,4,0)&amp;"_as_is, "&amp;E287&amp;" as "&amp;F287&amp;" FROM "&amp;C287&amp;" WHERE "&amp;Instruções!$D$11&amp;") A ",
"(SELECT "&amp;VLOOKUP(B287,Instruções!$F$6:$J$10,4,0)&amp;" as "&amp;VLOOKUP(B287,Instruções!$F$6:$J$10,4,0)&amp;"_as_is, "&amp;VLOOKUP(B287,Instruções!$F$6:$J$10,5,0)&amp;" as "&amp;VLOOKUP(B287,Instruções!$F$6:$J$10,5,0)&amp;"_as_is,"&amp;E287&amp;" as "&amp;F287&amp;" FROM "&amp;C287&amp;" WHERE "&amp;Instruções!$D$11&amp;") A ")</f>
        <v xml:space="preserve">(SELECT instrmnt_id as instrmnt_id_as_is, stts_undrwrttn_trnsctn as stts_undrwrttn_trnsctn_as_is FROM cd_loan_tapes_bce.lt002_instrument WHERE ref_date='2025-06-30' AND nome_perimetro= 'Individual IDComb' AND segmento= 'ESTR' AND ambito= 'PM' AND entidade='00100' AND cod_visao = 1) A </v>
      </c>
      <c r="I287" s="17" t="str">
        <f>IF(VLOOKUP(B287,Instruções!$F$6:$J$10,5,0)="",
"(SELECT "&amp;VLOOKUP(B287,Instruções!$F$6:$J$10,4,0)&amp;" as "&amp;VLOOKUP(B287,Instruções!$F$6:$J$10,4,0)&amp;"_to_be, "&amp;E287&amp;" as "&amp;G287&amp;" FROM "&amp;D287&amp;" WHERE "&amp;Instruções!$D$11&amp;") B ",
"(SELECT "&amp;VLOOKUP(B287,Instruções!$F$6:$J$10,4,0)&amp;" as "&amp;VLOOKUP(B287,Instruções!$F$6:$J$10,4,0)&amp;"_to_be, "&amp;VLOOKUP(B287,Instruções!$F$6:$J$10,5,0)&amp;" as "&amp;VLOOKUP(B287,Instruções!$F$6:$J$10,5,0)&amp;"_to_be,"&amp;E287&amp;" as "&amp;G287&amp;" FROM "&amp;D287&amp;" WHERE "&amp;Instruções!$D$11&amp;") B ")</f>
        <v xml:space="preserve">(SELECT instrmnt_id as instrmnt_id_to_be, stts_undrwrttn_trnsctn as stts_undrwrttn_trnsctn_to_be FROM bu_loantape_work.lt002_instrument WHERE ref_date='2025-06-30' AND nome_perimetro= 'Individual IDComb' AND segmento= 'ESTR' AND ambito= 'PM' AND entidade='00100' AND cod_visao = 1) B </v>
      </c>
      <c r="J287" s="17" t="str">
        <f>IF(VLOOKUP(B287,Instruções!$F$6:$J$10,5,0)="",
"ON "&amp;VLOOKUP(B287,Instruções!$F$6:$J$10,4,0)&amp;"_as_is = "&amp;VLOOKUP(B287,Instruções!$F$6:$J$10,4,0)&amp;"_to_be ",
"ON "&amp;VLOOKUP(B287,Instruções!$F$6:$J$10,4,0)&amp;"_as_is = "&amp;VLOOKUP(B287,Instruções!$F$6:$J$10,4,0)&amp;"_to_be AND "&amp;VLOOKUP(B287,Instruções!$F$6:$J$10,5,0)&amp;"_as_is = "&amp;VLOOKUP(B287,Instruções!$F$6:$J$10,5,0)&amp;"_to_be ")</f>
        <v xml:space="preserve">ON instrmnt_id_as_is = instrmnt_id_to_be </v>
      </c>
      <c r="K287" s="17" t="str">
        <f t="shared" si="51"/>
        <v xml:space="preserve">WHERE coalesce(cast(stts_undrwrttn_trnsctn_as_is as string), '') &lt;&gt; coalesce(cast(stts_undrwrttn_trnsctn_to_be as string), '') </v>
      </c>
      <c r="L287" s="17" t="str">
        <f t="shared" si="54"/>
        <v xml:space="preserve">SELECT count(*) AS NUM_REG_DIF FROM (SELECT instrmnt_id as instrmnt_id_as_is, stts_undrwrttn_trnsctn as stts_undrwrttn_trnsctn_as_is FROM cd_loan_tapes_bce.lt002_instrument WHERE ref_date='2025-06-30' AND nome_perimetro= 'Individual IDComb' AND segmento= 'ESTR' AND ambito= 'PM' AND entidade='00100' AND cod_visao = 1) A  Inner join (SELECT instrmnt_id as instrmnt_id_to_be, stts_undrwrttn_trnsctn as stts_undrwrttn_trnsctn_to_be FROM bu_loantape_work.lt002_instrument WHERE ref_date='2025-06-30' AND nome_perimetro= 'Individual IDComb' AND segmento= 'ESTR' AND ambito= 'PM' AND entidade='00100' AND cod_visao = 1) B ON instrmnt_id_as_is = instrmnt_id_to_be WHERE coalesce(cast(stts_undrwrttn_trnsctn_as_is as string), '') &lt;&gt; coalesce(cast(stts_undrwrttn_trnsctn_to_be as string), '') </v>
      </c>
      <c r="M287" s="17" t="s">
        <v>48</v>
      </c>
      <c r="N287" s="17" t="str">
        <f>"SELECT 'Validação de campos' as tipologia_teste, '"&amp;VLOOKUP(B287,Instruções!$F$6:$J$10,3,0)&amp;"' AS TABELA, '"&amp;E287&amp;"' AS CAMPO, '"&amp;Instruções!$D$7&amp;"' as ref_date, coalesce(NUM_REG_DIF, 0) AS NUM_REG_DIF FROM ("&amp;L287&amp;") A "</f>
        <v xml:space="preserve">SELECT 'Validação de campos' as tipologia_teste, 'lt002_instrument' AS TABELA, 'stts_undrwrttn_trnsctn' AS CAMPO, '2025-06-30' as ref_date, coalesce(NUM_REG_DIF, 0) AS NUM_REG_DIF FROM (SELECT count(*) AS NUM_REG_DIF FROM (SELECT instrmnt_id as instrmnt_id_as_is, stts_undrwrttn_trnsctn as stts_undrwrttn_trnsctn_as_is FROM cd_loan_tapes_bce.lt002_instrument WHERE ref_date='2025-06-30' AND nome_perimetro= 'Individual IDComb' AND segmento= 'ESTR' AND ambito= 'PM' AND entidade='00100' AND cod_visao = 1) A  Inner join (SELECT instrmnt_id as instrmnt_id_to_be, stts_undrwrttn_trnsctn as stts_undrwrttn_trnsctn_to_be FROM bu_loantape_work.lt002_instrument WHERE ref_date='2025-06-30' AND nome_perimetro= 'Individual IDComb' AND segmento= 'ESTR' AND ambito= 'PM' AND entidade='00100' AND cod_visao = 1) B ON instrmnt_id_as_is = instrmnt_id_to_be WHERE coalesce(cast(stts_undrwrttn_trnsctn_as_is as string), '') &lt;&gt; coalesce(cast(stts_undrwrttn_trnsctn_to_be as string), '') ) A </v>
      </c>
      <c r="O287" s="19" t="str">
        <f>IF(O288="",N287,N287&amp;$O$3)</f>
        <v>SELECT 'Validação de campos' as tipologia_teste, 'lt002_instrument' AS TABELA, 'stts_undrwrttn_trnsctn' AS CAMPO, '2025-06-30' as ref_date, coalesce(NUM_REG_DIF, 0) AS NUM_REG_DIF FROM (SELECT count(*) AS NUM_REG_DIF FROM (SELECT instrmnt_id as instrmnt_id_as_is, stts_undrwrttn_trnsctn as stts_undrwrttn_trnsctn_as_is FROM cd_loan_tapes_bce.lt002_instrument WHERE ref_date='2025-06-30' AND nome_perimetro= 'Individual IDComb' AND segmento= 'ESTR' AND ambito= 'PM' AND entidade='00100' AND cod_visao = 1) A  Inner join (SELECT instrmnt_id as instrmnt_id_to_be, stts_undrwrttn_trnsctn as stts_undrwrttn_trnsctn_to_be FROM bu_loantape_work.lt002_instrument WHERE ref_date='2025-06-30' AND nome_perimetro= 'Individual IDComb' AND segmento= 'ESTR' AND ambito= 'PM' AND entidade='00100' AND cod_visao = 1) B ON instrmnt_id_as_is = instrmnt_id_to_be WHERE coalesce(cast(stts_undrwrttn_trnsctn_as_is as string), '') &lt;&gt; coalesce(cast(stts_undrwrttn_trnsctn_to_be as string), '') ) A UNION ALL</v>
      </c>
      <c r="P287" s="17">
        <v>1</v>
      </c>
    </row>
    <row r="288" spans="2:16" s="15" customFormat="1" ht="11.5" x14ac:dyDescent="0.25">
      <c r="B288" s="17" t="s">
        <v>24</v>
      </c>
      <c r="C288" s="17" t="str">
        <f>_xlfn.CONCAT(Instruções!$D$5,".",VLOOKUP(B288,Instruções!$F$5:$H$10,2,0))</f>
        <v>cd_loan_tapes_bce.lt002_instrument</v>
      </c>
      <c r="D288" s="17" t="str">
        <f>_xlfn.CONCAT(Instruções!$D$6,".",VLOOKUP(B288,Instruções!$F$5:$H$10,3,0))</f>
        <v>bu_loantape_work.lt002_instrument</v>
      </c>
      <c r="E288" s="17" t="s">
        <v>301</v>
      </c>
      <c r="F288" s="17" t="str">
        <f t="shared" si="49"/>
        <v>subportfolio_id_as_is</v>
      </c>
      <c r="G288" s="17" t="str">
        <f t="shared" si="50"/>
        <v>subportfolio_id_to_be</v>
      </c>
      <c r="H288" s="17" t="str">
        <f>IF(VLOOKUP(B288,Instruções!$F$6:$J$10,5,0)="",
"(SELECT "&amp;VLOOKUP(B288,Instruções!$F$6:$J$10,4,0)&amp;" as "&amp;VLOOKUP(B288,Instruções!$F$6:$J$10,4,0)&amp;"_as_is, "&amp;E288&amp;" as "&amp;F288&amp;" FROM "&amp;C288&amp;" WHERE "&amp;Instruções!$D$11&amp;") A ",
"(SELECT "&amp;VLOOKUP(B288,Instruções!$F$6:$J$10,4,0)&amp;" as "&amp;VLOOKUP(B288,Instruções!$F$6:$J$10,4,0)&amp;"_as_is, "&amp;VLOOKUP(B288,Instruções!$F$6:$J$10,5,0)&amp;" as "&amp;VLOOKUP(B288,Instruções!$F$6:$J$10,5,0)&amp;"_as_is,"&amp;E288&amp;" as "&amp;F288&amp;" FROM "&amp;C288&amp;" WHERE "&amp;Instruções!$D$11&amp;") A ")</f>
        <v xml:space="preserve">(SELECT instrmnt_id as instrmnt_id_as_is, subportfolio_id as subportfolio_id_as_is FROM cd_loan_tapes_bce.lt002_instrument WHERE ref_date='2025-06-30' AND nome_perimetro= 'Individual IDComb' AND segmento= 'ESTR' AND ambito= 'PM' AND entidade='00100' AND cod_visao = 1) A </v>
      </c>
      <c r="I288" s="17" t="str">
        <f>IF(VLOOKUP(B288,Instruções!$F$6:$J$10,5,0)="",
"(SELECT "&amp;VLOOKUP(B288,Instruções!$F$6:$J$10,4,0)&amp;" as "&amp;VLOOKUP(B288,Instruções!$F$6:$J$10,4,0)&amp;"_to_be, "&amp;E288&amp;" as "&amp;G288&amp;" FROM "&amp;D288&amp;" WHERE "&amp;Instruções!$D$11&amp;") B ",
"(SELECT "&amp;VLOOKUP(B288,Instruções!$F$6:$J$10,4,0)&amp;" as "&amp;VLOOKUP(B288,Instruções!$F$6:$J$10,4,0)&amp;"_to_be, "&amp;VLOOKUP(B288,Instruções!$F$6:$J$10,5,0)&amp;" as "&amp;VLOOKUP(B288,Instruções!$F$6:$J$10,5,0)&amp;"_to_be,"&amp;E288&amp;" as "&amp;G288&amp;" FROM "&amp;D288&amp;" WHERE "&amp;Instruções!$D$11&amp;") B ")</f>
        <v xml:space="preserve">(SELECT instrmnt_id as instrmnt_id_to_be, subportfolio_id as subportfolio_id_to_be FROM bu_loantape_work.lt002_instrument WHERE ref_date='2025-06-30' AND nome_perimetro= 'Individual IDComb' AND segmento= 'ESTR' AND ambito= 'PM' AND entidade='00100' AND cod_visao = 1) B </v>
      </c>
      <c r="J288" s="17" t="str">
        <f>IF(VLOOKUP(B288,Instruções!$F$6:$J$10,5,0)="",
"ON "&amp;VLOOKUP(B288,Instruções!$F$6:$J$10,4,0)&amp;"_as_is = "&amp;VLOOKUP(B288,Instruções!$F$6:$J$10,4,0)&amp;"_to_be ",
"ON "&amp;VLOOKUP(B288,Instruções!$F$6:$J$10,4,0)&amp;"_as_is = "&amp;VLOOKUP(B288,Instruções!$F$6:$J$10,4,0)&amp;"_to_be AND "&amp;VLOOKUP(B288,Instruções!$F$6:$J$10,5,0)&amp;"_as_is = "&amp;VLOOKUP(B288,Instruções!$F$6:$J$10,5,0)&amp;"_to_be ")</f>
        <v xml:space="preserve">ON instrmnt_id_as_is = instrmnt_id_to_be </v>
      </c>
      <c r="K288" s="17" t="str">
        <f t="shared" si="51"/>
        <v xml:space="preserve">WHERE coalesce(cast(subportfolio_id_as_is as string), '') &lt;&gt; coalesce(cast(subportfolio_id_to_be as string), '') </v>
      </c>
      <c r="L288" s="17" t="str">
        <f t="shared" si="54"/>
        <v xml:space="preserve">SELECT count(*) AS NUM_REG_DIF FROM (SELECT instrmnt_id as instrmnt_id_as_is, subportfolio_id as subportfolio_id_as_is FROM cd_loan_tapes_bce.lt002_instrument WHERE ref_date='2025-06-30' AND nome_perimetro= 'Individual IDComb' AND segmento= 'ESTR' AND ambito= 'PM' AND entidade='00100' AND cod_visao = 1) A  Inner join (SELECT instrmnt_id as instrmnt_id_to_be, subportfolio_id as subportfolio_id_to_be FROM bu_loantape_work.lt002_instrument WHERE ref_date='2025-06-30' AND nome_perimetro= 'Individual IDComb' AND segmento= 'ESTR' AND ambito= 'PM' AND entidade='00100' AND cod_visao = 1) B ON instrmnt_id_as_is = instrmnt_id_to_be WHERE coalesce(cast(subportfolio_id_as_is as string), '') &lt;&gt; coalesce(cast(subportfolio_id_to_be as string), '') </v>
      </c>
      <c r="M288" s="17" t="s">
        <v>48</v>
      </c>
      <c r="N288" s="17" t="str">
        <f>"SELECT 'Validação de campos' as tipologia_teste, '"&amp;VLOOKUP(B288,Instruções!$F$6:$J$10,3,0)&amp;"' AS TABELA, '"&amp;E288&amp;"' AS CAMPO, '"&amp;Instruções!$D$7&amp;"' as ref_date, coalesce(NUM_REG_DIF, 0) AS NUM_REG_DIF FROM ("&amp;L288&amp;") A "</f>
        <v xml:space="preserve">SELECT 'Validação de campos' as tipologia_teste, 'lt002_instrument' AS TABELA, 'subportfolio_id' AS CAMPO, '2025-06-30' as ref_date, coalesce(NUM_REG_DIF, 0) AS NUM_REG_DIF FROM (SELECT count(*) AS NUM_REG_DIF FROM (SELECT instrmnt_id as instrmnt_id_as_is, subportfolio_id as subportfolio_id_as_is FROM cd_loan_tapes_bce.lt002_instrument WHERE ref_date='2025-06-30' AND nome_perimetro= 'Individual IDComb' AND segmento= 'ESTR' AND ambito= 'PM' AND entidade='00100' AND cod_visao = 1) A  Inner join (SELECT instrmnt_id as instrmnt_id_to_be, subportfolio_id as subportfolio_id_to_be FROM bu_loantape_work.lt002_instrument WHERE ref_date='2025-06-30' AND nome_perimetro= 'Individual IDComb' AND segmento= 'ESTR' AND ambito= 'PM' AND entidade='00100' AND cod_visao = 1) B ON instrmnt_id_as_is = instrmnt_id_to_be WHERE coalesce(cast(subportfolio_id_as_is as string), '') &lt;&gt; coalesce(cast(subportfolio_id_to_be as string), '') ) A </v>
      </c>
      <c r="O288" s="19" t="str">
        <f t="shared" si="53"/>
        <v>SELECT 'Validação de campos' as tipologia_teste, 'lt002_instrument' AS TABELA, 'subportfolio_id' AS CAMPO, '2025-06-30' as ref_date, coalesce(NUM_REG_DIF, 0) AS NUM_REG_DIF FROM (SELECT count(*) AS NUM_REG_DIF FROM (SELECT instrmnt_id as instrmnt_id_as_is, subportfolio_id as subportfolio_id_as_is FROM cd_loan_tapes_bce.lt002_instrument WHERE ref_date='2025-06-30' AND nome_perimetro= 'Individual IDComb' AND segmento= 'ESTR' AND ambito= 'PM' AND entidade='00100' AND cod_visao = 1) A  Inner join (SELECT instrmnt_id as instrmnt_id_to_be, subportfolio_id as subportfolio_id_to_be FROM bu_loantape_work.lt002_instrument WHERE ref_date='2025-06-30' AND nome_perimetro= 'Individual IDComb' AND segmento= 'ESTR' AND ambito= 'PM' AND entidade='00100' AND cod_visao = 1) B ON instrmnt_id_as_is = instrmnt_id_to_be WHERE coalesce(cast(subportfolio_id_as_is as string), '') &lt;&gt; coalesce(cast(subportfolio_id_to_be as string), '') ) A UNION ALL</v>
      </c>
      <c r="P288" s="17">
        <f t="shared" si="52"/>
        <v>2</v>
      </c>
    </row>
    <row r="289" spans="2:16" s="15" customFormat="1" ht="11.5" x14ac:dyDescent="0.25">
      <c r="B289" s="17" t="s">
        <v>24</v>
      </c>
      <c r="C289" s="17" t="str">
        <f>_xlfn.CONCAT(Instruções!$D$5,".",VLOOKUP(B289,Instruções!$F$5:$H$10,2,0))</f>
        <v>cd_loan_tapes_bce.lt002_instrument</v>
      </c>
      <c r="D289" s="17" t="str">
        <f>_xlfn.CONCAT(Instruções!$D$6,".",VLOOKUP(B289,Instruções!$F$5:$H$10,3,0))</f>
        <v>bu_loantape_work.lt002_instrument</v>
      </c>
      <c r="E289" s="17" t="s">
        <v>302</v>
      </c>
      <c r="F289" s="17" t="str">
        <f t="shared" si="49"/>
        <v>syndct_rl_as_is</v>
      </c>
      <c r="G289" s="17" t="str">
        <f t="shared" si="50"/>
        <v>syndct_rl_to_be</v>
      </c>
      <c r="H289" s="17" t="str">
        <f>IF(VLOOKUP(B289,Instruções!$F$6:$J$10,5,0)="",
"(SELECT "&amp;VLOOKUP(B289,Instruções!$F$6:$J$10,4,0)&amp;" as "&amp;VLOOKUP(B289,Instruções!$F$6:$J$10,4,0)&amp;"_as_is, "&amp;E289&amp;" as "&amp;F289&amp;" FROM "&amp;C289&amp;" WHERE "&amp;Instruções!$D$11&amp;") A ",
"(SELECT "&amp;VLOOKUP(B289,Instruções!$F$6:$J$10,4,0)&amp;" as "&amp;VLOOKUP(B289,Instruções!$F$6:$J$10,4,0)&amp;"_as_is, "&amp;VLOOKUP(B289,Instruções!$F$6:$J$10,5,0)&amp;" as "&amp;VLOOKUP(B289,Instruções!$F$6:$J$10,5,0)&amp;"_as_is,"&amp;E289&amp;" as "&amp;F289&amp;" FROM "&amp;C289&amp;" WHERE "&amp;Instruções!$D$11&amp;") A ")</f>
        <v xml:space="preserve">(SELECT instrmnt_id as instrmnt_id_as_is, syndct_rl as syndct_rl_as_is FROM cd_loan_tapes_bce.lt002_instrument WHERE ref_date='2025-06-30' AND nome_perimetro= 'Individual IDComb' AND segmento= 'ESTR' AND ambito= 'PM' AND entidade='00100' AND cod_visao = 1) A </v>
      </c>
      <c r="I289" s="17" t="str">
        <f>IF(VLOOKUP(B289,Instruções!$F$6:$J$10,5,0)="",
"(SELECT "&amp;VLOOKUP(B289,Instruções!$F$6:$J$10,4,0)&amp;" as "&amp;VLOOKUP(B289,Instruções!$F$6:$J$10,4,0)&amp;"_to_be, "&amp;E289&amp;" as "&amp;G289&amp;" FROM "&amp;D289&amp;" WHERE "&amp;Instruções!$D$11&amp;") B ",
"(SELECT "&amp;VLOOKUP(B289,Instruções!$F$6:$J$10,4,0)&amp;" as "&amp;VLOOKUP(B289,Instruções!$F$6:$J$10,4,0)&amp;"_to_be, "&amp;VLOOKUP(B289,Instruções!$F$6:$J$10,5,0)&amp;" as "&amp;VLOOKUP(B289,Instruções!$F$6:$J$10,5,0)&amp;"_to_be,"&amp;E289&amp;" as "&amp;G289&amp;" FROM "&amp;D289&amp;" WHERE "&amp;Instruções!$D$11&amp;") B ")</f>
        <v xml:space="preserve">(SELECT instrmnt_id as instrmnt_id_to_be, syndct_rl as syndct_rl_to_be FROM bu_loantape_work.lt002_instrument WHERE ref_date='2025-06-30' AND nome_perimetro= 'Individual IDComb' AND segmento= 'ESTR' AND ambito= 'PM' AND entidade='00100' AND cod_visao = 1) B </v>
      </c>
      <c r="J289" s="17" t="str">
        <f>IF(VLOOKUP(B289,Instruções!$F$6:$J$10,5,0)="",
"ON "&amp;VLOOKUP(B289,Instruções!$F$6:$J$10,4,0)&amp;"_as_is = "&amp;VLOOKUP(B289,Instruções!$F$6:$J$10,4,0)&amp;"_to_be ",
"ON "&amp;VLOOKUP(B289,Instruções!$F$6:$J$10,4,0)&amp;"_as_is = "&amp;VLOOKUP(B289,Instruções!$F$6:$J$10,4,0)&amp;"_to_be AND "&amp;VLOOKUP(B289,Instruções!$F$6:$J$10,5,0)&amp;"_as_is = "&amp;VLOOKUP(B289,Instruções!$F$6:$J$10,5,0)&amp;"_to_be ")</f>
        <v xml:space="preserve">ON instrmnt_id_as_is = instrmnt_id_to_be </v>
      </c>
      <c r="K289" s="17" t="str">
        <f t="shared" si="51"/>
        <v xml:space="preserve">WHERE coalesce(cast(syndct_rl_as_is as string), '') &lt;&gt; coalesce(cast(syndct_rl_to_be as string), '') </v>
      </c>
      <c r="L289" s="17" t="str">
        <f t="shared" si="54"/>
        <v xml:space="preserve">SELECT count(*) AS NUM_REG_DIF FROM (SELECT instrmnt_id as instrmnt_id_as_is, syndct_rl as syndct_rl_as_is FROM cd_loan_tapes_bce.lt002_instrument WHERE ref_date='2025-06-30' AND nome_perimetro= 'Individual IDComb' AND segmento= 'ESTR' AND ambito= 'PM' AND entidade='00100' AND cod_visao = 1) A  Inner join (SELECT instrmnt_id as instrmnt_id_to_be, syndct_rl as syndct_rl_to_be FROM bu_loantape_work.lt002_instrument WHERE ref_date='2025-06-30' AND nome_perimetro= 'Individual IDComb' AND segmento= 'ESTR' AND ambito= 'PM' AND entidade='00100' AND cod_visao = 1) B ON instrmnt_id_as_is = instrmnt_id_to_be WHERE coalesce(cast(syndct_rl_as_is as string), '') &lt;&gt; coalesce(cast(syndct_rl_to_be as string), '') </v>
      </c>
      <c r="M289" s="17" t="s">
        <v>48</v>
      </c>
      <c r="N289" s="17" t="str">
        <f>"SELECT 'Validação de campos' as tipologia_teste, '"&amp;VLOOKUP(B289,Instruções!$F$6:$J$10,3,0)&amp;"' AS TABELA, '"&amp;E289&amp;"' AS CAMPO, '"&amp;Instruções!$D$7&amp;"' as ref_date, coalesce(NUM_REG_DIF, 0) AS NUM_REG_DIF FROM ("&amp;L289&amp;") A "</f>
        <v xml:space="preserve">SELECT 'Validação de campos' as tipologia_teste, 'lt002_instrument' AS TABELA, 'syndct_rl' AS CAMPO, '2025-06-30' as ref_date, coalesce(NUM_REG_DIF, 0) AS NUM_REG_DIF FROM (SELECT count(*) AS NUM_REG_DIF FROM (SELECT instrmnt_id as instrmnt_id_as_is, syndct_rl as syndct_rl_as_is FROM cd_loan_tapes_bce.lt002_instrument WHERE ref_date='2025-06-30' AND nome_perimetro= 'Individual IDComb' AND segmento= 'ESTR' AND ambito= 'PM' AND entidade='00100' AND cod_visao = 1) A  Inner join (SELECT instrmnt_id as instrmnt_id_to_be, syndct_rl as syndct_rl_to_be FROM bu_loantape_work.lt002_instrument WHERE ref_date='2025-06-30' AND nome_perimetro= 'Individual IDComb' AND segmento= 'ESTR' AND ambito= 'PM' AND entidade='00100' AND cod_visao = 1) B ON instrmnt_id_as_is = instrmnt_id_to_be WHERE coalesce(cast(syndct_rl_as_is as string), '') &lt;&gt; coalesce(cast(syndct_rl_to_be as string), '') ) A </v>
      </c>
      <c r="O289" s="19" t="str">
        <f t="shared" si="53"/>
        <v>SELECT 'Validação de campos' as tipologia_teste, 'lt002_instrument' AS TABELA, 'syndct_rl' AS CAMPO, '2025-06-30' as ref_date, coalesce(NUM_REG_DIF, 0) AS NUM_REG_DIF FROM (SELECT count(*) AS NUM_REG_DIF FROM (SELECT instrmnt_id as instrmnt_id_as_is, syndct_rl as syndct_rl_as_is FROM cd_loan_tapes_bce.lt002_instrument WHERE ref_date='2025-06-30' AND nome_perimetro= 'Individual IDComb' AND segmento= 'ESTR' AND ambito= 'PM' AND entidade='00100' AND cod_visao = 1) A  Inner join (SELECT instrmnt_id as instrmnt_id_to_be, syndct_rl as syndct_rl_to_be FROM bu_loantape_work.lt002_instrument WHERE ref_date='2025-06-30' AND nome_perimetro= 'Individual IDComb' AND segmento= 'ESTR' AND ambito= 'PM' AND entidade='00100' AND cod_visao = 1) B ON instrmnt_id_as_is = instrmnt_id_to_be WHERE coalesce(cast(syndct_rl_as_is as string), '') &lt;&gt; coalesce(cast(syndct_rl_to_be as string), '') ) A UNION ALL</v>
      </c>
      <c r="P289" s="17">
        <f t="shared" si="52"/>
        <v>3</v>
      </c>
    </row>
    <row r="290" spans="2:16" s="15" customFormat="1" ht="11.5" x14ac:dyDescent="0.25">
      <c r="B290" s="17" t="s">
        <v>24</v>
      </c>
      <c r="C290" s="17" t="str">
        <f>_xlfn.CONCAT(Instruções!$D$5,".",VLOOKUP(B290,Instruções!$F$5:$H$10,2,0))</f>
        <v>cd_loan_tapes_bce.lt002_instrument</v>
      </c>
      <c r="D290" s="17" t="str">
        <f>_xlfn.CONCAT(Instruções!$D$6,".",VLOOKUP(B290,Instruções!$F$5:$H$10,3,0))</f>
        <v>bu_loantape_work.lt002_instrument</v>
      </c>
      <c r="E290" s="17" t="s">
        <v>303</v>
      </c>
      <c r="F290" s="17" t="str">
        <f t="shared" si="49"/>
        <v>syndctd_agnt_as_is</v>
      </c>
      <c r="G290" s="17" t="str">
        <f t="shared" si="50"/>
        <v>syndctd_agnt_to_be</v>
      </c>
      <c r="H290" s="17" t="str">
        <f>IF(VLOOKUP(B290,Instruções!$F$6:$J$10,5,0)="",
"(SELECT "&amp;VLOOKUP(B290,Instruções!$F$6:$J$10,4,0)&amp;" as "&amp;VLOOKUP(B290,Instruções!$F$6:$J$10,4,0)&amp;"_as_is, "&amp;E290&amp;" as "&amp;F290&amp;" FROM "&amp;C290&amp;" WHERE "&amp;Instruções!$D$11&amp;") A ",
"(SELECT "&amp;VLOOKUP(B290,Instruções!$F$6:$J$10,4,0)&amp;" as "&amp;VLOOKUP(B290,Instruções!$F$6:$J$10,4,0)&amp;"_as_is, "&amp;VLOOKUP(B290,Instruções!$F$6:$J$10,5,0)&amp;" as "&amp;VLOOKUP(B290,Instruções!$F$6:$J$10,5,0)&amp;"_as_is,"&amp;E290&amp;" as "&amp;F290&amp;" FROM "&amp;C290&amp;" WHERE "&amp;Instruções!$D$11&amp;") A ")</f>
        <v xml:space="preserve">(SELECT instrmnt_id as instrmnt_id_as_is, syndctd_agnt as syndctd_agnt_as_is FROM cd_loan_tapes_bce.lt002_instrument WHERE ref_date='2025-06-30' AND nome_perimetro= 'Individual IDComb' AND segmento= 'ESTR' AND ambito= 'PM' AND entidade='00100' AND cod_visao = 1) A </v>
      </c>
      <c r="I290" s="17" t="str">
        <f>IF(VLOOKUP(B290,Instruções!$F$6:$J$10,5,0)="",
"(SELECT "&amp;VLOOKUP(B290,Instruções!$F$6:$J$10,4,0)&amp;" as "&amp;VLOOKUP(B290,Instruções!$F$6:$J$10,4,0)&amp;"_to_be, "&amp;E290&amp;" as "&amp;G290&amp;" FROM "&amp;D290&amp;" WHERE "&amp;Instruções!$D$11&amp;") B ",
"(SELECT "&amp;VLOOKUP(B290,Instruções!$F$6:$J$10,4,0)&amp;" as "&amp;VLOOKUP(B290,Instruções!$F$6:$J$10,4,0)&amp;"_to_be, "&amp;VLOOKUP(B290,Instruções!$F$6:$J$10,5,0)&amp;" as "&amp;VLOOKUP(B290,Instruções!$F$6:$J$10,5,0)&amp;"_to_be,"&amp;E290&amp;" as "&amp;G290&amp;" FROM "&amp;D290&amp;" WHERE "&amp;Instruções!$D$11&amp;") B ")</f>
        <v xml:space="preserve">(SELECT instrmnt_id as instrmnt_id_to_be, syndctd_agnt as syndctd_agnt_to_be FROM bu_loantape_work.lt002_instrument WHERE ref_date='2025-06-30' AND nome_perimetro= 'Individual IDComb' AND segmento= 'ESTR' AND ambito= 'PM' AND entidade='00100' AND cod_visao = 1) B </v>
      </c>
      <c r="J290" s="17" t="str">
        <f>IF(VLOOKUP(B290,Instruções!$F$6:$J$10,5,0)="",
"ON "&amp;VLOOKUP(B290,Instruções!$F$6:$J$10,4,0)&amp;"_as_is = "&amp;VLOOKUP(B290,Instruções!$F$6:$J$10,4,0)&amp;"_to_be ",
"ON "&amp;VLOOKUP(B290,Instruções!$F$6:$J$10,4,0)&amp;"_as_is = "&amp;VLOOKUP(B290,Instruções!$F$6:$J$10,4,0)&amp;"_to_be AND "&amp;VLOOKUP(B290,Instruções!$F$6:$J$10,5,0)&amp;"_as_is = "&amp;VLOOKUP(B290,Instruções!$F$6:$J$10,5,0)&amp;"_to_be ")</f>
        <v xml:space="preserve">ON instrmnt_id_as_is = instrmnt_id_to_be </v>
      </c>
      <c r="K290" s="17" t="str">
        <f t="shared" si="51"/>
        <v xml:space="preserve">WHERE coalesce(cast(syndctd_agnt_as_is as string), '') &lt;&gt; coalesce(cast(syndctd_agnt_to_be as string), '') </v>
      </c>
      <c r="L290" s="17" t="str">
        <f t="shared" si="54"/>
        <v xml:space="preserve">SELECT count(*) AS NUM_REG_DIF FROM (SELECT instrmnt_id as instrmnt_id_as_is, syndctd_agnt as syndctd_agnt_as_is FROM cd_loan_tapes_bce.lt002_instrument WHERE ref_date='2025-06-30' AND nome_perimetro= 'Individual IDComb' AND segmento= 'ESTR' AND ambito= 'PM' AND entidade='00100' AND cod_visao = 1) A  Inner join (SELECT instrmnt_id as instrmnt_id_to_be, syndctd_agnt as syndctd_agnt_to_be FROM bu_loantape_work.lt002_instrument WHERE ref_date='2025-06-30' AND nome_perimetro= 'Individual IDComb' AND segmento= 'ESTR' AND ambito= 'PM' AND entidade='00100' AND cod_visao = 1) B ON instrmnt_id_as_is = instrmnt_id_to_be WHERE coalesce(cast(syndctd_agnt_as_is as string), '') &lt;&gt; coalesce(cast(syndctd_agnt_to_be as string), '') </v>
      </c>
      <c r="M290" s="17" t="s">
        <v>48</v>
      </c>
      <c r="N290" s="17" t="str">
        <f>"SELECT 'Validação de campos' as tipologia_teste, '"&amp;VLOOKUP(B290,Instruções!$F$6:$J$10,3,0)&amp;"' AS TABELA, '"&amp;E290&amp;"' AS CAMPO, '"&amp;Instruções!$D$7&amp;"' as ref_date, coalesce(NUM_REG_DIF, 0) AS NUM_REG_DIF FROM ("&amp;L290&amp;") A "</f>
        <v xml:space="preserve">SELECT 'Validação de campos' as tipologia_teste, 'lt002_instrument' AS TABELA, 'syndctd_agnt' AS CAMPO, '2025-06-30' as ref_date, coalesce(NUM_REG_DIF, 0) AS NUM_REG_DIF FROM (SELECT count(*) AS NUM_REG_DIF FROM (SELECT instrmnt_id as instrmnt_id_as_is, syndctd_agnt as syndctd_agnt_as_is FROM cd_loan_tapes_bce.lt002_instrument WHERE ref_date='2025-06-30' AND nome_perimetro= 'Individual IDComb' AND segmento= 'ESTR' AND ambito= 'PM' AND entidade='00100' AND cod_visao = 1) A  Inner join (SELECT instrmnt_id as instrmnt_id_to_be, syndctd_agnt as syndctd_agnt_to_be FROM bu_loantape_work.lt002_instrument WHERE ref_date='2025-06-30' AND nome_perimetro= 'Individual IDComb' AND segmento= 'ESTR' AND ambito= 'PM' AND entidade='00100' AND cod_visao = 1) B ON instrmnt_id_as_is = instrmnt_id_to_be WHERE coalesce(cast(syndctd_agnt_as_is as string), '') &lt;&gt; coalesce(cast(syndctd_agnt_to_be as string), '') ) A </v>
      </c>
      <c r="O290" s="19" t="str">
        <f t="shared" si="53"/>
        <v>SELECT 'Validação de campos' as tipologia_teste, 'lt002_instrument' AS TABELA, 'syndctd_agnt' AS CAMPO, '2025-06-30' as ref_date, coalesce(NUM_REG_DIF, 0) AS NUM_REG_DIF FROM (SELECT count(*) AS NUM_REG_DIF FROM (SELECT instrmnt_id as instrmnt_id_as_is, syndctd_agnt as syndctd_agnt_as_is FROM cd_loan_tapes_bce.lt002_instrument WHERE ref_date='2025-06-30' AND nome_perimetro= 'Individual IDComb' AND segmento= 'ESTR' AND ambito= 'PM' AND entidade='00100' AND cod_visao = 1) A  Inner join (SELECT instrmnt_id as instrmnt_id_to_be, syndctd_agnt as syndctd_agnt_to_be FROM bu_loantape_work.lt002_instrument WHERE ref_date='2025-06-30' AND nome_perimetro= 'Individual IDComb' AND segmento= 'ESTR' AND ambito= 'PM' AND entidade='00100' AND cod_visao = 1) B ON instrmnt_id_as_is = instrmnt_id_to_be WHERE coalesce(cast(syndctd_agnt_as_is as string), '') &lt;&gt; coalesce(cast(syndctd_agnt_to_be as string), '') ) A UNION ALL</v>
      </c>
      <c r="P290" s="17">
        <f t="shared" si="52"/>
        <v>4</v>
      </c>
    </row>
    <row r="291" spans="2:16" s="15" customFormat="1" ht="11.5" x14ac:dyDescent="0.25">
      <c r="B291" s="17" t="s">
        <v>24</v>
      </c>
      <c r="C291" s="17" t="str">
        <f>_xlfn.CONCAT(Instruções!$D$5,".",VLOOKUP(B291,Instruções!$F$5:$H$10,2,0))</f>
        <v>cd_loan_tapes_bce.lt002_instrument</v>
      </c>
      <c r="D291" s="17" t="str">
        <f>_xlfn.CONCAT(Instruções!$D$6,".",VLOOKUP(B291,Instruções!$F$5:$H$10,3,0))</f>
        <v>bu_loantape_work.lt002_instrument</v>
      </c>
      <c r="E291" s="17" t="s">
        <v>304</v>
      </c>
      <c r="F291" s="17" t="str">
        <f t="shared" si="49"/>
        <v>syndctd_cntrct_id_as_is</v>
      </c>
      <c r="G291" s="17" t="str">
        <f t="shared" si="50"/>
        <v>syndctd_cntrct_id_to_be</v>
      </c>
      <c r="H291" s="17" t="str">
        <f>IF(VLOOKUP(B291,Instruções!$F$6:$J$10,5,0)="",
"(SELECT "&amp;VLOOKUP(B291,Instruções!$F$6:$J$10,4,0)&amp;" as "&amp;VLOOKUP(B291,Instruções!$F$6:$J$10,4,0)&amp;"_as_is, "&amp;E291&amp;" as "&amp;F291&amp;" FROM "&amp;C291&amp;" WHERE "&amp;Instruções!$D$11&amp;") A ",
"(SELECT "&amp;VLOOKUP(B291,Instruções!$F$6:$J$10,4,0)&amp;" as "&amp;VLOOKUP(B291,Instruções!$F$6:$J$10,4,0)&amp;"_as_is, "&amp;VLOOKUP(B291,Instruções!$F$6:$J$10,5,0)&amp;" as "&amp;VLOOKUP(B291,Instruções!$F$6:$J$10,5,0)&amp;"_as_is,"&amp;E291&amp;" as "&amp;F291&amp;" FROM "&amp;C291&amp;" WHERE "&amp;Instruções!$D$11&amp;") A ")</f>
        <v xml:space="preserve">(SELECT instrmnt_id as instrmnt_id_as_is, syndctd_cntrct_id as syndctd_cntrct_id_as_is FROM cd_loan_tapes_bce.lt002_instrument WHERE ref_date='2025-06-30' AND nome_perimetro= 'Individual IDComb' AND segmento= 'ESTR' AND ambito= 'PM' AND entidade='00100' AND cod_visao = 1) A </v>
      </c>
      <c r="I291" s="17" t="str">
        <f>IF(VLOOKUP(B291,Instruções!$F$6:$J$10,5,0)="",
"(SELECT "&amp;VLOOKUP(B291,Instruções!$F$6:$J$10,4,0)&amp;" as "&amp;VLOOKUP(B291,Instruções!$F$6:$J$10,4,0)&amp;"_to_be, "&amp;E291&amp;" as "&amp;G291&amp;" FROM "&amp;D291&amp;" WHERE "&amp;Instruções!$D$11&amp;") B ",
"(SELECT "&amp;VLOOKUP(B291,Instruções!$F$6:$J$10,4,0)&amp;" as "&amp;VLOOKUP(B291,Instruções!$F$6:$J$10,4,0)&amp;"_to_be, "&amp;VLOOKUP(B291,Instruções!$F$6:$J$10,5,0)&amp;" as "&amp;VLOOKUP(B291,Instruções!$F$6:$J$10,5,0)&amp;"_to_be,"&amp;E291&amp;" as "&amp;G291&amp;" FROM "&amp;D291&amp;" WHERE "&amp;Instruções!$D$11&amp;") B ")</f>
        <v xml:space="preserve">(SELECT instrmnt_id as instrmnt_id_to_be, syndctd_cntrct_id as syndctd_cntrct_id_to_be FROM bu_loantape_work.lt002_instrument WHERE ref_date='2025-06-30' AND nome_perimetro= 'Individual IDComb' AND segmento= 'ESTR' AND ambito= 'PM' AND entidade='00100' AND cod_visao = 1) B </v>
      </c>
      <c r="J291" s="17" t="str">
        <f>IF(VLOOKUP(B291,Instruções!$F$6:$J$10,5,0)="",
"ON "&amp;VLOOKUP(B291,Instruções!$F$6:$J$10,4,0)&amp;"_as_is = "&amp;VLOOKUP(B291,Instruções!$F$6:$J$10,4,0)&amp;"_to_be ",
"ON "&amp;VLOOKUP(B291,Instruções!$F$6:$J$10,4,0)&amp;"_as_is = "&amp;VLOOKUP(B291,Instruções!$F$6:$J$10,4,0)&amp;"_to_be AND "&amp;VLOOKUP(B291,Instruções!$F$6:$J$10,5,0)&amp;"_as_is = "&amp;VLOOKUP(B291,Instruções!$F$6:$J$10,5,0)&amp;"_to_be ")</f>
        <v xml:space="preserve">ON instrmnt_id_as_is = instrmnt_id_to_be </v>
      </c>
      <c r="K291" s="17" t="str">
        <f t="shared" si="51"/>
        <v xml:space="preserve">WHERE coalesce(cast(syndctd_cntrct_id_as_is as string), '') &lt;&gt; coalesce(cast(syndctd_cntrct_id_to_be as string), '') </v>
      </c>
      <c r="L291" s="17" t="str">
        <f t="shared" si="54"/>
        <v xml:space="preserve">SELECT count(*) AS NUM_REG_DIF FROM (SELECT instrmnt_id as instrmnt_id_as_is, syndctd_cntrct_id as syndctd_cntrct_id_as_is FROM cd_loan_tapes_bce.lt002_instrument WHERE ref_date='2025-06-30' AND nome_perimetro= 'Individual IDComb' AND segmento= 'ESTR' AND ambito= 'PM' AND entidade='00100' AND cod_visao = 1) A  Inner join (SELECT instrmnt_id as instrmnt_id_to_be, syndctd_cntrct_id as syndctd_cntrct_id_to_be FROM bu_loantape_work.lt002_instrument WHERE ref_date='2025-06-30' AND nome_perimetro= 'Individual IDComb' AND segmento= 'ESTR' AND ambito= 'PM' AND entidade='00100' AND cod_visao = 1) B ON instrmnt_id_as_is = instrmnt_id_to_be WHERE coalesce(cast(syndctd_cntrct_id_as_is as string), '') &lt;&gt; coalesce(cast(syndctd_cntrct_id_to_be as string), '') </v>
      </c>
      <c r="M291" s="17" t="s">
        <v>48</v>
      </c>
      <c r="N291" s="17" t="str">
        <f>"SELECT 'Validação de campos' as tipologia_teste, '"&amp;VLOOKUP(B291,Instruções!$F$6:$J$10,3,0)&amp;"' AS TABELA, '"&amp;E291&amp;"' AS CAMPO, '"&amp;Instruções!$D$7&amp;"' as ref_date, coalesce(NUM_REG_DIF, 0) AS NUM_REG_DIF FROM ("&amp;L291&amp;") A "</f>
        <v xml:space="preserve">SELECT 'Validação de campos' as tipologia_teste, 'lt002_instrument' AS TABELA, 'syndctd_cntrct_id' AS CAMPO, '2025-06-30' as ref_date, coalesce(NUM_REG_DIF, 0) AS NUM_REG_DIF FROM (SELECT count(*) AS NUM_REG_DIF FROM (SELECT instrmnt_id as instrmnt_id_as_is, syndctd_cntrct_id as syndctd_cntrct_id_as_is FROM cd_loan_tapes_bce.lt002_instrument WHERE ref_date='2025-06-30' AND nome_perimetro= 'Individual IDComb' AND segmento= 'ESTR' AND ambito= 'PM' AND entidade='00100' AND cod_visao = 1) A  Inner join (SELECT instrmnt_id as instrmnt_id_to_be, syndctd_cntrct_id as syndctd_cntrct_id_to_be FROM bu_loantape_work.lt002_instrument WHERE ref_date='2025-06-30' AND nome_perimetro= 'Individual IDComb' AND segmento= 'ESTR' AND ambito= 'PM' AND entidade='00100' AND cod_visao = 1) B ON instrmnt_id_as_is = instrmnt_id_to_be WHERE coalesce(cast(syndctd_cntrct_id_as_is as string), '') &lt;&gt; coalesce(cast(syndctd_cntrct_id_to_be as string), '') ) A </v>
      </c>
      <c r="O291" s="19" t="str">
        <f t="shared" si="53"/>
        <v>SELECT 'Validação de campos' as tipologia_teste, 'lt002_instrument' AS TABELA, 'syndctd_cntrct_id' AS CAMPO, '2025-06-30' as ref_date, coalesce(NUM_REG_DIF, 0) AS NUM_REG_DIF FROM (SELECT count(*) AS NUM_REG_DIF FROM (SELECT instrmnt_id as instrmnt_id_as_is, syndctd_cntrct_id as syndctd_cntrct_id_as_is FROM cd_loan_tapes_bce.lt002_instrument WHERE ref_date='2025-06-30' AND nome_perimetro= 'Individual IDComb' AND segmento= 'ESTR' AND ambito= 'PM' AND entidade='00100' AND cod_visao = 1) A  Inner join (SELECT instrmnt_id as instrmnt_id_to_be, syndctd_cntrct_id as syndctd_cntrct_id_to_be FROM bu_loantape_work.lt002_instrument WHERE ref_date='2025-06-30' AND nome_perimetro= 'Individual IDComb' AND segmento= 'ESTR' AND ambito= 'PM' AND entidade='00100' AND cod_visao = 1) B ON instrmnt_id_as_is = instrmnt_id_to_be WHERE coalesce(cast(syndctd_cntrct_id_as_is as string), '') &lt;&gt; coalesce(cast(syndctd_cntrct_id_to_be as string), '') ) A UNION ALL</v>
      </c>
      <c r="P291" s="17">
        <f t="shared" si="52"/>
        <v>5</v>
      </c>
    </row>
    <row r="292" spans="2:16" s="15" customFormat="1" ht="11.5" x14ac:dyDescent="0.25">
      <c r="B292" s="17" t="s">
        <v>24</v>
      </c>
      <c r="C292" s="17" t="str">
        <f>_xlfn.CONCAT(Instruções!$D$5,".",VLOOKUP(B292,Instruções!$F$5:$H$10,2,0))</f>
        <v>cd_loan_tapes_bce.lt002_instrument</v>
      </c>
      <c r="D292" s="17" t="str">
        <f>_xlfn.CONCAT(Instruções!$D$6,".",VLOOKUP(B292,Instruções!$F$5:$H$10,3,0))</f>
        <v>bu_loantape_work.lt002_instrument</v>
      </c>
      <c r="E292" s="17" t="s">
        <v>305</v>
      </c>
      <c r="F292" s="17" t="str">
        <f t="shared" si="49"/>
        <v>syndctd_lndrs_as_is</v>
      </c>
      <c r="G292" s="17" t="str">
        <f t="shared" si="50"/>
        <v>syndctd_lndrs_to_be</v>
      </c>
      <c r="H292" s="17" t="str">
        <f>IF(VLOOKUP(B292,Instruções!$F$6:$J$10,5,0)="",
"(SELECT "&amp;VLOOKUP(B292,Instruções!$F$6:$J$10,4,0)&amp;" as "&amp;VLOOKUP(B292,Instruções!$F$6:$J$10,4,0)&amp;"_as_is, "&amp;E292&amp;" as "&amp;F292&amp;" FROM "&amp;C292&amp;" WHERE "&amp;Instruções!$D$11&amp;") A ",
"(SELECT "&amp;VLOOKUP(B292,Instruções!$F$6:$J$10,4,0)&amp;" as "&amp;VLOOKUP(B292,Instruções!$F$6:$J$10,4,0)&amp;"_as_is, "&amp;VLOOKUP(B292,Instruções!$F$6:$J$10,5,0)&amp;" as "&amp;VLOOKUP(B292,Instruções!$F$6:$J$10,5,0)&amp;"_as_is,"&amp;E292&amp;" as "&amp;F292&amp;" FROM "&amp;C292&amp;" WHERE "&amp;Instruções!$D$11&amp;") A ")</f>
        <v xml:space="preserve">(SELECT instrmnt_id as instrmnt_id_as_is, syndctd_lndrs as syndctd_lndrs_as_is FROM cd_loan_tapes_bce.lt002_instrument WHERE ref_date='2025-06-30' AND nome_perimetro= 'Individual IDComb' AND segmento= 'ESTR' AND ambito= 'PM' AND entidade='00100' AND cod_visao = 1) A </v>
      </c>
      <c r="I292" s="17" t="str">
        <f>IF(VLOOKUP(B292,Instruções!$F$6:$J$10,5,0)="",
"(SELECT "&amp;VLOOKUP(B292,Instruções!$F$6:$J$10,4,0)&amp;" as "&amp;VLOOKUP(B292,Instruções!$F$6:$J$10,4,0)&amp;"_to_be, "&amp;E292&amp;" as "&amp;G292&amp;" FROM "&amp;D292&amp;" WHERE "&amp;Instruções!$D$11&amp;") B ",
"(SELECT "&amp;VLOOKUP(B292,Instruções!$F$6:$J$10,4,0)&amp;" as "&amp;VLOOKUP(B292,Instruções!$F$6:$J$10,4,0)&amp;"_to_be, "&amp;VLOOKUP(B292,Instruções!$F$6:$J$10,5,0)&amp;" as "&amp;VLOOKUP(B292,Instruções!$F$6:$J$10,5,0)&amp;"_to_be,"&amp;E292&amp;" as "&amp;G292&amp;" FROM "&amp;D292&amp;" WHERE "&amp;Instruções!$D$11&amp;") B ")</f>
        <v xml:space="preserve">(SELECT instrmnt_id as instrmnt_id_to_be, syndctd_lndrs as syndctd_lndrs_to_be FROM bu_loantape_work.lt002_instrument WHERE ref_date='2025-06-30' AND nome_perimetro= 'Individual IDComb' AND segmento= 'ESTR' AND ambito= 'PM' AND entidade='00100' AND cod_visao = 1) B </v>
      </c>
      <c r="J292" s="17" t="str">
        <f>IF(VLOOKUP(B292,Instruções!$F$6:$J$10,5,0)="",
"ON "&amp;VLOOKUP(B292,Instruções!$F$6:$J$10,4,0)&amp;"_as_is = "&amp;VLOOKUP(B292,Instruções!$F$6:$J$10,4,0)&amp;"_to_be ",
"ON "&amp;VLOOKUP(B292,Instruções!$F$6:$J$10,4,0)&amp;"_as_is = "&amp;VLOOKUP(B292,Instruções!$F$6:$J$10,4,0)&amp;"_to_be AND "&amp;VLOOKUP(B292,Instruções!$F$6:$J$10,5,0)&amp;"_as_is = "&amp;VLOOKUP(B292,Instruções!$F$6:$J$10,5,0)&amp;"_to_be ")</f>
        <v xml:space="preserve">ON instrmnt_id_as_is = instrmnt_id_to_be </v>
      </c>
      <c r="K292" s="17" t="str">
        <f t="shared" si="51"/>
        <v xml:space="preserve">WHERE coalesce(cast(syndctd_lndrs_as_is as string), '') &lt;&gt; coalesce(cast(syndctd_lndrs_to_be as string), '') </v>
      </c>
      <c r="L292" s="17" t="str">
        <f t="shared" si="54"/>
        <v xml:space="preserve">SELECT count(*) AS NUM_REG_DIF FROM (SELECT instrmnt_id as instrmnt_id_as_is, syndctd_lndrs as syndctd_lndrs_as_is FROM cd_loan_tapes_bce.lt002_instrument WHERE ref_date='2025-06-30' AND nome_perimetro= 'Individual IDComb' AND segmento= 'ESTR' AND ambito= 'PM' AND entidade='00100' AND cod_visao = 1) A  Inner join (SELECT instrmnt_id as instrmnt_id_to_be, syndctd_lndrs as syndctd_lndrs_to_be FROM bu_loantape_work.lt002_instrument WHERE ref_date='2025-06-30' AND nome_perimetro= 'Individual IDComb' AND segmento= 'ESTR' AND ambito= 'PM' AND entidade='00100' AND cod_visao = 1) B ON instrmnt_id_as_is = instrmnt_id_to_be WHERE coalesce(cast(syndctd_lndrs_as_is as string), '') &lt;&gt; coalesce(cast(syndctd_lndrs_to_be as string), '') </v>
      </c>
      <c r="M292" s="17" t="s">
        <v>48</v>
      </c>
      <c r="N292" s="17" t="str">
        <f>"SELECT 'Validação de campos' as tipologia_teste, '"&amp;VLOOKUP(B292,Instruções!$F$6:$J$10,3,0)&amp;"' AS TABELA, '"&amp;E292&amp;"' AS CAMPO, '"&amp;Instruções!$D$7&amp;"' as ref_date, coalesce(NUM_REG_DIF, 0) AS NUM_REG_DIF FROM ("&amp;L292&amp;") A "</f>
        <v xml:space="preserve">SELECT 'Validação de campos' as tipologia_teste, 'lt002_instrument' AS TABELA, 'syndctd_lndrs' AS CAMPO, '2025-06-30' as ref_date, coalesce(NUM_REG_DIF, 0) AS NUM_REG_DIF FROM (SELECT count(*) AS NUM_REG_DIF FROM (SELECT instrmnt_id as instrmnt_id_as_is, syndctd_lndrs as syndctd_lndrs_as_is FROM cd_loan_tapes_bce.lt002_instrument WHERE ref_date='2025-06-30' AND nome_perimetro= 'Individual IDComb' AND segmento= 'ESTR' AND ambito= 'PM' AND entidade='00100' AND cod_visao = 1) A  Inner join (SELECT instrmnt_id as instrmnt_id_to_be, syndctd_lndrs as syndctd_lndrs_to_be FROM bu_loantape_work.lt002_instrument WHERE ref_date='2025-06-30' AND nome_perimetro= 'Individual IDComb' AND segmento= 'ESTR' AND ambito= 'PM' AND entidade='00100' AND cod_visao = 1) B ON instrmnt_id_as_is = instrmnt_id_to_be WHERE coalesce(cast(syndctd_lndrs_as_is as string), '') &lt;&gt; coalesce(cast(syndctd_lndrs_to_be as string), '') ) A </v>
      </c>
      <c r="O292" s="19" t="str">
        <f t="shared" si="53"/>
        <v>SELECT 'Validação de campos' as tipologia_teste, 'lt002_instrument' AS TABELA, 'syndctd_lndrs' AS CAMPO, '2025-06-30' as ref_date, coalesce(NUM_REG_DIF, 0) AS NUM_REG_DIF FROM (SELECT count(*) AS NUM_REG_DIF FROM (SELECT instrmnt_id as instrmnt_id_as_is, syndctd_lndrs as syndctd_lndrs_as_is FROM cd_loan_tapes_bce.lt002_instrument WHERE ref_date='2025-06-30' AND nome_perimetro= 'Individual IDComb' AND segmento= 'ESTR' AND ambito= 'PM' AND entidade='00100' AND cod_visao = 1) A  Inner join (SELECT instrmnt_id as instrmnt_id_to_be, syndctd_lndrs as syndctd_lndrs_to_be FROM bu_loantape_work.lt002_instrument WHERE ref_date='2025-06-30' AND nome_perimetro= 'Individual IDComb' AND segmento= 'ESTR' AND ambito= 'PM' AND entidade='00100' AND cod_visao = 1) B ON instrmnt_id_as_is = instrmnt_id_to_be WHERE coalesce(cast(syndctd_lndrs_as_is as string), '') &lt;&gt; coalesce(cast(syndctd_lndrs_to_be as string), '') ) A UNION ALL</v>
      </c>
      <c r="P292" s="17">
        <f t="shared" si="52"/>
        <v>6</v>
      </c>
    </row>
    <row r="293" spans="2:16" s="15" customFormat="1" ht="11.5" x14ac:dyDescent="0.25">
      <c r="B293" s="17" t="s">
        <v>24</v>
      </c>
      <c r="C293" s="17" t="str">
        <f>_xlfn.CONCAT(Instruções!$D$5,".",VLOOKUP(B293,Instruções!$F$5:$H$10,2,0))</f>
        <v>cd_loan_tapes_bce.lt002_instrument</v>
      </c>
      <c r="D293" s="17" t="str">
        <f>_xlfn.CONCAT(Instruções!$D$6,".",VLOOKUP(B293,Instruções!$F$5:$H$10,3,0))</f>
        <v>bu_loantape_work.lt002_instrument</v>
      </c>
      <c r="E293" s="17" t="s">
        <v>306</v>
      </c>
      <c r="F293" s="17" t="str">
        <f t="shared" si="49"/>
        <v>syndctd_shr_as_is</v>
      </c>
      <c r="G293" s="17" t="str">
        <f t="shared" si="50"/>
        <v>syndctd_shr_to_be</v>
      </c>
      <c r="H293" s="17" t="str">
        <f>IF(VLOOKUP(B293,Instruções!$F$6:$J$10,5,0)="",
"(SELECT "&amp;VLOOKUP(B293,Instruções!$F$6:$J$10,4,0)&amp;" as "&amp;VLOOKUP(B293,Instruções!$F$6:$J$10,4,0)&amp;"_as_is, "&amp;E293&amp;" as "&amp;F293&amp;" FROM "&amp;C293&amp;" WHERE "&amp;Instruções!$D$11&amp;") A ",
"(SELECT "&amp;VLOOKUP(B293,Instruções!$F$6:$J$10,4,0)&amp;" as "&amp;VLOOKUP(B293,Instruções!$F$6:$J$10,4,0)&amp;"_as_is, "&amp;VLOOKUP(B293,Instruções!$F$6:$J$10,5,0)&amp;" as "&amp;VLOOKUP(B293,Instruções!$F$6:$J$10,5,0)&amp;"_as_is,"&amp;E293&amp;" as "&amp;F293&amp;" FROM "&amp;C293&amp;" WHERE "&amp;Instruções!$D$11&amp;") A ")</f>
        <v xml:space="preserve">(SELECT instrmnt_id as instrmnt_id_as_is, syndctd_shr as syndctd_shr_as_is FROM cd_loan_tapes_bce.lt002_instrument WHERE ref_date='2025-06-30' AND nome_perimetro= 'Individual IDComb' AND segmento= 'ESTR' AND ambito= 'PM' AND entidade='00100' AND cod_visao = 1) A </v>
      </c>
      <c r="I293" s="17" t="str">
        <f>IF(VLOOKUP(B293,Instruções!$F$6:$J$10,5,0)="",
"(SELECT "&amp;VLOOKUP(B293,Instruções!$F$6:$J$10,4,0)&amp;" as "&amp;VLOOKUP(B293,Instruções!$F$6:$J$10,4,0)&amp;"_to_be, "&amp;E293&amp;" as "&amp;G293&amp;" FROM "&amp;D293&amp;" WHERE "&amp;Instruções!$D$11&amp;") B ",
"(SELECT "&amp;VLOOKUP(B293,Instruções!$F$6:$J$10,4,0)&amp;" as "&amp;VLOOKUP(B293,Instruções!$F$6:$J$10,4,0)&amp;"_to_be, "&amp;VLOOKUP(B293,Instruções!$F$6:$J$10,5,0)&amp;" as "&amp;VLOOKUP(B293,Instruções!$F$6:$J$10,5,0)&amp;"_to_be,"&amp;E293&amp;" as "&amp;G293&amp;" FROM "&amp;D293&amp;" WHERE "&amp;Instruções!$D$11&amp;") B ")</f>
        <v xml:space="preserve">(SELECT instrmnt_id as instrmnt_id_to_be, syndctd_shr as syndctd_shr_to_be FROM bu_loantape_work.lt002_instrument WHERE ref_date='2025-06-30' AND nome_perimetro= 'Individual IDComb' AND segmento= 'ESTR' AND ambito= 'PM' AND entidade='00100' AND cod_visao = 1) B </v>
      </c>
      <c r="J293" s="17" t="str">
        <f>IF(VLOOKUP(B293,Instruções!$F$6:$J$10,5,0)="",
"ON "&amp;VLOOKUP(B293,Instruções!$F$6:$J$10,4,0)&amp;"_as_is = "&amp;VLOOKUP(B293,Instruções!$F$6:$J$10,4,0)&amp;"_to_be ",
"ON "&amp;VLOOKUP(B293,Instruções!$F$6:$J$10,4,0)&amp;"_as_is = "&amp;VLOOKUP(B293,Instruções!$F$6:$J$10,4,0)&amp;"_to_be AND "&amp;VLOOKUP(B293,Instruções!$F$6:$J$10,5,0)&amp;"_as_is = "&amp;VLOOKUP(B293,Instruções!$F$6:$J$10,5,0)&amp;"_to_be ")</f>
        <v xml:space="preserve">ON instrmnt_id_as_is = instrmnt_id_to_be </v>
      </c>
      <c r="K293" s="17" t="str">
        <f t="shared" si="51"/>
        <v xml:space="preserve">WHERE coalesce(cast(syndctd_shr_as_is as string), '') &lt;&gt; coalesce(cast(syndctd_shr_to_be as string), '') </v>
      </c>
      <c r="L293" s="17" t="str">
        <f t="shared" si="54"/>
        <v xml:space="preserve">SELECT count(*) AS NUM_REG_DIF FROM (SELECT instrmnt_id as instrmnt_id_as_is, syndctd_shr as syndctd_shr_as_is FROM cd_loan_tapes_bce.lt002_instrument WHERE ref_date='2025-06-30' AND nome_perimetro= 'Individual IDComb' AND segmento= 'ESTR' AND ambito= 'PM' AND entidade='00100' AND cod_visao = 1) A  Inner join (SELECT instrmnt_id as instrmnt_id_to_be, syndctd_shr as syndctd_shr_to_be FROM bu_loantape_work.lt002_instrument WHERE ref_date='2025-06-30' AND nome_perimetro= 'Individual IDComb' AND segmento= 'ESTR' AND ambito= 'PM' AND entidade='00100' AND cod_visao = 1) B ON instrmnt_id_as_is = instrmnt_id_to_be WHERE coalesce(cast(syndctd_shr_as_is as string), '') &lt;&gt; coalesce(cast(syndctd_shr_to_be as string), '') </v>
      </c>
      <c r="M293" s="17" t="s">
        <v>48</v>
      </c>
      <c r="N293" s="17" t="str">
        <f>"SELECT 'Validação de campos' as tipologia_teste, '"&amp;VLOOKUP(B293,Instruções!$F$6:$J$10,3,0)&amp;"' AS TABELA, '"&amp;E293&amp;"' AS CAMPO, '"&amp;Instruções!$D$7&amp;"' as ref_date, coalesce(NUM_REG_DIF, 0) AS NUM_REG_DIF FROM ("&amp;L293&amp;") A "</f>
        <v xml:space="preserve">SELECT 'Validação de campos' as tipologia_teste, 'lt002_instrument' AS TABELA, 'syndctd_shr' AS CAMPO, '2025-06-30' as ref_date, coalesce(NUM_REG_DIF, 0) AS NUM_REG_DIF FROM (SELECT count(*) AS NUM_REG_DIF FROM (SELECT instrmnt_id as instrmnt_id_as_is, syndctd_shr as syndctd_shr_as_is FROM cd_loan_tapes_bce.lt002_instrument WHERE ref_date='2025-06-30' AND nome_perimetro= 'Individual IDComb' AND segmento= 'ESTR' AND ambito= 'PM' AND entidade='00100' AND cod_visao = 1) A  Inner join (SELECT instrmnt_id as instrmnt_id_to_be, syndctd_shr as syndctd_shr_to_be FROM bu_loantape_work.lt002_instrument WHERE ref_date='2025-06-30' AND nome_perimetro= 'Individual IDComb' AND segmento= 'ESTR' AND ambito= 'PM' AND entidade='00100' AND cod_visao = 1) B ON instrmnt_id_as_is = instrmnt_id_to_be WHERE coalesce(cast(syndctd_shr_as_is as string), '') &lt;&gt; coalesce(cast(syndctd_shr_to_be as string), '') ) A </v>
      </c>
      <c r="O293" s="19" t="str">
        <f t="shared" si="53"/>
        <v>SELECT 'Validação de campos' as tipologia_teste, 'lt002_instrument' AS TABELA, 'syndctd_shr' AS CAMPO, '2025-06-30' as ref_date, coalesce(NUM_REG_DIF, 0) AS NUM_REG_DIF FROM (SELECT count(*) AS NUM_REG_DIF FROM (SELECT instrmnt_id as instrmnt_id_as_is, syndctd_shr as syndctd_shr_as_is FROM cd_loan_tapes_bce.lt002_instrument WHERE ref_date='2025-06-30' AND nome_perimetro= 'Individual IDComb' AND segmento= 'ESTR' AND ambito= 'PM' AND entidade='00100' AND cod_visao = 1) A  Inner join (SELECT instrmnt_id as instrmnt_id_to_be, syndctd_shr as syndctd_shr_to_be FROM bu_loantape_work.lt002_instrument WHERE ref_date='2025-06-30' AND nome_perimetro= 'Individual IDComb' AND segmento= 'ESTR' AND ambito= 'PM' AND entidade='00100' AND cod_visao = 1) B ON instrmnt_id_as_is = instrmnt_id_to_be WHERE coalesce(cast(syndctd_shr_as_is as string), '') &lt;&gt; coalesce(cast(syndctd_shr_to_be as string), '') ) A UNION ALL</v>
      </c>
      <c r="P293" s="17">
        <f t="shared" si="52"/>
        <v>7</v>
      </c>
    </row>
    <row r="294" spans="2:16" s="15" customFormat="1" ht="11.5" x14ac:dyDescent="0.25">
      <c r="B294" s="17" t="s">
        <v>24</v>
      </c>
      <c r="C294" s="17" t="str">
        <f>_xlfn.CONCAT(Instruções!$D$5,".",VLOOKUP(B294,Instruções!$F$5:$H$10,2,0))</f>
        <v>cd_loan_tapes_bce.lt002_instrument</v>
      </c>
      <c r="D294" s="17" t="str">
        <f>_xlfn.CONCAT(Instruções!$D$6,".",VLOOKUP(B294,Instruções!$F$5:$H$10,3,0))</f>
        <v>bu_loantape_work.lt002_instrument</v>
      </c>
      <c r="E294" s="17" t="s">
        <v>307</v>
      </c>
      <c r="F294" s="17" t="str">
        <f t="shared" si="49"/>
        <v>syndctn_typ_as_is</v>
      </c>
      <c r="G294" s="17" t="str">
        <f t="shared" si="50"/>
        <v>syndctn_typ_to_be</v>
      </c>
      <c r="H294" s="17" t="str">
        <f>IF(VLOOKUP(B294,Instruções!$F$6:$J$10,5,0)="",
"(SELECT "&amp;VLOOKUP(B294,Instruções!$F$6:$J$10,4,0)&amp;" as "&amp;VLOOKUP(B294,Instruções!$F$6:$J$10,4,0)&amp;"_as_is, "&amp;E294&amp;" as "&amp;F294&amp;" FROM "&amp;C294&amp;" WHERE "&amp;Instruções!$D$11&amp;") A ",
"(SELECT "&amp;VLOOKUP(B294,Instruções!$F$6:$J$10,4,0)&amp;" as "&amp;VLOOKUP(B294,Instruções!$F$6:$J$10,4,0)&amp;"_as_is, "&amp;VLOOKUP(B294,Instruções!$F$6:$J$10,5,0)&amp;" as "&amp;VLOOKUP(B294,Instruções!$F$6:$J$10,5,0)&amp;"_as_is,"&amp;E294&amp;" as "&amp;F294&amp;" FROM "&amp;C294&amp;" WHERE "&amp;Instruções!$D$11&amp;") A ")</f>
        <v xml:space="preserve">(SELECT instrmnt_id as instrmnt_id_as_is, syndctn_typ as syndctn_typ_as_is FROM cd_loan_tapes_bce.lt002_instrument WHERE ref_date='2025-06-30' AND nome_perimetro= 'Individual IDComb' AND segmento= 'ESTR' AND ambito= 'PM' AND entidade='00100' AND cod_visao = 1) A </v>
      </c>
      <c r="I294" s="17" t="str">
        <f>IF(VLOOKUP(B294,Instruções!$F$6:$J$10,5,0)="",
"(SELECT "&amp;VLOOKUP(B294,Instruções!$F$6:$J$10,4,0)&amp;" as "&amp;VLOOKUP(B294,Instruções!$F$6:$J$10,4,0)&amp;"_to_be, "&amp;E294&amp;" as "&amp;G294&amp;" FROM "&amp;D294&amp;" WHERE "&amp;Instruções!$D$11&amp;") B ",
"(SELECT "&amp;VLOOKUP(B294,Instruções!$F$6:$J$10,4,0)&amp;" as "&amp;VLOOKUP(B294,Instruções!$F$6:$J$10,4,0)&amp;"_to_be, "&amp;VLOOKUP(B294,Instruções!$F$6:$J$10,5,0)&amp;" as "&amp;VLOOKUP(B294,Instruções!$F$6:$J$10,5,0)&amp;"_to_be,"&amp;E294&amp;" as "&amp;G294&amp;" FROM "&amp;D294&amp;" WHERE "&amp;Instruções!$D$11&amp;") B ")</f>
        <v xml:space="preserve">(SELECT instrmnt_id as instrmnt_id_to_be, syndctn_typ as syndctn_typ_to_be FROM bu_loantape_work.lt002_instrument WHERE ref_date='2025-06-30' AND nome_perimetro= 'Individual IDComb' AND segmento= 'ESTR' AND ambito= 'PM' AND entidade='00100' AND cod_visao = 1) B </v>
      </c>
      <c r="J294" s="17" t="str">
        <f>IF(VLOOKUP(B294,Instruções!$F$6:$J$10,5,0)="",
"ON "&amp;VLOOKUP(B294,Instruções!$F$6:$J$10,4,0)&amp;"_as_is = "&amp;VLOOKUP(B294,Instruções!$F$6:$J$10,4,0)&amp;"_to_be ",
"ON "&amp;VLOOKUP(B294,Instruções!$F$6:$J$10,4,0)&amp;"_as_is = "&amp;VLOOKUP(B294,Instruções!$F$6:$J$10,4,0)&amp;"_to_be AND "&amp;VLOOKUP(B294,Instruções!$F$6:$J$10,5,0)&amp;"_as_is = "&amp;VLOOKUP(B294,Instruções!$F$6:$J$10,5,0)&amp;"_to_be ")</f>
        <v xml:space="preserve">ON instrmnt_id_as_is = instrmnt_id_to_be </v>
      </c>
      <c r="K294" s="17" t="str">
        <f t="shared" si="51"/>
        <v xml:space="preserve">WHERE coalesce(cast(syndctn_typ_as_is as string), '') &lt;&gt; coalesce(cast(syndctn_typ_to_be as string), '') </v>
      </c>
      <c r="L294" s="17" t="str">
        <f t="shared" si="54"/>
        <v xml:space="preserve">SELECT count(*) AS NUM_REG_DIF FROM (SELECT instrmnt_id as instrmnt_id_as_is, syndctn_typ as syndctn_typ_as_is FROM cd_loan_tapes_bce.lt002_instrument WHERE ref_date='2025-06-30' AND nome_perimetro= 'Individual IDComb' AND segmento= 'ESTR' AND ambito= 'PM' AND entidade='00100' AND cod_visao = 1) A  Inner join (SELECT instrmnt_id as instrmnt_id_to_be, syndctn_typ as syndctn_typ_to_be FROM bu_loantape_work.lt002_instrument WHERE ref_date='2025-06-30' AND nome_perimetro= 'Individual IDComb' AND segmento= 'ESTR' AND ambito= 'PM' AND entidade='00100' AND cod_visao = 1) B ON instrmnt_id_as_is = instrmnt_id_to_be WHERE coalesce(cast(syndctn_typ_as_is as string), '') &lt;&gt; coalesce(cast(syndctn_typ_to_be as string), '') </v>
      </c>
      <c r="M294" s="17" t="s">
        <v>48</v>
      </c>
      <c r="N294" s="17" t="str">
        <f>"SELECT 'Validação de campos' as tipologia_teste, '"&amp;VLOOKUP(B294,Instruções!$F$6:$J$10,3,0)&amp;"' AS TABELA, '"&amp;E294&amp;"' AS CAMPO, '"&amp;Instruções!$D$7&amp;"' as ref_date, coalesce(NUM_REG_DIF, 0) AS NUM_REG_DIF FROM ("&amp;L294&amp;") A "</f>
        <v xml:space="preserve">SELECT 'Validação de campos' as tipologia_teste, 'lt002_instrument' AS TABELA, 'syndctn_typ' AS CAMPO, '2025-06-30' as ref_date, coalesce(NUM_REG_DIF, 0) AS NUM_REG_DIF FROM (SELECT count(*) AS NUM_REG_DIF FROM (SELECT instrmnt_id as instrmnt_id_as_is, syndctn_typ as syndctn_typ_as_is FROM cd_loan_tapes_bce.lt002_instrument WHERE ref_date='2025-06-30' AND nome_perimetro= 'Individual IDComb' AND segmento= 'ESTR' AND ambito= 'PM' AND entidade='00100' AND cod_visao = 1) A  Inner join (SELECT instrmnt_id as instrmnt_id_to_be, syndctn_typ as syndctn_typ_to_be FROM bu_loantape_work.lt002_instrument WHERE ref_date='2025-06-30' AND nome_perimetro= 'Individual IDComb' AND segmento= 'ESTR' AND ambito= 'PM' AND entidade='00100' AND cod_visao = 1) B ON instrmnt_id_as_is = instrmnt_id_to_be WHERE coalesce(cast(syndctn_typ_as_is as string), '') &lt;&gt; coalesce(cast(syndctn_typ_to_be as string), '') ) A </v>
      </c>
      <c r="O294" s="19" t="str">
        <f t="shared" si="53"/>
        <v>SELECT 'Validação de campos' as tipologia_teste, 'lt002_instrument' AS TABELA, 'syndctn_typ' AS CAMPO, '2025-06-30' as ref_date, coalesce(NUM_REG_DIF, 0) AS NUM_REG_DIF FROM (SELECT count(*) AS NUM_REG_DIF FROM (SELECT instrmnt_id as instrmnt_id_as_is, syndctn_typ as syndctn_typ_as_is FROM cd_loan_tapes_bce.lt002_instrument WHERE ref_date='2025-06-30' AND nome_perimetro= 'Individual IDComb' AND segmento= 'ESTR' AND ambito= 'PM' AND entidade='00100' AND cod_visao = 1) A  Inner join (SELECT instrmnt_id as instrmnt_id_to_be, syndctn_typ as syndctn_typ_to_be FROM bu_loantape_work.lt002_instrument WHERE ref_date='2025-06-30' AND nome_perimetro= 'Individual IDComb' AND segmento= 'ESTR' AND ambito= 'PM' AND entidade='00100' AND cod_visao = 1) B ON instrmnt_id_as_is = instrmnt_id_to_be WHERE coalesce(cast(syndctn_typ_as_is as string), '') &lt;&gt; coalesce(cast(syndctn_typ_to_be as string), '') ) A UNION ALL</v>
      </c>
      <c r="P294" s="17">
        <f t="shared" si="52"/>
        <v>8</v>
      </c>
    </row>
    <row r="295" spans="2:16" s="15" customFormat="1" ht="11.5" x14ac:dyDescent="0.25">
      <c r="B295" s="17" t="s">
        <v>24</v>
      </c>
      <c r="C295" s="17" t="str">
        <f>_xlfn.CONCAT(Instruções!$D$5,".",VLOOKUP(B295,Instruções!$F$5:$H$10,2,0))</f>
        <v>cd_loan_tapes_bce.lt002_instrument</v>
      </c>
      <c r="D295" s="17" t="str">
        <f>_xlfn.CONCAT(Instruções!$D$6,".",VLOOKUP(B295,Instruções!$F$5:$H$10,3,0))</f>
        <v>bu_loantape_work.lt002_instrument</v>
      </c>
      <c r="E295" s="17" t="s">
        <v>308</v>
      </c>
      <c r="F295" s="17" t="str">
        <f t="shared" si="49"/>
        <v>trnch_as_is</v>
      </c>
      <c r="G295" s="17" t="str">
        <f t="shared" si="50"/>
        <v>trnch_to_be</v>
      </c>
      <c r="H295" s="17" t="str">
        <f>IF(VLOOKUP(B295,Instruções!$F$6:$J$10,5,0)="",
"(SELECT "&amp;VLOOKUP(B295,Instruções!$F$6:$J$10,4,0)&amp;" as "&amp;VLOOKUP(B295,Instruções!$F$6:$J$10,4,0)&amp;"_as_is, "&amp;E295&amp;" as "&amp;F295&amp;" FROM "&amp;C295&amp;" WHERE "&amp;Instruções!$D$11&amp;") A ",
"(SELECT "&amp;VLOOKUP(B295,Instruções!$F$6:$J$10,4,0)&amp;" as "&amp;VLOOKUP(B295,Instruções!$F$6:$J$10,4,0)&amp;"_as_is, "&amp;VLOOKUP(B295,Instruções!$F$6:$J$10,5,0)&amp;" as "&amp;VLOOKUP(B295,Instruções!$F$6:$J$10,5,0)&amp;"_as_is,"&amp;E295&amp;" as "&amp;F295&amp;" FROM "&amp;C295&amp;" WHERE "&amp;Instruções!$D$11&amp;") A ")</f>
        <v xml:space="preserve">(SELECT instrmnt_id as instrmnt_id_as_is, trnch as trnch_as_is FROM cd_loan_tapes_bce.lt002_instrument WHERE ref_date='2025-06-30' AND nome_perimetro= 'Individual IDComb' AND segmento= 'ESTR' AND ambito= 'PM' AND entidade='00100' AND cod_visao = 1) A </v>
      </c>
      <c r="I295" s="17" t="str">
        <f>IF(VLOOKUP(B295,Instruções!$F$6:$J$10,5,0)="",
"(SELECT "&amp;VLOOKUP(B295,Instruções!$F$6:$J$10,4,0)&amp;" as "&amp;VLOOKUP(B295,Instruções!$F$6:$J$10,4,0)&amp;"_to_be, "&amp;E295&amp;" as "&amp;G295&amp;" FROM "&amp;D295&amp;" WHERE "&amp;Instruções!$D$11&amp;") B ",
"(SELECT "&amp;VLOOKUP(B295,Instruções!$F$6:$J$10,4,0)&amp;" as "&amp;VLOOKUP(B295,Instruções!$F$6:$J$10,4,0)&amp;"_to_be, "&amp;VLOOKUP(B295,Instruções!$F$6:$J$10,5,0)&amp;" as "&amp;VLOOKUP(B295,Instruções!$F$6:$J$10,5,0)&amp;"_to_be,"&amp;E295&amp;" as "&amp;G295&amp;" FROM "&amp;D295&amp;" WHERE "&amp;Instruções!$D$11&amp;") B ")</f>
        <v xml:space="preserve">(SELECT instrmnt_id as instrmnt_id_to_be, trnch as trnch_to_be FROM bu_loantape_work.lt002_instrument WHERE ref_date='2025-06-30' AND nome_perimetro= 'Individual IDComb' AND segmento= 'ESTR' AND ambito= 'PM' AND entidade='00100' AND cod_visao = 1) B </v>
      </c>
      <c r="J295" s="17" t="str">
        <f>IF(VLOOKUP(B295,Instruções!$F$6:$J$10,5,0)="",
"ON "&amp;VLOOKUP(B295,Instruções!$F$6:$J$10,4,0)&amp;"_as_is = "&amp;VLOOKUP(B295,Instruções!$F$6:$J$10,4,0)&amp;"_to_be ",
"ON "&amp;VLOOKUP(B295,Instruções!$F$6:$J$10,4,0)&amp;"_as_is = "&amp;VLOOKUP(B295,Instruções!$F$6:$J$10,4,0)&amp;"_to_be AND "&amp;VLOOKUP(B295,Instruções!$F$6:$J$10,5,0)&amp;"_as_is = "&amp;VLOOKUP(B295,Instruções!$F$6:$J$10,5,0)&amp;"_to_be ")</f>
        <v xml:space="preserve">ON instrmnt_id_as_is = instrmnt_id_to_be </v>
      </c>
      <c r="K295" s="17" t="str">
        <f t="shared" si="51"/>
        <v xml:space="preserve">WHERE coalesce(cast(trnch_as_is as string), '') &lt;&gt; coalesce(cast(trnch_to_be as string), '') </v>
      </c>
      <c r="L295" s="17" t="str">
        <f t="shared" si="54"/>
        <v xml:space="preserve">SELECT count(*) AS NUM_REG_DIF FROM (SELECT instrmnt_id as instrmnt_id_as_is, trnch as trnch_as_is FROM cd_loan_tapes_bce.lt002_instrument WHERE ref_date='2025-06-30' AND nome_perimetro= 'Individual IDComb' AND segmento= 'ESTR' AND ambito= 'PM' AND entidade='00100' AND cod_visao = 1) A  Inner join (SELECT instrmnt_id as instrmnt_id_to_be, trnch as trnch_to_be FROM bu_loantape_work.lt002_instrument WHERE ref_date='2025-06-30' AND nome_perimetro= 'Individual IDComb' AND segmento= 'ESTR' AND ambito= 'PM' AND entidade='00100' AND cod_visao = 1) B ON instrmnt_id_as_is = instrmnt_id_to_be WHERE coalesce(cast(trnch_as_is as string), '') &lt;&gt; coalesce(cast(trnch_to_be as string), '') </v>
      </c>
      <c r="M295" s="17" t="s">
        <v>48</v>
      </c>
      <c r="N295" s="17" t="str">
        <f>"SELECT 'Validação de campos' as tipologia_teste, '"&amp;VLOOKUP(B295,Instruções!$F$6:$J$10,3,0)&amp;"' AS TABELA, '"&amp;E295&amp;"' AS CAMPO, '"&amp;Instruções!$D$7&amp;"' as ref_date, coalesce(NUM_REG_DIF, 0) AS NUM_REG_DIF FROM ("&amp;L295&amp;") A "</f>
        <v xml:space="preserve">SELECT 'Validação de campos' as tipologia_teste, 'lt002_instrument' AS TABELA, 'trnch' AS CAMPO, '2025-06-30' as ref_date, coalesce(NUM_REG_DIF, 0) AS NUM_REG_DIF FROM (SELECT count(*) AS NUM_REG_DIF FROM (SELECT instrmnt_id as instrmnt_id_as_is, trnch as trnch_as_is FROM cd_loan_tapes_bce.lt002_instrument WHERE ref_date='2025-06-30' AND nome_perimetro= 'Individual IDComb' AND segmento= 'ESTR' AND ambito= 'PM' AND entidade='00100' AND cod_visao = 1) A  Inner join (SELECT instrmnt_id as instrmnt_id_to_be, trnch as trnch_to_be FROM bu_loantape_work.lt002_instrument WHERE ref_date='2025-06-30' AND nome_perimetro= 'Individual IDComb' AND segmento= 'ESTR' AND ambito= 'PM' AND entidade='00100' AND cod_visao = 1) B ON instrmnt_id_as_is = instrmnt_id_to_be WHERE coalesce(cast(trnch_as_is as string), '') &lt;&gt; coalesce(cast(trnch_to_be as string), '') ) A </v>
      </c>
      <c r="O295" s="19" t="str">
        <f t="shared" si="53"/>
        <v>SELECT 'Validação de campos' as tipologia_teste, 'lt002_instrument' AS TABELA, 'trnch' AS CAMPO, '2025-06-30' as ref_date, coalesce(NUM_REG_DIF, 0) AS NUM_REG_DIF FROM (SELECT count(*) AS NUM_REG_DIF FROM (SELECT instrmnt_id as instrmnt_id_as_is, trnch as trnch_as_is FROM cd_loan_tapes_bce.lt002_instrument WHERE ref_date='2025-06-30' AND nome_perimetro= 'Individual IDComb' AND segmento= 'ESTR' AND ambito= 'PM' AND entidade='00100' AND cod_visao = 1) A  Inner join (SELECT instrmnt_id as instrmnt_id_to_be, trnch as trnch_to_be FROM bu_loantape_work.lt002_instrument WHERE ref_date='2025-06-30' AND nome_perimetro= 'Individual IDComb' AND segmento= 'ESTR' AND ambito= 'PM' AND entidade='00100' AND cod_visao = 1) B ON instrmnt_id_as_is = instrmnt_id_to_be WHERE coalesce(cast(trnch_as_is as string), '') &lt;&gt; coalesce(cast(trnch_to_be as string), '') ) A UNION ALL</v>
      </c>
      <c r="P295" s="17">
        <f t="shared" si="52"/>
        <v>9</v>
      </c>
    </row>
    <row r="296" spans="2:16" s="15" customFormat="1" ht="11.5" x14ac:dyDescent="0.25">
      <c r="B296" s="17" t="s">
        <v>24</v>
      </c>
      <c r="C296" s="17" t="str">
        <f>_xlfn.CONCAT(Instruções!$D$5,".",VLOOKUP(B296,Instruções!$F$5:$H$10,2,0))</f>
        <v>cd_loan_tapes_bce.lt002_instrument</v>
      </c>
      <c r="D296" s="17" t="str">
        <f>_xlfn.CONCAT(Instruções!$D$6,".",VLOOKUP(B296,Instruções!$F$5:$H$10,3,0))</f>
        <v>bu_loantape_work.lt002_instrument</v>
      </c>
      <c r="E296" s="17" t="s">
        <v>309</v>
      </c>
      <c r="F296" s="17" t="str">
        <f t="shared" si="49"/>
        <v>typ_amrtstn_as_is</v>
      </c>
      <c r="G296" s="17" t="str">
        <f t="shared" si="50"/>
        <v>typ_amrtstn_to_be</v>
      </c>
      <c r="H296" s="17" t="str">
        <f>IF(VLOOKUP(B296,Instruções!$F$6:$J$10,5,0)="",
"(SELECT "&amp;VLOOKUP(B296,Instruções!$F$6:$J$10,4,0)&amp;" as "&amp;VLOOKUP(B296,Instruções!$F$6:$J$10,4,0)&amp;"_as_is, "&amp;E296&amp;" as "&amp;F296&amp;" FROM "&amp;C296&amp;" WHERE "&amp;Instruções!$D$11&amp;") A ",
"(SELECT "&amp;VLOOKUP(B296,Instruções!$F$6:$J$10,4,0)&amp;" as "&amp;VLOOKUP(B296,Instruções!$F$6:$J$10,4,0)&amp;"_as_is, "&amp;VLOOKUP(B296,Instruções!$F$6:$J$10,5,0)&amp;" as "&amp;VLOOKUP(B296,Instruções!$F$6:$J$10,5,0)&amp;"_as_is,"&amp;E296&amp;" as "&amp;F296&amp;" FROM "&amp;C296&amp;" WHERE "&amp;Instruções!$D$11&amp;") A ")</f>
        <v xml:space="preserve">(SELECT instrmnt_id as instrmnt_id_as_is, typ_amrtstn as typ_amrtstn_as_is FROM cd_loan_tapes_bce.lt002_instrument WHERE ref_date='2025-06-30' AND nome_perimetro= 'Individual IDComb' AND segmento= 'ESTR' AND ambito= 'PM' AND entidade='00100' AND cod_visao = 1) A </v>
      </c>
      <c r="I296" s="17" t="str">
        <f>IF(VLOOKUP(B296,Instruções!$F$6:$J$10,5,0)="",
"(SELECT "&amp;VLOOKUP(B296,Instruções!$F$6:$J$10,4,0)&amp;" as "&amp;VLOOKUP(B296,Instruções!$F$6:$J$10,4,0)&amp;"_to_be, "&amp;E296&amp;" as "&amp;G296&amp;" FROM "&amp;D296&amp;" WHERE "&amp;Instruções!$D$11&amp;") B ",
"(SELECT "&amp;VLOOKUP(B296,Instruções!$F$6:$J$10,4,0)&amp;" as "&amp;VLOOKUP(B296,Instruções!$F$6:$J$10,4,0)&amp;"_to_be, "&amp;VLOOKUP(B296,Instruções!$F$6:$J$10,5,0)&amp;" as "&amp;VLOOKUP(B296,Instruções!$F$6:$J$10,5,0)&amp;"_to_be,"&amp;E296&amp;" as "&amp;G296&amp;" FROM "&amp;D296&amp;" WHERE "&amp;Instruções!$D$11&amp;") B ")</f>
        <v xml:space="preserve">(SELECT instrmnt_id as instrmnt_id_to_be, typ_amrtstn as typ_amrtstn_to_be FROM bu_loantape_work.lt002_instrument WHERE ref_date='2025-06-30' AND nome_perimetro= 'Individual IDComb' AND segmento= 'ESTR' AND ambito= 'PM' AND entidade='00100' AND cod_visao = 1) B </v>
      </c>
      <c r="J296" s="17" t="str">
        <f>IF(VLOOKUP(B296,Instruções!$F$6:$J$10,5,0)="",
"ON "&amp;VLOOKUP(B296,Instruções!$F$6:$J$10,4,0)&amp;"_as_is = "&amp;VLOOKUP(B296,Instruções!$F$6:$J$10,4,0)&amp;"_to_be ",
"ON "&amp;VLOOKUP(B296,Instruções!$F$6:$J$10,4,0)&amp;"_as_is = "&amp;VLOOKUP(B296,Instruções!$F$6:$J$10,4,0)&amp;"_to_be AND "&amp;VLOOKUP(B296,Instruções!$F$6:$J$10,5,0)&amp;"_as_is = "&amp;VLOOKUP(B296,Instruções!$F$6:$J$10,5,0)&amp;"_to_be ")</f>
        <v xml:space="preserve">ON instrmnt_id_as_is = instrmnt_id_to_be </v>
      </c>
      <c r="K296" s="17" t="str">
        <f t="shared" si="51"/>
        <v xml:space="preserve">WHERE coalesce(cast(typ_amrtstn_as_is as string), '') &lt;&gt; coalesce(cast(typ_amrtstn_to_be as string), '') </v>
      </c>
      <c r="L296" s="17" t="str">
        <f t="shared" si="54"/>
        <v xml:space="preserve">SELECT count(*) AS NUM_REG_DIF FROM (SELECT instrmnt_id as instrmnt_id_as_is, typ_amrtstn as typ_amrtstn_as_is FROM cd_loan_tapes_bce.lt002_instrument WHERE ref_date='2025-06-30' AND nome_perimetro= 'Individual IDComb' AND segmento= 'ESTR' AND ambito= 'PM' AND entidade='00100' AND cod_visao = 1) A  Inner join (SELECT instrmnt_id as instrmnt_id_to_be, typ_amrtstn as typ_amrtstn_to_be FROM bu_loantape_work.lt002_instrument WHERE ref_date='2025-06-30' AND nome_perimetro= 'Individual IDComb' AND segmento= 'ESTR' AND ambito= 'PM' AND entidade='00100' AND cod_visao = 1) B ON instrmnt_id_as_is = instrmnt_id_to_be WHERE coalesce(cast(typ_amrtstn_as_is as string), '') &lt;&gt; coalesce(cast(typ_amrtstn_to_be as string), '') </v>
      </c>
      <c r="M296" s="17" t="s">
        <v>48</v>
      </c>
      <c r="N296" s="17" t="str">
        <f>"SELECT 'Validação de campos' as tipologia_teste, '"&amp;VLOOKUP(B296,Instruções!$F$6:$J$10,3,0)&amp;"' AS TABELA, '"&amp;E296&amp;"' AS CAMPO, '"&amp;Instruções!$D$7&amp;"' as ref_date, coalesce(NUM_REG_DIF, 0) AS NUM_REG_DIF FROM ("&amp;L296&amp;") A "</f>
        <v xml:space="preserve">SELECT 'Validação de campos' as tipologia_teste, 'lt002_instrument' AS TABELA, 'typ_amrtstn' AS CAMPO, '2025-06-30' as ref_date, coalesce(NUM_REG_DIF, 0) AS NUM_REG_DIF FROM (SELECT count(*) AS NUM_REG_DIF FROM (SELECT instrmnt_id as instrmnt_id_as_is, typ_amrtstn as typ_amrtstn_as_is FROM cd_loan_tapes_bce.lt002_instrument WHERE ref_date='2025-06-30' AND nome_perimetro= 'Individual IDComb' AND segmento= 'ESTR' AND ambito= 'PM' AND entidade='00100' AND cod_visao = 1) A  Inner join (SELECT instrmnt_id as instrmnt_id_to_be, typ_amrtstn as typ_amrtstn_to_be FROM bu_loantape_work.lt002_instrument WHERE ref_date='2025-06-30' AND nome_perimetro= 'Individual IDComb' AND segmento= 'ESTR' AND ambito= 'PM' AND entidade='00100' AND cod_visao = 1) B ON instrmnt_id_as_is = instrmnt_id_to_be WHERE coalesce(cast(typ_amrtstn_as_is as string), '') &lt;&gt; coalesce(cast(typ_amrtstn_to_be as string), '') ) A </v>
      </c>
      <c r="O296" s="19" t="str">
        <f t="shared" si="53"/>
        <v>SELECT 'Validação de campos' as tipologia_teste, 'lt002_instrument' AS TABELA, 'typ_amrtstn' AS CAMPO, '2025-06-30' as ref_date, coalesce(NUM_REG_DIF, 0) AS NUM_REG_DIF FROM (SELECT count(*) AS NUM_REG_DIF FROM (SELECT instrmnt_id as instrmnt_id_as_is, typ_amrtstn as typ_amrtstn_as_is FROM cd_loan_tapes_bce.lt002_instrument WHERE ref_date='2025-06-30' AND nome_perimetro= 'Individual IDComb' AND segmento= 'ESTR' AND ambito= 'PM' AND entidade='00100' AND cod_visao = 1) A  Inner join (SELECT instrmnt_id as instrmnt_id_to_be, typ_amrtstn as typ_amrtstn_to_be FROM bu_loantape_work.lt002_instrument WHERE ref_date='2025-06-30' AND nome_perimetro= 'Individual IDComb' AND segmento= 'ESTR' AND ambito= 'PM' AND entidade='00100' AND cod_visao = 1) B ON instrmnt_id_as_is = instrmnt_id_to_be WHERE coalesce(cast(typ_amrtstn_as_is as string), '') &lt;&gt; coalesce(cast(typ_amrtstn_to_be as string), '') ) A UNION ALL</v>
      </c>
      <c r="P296" s="17">
        <f t="shared" si="52"/>
        <v>10</v>
      </c>
    </row>
    <row r="297" spans="2:16" s="15" customFormat="1" ht="11.5" x14ac:dyDescent="0.25">
      <c r="B297" s="17" t="s">
        <v>24</v>
      </c>
      <c r="C297" s="17" t="str">
        <f>_xlfn.CONCAT(Instruções!$D$5,".",VLOOKUP(B297,Instruções!$F$5:$H$10,2,0))</f>
        <v>cd_loan_tapes_bce.lt002_instrument</v>
      </c>
      <c r="D297" s="17" t="str">
        <f>_xlfn.CONCAT(Instruções!$D$6,".",VLOOKUP(B297,Instruções!$F$5:$H$10,3,0))</f>
        <v>bu_loantape_work.lt002_instrument</v>
      </c>
      <c r="E297" s="17" t="s">
        <v>310</v>
      </c>
      <c r="F297" s="17" t="str">
        <f t="shared" si="49"/>
        <v>typ_cre_oprtn_as_is</v>
      </c>
      <c r="G297" s="17" t="str">
        <f t="shared" si="50"/>
        <v>typ_cre_oprtn_to_be</v>
      </c>
      <c r="H297" s="17" t="str">
        <f>IF(VLOOKUP(B297,Instruções!$F$6:$J$10,5,0)="",
"(SELECT "&amp;VLOOKUP(B297,Instruções!$F$6:$J$10,4,0)&amp;" as "&amp;VLOOKUP(B297,Instruções!$F$6:$J$10,4,0)&amp;"_as_is, "&amp;E297&amp;" as "&amp;F297&amp;" FROM "&amp;C297&amp;" WHERE "&amp;Instruções!$D$11&amp;") A ",
"(SELECT "&amp;VLOOKUP(B297,Instruções!$F$6:$J$10,4,0)&amp;" as "&amp;VLOOKUP(B297,Instruções!$F$6:$J$10,4,0)&amp;"_as_is, "&amp;VLOOKUP(B297,Instruções!$F$6:$J$10,5,0)&amp;" as "&amp;VLOOKUP(B297,Instruções!$F$6:$J$10,5,0)&amp;"_as_is,"&amp;E297&amp;" as "&amp;F297&amp;" FROM "&amp;C297&amp;" WHERE "&amp;Instruções!$D$11&amp;") A ")</f>
        <v xml:space="preserve">(SELECT instrmnt_id as instrmnt_id_as_is, typ_cre_oprtn as typ_cre_oprtn_as_is FROM cd_loan_tapes_bce.lt002_instrument WHERE ref_date='2025-06-30' AND nome_perimetro= 'Individual IDComb' AND segmento= 'ESTR' AND ambito= 'PM' AND entidade='00100' AND cod_visao = 1) A </v>
      </c>
      <c r="I297" s="17" t="str">
        <f>IF(VLOOKUP(B297,Instruções!$F$6:$J$10,5,0)="",
"(SELECT "&amp;VLOOKUP(B297,Instruções!$F$6:$J$10,4,0)&amp;" as "&amp;VLOOKUP(B297,Instruções!$F$6:$J$10,4,0)&amp;"_to_be, "&amp;E297&amp;" as "&amp;G297&amp;" FROM "&amp;D297&amp;" WHERE "&amp;Instruções!$D$11&amp;") B ",
"(SELECT "&amp;VLOOKUP(B297,Instruções!$F$6:$J$10,4,0)&amp;" as "&amp;VLOOKUP(B297,Instruções!$F$6:$J$10,4,0)&amp;"_to_be, "&amp;VLOOKUP(B297,Instruções!$F$6:$J$10,5,0)&amp;" as "&amp;VLOOKUP(B297,Instruções!$F$6:$J$10,5,0)&amp;"_to_be,"&amp;E297&amp;" as "&amp;G297&amp;" FROM "&amp;D297&amp;" WHERE "&amp;Instruções!$D$11&amp;") B ")</f>
        <v xml:space="preserve">(SELECT instrmnt_id as instrmnt_id_to_be, typ_cre_oprtn as typ_cre_oprtn_to_be FROM bu_loantape_work.lt002_instrument WHERE ref_date='2025-06-30' AND nome_perimetro= 'Individual IDComb' AND segmento= 'ESTR' AND ambito= 'PM' AND entidade='00100' AND cod_visao = 1) B </v>
      </c>
      <c r="J297" s="17" t="str">
        <f>IF(VLOOKUP(B297,Instruções!$F$6:$J$10,5,0)="",
"ON "&amp;VLOOKUP(B297,Instruções!$F$6:$J$10,4,0)&amp;"_as_is = "&amp;VLOOKUP(B297,Instruções!$F$6:$J$10,4,0)&amp;"_to_be ",
"ON "&amp;VLOOKUP(B297,Instruções!$F$6:$J$10,4,0)&amp;"_as_is = "&amp;VLOOKUP(B297,Instruções!$F$6:$J$10,4,0)&amp;"_to_be AND "&amp;VLOOKUP(B297,Instruções!$F$6:$J$10,5,0)&amp;"_as_is = "&amp;VLOOKUP(B297,Instruções!$F$6:$J$10,5,0)&amp;"_to_be ")</f>
        <v xml:space="preserve">ON instrmnt_id_as_is = instrmnt_id_to_be </v>
      </c>
      <c r="K297" s="17" t="str">
        <f t="shared" si="51"/>
        <v xml:space="preserve">WHERE coalesce(cast(typ_cre_oprtn_as_is as string), '') &lt;&gt; coalesce(cast(typ_cre_oprtn_to_be as string), '') </v>
      </c>
      <c r="L297" s="17" t="str">
        <f t="shared" si="54"/>
        <v xml:space="preserve">SELECT count(*) AS NUM_REG_DIF FROM (SELECT instrmnt_id as instrmnt_id_as_is, typ_cre_oprtn as typ_cre_oprtn_as_is FROM cd_loan_tapes_bce.lt002_instrument WHERE ref_date='2025-06-30' AND nome_perimetro= 'Individual IDComb' AND segmento= 'ESTR' AND ambito= 'PM' AND entidade='00100' AND cod_visao = 1) A  Inner join (SELECT instrmnt_id as instrmnt_id_to_be, typ_cre_oprtn as typ_cre_oprtn_to_be FROM bu_loantape_work.lt002_instrument WHERE ref_date='2025-06-30' AND nome_perimetro= 'Individual IDComb' AND segmento= 'ESTR' AND ambito= 'PM' AND entidade='00100' AND cod_visao = 1) B ON instrmnt_id_as_is = instrmnt_id_to_be WHERE coalesce(cast(typ_cre_oprtn_as_is as string), '') &lt;&gt; coalesce(cast(typ_cre_oprtn_to_be as string), '') </v>
      </c>
      <c r="M297" s="17" t="s">
        <v>48</v>
      </c>
      <c r="N297" s="17" t="str">
        <f>"SELECT 'Validação de campos' as tipologia_teste, '"&amp;VLOOKUP(B297,Instruções!$F$6:$J$10,3,0)&amp;"' AS TABELA, '"&amp;E297&amp;"' AS CAMPO, '"&amp;Instruções!$D$7&amp;"' as ref_date, coalesce(NUM_REG_DIF, 0) AS NUM_REG_DIF FROM ("&amp;L297&amp;") A "</f>
        <v xml:space="preserve">SELECT 'Validação de campos' as tipologia_teste, 'lt002_instrument' AS TABELA, 'typ_cre_oprtn' AS CAMPO, '2025-06-30' as ref_date, coalesce(NUM_REG_DIF, 0) AS NUM_REG_DIF FROM (SELECT count(*) AS NUM_REG_DIF FROM (SELECT instrmnt_id as instrmnt_id_as_is, typ_cre_oprtn as typ_cre_oprtn_as_is FROM cd_loan_tapes_bce.lt002_instrument WHERE ref_date='2025-06-30' AND nome_perimetro= 'Individual IDComb' AND segmento= 'ESTR' AND ambito= 'PM' AND entidade='00100' AND cod_visao = 1) A  Inner join (SELECT instrmnt_id as instrmnt_id_to_be, typ_cre_oprtn as typ_cre_oprtn_to_be FROM bu_loantape_work.lt002_instrument WHERE ref_date='2025-06-30' AND nome_perimetro= 'Individual IDComb' AND segmento= 'ESTR' AND ambito= 'PM' AND entidade='00100' AND cod_visao = 1) B ON instrmnt_id_as_is = instrmnt_id_to_be WHERE coalesce(cast(typ_cre_oprtn_as_is as string), '') &lt;&gt; coalesce(cast(typ_cre_oprtn_to_be as string), '') ) A </v>
      </c>
      <c r="O297" s="19" t="str">
        <f t="shared" si="53"/>
        <v>SELECT 'Validação de campos' as tipologia_teste, 'lt002_instrument' AS TABELA, 'typ_cre_oprtn' AS CAMPO, '2025-06-30' as ref_date, coalesce(NUM_REG_DIF, 0) AS NUM_REG_DIF FROM (SELECT count(*) AS NUM_REG_DIF FROM (SELECT instrmnt_id as instrmnt_id_as_is, typ_cre_oprtn as typ_cre_oprtn_as_is FROM cd_loan_tapes_bce.lt002_instrument WHERE ref_date='2025-06-30' AND nome_perimetro= 'Individual IDComb' AND segmento= 'ESTR' AND ambito= 'PM' AND entidade='00100' AND cod_visao = 1) A  Inner join (SELECT instrmnt_id as instrmnt_id_to_be, typ_cre_oprtn as typ_cre_oprtn_to_be FROM bu_loantape_work.lt002_instrument WHERE ref_date='2025-06-30' AND nome_perimetro= 'Individual IDComb' AND segmento= 'ESTR' AND ambito= 'PM' AND entidade='00100' AND cod_visao = 1) B ON instrmnt_id_as_is = instrmnt_id_to_be WHERE coalesce(cast(typ_cre_oprtn_as_is as string), '') &lt;&gt; coalesce(cast(typ_cre_oprtn_to_be as string), '') ) A UNION ALL</v>
      </c>
      <c r="P297" s="17">
        <f t="shared" si="52"/>
        <v>11</v>
      </c>
    </row>
    <row r="298" spans="2:16" s="15" customFormat="1" ht="11.5" x14ac:dyDescent="0.25">
      <c r="B298" s="17" t="s">
        <v>24</v>
      </c>
      <c r="C298" s="17" t="str">
        <f>_xlfn.CONCAT(Instruções!$D$5,".",VLOOKUP(B298,Instruções!$F$5:$H$10,2,0))</f>
        <v>cd_loan_tapes_bce.lt002_instrument</v>
      </c>
      <c r="D298" s="17" t="str">
        <f>_xlfn.CONCAT(Instruções!$D$6,".",VLOOKUP(B298,Instruções!$F$5:$H$10,3,0))</f>
        <v>bu_loantape_work.lt002_instrument</v>
      </c>
      <c r="E298" s="17" t="s">
        <v>311</v>
      </c>
      <c r="F298" s="17" t="str">
        <f t="shared" si="49"/>
        <v>typ_instrmnt_as_is</v>
      </c>
      <c r="G298" s="17" t="str">
        <f t="shared" si="50"/>
        <v>typ_instrmnt_to_be</v>
      </c>
      <c r="H298" s="17" t="str">
        <f>IF(VLOOKUP(B298,Instruções!$F$6:$J$10,5,0)="",
"(SELECT "&amp;VLOOKUP(B298,Instruções!$F$6:$J$10,4,0)&amp;" as "&amp;VLOOKUP(B298,Instruções!$F$6:$J$10,4,0)&amp;"_as_is, "&amp;E298&amp;" as "&amp;F298&amp;" FROM "&amp;C298&amp;" WHERE "&amp;Instruções!$D$11&amp;") A ",
"(SELECT "&amp;VLOOKUP(B298,Instruções!$F$6:$J$10,4,0)&amp;" as "&amp;VLOOKUP(B298,Instruções!$F$6:$J$10,4,0)&amp;"_as_is, "&amp;VLOOKUP(B298,Instruções!$F$6:$J$10,5,0)&amp;" as "&amp;VLOOKUP(B298,Instruções!$F$6:$J$10,5,0)&amp;"_as_is,"&amp;E298&amp;" as "&amp;F298&amp;" FROM "&amp;C298&amp;" WHERE "&amp;Instruções!$D$11&amp;") A ")</f>
        <v xml:space="preserve">(SELECT instrmnt_id as instrmnt_id_as_is, typ_instrmnt as typ_instrmnt_as_is FROM cd_loan_tapes_bce.lt002_instrument WHERE ref_date='2025-06-30' AND nome_perimetro= 'Individual IDComb' AND segmento= 'ESTR' AND ambito= 'PM' AND entidade='00100' AND cod_visao = 1) A </v>
      </c>
      <c r="I298" s="17" t="str">
        <f>IF(VLOOKUP(B298,Instruções!$F$6:$J$10,5,0)="",
"(SELECT "&amp;VLOOKUP(B298,Instruções!$F$6:$J$10,4,0)&amp;" as "&amp;VLOOKUP(B298,Instruções!$F$6:$J$10,4,0)&amp;"_to_be, "&amp;E298&amp;" as "&amp;G298&amp;" FROM "&amp;D298&amp;" WHERE "&amp;Instruções!$D$11&amp;") B ",
"(SELECT "&amp;VLOOKUP(B298,Instruções!$F$6:$J$10,4,0)&amp;" as "&amp;VLOOKUP(B298,Instruções!$F$6:$J$10,4,0)&amp;"_to_be, "&amp;VLOOKUP(B298,Instruções!$F$6:$J$10,5,0)&amp;" as "&amp;VLOOKUP(B298,Instruções!$F$6:$J$10,5,0)&amp;"_to_be,"&amp;E298&amp;" as "&amp;G298&amp;" FROM "&amp;D298&amp;" WHERE "&amp;Instruções!$D$11&amp;") B ")</f>
        <v xml:space="preserve">(SELECT instrmnt_id as instrmnt_id_to_be, typ_instrmnt as typ_instrmnt_to_be FROM bu_loantape_work.lt002_instrument WHERE ref_date='2025-06-30' AND nome_perimetro= 'Individual IDComb' AND segmento= 'ESTR' AND ambito= 'PM' AND entidade='00100' AND cod_visao = 1) B </v>
      </c>
      <c r="J298" s="17" t="str">
        <f>IF(VLOOKUP(B298,Instruções!$F$6:$J$10,5,0)="",
"ON "&amp;VLOOKUP(B298,Instruções!$F$6:$J$10,4,0)&amp;"_as_is = "&amp;VLOOKUP(B298,Instruções!$F$6:$J$10,4,0)&amp;"_to_be ",
"ON "&amp;VLOOKUP(B298,Instruções!$F$6:$J$10,4,0)&amp;"_as_is = "&amp;VLOOKUP(B298,Instruções!$F$6:$J$10,4,0)&amp;"_to_be AND "&amp;VLOOKUP(B298,Instruções!$F$6:$J$10,5,0)&amp;"_as_is = "&amp;VLOOKUP(B298,Instruções!$F$6:$J$10,5,0)&amp;"_to_be ")</f>
        <v xml:space="preserve">ON instrmnt_id_as_is = instrmnt_id_to_be </v>
      </c>
      <c r="K298" s="17" t="str">
        <f t="shared" si="51"/>
        <v xml:space="preserve">WHERE coalesce(cast(typ_instrmnt_as_is as string), '') &lt;&gt; coalesce(cast(typ_instrmnt_to_be as string), '') </v>
      </c>
      <c r="L298" s="17" t="str">
        <f t="shared" si="54"/>
        <v xml:space="preserve">SELECT count(*) AS NUM_REG_DIF FROM (SELECT instrmnt_id as instrmnt_id_as_is, typ_instrmnt as typ_instrmnt_as_is FROM cd_loan_tapes_bce.lt002_instrument WHERE ref_date='2025-06-30' AND nome_perimetro= 'Individual IDComb' AND segmento= 'ESTR' AND ambito= 'PM' AND entidade='00100' AND cod_visao = 1) A  Inner join (SELECT instrmnt_id as instrmnt_id_to_be, typ_instrmnt as typ_instrmnt_to_be FROM bu_loantape_work.lt002_instrument WHERE ref_date='2025-06-30' AND nome_perimetro= 'Individual IDComb' AND segmento= 'ESTR' AND ambito= 'PM' AND entidade='00100' AND cod_visao = 1) B ON instrmnt_id_as_is = instrmnt_id_to_be WHERE coalesce(cast(typ_instrmnt_as_is as string), '') &lt;&gt; coalesce(cast(typ_instrmnt_to_be as string), '') </v>
      </c>
      <c r="M298" s="17" t="s">
        <v>48</v>
      </c>
      <c r="N298" s="17" t="str">
        <f>"SELECT 'Validação de campos' as tipologia_teste, '"&amp;VLOOKUP(B298,Instruções!$F$6:$J$10,3,0)&amp;"' AS TABELA, '"&amp;E298&amp;"' AS CAMPO, '"&amp;Instruções!$D$7&amp;"' as ref_date, coalesce(NUM_REG_DIF, 0) AS NUM_REG_DIF FROM ("&amp;L298&amp;") A "</f>
        <v xml:space="preserve">SELECT 'Validação de campos' as tipologia_teste, 'lt002_instrument' AS TABELA, 'typ_instrmnt' AS CAMPO, '2025-06-30' as ref_date, coalesce(NUM_REG_DIF, 0) AS NUM_REG_DIF FROM (SELECT count(*) AS NUM_REG_DIF FROM (SELECT instrmnt_id as instrmnt_id_as_is, typ_instrmnt as typ_instrmnt_as_is FROM cd_loan_tapes_bce.lt002_instrument WHERE ref_date='2025-06-30' AND nome_perimetro= 'Individual IDComb' AND segmento= 'ESTR' AND ambito= 'PM' AND entidade='00100' AND cod_visao = 1) A  Inner join (SELECT instrmnt_id as instrmnt_id_to_be, typ_instrmnt as typ_instrmnt_to_be FROM bu_loantape_work.lt002_instrument WHERE ref_date='2025-06-30' AND nome_perimetro= 'Individual IDComb' AND segmento= 'ESTR' AND ambito= 'PM' AND entidade='00100' AND cod_visao = 1) B ON instrmnt_id_as_is = instrmnt_id_to_be WHERE coalesce(cast(typ_instrmnt_as_is as string), '') &lt;&gt; coalesce(cast(typ_instrmnt_to_be as string), '') ) A </v>
      </c>
      <c r="O298" s="19" t="str">
        <f t="shared" si="53"/>
        <v>SELECT 'Validação de campos' as tipologia_teste, 'lt002_instrument' AS TABELA, 'typ_instrmnt' AS CAMPO, '2025-06-30' as ref_date, coalesce(NUM_REG_DIF, 0) AS NUM_REG_DIF FROM (SELECT count(*) AS NUM_REG_DIF FROM (SELECT instrmnt_id as instrmnt_id_as_is, typ_instrmnt as typ_instrmnt_as_is FROM cd_loan_tapes_bce.lt002_instrument WHERE ref_date='2025-06-30' AND nome_perimetro= 'Individual IDComb' AND segmento= 'ESTR' AND ambito= 'PM' AND entidade='00100' AND cod_visao = 1) A  Inner join (SELECT instrmnt_id as instrmnt_id_to_be, typ_instrmnt as typ_instrmnt_to_be FROM bu_loantape_work.lt002_instrument WHERE ref_date='2025-06-30' AND nome_perimetro= 'Individual IDComb' AND segmento= 'ESTR' AND ambito= 'PM' AND entidade='00100' AND cod_visao = 1) B ON instrmnt_id_as_is = instrmnt_id_to_be WHERE coalesce(cast(typ_instrmnt_as_is as string), '') &lt;&gt; coalesce(cast(typ_instrmnt_to_be as string), '') ) A UNION ALL</v>
      </c>
      <c r="P298" s="17">
        <f t="shared" si="52"/>
        <v>12</v>
      </c>
    </row>
    <row r="299" spans="2:16" s="15" customFormat="1" ht="11.5" x14ac:dyDescent="0.25">
      <c r="B299" s="17" t="s">
        <v>24</v>
      </c>
      <c r="C299" s="17" t="str">
        <f>_xlfn.CONCAT(Instruções!$D$5,".",VLOOKUP(B299,Instruções!$F$5:$H$10,2,0))</f>
        <v>cd_loan_tapes_bce.lt002_instrument</v>
      </c>
      <c r="D299" s="17" t="str">
        <f>_xlfn.CONCAT(Instruções!$D$6,".",VLOOKUP(B299,Instruções!$F$5:$H$10,3,0))</f>
        <v>bu_loantape_work.lt002_instrument</v>
      </c>
      <c r="E299" s="17" t="s">
        <v>312</v>
      </c>
      <c r="F299" s="17" t="str">
        <f t="shared" si="49"/>
        <v>typ_intrst_rt_as_is</v>
      </c>
      <c r="G299" s="17" t="str">
        <f t="shared" si="50"/>
        <v>typ_intrst_rt_to_be</v>
      </c>
      <c r="H299" s="17" t="str">
        <f>IF(VLOOKUP(B299,Instruções!$F$6:$J$10,5,0)="",
"(SELECT "&amp;VLOOKUP(B299,Instruções!$F$6:$J$10,4,0)&amp;" as "&amp;VLOOKUP(B299,Instruções!$F$6:$J$10,4,0)&amp;"_as_is, "&amp;E299&amp;" as "&amp;F299&amp;" FROM "&amp;C299&amp;" WHERE "&amp;Instruções!$D$11&amp;") A ",
"(SELECT "&amp;VLOOKUP(B299,Instruções!$F$6:$J$10,4,0)&amp;" as "&amp;VLOOKUP(B299,Instruções!$F$6:$J$10,4,0)&amp;"_as_is, "&amp;VLOOKUP(B299,Instruções!$F$6:$J$10,5,0)&amp;" as "&amp;VLOOKUP(B299,Instruções!$F$6:$J$10,5,0)&amp;"_as_is,"&amp;E299&amp;" as "&amp;F299&amp;" FROM "&amp;C299&amp;" WHERE "&amp;Instruções!$D$11&amp;") A ")</f>
        <v xml:space="preserve">(SELECT instrmnt_id as instrmnt_id_as_is, typ_intrst_rt as typ_intrst_rt_as_is FROM cd_loan_tapes_bce.lt002_instrument WHERE ref_date='2025-06-30' AND nome_perimetro= 'Individual IDComb' AND segmento= 'ESTR' AND ambito= 'PM' AND entidade='00100' AND cod_visao = 1) A </v>
      </c>
      <c r="I299" s="17" t="str">
        <f>IF(VLOOKUP(B299,Instruções!$F$6:$J$10,5,0)="",
"(SELECT "&amp;VLOOKUP(B299,Instruções!$F$6:$J$10,4,0)&amp;" as "&amp;VLOOKUP(B299,Instruções!$F$6:$J$10,4,0)&amp;"_to_be, "&amp;E299&amp;" as "&amp;G299&amp;" FROM "&amp;D299&amp;" WHERE "&amp;Instruções!$D$11&amp;") B ",
"(SELECT "&amp;VLOOKUP(B299,Instruções!$F$6:$J$10,4,0)&amp;" as "&amp;VLOOKUP(B299,Instruções!$F$6:$J$10,4,0)&amp;"_to_be, "&amp;VLOOKUP(B299,Instruções!$F$6:$J$10,5,0)&amp;" as "&amp;VLOOKUP(B299,Instruções!$F$6:$J$10,5,0)&amp;"_to_be,"&amp;E299&amp;" as "&amp;G299&amp;" FROM "&amp;D299&amp;" WHERE "&amp;Instruções!$D$11&amp;") B ")</f>
        <v xml:space="preserve">(SELECT instrmnt_id as instrmnt_id_to_be, typ_intrst_rt as typ_intrst_rt_to_be FROM bu_loantape_work.lt002_instrument WHERE ref_date='2025-06-30' AND nome_perimetro= 'Individual IDComb' AND segmento= 'ESTR' AND ambito= 'PM' AND entidade='00100' AND cod_visao = 1) B </v>
      </c>
      <c r="J299" s="17" t="str">
        <f>IF(VLOOKUP(B299,Instruções!$F$6:$J$10,5,0)="",
"ON "&amp;VLOOKUP(B299,Instruções!$F$6:$J$10,4,0)&amp;"_as_is = "&amp;VLOOKUP(B299,Instruções!$F$6:$J$10,4,0)&amp;"_to_be ",
"ON "&amp;VLOOKUP(B299,Instruções!$F$6:$J$10,4,0)&amp;"_as_is = "&amp;VLOOKUP(B299,Instruções!$F$6:$J$10,4,0)&amp;"_to_be AND "&amp;VLOOKUP(B299,Instruções!$F$6:$J$10,5,0)&amp;"_as_is = "&amp;VLOOKUP(B299,Instruções!$F$6:$J$10,5,0)&amp;"_to_be ")</f>
        <v xml:space="preserve">ON instrmnt_id_as_is = instrmnt_id_to_be </v>
      </c>
      <c r="K299" s="17" t="str">
        <f t="shared" si="51"/>
        <v xml:space="preserve">WHERE coalesce(cast(typ_intrst_rt_as_is as string), '') &lt;&gt; coalesce(cast(typ_intrst_rt_to_be as string), '') </v>
      </c>
      <c r="L299" s="17" t="str">
        <f t="shared" si="54"/>
        <v xml:space="preserve">SELECT count(*) AS NUM_REG_DIF FROM (SELECT instrmnt_id as instrmnt_id_as_is, typ_intrst_rt as typ_intrst_rt_as_is FROM cd_loan_tapes_bce.lt002_instrument WHERE ref_date='2025-06-30' AND nome_perimetro= 'Individual IDComb' AND segmento= 'ESTR' AND ambito= 'PM' AND entidade='00100' AND cod_visao = 1) A  Inner join (SELECT instrmnt_id as instrmnt_id_to_be, typ_intrst_rt as typ_intrst_rt_to_be FROM bu_loantape_work.lt002_instrument WHERE ref_date='2025-06-30' AND nome_perimetro= 'Individual IDComb' AND segmento= 'ESTR' AND ambito= 'PM' AND entidade='00100' AND cod_visao = 1) B ON instrmnt_id_as_is = instrmnt_id_to_be WHERE coalesce(cast(typ_intrst_rt_as_is as string), '') &lt;&gt; coalesce(cast(typ_intrst_rt_to_be as string), '') </v>
      </c>
      <c r="M299" s="17" t="s">
        <v>48</v>
      </c>
      <c r="N299" s="17" t="str">
        <f>"SELECT 'Validação de campos' as tipologia_teste, '"&amp;VLOOKUP(B299,Instruções!$F$6:$J$10,3,0)&amp;"' AS TABELA, '"&amp;E299&amp;"' AS CAMPO, '"&amp;Instruções!$D$7&amp;"' as ref_date, coalesce(NUM_REG_DIF, 0) AS NUM_REG_DIF FROM ("&amp;L299&amp;") A "</f>
        <v xml:space="preserve">SELECT 'Validação de campos' as tipologia_teste, 'lt002_instrument' AS TABELA, 'typ_intrst_rt' AS CAMPO, '2025-06-30' as ref_date, coalesce(NUM_REG_DIF, 0) AS NUM_REG_DIF FROM (SELECT count(*) AS NUM_REG_DIF FROM (SELECT instrmnt_id as instrmnt_id_as_is, typ_intrst_rt as typ_intrst_rt_as_is FROM cd_loan_tapes_bce.lt002_instrument WHERE ref_date='2025-06-30' AND nome_perimetro= 'Individual IDComb' AND segmento= 'ESTR' AND ambito= 'PM' AND entidade='00100' AND cod_visao = 1) A  Inner join (SELECT instrmnt_id as instrmnt_id_to_be, typ_intrst_rt as typ_intrst_rt_to_be FROM bu_loantape_work.lt002_instrument WHERE ref_date='2025-06-30' AND nome_perimetro= 'Individual IDComb' AND segmento= 'ESTR' AND ambito= 'PM' AND entidade='00100' AND cod_visao = 1) B ON instrmnt_id_as_is = instrmnt_id_to_be WHERE coalesce(cast(typ_intrst_rt_as_is as string), '') &lt;&gt; coalesce(cast(typ_intrst_rt_to_be as string), '') ) A </v>
      </c>
      <c r="O299" s="19" t="str">
        <f t="shared" si="53"/>
        <v>SELECT 'Validação de campos' as tipologia_teste, 'lt002_instrument' AS TABELA, 'typ_intrst_rt' AS CAMPO, '2025-06-30' as ref_date, coalesce(NUM_REG_DIF, 0) AS NUM_REG_DIF FROM (SELECT count(*) AS NUM_REG_DIF FROM (SELECT instrmnt_id as instrmnt_id_as_is, typ_intrst_rt as typ_intrst_rt_as_is FROM cd_loan_tapes_bce.lt002_instrument WHERE ref_date='2025-06-30' AND nome_perimetro= 'Individual IDComb' AND segmento= 'ESTR' AND ambito= 'PM' AND entidade='00100' AND cod_visao = 1) A  Inner join (SELECT instrmnt_id as instrmnt_id_to_be, typ_intrst_rt as typ_intrst_rt_to_be FROM bu_loantape_work.lt002_instrument WHERE ref_date='2025-06-30' AND nome_perimetro= 'Individual IDComb' AND segmento= 'ESTR' AND ambito= 'PM' AND entidade='00100' AND cod_visao = 1) B ON instrmnt_id_as_is = instrmnt_id_to_be WHERE coalesce(cast(typ_intrst_rt_as_is as string), '') &lt;&gt; coalesce(cast(typ_intrst_rt_to_be as string), '') ) A UNION ALL</v>
      </c>
      <c r="P299" s="17">
        <f t="shared" si="52"/>
        <v>13</v>
      </c>
    </row>
    <row r="300" spans="2:16" s="15" customFormat="1" ht="11.5" x14ac:dyDescent="0.25">
      <c r="B300" s="17" t="s">
        <v>24</v>
      </c>
      <c r="C300" s="17" t="str">
        <f>_xlfn.CONCAT(Instruções!$D$5,".",VLOOKUP(B300,Instruções!$F$5:$H$10,2,0))</f>
        <v>cd_loan_tapes_bce.lt002_instrument</v>
      </c>
      <c r="D300" s="17" t="str">
        <f>_xlfn.CONCAT(Instruções!$D$6,".",VLOOKUP(B300,Instruções!$F$5:$H$10,3,0))</f>
        <v>bu_loantape_work.lt002_instrument</v>
      </c>
      <c r="E300" s="17" t="s">
        <v>313</v>
      </c>
      <c r="F300" s="17" t="str">
        <f t="shared" si="49"/>
        <v>type_of_plcmnt_as_is</v>
      </c>
      <c r="G300" s="17" t="str">
        <f t="shared" si="50"/>
        <v>type_of_plcmnt_to_be</v>
      </c>
      <c r="H300" s="17" t="str">
        <f>IF(VLOOKUP(B300,Instruções!$F$6:$J$10,5,0)="",
"(SELECT "&amp;VLOOKUP(B300,Instruções!$F$6:$J$10,4,0)&amp;" as "&amp;VLOOKUP(B300,Instruções!$F$6:$J$10,4,0)&amp;"_as_is, "&amp;E300&amp;" as "&amp;F300&amp;" FROM "&amp;C300&amp;" WHERE "&amp;Instruções!$D$11&amp;") A ",
"(SELECT "&amp;VLOOKUP(B300,Instruções!$F$6:$J$10,4,0)&amp;" as "&amp;VLOOKUP(B300,Instruções!$F$6:$J$10,4,0)&amp;"_as_is, "&amp;VLOOKUP(B300,Instruções!$F$6:$J$10,5,0)&amp;" as "&amp;VLOOKUP(B300,Instruções!$F$6:$J$10,5,0)&amp;"_as_is,"&amp;E300&amp;" as "&amp;F300&amp;" FROM "&amp;C300&amp;" WHERE "&amp;Instruções!$D$11&amp;") A ")</f>
        <v xml:space="preserve">(SELECT instrmnt_id as instrmnt_id_as_is, type_of_plcmnt as type_of_plcmnt_as_is FROM cd_loan_tapes_bce.lt002_instrument WHERE ref_date='2025-06-30' AND nome_perimetro= 'Individual IDComb' AND segmento= 'ESTR' AND ambito= 'PM' AND entidade='00100' AND cod_visao = 1) A </v>
      </c>
      <c r="I300" s="17" t="str">
        <f>IF(VLOOKUP(B300,Instruções!$F$6:$J$10,5,0)="",
"(SELECT "&amp;VLOOKUP(B300,Instruções!$F$6:$J$10,4,0)&amp;" as "&amp;VLOOKUP(B300,Instruções!$F$6:$J$10,4,0)&amp;"_to_be, "&amp;E300&amp;" as "&amp;G300&amp;" FROM "&amp;D300&amp;" WHERE "&amp;Instruções!$D$11&amp;") B ",
"(SELECT "&amp;VLOOKUP(B300,Instruções!$F$6:$J$10,4,0)&amp;" as "&amp;VLOOKUP(B300,Instruções!$F$6:$J$10,4,0)&amp;"_to_be, "&amp;VLOOKUP(B300,Instruções!$F$6:$J$10,5,0)&amp;" as "&amp;VLOOKUP(B300,Instruções!$F$6:$J$10,5,0)&amp;"_to_be,"&amp;E300&amp;" as "&amp;G300&amp;" FROM "&amp;D300&amp;" WHERE "&amp;Instruções!$D$11&amp;") B ")</f>
        <v xml:space="preserve">(SELECT instrmnt_id as instrmnt_id_to_be, type_of_plcmnt as type_of_plcmnt_to_be FROM bu_loantape_work.lt002_instrument WHERE ref_date='2025-06-30' AND nome_perimetro= 'Individual IDComb' AND segmento= 'ESTR' AND ambito= 'PM' AND entidade='00100' AND cod_visao = 1) B </v>
      </c>
      <c r="J300" s="17" t="str">
        <f>IF(VLOOKUP(B300,Instruções!$F$6:$J$10,5,0)="",
"ON "&amp;VLOOKUP(B300,Instruções!$F$6:$J$10,4,0)&amp;"_as_is = "&amp;VLOOKUP(B300,Instruções!$F$6:$J$10,4,0)&amp;"_to_be ",
"ON "&amp;VLOOKUP(B300,Instruções!$F$6:$J$10,4,0)&amp;"_as_is = "&amp;VLOOKUP(B300,Instruções!$F$6:$J$10,4,0)&amp;"_to_be AND "&amp;VLOOKUP(B300,Instruções!$F$6:$J$10,5,0)&amp;"_as_is = "&amp;VLOOKUP(B300,Instruções!$F$6:$J$10,5,0)&amp;"_to_be ")</f>
        <v xml:space="preserve">ON instrmnt_id_as_is = instrmnt_id_to_be </v>
      </c>
      <c r="K300" s="17" t="str">
        <f t="shared" si="51"/>
        <v xml:space="preserve">WHERE coalesce(cast(type_of_plcmnt_as_is as string), '') &lt;&gt; coalesce(cast(type_of_plcmnt_to_be as string), '') </v>
      </c>
      <c r="L300" s="17" t="str">
        <f t="shared" si="54"/>
        <v xml:space="preserve">SELECT count(*) AS NUM_REG_DIF FROM (SELECT instrmnt_id as instrmnt_id_as_is, type_of_plcmnt as type_of_plcmnt_as_is FROM cd_loan_tapes_bce.lt002_instrument WHERE ref_date='2025-06-30' AND nome_perimetro= 'Individual IDComb' AND segmento= 'ESTR' AND ambito= 'PM' AND entidade='00100' AND cod_visao = 1) A  Inner join (SELECT instrmnt_id as instrmnt_id_to_be, type_of_plcmnt as type_of_plcmnt_to_be FROM bu_loantape_work.lt002_instrument WHERE ref_date='2025-06-30' AND nome_perimetro= 'Individual IDComb' AND segmento= 'ESTR' AND ambito= 'PM' AND entidade='00100' AND cod_visao = 1) B ON instrmnt_id_as_is = instrmnt_id_to_be WHERE coalesce(cast(type_of_plcmnt_as_is as string), '') &lt;&gt; coalesce(cast(type_of_plcmnt_to_be as string), '') </v>
      </c>
      <c r="M300" s="17" t="s">
        <v>48</v>
      </c>
      <c r="N300" s="17" t="str">
        <f>"SELECT 'Validação de campos' as tipologia_teste, '"&amp;VLOOKUP(B300,Instruções!$F$6:$J$10,3,0)&amp;"' AS TABELA, '"&amp;E300&amp;"' AS CAMPO, '"&amp;Instruções!$D$7&amp;"' as ref_date, coalesce(NUM_REG_DIF, 0) AS NUM_REG_DIF FROM ("&amp;L300&amp;") A "</f>
        <v xml:space="preserve">SELECT 'Validação de campos' as tipologia_teste, 'lt002_instrument' AS TABELA, 'type_of_plcmnt' AS CAMPO, '2025-06-30' as ref_date, coalesce(NUM_REG_DIF, 0) AS NUM_REG_DIF FROM (SELECT count(*) AS NUM_REG_DIF FROM (SELECT instrmnt_id as instrmnt_id_as_is, type_of_plcmnt as type_of_plcmnt_as_is FROM cd_loan_tapes_bce.lt002_instrument WHERE ref_date='2025-06-30' AND nome_perimetro= 'Individual IDComb' AND segmento= 'ESTR' AND ambito= 'PM' AND entidade='00100' AND cod_visao = 1) A  Inner join (SELECT instrmnt_id as instrmnt_id_to_be, type_of_plcmnt as type_of_plcmnt_to_be FROM bu_loantape_work.lt002_instrument WHERE ref_date='2025-06-30' AND nome_perimetro= 'Individual IDComb' AND segmento= 'ESTR' AND ambito= 'PM' AND entidade='00100' AND cod_visao = 1) B ON instrmnt_id_as_is = instrmnt_id_to_be WHERE coalesce(cast(type_of_plcmnt_as_is as string), '') &lt;&gt; coalesce(cast(type_of_plcmnt_to_be as string), '') ) A </v>
      </c>
      <c r="O300" s="19" t="str">
        <f t="shared" si="53"/>
        <v>SELECT 'Validação de campos' as tipologia_teste, 'lt002_instrument' AS TABELA, 'type_of_plcmnt' AS CAMPO, '2025-06-30' as ref_date, coalesce(NUM_REG_DIF, 0) AS NUM_REG_DIF FROM (SELECT count(*) AS NUM_REG_DIF FROM (SELECT instrmnt_id as instrmnt_id_as_is, type_of_plcmnt as type_of_plcmnt_as_is FROM cd_loan_tapes_bce.lt002_instrument WHERE ref_date='2025-06-30' AND nome_perimetro= 'Individual IDComb' AND segmento= 'ESTR' AND ambito= 'PM' AND entidade='00100' AND cod_visao = 1) A  Inner join (SELECT instrmnt_id as instrmnt_id_to_be, type_of_plcmnt as type_of_plcmnt_to_be FROM bu_loantape_work.lt002_instrument WHERE ref_date='2025-06-30' AND nome_perimetro= 'Individual IDComb' AND segmento= 'ESTR' AND ambito= 'PM' AND entidade='00100' AND cod_visao = 1) B ON instrmnt_id_as_is = instrmnt_id_to_be WHERE coalesce(cast(type_of_plcmnt_as_is as string), '') &lt;&gt; coalesce(cast(type_of_plcmnt_to_be as string), '') ) A UNION ALL</v>
      </c>
      <c r="P300" s="17">
        <f t="shared" si="52"/>
        <v>14</v>
      </c>
    </row>
    <row r="301" spans="2:16" s="15" customFormat="1" ht="11.5" x14ac:dyDescent="0.25">
      <c r="B301" s="17" t="s">
        <v>24</v>
      </c>
      <c r="C301" s="17" t="str">
        <f>_xlfn.CONCAT(Instruções!$D$5,".",VLOOKUP(B301,Instruções!$F$5:$H$10,2,0))</f>
        <v>cd_loan_tapes_bce.lt002_instrument</v>
      </c>
      <c r="D301" s="17" t="str">
        <f>_xlfn.CONCAT(Instruções!$D$6,".",VLOOKUP(B301,Instruções!$F$5:$H$10,3,0))</f>
        <v>bu_loantape_work.lt002_instrument</v>
      </c>
      <c r="E301" s="17" t="s">
        <v>314</v>
      </c>
      <c r="F301" s="17" t="str">
        <f t="shared" si="49"/>
        <v>vltn_crrncy_as_is</v>
      </c>
      <c r="G301" s="17" t="str">
        <f t="shared" si="50"/>
        <v>vltn_crrncy_to_be</v>
      </c>
      <c r="H301" s="17" t="str">
        <f>IF(VLOOKUP(B301,Instruções!$F$6:$J$10,5,0)="",
"(SELECT "&amp;VLOOKUP(B301,Instruções!$F$6:$J$10,4,0)&amp;" as "&amp;VLOOKUP(B301,Instruções!$F$6:$J$10,4,0)&amp;"_as_is, "&amp;E301&amp;" as "&amp;F301&amp;" FROM "&amp;C301&amp;" WHERE "&amp;Instruções!$D$11&amp;") A ",
"(SELECT "&amp;VLOOKUP(B301,Instruções!$F$6:$J$10,4,0)&amp;" as "&amp;VLOOKUP(B301,Instruções!$F$6:$J$10,4,0)&amp;"_as_is, "&amp;VLOOKUP(B301,Instruções!$F$6:$J$10,5,0)&amp;" as "&amp;VLOOKUP(B301,Instruções!$F$6:$J$10,5,0)&amp;"_as_is,"&amp;E301&amp;" as "&amp;F301&amp;" FROM "&amp;C301&amp;" WHERE "&amp;Instruções!$D$11&amp;") A ")</f>
        <v xml:space="preserve">(SELECT instrmnt_id as instrmnt_id_as_is, vltn_crrncy as vltn_crrncy_as_is FROM cd_loan_tapes_bce.lt002_instrument WHERE ref_date='2025-06-30' AND nome_perimetro= 'Individual IDComb' AND segmento= 'ESTR' AND ambito= 'PM' AND entidade='00100' AND cod_visao = 1) A </v>
      </c>
      <c r="I301" s="17" t="str">
        <f>IF(VLOOKUP(B301,Instruções!$F$6:$J$10,5,0)="",
"(SELECT "&amp;VLOOKUP(B301,Instruções!$F$6:$J$10,4,0)&amp;" as "&amp;VLOOKUP(B301,Instruções!$F$6:$J$10,4,0)&amp;"_to_be, "&amp;E301&amp;" as "&amp;G301&amp;" FROM "&amp;D301&amp;" WHERE "&amp;Instruções!$D$11&amp;") B ",
"(SELECT "&amp;VLOOKUP(B301,Instruções!$F$6:$J$10,4,0)&amp;" as "&amp;VLOOKUP(B301,Instruções!$F$6:$J$10,4,0)&amp;"_to_be, "&amp;VLOOKUP(B301,Instruções!$F$6:$J$10,5,0)&amp;" as "&amp;VLOOKUP(B301,Instruções!$F$6:$J$10,5,0)&amp;"_to_be,"&amp;E301&amp;" as "&amp;G301&amp;" FROM "&amp;D301&amp;" WHERE "&amp;Instruções!$D$11&amp;") B ")</f>
        <v xml:space="preserve">(SELECT instrmnt_id as instrmnt_id_to_be, vltn_crrncy as vltn_crrncy_to_be FROM bu_loantape_work.lt002_instrument WHERE ref_date='2025-06-30' AND nome_perimetro= 'Individual IDComb' AND segmento= 'ESTR' AND ambito= 'PM' AND entidade='00100' AND cod_visao = 1) B </v>
      </c>
      <c r="J301" s="17" t="str">
        <f>IF(VLOOKUP(B301,Instruções!$F$6:$J$10,5,0)="",
"ON "&amp;VLOOKUP(B301,Instruções!$F$6:$J$10,4,0)&amp;"_as_is = "&amp;VLOOKUP(B301,Instruções!$F$6:$J$10,4,0)&amp;"_to_be ",
"ON "&amp;VLOOKUP(B301,Instruções!$F$6:$J$10,4,0)&amp;"_as_is = "&amp;VLOOKUP(B301,Instruções!$F$6:$J$10,4,0)&amp;"_to_be AND "&amp;VLOOKUP(B301,Instruções!$F$6:$J$10,5,0)&amp;"_as_is = "&amp;VLOOKUP(B301,Instruções!$F$6:$J$10,5,0)&amp;"_to_be ")</f>
        <v xml:space="preserve">ON instrmnt_id_as_is = instrmnt_id_to_be </v>
      </c>
      <c r="K301" s="17" t="str">
        <f t="shared" si="51"/>
        <v xml:space="preserve">WHERE coalesce(cast(vltn_crrncy_as_is as string), '') &lt;&gt; coalesce(cast(vltn_crrncy_to_be as string), '') </v>
      </c>
      <c r="L301" s="17" t="str">
        <f t="shared" si="54"/>
        <v xml:space="preserve">SELECT count(*) AS NUM_REG_DIF FROM (SELECT instrmnt_id as instrmnt_id_as_is, vltn_crrncy as vltn_crrncy_as_is FROM cd_loan_tapes_bce.lt002_instrument WHERE ref_date='2025-06-30' AND nome_perimetro= 'Individual IDComb' AND segmento= 'ESTR' AND ambito= 'PM' AND entidade='00100' AND cod_visao = 1) A  Inner join (SELECT instrmnt_id as instrmnt_id_to_be, vltn_crrncy as vltn_crrncy_to_be FROM bu_loantape_work.lt002_instrument WHERE ref_date='2025-06-30' AND nome_perimetro= 'Individual IDComb' AND segmento= 'ESTR' AND ambito= 'PM' AND entidade='00100' AND cod_visao = 1) B ON instrmnt_id_as_is = instrmnt_id_to_be WHERE coalesce(cast(vltn_crrncy_as_is as string), '') &lt;&gt; coalesce(cast(vltn_crrncy_to_be as string), '') </v>
      </c>
      <c r="M301" s="17" t="s">
        <v>48</v>
      </c>
      <c r="N301" s="17" t="str">
        <f>"SELECT 'Validação de campos' as tipologia_teste, '"&amp;VLOOKUP(B301,Instruções!$F$6:$J$10,3,0)&amp;"' AS TABELA, '"&amp;E301&amp;"' AS CAMPO, '"&amp;Instruções!$D$7&amp;"' as ref_date, coalesce(NUM_REG_DIF, 0) AS NUM_REG_DIF FROM ("&amp;L301&amp;") A "</f>
        <v xml:space="preserve">SELECT 'Validação de campos' as tipologia_teste, 'lt002_instrument' AS TABELA, 'vltn_crrncy' AS CAMPO, '2025-06-30' as ref_date, coalesce(NUM_REG_DIF, 0) AS NUM_REG_DIF FROM (SELECT count(*) AS NUM_REG_DIF FROM (SELECT instrmnt_id as instrmnt_id_as_is, vltn_crrncy as vltn_crrncy_as_is FROM cd_loan_tapes_bce.lt002_instrument WHERE ref_date='2025-06-30' AND nome_perimetro= 'Individual IDComb' AND segmento= 'ESTR' AND ambito= 'PM' AND entidade='00100' AND cod_visao = 1) A  Inner join (SELECT instrmnt_id as instrmnt_id_to_be, vltn_crrncy as vltn_crrncy_to_be FROM bu_loantape_work.lt002_instrument WHERE ref_date='2025-06-30' AND nome_perimetro= 'Individual IDComb' AND segmento= 'ESTR' AND ambito= 'PM' AND entidade='00100' AND cod_visao = 1) B ON instrmnt_id_as_is = instrmnt_id_to_be WHERE coalesce(cast(vltn_crrncy_as_is as string), '') &lt;&gt; coalesce(cast(vltn_crrncy_to_be as string), '') ) A </v>
      </c>
      <c r="O301" s="19" t="str">
        <f t="shared" si="53"/>
        <v>SELECT 'Validação de campos' as tipologia_teste, 'lt002_instrument' AS TABELA, 'vltn_crrncy' AS CAMPO, '2025-06-30' as ref_date, coalesce(NUM_REG_DIF, 0) AS NUM_REG_DIF FROM (SELECT count(*) AS NUM_REG_DIF FROM (SELECT instrmnt_id as instrmnt_id_as_is, vltn_crrncy as vltn_crrncy_as_is FROM cd_loan_tapes_bce.lt002_instrument WHERE ref_date='2025-06-30' AND nome_perimetro= 'Individual IDComb' AND segmento= 'ESTR' AND ambito= 'PM' AND entidade='00100' AND cod_visao = 1) A  Inner join (SELECT instrmnt_id as instrmnt_id_to_be, vltn_crrncy as vltn_crrncy_to_be FROM bu_loantape_work.lt002_instrument WHERE ref_date='2025-06-30' AND nome_perimetro= 'Individual IDComb' AND segmento= 'ESTR' AND ambito= 'PM' AND entidade='00100' AND cod_visao = 1) B ON instrmnt_id_as_is = instrmnt_id_to_be WHERE coalesce(cast(vltn_crrncy_as_is as string), '') &lt;&gt; coalesce(cast(vltn_crrncy_to_be as string), '') ) A UNION ALL</v>
      </c>
      <c r="P301" s="17">
        <f t="shared" si="52"/>
        <v>15</v>
      </c>
    </row>
    <row r="302" spans="2:16" s="15" customFormat="1" ht="11.5" x14ac:dyDescent="0.25">
      <c r="B302" s="17" t="s">
        <v>24</v>
      </c>
      <c r="C302" s="17" t="str">
        <f>_xlfn.CONCAT(Instruções!$D$5,".",VLOOKUP(B302,Instruções!$F$5:$H$10,2,0))</f>
        <v>cd_loan_tapes_bce.lt002_instrument</v>
      </c>
      <c r="D302" s="17" t="str">
        <f>_xlfn.CONCAT(Instruções!$D$6,".",VLOOKUP(B302,Instruções!$F$5:$H$10,3,0))</f>
        <v>bu_loantape_work.lt002_instrument</v>
      </c>
      <c r="E302" s="17" t="s">
        <v>315</v>
      </c>
      <c r="F302" s="17" t="str">
        <f t="shared" si="49"/>
        <v>vltn_typ_as_is</v>
      </c>
      <c r="G302" s="17" t="str">
        <f t="shared" si="50"/>
        <v>vltn_typ_to_be</v>
      </c>
      <c r="H302" s="17" t="str">
        <f>IF(VLOOKUP(B302,Instruções!$F$6:$J$10,5,0)="",
"(SELECT "&amp;VLOOKUP(B302,Instruções!$F$6:$J$10,4,0)&amp;" as "&amp;VLOOKUP(B302,Instruções!$F$6:$J$10,4,0)&amp;"_as_is, "&amp;E302&amp;" as "&amp;F302&amp;" FROM "&amp;C302&amp;" WHERE "&amp;Instruções!$D$11&amp;") A ",
"(SELECT "&amp;VLOOKUP(B302,Instruções!$F$6:$J$10,4,0)&amp;" as "&amp;VLOOKUP(B302,Instruções!$F$6:$J$10,4,0)&amp;"_as_is, "&amp;VLOOKUP(B302,Instruções!$F$6:$J$10,5,0)&amp;" as "&amp;VLOOKUP(B302,Instruções!$F$6:$J$10,5,0)&amp;"_as_is,"&amp;E302&amp;" as "&amp;F302&amp;" FROM "&amp;C302&amp;" WHERE "&amp;Instruções!$D$11&amp;") A ")</f>
        <v xml:space="preserve">(SELECT instrmnt_id as instrmnt_id_as_is, vltn_typ as vltn_typ_as_is FROM cd_loan_tapes_bce.lt002_instrument WHERE ref_date='2025-06-30' AND nome_perimetro= 'Individual IDComb' AND segmento= 'ESTR' AND ambito= 'PM' AND entidade='00100' AND cod_visao = 1) A </v>
      </c>
      <c r="I302" s="17" t="str">
        <f>IF(VLOOKUP(B302,Instruções!$F$6:$J$10,5,0)="",
"(SELECT "&amp;VLOOKUP(B302,Instruções!$F$6:$J$10,4,0)&amp;" as "&amp;VLOOKUP(B302,Instruções!$F$6:$J$10,4,0)&amp;"_to_be, "&amp;E302&amp;" as "&amp;G302&amp;" FROM "&amp;D302&amp;" WHERE "&amp;Instruções!$D$11&amp;") B ",
"(SELECT "&amp;VLOOKUP(B302,Instruções!$F$6:$J$10,4,0)&amp;" as "&amp;VLOOKUP(B302,Instruções!$F$6:$J$10,4,0)&amp;"_to_be, "&amp;VLOOKUP(B302,Instruções!$F$6:$J$10,5,0)&amp;" as "&amp;VLOOKUP(B302,Instruções!$F$6:$J$10,5,0)&amp;"_to_be,"&amp;E302&amp;" as "&amp;G302&amp;" FROM "&amp;D302&amp;" WHERE "&amp;Instruções!$D$11&amp;") B ")</f>
        <v xml:space="preserve">(SELECT instrmnt_id as instrmnt_id_to_be, vltn_typ as vltn_typ_to_be FROM bu_loantape_work.lt002_instrument WHERE ref_date='2025-06-30' AND nome_perimetro= 'Individual IDComb' AND segmento= 'ESTR' AND ambito= 'PM' AND entidade='00100' AND cod_visao = 1) B </v>
      </c>
      <c r="J302" s="17" t="str">
        <f>IF(VLOOKUP(B302,Instruções!$F$6:$J$10,5,0)="",
"ON "&amp;VLOOKUP(B302,Instruções!$F$6:$J$10,4,0)&amp;"_as_is = "&amp;VLOOKUP(B302,Instruções!$F$6:$J$10,4,0)&amp;"_to_be ",
"ON "&amp;VLOOKUP(B302,Instruções!$F$6:$J$10,4,0)&amp;"_as_is = "&amp;VLOOKUP(B302,Instruções!$F$6:$J$10,4,0)&amp;"_to_be AND "&amp;VLOOKUP(B302,Instruções!$F$6:$J$10,5,0)&amp;"_as_is = "&amp;VLOOKUP(B302,Instruções!$F$6:$J$10,5,0)&amp;"_to_be ")</f>
        <v xml:space="preserve">ON instrmnt_id_as_is = instrmnt_id_to_be </v>
      </c>
      <c r="K302" s="17" t="str">
        <f t="shared" si="51"/>
        <v xml:space="preserve">WHERE coalesce(cast(vltn_typ_as_is as string), '') &lt;&gt; coalesce(cast(vltn_typ_to_be as string), '') </v>
      </c>
      <c r="L302" s="17" t="str">
        <f t="shared" si="54"/>
        <v xml:space="preserve">SELECT count(*) AS NUM_REG_DIF FROM (SELECT instrmnt_id as instrmnt_id_as_is, vltn_typ as vltn_typ_as_is FROM cd_loan_tapes_bce.lt002_instrument WHERE ref_date='2025-06-30' AND nome_perimetro= 'Individual IDComb' AND segmento= 'ESTR' AND ambito= 'PM' AND entidade='00100' AND cod_visao = 1) A  Inner join (SELECT instrmnt_id as instrmnt_id_to_be, vltn_typ as vltn_typ_to_be FROM bu_loantape_work.lt002_instrument WHERE ref_date='2025-06-30' AND nome_perimetro= 'Individual IDComb' AND segmento= 'ESTR' AND ambito= 'PM' AND entidade='00100' AND cod_visao = 1) B ON instrmnt_id_as_is = instrmnt_id_to_be WHERE coalesce(cast(vltn_typ_as_is as string), '') &lt;&gt; coalesce(cast(vltn_typ_to_be as string), '') </v>
      </c>
      <c r="M302" s="17" t="s">
        <v>48</v>
      </c>
      <c r="N302" s="17" t="str">
        <f>"SELECT 'Validação de campos' as tipologia_teste, '"&amp;VLOOKUP(B302,Instruções!$F$6:$J$10,3,0)&amp;"' AS TABELA, '"&amp;E302&amp;"' AS CAMPO, '"&amp;Instruções!$D$7&amp;"' as ref_date, coalesce(NUM_REG_DIF, 0) AS NUM_REG_DIF FROM ("&amp;L302&amp;") A "</f>
        <v xml:space="preserve">SELECT 'Validação de campos' as tipologia_teste, 'lt002_instrument' AS TABELA, 'vltn_typ' AS CAMPO, '2025-06-30' as ref_date, coalesce(NUM_REG_DIF, 0) AS NUM_REG_DIF FROM (SELECT count(*) AS NUM_REG_DIF FROM (SELECT instrmnt_id as instrmnt_id_as_is, vltn_typ as vltn_typ_as_is FROM cd_loan_tapes_bce.lt002_instrument WHERE ref_date='2025-06-30' AND nome_perimetro= 'Individual IDComb' AND segmento= 'ESTR' AND ambito= 'PM' AND entidade='00100' AND cod_visao = 1) A  Inner join (SELECT instrmnt_id as instrmnt_id_to_be, vltn_typ as vltn_typ_to_be FROM bu_loantape_work.lt002_instrument WHERE ref_date='2025-06-30' AND nome_perimetro= 'Individual IDComb' AND segmento= 'ESTR' AND ambito= 'PM' AND entidade='00100' AND cod_visao = 1) B ON instrmnt_id_as_is = instrmnt_id_to_be WHERE coalesce(cast(vltn_typ_as_is as string), '') &lt;&gt; coalesce(cast(vltn_typ_to_be as string), '') ) A </v>
      </c>
      <c r="O302" s="19" t="str">
        <f t="shared" si="53"/>
        <v>SELECT 'Validação de campos' as tipologia_teste, 'lt002_instrument' AS TABELA, 'vltn_typ' AS CAMPO, '2025-06-30' as ref_date, coalesce(NUM_REG_DIF, 0) AS NUM_REG_DIF FROM (SELECT count(*) AS NUM_REG_DIF FROM (SELECT instrmnt_id as instrmnt_id_as_is, vltn_typ as vltn_typ_as_is FROM cd_loan_tapes_bce.lt002_instrument WHERE ref_date='2025-06-30' AND nome_perimetro= 'Individual IDComb' AND segmento= 'ESTR' AND ambito= 'PM' AND entidade='00100' AND cod_visao = 1) A  Inner join (SELECT instrmnt_id as instrmnt_id_to_be, vltn_typ as vltn_typ_to_be FROM bu_loantape_work.lt002_instrument WHERE ref_date='2025-06-30' AND nome_perimetro= 'Individual IDComb' AND segmento= 'ESTR' AND ambito= 'PM' AND entidade='00100' AND cod_visao = 1) B ON instrmnt_id_as_is = instrmnt_id_to_be WHERE coalesce(cast(vltn_typ_as_is as string), '') &lt;&gt; coalesce(cast(vltn_typ_to_be as string), '') ) A UNION ALL</v>
      </c>
      <c r="P302" s="17">
        <f t="shared" si="52"/>
        <v>16</v>
      </c>
    </row>
    <row r="303" spans="2:16" s="15" customFormat="1" ht="11.5" x14ac:dyDescent="0.25">
      <c r="B303" s="17" t="s">
        <v>24</v>
      </c>
      <c r="C303" s="17" t="str">
        <f>_xlfn.CONCAT(Instruções!$D$5,".",VLOOKUP(B303,Instruções!$F$5:$H$10,2,0))</f>
        <v>cd_loan_tapes_bce.lt002_instrument</v>
      </c>
      <c r="D303" s="17" t="str">
        <f>_xlfn.CONCAT(Instruções!$D$6,".",VLOOKUP(B303,Instruções!$F$5:$H$10,3,0))</f>
        <v>bu_loantape_work.lt002_instrument</v>
      </c>
      <c r="E303" s="17" t="s">
        <v>363</v>
      </c>
      <c r="F303" s="17" t="str">
        <f t="shared" ref="F303:F316" si="55">E303&amp;"_as_is"</f>
        <v>typ_off_blnc_prdct_as_is</v>
      </c>
      <c r="G303" s="17" t="str">
        <f t="shared" ref="G303:G316" si="56">E303&amp;"_to_be"</f>
        <v>typ_off_blnc_prdct_to_be</v>
      </c>
      <c r="H303" s="17" t="str">
        <f>IF(VLOOKUP(B303,Instruções!$F$6:$J$10,5,0)="",
"(SELECT "&amp;VLOOKUP(B303,Instruções!$F$6:$J$10,4,0)&amp;" as "&amp;VLOOKUP(B303,Instruções!$F$6:$J$10,4,0)&amp;"_as_is, "&amp;E303&amp;" as "&amp;F303&amp;" FROM "&amp;C303&amp;" WHERE "&amp;Instruções!$D$11&amp;") A ",
"(SELECT "&amp;VLOOKUP(B303,Instruções!$F$6:$J$10,4,0)&amp;" as "&amp;VLOOKUP(B303,Instruções!$F$6:$J$10,4,0)&amp;"_as_is, "&amp;VLOOKUP(B303,Instruções!$F$6:$J$10,5,0)&amp;" as "&amp;VLOOKUP(B303,Instruções!$F$6:$J$10,5,0)&amp;"_as_is,"&amp;E303&amp;" as "&amp;F303&amp;" FROM "&amp;C303&amp;" WHERE "&amp;Instruções!$D$11&amp;") A ")</f>
        <v xml:space="preserve">(SELECT instrmnt_id as instrmnt_id_as_is, typ_off_blnc_prdct as typ_off_blnc_prdct_as_is FROM cd_loan_tapes_bce.lt002_instrument WHERE ref_date='2025-06-30' AND nome_perimetro= 'Individual IDComb' AND segmento= 'ESTR' AND ambito= 'PM' AND entidade='00100' AND cod_visao = 1) A </v>
      </c>
      <c r="I303" s="17" t="str">
        <f>IF(VLOOKUP(B303,Instruções!$F$6:$J$10,5,0)="",
"(SELECT "&amp;VLOOKUP(B303,Instruções!$F$6:$J$10,4,0)&amp;" as "&amp;VLOOKUP(B303,Instruções!$F$6:$J$10,4,0)&amp;"_to_be, "&amp;E303&amp;" as "&amp;G303&amp;" FROM "&amp;D303&amp;" WHERE "&amp;Instruções!$D$11&amp;") B ",
"(SELECT "&amp;VLOOKUP(B303,Instruções!$F$6:$J$10,4,0)&amp;" as "&amp;VLOOKUP(B303,Instruções!$F$6:$J$10,4,0)&amp;"_to_be, "&amp;VLOOKUP(B303,Instruções!$F$6:$J$10,5,0)&amp;" as "&amp;VLOOKUP(B303,Instruções!$F$6:$J$10,5,0)&amp;"_to_be,"&amp;E303&amp;" as "&amp;G303&amp;" FROM "&amp;D303&amp;" WHERE "&amp;Instruções!$D$11&amp;") B ")</f>
        <v xml:space="preserve">(SELECT instrmnt_id as instrmnt_id_to_be, typ_off_blnc_prdct as typ_off_blnc_prdct_to_be FROM bu_loantape_work.lt002_instrument WHERE ref_date='2025-06-30' AND nome_perimetro= 'Individual IDComb' AND segmento= 'ESTR' AND ambito= 'PM' AND entidade='00100' AND cod_visao = 1) B </v>
      </c>
      <c r="J303" s="17" t="str">
        <f>IF(VLOOKUP(B303,Instruções!$F$6:$J$10,5,0)="",
"ON "&amp;VLOOKUP(B303,Instruções!$F$6:$J$10,4,0)&amp;"_as_is = "&amp;VLOOKUP(B303,Instruções!$F$6:$J$10,4,0)&amp;"_to_be ",
"ON "&amp;VLOOKUP(B303,Instruções!$F$6:$J$10,4,0)&amp;"_as_is = "&amp;VLOOKUP(B303,Instruções!$F$6:$J$10,4,0)&amp;"_to_be AND "&amp;VLOOKUP(B303,Instruções!$F$6:$J$10,5,0)&amp;"_as_is = "&amp;VLOOKUP(B303,Instruções!$F$6:$J$10,5,0)&amp;"_to_be ")</f>
        <v xml:space="preserve">ON instrmnt_id_as_is = instrmnt_id_to_be </v>
      </c>
      <c r="K303" s="17" t="str">
        <f t="shared" ref="K303:K316" si="57">"WHERE coalesce(cast("&amp;F303&amp;" as string), '') &lt;&gt; coalesce(cast("&amp;G303&amp;" as string), '') "</f>
        <v xml:space="preserve">WHERE coalesce(cast(typ_off_blnc_prdct_as_is as string), '') &lt;&gt; coalesce(cast(typ_off_blnc_prdct_to_be as string), '') </v>
      </c>
      <c r="L303" s="17" t="str">
        <f t="shared" ref="L303:L316" si="58">"SELECT count(*) AS NUM_REG_DIF FROM "&amp;H303&amp;" Inner join "&amp;I303&amp;J303&amp;K303</f>
        <v xml:space="preserve">SELECT count(*) AS NUM_REG_DIF FROM (SELECT instrmnt_id as instrmnt_id_as_is, typ_off_blnc_prdct as typ_off_blnc_prdct_as_is FROM cd_loan_tapes_bce.lt002_instrument WHERE ref_date='2025-06-30' AND nome_perimetro= 'Individual IDComb' AND segmento= 'ESTR' AND ambito= 'PM' AND entidade='00100' AND cod_visao = 1) A  Inner join (SELECT instrmnt_id as instrmnt_id_to_be, typ_off_blnc_prdct as typ_off_blnc_prdct_to_be FROM bu_loantape_work.lt002_instrument WHERE ref_date='2025-06-30' AND nome_perimetro= 'Individual IDComb' AND segmento= 'ESTR' AND ambito= 'PM' AND entidade='00100' AND cod_visao = 1) B ON instrmnt_id_as_is = instrmnt_id_to_be WHERE coalesce(cast(typ_off_blnc_prdct_as_is as string), '') &lt;&gt; coalesce(cast(typ_off_blnc_prdct_to_be as string), '') </v>
      </c>
      <c r="M303" s="17" t="s">
        <v>48</v>
      </c>
      <c r="N303" s="17" t="str">
        <f>"SELECT 'Validação de campos' as tipologia_teste, '"&amp;VLOOKUP(B303,Instruções!$F$6:$J$10,3,0)&amp;"' AS TABELA, '"&amp;E303&amp;"' AS CAMPO, '"&amp;Instruções!$D$7&amp;"' as ref_date, coalesce(NUM_REG_DIF, 0) AS NUM_REG_DIF FROM ("&amp;L303&amp;") A "</f>
        <v xml:space="preserve">SELECT 'Validação de campos' as tipologia_teste, 'lt002_instrument' AS TABELA, 'typ_off_blnc_prdct' AS CAMPO, '2025-06-30' as ref_date, coalesce(NUM_REG_DIF, 0) AS NUM_REG_DIF FROM (SELECT count(*) AS NUM_REG_DIF FROM (SELECT instrmnt_id as instrmnt_id_as_is, typ_off_blnc_prdct as typ_off_blnc_prdct_as_is FROM cd_loan_tapes_bce.lt002_instrument WHERE ref_date='2025-06-30' AND nome_perimetro= 'Individual IDComb' AND segmento= 'ESTR' AND ambito= 'PM' AND entidade='00100' AND cod_visao = 1) A  Inner join (SELECT instrmnt_id as instrmnt_id_to_be, typ_off_blnc_prdct as typ_off_blnc_prdct_to_be FROM bu_loantape_work.lt002_instrument WHERE ref_date='2025-06-30' AND nome_perimetro= 'Individual IDComb' AND segmento= 'ESTR' AND ambito= 'PM' AND entidade='00100' AND cod_visao = 1) B ON instrmnt_id_as_is = instrmnt_id_to_be WHERE coalesce(cast(typ_off_blnc_prdct_as_is as string), '') &lt;&gt; coalesce(cast(typ_off_blnc_prdct_to_be as string), '') ) A </v>
      </c>
      <c r="O303" s="19" t="str">
        <f t="shared" si="53"/>
        <v>SELECT 'Validação de campos' as tipologia_teste, 'lt002_instrument' AS TABELA, 'typ_off_blnc_prdct' AS CAMPO, '2025-06-30' as ref_date, coalesce(NUM_REG_DIF, 0) AS NUM_REG_DIF FROM (SELECT count(*) AS NUM_REG_DIF FROM (SELECT instrmnt_id as instrmnt_id_as_is, typ_off_blnc_prdct as typ_off_blnc_prdct_as_is FROM cd_loan_tapes_bce.lt002_instrument WHERE ref_date='2025-06-30' AND nome_perimetro= 'Individual IDComb' AND segmento= 'ESTR' AND ambito= 'PM' AND entidade='00100' AND cod_visao = 1) A  Inner join (SELECT instrmnt_id as instrmnt_id_to_be, typ_off_blnc_prdct as typ_off_blnc_prdct_to_be FROM bu_loantape_work.lt002_instrument WHERE ref_date='2025-06-30' AND nome_perimetro= 'Individual IDComb' AND segmento= 'ESTR' AND ambito= 'PM' AND entidade='00100' AND cod_visao = 1) B ON instrmnt_id_as_is = instrmnt_id_to_be WHERE coalesce(cast(typ_off_blnc_prdct_as_is as string), '') &lt;&gt; coalesce(cast(typ_off_blnc_prdct_to_be as string), '') ) A UNION ALL</v>
      </c>
      <c r="P303" s="17">
        <f t="shared" si="52"/>
        <v>17</v>
      </c>
    </row>
    <row r="304" spans="2:16" s="15" customFormat="1" ht="11.5" x14ac:dyDescent="0.25">
      <c r="B304" s="17" t="s">
        <v>24</v>
      </c>
      <c r="C304" s="17" t="str">
        <f>_xlfn.CONCAT(Instruções!$D$5,".",VLOOKUP(B304,Instruções!$F$5:$H$10,2,0))</f>
        <v>cd_loan_tapes_bce.lt002_instrument</v>
      </c>
      <c r="D304" s="17" t="str">
        <f>_xlfn.CONCAT(Instruções!$D$6,".",VLOOKUP(B304,Instruções!$F$5:$H$10,3,0))</f>
        <v>bu_loantape_work.lt002_instrument</v>
      </c>
      <c r="E304" s="17" t="s">
        <v>364</v>
      </c>
      <c r="F304" s="17" t="str">
        <f t="shared" si="55"/>
        <v>excldd_lf_as_is</v>
      </c>
      <c r="G304" s="17" t="str">
        <f t="shared" si="56"/>
        <v>excldd_lf_to_be</v>
      </c>
      <c r="H304" s="17" t="str">
        <f>IF(VLOOKUP(B304,Instruções!$F$6:$J$10,5,0)="",
"(SELECT "&amp;VLOOKUP(B304,Instruções!$F$6:$J$10,4,0)&amp;" as "&amp;VLOOKUP(B304,Instruções!$F$6:$J$10,4,0)&amp;"_as_is, "&amp;E304&amp;" as "&amp;F304&amp;" FROM "&amp;C304&amp;" WHERE "&amp;Instruções!$D$11&amp;") A ",
"(SELECT "&amp;VLOOKUP(B304,Instruções!$F$6:$J$10,4,0)&amp;" as "&amp;VLOOKUP(B304,Instruções!$F$6:$J$10,4,0)&amp;"_as_is, "&amp;VLOOKUP(B304,Instruções!$F$6:$J$10,5,0)&amp;" as "&amp;VLOOKUP(B304,Instruções!$F$6:$J$10,5,0)&amp;"_as_is,"&amp;E304&amp;" as "&amp;F304&amp;" FROM "&amp;C304&amp;" WHERE "&amp;Instruções!$D$11&amp;") A ")</f>
        <v xml:space="preserve">(SELECT instrmnt_id as instrmnt_id_as_is, excldd_lf as excldd_lf_as_is FROM cd_loan_tapes_bce.lt002_instrument WHERE ref_date='2025-06-30' AND nome_perimetro= 'Individual IDComb' AND segmento= 'ESTR' AND ambito= 'PM' AND entidade='00100' AND cod_visao = 1) A </v>
      </c>
      <c r="I304" s="17" t="str">
        <f>IF(VLOOKUP(B304,Instruções!$F$6:$J$10,5,0)="",
"(SELECT "&amp;VLOOKUP(B304,Instruções!$F$6:$J$10,4,0)&amp;" as "&amp;VLOOKUP(B304,Instruções!$F$6:$J$10,4,0)&amp;"_to_be, "&amp;E304&amp;" as "&amp;G304&amp;" FROM "&amp;D304&amp;" WHERE "&amp;Instruções!$D$11&amp;") B ",
"(SELECT "&amp;VLOOKUP(B304,Instruções!$F$6:$J$10,4,0)&amp;" as "&amp;VLOOKUP(B304,Instruções!$F$6:$J$10,4,0)&amp;"_to_be, "&amp;VLOOKUP(B304,Instruções!$F$6:$J$10,5,0)&amp;" as "&amp;VLOOKUP(B304,Instruções!$F$6:$J$10,5,0)&amp;"_to_be,"&amp;E304&amp;" as "&amp;G304&amp;" FROM "&amp;D304&amp;" WHERE "&amp;Instruções!$D$11&amp;") B ")</f>
        <v xml:space="preserve">(SELECT instrmnt_id as instrmnt_id_to_be, excldd_lf as excldd_lf_to_be FROM bu_loantape_work.lt002_instrument WHERE ref_date='2025-06-30' AND nome_perimetro= 'Individual IDComb' AND segmento= 'ESTR' AND ambito= 'PM' AND entidade='00100' AND cod_visao = 1) B </v>
      </c>
      <c r="J304" s="17" t="str">
        <f>IF(VLOOKUP(B304,Instruções!$F$6:$J$10,5,0)="",
"ON "&amp;VLOOKUP(B304,Instruções!$F$6:$J$10,4,0)&amp;"_as_is = "&amp;VLOOKUP(B304,Instruções!$F$6:$J$10,4,0)&amp;"_to_be ",
"ON "&amp;VLOOKUP(B304,Instruções!$F$6:$J$10,4,0)&amp;"_as_is = "&amp;VLOOKUP(B304,Instruções!$F$6:$J$10,4,0)&amp;"_to_be AND "&amp;VLOOKUP(B304,Instruções!$F$6:$J$10,5,0)&amp;"_as_is = "&amp;VLOOKUP(B304,Instruções!$F$6:$J$10,5,0)&amp;"_to_be ")</f>
        <v xml:space="preserve">ON instrmnt_id_as_is = instrmnt_id_to_be </v>
      </c>
      <c r="K304" s="17" t="str">
        <f t="shared" si="57"/>
        <v xml:space="preserve">WHERE coalesce(cast(excldd_lf_as_is as string), '') &lt;&gt; coalesce(cast(excldd_lf_to_be as string), '') </v>
      </c>
      <c r="L304" s="17" t="str">
        <f t="shared" si="58"/>
        <v xml:space="preserve">SELECT count(*) AS NUM_REG_DIF FROM (SELECT instrmnt_id as instrmnt_id_as_is, excldd_lf as excldd_lf_as_is FROM cd_loan_tapes_bce.lt002_instrument WHERE ref_date='2025-06-30' AND nome_perimetro= 'Individual IDComb' AND segmento= 'ESTR' AND ambito= 'PM' AND entidade='00100' AND cod_visao = 1) A  Inner join (SELECT instrmnt_id as instrmnt_id_to_be, excldd_lf as excldd_lf_to_be FROM bu_loantape_work.lt002_instrument WHERE ref_date='2025-06-30' AND nome_perimetro= 'Individual IDComb' AND segmento= 'ESTR' AND ambito= 'PM' AND entidade='00100' AND cod_visao = 1) B ON instrmnt_id_as_is = instrmnt_id_to_be WHERE coalesce(cast(excldd_lf_as_is as string), '') &lt;&gt; coalesce(cast(excldd_lf_to_be as string), '') </v>
      </c>
      <c r="M304" s="17" t="s">
        <v>48</v>
      </c>
      <c r="N304" s="17" t="str">
        <f>"SELECT 'Validação de campos' as tipologia_teste, '"&amp;VLOOKUP(B304,Instruções!$F$6:$J$10,3,0)&amp;"' AS TABELA, '"&amp;E304&amp;"' AS CAMPO, '"&amp;Instruções!$D$7&amp;"' as ref_date, coalesce(NUM_REG_DIF, 0) AS NUM_REG_DIF FROM ("&amp;L304&amp;") A "</f>
        <v xml:space="preserve">SELECT 'Validação de campos' as tipologia_teste, 'lt002_instrument' AS TABELA, 'excldd_lf' AS CAMPO, '2025-06-30' as ref_date, coalesce(NUM_REG_DIF, 0) AS NUM_REG_DIF FROM (SELECT count(*) AS NUM_REG_DIF FROM (SELECT instrmnt_id as instrmnt_id_as_is, excldd_lf as excldd_lf_as_is FROM cd_loan_tapes_bce.lt002_instrument WHERE ref_date='2025-06-30' AND nome_perimetro= 'Individual IDComb' AND segmento= 'ESTR' AND ambito= 'PM' AND entidade='00100' AND cod_visao = 1) A  Inner join (SELECT instrmnt_id as instrmnt_id_to_be, excldd_lf as excldd_lf_to_be FROM bu_loantape_work.lt002_instrument WHERE ref_date='2025-06-30' AND nome_perimetro= 'Individual IDComb' AND segmento= 'ESTR' AND ambito= 'PM' AND entidade='00100' AND cod_visao = 1) B ON instrmnt_id_as_is = instrmnt_id_to_be WHERE coalesce(cast(excldd_lf_as_is as string), '') &lt;&gt; coalesce(cast(excldd_lf_to_be as string), '') ) A </v>
      </c>
      <c r="O304" s="19" t="str">
        <f t="shared" si="53"/>
        <v>SELECT 'Validação de campos' as tipologia_teste, 'lt002_instrument' AS TABELA, 'excldd_lf' AS CAMPO, '2025-06-30' as ref_date, coalesce(NUM_REG_DIF, 0) AS NUM_REG_DIF FROM (SELECT count(*) AS NUM_REG_DIF FROM (SELECT instrmnt_id as instrmnt_id_as_is, excldd_lf as excldd_lf_as_is FROM cd_loan_tapes_bce.lt002_instrument WHERE ref_date='2025-06-30' AND nome_perimetro= 'Individual IDComb' AND segmento= 'ESTR' AND ambito= 'PM' AND entidade='00100' AND cod_visao = 1) A  Inner join (SELECT instrmnt_id as instrmnt_id_to_be, excldd_lf as excldd_lf_to_be FROM bu_loantape_work.lt002_instrument WHERE ref_date='2025-06-30' AND nome_perimetro= 'Individual IDComb' AND segmento= 'ESTR' AND ambito= 'PM' AND entidade='00100' AND cod_visao = 1) B ON instrmnt_id_as_is = instrmnt_id_to_be WHERE coalesce(cast(excldd_lf_as_is as string), '') &lt;&gt; coalesce(cast(excldd_lf_to_be as string), '') ) A UNION ALL</v>
      </c>
      <c r="P304" s="17">
        <f t="shared" si="52"/>
        <v>18</v>
      </c>
    </row>
    <row r="305" spans="2:16" s="15" customFormat="1" ht="11.5" x14ac:dyDescent="0.25">
      <c r="B305" s="17" t="s">
        <v>24</v>
      </c>
      <c r="C305" s="17" t="str">
        <f>_xlfn.CONCAT(Instruções!$D$5,".",VLOOKUP(B305,Instruções!$F$5:$H$10,2,0))</f>
        <v>cd_loan_tapes_bce.lt002_instrument</v>
      </c>
      <c r="D305" s="17" t="str">
        <f>_xlfn.CONCAT(Instruções!$D$6,".",VLOOKUP(B305,Instruções!$F$5:$H$10,3,0))</f>
        <v>bu_loantape_work.lt002_instrument</v>
      </c>
      <c r="E305" s="17" t="s">
        <v>365</v>
      </c>
      <c r="F305" s="17" t="str">
        <f t="shared" si="55"/>
        <v>rwa_mtgtn_as_is</v>
      </c>
      <c r="G305" s="17" t="str">
        <f t="shared" si="56"/>
        <v>rwa_mtgtn_to_be</v>
      </c>
      <c r="H305" s="17" t="str">
        <f>IF(VLOOKUP(B305,Instruções!$F$6:$J$10,5,0)="",
"(SELECT "&amp;VLOOKUP(B305,Instruções!$F$6:$J$10,4,0)&amp;" as "&amp;VLOOKUP(B305,Instruções!$F$6:$J$10,4,0)&amp;"_as_is, "&amp;E305&amp;" as "&amp;F305&amp;" FROM "&amp;C305&amp;" WHERE "&amp;Instruções!$D$11&amp;") A ",
"(SELECT "&amp;VLOOKUP(B305,Instruções!$F$6:$J$10,4,0)&amp;" as "&amp;VLOOKUP(B305,Instruções!$F$6:$J$10,4,0)&amp;"_as_is, "&amp;VLOOKUP(B305,Instruções!$F$6:$J$10,5,0)&amp;" as "&amp;VLOOKUP(B305,Instruções!$F$6:$J$10,5,0)&amp;"_as_is,"&amp;E305&amp;" as "&amp;F305&amp;" FROM "&amp;C305&amp;" WHERE "&amp;Instruções!$D$11&amp;") A ")</f>
        <v xml:space="preserve">(SELECT instrmnt_id as instrmnt_id_as_is, rwa_mtgtn as rwa_mtgtn_as_is FROM cd_loan_tapes_bce.lt002_instrument WHERE ref_date='2025-06-30' AND nome_perimetro= 'Individual IDComb' AND segmento= 'ESTR' AND ambito= 'PM' AND entidade='00100' AND cod_visao = 1) A </v>
      </c>
      <c r="I305" s="17" t="str">
        <f>IF(VLOOKUP(B305,Instruções!$F$6:$J$10,5,0)="",
"(SELECT "&amp;VLOOKUP(B305,Instruções!$F$6:$J$10,4,0)&amp;" as "&amp;VLOOKUP(B305,Instruções!$F$6:$J$10,4,0)&amp;"_to_be, "&amp;E305&amp;" as "&amp;G305&amp;" FROM "&amp;D305&amp;" WHERE "&amp;Instruções!$D$11&amp;") B ",
"(SELECT "&amp;VLOOKUP(B305,Instruções!$F$6:$J$10,4,0)&amp;" as "&amp;VLOOKUP(B305,Instruções!$F$6:$J$10,4,0)&amp;"_to_be, "&amp;VLOOKUP(B305,Instruções!$F$6:$J$10,5,0)&amp;" as "&amp;VLOOKUP(B305,Instruções!$F$6:$J$10,5,0)&amp;"_to_be,"&amp;E305&amp;" as "&amp;G305&amp;" FROM "&amp;D305&amp;" WHERE "&amp;Instruções!$D$11&amp;") B ")</f>
        <v xml:space="preserve">(SELECT instrmnt_id as instrmnt_id_to_be, rwa_mtgtn as rwa_mtgtn_to_be FROM bu_loantape_work.lt002_instrument WHERE ref_date='2025-06-30' AND nome_perimetro= 'Individual IDComb' AND segmento= 'ESTR' AND ambito= 'PM' AND entidade='00100' AND cod_visao = 1) B </v>
      </c>
      <c r="J305" s="17" t="str">
        <f>IF(VLOOKUP(B305,Instruções!$F$6:$J$10,5,0)="",
"ON "&amp;VLOOKUP(B305,Instruções!$F$6:$J$10,4,0)&amp;"_as_is = "&amp;VLOOKUP(B305,Instruções!$F$6:$J$10,4,0)&amp;"_to_be ",
"ON "&amp;VLOOKUP(B305,Instruções!$F$6:$J$10,4,0)&amp;"_as_is = "&amp;VLOOKUP(B305,Instruções!$F$6:$J$10,4,0)&amp;"_to_be AND "&amp;VLOOKUP(B305,Instruções!$F$6:$J$10,5,0)&amp;"_as_is = "&amp;VLOOKUP(B305,Instruções!$F$6:$J$10,5,0)&amp;"_to_be ")</f>
        <v xml:space="preserve">ON instrmnt_id_as_is = instrmnt_id_to_be </v>
      </c>
      <c r="K305" s="17" t="str">
        <f t="shared" si="57"/>
        <v xml:space="preserve">WHERE coalesce(cast(rwa_mtgtn_as_is as string), '') &lt;&gt; coalesce(cast(rwa_mtgtn_to_be as string), '') </v>
      </c>
      <c r="L305" s="17" t="str">
        <f t="shared" si="58"/>
        <v xml:space="preserve">SELECT count(*) AS NUM_REG_DIF FROM (SELECT instrmnt_id as instrmnt_id_as_is, rwa_mtgtn as rwa_mtgtn_as_is FROM cd_loan_tapes_bce.lt002_instrument WHERE ref_date='2025-06-30' AND nome_perimetro= 'Individual IDComb' AND segmento= 'ESTR' AND ambito= 'PM' AND entidade='00100' AND cod_visao = 1) A  Inner join (SELECT instrmnt_id as instrmnt_id_to_be, rwa_mtgtn as rwa_mtgtn_to_be FROM bu_loantape_work.lt002_instrument WHERE ref_date='2025-06-30' AND nome_perimetro= 'Individual IDComb' AND segmento= 'ESTR' AND ambito= 'PM' AND entidade='00100' AND cod_visao = 1) B ON instrmnt_id_as_is = instrmnt_id_to_be WHERE coalesce(cast(rwa_mtgtn_as_is as string), '') &lt;&gt; coalesce(cast(rwa_mtgtn_to_be as string), '') </v>
      </c>
      <c r="M305" s="17" t="s">
        <v>48</v>
      </c>
      <c r="N305" s="17" t="str">
        <f>"SELECT 'Validação de campos' as tipologia_teste, '"&amp;VLOOKUP(B305,Instruções!$F$6:$J$10,3,0)&amp;"' AS TABELA, '"&amp;E305&amp;"' AS CAMPO, '"&amp;Instruções!$D$7&amp;"' as ref_date, coalesce(NUM_REG_DIF, 0) AS NUM_REG_DIF FROM ("&amp;L305&amp;") A "</f>
        <v xml:space="preserve">SELECT 'Validação de campos' as tipologia_teste, 'lt002_instrument' AS TABELA, 'rwa_mtgtn' AS CAMPO, '2025-06-30' as ref_date, coalesce(NUM_REG_DIF, 0) AS NUM_REG_DIF FROM (SELECT count(*) AS NUM_REG_DIF FROM (SELECT instrmnt_id as instrmnt_id_as_is, rwa_mtgtn as rwa_mtgtn_as_is FROM cd_loan_tapes_bce.lt002_instrument WHERE ref_date='2025-06-30' AND nome_perimetro= 'Individual IDComb' AND segmento= 'ESTR' AND ambito= 'PM' AND entidade='00100' AND cod_visao = 1) A  Inner join (SELECT instrmnt_id as instrmnt_id_to_be, rwa_mtgtn as rwa_mtgtn_to_be FROM bu_loantape_work.lt002_instrument WHERE ref_date='2025-06-30' AND nome_perimetro= 'Individual IDComb' AND segmento= 'ESTR' AND ambito= 'PM' AND entidade='00100' AND cod_visao = 1) B ON instrmnt_id_as_is = instrmnt_id_to_be WHERE coalesce(cast(rwa_mtgtn_as_is as string), '') &lt;&gt; coalesce(cast(rwa_mtgtn_to_be as string), '') ) A </v>
      </c>
      <c r="O305" s="19" t="str">
        <f t="shared" si="53"/>
        <v>SELECT 'Validação de campos' as tipologia_teste, 'lt002_instrument' AS TABELA, 'rwa_mtgtn' AS CAMPO, '2025-06-30' as ref_date, coalesce(NUM_REG_DIF, 0) AS NUM_REG_DIF FROM (SELECT count(*) AS NUM_REG_DIF FROM (SELECT instrmnt_id as instrmnt_id_as_is, rwa_mtgtn as rwa_mtgtn_as_is FROM cd_loan_tapes_bce.lt002_instrument WHERE ref_date='2025-06-30' AND nome_perimetro= 'Individual IDComb' AND segmento= 'ESTR' AND ambito= 'PM' AND entidade='00100' AND cod_visao = 1) A  Inner join (SELECT instrmnt_id as instrmnt_id_to_be, rwa_mtgtn as rwa_mtgtn_to_be FROM bu_loantape_work.lt002_instrument WHERE ref_date='2025-06-30' AND nome_perimetro= 'Individual IDComb' AND segmento= 'ESTR' AND ambito= 'PM' AND entidade='00100' AND cod_visao = 1) B ON instrmnt_id_as_is = instrmnt_id_to_be WHERE coalesce(cast(rwa_mtgtn_as_is as string), '') &lt;&gt; coalesce(cast(rwa_mtgtn_to_be as string), '') ) A UNION ALL</v>
      </c>
      <c r="P305" s="17">
        <f t="shared" si="52"/>
        <v>19</v>
      </c>
    </row>
    <row r="306" spans="2:16" s="15" customFormat="1" ht="11.5" x14ac:dyDescent="0.25">
      <c r="B306" s="17" t="s">
        <v>24</v>
      </c>
      <c r="C306" s="17" t="str">
        <f>_xlfn.CONCAT(Instruções!$D$5,".",VLOOKUP(B306,Instruções!$F$5:$H$10,2,0))</f>
        <v>cd_loan_tapes_bce.lt002_instrument</v>
      </c>
      <c r="D306" s="17" t="str">
        <f>_xlfn.CONCAT(Instruções!$D$6,".",VLOOKUP(B306,Instruções!$F$5:$H$10,3,0))</f>
        <v>bu_loantape_work.lt002_instrument</v>
      </c>
      <c r="E306" s="17" t="s">
        <v>366</v>
      </c>
      <c r="F306" s="17" t="str">
        <f t="shared" si="55"/>
        <v>rwa_prmtgtn_as_is</v>
      </c>
      <c r="G306" s="17" t="str">
        <f t="shared" si="56"/>
        <v>rwa_prmtgtn_to_be</v>
      </c>
      <c r="H306" s="17" t="str">
        <f>IF(VLOOKUP(B306,Instruções!$F$6:$J$10,5,0)="",
"(SELECT "&amp;VLOOKUP(B306,Instruções!$F$6:$J$10,4,0)&amp;" as "&amp;VLOOKUP(B306,Instruções!$F$6:$J$10,4,0)&amp;"_as_is, "&amp;E306&amp;" as "&amp;F306&amp;" FROM "&amp;C306&amp;" WHERE "&amp;Instruções!$D$11&amp;") A ",
"(SELECT "&amp;VLOOKUP(B306,Instruções!$F$6:$J$10,4,0)&amp;" as "&amp;VLOOKUP(B306,Instruções!$F$6:$J$10,4,0)&amp;"_as_is, "&amp;VLOOKUP(B306,Instruções!$F$6:$J$10,5,0)&amp;" as "&amp;VLOOKUP(B306,Instruções!$F$6:$J$10,5,0)&amp;"_as_is,"&amp;E306&amp;" as "&amp;F306&amp;" FROM "&amp;C306&amp;" WHERE "&amp;Instruções!$D$11&amp;") A ")</f>
        <v xml:space="preserve">(SELECT instrmnt_id as instrmnt_id_as_is, rwa_prmtgtn as rwa_prmtgtn_as_is FROM cd_loan_tapes_bce.lt002_instrument WHERE ref_date='2025-06-30' AND nome_perimetro= 'Individual IDComb' AND segmento= 'ESTR' AND ambito= 'PM' AND entidade='00100' AND cod_visao = 1) A </v>
      </c>
      <c r="I306" s="17" t="str">
        <f>IF(VLOOKUP(B306,Instruções!$F$6:$J$10,5,0)="",
"(SELECT "&amp;VLOOKUP(B306,Instruções!$F$6:$J$10,4,0)&amp;" as "&amp;VLOOKUP(B306,Instruções!$F$6:$J$10,4,0)&amp;"_to_be, "&amp;E306&amp;" as "&amp;G306&amp;" FROM "&amp;D306&amp;" WHERE "&amp;Instruções!$D$11&amp;") B ",
"(SELECT "&amp;VLOOKUP(B306,Instruções!$F$6:$J$10,4,0)&amp;" as "&amp;VLOOKUP(B306,Instruções!$F$6:$J$10,4,0)&amp;"_to_be, "&amp;VLOOKUP(B306,Instruções!$F$6:$J$10,5,0)&amp;" as "&amp;VLOOKUP(B306,Instruções!$F$6:$J$10,5,0)&amp;"_to_be,"&amp;E306&amp;" as "&amp;G306&amp;" FROM "&amp;D306&amp;" WHERE "&amp;Instruções!$D$11&amp;") B ")</f>
        <v xml:space="preserve">(SELECT instrmnt_id as instrmnt_id_to_be, rwa_prmtgtn as rwa_prmtgtn_to_be FROM bu_loantape_work.lt002_instrument WHERE ref_date='2025-06-30' AND nome_perimetro= 'Individual IDComb' AND segmento= 'ESTR' AND ambito= 'PM' AND entidade='00100' AND cod_visao = 1) B </v>
      </c>
      <c r="J306" s="17" t="str">
        <f>IF(VLOOKUP(B306,Instruções!$F$6:$J$10,5,0)="",
"ON "&amp;VLOOKUP(B306,Instruções!$F$6:$J$10,4,0)&amp;"_as_is = "&amp;VLOOKUP(B306,Instruções!$F$6:$J$10,4,0)&amp;"_to_be ",
"ON "&amp;VLOOKUP(B306,Instruções!$F$6:$J$10,4,0)&amp;"_as_is = "&amp;VLOOKUP(B306,Instruções!$F$6:$J$10,4,0)&amp;"_to_be AND "&amp;VLOOKUP(B306,Instruções!$F$6:$J$10,5,0)&amp;"_as_is = "&amp;VLOOKUP(B306,Instruções!$F$6:$J$10,5,0)&amp;"_to_be ")</f>
        <v xml:space="preserve">ON instrmnt_id_as_is = instrmnt_id_to_be </v>
      </c>
      <c r="K306" s="17" t="str">
        <f t="shared" si="57"/>
        <v xml:space="preserve">WHERE coalesce(cast(rwa_prmtgtn_as_is as string), '') &lt;&gt; coalesce(cast(rwa_prmtgtn_to_be as string), '') </v>
      </c>
      <c r="L306" s="17" t="str">
        <f t="shared" si="58"/>
        <v xml:space="preserve">SELECT count(*) AS NUM_REG_DIF FROM (SELECT instrmnt_id as instrmnt_id_as_is, rwa_prmtgtn as rwa_prmtgtn_as_is FROM cd_loan_tapes_bce.lt002_instrument WHERE ref_date='2025-06-30' AND nome_perimetro= 'Individual IDComb' AND segmento= 'ESTR' AND ambito= 'PM' AND entidade='00100' AND cod_visao = 1) A  Inner join (SELECT instrmnt_id as instrmnt_id_to_be, rwa_prmtgtn as rwa_prmtgtn_to_be FROM bu_loantape_work.lt002_instrument WHERE ref_date='2025-06-30' AND nome_perimetro= 'Individual IDComb' AND segmento= 'ESTR' AND ambito= 'PM' AND entidade='00100' AND cod_visao = 1) B ON instrmnt_id_as_is = instrmnt_id_to_be WHERE coalesce(cast(rwa_prmtgtn_as_is as string), '') &lt;&gt; coalesce(cast(rwa_prmtgtn_to_be as string), '') </v>
      </c>
      <c r="M306" s="17" t="s">
        <v>48</v>
      </c>
      <c r="N306" s="17" t="str">
        <f>"SELECT 'Validação de campos' as tipologia_teste, '"&amp;VLOOKUP(B306,Instruções!$F$6:$J$10,3,0)&amp;"' AS TABELA, '"&amp;E306&amp;"' AS CAMPO, '"&amp;Instruções!$D$7&amp;"' as ref_date, coalesce(NUM_REG_DIF, 0) AS NUM_REG_DIF FROM ("&amp;L306&amp;") A "</f>
        <v xml:space="preserve">SELECT 'Validação de campos' as tipologia_teste, 'lt002_instrument' AS TABELA, 'rwa_prmtgtn' AS CAMPO, '2025-06-30' as ref_date, coalesce(NUM_REG_DIF, 0) AS NUM_REG_DIF FROM (SELECT count(*) AS NUM_REG_DIF FROM (SELECT instrmnt_id as instrmnt_id_as_is, rwa_prmtgtn as rwa_prmtgtn_as_is FROM cd_loan_tapes_bce.lt002_instrument WHERE ref_date='2025-06-30' AND nome_perimetro= 'Individual IDComb' AND segmento= 'ESTR' AND ambito= 'PM' AND entidade='00100' AND cod_visao = 1) A  Inner join (SELECT instrmnt_id as instrmnt_id_to_be, rwa_prmtgtn as rwa_prmtgtn_to_be FROM bu_loantape_work.lt002_instrument WHERE ref_date='2025-06-30' AND nome_perimetro= 'Individual IDComb' AND segmento= 'ESTR' AND ambito= 'PM' AND entidade='00100' AND cod_visao = 1) B ON instrmnt_id_as_is = instrmnt_id_to_be WHERE coalesce(cast(rwa_prmtgtn_as_is as string), '') &lt;&gt; coalesce(cast(rwa_prmtgtn_to_be as string), '') ) A </v>
      </c>
      <c r="O306" s="19" t="str">
        <f t="shared" si="53"/>
        <v>SELECT 'Validação de campos' as tipologia_teste, 'lt002_instrument' AS TABELA, 'rwa_prmtgtn' AS CAMPO, '2025-06-30' as ref_date, coalesce(NUM_REG_DIF, 0) AS NUM_REG_DIF FROM (SELECT count(*) AS NUM_REG_DIF FROM (SELECT instrmnt_id as instrmnt_id_as_is, rwa_prmtgtn as rwa_prmtgtn_as_is FROM cd_loan_tapes_bce.lt002_instrument WHERE ref_date='2025-06-30' AND nome_perimetro= 'Individual IDComb' AND segmento= 'ESTR' AND ambito= 'PM' AND entidade='00100' AND cod_visao = 1) A  Inner join (SELECT instrmnt_id as instrmnt_id_to_be, rwa_prmtgtn as rwa_prmtgtn_to_be FROM bu_loantape_work.lt002_instrument WHERE ref_date='2025-06-30' AND nome_perimetro= 'Individual IDComb' AND segmento= 'ESTR' AND ambito= 'PM' AND entidade='00100' AND cod_visao = 1) B ON instrmnt_id_as_is = instrmnt_id_to_be WHERE coalesce(cast(rwa_prmtgtn_as_is as string), '') &lt;&gt; coalesce(cast(rwa_prmtgtn_to_be as string), '') ) A UNION ALL</v>
      </c>
      <c r="P306" s="17">
        <f t="shared" si="52"/>
        <v>20</v>
      </c>
    </row>
    <row r="307" spans="2:16" s="15" customFormat="1" ht="11.5" x14ac:dyDescent="0.25">
      <c r="B307" s="17" t="s">
        <v>24</v>
      </c>
      <c r="C307" s="17" t="str">
        <f>_xlfn.CONCAT(Instruções!$D$5,".",VLOOKUP(B307,Instruções!$F$5:$H$10,2,0))</f>
        <v>cd_loan_tapes_bce.lt002_instrument</v>
      </c>
      <c r="D307" s="17" t="str">
        <f>_xlfn.CONCAT(Instruções!$D$6,".",VLOOKUP(B307,Instruções!$F$5:$H$10,3,0))</f>
        <v>bu_loantape_work.lt002_instrument</v>
      </c>
      <c r="E307" s="17" t="s">
        <v>367</v>
      </c>
      <c r="F307" s="17" t="str">
        <f t="shared" si="55"/>
        <v>us_prcds_as_is</v>
      </c>
      <c r="G307" s="17" t="str">
        <f t="shared" si="56"/>
        <v>us_prcds_to_be</v>
      </c>
      <c r="H307" s="17" t="str">
        <f>IF(VLOOKUP(B307,Instruções!$F$6:$J$10,5,0)="",
"(SELECT "&amp;VLOOKUP(B307,Instruções!$F$6:$J$10,4,0)&amp;" as "&amp;VLOOKUP(B307,Instruções!$F$6:$J$10,4,0)&amp;"_as_is, "&amp;E307&amp;" as "&amp;F307&amp;" FROM "&amp;C307&amp;" WHERE "&amp;Instruções!$D$11&amp;") A ",
"(SELECT "&amp;VLOOKUP(B307,Instruções!$F$6:$J$10,4,0)&amp;" as "&amp;VLOOKUP(B307,Instruções!$F$6:$J$10,4,0)&amp;"_as_is, "&amp;VLOOKUP(B307,Instruções!$F$6:$J$10,5,0)&amp;" as "&amp;VLOOKUP(B307,Instruções!$F$6:$J$10,5,0)&amp;"_as_is,"&amp;E307&amp;" as "&amp;F307&amp;" FROM "&amp;C307&amp;" WHERE "&amp;Instruções!$D$11&amp;") A ")</f>
        <v xml:space="preserve">(SELECT instrmnt_id as instrmnt_id_as_is, us_prcds as us_prcds_as_is FROM cd_loan_tapes_bce.lt002_instrument WHERE ref_date='2025-06-30' AND nome_perimetro= 'Individual IDComb' AND segmento= 'ESTR' AND ambito= 'PM' AND entidade='00100' AND cod_visao = 1) A </v>
      </c>
      <c r="I307" s="17" t="str">
        <f>IF(VLOOKUP(B307,Instruções!$F$6:$J$10,5,0)="",
"(SELECT "&amp;VLOOKUP(B307,Instruções!$F$6:$J$10,4,0)&amp;" as "&amp;VLOOKUP(B307,Instruções!$F$6:$J$10,4,0)&amp;"_to_be, "&amp;E307&amp;" as "&amp;G307&amp;" FROM "&amp;D307&amp;" WHERE "&amp;Instruções!$D$11&amp;") B ",
"(SELECT "&amp;VLOOKUP(B307,Instruções!$F$6:$J$10,4,0)&amp;" as "&amp;VLOOKUP(B307,Instruções!$F$6:$J$10,4,0)&amp;"_to_be, "&amp;VLOOKUP(B307,Instruções!$F$6:$J$10,5,0)&amp;" as "&amp;VLOOKUP(B307,Instruções!$F$6:$J$10,5,0)&amp;"_to_be,"&amp;E307&amp;" as "&amp;G307&amp;" FROM "&amp;D307&amp;" WHERE "&amp;Instruções!$D$11&amp;") B ")</f>
        <v xml:space="preserve">(SELECT instrmnt_id as instrmnt_id_to_be, us_prcds as us_prcds_to_be FROM bu_loantape_work.lt002_instrument WHERE ref_date='2025-06-30' AND nome_perimetro= 'Individual IDComb' AND segmento= 'ESTR' AND ambito= 'PM' AND entidade='00100' AND cod_visao = 1) B </v>
      </c>
      <c r="J307" s="17" t="str">
        <f>IF(VLOOKUP(B307,Instruções!$F$6:$J$10,5,0)="",
"ON "&amp;VLOOKUP(B307,Instruções!$F$6:$J$10,4,0)&amp;"_as_is = "&amp;VLOOKUP(B307,Instruções!$F$6:$J$10,4,0)&amp;"_to_be ",
"ON "&amp;VLOOKUP(B307,Instruções!$F$6:$J$10,4,0)&amp;"_as_is = "&amp;VLOOKUP(B307,Instruções!$F$6:$J$10,4,0)&amp;"_to_be AND "&amp;VLOOKUP(B307,Instruções!$F$6:$J$10,5,0)&amp;"_as_is = "&amp;VLOOKUP(B307,Instruções!$F$6:$J$10,5,0)&amp;"_to_be ")</f>
        <v xml:space="preserve">ON instrmnt_id_as_is = instrmnt_id_to_be </v>
      </c>
      <c r="K307" s="17" t="str">
        <f t="shared" si="57"/>
        <v xml:space="preserve">WHERE coalesce(cast(us_prcds_as_is as string), '') &lt;&gt; coalesce(cast(us_prcds_to_be as string), '') </v>
      </c>
      <c r="L307" s="17" t="str">
        <f t="shared" si="58"/>
        <v xml:space="preserve">SELECT count(*) AS NUM_REG_DIF FROM (SELECT instrmnt_id as instrmnt_id_as_is, us_prcds as us_prcds_as_is FROM cd_loan_tapes_bce.lt002_instrument WHERE ref_date='2025-06-30' AND nome_perimetro= 'Individual IDComb' AND segmento= 'ESTR' AND ambito= 'PM' AND entidade='00100' AND cod_visao = 1) A  Inner join (SELECT instrmnt_id as instrmnt_id_to_be, us_prcds as us_prcds_to_be FROM bu_loantape_work.lt002_instrument WHERE ref_date='2025-06-30' AND nome_perimetro= 'Individual IDComb' AND segmento= 'ESTR' AND ambito= 'PM' AND entidade='00100' AND cod_visao = 1) B ON instrmnt_id_as_is = instrmnt_id_to_be WHERE coalesce(cast(us_prcds_as_is as string), '') &lt;&gt; coalesce(cast(us_prcds_to_be as string), '') </v>
      </c>
      <c r="M307" s="17" t="s">
        <v>48</v>
      </c>
      <c r="N307" s="17" t="str">
        <f>"SELECT 'Validação de campos' as tipologia_teste, '"&amp;VLOOKUP(B307,Instruções!$F$6:$J$10,3,0)&amp;"' AS TABELA, '"&amp;E307&amp;"' AS CAMPO, '"&amp;Instruções!$D$7&amp;"' as ref_date, coalesce(NUM_REG_DIF, 0) AS NUM_REG_DIF FROM ("&amp;L307&amp;") A "</f>
        <v xml:space="preserve">SELECT 'Validação de campos' as tipologia_teste, 'lt002_instrument' AS TABELA, 'us_prcds' AS CAMPO, '2025-06-30' as ref_date, coalesce(NUM_REG_DIF, 0) AS NUM_REG_DIF FROM (SELECT count(*) AS NUM_REG_DIF FROM (SELECT instrmnt_id as instrmnt_id_as_is, us_prcds as us_prcds_as_is FROM cd_loan_tapes_bce.lt002_instrument WHERE ref_date='2025-06-30' AND nome_perimetro= 'Individual IDComb' AND segmento= 'ESTR' AND ambito= 'PM' AND entidade='00100' AND cod_visao = 1) A  Inner join (SELECT instrmnt_id as instrmnt_id_to_be, us_prcds as us_prcds_to_be FROM bu_loantape_work.lt002_instrument WHERE ref_date='2025-06-30' AND nome_perimetro= 'Individual IDComb' AND segmento= 'ESTR' AND ambito= 'PM' AND entidade='00100' AND cod_visao = 1) B ON instrmnt_id_as_is = instrmnt_id_to_be WHERE coalesce(cast(us_prcds_as_is as string), '') &lt;&gt; coalesce(cast(us_prcds_to_be as string), '') ) A </v>
      </c>
      <c r="O307" s="19" t="str">
        <f t="shared" si="53"/>
        <v>SELECT 'Validação de campos' as tipologia_teste, 'lt002_instrument' AS TABELA, 'us_prcds' AS CAMPO, '2025-06-30' as ref_date, coalesce(NUM_REG_DIF, 0) AS NUM_REG_DIF FROM (SELECT count(*) AS NUM_REG_DIF FROM (SELECT instrmnt_id as instrmnt_id_as_is, us_prcds as us_prcds_as_is FROM cd_loan_tapes_bce.lt002_instrument WHERE ref_date='2025-06-30' AND nome_perimetro= 'Individual IDComb' AND segmento= 'ESTR' AND ambito= 'PM' AND entidade='00100' AND cod_visao = 1) A  Inner join (SELECT instrmnt_id as instrmnt_id_to_be, us_prcds as us_prcds_to_be FROM bu_loantape_work.lt002_instrument WHERE ref_date='2025-06-30' AND nome_perimetro= 'Individual IDComb' AND segmento= 'ESTR' AND ambito= 'PM' AND entidade='00100' AND cod_visao = 1) B ON instrmnt_id_as_is = instrmnt_id_to_be WHERE coalesce(cast(us_prcds_as_is as string), '') &lt;&gt; coalesce(cast(us_prcds_to_be as string), '') ) A UNION ALL</v>
      </c>
      <c r="P307" s="17">
        <f t="shared" si="52"/>
        <v>21</v>
      </c>
    </row>
    <row r="308" spans="2:16" s="15" customFormat="1" ht="11.5" x14ac:dyDescent="0.25">
      <c r="B308" s="17" t="s">
        <v>24</v>
      </c>
      <c r="C308" s="17" t="str">
        <f>_xlfn.CONCAT(Instruções!$D$5,".",VLOOKUP(B308,Instruções!$F$5:$H$10,2,0))</f>
        <v>cd_loan_tapes_bce.lt002_instrument</v>
      </c>
      <c r="D308" s="17" t="str">
        <f>_xlfn.CONCAT(Instruções!$D$6,".",VLOOKUP(B308,Instruções!$F$5:$H$10,3,0))</f>
        <v>bu_loantape_work.lt002_instrument</v>
      </c>
      <c r="E308" s="17" t="s">
        <v>368</v>
      </c>
      <c r="F308" s="17" t="str">
        <f t="shared" si="55"/>
        <v>ttl_lvrg_rt_incptn_as_is</v>
      </c>
      <c r="G308" s="17" t="str">
        <f t="shared" si="56"/>
        <v>ttl_lvrg_rt_incptn_to_be</v>
      </c>
      <c r="H308" s="17" t="str">
        <f>IF(VLOOKUP(B308,Instruções!$F$6:$J$10,5,0)="",
"(SELECT "&amp;VLOOKUP(B308,Instruções!$F$6:$J$10,4,0)&amp;" as "&amp;VLOOKUP(B308,Instruções!$F$6:$J$10,4,0)&amp;"_as_is, "&amp;E308&amp;" as "&amp;F308&amp;" FROM "&amp;C308&amp;" WHERE "&amp;Instruções!$D$11&amp;") A ",
"(SELECT "&amp;VLOOKUP(B308,Instruções!$F$6:$J$10,4,0)&amp;" as "&amp;VLOOKUP(B308,Instruções!$F$6:$J$10,4,0)&amp;"_as_is, "&amp;VLOOKUP(B308,Instruções!$F$6:$J$10,5,0)&amp;" as "&amp;VLOOKUP(B308,Instruções!$F$6:$J$10,5,0)&amp;"_as_is,"&amp;E308&amp;" as "&amp;F308&amp;" FROM "&amp;C308&amp;" WHERE "&amp;Instruções!$D$11&amp;") A ")</f>
        <v xml:space="preserve">(SELECT instrmnt_id as instrmnt_id_as_is, ttl_lvrg_rt_incptn as ttl_lvrg_rt_incptn_as_is FROM cd_loan_tapes_bce.lt002_instrument WHERE ref_date='2025-06-30' AND nome_perimetro= 'Individual IDComb' AND segmento= 'ESTR' AND ambito= 'PM' AND entidade='00100' AND cod_visao = 1) A </v>
      </c>
      <c r="I308" s="17" t="str">
        <f>IF(VLOOKUP(B308,Instruções!$F$6:$J$10,5,0)="",
"(SELECT "&amp;VLOOKUP(B308,Instruções!$F$6:$J$10,4,0)&amp;" as "&amp;VLOOKUP(B308,Instruções!$F$6:$J$10,4,0)&amp;"_to_be, "&amp;E308&amp;" as "&amp;G308&amp;" FROM "&amp;D308&amp;" WHERE "&amp;Instruções!$D$11&amp;") B ",
"(SELECT "&amp;VLOOKUP(B308,Instruções!$F$6:$J$10,4,0)&amp;" as "&amp;VLOOKUP(B308,Instruções!$F$6:$J$10,4,0)&amp;"_to_be, "&amp;VLOOKUP(B308,Instruções!$F$6:$J$10,5,0)&amp;" as "&amp;VLOOKUP(B308,Instruções!$F$6:$J$10,5,0)&amp;"_to_be,"&amp;E308&amp;" as "&amp;G308&amp;" FROM "&amp;D308&amp;" WHERE "&amp;Instruções!$D$11&amp;") B ")</f>
        <v xml:space="preserve">(SELECT instrmnt_id as instrmnt_id_to_be, ttl_lvrg_rt_incptn as ttl_lvrg_rt_incptn_to_be FROM bu_loantape_work.lt002_instrument WHERE ref_date='2025-06-30' AND nome_perimetro= 'Individual IDComb' AND segmento= 'ESTR' AND ambito= 'PM' AND entidade='00100' AND cod_visao = 1) B </v>
      </c>
      <c r="J308" s="17" t="str">
        <f>IF(VLOOKUP(B308,Instruções!$F$6:$J$10,5,0)="",
"ON "&amp;VLOOKUP(B308,Instruções!$F$6:$J$10,4,0)&amp;"_as_is = "&amp;VLOOKUP(B308,Instruções!$F$6:$J$10,4,0)&amp;"_to_be ",
"ON "&amp;VLOOKUP(B308,Instruções!$F$6:$J$10,4,0)&amp;"_as_is = "&amp;VLOOKUP(B308,Instruções!$F$6:$J$10,4,0)&amp;"_to_be AND "&amp;VLOOKUP(B308,Instruções!$F$6:$J$10,5,0)&amp;"_as_is = "&amp;VLOOKUP(B308,Instruções!$F$6:$J$10,5,0)&amp;"_to_be ")</f>
        <v xml:space="preserve">ON instrmnt_id_as_is = instrmnt_id_to_be </v>
      </c>
      <c r="K308" s="17" t="str">
        <f t="shared" si="57"/>
        <v xml:space="preserve">WHERE coalesce(cast(ttl_lvrg_rt_incptn_as_is as string), '') &lt;&gt; coalesce(cast(ttl_lvrg_rt_incptn_to_be as string), '') </v>
      </c>
      <c r="L308" s="17" t="str">
        <f t="shared" si="58"/>
        <v xml:space="preserve">SELECT count(*) AS NUM_REG_DIF FROM (SELECT instrmnt_id as instrmnt_id_as_is, ttl_lvrg_rt_incptn as ttl_lvrg_rt_incptn_as_is FROM cd_loan_tapes_bce.lt002_instrument WHERE ref_date='2025-06-30' AND nome_perimetro= 'Individual IDComb' AND segmento= 'ESTR' AND ambito= 'PM' AND entidade='00100' AND cod_visao = 1) A  Inner join (SELECT instrmnt_id as instrmnt_id_to_be, ttl_lvrg_rt_incptn as ttl_lvrg_rt_incptn_to_be FROM bu_loantape_work.lt002_instrument WHERE ref_date='2025-06-30' AND nome_perimetro= 'Individual IDComb' AND segmento= 'ESTR' AND ambito= 'PM' AND entidade='00100' AND cod_visao = 1) B ON instrmnt_id_as_is = instrmnt_id_to_be WHERE coalesce(cast(ttl_lvrg_rt_incptn_as_is as string), '') &lt;&gt; coalesce(cast(ttl_lvrg_rt_incptn_to_be as string), '') </v>
      </c>
      <c r="M308" s="17" t="s">
        <v>48</v>
      </c>
      <c r="N308" s="17" t="str">
        <f>"SELECT 'Validação de campos' as tipologia_teste, '"&amp;VLOOKUP(B308,Instruções!$F$6:$J$10,3,0)&amp;"' AS TABELA, '"&amp;E308&amp;"' AS CAMPO, '"&amp;Instruções!$D$7&amp;"' as ref_date, coalesce(NUM_REG_DIF, 0) AS NUM_REG_DIF FROM ("&amp;L308&amp;") A "</f>
        <v xml:space="preserve">SELECT 'Validação de campos' as tipologia_teste, 'lt002_instrument' AS TABELA, 'ttl_lvrg_rt_incptn' AS CAMPO, '2025-06-30' as ref_date, coalesce(NUM_REG_DIF, 0) AS NUM_REG_DIF FROM (SELECT count(*) AS NUM_REG_DIF FROM (SELECT instrmnt_id as instrmnt_id_as_is, ttl_lvrg_rt_incptn as ttl_lvrg_rt_incptn_as_is FROM cd_loan_tapes_bce.lt002_instrument WHERE ref_date='2025-06-30' AND nome_perimetro= 'Individual IDComb' AND segmento= 'ESTR' AND ambito= 'PM' AND entidade='00100' AND cod_visao = 1) A  Inner join (SELECT instrmnt_id as instrmnt_id_to_be, ttl_lvrg_rt_incptn as ttl_lvrg_rt_incptn_to_be FROM bu_loantape_work.lt002_instrument WHERE ref_date='2025-06-30' AND nome_perimetro= 'Individual IDComb' AND segmento= 'ESTR' AND ambito= 'PM' AND entidade='00100' AND cod_visao = 1) B ON instrmnt_id_as_is = instrmnt_id_to_be WHERE coalesce(cast(ttl_lvrg_rt_incptn_as_is as string), '') &lt;&gt; coalesce(cast(ttl_lvrg_rt_incptn_to_be as string), '') ) A </v>
      </c>
      <c r="O308" s="19" t="str">
        <f t="shared" si="53"/>
        <v>SELECT 'Validação de campos' as tipologia_teste, 'lt002_instrument' AS TABELA, 'ttl_lvrg_rt_incptn' AS CAMPO, '2025-06-30' as ref_date, coalesce(NUM_REG_DIF, 0) AS NUM_REG_DIF FROM (SELECT count(*) AS NUM_REG_DIF FROM (SELECT instrmnt_id as instrmnt_id_as_is, ttl_lvrg_rt_incptn as ttl_lvrg_rt_incptn_as_is FROM cd_loan_tapes_bce.lt002_instrument WHERE ref_date='2025-06-30' AND nome_perimetro= 'Individual IDComb' AND segmento= 'ESTR' AND ambito= 'PM' AND entidade='00100' AND cod_visao = 1) A  Inner join (SELECT instrmnt_id as instrmnt_id_to_be, ttl_lvrg_rt_incptn as ttl_lvrg_rt_incptn_to_be FROM bu_loantape_work.lt002_instrument WHERE ref_date='2025-06-30' AND nome_perimetro= 'Individual IDComb' AND segmento= 'ESTR' AND ambito= 'PM' AND entidade='00100' AND cod_visao = 1) B ON instrmnt_id_as_is = instrmnt_id_to_be WHERE coalesce(cast(ttl_lvrg_rt_incptn_as_is as string), '') &lt;&gt; coalesce(cast(ttl_lvrg_rt_incptn_to_be as string), '') ) A UNION ALL</v>
      </c>
      <c r="P308" s="17">
        <f t="shared" si="52"/>
        <v>22</v>
      </c>
    </row>
    <row r="309" spans="2:16" s="15" customFormat="1" ht="11.5" x14ac:dyDescent="0.25">
      <c r="B309" s="17" t="s">
        <v>24</v>
      </c>
      <c r="C309" s="17" t="str">
        <f>_xlfn.CONCAT(Instruções!$D$5,".",VLOOKUP(B309,Instruções!$F$5:$H$10,2,0))</f>
        <v>cd_loan_tapes_bce.lt002_instrument</v>
      </c>
      <c r="D309" s="17" t="str">
        <f>_xlfn.CONCAT(Instruções!$D$6,".",VLOOKUP(B309,Instruções!$F$5:$H$10,3,0))</f>
        <v>bu_loantape_work.lt002_instrument</v>
      </c>
      <c r="E309" s="17" t="s">
        <v>369</v>
      </c>
      <c r="F309" s="17" t="str">
        <f t="shared" si="55"/>
        <v>typ_fclty_as_is</v>
      </c>
      <c r="G309" s="17" t="str">
        <f t="shared" si="56"/>
        <v>typ_fclty_to_be</v>
      </c>
      <c r="H309" s="17" t="str">
        <f>IF(VLOOKUP(B309,Instruções!$F$6:$J$10,5,0)="",
"(SELECT "&amp;VLOOKUP(B309,Instruções!$F$6:$J$10,4,0)&amp;" as "&amp;VLOOKUP(B309,Instruções!$F$6:$J$10,4,0)&amp;"_as_is, "&amp;E309&amp;" as "&amp;F309&amp;" FROM "&amp;C309&amp;" WHERE "&amp;Instruções!$D$11&amp;") A ",
"(SELECT "&amp;VLOOKUP(B309,Instruções!$F$6:$J$10,4,0)&amp;" as "&amp;VLOOKUP(B309,Instruções!$F$6:$J$10,4,0)&amp;"_as_is, "&amp;VLOOKUP(B309,Instruções!$F$6:$J$10,5,0)&amp;" as "&amp;VLOOKUP(B309,Instruções!$F$6:$J$10,5,0)&amp;"_as_is,"&amp;E309&amp;" as "&amp;F309&amp;" FROM "&amp;C309&amp;" WHERE "&amp;Instruções!$D$11&amp;") A ")</f>
        <v xml:space="preserve">(SELECT instrmnt_id as instrmnt_id_as_is, typ_fclty as typ_fclty_as_is FROM cd_loan_tapes_bce.lt002_instrument WHERE ref_date='2025-06-30' AND nome_perimetro= 'Individual IDComb' AND segmento= 'ESTR' AND ambito= 'PM' AND entidade='00100' AND cod_visao = 1) A </v>
      </c>
      <c r="I309" s="17" t="str">
        <f>IF(VLOOKUP(B309,Instruções!$F$6:$J$10,5,0)="",
"(SELECT "&amp;VLOOKUP(B309,Instruções!$F$6:$J$10,4,0)&amp;" as "&amp;VLOOKUP(B309,Instruções!$F$6:$J$10,4,0)&amp;"_to_be, "&amp;E309&amp;" as "&amp;G309&amp;" FROM "&amp;D309&amp;" WHERE "&amp;Instruções!$D$11&amp;") B ",
"(SELECT "&amp;VLOOKUP(B309,Instruções!$F$6:$J$10,4,0)&amp;" as "&amp;VLOOKUP(B309,Instruções!$F$6:$J$10,4,0)&amp;"_to_be, "&amp;VLOOKUP(B309,Instruções!$F$6:$J$10,5,0)&amp;" as "&amp;VLOOKUP(B309,Instruções!$F$6:$J$10,5,0)&amp;"_to_be,"&amp;E309&amp;" as "&amp;G309&amp;" FROM "&amp;D309&amp;" WHERE "&amp;Instruções!$D$11&amp;") B ")</f>
        <v xml:space="preserve">(SELECT instrmnt_id as instrmnt_id_to_be, typ_fclty as typ_fclty_to_be FROM bu_loantape_work.lt002_instrument WHERE ref_date='2025-06-30' AND nome_perimetro= 'Individual IDComb' AND segmento= 'ESTR' AND ambito= 'PM' AND entidade='00100' AND cod_visao = 1) B </v>
      </c>
      <c r="J309" s="17" t="str">
        <f>IF(VLOOKUP(B309,Instruções!$F$6:$J$10,5,0)="",
"ON "&amp;VLOOKUP(B309,Instruções!$F$6:$J$10,4,0)&amp;"_as_is = "&amp;VLOOKUP(B309,Instruções!$F$6:$J$10,4,0)&amp;"_to_be ",
"ON "&amp;VLOOKUP(B309,Instruções!$F$6:$J$10,4,0)&amp;"_as_is = "&amp;VLOOKUP(B309,Instruções!$F$6:$J$10,4,0)&amp;"_to_be AND "&amp;VLOOKUP(B309,Instruções!$F$6:$J$10,5,0)&amp;"_as_is = "&amp;VLOOKUP(B309,Instruções!$F$6:$J$10,5,0)&amp;"_to_be ")</f>
        <v xml:space="preserve">ON instrmnt_id_as_is = instrmnt_id_to_be </v>
      </c>
      <c r="K309" s="17" t="str">
        <f t="shared" si="57"/>
        <v xml:space="preserve">WHERE coalesce(cast(typ_fclty_as_is as string), '') &lt;&gt; coalesce(cast(typ_fclty_to_be as string), '') </v>
      </c>
      <c r="L309" s="17" t="str">
        <f t="shared" si="58"/>
        <v xml:space="preserve">SELECT count(*) AS NUM_REG_DIF FROM (SELECT instrmnt_id as instrmnt_id_as_is, typ_fclty as typ_fclty_as_is FROM cd_loan_tapes_bce.lt002_instrument WHERE ref_date='2025-06-30' AND nome_perimetro= 'Individual IDComb' AND segmento= 'ESTR' AND ambito= 'PM' AND entidade='00100' AND cod_visao = 1) A  Inner join (SELECT instrmnt_id as instrmnt_id_to_be, typ_fclty as typ_fclty_to_be FROM bu_loantape_work.lt002_instrument WHERE ref_date='2025-06-30' AND nome_perimetro= 'Individual IDComb' AND segmento= 'ESTR' AND ambito= 'PM' AND entidade='00100' AND cod_visao = 1) B ON instrmnt_id_as_is = instrmnt_id_to_be WHERE coalesce(cast(typ_fclty_as_is as string), '') &lt;&gt; coalesce(cast(typ_fclty_to_be as string), '') </v>
      </c>
      <c r="M309" s="17" t="s">
        <v>48</v>
      </c>
      <c r="N309" s="17" t="str">
        <f>"SELECT 'Validação de campos' as tipologia_teste, '"&amp;VLOOKUP(B309,Instruções!$F$6:$J$10,3,0)&amp;"' AS TABELA, '"&amp;E309&amp;"' AS CAMPO, '"&amp;Instruções!$D$7&amp;"' as ref_date, coalesce(NUM_REG_DIF, 0) AS NUM_REG_DIF FROM ("&amp;L309&amp;") A "</f>
        <v xml:space="preserve">SELECT 'Validação de campos' as tipologia_teste, 'lt002_instrument' AS TABELA, 'typ_fclty' AS CAMPO, '2025-06-30' as ref_date, coalesce(NUM_REG_DIF, 0) AS NUM_REG_DIF FROM (SELECT count(*) AS NUM_REG_DIF FROM (SELECT instrmnt_id as instrmnt_id_as_is, typ_fclty as typ_fclty_as_is FROM cd_loan_tapes_bce.lt002_instrument WHERE ref_date='2025-06-30' AND nome_perimetro= 'Individual IDComb' AND segmento= 'ESTR' AND ambito= 'PM' AND entidade='00100' AND cod_visao = 1) A  Inner join (SELECT instrmnt_id as instrmnt_id_to_be, typ_fclty as typ_fclty_to_be FROM bu_loantape_work.lt002_instrument WHERE ref_date='2025-06-30' AND nome_perimetro= 'Individual IDComb' AND segmento= 'ESTR' AND ambito= 'PM' AND entidade='00100' AND cod_visao = 1) B ON instrmnt_id_as_is = instrmnt_id_to_be WHERE coalesce(cast(typ_fclty_as_is as string), '') &lt;&gt; coalesce(cast(typ_fclty_to_be as string), '') ) A </v>
      </c>
      <c r="O309" s="19" t="str">
        <f t="shared" si="53"/>
        <v>SELECT 'Validação de campos' as tipologia_teste, 'lt002_instrument' AS TABELA, 'typ_fclty' AS CAMPO, '2025-06-30' as ref_date, coalesce(NUM_REG_DIF, 0) AS NUM_REG_DIF FROM (SELECT count(*) AS NUM_REG_DIF FROM (SELECT instrmnt_id as instrmnt_id_as_is, typ_fclty as typ_fclty_as_is FROM cd_loan_tapes_bce.lt002_instrument WHERE ref_date='2025-06-30' AND nome_perimetro= 'Individual IDComb' AND segmento= 'ESTR' AND ambito= 'PM' AND entidade='00100' AND cod_visao = 1) A  Inner join (SELECT instrmnt_id as instrmnt_id_to_be, typ_fclty as typ_fclty_to_be FROM bu_loantape_work.lt002_instrument WHERE ref_date='2025-06-30' AND nome_perimetro= 'Individual IDComb' AND segmento= 'ESTR' AND ambito= 'PM' AND entidade='00100' AND cod_visao = 1) B ON instrmnt_id_as_is = instrmnt_id_to_be WHERE coalesce(cast(typ_fclty_as_is as string), '') &lt;&gt; coalesce(cast(typ_fclty_to_be as string), '') ) A UNION ALL</v>
      </c>
      <c r="P309" s="17">
        <f t="shared" si="52"/>
        <v>23</v>
      </c>
    </row>
    <row r="310" spans="2:16" s="15" customFormat="1" ht="11.5" x14ac:dyDescent="0.25">
      <c r="B310" s="17" t="s">
        <v>24</v>
      </c>
      <c r="C310" s="17" t="str">
        <f>_xlfn.CONCAT(Instruções!$D$5,".",VLOOKUP(B310,Instruções!$F$5:$H$10,2,0))</f>
        <v>cd_loan_tapes_bce.lt002_instrument</v>
      </c>
      <c r="D310" s="17" t="str">
        <f>_xlfn.CONCAT(Instruções!$D$6,".",VLOOKUP(B310,Instruções!$F$5:$H$10,3,0))</f>
        <v>bu_loantape_work.lt002_instrument</v>
      </c>
      <c r="E310" s="17" t="s">
        <v>370</v>
      </c>
      <c r="F310" s="17" t="str">
        <f t="shared" si="55"/>
        <v>typ_cl_as_is</v>
      </c>
      <c r="G310" s="17" t="str">
        <f t="shared" si="56"/>
        <v>typ_cl_to_be</v>
      </c>
      <c r="H310" s="17" t="str">
        <f>IF(VLOOKUP(B310,Instruções!$F$6:$J$10,5,0)="",
"(SELECT "&amp;VLOOKUP(B310,Instruções!$F$6:$J$10,4,0)&amp;" as "&amp;VLOOKUP(B310,Instruções!$F$6:$J$10,4,0)&amp;"_as_is, "&amp;E310&amp;" as "&amp;F310&amp;" FROM "&amp;C310&amp;" WHERE "&amp;Instruções!$D$11&amp;") A ",
"(SELECT "&amp;VLOOKUP(B310,Instruções!$F$6:$J$10,4,0)&amp;" as "&amp;VLOOKUP(B310,Instruções!$F$6:$J$10,4,0)&amp;"_as_is, "&amp;VLOOKUP(B310,Instruções!$F$6:$J$10,5,0)&amp;" as "&amp;VLOOKUP(B310,Instruções!$F$6:$J$10,5,0)&amp;"_as_is,"&amp;E310&amp;" as "&amp;F310&amp;" FROM "&amp;C310&amp;" WHERE "&amp;Instruções!$D$11&amp;") A ")</f>
        <v xml:space="preserve">(SELECT instrmnt_id as instrmnt_id_as_is, typ_cl as typ_cl_as_is FROM cd_loan_tapes_bce.lt002_instrument WHERE ref_date='2025-06-30' AND nome_perimetro= 'Individual IDComb' AND segmento= 'ESTR' AND ambito= 'PM' AND entidade='00100' AND cod_visao = 1) A </v>
      </c>
      <c r="I310" s="17" t="str">
        <f>IF(VLOOKUP(B310,Instruções!$F$6:$J$10,5,0)="",
"(SELECT "&amp;VLOOKUP(B310,Instruções!$F$6:$J$10,4,0)&amp;" as "&amp;VLOOKUP(B310,Instruções!$F$6:$J$10,4,0)&amp;"_to_be, "&amp;E310&amp;" as "&amp;G310&amp;" FROM "&amp;D310&amp;" WHERE "&amp;Instruções!$D$11&amp;") B ",
"(SELECT "&amp;VLOOKUP(B310,Instruções!$F$6:$J$10,4,0)&amp;" as "&amp;VLOOKUP(B310,Instruções!$F$6:$J$10,4,0)&amp;"_to_be, "&amp;VLOOKUP(B310,Instruções!$F$6:$J$10,5,0)&amp;" as "&amp;VLOOKUP(B310,Instruções!$F$6:$J$10,5,0)&amp;"_to_be,"&amp;E310&amp;" as "&amp;G310&amp;" FROM "&amp;D310&amp;" WHERE "&amp;Instruções!$D$11&amp;") B ")</f>
        <v xml:space="preserve">(SELECT instrmnt_id as instrmnt_id_to_be, typ_cl as typ_cl_to_be FROM bu_loantape_work.lt002_instrument WHERE ref_date='2025-06-30' AND nome_perimetro= 'Individual IDComb' AND segmento= 'ESTR' AND ambito= 'PM' AND entidade='00100' AND cod_visao = 1) B </v>
      </c>
      <c r="J310" s="17" t="str">
        <f>IF(VLOOKUP(B310,Instruções!$F$6:$J$10,5,0)="",
"ON "&amp;VLOOKUP(B310,Instruções!$F$6:$J$10,4,0)&amp;"_as_is = "&amp;VLOOKUP(B310,Instruções!$F$6:$J$10,4,0)&amp;"_to_be ",
"ON "&amp;VLOOKUP(B310,Instruções!$F$6:$J$10,4,0)&amp;"_as_is = "&amp;VLOOKUP(B310,Instruções!$F$6:$J$10,4,0)&amp;"_to_be AND "&amp;VLOOKUP(B310,Instruções!$F$6:$J$10,5,0)&amp;"_as_is = "&amp;VLOOKUP(B310,Instruções!$F$6:$J$10,5,0)&amp;"_to_be ")</f>
        <v xml:space="preserve">ON instrmnt_id_as_is = instrmnt_id_to_be </v>
      </c>
      <c r="K310" s="17" t="str">
        <f t="shared" si="57"/>
        <v xml:space="preserve">WHERE coalesce(cast(typ_cl_as_is as string), '') &lt;&gt; coalesce(cast(typ_cl_to_be as string), '') </v>
      </c>
      <c r="L310" s="17" t="str">
        <f t="shared" si="58"/>
        <v xml:space="preserve">SELECT count(*) AS NUM_REG_DIF FROM (SELECT instrmnt_id as instrmnt_id_as_is, typ_cl as typ_cl_as_is FROM cd_loan_tapes_bce.lt002_instrument WHERE ref_date='2025-06-30' AND nome_perimetro= 'Individual IDComb' AND segmento= 'ESTR' AND ambito= 'PM' AND entidade='00100' AND cod_visao = 1) A  Inner join (SELECT instrmnt_id as instrmnt_id_to_be, typ_cl as typ_cl_to_be FROM bu_loantape_work.lt002_instrument WHERE ref_date='2025-06-30' AND nome_perimetro= 'Individual IDComb' AND segmento= 'ESTR' AND ambito= 'PM' AND entidade='00100' AND cod_visao = 1) B ON instrmnt_id_as_is = instrmnt_id_to_be WHERE coalesce(cast(typ_cl_as_is as string), '') &lt;&gt; coalesce(cast(typ_cl_to_be as string), '') </v>
      </c>
      <c r="M310" s="17" t="s">
        <v>48</v>
      </c>
      <c r="N310" s="17" t="str">
        <f>"SELECT 'Validação de campos' as tipologia_teste, '"&amp;VLOOKUP(B310,Instruções!$F$6:$J$10,3,0)&amp;"' AS TABELA, '"&amp;E310&amp;"' AS CAMPO, '"&amp;Instruções!$D$7&amp;"' as ref_date, coalesce(NUM_REG_DIF, 0) AS NUM_REG_DIF FROM ("&amp;L310&amp;") A "</f>
        <v xml:space="preserve">SELECT 'Validação de campos' as tipologia_teste, 'lt002_instrument' AS TABELA, 'typ_cl' AS CAMPO, '2025-06-30' as ref_date, coalesce(NUM_REG_DIF, 0) AS NUM_REG_DIF FROM (SELECT count(*) AS NUM_REG_DIF FROM (SELECT instrmnt_id as instrmnt_id_as_is, typ_cl as typ_cl_as_is FROM cd_loan_tapes_bce.lt002_instrument WHERE ref_date='2025-06-30' AND nome_perimetro= 'Individual IDComb' AND segmento= 'ESTR' AND ambito= 'PM' AND entidade='00100' AND cod_visao = 1) A  Inner join (SELECT instrmnt_id as instrmnt_id_to_be, typ_cl as typ_cl_to_be FROM bu_loantape_work.lt002_instrument WHERE ref_date='2025-06-30' AND nome_perimetro= 'Individual IDComb' AND segmento= 'ESTR' AND ambito= 'PM' AND entidade='00100' AND cod_visao = 1) B ON instrmnt_id_as_is = instrmnt_id_to_be WHERE coalesce(cast(typ_cl_as_is as string), '') &lt;&gt; coalesce(cast(typ_cl_to_be as string), '') ) A </v>
      </c>
      <c r="O310" s="19" t="str">
        <f t="shared" si="53"/>
        <v>SELECT 'Validação de campos' as tipologia_teste, 'lt002_instrument' AS TABELA, 'typ_cl' AS CAMPO, '2025-06-30' as ref_date, coalesce(NUM_REG_DIF, 0) AS NUM_REG_DIF FROM (SELECT count(*) AS NUM_REG_DIF FROM (SELECT instrmnt_id as instrmnt_id_as_is, typ_cl as typ_cl_as_is FROM cd_loan_tapes_bce.lt002_instrument WHERE ref_date='2025-06-30' AND nome_perimetro= 'Individual IDComb' AND segmento= 'ESTR' AND ambito= 'PM' AND entidade='00100' AND cod_visao = 1) A  Inner join (SELECT instrmnt_id as instrmnt_id_to_be, typ_cl as typ_cl_to_be FROM bu_loantape_work.lt002_instrument WHERE ref_date='2025-06-30' AND nome_perimetro= 'Individual IDComb' AND segmento= 'ESTR' AND ambito= 'PM' AND entidade='00100' AND cod_visao = 1) B ON instrmnt_id_as_is = instrmnt_id_to_be WHERE coalesce(cast(typ_cl_as_is as string), '') &lt;&gt; coalesce(cast(typ_cl_to_be as string), '') ) A UNION ALL</v>
      </c>
      <c r="P310" s="17">
        <f t="shared" si="52"/>
        <v>24</v>
      </c>
    </row>
    <row r="311" spans="2:16" s="15" customFormat="1" ht="11.5" x14ac:dyDescent="0.25">
      <c r="B311" s="17" t="s">
        <v>24</v>
      </c>
      <c r="C311" s="17" t="str">
        <f>_xlfn.CONCAT(Instruções!$D$5,".",VLOOKUP(B311,Instruções!$F$5:$H$10,2,0))</f>
        <v>cd_loan_tapes_bce.lt002_instrument</v>
      </c>
      <c r="D311" s="17" t="str">
        <f>_xlfn.CONCAT(Instruções!$D$6,".",VLOOKUP(B311,Instruções!$F$5:$H$10,3,0))</f>
        <v>bu_loantape_work.lt002_instrument</v>
      </c>
      <c r="E311" s="17" t="s">
        <v>371</v>
      </c>
      <c r="F311" s="17" t="str">
        <f t="shared" si="55"/>
        <v>typ_dl_as_is</v>
      </c>
      <c r="G311" s="17" t="str">
        <f t="shared" si="56"/>
        <v>typ_dl_to_be</v>
      </c>
      <c r="H311" s="17" t="str">
        <f>IF(VLOOKUP(B311,Instruções!$F$6:$J$10,5,0)="",
"(SELECT "&amp;VLOOKUP(B311,Instruções!$F$6:$J$10,4,0)&amp;" as "&amp;VLOOKUP(B311,Instruções!$F$6:$J$10,4,0)&amp;"_as_is, "&amp;E311&amp;" as "&amp;F311&amp;" FROM "&amp;C311&amp;" WHERE "&amp;Instruções!$D$11&amp;") A ",
"(SELECT "&amp;VLOOKUP(B311,Instruções!$F$6:$J$10,4,0)&amp;" as "&amp;VLOOKUP(B311,Instruções!$F$6:$J$10,4,0)&amp;"_as_is, "&amp;VLOOKUP(B311,Instruções!$F$6:$J$10,5,0)&amp;" as "&amp;VLOOKUP(B311,Instruções!$F$6:$J$10,5,0)&amp;"_as_is,"&amp;E311&amp;" as "&amp;F311&amp;" FROM "&amp;C311&amp;" WHERE "&amp;Instruções!$D$11&amp;") A ")</f>
        <v xml:space="preserve">(SELECT instrmnt_id as instrmnt_id_as_is, typ_dl as typ_dl_as_is FROM cd_loan_tapes_bce.lt002_instrument WHERE ref_date='2025-06-30' AND nome_perimetro= 'Individual IDComb' AND segmento= 'ESTR' AND ambito= 'PM' AND entidade='00100' AND cod_visao = 1) A </v>
      </c>
      <c r="I311" s="17" t="str">
        <f>IF(VLOOKUP(B311,Instruções!$F$6:$J$10,5,0)="",
"(SELECT "&amp;VLOOKUP(B311,Instruções!$F$6:$J$10,4,0)&amp;" as "&amp;VLOOKUP(B311,Instruções!$F$6:$J$10,4,0)&amp;"_to_be, "&amp;E311&amp;" as "&amp;G311&amp;" FROM "&amp;D311&amp;" WHERE "&amp;Instruções!$D$11&amp;") B ",
"(SELECT "&amp;VLOOKUP(B311,Instruções!$F$6:$J$10,4,0)&amp;" as "&amp;VLOOKUP(B311,Instruções!$F$6:$J$10,4,0)&amp;"_to_be, "&amp;VLOOKUP(B311,Instruções!$F$6:$J$10,5,0)&amp;" as "&amp;VLOOKUP(B311,Instruções!$F$6:$J$10,5,0)&amp;"_to_be,"&amp;E311&amp;" as "&amp;G311&amp;" FROM "&amp;D311&amp;" WHERE "&amp;Instruções!$D$11&amp;") B ")</f>
        <v xml:space="preserve">(SELECT instrmnt_id as instrmnt_id_to_be, typ_dl as typ_dl_to_be FROM bu_loantape_work.lt002_instrument WHERE ref_date='2025-06-30' AND nome_perimetro= 'Individual IDComb' AND segmento= 'ESTR' AND ambito= 'PM' AND entidade='00100' AND cod_visao = 1) B </v>
      </c>
      <c r="J311" s="17" t="str">
        <f>IF(VLOOKUP(B311,Instruções!$F$6:$J$10,5,0)="",
"ON "&amp;VLOOKUP(B311,Instruções!$F$6:$J$10,4,0)&amp;"_as_is = "&amp;VLOOKUP(B311,Instruções!$F$6:$J$10,4,0)&amp;"_to_be ",
"ON "&amp;VLOOKUP(B311,Instruções!$F$6:$J$10,4,0)&amp;"_as_is = "&amp;VLOOKUP(B311,Instruções!$F$6:$J$10,4,0)&amp;"_to_be AND "&amp;VLOOKUP(B311,Instruções!$F$6:$J$10,5,0)&amp;"_as_is = "&amp;VLOOKUP(B311,Instruções!$F$6:$J$10,5,0)&amp;"_to_be ")</f>
        <v xml:space="preserve">ON instrmnt_id_as_is = instrmnt_id_to_be </v>
      </c>
      <c r="K311" s="17" t="str">
        <f t="shared" si="57"/>
        <v xml:space="preserve">WHERE coalesce(cast(typ_dl_as_is as string), '') &lt;&gt; coalesce(cast(typ_dl_to_be as string), '') </v>
      </c>
      <c r="L311" s="17" t="str">
        <f t="shared" si="58"/>
        <v xml:space="preserve">SELECT count(*) AS NUM_REG_DIF FROM (SELECT instrmnt_id as instrmnt_id_as_is, typ_dl as typ_dl_as_is FROM cd_loan_tapes_bce.lt002_instrument WHERE ref_date='2025-06-30' AND nome_perimetro= 'Individual IDComb' AND segmento= 'ESTR' AND ambito= 'PM' AND entidade='00100' AND cod_visao = 1) A  Inner join (SELECT instrmnt_id as instrmnt_id_to_be, typ_dl as typ_dl_to_be FROM bu_loantape_work.lt002_instrument WHERE ref_date='2025-06-30' AND nome_perimetro= 'Individual IDComb' AND segmento= 'ESTR' AND ambito= 'PM' AND entidade='00100' AND cod_visao = 1) B ON instrmnt_id_as_is = instrmnt_id_to_be WHERE coalesce(cast(typ_dl_as_is as string), '') &lt;&gt; coalesce(cast(typ_dl_to_be as string), '') </v>
      </c>
      <c r="M311" s="17" t="s">
        <v>48</v>
      </c>
      <c r="N311" s="17" t="str">
        <f>"SELECT 'Validação de campos' as tipologia_teste, '"&amp;VLOOKUP(B311,Instruções!$F$6:$J$10,3,0)&amp;"' AS TABELA, '"&amp;E311&amp;"' AS CAMPO, '"&amp;Instruções!$D$7&amp;"' as ref_date, coalesce(NUM_REG_DIF, 0) AS NUM_REG_DIF FROM ("&amp;L311&amp;") A "</f>
        <v xml:space="preserve">SELECT 'Validação de campos' as tipologia_teste, 'lt002_instrument' AS TABELA, 'typ_dl' AS CAMPO, '2025-06-30' as ref_date, coalesce(NUM_REG_DIF, 0) AS NUM_REG_DIF FROM (SELECT count(*) AS NUM_REG_DIF FROM (SELECT instrmnt_id as instrmnt_id_as_is, typ_dl as typ_dl_as_is FROM cd_loan_tapes_bce.lt002_instrument WHERE ref_date='2025-06-30' AND nome_perimetro= 'Individual IDComb' AND segmento= 'ESTR' AND ambito= 'PM' AND entidade='00100' AND cod_visao = 1) A  Inner join (SELECT instrmnt_id as instrmnt_id_to_be, typ_dl as typ_dl_to_be FROM bu_loantape_work.lt002_instrument WHERE ref_date='2025-06-30' AND nome_perimetro= 'Individual IDComb' AND segmento= 'ESTR' AND ambito= 'PM' AND entidade='00100' AND cod_visao = 1) B ON instrmnt_id_as_is = instrmnt_id_to_be WHERE coalesce(cast(typ_dl_as_is as string), '') &lt;&gt; coalesce(cast(typ_dl_to_be as string), '') ) A </v>
      </c>
      <c r="O311" s="19" t="str">
        <f t="shared" si="53"/>
        <v>SELECT 'Validação de campos' as tipologia_teste, 'lt002_instrument' AS TABELA, 'typ_dl' AS CAMPO, '2025-06-30' as ref_date, coalesce(NUM_REG_DIF, 0) AS NUM_REG_DIF FROM (SELECT count(*) AS NUM_REG_DIF FROM (SELECT instrmnt_id as instrmnt_id_as_is, typ_dl as typ_dl_as_is FROM cd_loan_tapes_bce.lt002_instrument WHERE ref_date='2025-06-30' AND nome_perimetro= 'Individual IDComb' AND segmento= 'ESTR' AND ambito= 'PM' AND entidade='00100' AND cod_visao = 1) A  Inner join (SELECT instrmnt_id as instrmnt_id_to_be, typ_dl as typ_dl_to_be FROM bu_loantape_work.lt002_instrument WHERE ref_date='2025-06-30' AND nome_perimetro= 'Individual IDComb' AND segmento= 'ESTR' AND ambito= 'PM' AND entidade='00100' AND cod_visao = 1) B ON instrmnt_id_as_is = instrmnt_id_to_be WHERE coalesce(cast(typ_dl_as_is as string), '') &lt;&gt; coalesce(cast(typ_dl_to_be as string), '') ) A UNION ALL</v>
      </c>
      <c r="P311" s="17">
        <f t="shared" si="52"/>
        <v>25</v>
      </c>
    </row>
    <row r="312" spans="2:16" s="15" customFormat="1" ht="11.5" x14ac:dyDescent="0.25">
      <c r="B312" s="17" t="s">
        <v>24</v>
      </c>
      <c r="C312" s="17" t="str">
        <f>_xlfn.CONCAT(Instruções!$D$5,".",VLOOKUP(B312,Instruções!$F$5:$H$10,2,0))</f>
        <v>cd_loan_tapes_bce.lt002_instrument</v>
      </c>
      <c r="D312" s="17" t="str">
        <f>_xlfn.CONCAT(Instruções!$D$6,".",VLOOKUP(B312,Instruções!$F$5:$H$10,3,0))</f>
        <v>bu_loantape_work.lt002_instrument</v>
      </c>
      <c r="E312" s="17" t="s">
        <v>372</v>
      </c>
      <c r="F312" s="17" t="str">
        <f t="shared" si="55"/>
        <v>dstntn_fnds_as_is</v>
      </c>
      <c r="G312" s="17" t="str">
        <f t="shared" si="56"/>
        <v>dstntn_fnds_to_be</v>
      </c>
      <c r="H312" s="17" t="str">
        <f>IF(VLOOKUP(B312,Instruções!$F$6:$J$10,5,0)="",
"(SELECT "&amp;VLOOKUP(B312,Instruções!$F$6:$J$10,4,0)&amp;" as "&amp;VLOOKUP(B312,Instruções!$F$6:$J$10,4,0)&amp;"_as_is, "&amp;E312&amp;" as "&amp;F312&amp;" FROM "&amp;C312&amp;" WHERE "&amp;Instruções!$D$11&amp;") A ",
"(SELECT "&amp;VLOOKUP(B312,Instruções!$F$6:$J$10,4,0)&amp;" as "&amp;VLOOKUP(B312,Instruções!$F$6:$J$10,4,0)&amp;"_as_is, "&amp;VLOOKUP(B312,Instruções!$F$6:$J$10,5,0)&amp;" as "&amp;VLOOKUP(B312,Instruções!$F$6:$J$10,5,0)&amp;"_as_is,"&amp;E312&amp;" as "&amp;F312&amp;" FROM "&amp;C312&amp;" WHERE "&amp;Instruções!$D$11&amp;") A ")</f>
        <v xml:space="preserve">(SELECT instrmnt_id as instrmnt_id_as_is, dstntn_fnds as dstntn_fnds_as_is FROM cd_loan_tapes_bce.lt002_instrument WHERE ref_date='2025-06-30' AND nome_perimetro= 'Individual IDComb' AND segmento= 'ESTR' AND ambito= 'PM' AND entidade='00100' AND cod_visao = 1) A </v>
      </c>
      <c r="I312" s="17" t="str">
        <f>IF(VLOOKUP(B312,Instruções!$F$6:$J$10,5,0)="",
"(SELECT "&amp;VLOOKUP(B312,Instruções!$F$6:$J$10,4,0)&amp;" as "&amp;VLOOKUP(B312,Instruções!$F$6:$J$10,4,0)&amp;"_to_be, "&amp;E312&amp;" as "&amp;G312&amp;" FROM "&amp;D312&amp;" WHERE "&amp;Instruções!$D$11&amp;") B ",
"(SELECT "&amp;VLOOKUP(B312,Instruções!$F$6:$J$10,4,0)&amp;" as "&amp;VLOOKUP(B312,Instruções!$F$6:$J$10,4,0)&amp;"_to_be, "&amp;VLOOKUP(B312,Instruções!$F$6:$J$10,5,0)&amp;" as "&amp;VLOOKUP(B312,Instruções!$F$6:$J$10,5,0)&amp;"_to_be,"&amp;E312&amp;" as "&amp;G312&amp;" FROM "&amp;D312&amp;" WHERE "&amp;Instruções!$D$11&amp;") B ")</f>
        <v xml:space="preserve">(SELECT instrmnt_id as instrmnt_id_to_be, dstntn_fnds as dstntn_fnds_to_be FROM bu_loantape_work.lt002_instrument WHERE ref_date='2025-06-30' AND nome_perimetro= 'Individual IDComb' AND segmento= 'ESTR' AND ambito= 'PM' AND entidade='00100' AND cod_visao = 1) B </v>
      </c>
      <c r="J312" s="17" t="str">
        <f>IF(VLOOKUP(B312,Instruções!$F$6:$J$10,5,0)="",
"ON "&amp;VLOOKUP(B312,Instruções!$F$6:$J$10,4,0)&amp;"_as_is = "&amp;VLOOKUP(B312,Instruções!$F$6:$J$10,4,0)&amp;"_to_be ",
"ON "&amp;VLOOKUP(B312,Instruções!$F$6:$J$10,4,0)&amp;"_as_is = "&amp;VLOOKUP(B312,Instruções!$F$6:$J$10,4,0)&amp;"_to_be AND "&amp;VLOOKUP(B312,Instruções!$F$6:$J$10,5,0)&amp;"_as_is = "&amp;VLOOKUP(B312,Instruções!$F$6:$J$10,5,0)&amp;"_to_be ")</f>
        <v xml:space="preserve">ON instrmnt_id_as_is = instrmnt_id_to_be </v>
      </c>
      <c r="K312" s="17" t="str">
        <f t="shared" si="57"/>
        <v xml:space="preserve">WHERE coalesce(cast(dstntn_fnds_as_is as string), '') &lt;&gt; coalesce(cast(dstntn_fnds_to_be as string), '') </v>
      </c>
      <c r="L312" s="17" t="str">
        <f t="shared" si="58"/>
        <v xml:space="preserve">SELECT count(*) AS NUM_REG_DIF FROM (SELECT instrmnt_id as instrmnt_id_as_is, dstntn_fnds as dstntn_fnds_as_is FROM cd_loan_tapes_bce.lt002_instrument WHERE ref_date='2025-06-30' AND nome_perimetro= 'Individual IDComb' AND segmento= 'ESTR' AND ambito= 'PM' AND entidade='00100' AND cod_visao = 1) A  Inner join (SELECT instrmnt_id as instrmnt_id_to_be, dstntn_fnds as dstntn_fnds_to_be FROM bu_loantape_work.lt002_instrument WHERE ref_date='2025-06-30' AND nome_perimetro= 'Individual IDComb' AND segmento= 'ESTR' AND ambito= 'PM' AND entidade='00100' AND cod_visao = 1) B ON instrmnt_id_as_is = instrmnt_id_to_be WHERE coalesce(cast(dstntn_fnds_as_is as string), '') &lt;&gt; coalesce(cast(dstntn_fnds_to_be as string), '') </v>
      </c>
      <c r="M312" s="17" t="s">
        <v>48</v>
      </c>
      <c r="N312" s="17" t="str">
        <f>"SELECT 'Validação de campos' as tipologia_teste, '"&amp;VLOOKUP(B312,Instruções!$F$6:$J$10,3,0)&amp;"' AS TABELA, '"&amp;E312&amp;"' AS CAMPO, '"&amp;Instruções!$D$7&amp;"' as ref_date, coalesce(NUM_REG_DIF, 0) AS NUM_REG_DIF FROM ("&amp;L312&amp;") A "</f>
        <v xml:space="preserve">SELECT 'Validação de campos' as tipologia_teste, 'lt002_instrument' AS TABELA, 'dstntn_fnds' AS CAMPO, '2025-06-30' as ref_date, coalesce(NUM_REG_DIF, 0) AS NUM_REG_DIF FROM (SELECT count(*) AS NUM_REG_DIF FROM (SELECT instrmnt_id as instrmnt_id_as_is, dstntn_fnds as dstntn_fnds_as_is FROM cd_loan_tapes_bce.lt002_instrument WHERE ref_date='2025-06-30' AND nome_perimetro= 'Individual IDComb' AND segmento= 'ESTR' AND ambito= 'PM' AND entidade='00100' AND cod_visao = 1) A  Inner join (SELECT instrmnt_id as instrmnt_id_to_be, dstntn_fnds as dstntn_fnds_to_be FROM bu_loantape_work.lt002_instrument WHERE ref_date='2025-06-30' AND nome_perimetro= 'Individual IDComb' AND segmento= 'ESTR' AND ambito= 'PM' AND entidade='00100' AND cod_visao = 1) B ON instrmnt_id_as_is = instrmnt_id_to_be WHERE coalesce(cast(dstntn_fnds_as_is as string), '') &lt;&gt; coalesce(cast(dstntn_fnds_to_be as string), '') ) A </v>
      </c>
      <c r="O312" s="19" t="str">
        <f t="shared" si="53"/>
        <v>SELECT 'Validação de campos' as tipologia_teste, 'lt002_instrument' AS TABELA, 'dstntn_fnds' AS CAMPO, '2025-06-30' as ref_date, coalesce(NUM_REG_DIF, 0) AS NUM_REG_DIF FROM (SELECT count(*) AS NUM_REG_DIF FROM (SELECT instrmnt_id as instrmnt_id_as_is, dstntn_fnds as dstntn_fnds_as_is FROM cd_loan_tapes_bce.lt002_instrument WHERE ref_date='2025-06-30' AND nome_perimetro= 'Individual IDComb' AND segmento= 'ESTR' AND ambito= 'PM' AND entidade='00100' AND cod_visao = 1) A  Inner join (SELECT instrmnt_id as instrmnt_id_to_be, dstntn_fnds as dstntn_fnds_to_be FROM bu_loantape_work.lt002_instrument WHERE ref_date='2025-06-30' AND nome_perimetro= 'Individual IDComb' AND segmento= 'ESTR' AND ambito= 'PM' AND entidade='00100' AND cod_visao = 1) B ON instrmnt_id_as_is = instrmnt_id_to_be WHERE coalesce(cast(dstntn_fnds_as_is as string), '') &lt;&gt; coalesce(cast(dstntn_fnds_to_be as string), '') ) A UNION ALL</v>
      </c>
      <c r="P312" s="17">
        <f t="shared" si="52"/>
        <v>26</v>
      </c>
    </row>
    <row r="313" spans="2:16" s="15" customFormat="1" ht="11.5" x14ac:dyDescent="0.25">
      <c r="B313" s="17" t="s">
        <v>24</v>
      </c>
      <c r="C313" s="17" t="str">
        <f>_xlfn.CONCAT(Instruções!$D$5,".",VLOOKUP(B313,Instruções!$F$5:$H$10,2,0))</f>
        <v>cd_loan_tapes_bce.lt002_instrument</v>
      </c>
      <c r="D313" s="17" t="str">
        <f>_xlfn.CONCAT(Instruções!$D$6,".",VLOOKUP(B313,Instruções!$F$5:$H$10,3,0))</f>
        <v>bu_loantape_work.lt002_instrument</v>
      </c>
      <c r="E313" s="17" t="s">
        <v>373</v>
      </c>
      <c r="F313" s="17" t="str">
        <f t="shared" si="55"/>
        <v>pd_ec_incptn_as_is</v>
      </c>
      <c r="G313" s="17" t="str">
        <f t="shared" si="56"/>
        <v>pd_ec_incptn_to_be</v>
      </c>
      <c r="H313" s="17" t="str">
        <f>IF(VLOOKUP(B313,Instruções!$F$6:$J$10,5,0)="",
"(SELECT "&amp;VLOOKUP(B313,Instruções!$F$6:$J$10,4,0)&amp;" as "&amp;VLOOKUP(B313,Instruções!$F$6:$J$10,4,0)&amp;"_as_is, "&amp;E313&amp;" as "&amp;F313&amp;" FROM "&amp;C313&amp;" WHERE "&amp;Instruções!$D$11&amp;") A ",
"(SELECT "&amp;VLOOKUP(B313,Instruções!$F$6:$J$10,4,0)&amp;" as "&amp;VLOOKUP(B313,Instruções!$F$6:$J$10,4,0)&amp;"_as_is, "&amp;VLOOKUP(B313,Instruções!$F$6:$J$10,5,0)&amp;" as "&amp;VLOOKUP(B313,Instruções!$F$6:$J$10,5,0)&amp;"_as_is,"&amp;E313&amp;" as "&amp;F313&amp;" FROM "&amp;C313&amp;" WHERE "&amp;Instruções!$D$11&amp;") A ")</f>
        <v xml:space="preserve">(SELECT instrmnt_id as instrmnt_id_as_is, pd_ec_incptn as pd_ec_incptn_as_is FROM cd_loan_tapes_bce.lt002_instrument WHERE ref_date='2025-06-30' AND nome_perimetro= 'Individual IDComb' AND segmento= 'ESTR' AND ambito= 'PM' AND entidade='00100' AND cod_visao = 1) A </v>
      </c>
      <c r="I313" s="17" t="str">
        <f>IF(VLOOKUP(B313,Instruções!$F$6:$J$10,5,0)="",
"(SELECT "&amp;VLOOKUP(B313,Instruções!$F$6:$J$10,4,0)&amp;" as "&amp;VLOOKUP(B313,Instruções!$F$6:$J$10,4,0)&amp;"_to_be, "&amp;E313&amp;" as "&amp;G313&amp;" FROM "&amp;D313&amp;" WHERE "&amp;Instruções!$D$11&amp;") B ",
"(SELECT "&amp;VLOOKUP(B313,Instruções!$F$6:$J$10,4,0)&amp;" as "&amp;VLOOKUP(B313,Instruções!$F$6:$J$10,4,0)&amp;"_to_be, "&amp;VLOOKUP(B313,Instruções!$F$6:$J$10,5,0)&amp;" as "&amp;VLOOKUP(B313,Instruções!$F$6:$J$10,5,0)&amp;"_to_be,"&amp;E313&amp;" as "&amp;G313&amp;" FROM "&amp;D313&amp;" WHERE "&amp;Instruções!$D$11&amp;") B ")</f>
        <v xml:space="preserve">(SELECT instrmnt_id as instrmnt_id_to_be, pd_ec_incptn as pd_ec_incptn_to_be FROM bu_loantape_work.lt002_instrument WHERE ref_date='2025-06-30' AND nome_perimetro= 'Individual IDComb' AND segmento= 'ESTR' AND ambito= 'PM' AND entidade='00100' AND cod_visao = 1) B </v>
      </c>
      <c r="J313" s="17" t="str">
        <f>IF(VLOOKUP(B313,Instruções!$F$6:$J$10,5,0)="",
"ON "&amp;VLOOKUP(B313,Instruções!$F$6:$J$10,4,0)&amp;"_as_is = "&amp;VLOOKUP(B313,Instruções!$F$6:$J$10,4,0)&amp;"_to_be ",
"ON "&amp;VLOOKUP(B313,Instruções!$F$6:$J$10,4,0)&amp;"_as_is = "&amp;VLOOKUP(B313,Instruções!$F$6:$J$10,4,0)&amp;"_to_be AND "&amp;VLOOKUP(B313,Instruções!$F$6:$J$10,5,0)&amp;"_as_is = "&amp;VLOOKUP(B313,Instruções!$F$6:$J$10,5,0)&amp;"_to_be ")</f>
        <v xml:space="preserve">ON instrmnt_id_as_is = instrmnt_id_to_be </v>
      </c>
      <c r="K313" s="17" t="str">
        <f t="shared" si="57"/>
        <v xml:space="preserve">WHERE coalesce(cast(pd_ec_incptn_as_is as string), '') &lt;&gt; coalesce(cast(pd_ec_incptn_to_be as string), '') </v>
      </c>
      <c r="L313" s="17" t="str">
        <f t="shared" si="58"/>
        <v xml:space="preserve">SELECT count(*) AS NUM_REG_DIF FROM (SELECT instrmnt_id as instrmnt_id_as_is, pd_ec_incptn as pd_ec_incptn_as_is FROM cd_loan_tapes_bce.lt002_instrument WHERE ref_date='2025-06-30' AND nome_perimetro= 'Individual IDComb' AND segmento= 'ESTR' AND ambito= 'PM' AND entidade='00100' AND cod_visao = 1) A  Inner join (SELECT instrmnt_id as instrmnt_id_to_be, pd_ec_incptn as pd_ec_incptn_to_be FROM bu_loantape_work.lt002_instrument WHERE ref_date='2025-06-30' AND nome_perimetro= 'Individual IDComb' AND segmento= 'ESTR' AND ambito= 'PM' AND entidade='00100' AND cod_visao = 1) B ON instrmnt_id_as_is = instrmnt_id_to_be WHERE coalesce(cast(pd_ec_incptn_as_is as string), '') &lt;&gt; coalesce(cast(pd_ec_incptn_to_be as string), '') </v>
      </c>
      <c r="M313" s="17" t="s">
        <v>48</v>
      </c>
      <c r="N313" s="17" t="str">
        <f>"SELECT 'Validação de campos' as tipologia_teste, '"&amp;VLOOKUP(B313,Instruções!$F$6:$J$10,3,0)&amp;"' AS TABELA, '"&amp;E313&amp;"' AS CAMPO, '"&amp;Instruções!$D$7&amp;"' as ref_date, coalesce(NUM_REG_DIF, 0) AS NUM_REG_DIF FROM ("&amp;L313&amp;") A "</f>
        <v xml:space="preserve">SELECT 'Validação de campos' as tipologia_teste, 'lt002_instrument' AS TABELA, 'pd_ec_incptn' AS CAMPO, '2025-06-30' as ref_date, coalesce(NUM_REG_DIF, 0) AS NUM_REG_DIF FROM (SELECT count(*) AS NUM_REG_DIF FROM (SELECT instrmnt_id as instrmnt_id_as_is, pd_ec_incptn as pd_ec_incptn_as_is FROM cd_loan_tapes_bce.lt002_instrument WHERE ref_date='2025-06-30' AND nome_perimetro= 'Individual IDComb' AND segmento= 'ESTR' AND ambito= 'PM' AND entidade='00100' AND cod_visao = 1) A  Inner join (SELECT instrmnt_id as instrmnt_id_to_be, pd_ec_incptn as pd_ec_incptn_to_be FROM bu_loantape_work.lt002_instrument WHERE ref_date='2025-06-30' AND nome_perimetro= 'Individual IDComb' AND segmento= 'ESTR' AND ambito= 'PM' AND entidade='00100' AND cod_visao = 1) B ON instrmnt_id_as_is = instrmnt_id_to_be WHERE coalesce(cast(pd_ec_incptn_as_is as string), '') &lt;&gt; coalesce(cast(pd_ec_incptn_to_be as string), '') ) A </v>
      </c>
      <c r="O313" s="19" t="str">
        <f t="shared" si="53"/>
        <v>SELECT 'Validação de campos' as tipologia_teste, 'lt002_instrument' AS TABELA, 'pd_ec_incptn' AS CAMPO, '2025-06-30' as ref_date, coalesce(NUM_REG_DIF, 0) AS NUM_REG_DIF FROM (SELECT count(*) AS NUM_REG_DIF FROM (SELECT instrmnt_id as instrmnt_id_as_is, pd_ec_incptn as pd_ec_incptn_as_is FROM cd_loan_tapes_bce.lt002_instrument WHERE ref_date='2025-06-30' AND nome_perimetro= 'Individual IDComb' AND segmento= 'ESTR' AND ambito= 'PM' AND entidade='00100' AND cod_visao = 1) A  Inner join (SELECT instrmnt_id as instrmnt_id_to_be, pd_ec_incptn as pd_ec_incptn_to_be FROM bu_loantape_work.lt002_instrument WHERE ref_date='2025-06-30' AND nome_perimetro= 'Individual IDComb' AND segmento= 'ESTR' AND ambito= 'PM' AND entidade='00100' AND cod_visao = 1) B ON instrmnt_id_as_is = instrmnt_id_to_be WHERE coalesce(cast(pd_ec_incptn_as_is as string), '') &lt;&gt; coalesce(cast(pd_ec_incptn_to_be as string), '') ) A UNION ALL</v>
      </c>
      <c r="P313" s="17">
        <f t="shared" si="52"/>
        <v>27</v>
      </c>
    </row>
    <row r="314" spans="2:16" s="15" customFormat="1" ht="11.5" x14ac:dyDescent="0.25">
      <c r="B314" s="17" t="s">
        <v>24</v>
      </c>
      <c r="C314" s="17" t="str">
        <f>_xlfn.CONCAT(Instruções!$D$5,".",VLOOKUP(B314,Instruções!$F$5:$H$10,2,0))</f>
        <v>cd_loan_tapes_bce.lt002_instrument</v>
      </c>
      <c r="D314" s="17" t="str">
        <f>_xlfn.CONCAT(Instruções!$D$6,".",VLOOKUP(B314,Instruções!$F$5:$H$10,3,0))</f>
        <v>bu_loantape_work.lt002_instrument</v>
      </c>
      <c r="E314" s="17" t="s">
        <v>374</v>
      </c>
      <c r="F314" s="17" t="str">
        <f t="shared" si="55"/>
        <v>pd_ec_rd_as_is</v>
      </c>
      <c r="G314" s="17" t="str">
        <f t="shared" si="56"/>
        <v>pd_ec_rd_to_be</v>
      </c>
      <c r="H314" s="17" t="str">
        <f>IF(VLOOKUP(B314,Instruções!$F$6:$J$10,5,0)="",
"(SELECT "&amp;VLOOKUP(B314,Instruções!$F$6:$J$10,4,0)&amp;" as "&amp;VLOOKUP(B314,Instruções!$F$6:$J$10,4,0)&amp;"_as_is, "&amp;E314&amp;" as "&amp;F314&amp;" FROM "&amp;C314&amp;" WHERE "&amp;Instruções!$D$11&amp;") A ",
"(SELECT "&amp;VLOOKUP(B314,Instruções!$F$6:$J$10,4,0)&amp;" as "&amp;VLOOKUP(B314,Instruções!$F$6:$J$10,4,0)&amp;"_as_is, "&amp;VLOOKUP(B314,Instruções!$F$6:$J$10,5,0)&amp;" as "&amp;VLOOKUP(B314,Instruções!$F$6:$J$10,5,0)&amp;"_as_is,"&amp;E314&amp;" as "&amp;F314&amp;" FROM "&amp;C314&amp;" WHERE "&amp;Instruções!$D$11&amp;") A ")</f>
        <v xml:space="preserve">(SELECT instrmnt_id as instrmnt_id_as_is, pd_ec_rd as pd_ec_rd_as_is FROM cd_loan_tapes_bce.lt002_instrument WHERE ref_date='2025-06-30' AND nome_perimetro= 'Individual IDComb' AND segmento= 'ESTR' AND ambito= 'PM' AND entidade='00100' AND cod_visao = 1) A </v>
      </c>
      <c r="I314" s="17" t="str">
        <f>IF(VLOOKUP(B314,Instruções!$F$6:$J$10,5,0)="",
"(SELECT "&amp;VLOOKUP(B314,Instruções!$F$6:$J$10,4,0)&amp;" as "&amp;VLOOKUP(B314,Instruções!$F$6:$J$10,4,0)&amp;"_to_be, "&amp;E314&amp;" as "&amp;G314&amp;" FROM "&amp;D314&amp;" WHERE "&amp;Instruções!$D$11&amp;") B ",
"(SELECT "&amp;VLOOKUP(B314,Instruções!$F$6:$J$10,4,0)&amp;" as "&amp;VLOOKUP(B314,Instruções!$F$6:$J$10,4,0)&amp;"_to_be, "&amp;VLOOKUP(B314,Instruções!$F$6:$J$10,5,0)&amp;" as "&amp;VLOOKUP(B314,Instruções!$F$6:$J$10,5,0)&amp;"_to_be,"&amp;E314&amp;" as "&amp;G314&amp;" FROM "&amp;D314&amp;" WHERE "&amp;Instruções!$D$11&amp;") B ")</f>
        <v xml:space="preserve">(SELECT instrmnt_id as instrmnt_id_to_be, pd_ec_rd as pd_ec_rd_to_be FROM bu_loantape_work.lt002_instrument WHERE ref_date='2025-06-30' AND nome_perimetro= 'Individual IDComb' AND segmento= 'ESTR' AND ambito= 'PM' AND entidade='00100' AND cod_visao = 1) B </v>
      </c>
      <c r="J314" s="17" t="str">
        <f>IF(VLOOKUP(B314,Instruções!$F$6:$J$10,5,0)="",
"ON "&amp;VLOOKUP(B314,Instruções!$F$6:$J$10,4,0)&amp;"_as_is = "&amp;VLOOKUP(B314,Instruções!$F$6:$J$10,4,0)&amp;"_to_be ",
"ON "&amp;VLOOKUP(B314,Instruções!$F$6:$J$10,4,0)&amp;"_as_is = "&amp;VLOOKUP(B314,Instruções!$F$6:$J$10,4,0)&amp;"_to_be AND "&amp;VLOOKUP(B314,Instruções!$F$6:$J$10,5,0)&amp;"_as_is = "&amp;VLOOKUP(B314,Instruções!$F$6:$J$10,5,0)&amp;"_to_be ")</f>
        <v xml:space="preserve">ON instrmnt_id_as_is = instrmnt_id_to_be </v>
      </c>
      <c r="K314" s="17" t="str">
        <f t="shared" si="57"/>
        <v xml:space="preserve">WHERE coalesce(cast(pd_ec_rd_as_is as string), '') &lt;&gt; coalesce(cast(pd_ec_rd_to_be as string), '') </v>
      </c>
      <c r="L314" s="17" t="str">
        <f t="shared" si="58"/>
        <v xml:space="preserve">SELECT count(*) AS NUM_REG_DIF FROM (SELECT instrmnt_id as instrmnt_id_as_is, pd_ec_rd as pd_ec_rd_as_is FROM cd_loan_tapes_bce.lt002_instrument WHERE ref_date='2025-06-30' AND nome_perimetro= 'Individual IDComb' AND segmento= 'ESTR' AND ambito= 'PM' AND entidade='00100' AND cod_visao = 1) A  Inner join (SELECT instrmnt_id as instrmnt_id_to_be, pd_ec_rd as pd_ec_rd_to_be FROM bu_loantape_work.lt002_instrument WHERE ref_date='2025-06-30' AND nome_perimetro= 'Individual IDComb' AND segmento= 'ESTR' AND ambito= 'PM' AND entidade='00100' AND cod_visao = 1) B ON instrmnt_id_as_is = instrmnt_id_to_be WHERE coalesce(cast(pd_ec_rd_as_is as string), '') &lt;&gt; coalesce(cast(pd_ec_rd_to_be as string), '') </v>
      </c>
      <c r="M314" s="17" t="s">
        <v>48</v>
      </c>
      <c r="N314" s="17" t="str">
        <f>"SELECT 'Validação de campos' as tipologia_teste, '"&amp;VLOOKUP(B314,Instruções!$F$6:$J$10,3,0)&amp;"' AS TABELA, '"&amp;E314&amp;"' AS CAMPO, '"&amp;Instruções!$D$7&amp;"' as ref_date, coalesce(NUM_REG_DIF, 0) AS NUM_REG_DIF FROM ("&amp;L314&amp;") A "</f>
        <v xml:space="preserve">SELECT 'Validação de campos' as tipologia_teste, 'lt002_instrument' AS TABELA, 'pd_ec_rd' AS CAMPO, '2025-06-30' as ref_date, coalesce(NUM_REG_DIF, 0) AS NUM_REG_DIF FROM (SELECT count(*) AS NUM_REG_DIF FROM (SELECT instrmnt_id as instrmnt_id_as_is, pd_ec_rd as pd_ec_rd_as_is FROM cd_loan_tapes_bce.lt002_instrument WHERE ref_date='2025-06-30' AND nome_perimetro= 'Individual IDComb' AND segmento= 'ESTR' AND ambito= 'PM' AND entidade='00100' AND cod_visao = 1) A  Inner join (SELECT instrmnt_id as instrmnt_id_to_be, pd_ec_rd as pd_ec_rd_to_be FROM bu_loantape_work.lt002_instrument WHERE ref_date='2025-06-30' AND nome_perimetro= 'Individual IDComb' AND segmento= 'ESTR' AND ambito= 'PM' AND entidade='00100' AND cod_visao = 1) B ON instrmnt_id_as_is = instrmnt_id_to_be WHERE coalesce(cast(pd_ec_rd_as_is as string), '') &lt;&gt; coalesce(cast(pd_ec_rd_to_be as string), '') ) A </v>
      </c>
      <c r="O314" s="19" t="str">
        <f t="shared" si="53"/>
        <v>SELECT 'Validação de campos' as tipologia_teste, 'lt002_instrument' AS TABELA, 'pd_ec_rd' AS CAMPO, '2025-06-30' as ref_date, coalesce(NUM_REG_DIF, 0) AS NUM_REG_DIF FROM (SELECT count(*) AS NUM_REG_DIF FROM (SELECT instrmnt_id as instrmnt_id_as_is, pd_ec_rd as pd_ec_rd_as_is FROM cd_loan_tapes_bce.lt002_instrument WHERE ref_date='2025-06-30' AND nome_perimetro= 'Individual IDComb' AND segmento= 'ESTR' AND ambito= 'PM' AND entidade='00100' AND cod_visao = 1) A  Inner join (SELECT instrmnt_id as instrmnt_id_to_be, pd_ec_rd as pd_ec_rd_to_be FROM bu_loantape_work.lt002_instrument WHERE ref_date='2025-06-30' AND nome_perimetro= 'Individual IDComb' AND segmento= 'ESTR' AND ambito= 'PM' AND entidade='00100' AND cod_visao = 1) B ON instrmnt_id_as_is = instrmnt_id_to_be WHERE coalesce(cast(pd_ec_rd_as_is as string), '') &lt;&gt; coalesce(cast(pd_ec_rd_to_be as string), '') ) A UNION ALL</v>
      </c>
      <c r="P314" s="17">
        <f t="shared" si="52"/>
        <v>28</v>
      </c>
    </row>
    <row r="315" spans="2:16" s="15" customFormat="1" ht="11.5" x14ac:dyDescent="0.25">
      <c r="B315" s="17" t="s">
        <v>24</v>
      </c>
      <c r="C315" s="17" t="str">
        <f>_xlfn.CONCAT(Instruções!$D$5,".",VLOOKUP(B315,Instruções!$F$5:$H$10,2,0))</f>
        <v>cd_loan_tapes_bce.lt002_instrument</v>
      </c>
      <c r="D315" s="17" t="str">
        <f>_xlfn.CONCAT(Instruções!$D$6,".",VLOOKUP(B315,Instruções!$F$5:$H$10,3,0))</f>
        <v>bu_loantape_work.lt002_instrument</v>
      </c>
      <c r="E315" s="17" t="s">
        <v>375</v>
      </c>
      <c r="F315" s="17" t="str">
        <f t="shared" si="55"/>
        <v>ttl_lvrg_rt_incptn_hlt_as_is</v>
      </c>
      <c r="G315" s="17" t="str">
        <f t="shared" si="56"/>
        <v>ttl_lvrg_rt_incptn_hlt_to_be</v>
      </c>
      <c r="H315" s="17" t="str">
        <f>IF(VLOOKUP(B315,Instruções!$F$6:$J$10,5,0)="",
"(SELECT "&amp;VLOOKUP(B315,Instruções!$F$6:$J$10,4,0)&amp;" as "&amp;VLOOKUP(B315,Instruções!$F$6:$J$10,4,0)&amp;"_as_is, "&amp;E315&amp;" as "&amp;F315&amp;" FROM "&amp;C315&amp;" WHERE "&amp;Instruções!$D$11&amp;") A ",
"(SELECT "&amp;VLOOKUP(B315,Instruções!$F$6:$J$10,4,0)&amp;" as "&amp;VLOOKUP(B315,Instruções!$F$6:$J$10,4,0)&amp;"_as_is, "&amp;VLOOKUP(B315,Instruções!$F$6:$J$10,5,0)&amp;" as "&amp;VLOOKUP(B315,Instruções!$F$6:$J$10,5,0)&amp;"_as_is,"&amp;E315&amp;" as "&amp;F315&amp;" FROM "&amp;C315&amp;" WHERE "&amp;Instruções!$D$11&amp;") A ")</f>
        <v xml:space="preserve">(SELECT instrmnt_id as instrmnt_id_as_is, ttl_lvrg_rt_incptn_hlt as ttl_lvrg_rt_incptn_hlt_as_is FROM cd_loan_tapes_bce.lt002_instrument WHERE ref_date='2025-06-30' AND nome_perimetro= 'Individual IDComb' AND segmento= 'ESTR' AND ambito= 'PM' AND entidade='00100' AND cod_visao = 1) A </v>
      </c>
      <c r="I315" s="17" t="str">
        <f>IF(VLOOKUP(B315,Instruções!$F$6:$J$10,5,0)="",
"(SELECT "&amp;VLOOKUP(B315,Instruções!$F$6:$J$10,4,0)&amp;" as "&amp;VLOOKUP(B315,Instruções!$F$6:$J$10,4,0)&amp;"_to_be, "&amp;E315&amp;" as "&amp;G315&amp;" FROM "&amp;D315&amp;" WHERE "&amp;Instruções!$D$11&amp;") B ",
"(SELECT "&amp;VLOOKUP(B315,Instruções!$F$6:$J$10,4,0)&amp;" as "&amp;VLOOKUP(B315,Instruções!$F$6:$J$10,4,0)&amp;"_to_be, "&amp;VLOOKUP(B315,Instruções!$F$6:$J$10,5,0)&amp;" as "&amp;VLOOKUP(B315,Instruções!$F$6:$J$10,5,0)&amp;"_to_be,"&amp;E315&amp;" as "&amp;G315&amp;" FROM "&amp;D315&amp;" WHERE "&amp;Instruções!$D$11&amp;") B ")</f>
        <v xml:space="preserve">(SELECT instrmnt_id as instrmnt_id_to_be, ttl_lvrg_rt_incptn_hlt as ttl_lvrg_rt_incptn_hlt_to_be FROM bu_loantape_work.lt002_instrument WHERE ref_date='2025-06-30' AND nome_perimetro= 'Individual IDComb' AND segmento= 'ESTR' AND ambito= 'PM' AND entidade='00100' AND cod_visao = 1) B </v>
      </c>
      <c r="J315" s="17" t="str">
        <f>IF(VLOOKUP(B315,Instruções!$F$6:$J$10,5,0)="",
"ON "&amp;VLOOKUP(B315,Instruções!$F$6:$J$10,4,0)&amp;"_as_is = "&amp;VLOOKUP(B315,Instruções!$F$6:$J$10,4,0)&amp;"_to_be ",
"ON "&amp;VLOOKUP(B315,Instruções!$F$6:$J$10,4,0)&amp;"_as_is = "&amp;VLOOKUP(B315,Instruções!$F$6:$J$10,4,0)&amp;"_to_be AND "&amp;VLOOKUP(B315,Instruções!$F$6:$J$10,5,0)&amp;"_as_is = "&amp;VLOOKUP(B315,Instruções!$F$6:$J$10,5,0)&amp;"_to_be ")</f>
        <v xml:space="preserve">ON instrmnt_id_as_is = instrmnt_id_to_be </v>
      </c>
      <c r="K315" s="17" t="str">
        <f t="shared" si="57"/>
        <v xml:space="preserve">WHERE coalesce(cast(ttl_lvrg_rt_incptn_hlt_as_is as string), '') &lt;&gt; coalesce(cast(ttl_lvrg_rt_incptn_hlt_to_be as string), '') </v>
      </c>
      <c r="L315" s="17" t="str">
        <f t="shared" si="58"/>
        <v xml:space="preserve">SELECT count(*) AS NUM_REG_DIF FROM (SELECT instrmnt_id as instrmnt_id_as_is, ttl_lvrg_rt_incptn_hlt as ttl_lvrg_rt_incptn_hlt_as_is FROM cd_loan_tapes_bce.lt002_instrument WHERE ref_date='2025-06-30' AND nome_perimetro= 'Individual IDComb' AND segmento= 'ESTR' AND ambito= 'PM' AND entidade='00100' AND cod_visao = 1) A  Inner join (SELECT instrmnt_id as instrmnt_id_to_be, ttl_lvrg_rt_incptn_hlt as ttl_lvrg_rt_incptn_hlt_to_be FROM bu_loantape_work.lt002_instrument WHERE ref_date='2025-06-30' AND nome_perimetro= 'Individual IDComb' AND segmento= 'ESTR' AND ambito= 'PM' AND entidade='00100' AND cod_visao = 1) B ON instrmnt_id_as_is = instrmnt_id_to_be WHERE coalesce(cast(ttl_lvrg_rt_incptn_hlt_as_is as string), '') &lt;&gt; coalesce(cast(ttl_lvrg_rt_incptn_hlt_to_be as string), '') </v>
      </c>
      <c r="M315" s="17" t="s">
        <v>48</v>
      </c>
      <c r="N315" s="17" t="str">
        <f>"SELECT 'Validação de campos' as tipologia_teste, '"&amp;VLOOKUP(B315,Instruções!$F$6:$J$10,3,0)&amp;"' AS TABELA, '"&amp;E315&amp;"' AS CAMPO, '"&amp;Instruções!$D$7&amp;"' as ref_date, coalesce(NUM_REG_DIF, 0) AS NUM_REG_DIF FROM ("&amp;L315&amp;") A "</f>
        <v xml:space="preserve">SELECT 'Validação de campos' as tipologia_teste, 'lt002_instrument' AS TABELA, 'ttl_lvrg_rt_incptn_hlt' AS CAMPO, '2025-06-30' as ref_date, coalesce(NUM_REG_DIF, 0) AS NUM_REG_DIF FROM (SELECT count(*) AS NUM_REG_DIF FROM (SELECT instrmnt_id as instrmnt_id_as_is, ttl_lvrg_rt_incptn_hlt as ttl_lvrg_rt_incptn_hlt_as_is FROM cd_loan_tapes_bce.lt002_instrument WHERE ref_date='2025-06-30' AND nome_perimetro= 'Individual IDComb' AND segmento= 'ESTR' AND ambito= 'PM' AND entidade='00100' AND cod_visao = 1) A  Inner join (SELECT instrmnt_id as instrmnt_id_to_be, ttl_lvrg_rt_incptn_hlt as ttl_lvrg_rt_incptn_hlt_to_be FROM bu_loantape_work.lt002_instrument WHERE ref_date='2025-06-30' AND nome_perimetro= 'Individual IDComb' AND segmento= 'ESTR' AND ambito= 'PM' AND entidade='00100' AND cod_visao = 1) B ON instrmnt_id_as_is = instrmnt_id_to_be WHERE coalesce(cast(ttl_lvrg_rt_incptn_hlt_as_is as string), '') &lt;&gt; coalesce(cast(ttl_lvrg_rt_incptn_hlt_to_be as string), '') ) A </v>
      </c>
      <c r="O315" s="19" t="str">
        <f t="shared" si="53"/>
        <v>SELECT 'Validação de campos' as tipologia_teste, 'lt002_instrument' AS TABELA, 'ttl_lvrg_rt_incptn_hlt' AS CAMPO, '2025-06-30' as ref_date, coalesce(NUM_REG_DIF, 0) AS NUM_REG_DIF FROM (SELECT count(*) AS NUM_REG_DIF FROM (SELECT instrmnt_id as instrmnt_id_as_is, ttl_lvrg_rt_incptn_hlt as ttl_lvrg_rt_incptn_hlt_as_is FROM cd_loan_tapes_bce.lt002_instrument WHERE ref_date='2025-06-30' AND nome_perimetro= 'Individual IDComb' AND segmento= 'ESTR' AND ambito= 'PM' AND entidade='00100' AND cod_visao = 1) A  Inner join (SELECT instrmnt_id as instrmnt_id_to_be, ttl_lvrg_rt_incptn_hlt as ttl_lvrg_rt_incptn_hlt_to_be FROM bu_loantape_work.lt002_instrument WHERE ref_date='2025-06-30' AND nome_perimetro= 'Individual IDComb' AND segmento= 'ESTR' AND ambito= 'PM' AND entidade='00100' AND cod_visao = 1) B ON instrmnt_id_as_is = instrmnt_id_to_be WHERE coalesce(cast(ttl_lvrg_rt_incptn_hlt_as_is as string), '') &lt;&gt; coalesce(cast(ttl_lvrg_rt_incptn_hlt_to_be as string), '') ) A UNION ALL</v>
      </c>
      <c r="P315" s="17">
        <f t="shared" si="52"/>
        <v>29</v>
      </c>
    </row>
    <row r="316" spans="2:16" s="15" customFormat="1" ht="11.5" x14ac:dyDescent="0.25">
      <c r="B316" s="17" t="s">
        <v>24</v>
      </c>
      <c r="C316" s="17" t="str">
        <f>_xlfn.CONCAT(Instruções!$D$5,".",VLOOKUP(B316,Instruções!$F$5:$H$10,2,0))</f>
        <v>cd_loan_tapes_bce.lt002_instrument</v>
      </c>
      <c r="D316" s="17" t="str">
        <f>_xlfn.CONCAT(Instruções!$D$6,".",VLOOKUP(B316,Instruções!$F$5:$H$10,3,0))</f>
        <v>bu_loantape_work.lt002_instrument</v>
      </c>
      <c r="E316" s="17" t="s">
        <v>376</v>
      </c>
      <c r="F316" s="17" t="str">
        <f t="shared" si="55"/>
        <v>dt_mdfctn_as_is</v>
      </c>
      <c r="G316" s="17" t="str">
        <f t="shared" si="56"/>
        <v>dt_mdfctn_to_be</v>
      </c>
      <c r="H316" s="17" t="str">
        <f>IF(VLOOKUP(B316,Instruções!$F$6:$J$10,5,0)="",
"(SELECT "&amp;VLOOKUP(B316,Instruções!$F$6:$J$10,4,0)&amp;" as "&amp;VLOOKUP(B316,Instruções!$F$6:$J$10,4,0)&amp;"_as_is, "&amp;E316&amp;" as "&amp;F316&amp;" FROM "&amp;C316&amp;" WHERE "&amp;Instruções!$D$11&amp;") A ",
"(SELECT "&amp;VLOOKUP(B316,Instruções!$F$6:$J$10,4,0)&amp;" as "&amp;VLOOKUP(B316,Instruções!$F$6:$J$10,4,0)&amp;"_as_is, "&amp;VLOOKUP(B316,Instruções!$F$6:$J$10,5,0)&amp;" as "&amp;VLOOKUP(B316,Instruções!$F$6:$J$10,5,0)&amp;"_as_is,"&amp;E316&amp;" as "&amp;F316&amp;" FROM "&amp;C316&amp;" WHERE "&amp;Instruções!$D$11&amp;") A ")</f>
        <v xml:space="preserve">(SELECT instrmnt_id as instrmnt_id_as_is, dt_mdfctn as dt_mdfctn_as_is FROM cd_loan_tapes_bce.lt002_instrument WHERE ref_date='2025-06-30' AND nome_perimetro= 'Individual IDComb' AND segmento= 'ESTR' AND ambito= 'PM' AND entidade='00100' AND cod_visao = 1) A </v>
      </c>
      <c r="I316" s="17" t="str">
        <f>IF(VLOOKUP(B316,Instruções!$F$6:$J$10,5,0)="",
"(SELECT "&amp;VLOOKUP(B316,Instruções!$F$6:$J$10,4,0)&amp;" as "&amp;VLOOKUP(B316,Instruções!$F$6:$J$10,4,0)&amp;"_to_be, "&amp;E316&amp;" as "&amp;G316&amp;" FROM "&amp;D316&amp;" WHERE "&amp;Instruções!$D$11&amp;") B ",
"(SELECT "&amp;VLOOKUP(B316,Instruções!$F$6:$J$10,4,0)&amp;" as "&amp;VLOOKUP(B316,Instruções!$F$6:$J$10,4,0)&amp;"_to_be, "&amp;VLOOKUP(B316,Instruções!$F$6:$J$10,5,0)&amp;" as "&amp;VLOOKUP(B316,Instruções!$F$6:$J$10,5,0)&amp;"_to_be,"&amp;E316&amp;" as "&amp;G316&amp;" FROM "&amp;D316&amp;" WHERE "&amp;Instruções!$D$11&amp;") B ")</f>
        <v xml:space="preserve">(SELECT instrmnt_id as instrmnt_id_to_be, dt_mdfctn as dt_mdfctn_to_be FROM bu_loantape_work.lt002_instrument WHERE ref_date='2025-06-30' AND nome_perimetro= 'Individual IDComb' AND segmento= 'ESTR' AND ambito= 'PM' AND entidade='00100' AND cod_visao = 1) B </v>
      </c>
      <c r="J316" s="17" t="str">
        <f>IF(VLOOKUP(B316,Instruções!$F$6:$J$10,5,0)="",
"ON "&amp;VLOOKUP(B316,Instruções!$F$6:$J$10,4,0)&amp;"_as_is = "&amp;VLOOKUP(B316,Instruções!$F$6:$J$10,4,0)&amp;"_to_be ",
"ON "&amp;VLOOKUP(B316,Instruções!$F$6:$J$10,4,0)&amp;"_as_is = "&amp;VLOOKUP(B316,Instruções!$F$6:$J$10,4,0)&amp;"_to_be AND "&amp;VLOOKUP(B316,Instruções!$F$6:$J$10,5,0)&amp;"_as_is = "&amp;VLOOKUP(B316,Instruções!$F$6:$J$10,5,0)&amp;"_to_be ")</f>
        <v xml:space="preserve">ON instrmnt_id_as_is = instrmnt_id_to_be </v>
      </c>
      <c r="K316" s="17" t="str">
        <f t="shared" si="57"/>
        <v xml:space="preserve">WHERE coalesce(cast(dt_mdfctn_as_is as string), '') &lt;&gt; coalesce(cast(dt_mdfctn_to_be as string), '') </v>
      </c>
      <c r="L316" s="17" t="str">
        <f t="shared" si="58"/>
        <v xml:space="preserve">SELECT count(*) AS NUM_REG_DIF FROM (SELECT instrmnt_id as instrmnt_id_as_is, dt_mdfctn as dt_mdfctn_as_is FROM cd_loan_tapes_bce.lt002_instrument WHERE ref_date='2025-06-30' AND nome_perimetro= 'Individual IDComb' AND segmento= 'ESTR' AND ambito= 'PM' AND entidade='00100' AND cod_visao = 1) A  Inner join (SELECT instrmnt_id as instrmnt_id_to_be, dt_mdfctn as dt_mdfctn_to_be FROM bu_loantape_work.lt002_instrument WHERE ref_date='2025-06-30' AND nome_perimetro= 'Individual IDComb' AND segmento= 'ESTR' AND ambito= 'PM' AND entidade='00100' AND cod_visao = 1) B ON instrmnt_id_as_is = instrmnt_id_to_be WHERE coalesce(cast(dt_mdfctn_as_is as string), '') &lt;&gt; coalesce(cast(dt_mdfctn_to_be as string), '') </v>
      </c>
      <c r="M316" s="17" t="s">
        <v>48</v>
      </c>
      <c r="N316" s="17" t="str">
        <f>"SELECT 'Validação de campos' as tipologia_teste, '"&amp;VLOOKUP(B316,Instruções!$F$6:$J$10,3,0)&amp;"' AS TABELA, '"&amp;E316&amp;"' AS CAMPO, '"&amp;Instruções!$D$7&amp;"' as ref_date, coalesce(NUM_REG_DIF, 0) AS NUM_REG_DIF FROM ("&amp;L316&amp;") A "</f>
        <v xml:space="preserve">SELECT 'Validação de campos' as tipologia_teste, 'lt002_instrument' AS TABELA, 'dt_mdfctn' AS CAMPO, '2025-06-30' as ref_date, coalesce(NUM_REG_DIF, 0) AS NUM_REG_DIF FROM (SELECT count(*) AS NUM_REG_DIF FROM (SELECT instrmnt_id as instrmnt_id_as_is, dt_mdfctn as dt_mdfctn_as_is FROM cd_loan_tapes_bce.lt002_instrument WHERE ref_date='2025-06-30' AND nome_perimetro= 'Individual IDComb' AND segmento= 'ESTR' AND ambito= 'PM' AND entidade='00100' AND cod_visao = 1) A  Inner join (SELECT instrmnt_id as instrmnt_id_to_be, dt_mdfctn as dt_mdfctn_to_be FROM bu_loantape_work.lt002_instrument WHERE ref_date='2025-06-30' AND nome_perimetro= 'Individual IDComb' AND segmento= 'ESTR' AND ambito= 'PM' AND entidade='00100' AND cod_visao = 1) B ON instrmnt_id_as_is = instrmnt_id_to_be WHERE coalesce(cast(dt_mdfctn_as_is as string), '') &lt;&gt; coalesce(cast(dt_mdfctn_to_be as string), '') ) A </v>
      </c>
      <c r="O316" s="19" t="str">
        <f t="shared" si="53"/>
        <v>SELECT 'Validação de campos' as tipologia_teste, 'lt002_instrument' AS TABELA, 'dt_mdfctn' AS CAMPO, '2025-06-30' as ref_date, coalesce(NUM_REG_DIF, 0) AS NUM_REG_DIF FROM (SELECT count(*) AS NUM_REG_DIF FROM (SELECT instrmnt_id as instrmnt_id_as_is, dt_mdfctn as dt_mdfctn_as_is FROM cd_loan_tapes_bce.lt002_instrument WHERE ref_date='2025-06-30' AND nome_perimetro= 'Individual IDComb' AND segmento= 'ESTR' AND ambito= 'PM' AND entidade='00100' AND cod_visao = 1) A  Inner join (SELECT instrmnt_id as instrmnt_id_to_be, dt_mdfctn as dt_mdfctn_to_be FROM bu_loantape_work.lt002_instrument WHERE ref_date='2025-06-30' AND nome_perimetro= 'Individual IDComb' AND segmento= 'ESTR' AND ambito= 'PM' AND entidade='00100' AND cod_visao = 1) B ON instrmnt_id_as_is = instrmnt_id_to_be WHERE coalesce(cast(dt_mdfctn_as_is as string), '') &lt;&gt; coalesce(cast(dt_mdfctn_to_be as string), '') ) A UNION ALL</v>
      </c>
      <c r="P316" s="17">
        <f t="shared" si="52"/>
        <v>30</v>
      </c>
    </row>
    <row r="317" spans="2:16" s="15" customFormat="1" ht="11.5" x14ac:dyDescent="0.25">
      <c r="B317" s="17" t="s">
        <v>28</v>
      </c>
      <c r="C317" s="17" t="str">
        <f>_xlfn.CONCAT(Instruções!$D$5,".",VLOOKUP(B317,Instruções!$F$5:$H$10,2,0))</f>
        <v>cd_loan_tapes_bce.lt004_protection</v>
      </c>
      <c r="D317" s="17" t="str">
        <f>_xlfn.CONCAT(Instruções!$D$6,".",VLOOKUP(B317,Instruções!$F$5:$H$10,3,0))</f>
        <v>bu_loantape_work.lt004_protection</v>
      </c>
      <c r="E317" s="17" t="s">
        <v>316</v>
      </c>
      <c r="F317" s="17" t="str">
        <f t="shared" si="49"/>
        <v>apprsl_crrncy_as_is</v>
      </c>
      <c r="G317" s="17" t="str">
        <f t="shared" si="50"/>
        <v>apprsl_crrncy_to_be</v>
      </c>
      <c r="H317" s="17" t="str">
        <f>IF(VLOOKUP(B317,Instruções!$F$6:$J$10,5,0)="",
"(SELECT "&amp;VLOOKUP(B317,Instruções!$F$6:$J$10,4,0)&amp;" as "&amp;VLOOKUP(B317,Instruções!$F$6:$J$10,4,0)&amp;"_as_is, "&amp;E317&amp;" as "&amp;F317&amp;" FROM "&amp;C317&amp;" WHERE "&amp;Instruções!$D$11&amp;") A ",
"(SELECT "&amp;VLOOKUP(B317,Instruções!$F$6:$J$10,4,0)&amp;" as "&amp;VLOOKUP(B317,Instruções!$F$6:$J$10,4,0)&amp;"_as_is, "&amp;VLOOKUP(B317,Instruções!$F$6:$J$10,5,0)&amp;" as "&amp;VLOOKUP(B317,Instruções!$F$6:$J$10,5,0)&amp;"_as_is,"&amp;E317&amp;" as "&amp;F317&amp;" FROM "&amp;C317&amp;" WHERE "&amp;Instruções!$D$11&amp;") A ")</f>
        <v xml:space="preserve">(SELECT prtctn_id as prtctn_id_as_is, apprsl_crrncy as apprsl_crrncy_as_is FROM cd_loan_tapes_bce.lt004_protection WHERE ref_date='2025-06-30' AND nome_perimetro= 'Individual IDComb' AND segmento= 'ESTR' AND ambito= 'PM' AND entidade='00100' AND cod_visao = 1) A </v>
      </c>
      <c r="I317" s="17" t="str">
        <f>IF(VLOOKUP(B317,Instruções!$F$6:$J$10,5,0)="",
"(SELECT "&amp;VLOOKUP(B317,Instruções!$F$6:$J$10,4,0)&amp;" as "&amp;VLOOKUP(B317,Instruções!$F$6:$J$10,4,0)&amp;"_to_be, "&amp;E317&amp;" as "&amp;G317&amp;" FROM "&amp;D317&amp;" WHERE "&amp;Instruções!$D$11&amp;") B ",
"(SELECT "&amp;VLOOKUP(B317,Instruções!$F$6:$J$10,4,0)&amp;" as "&amp;VLOOKUP(B317,Instruções!$F$6:$J$10,4,0)&amp;"_to_be, "&amp;VLOOKUP(B317,Instruções!$F$6:$J$10,5,0)&amp;" as "&amp;VLOOKUP(B317,Instruções!$F$6:$J$10,5,0)&amp;"_to_be,"&amp;E317&amp;" as "&amp;G317&amp;" FROM "&amp;D317&amp;" WHERE "&amp;Instruções!$D$11&amp;") B ")</f>
        <v xml:space="preserve">(SELECT prtctn_id as prtctn_id_to_be, apprsl_crrncy as apprsl_crrncy_to_be FROM bu_loantape_work.lt004_protection WHERE ref_date='2025-06-30' AND nome_perimetro= 'Individual IDComb' AND segmento= 'ESTR' AND ambito= 'PM' AND entidade='00100' AND cod_visao = 1) B </v>
      </c>
      <c r="J317" s="17" t="str">
        <f>IF(VLOOKUP(B317,Instruções!$F$6:$J$10,5,0)="",
"ON "&amp;VLOOKUP(B317,Instruções!$F$6:$J$10,4,0)&amp;"_as_is = "&amp;VLOOKUP(B317,Instruções!$F$6:$J$10,4,0)&amp;"_to_be ",
"ON "&amp;VLOOKUP(B317,Instruções!$F$6:$J$10,4,0)&amp;"_as_is = "&amp;VLOOKUP(B317,Instruções!$F$6:$J$10,4,0)&amp;"_to_be AND "&amp;VLOOKUP(B317,Instruções!$F$6:$J$10,5,0)&amp;"_as_is = "&amp;VLOOKUP(B317,Instruções!$F$6:$J$10,5,0)&amp;"_to_be ")</f>
        <v xml:space="preserve">ON prtctn_id_as_is = prtctn_id_to_be </v>
      </c>
      <c r="K317" s="17" t="str">
        <f t="shared" si="51"/>
        <v xml:space="preserve">WHERE coalesce(cast(apprsl_crrncy_as_is as string), '') &lt;&gt; coalesce(cast(apprsl_crrncy_to_be as string), '') </v>
      </c>
      <c r="L317" s="17" t="str">
        <f t="shared" si="54"/>
        <v xml:space="preserve">SELECT count(*) AS NUM_REG_DIF FROM (SELECT prtctn_id as prtctn_id_as_is, apprsl_crrncy as apprsl_crrncy_as_is FROM cd_loan_tapes_bce.lt004_protection WHERE ref_date='2025-06-30' AND nome_perimetro= 'Individual IDComb' AND segmento= 'ESTR' AND ambito= 'PM' AND entidade='00100' AND cod_visao = 1) A  Inner join (SELECT prtctn_id as prtctn_id_to_be, apprsl_crrncy as apprsl_crrncy_to_be FROM bu_loantape_work.lt004_protection WHERE ref_date='2025-06-30' AND nome_perimetro= 'Individual IDComb' AND segmento= 'ESTR' AND ambito= 'PM' AND entidade='00100' AND cod_visao = 1) B ON prtctn_id_as_is = prtctn_id_to_be WHERE coalesce(cast(apprsl_crrncy_as_is as string), '') &lt;&gt; coalesce(cast(apprsl_crrncy_to_be as string), '') </v>
      </c>
      <c r="M317" s="17" t="s">
        <v>48</v>
      </c>
      <c r="N317" s="17" t="str">
        <f>"SELECT 'Validação de campos' as tipologia_teste, '"&amp;VLOOKUP(B317,Instruções!$F$6:$J$10,3,0)&amp;"' AS TABELA, '"&amp;E317&amp;"' AS CAMPO, '"&amp;Instruções!$D$7&amp;"' as ref_date, coalesce(NUM_REG_DIF, 0) AS NUM_REG_DIF FROM ("&amp;L317&amp;") A "</f>
        <v xml:space="preserve">SELECT 'Validação de campos' as tipologia_teste, 'lt004_protection' AS TABELA, 'apprsl_crrncy' AS CAMPO, '2025-06-30' as ref_date, coalesce(NUM_REG_DIF, 0) AS NUM_REG_DIF FROM (SELECT count(*) AS NUM_REG_DIF FROM (SELECT prtctn_id as prtctn_id_as_is, apprsl_crrncy as apprsl_crrncy_as_is FROM cd_loan_tapes_bce.lt004_protection WHERE ref_date='2025-06-30' AND nome_perimetro= 'Individual IDComb' AND segmento= 'ESTR' AND ambito= 'PM' AND entidade='00100' AND cod_visao = 1) A  Inner join (SELECT prtctn_id as prtctn_id_to_be, apprsl_crrncy as apprsl_crrncy_to_be FROM bu_loantape_work.lt004_protection WHERE ref_date='2025-06-30' AND nome_perimetro= 'Individual IDComb' AND segmento= 'ESTR' AND ambito= 'PM' AND entidade='00100' AND cod_visao = 1) B ON prtctn_id_as_is = prtctn_id_to_be WHERE coalesce(cast(apprsl_crrncy_as_is as string), '') &lt;&gt; coalesce(cast(apprsl_crrncy_to_be as string), '') ) A </v>
      </c>
      <c r="O317" s="19" t="str">
        <f t="shared" si="53"/>
        <v>SELECT 'Validação de campos' as tipologia_teste, 'lt004_protection' AS TABELA, 'apprsl_crrncy' AS CAMPO, '2025-06-30' as ref_date, coalesce(NUM_REG_DIF, 0) AS NUM_REG_DIF FROM (SELECT count(*) AS NUM_REG_DIF FROM (SELECT prtctn_id as prtctn_id_as_is, apprsl_crrncy as apprsl_crrncy_as_is FROM cd_loan_tapes_bce.lt004_protection WHERE ref_date='2025-06-30' AND nome_perimetro= 'Individual IDComb' AND segmento= 'ESTR' AND ambito= 'PM' AND entidade='00100' AND cod_visao = 1) A  Inner join (SELECT prtctn_id as prtctn_id_to_be, apprsl_crrncy as apprsl_crrncy_to_be FROM bu_loantape_work.lt004_protection WHERE ref_date='2025-06-30' AND nome_perimetro= 'Individual IDComb' AND segmento= 'ESTR' AND ambito= 'PM' AND entidade='00100' AND cod_visao = 1) B ON prtctn_id_as_is = prtctn_id_to_be WHERE coalesce(cast(apprsl_crrncy_as_is as string), '') &lt;&gt; coalesce(cast(apprsl_crrncy_to_be as string), '') ) A UNION ALL</v>
      </c>
      <c r="P317" s="17">
        <f t="shared" si="52"/>
        <v>31</v>
      </c>
    </row>
    <row r="318" spans="2:16" s="15" customFormat="1" ht="11.5" x14ac:dyDescent="0.25">
      <c r="B318" s="17" t="s">
        <v>28</v>
      </c>
      <c r="C318" s="17" t="str">
        <f>_xlfn.CONCAT(Instruções!$D$5,".",VLOOKUP(B318,Instruções!$F$5:$H$10,2,0))</f>
        <v>cd_loan_tapes_bce.lt004_protection</v>
      </c>
      <c r="D318" s="17" t="str">
        <f>_xlfn.CONCAT(Instruções!$D$6,".",VLOOKUP(B318,Instruções!$F$5:$H$10,3,0))</f>
        <v>bu_loantape_work.lt004_protection</v>
      </c>
      <c r="E318" s="17" t="s">
        <v>317</v>
      </c>
      <c r="F318" s="17" t="str">
        <f t="shared" si="49"/>
        <v>apprsr_as_is</v>
      </c>
      <c r="G318" s="17" t="str">
        <f t="shared" si="50"/>
        <v>apprsr_to_be</v>
      </c>
      <c r="H318" s="17" t="str">
        <f>IF(VLOOKUP(B318,Instruções!$F$6:$J$10,5,0)="",
"(SELECT "&amp;VLOOKUP(B318,Instruções!$F$6:$J$10,4,0)&amp;" as "&amp;VLOOKUP(B318,Instruções!$F$6:$J$10,4,0)&amp;"_as_is, "&amp;E318&amp;" as "&amp;F318&amp;" FROM "&amp;C318&amp;" WHERE "&amp;Instruções!$D$11&amp;") A ",
"(SELECT "&amp;VLOOKUP(B318,Instruções!$F$6:$J$10,4,0)&amp;" as "&amp;VLOOKUP(B318,Instruções!$F$6:$J$10,4,0)&amp;"_as_is, "&amp;VLOOKUP(B318,Instruções!$F$6:$J$10,5,0)&amp;" as "&amp;VLOOKUP(B318,Instruções!$F$6:$J$10,5,0)&amp;"_as_is,"&amp;E318&amp;" as "&amp;F318&amp;" FROM "&amp;C318&amp;" WHERE "&amp;Instruções!$D$11&amp;") A ")</f>
        <v xml:space="preserve">(SELECT prtctn_id as prtctn_id_as_is, apprsr as apprsr_as_is FROM cd_loan_tapes_bce.lt004_protection WHERE ref_date='2025-06-30' AND nome_perimetro= 'Individual IDComb' AND segmento= 'ESTR' AND ambito= 'PM' AND entidade='00100' AND cod_visao = 1) A </v>
      </c>
      <c r="I318" s="17" t="str">
        <f>IF(VLOOKUP(B318,Instruções!$F$6:$J$10,5,0)="",
"(SELECT "&amp;VLOOKUP(B318,Instruções!$F$6:$J$10,4,0)&amp;" as "&amp;VLOOKUP(B318,Instruções!$F$6:$J$10,4,0)&amp;"_to_be, "&amp;E318&amp;" as "&amp;G318&amp;" FROM "&amp;D318&amp;" WHERE "&amp;Instruções!$D$11&amp;") B ",
"(SELECT "&amp;VLOOKUP(B318,Instruções!$F$6:$J$10,4,0)&amp;" as "&amp;VLOOKUP(B318,Instruções!$F$6:$J$10,4,0)&amp;"_to_be, "&amp;VLOOKUP(B318,Instruções!$F$6:$J$10,5,0)&amp;" as "&amp;VLOOKUP(B318,Instruções!$F$6:$J$10,5,0)&amp;"_to_be,"&amp;E318&amp;" as "&amp;G318&amp;" FROM "&amp;D318&amp;" WHERE "&amp;Instruções!$D$11&amp;") B ")</f>
        <v xml:space="preserve">(SELECT prtctn_id as prtctn_id_to_be, apprsr as apprsr_to_be FROM bu_loantape_work.lt004_protection WHERE ref_date='2025-06-30' AND nome_perimetro= 'Individual IDComb' AND segmento= 'ESTR' AND ambito= 'PM' AND entidade='00100' AND cod_visao = 1) B </v>
      </c>
      <c r="J318" s="17" t="str">
        <f>IF(VLOOKUP(B318,Instruções!$F$6:$J$10,5,0)="",
"ON "&amp;VLOOKUP(B318,Instruções!$F$6:$J$10,4,0)&amp;"_as_is = "&amp;VLOOKUP(B318,Instruções!$F$6:$J$10,4,0)&amp;"_to_be ",
"ON "&amp;VLOOKUP(B318,Instruções!$F$6:$J$10,4,0)&amp;"_as_is = "&amp;VLOOKUP(B318,Instruções!$F$6:$J$10,4,0)&amp;"_to_be AND "&amp;VLOOKUP(B318,Instruções!$F$6:$J$10,5,0)&amp;"_as_is = "&amp;VLOOKUP(B318,Instruções!$F$6:$J$10,5,0)&amp;"_to_be ")</f>
        <v xml:space="preserve">ON prtctn_id_as_is = prtctn_id_to_be </v>
      </c>
      <c r="K318" s="17" t="str">
        <f t="shared" si="51"/>
        <v xml:space="preserve">WHERE coalesce(cast(apprsr_as_is as string), '') &lt;&gt; coalesce(cast(apprsr_to_be as string), '') </v>
      </c>
      <c r="L318" s="17" t="str">
        <f t="shared" si="54"/>
        <v xml:space="preserve">SELECT count(*) AS NUM_REG_DIF FROM (SELECT prtctn_id as prtctn_id_as_is, apprsr as apprsr_as_is FROM cd_loan_tapes_bce.lt004_protection WHERE ref_date='2025-06-30' AND nome_perimetro= 'Individual IDComb' AND segmento= 'ESTR' AND ambito= 'PM' AND entidade='00100' AND cod_visao = 1) A  Inner join (SELECT prtctn_id as prtctn_id_to_be, apprsr as apprsr_to_be FROM bu_loantape_work.lt004_protection WHERE ref_date='2025-06-30' AND nome_perimetro= 'Individual IDComb' AND segmento= 'ESTR' AND ambito= 'PM' AND entidade='00100' AND cod_visao = 1) B ON prtctn_id_as_is = prtctn_id_to_be WHERE coalesce(cast(apprsr_as_is as string), '') &lt;&gt; coalesce(cast(apprsr_to_be as string), '') </v>
      </c>
      <c r="M318" s="17" t="s">
        <v>48</v>
      </c>
      <c r="N318" s="17" t="str">
        <f>"SELECT 'Validação de campos' as tipologia_teste, '"&amp;VLOOKUP(B318,Instruções!$F$6:$J$10,3,0)&amp;"' AS TABELA, '"&amp;E318&amp;"' AS CAMPO, '"&amp;Instruções!$D$7&amp;"' as ref_date, coalesce(NUM_REG_DIF, 0) AS NUM_REG_DIF FROM ("&amp;L318&amp;") A "</f>
        <v xml:space="preserve">SELECT 'Validação de campos' as tipologia_teste, 'lt004_protection' AS TABELA, 'apprsr' AS CAMPO, '2025-06-30' as ref_date, coalesce(NUM_REG_DIF, 0) AS NUM_REG_DIF FROM (SELECT count(*) AS NUM_REG_DIF FROM (SELECT prtctn_id as prtctn_id_as_is, apprsr as apprsr_as_is FROM cd_loan_tapes_bce.lt004_protection WHERE ref_date='2025-06-30' AND nome_perimetro= 'Individual IDComb' AND segmento= 'ESTR' AND ambito= 'PM' AND entidade='00100' AND cod_visao = 1) A  Inner join (SELECT prtctn_id as prtctn_id_to_be, apprsr as apprsr_to_be FROM bu_loantape_work.lt004_protection WHERE ref_date='2025-06-30' AND nome_perimetro= 'Individual IDComb' AND segmento= 'ESTR' AND ambito= 'PM' AND entidade='00100' AND cod_visao = 1) B ON prtctn_id_as_is = prtctn_id_to_be WHERE coalesce(cast(apprsr_as_is as string), '') &lt;&gt; coalesce(cast(apprsr_to_be as string), '') ) A </v>
      </c>
      <c r="O318" s="19" t="str">
        <f t="shared" si="53"/>
        <v xml:space="preserve">SELECT 'Validação de campos' as tipologia_teste, 'lt004_protection' AS TABELA, 'apprsr' AS CAMPO, '2025-06-30' as ref_date, coalesce(NUM_REG_DIF, 0) AS NUM_REG_DIF FROM (SELECT count(*) AS NUM_REG_DIF FROM (SELECT prtctn_id as prtctn_id_as_is, apprsr as apprsr_as_is FROM cd_loan_tapes_bce.lt004_protection WHERE ref_date='2025-06-30' AND nome_perimetro= 'Individual IDComb' AND segmento= 'ESTR' AND ambito= 'PM' AND entidade='00100' AND cod_visao = 1) A  Inner join (SELECT prtctn_id as prtctn_id_to_be, apprsr as apprsr_to_be FROM bu_loantape_work.lt004_protection WHERE ref_date='2025-06-30' AND nome_perimetro= 'Individual IDComb' AND segmento= 'ESTR' AND ambito= 'PM' AND entidade='00100' AND cod_visao = 1) B ON prtctn_id_as_is = prtctn_id_to_be WHERE coalesce(cast(apprsr_as_is as string), '') &lt;&gt; coalesce(cast(apprsr_to_be as string), '') ) A </v>
      </c>
      <c r="P318" s="17">
        <f t="shared" si="52"/>
        <v>32</v>
      </c>
    </row>
    <row r="319" spans="2:16" s="15" customFormat="1" ht="11.5" x14ac:dyDescent="0.25"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9"/>
      <c r="P319" s="18"/>
    </row>
    <row r="320" spans="2:16" s="15" customFormat="1" ht="11.5" x14ac:dyDescent="0.25">
      <c r="B320" s="17" t="s">
        <v>28</v>
      </c>
      <c r="C320" s="17" t="str">
        <f>_xlfn.CONCAT(Instruções!$D$5,".",VLOOKUP(B320,Instruções!$F$5:$H$10,2,0))</f>
        <v>cd_loan_tapes_bce.lt004_protection</v>
      </c>
      <c r="D320" s="17" t="str">
        <f>_xlfn.CONCAT(Instruções!$D$6,".",VLOOKUP(B320,Instruções!$F$5:$H$10,3,0))</f>
        <v>bu_loantape_work.lt004_protection</v>
      </c>
      <c r="E320" s="17" t="s">
        <v>318</v>
      </c>
      <c r="F320" s="17" t="str">
        <f t="shared" si="49"/>
        <v>cnstrctn_stts_as_is</v>
      </c>
      <c r="G320" s="17" t="str">
        <f t="shared" si="50"/>
        <v>cnstrctn_stts_to_be</v>
      </c>
      <c r="H320" s="17" t="str">
        <f>IF(VLOOKUP(B320,Instruções!$F$6:$J$10,5,0)="",
"(SELECT "&amp;VLOOKUP(B320,Instruções!$F$6:$J$10,4,0)&amp;" as "&amp;VLOOKUP(B320,Instruções!$F$6:$J$10,4,0)&amp;"_as_is, "&amp;E320&amp;" as "&amp;F320&amp;" FROM "&amp;C320&amp;" WHERE "&amp;Instruções!$D$11&amp;") A ",
"(SELECT "&amp;VLOOKUP(B320,Instruções!$F$6:$J$10,4,0)&amp;" as "&amp;VLOOKUP(B320,Instruções!$F$6:$J$10,4,0)&amp;"_as_is, "&amp;VLOOKUP(B320,Instruções!$F$6:$J$10,5,0)&amp;" as "&amp;VLOOKUP(B320,Instruções!$F$6:$J$10,5,0)&amp;"_as_is,"&amp;E320&amp;" as "&amp;F320&amp;" FROM "&amp;C320&amp;" WHERE "&amp;Instruções!$D$11&amp;") A ")</f>
        <v xml:space="preserve">(SELECT prtctn_id as prtctn_id_as_is, cnstrctn_stts as cnstrctn_stts_as_is FROM cd_loan_tapes_bce.lt004_protection WHERE ref_date='2025-06-30' AND nome_perimetro= 'Individual IDComb' AND segmento= 'ESTR' AND ambito= 'PM' AND entidade='00100' AND cod_visao = 1) A </v>
      </c>
      <c r="I320" s="17" t="str">
        <f>IF(VLOOKUP(B320,Instruções!$F$6:$J$10,5,0)="",
"(SELECT "&amp;VLOOKUP(B320,Instruções!$F$6:$J$10,4,0)&amp;" as "&amp;VLOOKUP(B320,Instruções!$F$6:$J$10,4,0)&amp;"_to_be, "&amp;E320&amp;" as "&amp;G320&amp;" FROM "&amp;D320&amp;" WHERE "&amp;Instruções!$D$11&amp;") B ",
"(SELECT "&amp;VLOOKUP(B320,Instruções!$F$6:$J$10,4,0)&amp;" as "&amp;VLOOKUP(B320,Instruções!$F$6:$J$10,4,0)&amp;"_to_be, "&amp;VLOOKUP(B320,Instruções!$F$6:$J$10,5,0)&amp;" as "&amp;VLOOKUP(B320,Instruções!$F$6:$J$10,5,0)&amp;"_to_be,"&amp;E320&amp;" as "&amp;G320&amp;" FROM "&amp;D320&amp;" WHERE "&amp;Instruções!$D$11&amp;") B ")</f>
        <v xml:space="preserve">(SELECT prtctn_id as prtctn_id_to_be, cnstrctn_stts as cnstrctn_stts_to_be FROM bu_loantape_work.lt004_protection WHERE ref_date='2025-06-30' AND nome_perimetro= 'Individual IDComb' AND segmento= 'ESTR' AND ambito= 'PM' AND entidade='00100' AND cod_visao = 1) B </v>
      </c>
      <c r="J320" s="17" t="str">
        <f>IF(VLOOKUP(B320,Instruções!$F$6:$J$10,5,0)="",
"ON "&amp;VLOOKUP(B320,Instruções!$F$6:$J$10,4,0)&amp;"_as_is = "&amp;VLOOKUP(B320,Instruções!$F$6:$J$10,4,0)&amp;"_to_be ",
"ON "&amp;VLOOKUP(B320,Instruções!$F$6:$J$10,4,0)&amp;"_as_is = "&amp;VLOOKUP(B320,Instruções!$F$6:$J$10,4,0)&amp;"_to_be AND "&amp;VLOOKUP(B320,Instruções!$F$6:$J$10,5,0)&amp;"_as_is = "&amp;VLOOKUP(B320,Instruções!$F$6:$J$10,5,0)&amp;"_to_be ")</f>
        <v xml:space="preserve">ON prtctn_id_as_is = prtctn_id_to_be </v>
      </c>
      <c r="K320" s="17" t="str">
        <f t="shared" si="51"/>
        <v xml:space="preserve">WHERE coalesce(cast(cnstrctn_stts_as_is as string), '') &lt;&gt; coalesce(cast(cnstrctn_stts_to_be as string), '') </v>
      </c>
      <c r="L320" s="17" t="str">
        <f t="shared" si="54"/>
        <v xml:space="preserve">SELECT count(*) AS NUM_REG_DIF FROM (SELECT prtctn_id as prtctn_id_as_is, cnstrctn_stts as cnstrctn_stts_as_is FROM cd_loan_tapes_bce.lt004_protection WHERE ref_date='2025-06-30' AND nome_perimetro= 'Individual IDComb' AND segmento= 'ESTR' AND ambito= 'PM' AND entidade='00100' AND cod_visao = 1) A  Inner join (SELECT prtctn_id as prtctn_id_to_be, cnstrctn_stts as cnstrctn_stts_to_be FROM bu_loantape_work.lt004_protection WHERE ref_date='2025-06-30' AND nome_perimetro= 'Individual IDComb' AND segmento= 'ESTR' AND ambito= 'PM' AND entidade='00100' AND cod_visao = 1) B ON prtctn_id_as_is = prtctn_id_to_be WHERE coalesce(cast(cnstrctn_stts_as_is as string), '') &lt;&gt; coalesce(cast(cnstrctn_stts_to_be as string), '') </v>
      </c>
      <c r="M320" s="17" t="s">
        <v>48</v>
      </c>
      <c r="N320" s="17" t="str">
        <f>"SELECT 'Validação de campos' as tipologia_teste, '"&amp;VLOOKUP(B320,Instruções!$F$6:$J$10,3,0)&amp;"' AS TABELA, '"&amp;E320&amp;"' AS CAMPO, '"&amp;Instruções!$D$7&amp;"' as ref_date, coalesce(NUM_REG_DIF, 0) AS NUM_REG_DIF FROM ("&amp;L320&amp;") A "</f>
        <v xml:space="preserve">SELECT 'Validação de campos' as tipologia_teste, 'lt004_protection' AS TABELA, 'cnstrctn_stts' AS CAMPO, '2025-06-30' as ref_date, coalesce(NUM_REG_DIF, 0) AS NUM_REG_DIF FROM (SELECT count(*) AS NUM_REG_DIF FROM (SELECT prtctn_id as prtctn_id_as_is, cnstrctn_stts as cnstrctn_stts_as_is FROM cd_loan_tapes_bce.lt004_protection WHERE ref_date='2025-06-30' AND nome_perimetro= 'Individual IDComb' AND segmento= 'ESTR' AND ambito= 'PM' AND entidade='00100' AND cod_visao = 1) A  Inner join (SELECT prtctn_id as prtctn_id_to_be, cnstrctn_stts as cnstrctn_stts_to_be FROM bu_loantape_work.lt004_protection WHERE ref_date='2025-06-30' AND nome_perimetro= 'Individual IDComb' AND segmento= 'ESTR' AND ambito= 'PM' AND entidade='00100' AND cod_visao = 1) B ON prtctn_id_as_is = prtctn_id_to_be WHERE coalesce(cast(cnstrctn_stts_as_is as string), '') &lt;&gt; coalesce(cast(cnstrctn_stts_to_be as string), '') ) A </v>
      </c>
      <c r="O320" s="19" t="str">
        <f>IF(O321="",N320,N320&amp;$O$3)</f>
        <v>SELECT 'Validação de campos' as tipologia_teste, 'lt004_protection' AS TABELA, 'cnstrctn_stts' AS CAMPO, '2025-06-30' as ref_date, coalesce(NUM_REG_DIF, 0) AS NUM_REG_DIF FROM (SELECT count(*) AS NUM_REG_DIF FROM (SELECT prtctn_id as prtctn_id_as_is, cnstrctn_stts as cnstrctn_stts_as_is FROM cd_loan_tapes_bce.lt004_protection WHERE ref_date='2025-06-30' AND nome_perimetro= 'Individual IDComb' AND segmento= 'ESTR' AND ambito= 'PM' AND entidade='00100' AND cod_visao = 1) A  Inner join (SELECT prtctn_id as prtctn_id_to_be, cnstrctn_stts as cnstrctn_stts_to_be FROM bu_loantape_work.lt004_protection WHERE ref_date='2025-06-30' AND nome_perimetro= 'Individual IDComb' AND segmento= 'ESTR' AND ambito= 'PM' AND entidade='00100' AND cod_visao = 1) B ON prtctn_id_as_is = prtctn_id_to_be WHERE coalesce(cast(cnstrctn_stts_as_is as string), '') &lt;&gt; coalesce(cast(cnstrctn_stts_to_be as string), '') ) A UNION ALL</v>
      </c>
      <c r="P320" s="17">
        <f t="shared" ref="P320:P354" si="59">P319+1</f>
        <v>1</v>
      </c>
    </row>
    <row r="321" spans="2:16" s="15" customFormat="1" ht="11.5" x14ac:dyDescent="0.25">
      <c r="B321" s="17" t="s">
        <v>28</v>
      </c>
      <c r="C321" s="17" t="str">
        <f>_xlfn.CONCAT(Instruções!$D$5,".",VLOOKUP(B321,Instruções!$F$5:$H$10,2,0))</f>
        <v>cd_loan_tapes_bce.lt004_protection</v>
      </c>
      <c r="D321" s="17" t="str">
        <f>_xlfn.CONCAT(Instruções!$D$6,".",VLOOKUP(B321,Instruções!$F$5:$H$10,3,0))</f>
        <v>bu_loantape_work.lt004_protection</v>
      </c>
      <c r="E321" s="17" t="s">
        <v>57</v>
      </c>
      <c r="F321" s="17" t="str">
        <f t="shared" si="49"/>
        <v>cod_soc_as_is</v>
      </c>
      <c r="G321" s="17" t="str">
        <f t="shared" si="50"/>
        <v>cod_soc_to_be</v>
      </c>
      <c r="H321" s="17" t="str">
        <f>IF(VLOOKUP(B321,Instruções!$F$6:$J$10,5,0)="",
"(SELECT "&amp;VLOOKUP(B321,Instruções!$F$6:$J$10,4,0)&amp;" as "&amp;VLOOKUP(B321,Instruções!$F$6:$J$10,4,0)&amp;"_as_is, "&amp;E321&amp;" as "&amp;F321&amp;" FROM "&amp;C321&amp;" WHERE "&amp;Instruções!$D$11&amp;") A ",
"(SELECT "&amp;VLOOKUP(B321,Instruções!$F$6:$J$10,4,0)&amp;" as "&amp;VLOOKUP(B321,Instruções!$F$6:$J$10,4,0)&amp;"_as_is, "&amp;VLOOKUP(B321,Instruções!$F$6:$J$10,5,0)&amp;" as "&amp;VLOOKUP(B321,Instruções!$F$6:$J$10,5,0)&amp;"_as_is,"&amp;E321&amp;" as "&amp;F321&amp;" FROM "&amp;C321&amp;" WHERE "&amp;Instruções!$D$11&amp;") A ")</f>
        <v xml:space="preserve">(SELECT prtctn_id as prtctn_id_as_is, cod_soc as cod_soc_as_is FROM cd_loan_tapes_bce.lt004_protection WHERE ref_date='2025-06-30' AND nome_perimetro= 'Individual IDComb' AND segmento= 'ESTR' AND ambito= 'PM' AND entidade='00100' AND cod_visao = 1) A </v>
      </c>
      <c r="I321" s="17" t="str">
        <f>IF(VLOOKUP(B321,Instruções!$F$6:$J$10,5,0)="",
"(SELECT "&amp;VLOOKUP(B321,Instruções!$F$6:$J$10,4,0)&amp;" as "&amp;VLOOKUP(B321,Instruções!$F$6:$J$10,4,0)&amp;"_to_be, "&amp;E321&amp;" as "&amp;G321&amp;" FROM "&amp;D321&amp;" WHERE "&amp;Instruções!$D$11&amp;") B ",
"(SELECT "&amp;VLOOKUP(B321,Instruções!$F$6:$J$10,4,0)&amp;" as "&amp;VLOOKUP(B321,Instruções!$F$6:$J$10,4,0)&amp;"_to_be, "&amp;VLOOKUP(B321,Instruções!$F$6:$J$10,5,0)&amp;" as "&amp;VLOOKUP(B321,Instruções!$F$6:$J$10,5,0)&amp;"_to_be,"&amp;E321&amp;" as "&amp;G321&amp;" FROM "&amp;D321&amp;" WHERE "&amp;Instruções!$D$11&amp;") B ")</f>
        <v xml:space="preserve">(SELECT prtctn_id as prtctn_id_to_be, cod_soc as cod_soc_to_be FROM bu_loantape_work.lt004_protection WHERE ref_date='2025-06-30' AND nome_perimetro= 'Individual IDComb' AND segmento= 'ESTR' AND ambito= 'PM' AND entidade='00100' AND cod_visao = 1) B </v>
      </c>
      <c r="J321" s="17" t="str">
        <f>IF(VLOOKUP(B321,Instruções!$F$6:$J$10,5,0)="",
"ON "&amp;VLOOKUP(B321,Instruções!$F$6:$J$10,4,0)&amp;"_as_is = "&amp;VLOOKUP(B321,Instruções!$F$6:$J$10,4,0)&amp;"_to_be ",
"ON "&amp;VLOOKUP(B321,Instruções!$F$6:$J$10,4,0)&amp;"_as_is = "&amp;VLOOKUP(B321,Instruções!$F$6:$J$10,4,0)&amp;"_to_be AND "&amp;VLOOKUP(B321,Instruções!$F$6:$J$10,5,0)&amp;"_as_is = "&amp;VLOOKUP(B321,Instruções!$F$6:$J$10,5,0)&amp;"_to_be ")</f>
        <v xml:space="preserve">ON prtctn_id_as_is = prtctn_id_to_be </v>
      </c>
      <c r="K321" s="17" t="str">
        <f t="shared" si="51"/>
        <v xml:space="preserve">WHERE coalesce(cast(cod_soc_as_is as string), '') &lt;&gt; coalesce(cast(cod_soc_to_be as string), '') </v>
      </c>
      <c r="L321" s="17" t="str">
        <f t="shared" si="54"/>
        <v xml:space="preserve">SELECT count(*) AS NUM_REG_DIF FROM (SELECT prtctn_id as prtctn_id_as_is, cod_soc as cod_soc_as_is FROM cd_loan_tapes_bce.lt004_protection WHERE ref_date='2025-06-30' AND nome_perimetro= 'Individual IDComb' AND segmento= 'ESTR' AND ambito= 'PM' AND entidade='00100' AND cod_visao = 1) A  Inner join (SELECT prtctn_id as prtctn_id_to_be, cod_soc as cod_soc_to_be FROM bu_loantape_work.lt004_protection WHERE ref_date='2025-06-30' AND nome_perimetro= 'Individual IDComb' AND segmento= 'ESTR' AND ambito= 'PM' AND entidade='00100' AND cod_visao = 1) B ON prtctn_id_as_is = prtctn_id_to_be WHERE coalesce(cast(cod_soc_as_is as string), '') &lt;&gt; coalesce(cast(cod_soc_to_be as string), '') </v>
      </c>
      <c r="M321" s="17" t="s">
        <v>48</v>
      </c>
      <c r="N321" s="17" t="str">
        <f>"SELECT 'Validação de campos' as tipologia_teste, '"&amp;VLOOKUP(B321,Instruções!$F$6:$J$10,3,0)&amp;"' AS TABELA, '"&amp;E321&amp;"' AS CAMPO, '"&amp;Instruções!$D$7&amp;"' as ref_date, coalesce(NUM_REG_DIF, 0) AS NUM_REG_DIF FROM ("&amp;L321&amp;") A "</f>
        <v xml:space="preserve">SELECT 'Validação de campos' as tipologia_teste, 'lt004_protection' AS TABELA, 'cod_soc' AS CAMPO, '2025-06-30' as ref_date, coalesce(NUM_REG_DIF, 0) AS NUM_REG_DIF FROM (SELECT count(*) AS NUM_REG_DIF FROM (SELECT prtctn_id as prtctn_id_as_is, cod_soc as cod_soc_as_is FROM cd_loan_tapes_bce.lt004_protection WHERE ref_date='2025-06-30' AND nome_perimetro= 'Individual IDComb' AND segmento= 'ESTR' AND ambito= 'PM' AND entidade='00100' AND cod_visao = 1) A  Inner join (SELECT prtctn_id as prtctn_id_to_be, cod_soc as cod_soc_to_be FROM bu_loantape_work.lt004_protection WHERE ref_date='2025-06-30' AND nome_perimetro= 'Individual IDComb' AND segmento= 'ESTR' AND ambito= 'PM' AND entidade='00100' AND cod_visao = 1) B ON prtctn_id_as_is = prtctn_id_to_be WHERE coalesce(cast(cod_soc_as_is as string), '') &lt;&gt; coalesce(cast(cod_soc_to_be as string), '') ) A </v>
      </c>
      <c r="O321" s="19" t="str">
        <f t="shared" ref="O321:O354" si="60">IF(O322="",N321,N321&amp;$O$3)</f>
        <v>SELECT 'Validação de campos' as tipologia_teste, 'lt004_protection' AS TABELA, 'cod_soc' AS CAMPO, '2025-06-30' as ref_date, coalesce(NUM_REG_DIF, 0) AS NUM_REG_DIF FROM (SELECT count(*) AS NUM_REG_DIF FROM (SELECT prtctn_id as prtctn_id_as_is, cod_soc as cod_soc_as_is FROM cd_loan_tapes_bce.lt004_protection WHERE ref_date='2025-06-30' AND nome_perimetro= 'Individual IDComb' AND segmento= 'ESTR' AND ambito= 'PM' AND entidade='00100' AND cod_visao = 1) A  Inner join (SELECT prtctn_id as prtctn_id_to_be, cod_soc as cod_soc_to_be FROM bu_loantape_work.lt004_protection WHERE ref_date='2025-06-30' AND nome_perimetro= 'Individual IDComb' AND segmento= 'ESTR' AND ambito= 'PM' AND entidade='00100' AND cod_visao = 1) B ON prtctn_id_as_is = prtctn_id_to_be WHERE coalesce(cast(cod_soc_as_is as string), '') &lt;&gt; coalesce(cast(cod_soc_to_be as string), '') ) A UNION ALL</v>
      </c>
      <c r="P321" s="17">
        <f t="shared" si="59"/>
        <v>2</v>
      </c>
    </row>
    <row r="322" spans="2:16" s="15" customFormat="1" ht="11.5" x14ac:dyDescent="0.25">
      <c r="B322" s="17" t="s">
        <v>28</v>
      </c>
      <c r="C322" s="17" t="str">
        <f>_xlfn.CONCAT(Instruções!$D$5,".",VLOOKUP(B322,Instruções!$F$5:$H$10,2,0))</f>
        <v>cd_loan_tapes_bce.lt004_protection</v>
      </c>
      <c r="D322" s="17" t="str">
        <f>_xlfn.CONCAT(Instruções!$D$6,".",VLOOKUP(B322,Instruções!$F$5:$H$10,3,0))</f>
        <v>bu_loantape_work.lt004_protection</v>
      </c>
      <c r="E322" s="17" t="s">
        <v>319</v>
      </c>
      <c r="F322" s="17" t="str">
        <f t="shared" si="49"/>
        <v>cre_incm_crrncy_as_is</v>
      </c>
      <c r="G322" s="17" t="str">
        <f t="shared" si="50"/>
        <v>cre_incm_crrncy_to_be</v>
      </c>
      <c r="H322" s="17" t="str">
        <f>IF(VLOOKUP(B322,Instruções!$F$6:$J$10,5,0)="",
"(SELECT "&amp;VLOOKUP(B322,Instruções!$F$6:$J$10,4,0)&amp;" as "&amp;VLOOKUP(B322,Instruções!$F$6:$J$10,4,0)&amp;"_as_is, "&amp;E322&amp;" as "&amp;F322&amp;" FROM "&amp;C322&amp;" WHERE "&amp;Instruções!$D$11&amp;") A ",
"(SELECT "&amp;VLOOKUP(B322,Instruções!$F$6:$J$10,4,0)&amp;" as "&amp;VLOOKUP(B322,Instruções!$F$6:$J$10,4,0)&amp;"_as_is, "&amp;VLOOKUP(B322,Instruções!$F$6:$J$10,5,0)&amp;" as "&amp;VLOOKUP(B322,Instruções!$F$6:$J$10,5,0)&amp;"_as_is,"&amp;E322&amp;" as "&amp;F322&amp;" FROM "&amp;C322&amp;" WHERE "&amp;Instruções!$D$11&amp;") A ")</f>
        <v xml:space="preserve">(SELECT prtctn_id as prtctn_id_as_is, cre_incm_crrncy as cre_incm_crrncy_as_is FROM cd_loan_tapes_bce.lt004_protection WHERE ref_date='2025-06-30' AND nome_perimetro= 'Individual IDComb' AND segmento= 'ESTR' AND ambito= 'PM' AND entidade='00100' AND cod_visao = 1) A </v>
      </c>
      <c r="I322" s="17" t="str">
        <f>IF(VLOOKUP(B322,Instruções!$F$6:$J$10,5,0)="",
"(SELECT "&amp;VLOOKUP(B322,Instruções!$F$6:$J$10,4,0)&amp;" as "&amp;VLOOKUP(B322,Instruções!$F$6:$J$10,4,0)&amp;"_to_be, "&amp;E322&amp;" as "&amp;G322&amp;" FROM "&amp;D322&amp;" WHERE "&amp;Instruções!$D$11&amp;") B ",
"(SELECT "&amp;VLOOKUP(B322,Instruções!$F$6:$J$10,4,0)&amp;" as "&amp;VLOOKUP(B322,Instruções!$F$6:$J$10,4,0)&amp;"_to_be, "&amp;VLOOKUP(B322,Instruções!$F$6:$J$10,5,0)&amp;" as "&amp;VLOOKUP(B322,Instruções!$F$6:$J$10,5,0)&amp;"_to_be,"&amp;E322&amp;" as "&amp;G322&amp;" FROM "&amp;D322&amp;" WHERE "&amp;Instruções!$D$11&amp;") B ")</f>
        <v xml:space="preserve">(SELECT prtctn_id as prtctn_id_to_be, cre_incm_crrncy as cre_incm_crrncy_to_be FROM bu_loantape_work.lt004_protection WHERE ref_date='2025-06-30' AND nome_perimetro= 'Individual IDComb' AND segmento= 'ESTR' AND ambito= 'PM' AND entidade='00100' AND cod_visao = 1) B </v>
      </c>
      <c r="J322" s="17" t="str">
        <f>IF(VLOOKUP(B322,Instruções!$F$6:$J$10,5,0)="",
"ON "&amp;VLOOKUP(B322,Instruções!$F$6:$J$10,4,0)&amp;"_as_is = "&amp;VLOOKUP(B322,Instruções!$F$6:$J$10,4,0)&amp;"_to_be ",
"ON "&amp;VLOOKUP(B322,Instruções!$F$6:$J$10,4,0)&amp;"_as_is = "&amp;VLOOKUP(B322,Instruções!$F$6:$J$10,4,0)&amp;"_to_be AND "&amp;VLOOKUP(B322,Instruções!$F$6:$J$10,5,0)&amp;"_as_is = "&amp;VLOOKUP(B322,Instruções!$F$6:$J$10,5,0)&amp;"_to_be ")</f>
        <v xml:space="preserve">ON prtctn_id_as_is = prtctn_id_to_be </v>
      </c>
      <c r="K322" s="17" t="str">
        <f t="shared" si="51"/>
        <v xml:space="preserve">WHERE coalesce(cast(cre_incm_crrncy_as_is as string), '') &lt;&gt; coalesce(cast(cre_incm_crrncy_to_be as string), '') </v>
      </c>
      <c r="L322" s="17" t="str">
        <f t="shared" si="54"/>
        <v xml:space="preserve">SELECT count(*) AS NUM_REG_DIF FROM (SELECT prtctn_id as prtctn_id_as_is, cre_incm_crrncy as cre_incm_crrncy_as_is FROM cd_loan_tapes_bce.lt004_protection WHERE ref_date='2025-06-30' AND nome_perimetro= 'Individual IDComb' AND segmento= 'ESTR' AND ambito= 'PM' AND entidade='00100' AND cod_visao = 1) A  Inner join (SELECT prtctn_id as prtctn_id_to_be, cre_incm_crrncy as cre_incm_crrncy_to_be FROM bu_loantape_work.lt004_protection WHERE ref_date='2025-06-30' AND nome_perimetro= 'Individual IDComb' AND segmento= 'ESTR' AND ambito= 'PM' AND entidade='00100' AND cod_visao = 1) B ON prtctn_id_as_is = prtctn_id_to_be WHERE coalesce(cast(cre_incm_crrncy_as_is as string), '') &lt;&gt; coalesce(cast(cre_incm_crrncy_to_be as string), '') </v>
      </c>
      <c r="M322" s="17" t="s">
        <v>48</v>
      </c>
      <c r="N322" s="17" t="str">
        <f>"SELECT 'Validação de campos' as tipologia_teste, '"&amp;VLOOKUP(B322,Instruções!$F$6:$J$10,3,0)&amp;"' AS TABELA, '"&amp;E322&amp;"' AS CAMPO, '"&amp;Instruções!$D$7&amp;"' as ref_date, coalesce(NUM_REG_DIF, 0) AS NUM_REG_DIF FROM ("&amp;L322&amp;") A "</f>
        <v xml:space="preserve">SELECT 'Validação de campos' as tipologia_teste, 'lt004_protection' AS TABELA, 'cre_incm_crrncy' AS CAMPO, '2025-06-30' as ref_date, coalesce(NUM_REG_DIF, 0) AS NUM_REG_DIF FROM (SELECT count(*) AS NUM_REG_DIF FROM (SELECT prtctn_id as prtctn_id_as_is, cre_incm_crrncy as cre_incm_crrncy_as_is FROM cd_loan_tapes_bce.lt004_protection WHERE ref_date='2025-06-30' AND nome_perimetro= 'Individual IDComb' AND segmento= 'ESTR' AND ambito= 'PM' AND entidade='00100' AND cod_visao = 1) A  Inner join (SELECT prtctn_id as prtctn_id_to_be, cre_incm_crrncy as cre_incm_crrncy_to_be FROM bu_loantape_work.lt004_protection WHERE ref_date='2025-06-30' AND nome_perimetro= 'Individual IDComb' AND segmento= 'ESTR' AND ambito= 'PM' AND entidade='00100' AND cod_visao = 1) B ON prtctn_id_as_is = prtctn_id_to_be WHERE coalesce(cast(cre_incm_crrncy_as_is as string), '') &lt;&gt; coalesce(cast(cre_incm_crrncy_to_be as string), '') ) A </v>
      </c>
      <c r="O322" s="19" t="str">
        <f t="shared" si="60"/>
        <v>SELECT 'Validação de campos' as tipologia_teste, 'lt004_protection' AS TABELA, 'cre_incm_crrncy' AS CAMPO, '2025-06-30' as ref_date, coalesce(NUM_REG_DIF, 0) AS NUM_REG_DIF FROM (SELECT count(*) AS NUM_REG_DIF FROM (SELECT prtctn_id as prtctn_id_as_is, cre_incm_crrncy as cre_incm_crrncy_as_is FROM cd_loan_tapes_bce.lt004_protection WHERE ref_date='2025-06-30' AND nome_perimetro= 'Individual IDComb' AND segmento= 'ESTR' AND ambito= 'PM' AND entidade='00100' AND cod_visao = 1) A  Inner join (SELECT prtctn_id as prtctn_id_to_be, cre_incm_crrncy as cre_incm_crrncy_to_be FROM bu_loantape_work.lt004_protection WHERE ref_date='2025-06-30' AND nome_perimetro= 'Individual IDComb' AND segmento= 'ESTR' AND ambito= 'PM' AND entidade='00100' AND cod_visao = 1) B ON prtctn_id_as_is = prtctn_id_to_be WHERE coalesce(cast(cre_incm_crrncy_as_is as string), '') &lt;&gt; coalesce(cast(cre_incm_crrncy_to_be as string), '') ) A UNION ALL</v>
      </c>
      <c r="P322" s="17">
        <f t="shared" si="59"/>
        <v>3</v>
      </c>
    </row>
    <row r="323" spans="2:16" s="15" customFormat="1" ht="11.5" x14ac:dyDescent="0.25">
      <c r="B323" s="17" t="s">
        <v>28</v>
      </c>
      <c r="C323" s="17" t="str">
        <f>_xlfn.CONCAT(Instruções!$D$5,".",VLOOKUP(B323,Instruções!$F$5:$H$10,2,0))</f>
        <v>cd_loan_tapes_bce.lt004_protection</v>
      </c>
      <c r="D323" s="17" t="str">
        <f>_xlfn.CONCAT(Instruções!$D$6,".",VLOOKUP(B323,Instruções!$F$5:$H$10,3,0))</f>
        <v>bu_loantape_work.lt004_protection</v>
      </c>
      <c r="E323" s="17" t="s">
        <v>320</v>
      </c>
      <c r="F323" s="17" t="str">
        <f t="shared" si="49"/>
        <v>cre_yrly_expnss_as_is</v>
      </c>
      <c r="G323" s="17" t="str">
        <f t="shared" si="50"/>
        <v>cre_yrly_expnss_to_be</v>
      </c>
      <c r="H323" s="17" t="str">
        <f>IF(VLOOKUP(B323,Instruções!$F$6:$J$10,5,0)="",
"(SELECT "&amp;VLOOKUP(B323,Instruções!$F$6:$J$10,4,0)&amp;" as "&amp;VLOOKUP(B323,Instruções!$F$6:$J$10,4,0)&amp;"_as_is, "&amp;E323&amp;" as "&amp;F323&amp;" FROM "&amp;C323&amp;" WHERE "&amp;Instruções!$D$11&amp;") A ",
"(SELECT "&amp;VLOOKUP(B323,Instruções!$F$6:$J$10,4,0)&amp;" as "&amp;VLOOKUP(B323,Instruções!$F$6:$J$10,4,0)&amp;"_as_is, "&amp;VLOOKUP(B323,Instruções!$F$6:$J$10,5,0)&amp;" as "&amp;VLOOKUP(B323,Instruções!$F$6:$J$10,5,0)&amp;"_as_is,"&amp;E323&amp;" as "&amp;F323&amp;" FROM "&amp;C323&amp;" WHERE "&amp;Instruções!$D$11&amp;") A ")</f>
        <v xml:space="preserve">(SELECT prtctn_id as prtctn_id_as_is, cre_yrly_expnss as cre_yrly_expnss_as_is FROM cd_loan_tapes_bce.lt004_protection WHERE ref_date='2025-06-30' AND nome_perimetro= 'Individual IDComb' AND segmento= 'ESTR' AND ambito= 'PM' AND entidade='00100' AND cod_visao = 1) A </v>
      </c>
      <c r="I323" s="17" t="str">
        <f>IF(VLOOKUP(B323,Instruções!$F$6:$J$10,5,0)="",
"(SELECT "&amp;VLOOKUP(B323,Instruções!$F$6:$J$10,4,0)&amp;" as "&amp;VLOOKUP(B323,Instruções!$F$6:$J$10,4,0)&amp;"_to_be, "&amp;E323&amp;" as "&amp;G323&amp;" FROM "&amp;D323&amp;" WHERE "&amp;Instruções!$D$11&amp;") B ",
"(SELECT "&amp;VLOOKUP(B323,Instruções!$F$6:$J$10,4,0)&amp;" as "&amp;VLOOKUP(B323,Instruções!$F$6:$J$10,4,0)&amp;"_to_be, "&amp;VLOOKUP(B323,Instruções!$F$6:$J$10,5,0)&amp;" as "&amp;VLOOKUP(B323,Instruções!$F$6:$J$10,5,0)&amp;"_to_be,"&amp;E323&amp;" as "&amp;G323&amp;" FROM "&amp;D323&amp;" WHERE "&amp;Instruções!$D$11&amp;") B ")</f>
        <v xml:space="preserve">(SELECT prtctn_id as prtctn_id_to_be, cre_yrly_expnss as cre_yrly_expnss_to_be FROM bu_loantape_work.lt004_protection WHERE ref_date='2025-06-30' AND nome_perimetro= 'Individual IDComb' AND segmento= 'ESTR' AND ambito= 'PM' AND entidade='00100' AND cod_visao = 1) B </v>
      </c>
      <c r="J323" s="17" t="str">
        <f>IF(VLOOKUP(B323,Instruções!$F$6:$J$10,5,0)="",
"ON "&amp;VLOOKUP(B323,Instruções!$F$6:$J$10,4,0)&amp;"_as_is = "&amp;VLOOKUP(B323,Instruções!$F$6:$J$10,4,0)&amp;"_to_be ",
"ON "&amp;VLOOKUP(B323,Instruções!$F$6:$J$10,4,0)&amp;"_as_is = "&amp;VLOOKUP(B323,Instruções!$F$6:$J$10,4,0)&amp;"_to_be AND "&amp;VLOOKUP(B323,Instruções!$F$6:$J$10,5,0)&amp;"_as_is = "&amp;VLOOKUP(B323,Instruções!$F$6:$J$10,5,0)&amp;"_to_be ")</f>
        <v xml:space="preserve">ON prtctn_id_as_is = prtctn_id_to_be </v>
      </c>
      <c r="K323" s="17" t="str">
        <f t="shared" si="51"/>
        <v xml:space="preserve">WHERE coalesce(cast(cre_yrly_expnss_as_is as string), '') &lt;&gt; coalesce(cast(cre_yrly_expnss_to_be as string), '') </v>
      </c>
      <c r="L323" s="17" t="str">
        <f t="shared" si="54"/>
        <v xml:space="preserve">SELECT count(*) AS NUM_REG_DIF FROM (SELECT prtctn_id as prtctn_id_as_is, cre_yrly_expnss as cre_yrly_expnss_as_is FROM cd_loan_tapes_bce.lt004_protection WHERE ref_date='2025-06-30' AND nome_perimetro= 'Individual IDComb' AND segmento= 'ESTR' AND ambito= 'PM' AND entidade='00100' AND cod_visao = 1) A  Inner join (SELECT prtctn_id as prtctn_id_to_be, cre_yrly_expnss as cre_yrly_expnss_to_be FROM bu_loantape_work.lt004_protection WHERE ref_date='2025-06-30' AND nome_perimetro= 'Individual IDComb' AND segmento= 'ESTR' AND ambito= 'PM' AND entidade='00100' AND cod_visao = 1) B ON prtctn_id_as_is = prtctn_id_to_be WHERE coalesce(cast(cre_yrly_expnss_as_is as string), '') &lt;&gt; coalesce(cast(cre_yrly_expnss_to_be as string), '') </v>
      </c>
      <c r="M323" s="17" t="s">
        <v>48</v>
      </c>
      <c r="N323" s="17" t="str">
        <f>"SELECT 'Validação de campos' as tipologia_teste, '"&amp;VLOOKUP(B323,Instruções!$F$6:$J$10,3,0)&amp;"' AS TABELA, '"&amp;E323&amp;"' AS CAMPO, '"&amp;Instruções!$D$7&amp;"' as ref_date, coalesce(NUM_REG_DIF, 0) AS NUM_REG_DIF FROM ("&amp;L323&amp;") A "</f>
        <v xml:space="preserve">SELECT 'Validação de campos' as tipologia_teste, 'lt004_protection' AS TABELA, 'cre_yrly_expnss' AS CAMPO, '2025-06-30' as ref_date, coalesce(NUM_REG_DIF, 0) AS NUM_REG_DIF FROM (SELECT count(*) AS NUM_REG_DIF FROM (SELECT prtctn_id as prtctn_id_as_is, cre_yrly_expnss as cre_yrly_expnss_as_is FROM cd_loan_tapes_bce.lt004_protection WHERE ref_date='2025-06-30' AND nome_perimetro= 'Individual IDComb' AND segmento= 'ESTR' AND ambito= 'PM' AND entidade='00100' AND cod_visao = 1) A  Inner join (SELECT prtctn_id as prtctn_id_to_be, cre_yrly_expnss as cre_yrly_expnss_to_be FROM bu_loantape_work.lt004_protection WHERE ref_date='2025-06-30' AND nome_perimetro= 'Individual IDComb' AND segmento= 'ESTR' AND ambito= 'PM' AND entidade='00100' AND cod_visao = 1) B ON prtctn_id_as_is = prtctn_id_to_be WHERE coalesce(cast(cre_yrly_expnss_as_is as string), '') &lt;&gt; coalesce(cast(cre_yrly_expnss_to_be as string), '') ) A </v>
      </c>
      <c r="O323" s="19" t="str">
        <f t="shared" si="60"/>
        <v>SELECT 'Validação de campos' as tipologia_teste, 'lt004_protection' AS TABELA, 'cre_yrly_expnss' AS CAMPO, '2025-06-30' as ref_date, coalesce(NUM_REG_DIF, 0) AS NUM_REG_DIF FROM (SELECT count(*) AS NUM_REG_DIF FROM (SELECT prtctn_id as prtctn_id_as_is, cre_yrly_expnss as cre_yrly_expnss_as_is FROM cd_loan_tapes_bce.lt004_protection WHERE ref_date='2025-06-30' AND nome_perimetro= 'Individual IDComb' AND segmento= 'ESTR' AND ambito= 'PM' AND entidade='00100' AND cod_visao = 1) A  Inner join (SELECT prtctn_id as prtctn_id_to_be, cre_yrly_expnss as cre_yrly_expnss_to_be FROM bu_loantape_work.lt004_protection WHERE ref_date='2025-06-30' AND nome_perimetro= 'Individual IDComb' AND segmento= 'ESTR' AND ambito= 'PM' AND entidade='00100' AND cod_visao = 1) B ON prtctn_id_as_is = prtctn_id_to_be WHERE coalesce(cast(cre_yrly_expnss_as_is as string), '') &lt;&gt; coalesce(cast(cre_yrly_expnss_to_be as string), '') ) A UNION ALL</v>
      </c>
      <c r="P323" s="17">
        <f t="shared" si="59"/>
        <v>4</v>
      </c>
    </row>
    <row r="324" spans="2:16" s="15" customFormat="1" ht="11.5" x14ac:dyDescent="0.25">
      <c r="B324" s="17" t="s">
        <v>28</v>
      </c>
      <c r="C324" s="17" t="str">
        <f>_xlfn.CONCAT(Instruções!$D$5,".",VLOOKUP(B324,Instruções!$F$5:$H$10,2,0))</f>
        <v>cd_loan_tapes_bce.lt004_protection</v>
      </c>
      <c r="D324" s="17" t="str">
        <f>_xlfn.CONCAT(Instruções!$D$6,".",VLOOKUP(B324,Instruções!$F$5:$H$10,3,0))</f>
        <v>bu_loantape_work.lt004_protection</v>
      </c>
      <c r="E324" s="17" t="s">
        <v>321</v>
      </c>
      <c r="F324" s="17" t="str">
        <f t="shared" si="49"/>
        <v>cre_yrly_incm_as_is</v>
      </c>
      <c r="G324" s="17" t="str">
        <f t="shared" si="50"/>
        <v>cre_yrly_incm_to_be</v>
      </c>
      <c r="H324" s="17" t="str">
        <f>IF(VLOOKUP(B324,Instruções!$F$6:$J$10,5,0)="",
"(SELECT "&amp;VLOOKUP(B324,Instruções!$F$6:$J$10,4,0)&amp;" as "&amp;VLOOKUP(B324,Instruções!$F$6:$J$10,4,0)&amp;"_as_is, "&amp;E324&amp;" as "&amp;F324&amp;" FROM "&amp;C324&amp;" WHERE "&amp;Instruções!$D$11&amp;") A ",
"(SELECT "&amp;VLOOKUP(B324,Instruções!$F$6:$J$10,4,0)&amp;" as "&amp;VLOOKUP(B324,Instruções!$F$6:$J$10,4,0)&amp;"_as_is, "&amp;VLOOKUP(B324,Instruções!$F$6:$J$10,5,0)&amp;" as "&amp;VLOOKUP(B324,Instruções!$F$6:$J$10,5,0)&amp;"_as_is,"&amp;E324&amp;" as "&amp;F324&amp;" FROM "&amp;C324&amp;" WHERE "&amp;Instruções!$D$11&amp;") A ")</f>
        <v xml:space="preserve">(SELECT prtctn_id as prtctn_id_as_is, cre_yrly_incm as cre_yrly_incm_as_is FROM cd_loan_tapes_bce.lt004_protection WHERE ref_date='2025-06-30' AND nome_perimetro= 'Individual IDComb' AND segmento= 'ESTR' AND ambito= 'PM' AND entidade='00100' AND cod_visao = 1) A </v>
      </c>
      <c r="I324" s="17" t="str">
        <f>IF(VLOOKUP(B324,Instruções!$F$6:$J$10,5,0)="",
"(SELECT "&amp;VLOOKUP(B324,Instruções!$F$6:$J$10,4,0)&amp;" as "&amp;VLOOKUP(B324,Instruções!$F$6:$J$10,4,0)&amp;"_to_be, "&amp;E324&amp;" as "&amp;G324&amp;" FROM "&amp;D324&amp;" WHERE "&amp;Instruções!$D$11&amp;") B ",
"(SELECT "&amp;VLOOKUP(B324,Instruções!$F$6:$J$10,4,0)&amp;" as "&amp;VLOOKUP(B324,Instruções!$F$6:$J$10,4,0)&amp;"_to_be, "&amp;VLOOKUP(B324,Instruções!$F$6:$J$10,5,0)&amp;" as "&amp;VLOOKUP(B324,Instruções!$F$6:$J$10,5,0)&amp;"_to_be,"&amp;E324&amp;" as "&amp;G324&amp;" FROM "&amp;D324&amp;" WHERE "&amp;Instruções!$D$11&amp;") B ")</f>
        <v xml:space="preserve">(SELECT prtctn_id as prtctn_id_to_be, cre_yrly_incm as cre_yrly_incm_to_be FROM bu_loantape_work.lt004_protection WHERE ref_date='2025-06-30' AND nome_perimetro= 'Individual IDComb' AND segmento= 'ESTR' AND ambito= 'PM' AND entidade='00100' AND cod_visao = 1) B </v>
      </c>
      <c r="J324" s="17" t="str">
        <f>IF(VLOOKUP(B324,Instruções!$F$6:$J$10,5,0)="",
"ON "&amp;VLOOKUP(B324,Instruções!$F$6:$J$10,4,0)&amp;"_as_is = "&amp;VLOOKUP(B324,Instruções!$F$6:$J$10,4,0)&amp;"_to_be ",
"ON "&amp;VLOOKUP(B324,Instruções!$F$6:$J$10,4,0)&amp;"_as_is = "&amp;VLOOKUP(B324,Instruções!$F$6:$J$10,4,0)&amp;"_to_be AND "&amp;VLOOKUP(B324,Instruções!$F$6:$J$10,5,0)&amp;"_as_is = "&amp;VLOOKUP(B324,Instruções!$F$6:$J$10,5,0)&amp;"_to_be ")</f>
        <v xml:space="preserve">ON prtctn_id_as_is = prtctn_id_to_be </v>
      </c>
      <c r="K324" s="17" t="str">
        <f t="shared" si="51"/>
        <v xml:space="preserve">WHERE coalesce(cast(cre_yrly_incm_as_is as string), '') &lt;&gt; coalesce(cast(cre_yrly_incm_to_be as string), '') </v>
      </c>
      <c r="L324" s="17" t="str">
        <f t="shared" si="54"/>
        <v xml:space="preserve">SELECT count(*) AS NUM_REG_DIF FROM (SELECT prtctn_id as prtctn_id_as_is, cre_yrly_incm as cre_yrly_incm_as_is FROM cd_loan_tapes_bce.lt004_protection WHERE ref_date='2025-06-30' AND nome_perimetro= 'Individual IDComb' AND segmento= 'ESTR' AND ambito= 'PM' AND entidade='00100' AND cod_visao = 1) A  Inner join (SELECT prtctn_id as prtctn_id_to_be, cre_yrly_incm as cre_yrly_incm_to_be FROM bu_loantape_work.lt004_protection WHERE ref_date='2025-06-30' AND nome_perimetro= 'Individual IDComb' AND segmento= 'ESTR' AND ambito= 'PM' AND entidade='00100' AND cod_visao = 1) B ON prtctn_id_as_is = prtctn_id_to_be WHERE coalesce(cast(cre_yrly_incm_as_is as string), '') &lt;&gt; coalesce(cast(cre_yrly_incm_to_be as string), '') </v>
      </c>
      <c r="M324" s="17" t="s">
        <v>48</v>
      </c>
      <c r="N324" s="17" t="str">
        <f>"SELECT 'Validação de campos' as tipologia_teste, '"&amp;VLOOKUP(B324,Instruções!$F$6:$J$10,3,0)&amp;"' AS TABELA, '"&amp;E324&amp;"' AS CAMPO, '"&amp;Instruções!$D$7&amp;"' as ref_date, coalesce(NUM_REG_DIF, 0) AS NUM_REG_DIF FROM ("&amp;L324&amp;") A "</f>
        <v xml:space="preserve">SELECT 'Validação de campos' as tipologia_teste, 'lt004_protection' AS TABELA, 'cre_yrly_incm' AS CAMPO, '2025-06-30' as ref_date, coalesce(NUM_REG_DIF, 0) AS NUM_REG_DIF FROM (SELECT count(*) AS NUM_REG_DIF FROM (SELECT prtctn_id as prtctn_id_as_is, cre_yrly_incm as cre_yrly_incm_as_is FROM cd_loan_tapes_bce.lt004_protection WHERE ref_date='2025-06-30' AND nome_perimetro= 'Individual IDComb' AND segmento= 'ESTR' AND ambito= 'PM' AND entidade='00100' AND cod_visao = 1) A  Inner join (SELECT prtctn_id as prtctn_id_to_be, cre_yrly_incm as cre_yrly_incm_to_be FROM bu_loantape_work.lt004_protection WHERE ref_date='2025-06-30' AND nome_perimetro= 'Individual IDComb' AND segmento= 'ESTR' AND ambito= 'PM' AND entidade='00100' AND cod_visao = 1) B ON prtctn_id_as_is = prtctn_id_to_be WHERE coalesce(cast(cre_yrly_incm_as_is as string), '') &lt;&gt; coalesce(cast(cre_yrly_incm_to_be as string), '') ) A </v>
      </c>
      <c r="O324" s="19" t="str">
        <f t="shared" si="60"/>
        <v>SELECT 'Validação de campos' as tipologia_teste, 'lt004_protection' AS TABELA, 'cre_yrly_incm' AS CAMPO, '2025-06-30' as ref_date, coalesce(NUM_REG_DIF, 0) AS NUM_REG_DIF FROM (SELECT count(*) AS NUM_REG_DIF FROM (SELECT prtctn_id as prtctn_id_as_is, cre_yrly_incm as cre_yrly_incm_as_is FROM cd_loan_tapes_bce.lt004_protection WHERE ref_date='2025-06-30' AND nome_perimetro= 'Individual IDComb' AND segmento= 'ESTR' AND ambito= 'PM' AND entidade='00100' AND cod_visao = 1) A  Inner join (SELECT prtctn_id as prtctn_id_to_be, cre_yrly_incm as cre_yrly_incm_to_be FROM bu_loantape_work.lt004_protection WHERE ref_date='2025-06-30' AND nome_perimetro= 'Individual IDComb' AND segmento= 'ESTR' AND ambito= 'PM' AND entidade='00100' AND cod_visao = 1) B ON prtctn_id_as_is = prtctn_id_to_be WHERE coalesce(cast(cre_yrly_incm_as_is as string), '') &lt;&gt; coalesce(cast(cre_yrly_incm_to_be as string), '') ) A UNION ALL</v>
      </c>
      <c r="P324" s="17">
        <f t="shared" si="59"/>
        <v>5</v>
      </c>
    </row>
    <row r="325" spans="2:16" s="15" customFormat="1" ht="11.5" x14ac:dyDescent="0.25">
      <c r="B325" s="17" t="s">
        <v>28</v>
      </c>
      <c r="C325" s="17" t="str">
        <f>_xlfn.CONCAT(Instruções!$D$5,".",VLOOKUP(B325,Instruções!$F$5:$H$10,2,0))</f>
        <v>cd_loan_tapes_bce.lt004_protection</v>
      </c>
      <c r="D325" s="17" t="str">
        <f>_xlfn.CONCAT(Instruções!$D$6,".",VLOOKUP(B325,Instruções!$F$5:$H$10,3,0))</f>
        <v>bu_loantape_work.lt004_protection</v>
      </c>
      <c r="E325" s="17" t="s">
        <v>322</v>
      </c>
      <c r="F325" s="17" t="str">
        <f t="shared" si="49"/>
        <v>dt_apprsl_prvs_as_is</v>
      </c>
      <c r="G325" s="17" t="str">
        <f t="shared" si="50"/>
        <v>dt_apprsl_prvs_to_be</v>
      </c>
      <c r="H325" s="17" t="str">
        <f>IF(VLOOKUP(B325,Instruções!$F$6:$J$10,5,0)="",
"(SELECT "&amp;VLOOKUP(B325,Instruções!$F$6:$J$10,4,0)&amp;" as "&amp;VLOOKUP(B325,Instruções!$F$6:$J$10,4,0)&amp;"_as_is, "&amp;E325&amp;" as "&amp;F325&amp;" FROM "&amp;C325&amp;" WHERE "&amp;Instruções!$D$11&amp;") A ",
"(SELECT "&amp;VLOOKUP(B325,Instruções!$F$6:$J$10,4,0)&amp;" as "&amp;VLOOKUP(B325,Instruções!$F$6:$J$10,4,0)&amp;"_as_is, "&amp;VLOOKUP(B325,Instruções!$F$6:$J$10,5,0)&amp;" as "&amp;VLOOKUP(B325,Instruções!$F$6:$J$10,5,0)&amp;"_as_is,"&amp;E325&amp;" as "&amp;F325&amp;" FROM "&amp;C325&amp;" WHERE "&amp;Instruções!$D$11&amp;") A ")</f>
        <v xml:space="preserve">(SELECT prtctn_id as prtctn_id_as_is, dt_apprsl_prvs as dt_apprsl_prvs_as_is FROM cd_loan_tapes_bce.lt004_protection WHERE ref_date='2025-06-30' AND nome_perimetro= 'Individual IDComb' AND segmento= 'ESTR' AND ambito= 'PM' AND entidade='00100' AND cod_visao = 1) A </v>
      </c>
      <c r="I325" s="17" t="str">
        <f>IF(VLOOKUP(B325,Instruções!$F$6:$J$10,5,0)="",
"(SELECT "&amp;VLOOKUP(B325,Instruções!$F$6:$J$10,4,0)&amp;" as "&amp;VLOOKUP(B325,Instruções!$F$6:$J$10,4,0)&amp;"_to_be, "&amp;E325&amp;" as "&amp;G325&amp;" FROM "&amp;D325&amp;" WHERE "&amp;Instruções!$D$11&amp;") B ",
"(SELECT "&amp;VLOOKUP(B325,Instruções!$F$6:$J$10,4,0)&amp;" as "&amp;VLOOKUP(B325,Instruções!$F$6:$J$10,4,0)&amp;"_to_be, "&amp;VLOOKUP(B325,Instruções!$F$6:$J$10,5,0)&amp;" as "&amp;VLOOKUP(B325,Instruções!$F$6:$J$10,5,0)&amp;"_to_be,"&amp;E325&amp;" as "&amp;G325&amp;" FROM "&amp;D325&amp;" WHERE "&amp;Instruções!$D$11&amp;") B ")</f>
        <v xml:space="preserve">(SELECT prtctn_id as prtctn_id_to_be, dt_apprsl_prvs as dt_apprsl_prvs_to_be FROM bu_loantape_work.lt004_protection WHERE ref_date='2025-06-30' AND nome_perimetro= 'Individual IDComb' AND segmento= 'ESTR' AND ambito= 'PM' AND entidade='00100' AND cod_visao = 1) B </v>
      </c>
      <c r="J325" s="17" t="str">
        <f>IF(VLOOKUP(B325,Instruções!$F$6:$J$10,5,0)="",
"ON "&amp;VLOOKUP(B325,Instruções!$F$6:$J$10,4,0)&amp;"_as_is = "&amp;VLOOKUP(B325,Instruções!$F$6:$J$10,4,0)&amp;"_to_be ",
"ON "&amp;VLOOKUP(B325,Instruções!$F$6:$J$10,4,0)&amp;"_as_is = "&amp;VLOOKUP(B325,Instruções!$F$6:$J$10,4,0)&amp;"_to_be AND "&amp;VLOOKUP(B325,Instruções!$F$6:$J$10,5,0)&amp;"_as_is = "&amp;VLOOKUP(B325,Instruções!$F$6:$J$10,5,0)&amp;"_to_be ")</f>
        <v xml:space="preserve">ON prtctn_id_as_is = prtctn_id_to_be </v>
      </c>
      <c r="K325" s="17" t="str">
        <f t="shared" si="51"/>
        <v xml:space="preserve">WHERE coalesce(cast(dt_apprsl_prvs_as_is as string), '') &lt;&gt; coalesce(cast(dt_apprsl_prvs_to_be as string), '') </v>
      </c>
      <c r="L325" s="17" t="str">
        <f t="shared" si="54"/>
        <v xml:space="preserve">SELECT count(*) AS NUM_REG_DIF FROM (SELECT prtctn_id as prtctn_id_as_is, dt_apprsl_prvs as dt_apprsl_prvs_as_is FROM cd_loan_tapes_bce.lt004_protection WHERE ref_date='2025-06-30' AND nome_perimetro= 'Individual IDComb' AND segmento= 'ESTR' AND ambito= 'PM' AND entidade='00100' AND cod_visao = 1) A  Inner join (SELECT prtctn_id as prtctn_id_to_be, dt_apprsl_prvs as dt_apprsl_prvs_to_be FROM bu_loantape_work.lt004_protection WHERE ref_date='2025-06-30' AND nome_perimetro= 'Individual IDComb' AND segmento= 'ESTR' AND ambito= 'PM' AND entidade='00100' AND cod_visao = 1) B ON prtctn_id_as_is = prtctn_id_to_be WHERE coalesce(cast(dt_apprsl_prvs_as_is as string), '') &lt;&gt; coalesce(cast(dt_apprsl_prvs_to_be as string), '') </v>
      </c>
      <c r="M325" s="17" t="s">
        <v>48</v>
      </c>
      <c r="N325" s="17" t="str">
        <f>"SELECT 'Validação de campos' as tipologia_teste, '"&amp;VLOOKUP(B325,Instruções!$F$6:$J$10,3,0)&amp;"' AS TABELA, '"&amp;E325&amp;"' AS CAMPO, '"&amp;Instruções!$D$7&amp;"' as ref_date, coalesce(NUM_REG_DIF, 0) AS NUM_REG_DIF FROM ("&amp;L325&amp;") A "</f>
        <v xml:space="preserve">SELECT 'Validação de campos' as tipologia_teste, 'lt004_protection' AS TABELA, 'dt_apprsl_prvs' AS CAMPO, '2025-06-30' as ref_date, coalesce(NUM_REG_DIF, 0) AS NUM_REG_DIF FROM (SELECT count(*) AS NUM_REG_DIF FROM (SELECT prtctn_id as prtctn_id_as_is, dt_apprsl_prvs as dt_apprsl_prvs_as_is FROM cd_loan_tapes_bce.lt004_protection WHERE ref_date='2025-06-30' AND nome_perimetro= 'Individual IDComb' AND segmento= 'ESTR' AND ambito= 'PM' AND entidade='00100' AND cod_visao = 1) A  Inner join (SELECT prtctn_id as prtctn_id_to_be, dt_apprsl_prvs as dt_apprsl_prvs_to_be FROM bu_loantape_work.lt004_protection WHERE ref_date='2025-06-30' AND nome_perimetro= 'Individual IDComb' AND segmento= 'ESTR' AND ambito= 'PM' AND entidade='00100' AND cod_visao = 1) B ON prtctn_id_as_is = prtctn_id_to_be WHERE coalesce(cast(dt_apprsl_prvs_as_is as string), '') &lt;&gt; coalesce(cast(dt_apprsl_prvs_to_be as string), '') ) A </v>
      </c>
      <c r="O325" s="19" t="str">
        <f t="shared" si="60"/>
        <v>SELECT 'Validação de campos' as tipologia_teste, 'lt004_protection' AS TABELA, 'dt_apprsl_prvs' AS CAMPO, '2025-06-30' as ref_date, coalesce(NUM_REG_DIF, 0) AS NUM_REG_DIF FROM (SELECT count(*) AS NUM_REG_DIF FROM (SELECT prtctn_id as prtctn_id_as_is, dt_apprsl_prvs as dt_apprsl_prvs_as_is FROM cd_loan_tapes_bce.lt004_protection WHERE ref_date='2025-06-30' AND nome_perimetro= 'Individual IDComb' AND segmento= 'ESTR' AND ambito= 'PM' AND entidade='00100' AND cod_visao = 1) A  Inner join (SELECT prtctn_id as prtctn_id_to_be, dt_apprsl_prvs as dt_apprsl_prvs_to_be FROM bu_loantape_work.lt004_protection WHERE ref_date='2025-06-30' AND nome_perimetro= 'Individual IDComb' AND segmento= 'ESTR' AND ambito= 'PM' AND entidade='00100' AND cod_visao = 1) B ON prtctn_id_as_is = prtctn_id_to_be WHERE coalesce(cast(dt_apprsl_prvs_as_is as string), '') &lt;&gt; coalesce(cast(dt_apprsl_prvs_to_be as string), '') ) A UNION ALL</v>
      </c>
      <c r="P325" s="17">
        <f t="shared" si="59"/>
        <v>6</v>
      </c>
    </row>
    <row r="326" spans="2:16" s="15" customFormat="1" ht="11.5" x14ac:dyDescent="0.25">
      <c r="B326" s="17" t="s">
        <v>28</v>
      </c>
      <c r="C326" s="17" t="str">
        <f>_xlfn.CONCAT(Instruções!$D$5,".",VLOOKUP(B326,Instruções!$F$5:$H$10,2,0))</f>
        <v>cd_loan_tapes_bce.lt004_protection</v>
      </c>
      <c r="D326" s="17" t="str">
        <f>_xlfn.CONCAT(Instruções!$D$6,".",VLOOKUP(B326,Instruções!$F$5:$H$10,3,0))</f>
        <v>bu_loantape_work.lt004_protection</v>
      </c>
      <c r="E326" s="17" t="s">
        <v>323</v>
      </c>
      <c r="F326" s="17" t="str">
        <f t="shared" si="49"/>
        <v>dt_cnstrctn_stts_as_is</v>
      </c>
      <c r="G326" s="17" t="str">
        <f t="shared" si="50"/>
        <v>dt_cnstrctn_stts_to_be</v>
      </c>
      <c r="H326" s="17" t="str">
        <f>IF(VLOOKUP(B326,Instruções!$F$6:$J$10,5,0)="",
"(SELECT "&amp;VLOOKUP(B326,Instruções!$F$6:$J$10,4,0)&amp;" as "&amp;VLOOKUP(B326,Instruções!$F$6:$J$10,4,0)&amp;"_as_is, "&amp;E326&amp;" as "&amp;F326&amp;" FROM "&amp;C326&amp;" WHERE "&amp;Instruções!$D$11&amp;") A ",
"(SELECT "&amp;VLOOKUP(B326,Instruções!$F$6:$J$10,4,0)&amp;" as "&amp;VLOOKUP(B326,Instruções!$F$6:$J$10,4,0)&amp;"_as_is, "&amp;VLOOKUP(B326,Instruções!$F$6:$J$10,5,0)&amp;" as "&amp;VLOOKUP(B326,Instruções!$F$6:$J$10,5,0)&amp;"_as_is,"&amp;E326&amp;" as "&amp;F326&amp;" FROM "&amp;C326&amp;" WHERE "&amp;Instruções!$D$11&amp;") A ")</f>
        <v xml:space="preserve">(SELECT prtctn_id as prtctn_id_as_is, dt_cnstrctn_stts as dt_cnstrctn_stts_as_is FROM cd_loan_tapes_bce.lt004_protection WHERE ref_date='2025-06-30' AND nome_perimetro= 'Individual IDComb' AND segmento= 'ESTR' AND ambito= 'PM' AND entidade='00100' AND cod_visao = 1) A </v>
      </c>
      <c r="I326" s="17" t="str">
        <f>IF(VLOOKUP(B326,Instruções!$F$6:$J$10,5,0)="",
"(SELECT "&amp;VLOOKUP(B326,Instruções!$F$6:$J$10,4,0)&amp;" as "&amp;VLOOKUP(B326,Instruções!$F$6:$J$10,4,0)&amp;"_to_be, "&amp;E326&amp;" as "&amp;G326&amp;" FROM "&amp;D326&amp;" WHERE "&amp;Instruções!$D$11&amp;") B ",
"(SELECT "&amp;VLOOKUP(B326,Instruções!$F$6:$J$10,4,0)&amp;" as "&amp;VLOOKUP(B326,Instruções!$F$6:$J$10,4,0)&amp;"_to_be, "&amp;VLOOKUP(B326,Instruções!$F$6:$J$10,5,0)&amp;" as "&amp;VLOOKUP(B326,Instruções!$F$6:$J$10,5,0)&amp;"_to_be,"&amp;E326&amp;" as "&amp;G326&amp;" FROM "&amp;D326&amp;" WHERE "&amp;Instruções!$D$11&amp;") B ")</f>
        <v xml:space="preserve">(SELECT prtctn_id as prtctn_id_to_be, dt_cnstrctn_stts as dt_cnstrctn_stts_to_be FROM bu_loantape_work.lt004_protection WHERE ref_date='2025-06-30' AND nome_perimetro= 'Individual IDComb' AND segmento= 'ESTR' AND ambito= 'PM' AND entidade='00100' AND cod_visao = 1) B </v>
      </c>
      <c r="J326" s="17" t="str">
        <f>IF(VLOOKUP(B326,Instruções!$F$6:$J$10,5,0)="",
"ON "&amp;VLOOKUP(B326,Instruções!$F$6:$J$10,4,0)&amp;"_as_is = "&amp;VLOOKUP(B326,Instruções!$F$6:$J$10,4,0)&amp;"_to_be ",
"ON "&amp;VLOOKUP(B326,Instruções!$F$6:$J$10,4,0)&amp;"_as_is = "&amp;VLOOKUP(B326,Instruções!$F$6:$J$10,4,0)&amp;"_to_be AND "&amp;VLOOKUP(B326,Instruções!$F$6:$J$10,5,0)&amp;"_as_is = "&amp;VLOOKUP(B326,Instruções!$F$6:$J$10,5,0)&amp;"_to_be ")</f>
        <v xml:space="preserve">ON prtctn_id_as_is = prtctn_id_to_be </v>
      </c>
      <c r="K326" s="17" t="str">
        <f t="shared" si="51"/>
        <v xml:space="preserve">WHERE coalesce(cast(dt_cnstrctn_stts_as_is as string), '') &lt;&gt; coalesce(cast(dt_cnstrctn_stts_to_be as string), '') </v>
      </c>
      <c r="L326" s="17" t="str">
        <f t="shared" si="54"/>
        <v xml:space="preserve">SELECT count(*) AS NUM_REG_DIF FROM (SELECT prtctn_id as prtctn_id_as_is, dt_cnstrctn_stts as dt_cnstrctn_stts_as_is FROM cd_loan_tapes_bce.lt004_protection WHERE ref_date='2025-06-30' AND nome_perimetro= 'Individual IDComb' AND segmento= 'ESTR' AND ambito= 'PM' AND entidade='00100' AND cod_visao = 1) A  Inner join (SELECT prtctn_id as prtctn_id_to_be, dt_cnstrctn_stts as dt_cnstrctn_stts_to_be FROM bu_loantape_work.lt004_protection WHERE ref_date='2025-06-30' AND nome_perimetro= 'Individual IDComb' AND segmento= 'ESTR' AND ambito= 'PM' AND entidade='00100' AND cod_visao = 1) B ON prtctn_id_as_is = prtctn_id_to_be WHERE coalesce(cast(dt_cnstrctn_stts_as_is as string), '') &lt;&gt; coalesce(cast(dt_cnstrctn_stts_to_be as string), '') </v>
      </c>
      <c r="M326" s="17" t="s">
        <v>48</v>
      </c>
      <c r="N326" s="17" t="str">
        <f>"SELECT 'Validação de campos' as tipologia_teste, '"&amp;VLOOKUP(B326,Instruções!$F$6:$J$10,3,0)&amp;"' AS TABELA, '"&amp;E326&amp;"' AS CAMPO, '"&amp;Instruções!$D$7&amp;"' as ref_date, coalesce(NUM_REG_DIF, 0) AS NUM_REG_DIF FROM ("&amp;L326&amp;") A "</f>
        <v xml:space="preserve">SELECT 'Validação de campos' as tipologia_teste, 'lt004_protection' AS TABELA, 'dt_cnstrctn_stts' AS CAMPO, '2025-06-30' as ref_date, coalesce(NUM_REG_DIF, 0) AS NUM_REG_DIF FROM (SELECT count(*) AS NUM_REG_DIF FROM (SELECT prtctn_id as prtctn_id_as_is, dt_cnstrctn_stts as dt_cnstrctn_stts_as_is FROM cd_loan_tapes_bce.lt004_protection WHERE ref_date='2025-06-30' AND nome_perimetro= 'Individual IDComb' AND segmento= 'ESTR' AND ambito= 'PM' AND entidade='00100' AND cod_visao = 1) A  Inner join (SELECT prtctn_id as prtctn_id_to_be, dt_cnstrctn_stts as dt_cnstrctn_stts_to_be FROM bu_loantape_work.lt004_protection WHERE ref_date='2025-06-30' AND nome_perimetro= 'Individual IDComb' AND segmento= 'ESTR' AND ambito= 'PM' AND entidade='00100' AND cod_visao = 1) B ON prtctn_id_as_is = prtctn_id_to_be WHERE coalesce(cast(dt_cnstrctn_stts_as_is as string), '') &lt;&gt; coalesce(cast(dt_cnstrctn_stts_to_be as string), '') ) A </v>
      </c>
      <c r="O326" s="19" t="str">
        <f t="shared" si="60"/>
        <v>SELECT 'Validação de campos' as tipologia_teste, 'lt004_protection' AS TABELA, 'dt_cnstrctn_stts' AS CAMPO, '2025-06-30' as ref_date, coalesce(NUM_REG_DIF, 0) AS NUM_REG_DIF FROM (SELECT count(*) AS NUM_REG_DIF FROM (SELECT prtctn_id as prtctn_id_as_is, dt_cnstrctn_stts as dt_cnstrctn_stts_as_is FROM cd_loan_tapes_bce.lt004_protection WHERE ref_date='2025-06-30' AND nome_perimetro= 'Individual IDComb' AND segmento= 'ESTR' AND ambito= 'PM' AND entidade='00100' AND cod_visao = 1) A  Inner join (SELECT prtctn_id as prtctn_id_to_be, dt_cnstrctn_stts as dt_cnstrctn_stts_to_be FROM bu_loantape_work.lt004_protection WHERE ref_date='2025-06-30' AND nome_perimetro= 'Individual IDComb' AND segmento= 'ESTR' AND ambito= 'PM' AND entidade='00100' AND cod_visao = 1) B ON prtctn_id_as_is = prtctn_id_to_be WHERE coalesce(cast(dt_cnstrctn_stts_as_is as string), '') &lt;&gt; coalesce(cast(dt_cnstrctn_stts_to_be as string), '') ) A UNION ALL</v>
      </c>
      <c r="P326" s="17">
        <f t="shared" si="59"/>
        <v>7</v>
      </c>
    </row>
    <row r="327" spans="2:16" s="15" customFormat="1" ht="11.5" x14ac:dyDescent="0.25">
      <c r="B327" s="17" t="s">
        <v>28</v>
      </c>
      <c r="C327" s="17" t="str">
        <f>_xlfn.CONCAT(Instruções!$D$5,".",VLOOKUP(B327,Instruções!$F$5:$H$10,2,0))</f>
        <v>cd_loan_tapes_bce.lt004_protection</v>
      </c>
      <c r="D327" s="17" t="str">
        <f>_xlfn.CONCAT(Instruções!$D$6,".",VLOOKUP(B327,Instruções!$F$5:$H$10,3,0))</f>
        <v>bu_loantape_work.lt004_protection</v>
      </c>
      <c r="E327" s="17" t="s">
        <v>324</v>
      </c>
      <c r="F327" s="17" t="str">
        <f t="shared" si="49"/>
        <v>dt_frst_usg_as_is</v>
      </c>
      <c r="G327" s="17" t="str">
        <f t="shared" si="50"/>
        <v>dt_frst_usg_to_be</v>
      </c>
      <c r="H327" s="17" t="str">
        <f>IF(VLOOKUP(B327,Instruções!$F$6:$J$10,5,0)="",
"(SELECT "&amp;VLOOKUP(B327,Instruções!$F$6:$J$10,4,0)&amp;" as "&amp;VLOOKUP(B327,Instruções!$F$6:$J$10,4,0)&amp;"_as_is, "&amp;E327&amp;" as "&amp;F327&amp;" FROM "&amp;C327&amp;" WHERE "&amp;Instruções!$D$11&amp;") A ",
"(SELECT "&amp;VLOOKUP(B327,Instruções!$F$6:$J$10,4,0)&amp;" as "&amp;VLOOKUP(B327,Instruções!$F$6:$J$10,4,0)&amp;"_as_is, "&amp;VLOOKUP(B327,Instruções!$F$6:$J$10,5,0)&amp;" as "&amp;VLOOKUP(B327,Instruções!$F$6:$J$10,5,0)&amp;"_as_is,"&amp;E327&amp;" as "&amp;F327&amp;" FROM "&amp;C327&amp;" WHERE "&amp;Instruções!$D$11&amp;") A ")</f>
        <v xml:space="preserve">(SELECT prtctn_id as prtctn_id_as_is, dt_frst_usg as dt_frst_usg_as_is FROM cd_loan_tapes_bce.lt004_protection WHERE ref_date='2025-06-30' AND nome_perimetro= 'Individual IDComb' AND segmento= 'ESTR' AND ambito= 'PM' AND entidade='00100' AND cod_visao = 1) A </v>
      </c>
      <c r="I327" s="17" t="str">
        <f>IF(VLOOKUP(B327,Instruções!$F$6:$J$10,5,0)="",
"(SELECT "&amp;VLOOKUP(B327,Instruções!$F$6:$J$10,4,0)&amp;" as "&amp;VLOOKUP(B327,Instruções!$F$6:$J$10,4,0)&amp;"_to_be, "&amp;E327&amp;" as "&amp;G327&amp;" FROM "&amp;D327&amp;" WHERE "&amp;Instruções!$D$11&amp;") B ",
"(SELECT "&amp;VLOOKUP(B327,Instruções!$F$6:$J$10,4,0)&amp;" as "&amp;VLOOKUP(B327,Instruções!$F$6:$J$10,4,0)&amp;"_to_be, "&amp;VLOOKUP(B327,Instruções!$F$6:$J$10,5,0)&amp;" as "&amp;VLOOKUP(B327,Instruções!$F$6:$J$10,5,0)&amp;"_to_be,"&amp;E327&amp;" as "&amp;G327&amp;" FROM "&amp;D327&amp;" WHERE "&amp;Instruções!$D$11&amp;") B ")</f>
        <v xml:space="preserve">(SELECT prtctn_id as prtctn_id_to_be, dt_frst_usg as dt_frst_usg_to_be FROM bu_loantape_work.lt004_protection WHERE ref_date='2025-06-30' AND nome_perimetro= 'Individual IDComb' AND segmento= 'ESTR' AND ambito= 'PM' AND entidade='00100' AND cod_visao = 1) B </v>
      </c>
      <c r="J327" s="17" t="str">
        <f>IF(VLOOKUP(B327,Instruções!$F$6:$J$10,5,0)="",
"ON "&amp;VLOOKUP(B327,Instruções!$F$6:$J$10,4,0)&amp;"_as_is = "&amp;VLOOKUP(B327,Instruções!$F$6:$J$10,4,0)&amp;"_to_be ",
"ON "&amp;VLOOKUP(B327,Instruções!$F$6:$J$10,4,0)&amp;"_as_is = "&amp;VLOOKUP(B327,Instruções!$F$6:$J$10,4,0)&amp;"_to_be AND "&amp;VLOOKUP(B327,Instruções!$F$6:$J$10,5,0)&amp;"_as_is = "&amp;VLOOKUP(B327,Instruções!$F$6:$J$10,5,0)&amp;"_to_be ")</f>
        <v xml:space="preserve">ON prtctn_id_as_is = prtctn_id_to_be </v>
      </c>
      <c r="K327" s="17" t="str">
        <f t="shared" si="51"/>
        <v xml:space="preserve">WHERE coalesce(cast(dt_frst_usg_as_is as string), '') &lt;&gt; coalesce(cast(dt_frst_usg_to_be as string), '') </v>
      </c>
      <c r="L327" s="17" t="str">
        <f t="shared" si="54"/>
        <v xml:space="preserve">SELECT count(*) AS NUM_REG_DIF FROM (SELECT prtctn_id as prtctn_id_as_is, dt_frst_usg as dt_frst_usg_as_is FROM cd_loan_tapes_bce.lt004_protection WHERE ref_date='2025-06-30' AND nome_perimetro= 'Individual IDComb' AND segmento= 'ESTR' AND ambito= 'PM' AND entidade='00100' AND cod_visao = 1) A  Inner join (SELECT prtctn_id as prtctn_id_to_be, dt_frst_usg as dt_frst_usg_to_be FROM bu_loantape_work.lt004_protection WHERE ref_date='2025-06-30' AND nome_perimetro= 'Individual IDComb' AND segmento= 'ESTR' AND ambito= 'PM' AND entidade='00100' AND cod_visao = 1) B ON prtctn_id_as_is = prtctn_id_to_be WHERE coalesce(cast(dt_frst_usg_as_is as string), '') &lt;&gt; coalesce(cast(dt_frst_usg_to_be as string), '') </v>
      </c>
      <c r="M327" s="17" t="s">
        <v>48</v>
      </c>
      <c r="N327" s="17" t="str">
        <f>"SELECT 'Validação de campos' as tipologia_teste, '"&amp;VLOOKUP(B327,Instruções!$F$6:$J$10,3,0)&amp;"' AS TABELA, '"&amp;E327&amp;"' AS CAMPO, '"&amp;Instruções!$D$7&amp;"' as ref_date, coalesce(NUM_REG_DIF, 0) AS NUM_REG_DIF FROM ("&amp;L327&amp;") A "</f>
        <v xml:space="preserve">SELECT 'Validação de campos' as tipologia_teste, 'lt004_protection' AS TABELA, 'dt_frst_usg' AS CAMPO, '2025-06-30' as ref_date, coalesce(NUM_REG_DIF, 0) AS NUM_REG_DIF FROM (SELECT count(*) AS NUM_REG_DIF FROM (SELECT prtctn_id as prtctn_id_as_is, dt_frst_usg as dt_frst_usg_as_is FROM cd_loan_tapes_bce.lt004_protection WHERE ref_date='2025-06-30' AND nome_perimetro= 'Individual IDComb' AND segmento= 'ESTR' AND ambito= 'PM' AND entidade='00100' AND cod_visao = 1) A  Inner join (SELECT prtctn_id as prtctn_id_to_be, dt_frst_usg as dt_frst_usg_to_be FROM bu_loantape_work.lt004_protection WHERE ref_date='2025-06-30' AND nome_perimetro= 'Individual IDComb' AND segmento= 'ESTR' AND ambito= 'PM' AND entidade='00100' AND cod_visao = 1) B ON prtctn_id_as_is = prtctn_id_to_be WHERE coalesce(cast(dt_frst_usg_as_is as string), '') &lt;&gt; coalesce(cast(dt_frst_usg_to_be as string), '') ) A </v>
      </c>
      <c r="O327" s="19" t="str">
        <f t="shared" si="60"/>
        <v>SELECT 'Validação de campos' as tipologia_teste, 'lt004_protection' AS TABELA, 'dt_frst_usg' AS CAMPO, '2025-06-30' as ref_date, coalesce(NUM_REG_DIF, 0) AS NUM_REG_DIF FROM (SELECT count(*) AS NUM_REG_DIF FROM (SELECT prtctn_id as prtctn_id_as_is, dt_frst_usg as dt_frst_usg_as_is FROM cd_loan_tapes_bce.lt004_protection WHERE ref_date='2025-06-30' AND nome_perimetro= 'Individual IDComb' AND segmento= 'ESTR' AND ambito= 'PM' AND entidade='00100' AND cod_visao = 1) A  Inner join (SELECT prtctn_id as prtctn_id_to_be, dt_frst_usg as dt_frst_usg_to_be FROM bu_loantape_work.lt004_protection WHERE ref_date='2025-06-30' AND nome_perimetro= 'Individual IDComb' AND segmento= 'ESTR' AND ambito= 'PM' AND entidade='00100' AND cod_visao = 1) B ON prtctn_id_as_is = prtctn_id_to_be WHERE coalesce(cast(dt_frst_usg_as_is as string), '') &lt;&gt; coalesce(cast(dt_frst_usg_to_be as string), '') ) A UNION ALL</v>
      </c>
      <c r="P327" s="17">
        <f t="shared" si="59"/>
        <v>8</v>
      </c>
    </row>
    <row r="328" spans="2:16" s="15" customFormat="1" ht="11.5" x14ac:dyDescent="0.25">
      <c r="B328" s="17" t="s">
        <v>28</v>
      </c>
      <c r="C328" s="17" t="str">
        <f>_xlfn.CONCAT(Instruções!$D$5,".",VLOOKUP(B328,Instruções!$F$5:$H$10,2,0))</f>
        <v>cd_loan_tapes_bce.lt004_protection</v>
      </c>
      <c r="D328" s="17" t="str">
        <f>_xlfn.CONCAT(Instruções!$D$6,".",VLOOKUP(B328,Instruções!$F$5:$H$10,3,0))</f>
        <v>bu_loantape_work.lt004_protection</v>
      </c>
      <c r="E328" s="17" t="s">
        <v>325</v>
      </c>
      <c r="F328" s="17" t="str">
        <f t="shared" si="49"/>
        <v>typ_prtctn_as_is</v>
      </c>
      <c r="G328" s="17" t="str">
        <f t="shared" si="50"/>
        <v>typ_prtctn_to_be</v>
      </c>
      <c r="H328" s="17" t="str">
        <f>IF(VLOOKUP(B328,Instruções!$F$6:$J$10,5,0)="",
"(SELECT "&amp;VLOOKUP(B328,Instruções!$F$6:$J$10,4,0)&amp;" as "&amp;VLOOKUP(B328,Instruções!$F$6:$J$10,4,0)&amp;"_as_is, "&amp;E328&amp;" as "&amp;F328&amp;" FROM "&amp;C328&amp;" WHERE "&amp;Instruções!$D$11&amp;") A ",
"(SELECT "&amp;VLOOKUP(B328,Instruções!$F$6:$J$10,4,0)&amp;" as "&amp;VLOOKUP(B328,Instruções!$F$6:$J$10,4,0)&amp;"_as_is, "&amp;VLOOKUP(B328,Instruções!$F$6:$J$10,5,0)&amp;" as "&amp;VLOOKUP(B328,Instruções!$F$6:$J$10,5,0)&amp;"_as_is,"&amp;E328&amp;" as "&amp;F328&amp;" FROM "&amp;C328&amp;" WHERE "&amp;Instruções!$D$11&amp;") A ")</f>
        <v xml:space="preserve">(SELECT prtctn_id as prtctn_id_as_is, typ_prtctn as typ_prtctn_as_is FROM cd_loan_tapes_bce.lt004_protection WHERE ref_date='2025-06-30' AND nome_perimetro= 'Individual IDComb' AND segmento= 'ESTR' AND ambito= 'PM' AND entidade='00100' AND cod_visao = 1) A </v>
      </c>
      <c r="I328" s="17" t="str">
        <f>IF(VLOOKUP(B328,Instruções!$F$6:$J$10,5,0)="",
"(SELECT "&amp;VLOOKUP(B328,Instruções!$F$6:$J$10,4,0)&amp;" as "&amp;VLOOKUP(B328,Instruções!$F$6:$J$10,4,0)&amp;"_to_be, "&amp;E328&amp;" as "&amp;G328&amp;" FROM "&amp;D328&amp;" WHERE "&amp;Instruções!$D$11&amp;") B ",
"(SELECT "&amp;VLOOKUP(B328,Instruções!$F$6:$J$10,4,0)&amp;" as "&amp;VLOOKUP(B328,Instruções!$F$6:$J$10,4,0)&amp;"_to_be, "&amp;VLOOKUP(B328,Instruções!$F$6:$J$10,5,0)&amp;" as "&amp;VLOOKUP(B328,Instruções!$F$6:$J$10,5,0)&amp;"_to_be,"&amp;E328&amp;" as "&amp;G328&amp;" FROM "&amp;D328&amp;" WHERE "&amp;Instruções!$D$11&amp;") B ")</f>
        <v xml:space="preserve">(SELECT prtctn_id as prtctn_id_to_be, typ_prtctn as typ_prtctn_to_be FROM bu_loantape_work.lt004_protection WHERE ref_date='2025-06-30' AND nome_perimetro= 'Individual IDComb' AND segmento= 'ESTR' AND ambito= 'PM' AND entidade='00100' AND cod_visao = 1) B </v>
      </c>
      <c r="J328" s="17" t="str">
        <f>IF(VLOOKUP(B328,Instruções!$F$6:$J$10,5,0)="",
"ON "&amp;VLOOKUP(B328,Instruções!$F$6:$J$10,4,0)&amp;"_as_is = "&amp;VLOOKUP(B328,Instruções!$F$6:$J$10,4,0)&amp;"_to_be ",
"ON "&amp;VLOOKUP(B328,Instruções!$F$6:$J$10,4,0)&amp;"_as_is = "&amp;VLOOKUP(B328,Instruções!$F$6:$J$10,4,0)&amp;"_to_be AND "&amp;VLOOKUP(B328,Instruções!$F$6:$J$10,5,0)&amp;"_as_is = "&amp;VLOOKUP(B328,Instruções!$F$6:$J$10,5,0)&amp;"_to_be ")</f>
        <v xml:space="preserve">ON prtctn_id_as_is = prtctn_id_to_be </v>
      </c>
      <c r="K328" s="17" t="str">
        <f t="shared" si="51"/>
        <v xml:space="preserve">WHERE coalesce(cast(typ_prtctn_as_is as string), '') &lt;&gt; coalesce(cast(typ_prtctn_to_be as string), '') </v>
      </c>
      <c r="L328" s="17" t="str">
        <f t="shared" si="54"/>
        <v xml:space="preserve">SELECT count(*) AS NUM_REG_DIF FROM (SELECT prtctn_id as prtctn_id_as_is, typ_prtctn as typ_prtctn_as_is FROM cd_loan_tapes_bce.lt004_protection WHERE ref_date='2025-06-30' AND nome_perimetro= 'Individual IDComb' AND segmento= 'ESTR' AND ambito= 'PM' AND entidade='00100' AND cod_visao = 1) A  Inner join (SELECT prtctn_id as prtctn_id_to_be, typ_prtctn as typ_prtctn_to_be FROM bu_loantape_work.lt004_protection WHERE ref_date='2025-06-30' AND nome_perimetro= 'Individual IDComb' AND segmento= 'ESTR' AND ambito= 'PM' AND entidade='00100' AND cod_visao = 1) B ON prtctn_id_as_is = prtctn_id_to_be WHERE coalesce(cast(typ_prtctn_as_is as string), '') &lt;&gt; coalesce(cast(typ_prtctn_to_be as string), '') </v>
      </c>
      <c r="M328" s="17" t="s">
        <v>48</v>
      </c>
      <c r="N328" s="17" t="str">
        <f>"SELECT 'Validação de campos' as tipologia_teste, '"&amp;VLOOKUP(B328,Instruções!$F$6:$J$10,3,0)&amp;"' AS TABELA, '"&amp;E328&amp;"' AS CAMPO, '"&amp;Instruções!$D$7&amp;"' as ref_date, coalesce(NUM_REG_DIF, 0) AS NUM_REG_DIF FROM ("&amp;L328&amp;") A "</f>
        <v xml:space="preserve">SELECT 'Validação de campos' as tipologia_teste, 'lt004_protection' AS TABELA, 'typ_prtctn' AS CAMPO, '2025-06-30' as ref_date, coalesce(NUM_REG_DIF, 0) AS NUM_REG_DIF FROM (SELECT count(*) AS NUM_REG_DIF FROM (SELECT prtctn_id as prtctn_id_as_is, typ_prtctn as typ_prtctn_as_is FROM cd_loan_tapes_bce.lt004_protection WHERE ref_date='2025-06-30' AND nome_perimetro= 'Individual IDComb' AND segmento= 'ESTR' AND ambito= 'PM' AND entidade='00100' AND cod_visao = 1) A  Inner join (SELECT prtctn_id as prtctn_id_to_be, typ_prtctn as typ_prtctn_to_be FROM bu_loantape_work.lt004_protection WHERE ref_date='2025-06-30' AND nome_perimetro= 'Individual IDComb' AND segmento= 'ESTR' AND ambito= 'PM' AND entidade='00100' AND cod_visao = 1) B ON prtctn_id_as_is = prtctn_id_to_be WHERE coalesce(cast(typ_prtctn_as_is as string), '') &lt;&gt; coalesce(cast(typ_prtctn_to_be as string), '') ) A </v>
      </c>
      <c r="O328" s="19" t="str">
        <f t="shared" si="60"/>
        <v>SELECT 'Validação de campos' as tipologia_teste, 'lt004_protection' AS TABELA, 'typ_prtctn' AS CAMPO, '2025-06-30' as ref_date, coalesce(NUM_REG_DIF, 0) AS NUM_REG_DIF FROM (SELECT count(*) AS NUM_REG_DIF FROM (SELECT prtctn_id as prtctn_id_as_is, typ_prtctn as typ_prtctn_as_is FROM cd_loan_tapes_bce.lt004_protection WHERE ref_date='2025-06-30' AND nome_perimetro= 'Individual IDComb' AND segmento= 'ESTR' AND ambito= 'PM' AND entidade='00100' AND cod_visao = 1) A  Inner join (SELECT prtctn_id as prtctn_id_to_be, typ_prtctn as typ_prtctn_to_be FROM bu_loantape_work.lt004_protection WHERE ref_date='2025-06-30' AND nome_perimetro= 'Individual IDComb' AND segmento= 'ESTR' AND ambito= 'PM' AND entidade='00100' AND cod_visao = 1) B ON prtctn_id_as_is = prtctn_id_to_be WHERE coalesce(cast(typ_prtctn_as_is as string), '') &lt;&gt; coalesce(cast(typ_prtctn_to_be as string), '') ) A UNION ALL</v>
      </c>
      <c r="P328" s="17">
        <f t="shared" si="59"/>
        <v>9</v>
      </c>
    </row>
    <row r="329" spans="2:16" s="15" customFormat="1" ht="11.5" x14ac:dyDescent="0.25">
      <c r="B329" s="17" t="s">
        <v>28</v>
      </c>
      <c r="C329" s="17" t="str">
        <f>_xlfn.CONCAT(Instruções!$D$5,".",VLOOKUP(B329,Instruções!$F$5:$H$10,2,0))</f>
        <v>cd_loan_tapes_bce.lt004_protection</v>
      </c>
      <c r="D329" s="17" t="str">
        <f>_xlfn.CONCAT(Instruções!$D$6,".",VLOOKUP(B329,Instruções!$F$5:$H$10,3,0))</f>
        <v>bu_loantape_work.lt004_protection</v>
      </c>
      <c r="E329" s="17" t="s">
        <v>326</v>
      </c>
      <c r="F329" s="17" t="str">
        <f t="shared" si="49"/>
        <v>dt_lst_fll_apprsl_as_is</v>
      </c>
      <c r="G329" s="17" t="str">
        <f t="shared" si="50"/>
        <v>dt_lst_fll_apprsl_to_be</v>
      </c>
      <c r="H329" s="17" t="str">
        <f>IF(VLOOKUP(B329,Instruções!$F$6:$J$10,5,0)="",
"(SELECT "&amp;VLOOKUP(B329,Instruções!$F$6:$J$10,4,0)&amp;" as "&amp;VLOOKUP(B329,Instruções!$F$6:$J$10,4,0)&amp;"_as_is, "&amp;E329&amp;" as "&amp;F329&amp;" FROM "&amp;C329&amp;" WHERE "&amp;Instruções!$D$11&amp;") A ",
"(SELECT "&amp;VLOOKUP(B329,Instruções!$F$6:$J$10,4,0)&amp;" as "&amp;VLOOKUP(B329,Instruções!$F$6:$J$10,4,0)&amp;"_as_is, "&amp;VLOOKUP(B329,Instruções!$F$6:$J$10,5,0)&amp;" as "&amp;VLOOKUP(B329,Instruções!$F$6:$J$10,5,0)&amp;"_as_is,"&amp;E329&amp;" as "&amp;F329&amp;" FROM "&amp;C329&amp;" WHERE "&amp;Instruções!$D$11&amp;") A ")</f>
        <v xml:space="preserve">(SELECT prtctn_id as prtctn_id_as_is, dt_lst_fll_apprsl as dt_lst_fll_apprsl_as_is FROM cd_loan_tapes_bce.lt004_protection WHERE ref_date='2025-06-30' AND nome_perimetro= 'Individual IDComb' AND segmento= 'ESTR' AND ambito= 'PM' AND entidade='00100' AND cod_visao = 1) A </v>
      </c>
      <c r="I329" s="17" t="str">
        <f>IF(VLOOKUP(B329,Instruções!$F$6:$J$10,5,0)="",
"(SELECT "&amp;VLOOKUP(B329,Instruções!$F$6:$J$10,4,0)&amp;" as "&amp;VLOOKUP(B329,Instruções!$F$6:$J$10,4,0)&amp;"_to_be, "&amp;E329&amp;" as "&amp;G329&amp;" FROM "&amp;D329&amp;" WHERE "&amp;Instruções!$D$11&amp;") B ",
"(SELECT "&amp;VLOOKUP(B329,Instruções!$F$6:$J$10,4,0)&amp;" as "&amp;VLOOKUP(B329,Instruções!$F$6:$J$10,4,0)&amp;"_to_be, "&amp;VLOOKUP(B329,Instruções!$F$6:$J$10,5,0)&amp;" as "&amp;VLOOKUP(B329,Instruções!$F$6:$J$10,5,0)&amp;"_to_be,"&amp;E329&amp;" as "&amp;G329&amp;" FROM "&amp;D329&amp;" WHERE "&amp;Instruções!$D$11&amp;") B ")</f>
        <v xml:space="preserve">(SELECT prtctn_id as prtctn_id_to_be, dt_lst_fll_apprsl as dt_lst_fll_apprsl_to_be FROM bu_loantape_work.lt004_protection WHERE ref_date='2025-06-30' AND nome_perimetro= 'Individual IDComb' AND segmento= 'ESTR' AND ambito= 'PM' AND entidade='00100' AND cod_visao = 1) B </v>
      </c>
      <c r="J329" s="17" t="str">
        <f>IF(VLOOKUP(B329,Instruções!$F$6:$J$10,5,0)="",
"ON "&amp;VLOOKUP(B329,Instruções!$F$6:$J$10,4,0)&amp;"_as_is = "&amp;VLOOKUP(B329,Instruções!$F$6:$J$10,4,0)&amp;"_to_be ",
"ON "&amp;VLOOKUP(B329,Instruções!$F$6:$J$10,4,0)&amp;"_as_is = "&amp;VLOOKUP(B329,Instruções!$F$6:$J$10,4,0)&amp;"_to_be AND "&amp;VLOOKUP(B329,Instruções!$F$6:$J$10,5,0)&amp;"_as_is = "&amp;VLOOKUP(B329,Instruções!$F$6:$J$10,5,0)&amp;"_to_be ")</f>
        <v xml:space="preserve">ON prtctn_id_as_is = prtctn_id_to_be </v>
      </c>
      <c r="K329" s="17" t="str">
        <f t="shared" si="51"/>
        <v xml:space="preserve">WHERE coalesce(cast(dt_lst_fll_apprsl_as_is as string), '') &lt;&gt; coalesce(cast(dt_lst_fll_apprsl_to_be as string), '') </v>
      </c>
      <c r="L329" s="17" t="str">
        <f t="shared" si="54"/>
        <v xml:space="preserve">SELECT count(*) AS NUM_REG_DIF FROM (SELECT prtctn_id as prtctn_id_as_is, dt_lst_fll_apprsl as dt_lst_fll_apprsl_as_is FROM cd_loan_tapes_bce.lt004_protection WHERE ref_date='2025-06-30' AND nome_perimetro= 'Individual IDComb' AND segmento= 'ESTR' AND ambito= 'PM' AND entidade='00100' AND cod_visao = 1) A  Inner join (SELECT prtctn_id as prtctn_id_to_be, dt_lst_fll_apprsl as dt_lst_fll_apprsl_to_be FROM bu_loantape_work.lt004_protection WHERE ref_date='2025-06-30' AND nome_perimetro= 'Individual IDComb' AND segmento= 'ESTR' AND ambito= 'PM' AND entidade='00100' AND cod_visao = 1) B ON prtctn_id_as_is = prtctn_id_to_be WHERE coalesce(cast(dt_lst_fll_apprsl_as_is as string), '') &lt;&gt; coalesce(cast(dt_lst_fll_apprsl_to_be as string), '') </v>
      </c>
      <c r="M329" s="17" t="s">
        <v>48</v>
      </c>
      <c r="N329" s="17" t="str">
        <f>"SELECT 'Validação de campos' as tipologia_teste, '"&amp;VLOOKUP(B329,Instruções!$F$6:$J$10,3,0)&amp;"' AS TABELA, '"&amp;E329&amp;"' AS CAMPO, '"&amp;Instruções!$D$7&amp;"' as ref_date, coalesce(NUM_REG_DIF, 0) AS NUM_REG_DIF FROM ("&amp;L329&amp;") A "</f>
        <v xml:space="preserve">SELECT 'Validação de campos' as tipologia_teste, 'lt004_protection' AS TABELA, 'dt_lst_fll_apprsl' AS CAMPO, '2025-06-30' as ref_date, coalesce(NUM_REG_DIF, 0) AS NUM_REG_DIF FROM (SELECT count(*) AS NUM_REG_DIF FROM (SELECT prtctn_id as prtctn_id_as_is, dt_lst_fll_apprsl as dt_lst_fll_apprsl_as_is FROM cd_loan_tapes_bce.lt004_protection WHERE ref_date='2025-06-30' AND nome_perimetro= 'Individual IDComb' AND segmento= 'ESTR' AND ambito= 'PM' AND entidade='00100' AND cod_visao = 1) A  Inner join (SELECT prtctn_id as prtctn_id_to_be, dt_lst_fll_apprsl as dt_lst_fll_apprsl_to_be FROM bu_loantape_work.lt004_protection WHERE ref_date='2025-06-30' AND nome_perimetro= 'Individual IDComb' AND segmento= 'ESTR' AND ambito= 'PM' AND entidade='00100' AND cod_visao = 1) B ON prtctn_id_as_is = prtctn_id_to_be WHERE coalesce(cast(dt_lst_fll_apprsl_as_is as string), '') &lt;&gt; coalesce(cast(dt_lst_fll_apprsl_to_be as string), '') ) A </v>
      </c>
      <c r="O329" s="19" t="str">
        <f t="shared" si="60"/>
        <v>SELECT 'Validação de campos' as tipologia_teste, 'lt004_protection' AS TABELA, 'dt_lst_fll_apprsl' AS CAMPO, '2025-06-30' as ref_date, coalesce(NUM_REG_DIF, 0) AS NUM_REG_DIF FROM (SELECT count(*) AS NUM_REG_DIF FROM (SELECT prtctn_id as prtctn_id_as_is, dt_lst_fll_apprsl as dt_lst_fll_apprsl_as_is FROM cd_loan_tapes_bce.lt004_protection WHERE ref_date='2025-06-30' AND nome_perimetro= 'Individual IDComb' AND segmento= 'ESTR' AND ambito= 'PM' AND entidade='00100' AND cod_visao = 1) A  Inner join (SELECT prtctn_id as prtctn_id_to_be, dt_lst_fll_apprsl as dt_lst_fll_apprsl_to_be FROM bu_loantape_work.lt004_protection WHERE ref_date='2025-06-30' AND nome_perimetro= 'Individual IDComb' AND segmento= 'ESTR' AND ambito= 'PM' AND entidade='00100' AND cod_visao = 1) B ON prtctn_id_as_is = prtctn_id_to_be WHERE coalesce(cast(dt_lst_fll_apprsl_as_is as string), '') &lt;&gt; coalesce(cast(dt_lst_fll_apprsl_to_be as string), '') ) A UNION ALL</v>
      </c>
      <c r="P329" s="17">
        <f t="shared" si="59"/>
        <v>10</v>
      </c>
    </row>
    <row r="330" spans="2:16" s="15" customFormat="1" ht="11.5" x14ac:dyDescent="0.25">
      <c r="B330" s="17" t="s">
        <v>28</v>
      </c>
      <c r="C330" s="17" t="str">
        <f>_xlfn.CONCAT(Instruções!$D$5,".",VLOOKUP(B330,Instruções!$F$5:$H$10,2,0))</f>
        <v>cd_loan_tapes_bce.lt004_protection</v>
      </c>
      <c r="D330" s="17" t="str">
        <f>_xlfn.CONCAT(Instruções!$D$6,".",VLOOKUP(B330,Instruções!$F$5:$H$10,3,0))</f>
        <v>bu_loantape_work.lt004_protection</v>
      </c>
      <c r="E330" s="17" t="s">
        <v>327</v>
      </c>
      <c r="F330" s="17" t="str">
        <f t="shared" si="49"/>
        <v>dt_mtrty_prtctn_as_is</v>
      </c>
      <c r="G330" s="17" t="str">
        <f t="shared" si="50"/>
        <v>dt_mtrty_prtctn_to_be</v>
      </c>
      <c r="H330" s="17" t="str">
        <f>IF(VLOOKUP(B330,Instruções!$F$6:$J$10,5,0)="",
"(SELECT "&amp;VLOOKUP(B330,Instruções!$F$6:$J$10,4,0)&amp;" as "&amp;VLOOKUP(B330,Instruções!$F$6:$J$10,4,0)&amp;"_as_is, "&amp;E330&amp;" as "&amp;F330&amp;" FROM "&amp;C330&amp;" WHERE "&amp;Instruções!$D$11&amp;") A ",
"(SELECT "&amp;VLOOKUP(B330,Instruções!$F$6:$J$10,4,0)&amp;" as "&amp;VLOOKUP(B330,Instruções!$F$6:$J$10,4,0)&amp;"_as_is, "&amp;VLOOKUP(B330,Instruções!$F$6:$J$10,5,0)&amp;" as "&amp;VLOOKUP(B330,Instruções!$F$6:$J$10,5,0)&amp;"_as_is,"&amp;E330&amp;" as "&amp;F330&amp;" FROM "&amp;C330&amp;" WHERE "&amp;Instruções!$D$11&amp;") A ")</f>
        <v xml:space="preserve">(SELECT prtctn_id as prtctn_id_as_is, dt_mtrty_prtctn as dt_mtrty_prtctn_as_is FROM cd_loan_tapes_bce.lt004_protection WHERE ref_date='2025-06-30' AND nome_perimetro= 'Individual IDComb' AND segmento= 'ESTR' AND ambito= 'PM' AND entidade='00100' AND cod_visao = 1) A </v>
      </c>
      <c r="I330" s="17" t="str">
        <f>IF(VLOOKUP(B330,Instruções!$F$6:$J$10,5,0)="",
"(SELECT "&amp;VLOOKUP(B330,Instruções!$F$6:$J$10,4,0)&amp;" as "&amp;VLOOKUP(B330,Instruções!$F$6:$J$10,4,0)&amp;"_to_be, "&amp;E330&amp;" as "&amp;G330&amp;" FROM "&amp;D330&amp;" WHERE "&amp;Instruções!$D$11&amp;") B ",
"(SELECT "&amp;VLOOKUP(B330,Instruções!$F$6:$J$10,4,0)&amp;" as "&amp;VLOOKUP(B330,Instruções!$F$6:$J$10,4,0)&amp;"_to_be, "&amp;VLOOKUP(B330,Instruções!$F$6:$J$10,5,0)&amp;" as "&amp;VLOOKUP(B330,Instruções!$F$6:$J$10,5,0)&amp;"_to_be,"&amp;E330&amp;" as "&amp;G330&amp;" FROM "&amp;D330&amp;" WHERE "&amp;Instruções!$D$11&amp;") B ")</f>
        <v xml:space="preserve">(SELECT prtctn_id as prtctn_id_to_be, dt_mtrty_prtctn as dt_mtrty_prtctn_to_be FROM bu_loantape_work.lt004_protection WHERE ref_date='2025-06-30' AND nome_perimetro= 'Individual IDComb' AND segmento= 'ESTR' AND ambito= 'PM' AND entidade='00100' AND cod_visao = 1) B </v>
      </c>
      <c r="J330" s="17" t="str">
        <f>IF(VLOOKUP(B330,Instruções!$F$6:$J$10,5,0)="",
"ON "&amp;VLOOKUP(B330,Instruções!$F$6:$J$10,4,0)&amp;"_as_is = "&amp;VLOOKUP(B330,Instruções!$F$6:$J$10,4,0)&amp;"_to_be ",
"ON "&amp;VLOOKUP(B330,Instruções!$F$6:$J$10,4,0)&amp;"_as_is = "&amp;VLOOKUP(B330,Instruções!$F$6:$J$10,4,0)&amp;"_to_be AND "&amp;VLOOKUP(B330,Instruções!$F$6:$J$10,5,0)&amp;"_as_is = "&amp;VLOOKUP(B330,Instruções!$F$6:$J$10,5,0)&amp;"_to_be ")</f>
        <v xml:space="preserve">ON prtctn_id_as_is = prtctn_id_to_be </v>
      </c>
      <c r="K330" s="17" t="str">
        <f t="shared" si="51"/>
        <v xml:space="preserve">WHERE coalesce(cast(dt_mtrty_prtctn_as_is as string), '') &lt;&gt; coalesce(cast(dt_mtrty_prtctn_to_be as string), '') </v>
      </c>
      <c r="L330" s="17" t="str">
        <f t="shared" si="54"/>
        <v xml:space="preserve">SELECT count(*) AS NUM_REG_DIF FROM (SELECT prtctn_id as prtctn_id_as_is, dt_mtrty_prtctn as dt_mtrty_prtctn_as_is FROM cd_loan_tapes_bce.lt004_protection WHERE ref_date='2025-06-30' AND nome_perimetro= 'Individual IDComb' AND segmento= 'ESTR' AND ambito= 'PM' AND entidade='00100' AND cod_visao = 1) A  Inner join (SELECT prtctn_id as prtctn_id_to_be, dt_mtrty_prtctn as dt_mtrty_prtctn_to_be FROM bu_loantape_work.lt004_protection WHERE ref_date='2025-06-30' AND nome_perimetro= 'Individual IDComb' AND segmento= 'ESTR' AND ambito= 'PM' AND entidade='00100' AND cod_visao = 1) B ON prtctn_id_as_is = prtctn_id_to_be WHERE coalesce(cast(dt_mtrty_prtctn_as_is as string), '') &lt;&gt; coalesce(cast(dt_mtrty_prtctn_to_be as string), '') </v>
      </c>
      <c r="M330" s="17" t="s">
        <v>48</v>
      </c>
      <c r="N330" s="17" t="str">
        <f>"SELECT 'Validação de campos' as tipologia_teste, '"&amp;VLOOKUP(B330,Instruções!$F$6:$J$10,3,0)&amp;"' AS TABELA, '"&amp;E330&amp;"' AS CAMPO, '"&amp;Instruções!$D$7&amp;"' as ref_date, coalesce(NUM_REG_DIF, 0) AS NUM_REG_DIF FROM ("&amp;L330&amp;") A "</f>
        <v xml:space="preserve">SELECT 'Validação de campos' as tipologia_teste, 'lt004_protection' AS TABELA, 'dt_mtrty_prtctn' AS CAMPO, '2025-06-30' as ref_date, coalesce(NUM_REG_DIF, 0) AS NUM_REG_DIF FROM (SELECT count(*) AS NUM_REG_DIF FROM (SELECT prtctn_id as prtctn_id_as_is, dt_mtrty_prtctn as dt_mtrty_prtctn_as_is FROM cd_loan_tapes_bce.lt004_protection WHERE ref_date='2025-06-30' AND nome_perimetro= 'Individual IDComb' AND segmento= 'ESTR' AND ambito= 'PM' AND entidade='00100' AND cod_visao = 1) A  Inner join (SELECT prtctn_id as prtctn_id_to_be, dt_mtrty_prtctn as dt_mtrty_prtctn_to_be FROM bu_loantape_work.lt004_protection WHERE ref_date='2025-06-30' AND nome_perimetro= 'Individual IDComb' AND segmento= 'ESTR' AND ambito= 'PM' AND entidade='00100' AND cod_visao = 1) B ON prtctn_id_as_is = prtctn_id_to_be WHERE coalesce(cast(dt_mtrty_prtctn_as_is as string), '') &lt;&gt; coalesce(cast(dt_mtrty_prtctn_to_be as string), '') ) A </v>
      </c>
      <c r="O330" s="19" t="str">
        <f t="shared" si="60"/>
        <v>SELECT 'Validação de campos' as tipologia_teste, 'lt004_protection' AS TABELA, 'dt_mtrty_prtctn' AS CAMPO, '2025-06-30' as ref_date, coalesce(NUM_REG_DIF, 0) AS NUM_REG_DIF FROM (SELECT count(*) AS NUM_REG_DIF FROM (SELECT prtctn_id as prtctn_id_as_is, dt_mtrty_prtctn as dt_mtrty_prtctn_as_is FROM cd_loan_tapes_bce.lt004_protection WHERE ref_date='2025-06-30' AND nome_perimetro= 'Individual IDComb' AND segmento= 'ESTR' AND ambito= 'PM' AND entidade='00100' AND cod_visao = 1) A  Inner join (SELECT prtctn_id as prtctn_id_to_be, dt_mtrty_prtctn as dt_mtrty_prtctn_to_be FROM bu_loantape_work.lt004_protection WHERE ref_date='2025-06-30' AND nome_perimetro= 'Individual IDComb' AND segmento= 'ESTR' AND ambito= 'PM' AND entidade='00100' AND cod_visao = 1) B ON prtctn_id_as_is = prtctn_id_to_be WHERE coalesce(cast(dt_mtrty_prtctn_as_is as string), '') &lt;&gt; coalesce(cast(dt_mtrty_prtctn_to_be as string), '') ) A UNION ALL</v>
      </c>
      <c r="P330" s="17">
        <f t="shared" si="59"/>
        <v>11</v>
      </c>
    </row>
    <row r="331" spans="2:16" s="15" customFormat="1" ht="11.5" x14ac:dyDescent="0.25">
      <c r="B331" s="17" t="s">
        <v>28</v>
      </c>
      <c r="C331" s="17" t="str">
        <f>_xlfn.CONCAT(Instruções!$D$5,".",VLOOKUP(B331,Instruções!$F$5:$H$10,2,0))</f>
        <v>cd_loan_tapes_bce.lt004_protection</v>
      </c>
      <c r="D331" s="17" t="str">
        <f>_xlfn.CONCAT(Instruções!$D$6,".",VLOOKUP(B331,Instruções!$F$5:$H$10,3,0))</f>
        <v>bu_loantape_work.lt004_protection</v>
      </c>
      <c r="E331" s="17" t="s">
        <v>328</v>
      </c>
      <c r="F331" s="17" t="str">
        <f t="shared" ref="F331:F338" si="61">E331&amp;"_as_is"</f>
        <v>dt_orgnl_prtctn_vl_as_is</v>
      </c>
      <c r="G331" s="17" t="str">
        <f t="shared" ref="G331:G338" si="62">E331&amp;"_to_be"</f>
        <v>dt_orgnl_prtctn_vl_to_be</v>
      </c>
      <c r="H331" s="17" t="str">
        <f>IF(VLOOKUP(B331,Instruções!$F$6:$J$10,5,0)="",
"(SELECT "&amp;VLOOKUP(B331,Instruções!$F$6:$J$10,4,0)&amp;" as "&amp;VLOOKUP(B331,Instruções!$F$6:$J$10,4,0)&amp;"_as_is, "&amp;E331&amp;" as "&amp;F331&amp;" FROM "&amp;C331&amp;" WHERE "&amp;Instruções!$D$11&amp;") A ",
"(SELECT "&amp;VLOOKUP(B331,Instruções!$F$6:$J$10,4,0)&amp;" as "&amp;VLOOKUP(B331,Instruções!$F$6:$J$10,4,0)&amp;"_as_is, "&amp;VLOOKUP(B331,Instruções!$F$6:$J$10,5,0)&amp;" as "&amp;VLOOKUP(B331,Instruções!$F$6:$J$10,5,0)&amp;"_as_is,"&amp;E331&amp;" as "&amp;F331&amp;" FROM "&amp;C331&amp;" WHERE "&amp;Instruções!$D$11&amp;") A ")</f>
        <v xml:space="preserve">(SELECT prtctn_id as prtctn_id_as_is, dt_orgnl_prtctn_vl as dt_orgnl_prtctn_vl_as_is FROM cd_loan_tapes_bce.lt004_protection WHERE ref_date='2025-06-30' AND nome_perimetro= 'Individual IDComb' AND segmento= 'ESTR' AND ambito= 'PM' AND entidade='00100' AND cod_visao = 1) A </v>
      </c>
      <c r="I331" s="17" t="str">
        <f>IF(VLOOKUP(B331,Instruções!$F$6:$J$10,5,0)="",
"(SELECT "&amp;VLOOKUP(B331,Instruções!$F$6:$J$10,4,0)&amp;" as "&amp;VLOOKUP(B331,Instruções!$F$6:$J$10,4,0)&amp;"_to_be, "&amp;E331&amp;" as "&amp;G331&amp;" FROM "&amp;D331&amp;" WHERE "&amp;Instruções!$D$11&amp;") B ",
"(SELECT "&amp;VLOOKUP(B331,Instruções!$F$6:$J$10,4,0)&amp;" as "&amp;VLOOKUP(B331,Instruções!$F$6:$J$10,4,0)&amp;"_to_be, "&amp;VLOOKUP(B331,Instruções!$F$6:$J$10,5,0)&amp;" as "&amp;VLOOKUP(B331,Instruções!$F$6:$J$10,5,0)&amp;"_to_be,"&amp;E331&amp;" as "&amp;G331&amp;" FROM "&amp;D331&amp;" WHERE "&amp;Instruções!$D$11&amp;") B ")</f>
        <v xml:space="preserve">(SELECT prtctn_id as prtctn_id_to_be, dt_orgnl_prtctn_vl as dt_orgnl_prtctn_vl_to_be FROM bu_loantape_work.lt004_protection WHERE ref_date='2025-06-30' AND nome_perimetro= 'Individual IDComb' AND segmento= 'ESTR' AND ambito= 'PM' AND entidade='00100' AND cod_visao = 1) B </v>
      </c>
      <c r="J331" s="17" t="str">
        <f>IF(VLOOKUP(B331,Instruções!$F$6:$J$10,5,0)="",
"ON "&amp;VLOOKUP(B331,Instruções!$F$6:$J$10,4,0)&amp;"_as_is = "&amp;VLOOKUP(B331,Instruções!$F$6:$J$10,4,0)&amp;"_to_be ",
"ON "&amp;VLOOKUP(B331,Instruções!$F$6:$J$10,4,0)&amp;"_as_is = "&amp;VLOOKUP(B331,Instruções!$F$6:$J$10,4,0)&amp;"_to_be AND "&amp;VLOOKUP(B331,Instruções!$F$6:$J$10,5,0)&amp;"_as_is = "&amp;VLOOKUP(B331,Instruções!$F$6:$J$10,5,0)&amp;"_to_be ")</f>
        <v xml:space="preserve">ON prtctn_id_as_is = prtctn_id_to_be </v>
      </c>
      <c r="K331" s="17" t="str">
        <f t="shared" ref="K331:K338" si="63">"WHERE coalesce(cast("&amp;F331&amp;" as string), '') &lt;&gt; coalesce(cast("&amp;G331&amp;" as string), '') "</f>
        <v xml:space="preserve">WHERE coalesce(cast(dt_orgnl_prtctn_vl_as_is as string), '') &lt;&gt; coalesce(cast(dt_orgnl_prtctn_vl_to_be as string), '') </v>
      </c>
      <c r="L331" s="17" t="str">
        <f t="shared" si="54"/>
        <v xml:space="preserve">SELECT count(*) AS NUM_REG_DIF FROM (SELECT prtctn_id as prtctn_id_as_is, dt_orgnl_prtctn_vl as dt_orgnl_prtctn_vl_as_is FROM cd_loan_tapes_bce.lt004_protection WHERE ref_date='2025-06-30' AND nome_perimetro= 'Individual IDComb' AND segmento= 'ESTR' AND ambito= 'PM' AND entidade='00100' AND cod_visao = 1) A  Inner join (SELECT prtctn_id as prtctn_id_to_be, dt_orgnl_prtctn_vl as dt_orgnl_prtctn_vl_to_be FROM bu_loantape_work.lt004_protection WHERE ref_date='2025-06-30' AND nome_perimetro= 'Individual IDComb' AND segmento= 'ESTR' AND ambito= 'PM' AND entidade='00100' AND cod_visao = 1) B ON prtctn_id_as_is = prtctn_id_to_be WHERE coalesce(cast(dt_orgnl_prtctn_vl_as_is as string), '') &lt;&gt; coalesce(cast(dt_orgnl_prtctn_vl_to_be as string), '') </v>
      </c>
      <c r="M331" s="17" t="s">
        <v>48</v>
      </c>
      <c r="N331" s="17" t="str">
        <f>"SELECT 'Validação de campos' as tipologia_teste, '"&amp;VLOOKUP(B331,Instruções!$F$6:$J$10,3,0)&amp;"' AS TABELA, '"&amp;E331&amp;"' AS CAMPO, '"&amp;Instruções!$D$7&amp;"' as ref_date, coalesce(NUM_REG_DIF, 0) AS NUM_REG_DIF FROM ("&amp;L331&amp;") A "</f>
        <v xml:space="preserve">SELECT 'Validação de campos' as tipologia_teste, 'lt004_protection' AS TABELA, 'dt_orgnl_prtctn_vl' AS CAMPO, '2025-06-30' as ref_date, coalesce(NUM_REG_DIF, 0) AS NUM_REG_DIF FROM (SELECT count(*) AS NUM_REG_DIF FROM (SELECT prtctn_id as prtctn_id_as_is, dt_orgnl_prtctn_vl as dt_orgnl_prtctn_vl_as_is FROM cd_loan_tapes_bce.lt004_protection WHERE ref_date='2025-06-30' AND nome_perimetro= 'Individual IDComb' AND segmento= 'ESTR' AND ambito= 'PM' AND entidade='00100' AND cod_visao = 1) A  Inner join (SELECT prtctn_id as prtctn_id_to_be, dt_orgnl_prtctn_vl as dt_orgnl_prtctn_vl_to_be FROM bu_loantape_work.lt004_protection WHERE ref_date='2025-06-30' AND nome_perimetro= 'Individual IDComb' AND segmento= 'ESTR' AND ambito= 'PM' AND entidade='00100' AND cod_visao = 1) B ON prtctn_id_as_is = prtctn_id_to_be WHERE coalesce(cast(dt_orgnl_prtctn_vl_as_is as string), '') &lt;&gt; coalesce(cast(dt_orgnl_prtctn_vl_to_be as string), '') ) A </v>
      </c>
      <c r="O331" s="19" t="str">
        <f t="shared" si="60"/>
        <v>SELECT 'Validação de campos' as tipologia_teste, 'lt004_protection' AS TABELA, 'dt_orgnl_prtctn_vl' AS CAMPO, '2025-06-30' as ref_date, coalesce(NUM_REG_DIF, 0) AS NUM_REG_DIF FROM (SELECT count(*) AS NUM_REG_DIF FROM (SELECT prtctn_id as prtctn_id_as_is, dt_orgnl_prtctn_vl as dt_orgnl_prtctn_vl_as_is FROM cd_loan_tapes_bce.lt004_protection WHERE ref_date='2025-06-30' AND nome_perimetro= 'Individual IDComb' AND segmento= 'ESTR' AND ambito= 'PM' AND entidade='00100' AND cod_visao = 1) A  Inner join (SELECT prtctn_id as prtctn_id_to_be, dt_orgnl_prtctn_vl as dt_orgnl_prtctn_vl_to_be FROM bu_loantape_work.lt004_protection WHERE ref_date='2025-06-30' AND nome_perimetro= 'Individual IDComb' AND segmento= 'ESTR' AND ambito= 'PM' AND entidade='00100' AND cod_visao = 1) B ON prtctn_id_as_is = prtctn_id_to_be WHERE coalesce(cast(dt_orgnl_prtctn_vl_as_is as string), '') &lt;&gt; coalesce(cast(dt_orgnl_prtctn_vl_to_be as string), '') ) A UNION ALL</v>
      </c>
      <c r="P331" s="17">
        <f t="shared" si="59"/>
        <v>12</v>
      </c>
    </row>
    <row r="332" spans="2:16" s="15" customFormat="1" ht="11.5" x14ac:dyDescent="0.25">
      <c r="B332" s="17" t="s">
        <v>28</v>
      </c>
      <c r="C332" s="17" t="str">
        <f>_xlfn.CONCAT(Instruções!$D$5,".",VLOOKUP(B332,Instruções!$F$5:$H$10,2,0))</f>
        <v>cd_loan_tapes_bce.lt004_protection</v>
      </c>
      <c r="D332" s="17" t="str">
        <f>_xlfn.CONCAT(Instruções!$D$6,".",VLOOKUP(B332,Instruções!$F$5:$H$10,3,0))</f>
        <v>bu_loantape_work.lt004_protection</v>
      </c>
      <c r="E332" s="17" t="s">
        <v>329</v>
      </c>
      <c r="F332" s="17" t="str">
        <f t="shared" si="61"/>
        <v>dvlpmnt_stts_as_is</v>
      </c>
      <c r="G332" s="17" t="str">
        <f t="shared" si="62"/>
        <v>dvlpmnt_stts_to_be</v>
      </c>
      <c r="H332" s="17" t="str">
        <f>IF(VLOOKUP(B332,Instruções!$F$6:$J$10,5,0)="",
"(SELECT "&amp;VLOOKUP(B332,Instruções!$F$6:$J$10,4,0)&amp;" as "&amp;VLOOKUP(B332,Instruções!$F$6:$J$10,4,0)&amp;"_as_is, "&amp;E332&amp;" as "&amp;F332&amp;" FROM "&amp;C332&amp;" WHERE "&amp;Instruções!$D$11&amp;") A ",
"(SELECT "&amp;VLOOKUP(B332,Instruções!$F$6:$J$10,4,0)&amp;" as "&amp;VLOOKUP(B332,Instruções!$F$6:$J$10,4,0)&amp;"_as_is, "&amp;VLOOKUP(B332,Instruções!$F$6:$J$10,5,0)&amp;" as "&amp;VLOOKUP(B332,Instruções!$F$6:$J$10,5,0)&amp;"_as_is,"&amp;E332&amp;" as "&amp;F332&amp;" FROM "&amp;C332&amp;" WHERE "&amp;Instruções!$D$11&amp;") A ")</f>
        <v xml:space="preserve">(SELECT prtctn_id as prtctn_id_as_is, dvlpmnt_stts as dvlpmnt_stts_as_is FROM cd_loan_tapes_bce.lt004_protection WHERE ref_date='2025-06-30' AND nome_perimetro= 'Individual IDComb' AND segmento= 'ESTR' AND ambito= 'PM' AND entidade='00100' AND cod_visao = 1) A </v>
      </c>
      <c r="I332" s="17" t="str">
        <f>IF(VLOOKUP(B332,Instruções!$F$6:$J$10,5,0)="",
"(SELECT "&amp;VLOOKUP(B332,Instruções!$F$6:$J$10,4,0)&amp;" as "&amp;VLOOKUP(B332,Instruções!$F$6:$J$10,4,0)&amp;"_to_be, "&amp;E332&amp;" as "&amp;G332&amp;" FROM "&amp;D332&amp;" WHERE "&amp;Instruções!$D$11&amp;") B ",
"(SELECT "&amp;VLOOKUP(B332,Instruções!$F$6:$J$10,4,0)&amp;" as "&amp;VLOOKUP(B332,Instruções!$F$6:$J$10,4,0)&amp;"_to_be, "&amp;VLOOKUP(B332,Instruções!$F$6:$J$10,5,0)&amp;" as "&amp;VLOOKUP(B332,Instruções!$F$6:$J$10,5,0)&amp;"_to_be,"&amp;E332&amp;" as "&amp;G332&amp;" FROM "&amp;D332&amp;" WHERE "&amp;Instruções!$D$11&amp;") B ")</f>
        <v xml:space="preserve">(SELECT prtctn_id as prtctn_id_to_be, dvlpmnt_stts as dvlpmnt_stts_to_be FROM bu_loantape_work.lt004_protection WHERE ref_date='2025-06-30' AND nome_perimetro= 'Individual IDComb' AND segmento= 'ESTR' AND ambito= 'PM' AND entidade='00100' AND cod_visao = 1) B </v>
      </c>
      <c r="J332" s="17" t="str">
        <f>IF(VLOOKUP(B332,Instruções!$F$6:$J$10,5,0)="",
"ON "&amp;VLOOKUP(B332,Instruções!$F$6:$J$10,4,0)&amp;"_as_is = "&amp;VLOOKUP(B332,Instruções!$F$6:$J$10,4,0)&amp;"_to_be ",
"ON "&amp;VLOOKUP(B332,Instruções!$F$6:$J$10,4,0)&amp;"_as_is = "&amp;VLOOKUP(B332,Instruções!$F$6:$J$10,4,0)&amp;"_to_be AND "&amp;VLOOKUP(B332,Instruções!$F$6:$J$10,5,0)&amp;"_as_is = "&amp;VLOOKUP(B332,Instruções!$F$6:$J$10,5,0)&amp;"_to_be ")</f>
        <v xml:space="preserve">ON prtctn_id_as_is = prtctn_id_to_be </v>
      </c>
      <c r="K332" s="17" t="str">
        <f t="shared" si="63"/>
        <v xml:space="preserve">WHERE coalesce(cast(dvlpmnt_stts_as_is as string), '') &lt;&gt; coalesce(cast(dvlpmnt_stts_to_be as string), '') </v>
      </c>
      <c r="L332" s="17" t="str">
        <f t="shared" si="54"/>
        <v xml:space="preserve">SELECT count(*) AS NUM_REG_DIF FROM (SELECT prtctn_id as prtctn_id_as_is, dvlpmnt_stts as dvlpmnt_stts_as_is FROM cd_loan_tapes_bce.lt004_protection WHERE ref_date='2025-06-30' AND nome_perimetro= 'Individual IDComb' AND segmento= 'ESTR' AND ambito= 'PM' AND entidade='00100' AND cod_visao = 1) A  Inner join (SELECT prtctn_id as prtctn_id_to_be, dvlpmnt_stts as dvlpmnt_stts_to_be FROM bu_loantape_work.lt004_protection WHERE ref_date='2025-06-30' AND nome_perimetro= 'Individual IDComb' AND segmento= 'ESTR' AND ambito= 'PM' AND entidade='00100' AND cod_visao = 1) B ON prtctn_id_as_is = prtctn_id_to_be WHERE coalesce(cast(dvlpmnt_stts_as_is as string), '') &lt;&gt; coalesce(cast(dvlpmnt_stts_to_be as string), '') </v>
      </c>
      <c r="M332" s="17" t="s">
        <v>48</v>
      </c>
      <c r="N332" s="17" t="str">
        <f>"SELECT 'Validação de campos' as tipologia_teste, '"&amp;VLOOKUP(B332,Instruções!$F$6:$J$10,3,0)&amp;"' AS TABELA, '"&amp;E332&amp;"' AS CAMPO, '"&amp;Instruções!$D$7&amp;"' as ref_date, coalesce(NUM_REG_DIF, 0) AS NUM_REG_DIF FROM ("&amp;L332&amp;") A "</f>
        <v xml:space="preserve">SELECT 'Validação de campos' as tipologia_teste, 'lt004_protection' AS TABELA, 'dvlpmnt_stts' AS CAMPO, '2025-06-30' as ref_date, coalesce(NUM_REG_DIF, 0) AS NUM_REG_DIF FROM (SELECT count(*) AS NUM_REG_DIF FROM (SELECT prtctn_id as prtctn_id_as_is, dvlpmnt_stts as dvlpmnt_stts_as_is FROM cd_loan_tapes_bce.lt004_protection WHERE ref_date='2025-06-30' AND nome_perimetro= 'Individual IDComb' AND segmento= 'ESTR' AND ambito= 'PM' AND entidade='00100' AND cod_visao = 1) A  Inner join (SELECT prtctn_id as prtctn_id_to_be, dvlpmnt_stts as dvlpmnt_stts_to_be FROM bu_loantape_work.lt004_protection WHERE ref_date='2025-06-30' AND nome_perimetro= 'Individual IDComb' AND segmento= 'ESTR' AND ambito= 'PM' AND entidade='00100' AND cod_visao = 1) B ON prtctn_id_as_is = prtctn_id_to_be WHERE coalesce(cast(dvlpmnt_stts_as_is as string), '') &lt;&gt; coalesce(cast(dvlpmnt_stts_to_be as string), '') ) A </v>
      </c>
      <c r="O332" s="19" t="str">
        <f t="shared" si="60"/>
        <v>SELECT 'Validação de campos' as tipologia_teste, 'lt004_protection' AS TABELA, 'dvlpmnt_stts' AS CAMPO, '2025-06-30' as ref_date, coalesce(NUM_REG_DIF, 0) AS NUM_REG_DIF FROM (SELECT count(*) AS NUM_REG_DIF FROM (SELECT prtctn_id as prtctn_id_as_is, dvlpmnt_stts as dvlpmnt_stts_as_is FROM cd_loan_tapes_bce.lt004_protection WHERE ref_date='2025-06-30' AND nome_perimetro= 'Individual IDComb' AND segmento= 'ESTR' AND ambito= 'PM' AND entidade='00100' AND cod_visao = 1) A  Inner join (SELECT prtctn_id as prtctn_id_to_be, dvlpmnt_stts as dvlpmnt_stts_to_be FROM bu_loantape_work.lt004_protection WHERE ref_date='2025-06-30' AND nome_perimetro= 'Individual IDComb' AND segmento= 'ESTR' AND ambito= 'PM' AND entidade='00100' AND cod_visao = 1) B ON prtctn_id_as_is = prtctn_id_to_be WHERE coalesce(cast(dvlpmnt_stts_as_is as string), '') &lt;&gt; coalesce(cast(dvlpmnt_stts_to_be as string), '') ) A UNION ALL</v>
      </c>
      <c r="P332" s="17">
        <f t="shared" si="59"/>
        <v>13</v>
      </c>
    </row>
    <row r="333" spans="2:16" s="15" customFormat="1" ht="11.5" x14ac:dyDescent="0.25">
      <c r="B333" s="17" t="s">
        <v>28</v>
      </c>
      <c r="C333" s="17" t="str">
        <f>_xlfn.CONCAT(Instruções!$D$5,".",VLOOKUP(B333,Instruções!$F$5:$H$10,2,0))</f>
        <v>cd_loan_tapes_bce.lt004_protection</v>
      </c>
      <c r="D333" s="17" t="str">
        <f>_xlfn.CONCAT(Instruções!$D$6,".",VLOOKUP(B333,Instruções!$F$5:$H$10,3,0))</f>
        <v>bu_loantape_work.lt004_protection</v>
      </c>
      <c r="E333" s="17" t="s">
        <v>330</v>
      </c>
      <c r="F333" s="17" t="str">
        <f t="shared" si="61"/>
        <v>hrct_mv_as_is</v>
      </c>
      <c r="G333" s="17" t="str">
        <f t="shared" si="62"/>
        <v>hrct_mv_to_be</v>
      </c>
      <c r="H333" s="17" t="str">
        <f>IF(VLOOKUP(B333,Instruções!$F$6:$J$10,5,0)="",
"(SELECT "&amp;VLOOKUP(B333,Instruções!$F$6:$J$10,4,0)&amp;" as "&amp;VLOOKUP(B333,Instruções!$F$6:$J$10,4,0)&amp;"_as_is, "&amp;E333&amp;" as "&amp;F333&amp;" FROM "&amp;C333&amp;" WHERE "&amp;Instruções!$D$11&amp;") A ",
"(SELECT "&amp;VLOOKUP(B333,Instruções!$F$6:$J$10,4,0)&amp;" as "&amp;VLOOKUP(B333,Instruções!$F$6:$J$10,4,0)&amp;"_as_is, "&amp;VLOOKUP(B333,Instruções!$F$6:$J$10,5,0)&amp;" as "&amp;VLOOKUP(B333,Instruções!$F$6:$J$10,5,0)&amp;"_as_is,"&amp;E333&amp;" as "&amp;F333&amp;" FROM "&amp;C333&amp;" WHERE "&amp;Instruções!$D$11&amp;") A ")</f>
        <v xml:space="preserve">(SELECT prtctn_id as prtctn_id_as_is, hrct_mv as hrct_mv_as_is FROM cd_loan_tapes_bce.lt004_protection WHERE ref_date='2025-06-30' AND nome_perimetro= 'Individual IDComb' AND segmento= 'ESTR' AND ambito= 'PM' AND entidade='00100' AND cod_visao = 1) A </v>
      </c>
      <c r="I333" s="17" t="str">
        <f>IF(VLOOKUP(B333,Instruções!$F$6:$J$10,5,0)="",
"(SELECT "&amp;VLOOKUP(B333,Instruções!$F$6:$J$10,4,0)&amp;" as "&amp;VLOOKUP(B333,Instruções!$F$6:$J$10,4,0)&amp;"_to_be, "&amp;E333&amp;" as "&amp;G333&amp;" FROM "&amp;D333&amp;" WHERE "&amp;Instruções!$D$11&amp;") B ",
"(SELECT "&amp;VLOOKUP(B333,Instruções!$F$6:$J$10,4,0)&amp;" as "&amp;VLOOKUP(B333,Instruções!$F$6:$J$10,4,0)&amp;"_to_be, "&amp;VLOOKUP(B333,Instruções!$F$6:$J$10,5,0)&amp;" as "&amp;VLOOKUP(B333,Instruções!$F$6:$J$10,5,0)&amp;"_to_be,"&amp;E333&amp;" as "&amp;G333&amp;" FROM "&amp;D333&amp;" WHERE "&amp;Instruções!$D$11&amp;") B ")</f>
        <v xml:space="preserve">(SELECT prtctn_id as prtctn_id_to_be, hrct_mv as hrct_mv_to_be FROM bu_loantape_work.lt004_protection WHERE ref_date='2025-06-30' AND nome_perimetro= 'Individual IDComb' AND segmento= 'ESTR' AND ambito= 'PM' AND entidade='00100' AND cod_visao = 1) B </v>
      </c>
      <c r="J333" s="17" t="str">
        <f>IF(VLOOKUP(B333,Instruções!$F$6:$J$10,5,0)="",
"ON "&amp;VLOOKUP(B333,Instruções!$F$6:$J$10,4,0)&amp;"_as_is = "&amp;VLOOKUP(B333,Instruções!$F$6:$J$10,4,0)&amp;"_to_be ",
"ON "&amp;VLOOKUP(B333,Instruções!$F$6:$J$10,4,0)&amp;"_as_is = "&amp;VLOOKUP(B333,Instruções!$F$6:$J$10,4,0)&amp;"_to_be AND "&amp;VLOOKUP(B333,Instruções!$F$6:$J$10,5,0)&amp;"_as_is = "&amp;VLOOKUP(B333,Instruções!$F$6:$J$10,5,0)&amp;"_to_be ")</f>
        <v xml:space="preserve">ON prtctn_id_as_is = prtctn_id_to_be </v>
      </c>
      <c r="K333" s="17" t="str">
        <f t="shared" si="63"/>
        <v xml:space="preserve">WHERE coalesce(cast(hrct_mv_as_is as string), '') &lt;&gt; coalesce(cast(hrct_mv_to_be as string), '') </v>
      </c>
      <c r="L333" s="17" t="str">
        <f t="shared" si="54"/>
        <v xml:space="preserve">SELECT count(*) AS NUM_REG_DIF FROM (SELECT prtctn_id as prtctn_id_as_is, hrct_mv as hrct_mv_as_is FROM cd_loan_tapes_bce.lt004_protection WHERE ref_date='2025-06-30' AND nome_perimetro= 'Individual IDComb' AND segmento= 'ESTR' AND ambito= 'PM' AND entidade='00100' AND cod_visao = 1) A  Inner join (SELECT prtctn_id as prtctn_id_to_be, hrct_mv as hrct_mv_to_be FROM bu_loantape_work.lt004_protection WHERE ref_date='2025-06-30' AND nome_perimetro= 'Individual IDComb' AND segmento= 'ESTR' AND ambito= 'PM' AND entidade='00100' AND cod_visao = 1) B ON prtctn_id_as_is = prtctn_id_to_be WHERE coalesce(cast(hrct_mv_as_is as string), '') &lt;&gt; coalesce(cast(hrct_mv_to_be as string), '') </v>
      </c>
      <c r="M333" s="17" t="s">
        <v>48</v>
      </c>
      <c r="N333" s="17" t="str">
        <f>"SELECT 'Validação de campos' as tipologia_teste, '"&amp;VLOOKUP(B333,Instruções!$F$6:$J$10,3,0)&amp;"' AS TABELA, '"&amp;E333&amp;"' AS CAMPO, '"&amp;Instruções!$D$7&amp;"' as ref_date, coalesce(NUM_REG_DIF, 0) AS NUM_REG_DIF FROM ("&amp;L333&amp;") A "</f>
        <v xml:space="preserve">SELECT 'Validação de campos' as tipologia_teste, 'lt004_protection' AS TABELA, 'hrct_mv' AS CAMPO, '2025-06-30' as ref_date, coalesce(NUM_REG_DIF, 0) AS NUM_REG_DIF FROM (SELECT count(*) AS NUM_REG_DIF FROM (SELECT prtctn_id as prtctn_id_as_is, hrct_mv as hrct_mv_as_is FROM cd_loan_tapes_bce.lt004_protection WHERE ref_date='2025-06-30' AND nome_perimetro= 'Individual IDComb' AND segmento= 'ESTR' AND ambito= 'PM' AND entidade='00100' AND cod_visao = 1) A  Inner join (SELECT prtctn_id as prtctn_id_to_be, hrct_mv as hrct_mv_to_be FROM bu_loantape_work.lt004_protection WHERE ref_date='2025-06-30' AND nome_perimetro= 'Individual IDComb' AND segmento= 'ESTR' AND ambito= 'PM' AND entidade='00100' AND cod_visao = 1) B ON prtctn_id_as_is = prtctn_id_to_be WHERE coalesce(cast(hrct_mv_as_is as string), '') &lt;&gt; coalesce(cast(hrct_mv_to_be as string), '') ) A </v>
      </c>
      <c r="O333" s="19" t="str">
        <f t="shared" si="60"/>
        <v>SELECT 'Validação de campos' as tipologia_teste, 'lt004_protection' AS TABELA, 'hrct_mv' AS CAMPO, '2025-06-30' as ref_date, coalesce(NUM_REG_DIF, 0) AS NUM_REG_DIF FROM (SELECT count(*) AS NUM_REG_DIF FROM (SELECT prtctn_id as prtctn_id_as_is, hrct_mv as hrct_mv_as_is FROM cd_loan_tapes_bce.lt004_protection WHERE ref_date='2025-06-30' AND nome_perimetro= 'Individual IDComb' AND segmento= 'ESTR' AND ambito= 'PM' AND entidade='00100' AND cod_visao = 1) A  Inner join (SELECT prtctn_id as prtctn_id_to_be, hrct_mv as hrct_mv_to_be FROM bu_loantape_work.lt004_protection WHERE ref_date='2025-06-30' AND nome_perimetro= 'Individual IDComb' AND segmento= 'ESTR' AND ambito= 'PM' AND entidade='00100' AND cod_visao = 1) B ON prtctn_id_as_is = prtctn_id_to_be WHERE coalesce(cast(hrct_mv_as_is as string), '') &lt;&gt; coalesce(cast(hrct_mv_to_be as string), '') ) A UNION ALL</v>
      </c>
      <c r="P333" s="17">
        <f t="shared" si="59"/>
        <v>14</v>
      </c>
    </row>
    <row r="334" spans="2:16" s="15" customFormat="1" ht="11.5" x14ac:dyDescent="0.25">
      <c r="B334" s="17" t="s">
        <v>28</v>
      </c>
      <c r="C334" s="17" t="str">
        <f>_xlfn.CONCAT(Instruções!$D$5,".",VLOOKUP(B334,Instruções!$F$5:$H$10,2,0))</f>
        <v>cd_loan_tapes_bce.lt004_protection</v>
      </c>
      <c r="D334" s="17" t="str">
        <f>_xlfn.CONCAT(Instruções!$D$6,".",VLOOKUP(B334,Instruções!$F$5:$H$10,3,0))</f>
        <v>bu_loantape_work.lt004_protection</v>
      </c>
      <c r="E334" s="17" t="s">
        <v>331</v>
      </c>
      <c r="F334" s="17" t="str">
        <f t="shared" si="61"/>
        <v>mn_prps_as_is</v>
      </c>
      <c r="G334" s="17" t="str">
        <f t="shared" si="62"/>
        <v>mn_prps_to_be</v>
      </c>
      <c r="H334" s="17" t="str">
        <f>IF(VLOOKUP(B334,Instruções!$F$6:$J$10,5,0)="",
"(SELECT "&amp;VLOOKUP(B334,Instruções!$F$6:$J$10,4,0)&amp;" as "&amp;VLOOKUP(B334,Instruções!$F$6:$J$10,4,0)&amp;"_as_is, "&amp;E334&amp;" as "&amp;F334&amp;" FROM "&amp;C334&amp;" WHERE "&amp;Instruções!$D$11&amp;") A ",
"(SELECT "&amp;VLOOKUP(B334,Instruções!$F$6:$J$10,4,0)&amp;" as "&amp;VLOOKUP(B334,Instruções!$F$6:$J$10,4,0)&amp;"_as_is, "&amp;VLOOKUP(B334,Instruções!$F$6:$J$10,5,0)&amp;" as "&amp;VLOOKUP(B334,Instruções!$F$6:$J$10,5,0)&amp;"_as_is,"&amp;E334&amp;" as "&amp;F334&amp;" FROM "&amp;C334&amp;" WHERE "&amp;Instruções!$D$11&amp;") A ")</f>
        <v xml:space="preserve">(SELECT prtctn_id as prtctn_id_as_is, mn_prps as mn_prps_as_is FROM cd_loan_tapes_bce.lt004_protection WHERE ref_date='2025-06-30' AND nome_perimetro= 'Individual IDComb' AND segmento= 'ESTR' AND ambito= 'PM' AND entidade='00100' AND cod_visao = 1) A </v>
      </c>
      <c r="I334" s="17" t="str">
        <f>IF(VLOOKUP(B334,Instruções!$F$6:$J$10,5,0)="",
"(SELECT "&amp;VLOOKUP(B334,Instruções!$F$6:$J$10,4,0)&amp;" as "&amp;VLOOKUP(B334,Instruções!$F$6:$J$10,4,0)&amp;"_to_be, "&amp;E334&amp;" as "&amp;G334&amp;" FROM "&amp;D334&amp;" WHERE "&amp;Instruções!$D$11&amp;") B ",
"(SELECT "&amp;VLOOKUP(B334,Instruções!$F$6:$J$10,4,0)&amp;" as "&amp;VLOOKUP(B334,Instruções!$F$6:$J$10,4,0)&amp;"_to_be, "&amp;VLOOKUP(B334,Instruções!$F$6:$J$10,5,0)&amp;" as "&amp;VLOOKUP(B334,Instruções!$F$6:$J$10,5,0)&amp;"_to_be,"&amp;E334&amp;" as "&amp;G334&amp;" FROM "&amp;D334&amp;" WHERE "&amp;Instruções!$D$11&amp;") B ")</f>
        <v xml:space="preserve">(SELECT prtctn_id as prtctn_id_to_be, mn_prps as mn_prps_to_be FROM bu_loantape_work.lt004_protection WHERE ref_date='2025-06-30' AND nome_perimetro= 'Individual IDComb' AND segmento= 'ESTR' AND ambito= 'PM' AND entidade='00100' AND cod_visao = 1) B </v>
      </c>
      <c r="J334" s="17" t="str">
        <f>IF(VLOOKUP(B334,Instruções!$F$6:$J$10,5,0)="",
"ON "&amp;VLOOKUP(B334,Instruções!$F$6:$J$10,4,0)&amp;"_as_is = "&amp;VLOOKUP(B334,Instruções!$F$6:$J$10,4,0)&amp;"_to_be ",
"ON "&amp;VLOOKUP(B334,Instruções!$F$6:$J$10,4,0)&amp;"_as_is = "&amp;VLOOKUP(B334,Instruções!$F$6:$J$10,4,0)&amp;"_to_be AND "&amp;VLOOKUP(B334,Instruções!$F$6:$J$10,5,0)&amp;"_as_is = "&amp;VLOOKUP(B334,Instruções!$F$6:$J$10,5,0)&amp;"_to_be ")</f>
        <v xml:space="preserve">ON prtctn_id_as_is = prtctn_id_to_be </v>
      </c>
      <c r="K334" s="17" t="str">
        <f t="shared" si="63"/>
        <v xml:space="preserve">WHERE coalesce(cast(mn_prps_as_is as string), '') &lt;&gt; coalesce(cast(mn_prps_to_be as string), '') </v>
      </c>
      <c r="L334" s="17" t="str">
        <f t="shared" si="54"/>
        <v xml:space="preserve">SELECT count(*) AS NUM_REG_DIF FROM (SELECT prtctn_id as prtctn_id_as_is, mn_prps as mn_prps_as_is FROM cd_loan_tapes_bce.lt004_protection WHERE ref_date='2025-06-30' AND nome_perimetro= 'Individual IDComb' AND segmento= 'ESTR' AND ambito= 'PM' AND entidade='00100' AND cod_visao = 1) A  Inner join (SELECT prtctn_id as prtctn_id_to_be, mn_prps as mn_prps_to_be FROM bu_loantape_work.lt004_protection WHERE ref_date='2025-06-30' AND nome_perimetro= 'Individual IDComb' AND segmento= 'ESTR' AND ambito= 'PM' AND entidade='00100' AND cod_visao = 1) B ON prtctn_id_as_is = prtctn_id_to_be WHERE coalesce(cast(mn_prps_as_is as string), '') &lt;&gt; coalesce(cast(mn_prps_to_be as string), '') </v>
      </c>
      <c r="M334" s="17" t="s">
        <v>48</v>
      </c>
      <c r="N334" s="17" t="str">
        <f>"SELECT 'Validação de campos' as tipologia_teste, '"&amp;VLOOKUP(B334,Instruções!$F$6:$J$10,3,0)&amp;"' AS TABELA, '"&amp;E334&amp;"' AS CAMPO, '"&amp;Instruções!$D$7&amp;"' as ref_date, coalesce(NUM_REG_DIF, 0) AS NUM_REG_DIF FROM ("&amp;L334&amp;") A "</f>
        <v xml:space="preserve">SELECT 'Validação de campos' as tipologia_teste, 'lt004_protection' AS TABELA, 'mn_prps' AS CAMPO, '2025-06-30' as ref_date, coalesce(NUM_REG_DIF, 0) AS NUM_REG_DIF FROM (SELECT count(*) AS NUM_REG_DIF FROM (SELECT prtctn_id as prtctn_id_as_is, mn_prps as mn_prps_as_is FROM cd_loan_tapes_bce.lt004_protection WHERE ref_date='2025-06-30' AND nome_perimetro= 'Individual IDComb' AND segmento= 'ESTR' AND ambito= 'PM' AND entidade='00100' AND cod_visao = 1) A  Inner join (SELECT prtctn_id as prtctn_id_to_be, mn_prps as mn_prps_to_be FROM bu_loantape_work.lt004_protection WHERE ref_date='2025-06-30' AND nome_perimetro= 'Individual IDComb' AND segmento= 'ESTR' AND ambito= 'PM' AND entidade='00100' AND cod_visao = 1) B ON prtctn_id_as_is = prtctn_id_to_be WHERE coalesce(cast(mn_prps_as_is as string), '') &lt;&gt; coalesce(cast(mn_prps_to_be as string), '') ) A </v>
      </c>
      <c r="O334" s="19" t="str">
        <f t="shared" si="60"/>
        <v>SELECT 'Validação de campos' as tipologia_teste, 'lt004_protection' AS TABELA, 'mn_prps' AS CAMPO, '2025-06-30' as ref_date, coalesce(NUM_REG_DIF, 0) AS NUM_REG_DIF FROM (SELECT count(*) AS NUM_REG_DIF FROM (SELECT prtctn_id as prtctn_id_as_is, mn_prps as mn_prps_as_is FROM cd_loan_tapes_bce.lt004_protection WHERE ref_date='2025-06-30' AND nome_perimetro= 'Individual IDComb' AND segmento= 'ESTR' AND ambito= 'PM' AND entidade='00100' AND cod_visao = 1) A  Inner join (SELECT prtctn_id as prtctn_id_to_be, mn_prps as mn_prps_to_be FROM bu_loantape_work.lt004_protection WHERE ref_date='2025-06-30' AND nome_perimetro= 'Individual IDComb' AND segmento= 'ESTR' AND ambito= 'PM' AND entidade='00100' AND cod_visao = 1) B ON prtctn_id_as_is = prtctn_id_to_be WHERE coalesce(cast(mn_prps_as_is as string), '') &lt;&gt; coalesce(cast(mn_prps_to_be as string), '') ) A UNION ALL</v>
      </c>
      <c r="P334" s="17">
        <f t="shared" si="59"/>
        <v>15</v>
      </c>
    </row>
    <row r="335" spans="2:16" s="15" customFormat="1" ht="11.5" x14ac:dyDescent="0.25">
      <c r="B335" s="17" t="s">
        <v>28</v>
      </c>
      <c r="C335" s="17" t="str">
        <f>_xlfn.CONCAT(Instruções!$D$5,".",VLOOKUP(B335,Instruções!$F$5:$H$10,2,0))</f>
        <v>cd_loan_tapes_bce.lt004_protection</v>
      </c>
      <c r="D335" s="17" t="str">
        <f>_xlfn.CONCAT(Instruções!$D$6,".",VLOOKUP(B335,Instruções!$F$5:$H$10,3,0))</f>
        <v>bu_loantape_work.lt004_protection</v>
      </c>
      <c r="E335" s="17" t="s">
        <v>332</v>
      </c>
      <c r="F335" s="17" t="str">
        <f t="shared" si="61"/>
        <v>orgnl_prtctn_vl_as_is</v>
      </c>
      <c r="G335" s="17" t="str">
        <f t="shared" si="62"/>
        <v>orgnl_prtctn_vl_to_be</v>
      </c>
      <c r="H335" s="17" t="str">
        <f>IF(VLOOKUP(B335,Instruções!$F$6:$J$10,5,0)="",
"(SELECT "&amp;VLOOKUP(B335,Instruções!$F$6:$J$10,4,0)&amp;" as "&amp;VLOOKUP(B335,Instruções!$F$6:$J$10,4,0)&amp;"_as_is, "&amp;E335&amp;" as "&amp;F335&amp;" FROM "&amp;C335&amp;" WHERE "&amp;Instruções!$D$11&amp;") A ",
"(SELECT "&amp;VLOOKUP(B335,Instruções!$F$6:$J$10,4,0)&amp;" as "&amp;VLOOKUP(B335,Instruções!$F$6:$J$10,4,0)&amp;"_as_is, "&amp;VLOOKUP(B335,Instruções!$F$6:$J$10,5,0)&amp;" as "&amp;VLOOKUP(B335,Instruções!$F$6:$J$10,5,0)&amp;"_as_is,"&amp;E335&amp;" as "&amp;F335&amp;" FROM "&amp;C335&amp;" WHERE "&amp;Instruções!$D$11&amp;") A ")</f>
        <v xml:space="preserve">(SELECT prtctn_id as prtctn_id_as_is, orgnl_prtctn_vl as orgnl_prtctn_vl_as_is FROM cd_loan_tapes_bce.lt004_protection WHERE ref_date='2025-06-30' AND nome_perimetro= 'Individual IDComb' AND segmento= 'ESTR' AND ambito= 'PM' AND entidade='00100' AND cod_visao = 1) A </v>
      </c>
      <c r="I335" s="17" t="str">
        <f>IF(VLOOKUP(B335,Instruções!$F$6:$J$10,5,0)="",
"(SELECT "&amp;VLOOKUP(B335,Instruções!$F$6:$J$10,4,0)&amp;" as "&amp;VLOOKUP(B335,Instruções!$F$6:$J$10,4,0)&amp;"_to_be, "&amp;E335&amp;" as "&amp;G335&amp;" FROM "&amp;D335&amp;" WHERE "&amp;Instruções!$D$11&amp;") B ",
"(SELECT "&amp;VLOOKUP(B335,Instruções!$F$6:$J$10,4,0)&amp;" as "&amp;VLOOKUP(B335,Instruções!$F$6:$J$10,4,0)&amp;"_to_be, "&amp;VLOOKUP(B335,Instruções!$F$6:$J$10,5,0)&amp;" as "&amp;VLOOKUP(B335,Instruções!$F$6:$J$10,5,0)&amp;"_to_be,"&amp;E335&amp;" as "&amp;G335&amp;" FROM "&amp;D335&amp;" WHERE "&amp;Instruções!$D$11&amp;") B ")</f>
        <v xml:space="preserve">(SELECT prtctn_id as prtctn_id_to_be, orgnl_prtctn_vl as orgnl_prtctn_vl_to_be FROM bu_loantape_work.lt004_protection WHERE ref_date='2025-06-30' AND nome_perimetro= 'Individual IDComb' AND segmento= 'ESTR' AND ambito= 'PM' AND entidade='00100' AND cod_visao = 1) B </v>
      </c>
      <c r="J335" s="17" t="str">
        <f>IF(VLOOKUP(B335,Instruções!$F$6:$J$10,5,0)="",
"ON "&amp;VLOOKUP(B335,Instruções!$F$6:$J$10,4,0)&amp;"_as_is = "&amp;VLOOKUP(B335,Instruções!$F$6:$J$10,4,0)&amp;"_to_be ",
"ON "&amp;VLOOKUP(B335,Instruções!$F$6:$J$10,4,0)&amp;"_as_is = "&amp;VLOOKUP(B335,Instruções!$F$6:$J$10,4,0)&amp;"_to_be AND "&amp;VLOOKUP(B335,Instruções!$F$6:$J$10,5,0)&amp;"_as_is = "&amp;VLOOKUP(B335,Instruções!$F$6:$J$10,5,0)&amp;"_to_be ")</f>
        <v xml:space="preserve">ON prtctn_id_as_is = prtctn_id_to_be </v>
      </c>
      <c r="K335" s="17" t="str">
        <f t="shared" si="63"/>
        <v xml:space="preserve">WHERE coalesce(cast(orgnl_prtctn_vl_as_is as string), '') &lt;&gt; coalesce(cast(orgnl_prtctn_vl_to_be as string), '') </v>
      </c>
      <c r="L335" s="17" t="str">
        <f t="shared" ref="L335:L354" si="64">"SELECT count(*) AS NUM_REG_DIF FROM "&amp;H335&amp;" Inner join "&amp;I335&amp;J335&amp;K335</f>
        <v xml:space="preserve">SELECT count(*) AS NUM_REG_DIF FROM (SELECT prtctn_id as prtctn_id_as_is, orgnl_prtctn_vl as orgnl_prtctn_vl_as_is FROM cd_loan_tapes_bce.lt004_protection WHERE ref_date='2025-06-30' AND nome_perimetro= 'Individual IDComb' AND segmento= 'ESTR' AND ambito= 'PM' AND entidade='00100' AND cod_visao = 1) A  Inner join (SELECT prtctn_id as prtctn_id_to_be, orgnl_prtctn_vl as orgnl_prtctn_vl_to_be FROM bu_loantape_work.lt004_protection WHERE ref_date='2025-06-30' AND nome_perimetro= 'Individual IDComb' AND segmento= 'ESTR' AND ambito= 'PM' AND entidade='00100' AND cod_visao = 1) B ON prtctn_id_as_is = prtctn_id_to_be WHERE coalesce(cast(orgnl_prtctn_vl_as_is as string), '') &lt;&gt; coalesce(cast(orgnl_prtctn_vl_to_be as string), '') </v>
      </c>
      <c r="M335" s="17" t="s">
        <v>48</v>
      </c>
      <c r="N335" s="17" t="str">
        <f>"SELECT 'Validação de campos' as tipologia_teste, '"&amp;VLOOKUP(B335,Instruções!$F$6:$J$10,3,0)&amp;"' AS TABELA, '"&amp;E335&amp;"' AS CAMPO, '"&amp;Instruções!$D$7&amp;"' as ref_date, coalesce(NUM_REG_DIF, 0) AS NUM_REG_DIF FROM ("&amp;L335&amp;") A "</f>
        <v xml:space="preserve">SELECT 'Validação de campos' as tipologia_teste, 'lt004_protection' AS TABELA, 'orgnl_prtctn_vl' AS CAMPO, '2025-06-30' as ref_date, coalesce(NUM_REG_DIF, 0) AS NUM_REG_DIF FROM (SELECT count(*) AS NUM_REG_DIF FROM (SELECT prtctn_id as prtctn_id_as_is, orgnl_prtctn_vl as orgnl_prtctn_vl_as_is FROM cd_loan_tapes_bce.lt004_protection WHERE ref_date='2025-06-30' AND nome_perimetro= 'Individual IDComb' AND segmento= 'ESTR' AND ambito= 'PM' AND entidade='00100' AND cod_visao = 1) A  Inner join (SELECT prtctn_id as prtctn_id_to_be, orgnl_prtctn_vl as orgnl_prtctn_vl_to_be FROM bu_loantape_work.lt004_protection WHERE ref_date='2025-06-30' AND nome_perimetro= 'Individual IDComb' AND segmento= 'ESTR' AND ambito= 'PM' AND entidade='00100' AND cod_visao = 1) B ON prtctn_id_as_is = prtctn_id_to_be WHERE coalesce(cast(orgnl_prtctn_vl_as_is as string), '') &lt;&gt; coalesce(cast(orgnl_prtctn_vl_to_be as string), '') ) A </v>
      </c>
      <c r="O335" s="19" t="str">
        <f t="shared" si="60"/>
        <v>SELECT 'Validação de campos' as tipologia_teste, 'lt004_protection' AS TABELA, 'orgnl_prtctn_vl' AS CAMPO, '2025-06-30' as ref_date, coalesce(NUM_REG_DIF, 0) AS NUM_REG_DIF FROM (SELECT count(*) AS NUM_REG_DIF FROM (SELECT prtctn_id as prtctn_id_as_is, orgnl_prtctn_vl as orgnl_prtctn_vl_as_is FROM cd_loan_tapes_bce.lt004_protection WHERE ref_date='2025-06-30' AND nome_perimetro= 'Individual IDComb' AND segmento= 'ESTR' AND ambito= 'PM' AND entidade='00100' AND cod_visao = 1) A  Inner join (SELECT prtctn_id as prtctn_id_to_be, orgnl_prtctn_vl as orgnl_prtctn_vl_to_be FROM bu_loantape_work.lt004_protection WHERE ref_date='2025-06-30' AND nome_perimetro= 'Individual IDComb' AND segmento= 'ESTR' AND ambito= 'PM' AND entidade='00100' AND cod_visao = 1) B ON prtctn_id_as_is = prtctn_id_to_be WHERE coalesce(cast(orgnl_prtctn_vl_as_is as string), '') &lt;&gt; coalesce(cast(orgnl_prtctn_vl_to_be as string), '') ) A UNION ALL</v>
      </c>
      <c r="P335" s="17">
        <f t="shared" si="59"/>
        <v>16</v>
      </c>
    </row>
    <row r="336" spans="2:16" s="15" customFormat="1" ht="11.5" x14ac:dyDescent="0.25">
      <c r="B336" s="17" t="s">
        <v>28</v>
      </c>
      <c r="C336" s="17" t="str">
        <f>_xlfn.CONCAT(Instruções!$D$5,".",VLOOKUP(B336,Instruções!$F$5:$H$10,2,0))</f>
        <v>cd_loan_tapes_bce.lt004_protection</v>
      </c>
      <c r="D336" s="17" t="str">
        <f>_xlfn.CONCAT(Instruções!$D$6,".",VLOOKUP(B336,Instruções!$F$5:$H$10,3,0))</f>
        <v>bu_loantape_work.lt004_protection</v>
      </c>
      <c r="E336" s="17" t="s">
        <v>333</v>
      </c>
      <c r="F336" s="17" t="str">
        <f t="shared" si="61"/>
        <v>prm_lctn_as_is</v>
      </c>
      <c r="G336" s="17" t="str">
        <f t="shared" si="62"/>
        <v>prm_lctn_to_be</v>
      </c>
      <c r="H336" s="17" t="str">
        <f>IF(VLOOKUP(B336,Instruções!$F$6:$J$10,5,0)="",
"(SELECT "&amp;VLOOKUP(B336,Instruções!$F$6:$J$10,4,0)&amp;" as "&amp;VLOOKUP(B336,Instruções!$F$6:$J$10,4,0)&amp;"_as_is, "&amp;E336&amp;" as "&amp;F336&amp;" FROM "&amp;C336&amp;" WHERE "&amp;Instruções!$D$11&amp;") A ",
"(SELECT "&amp;VLOOKUP(B336,Instruções!$F$6:$J$10,4,0)&amp;" as "&amp;VLOOKUP(B336,Instruções!$F$6:$J$10,4,0)&amp;"_as_is, "&amp;VLOOKUP(B336,Instruções!$F$6:$J$10,5,0)&amp;" as "&amp;VLOOKUP(B336,Instruções!$F$6:$J$10,5,0)&amp;"_as_is,"&amp;E336&amp;" as "&amp;F336&amp;" FROM "&amp;C336&amp;" WHERE "&amp;Instruções!$D$11&amp;") A ")</f>
        <v xml:space="preserve">(SELECT prtctn_id as prtctn_id_as_is, prm_lctn as prm_lctn_as_is FROM cd_loan_tapes_bce.lt004_protection WHERE ref_date='2025-06-30' AND nome_perimetro= 'Individual IDComb' AND segmento= 'ESTR' AND ambito= 'PM' AND entidade='00100' AND cod_visao = 1) A </v>
      </c>
      <c r="I336" s="17" t="str">
        <f>IF(VLOOKUP(B336,Instruções!$F$6:$J$10,5,0)="",
"(SELECT "&amp;VLOOKUP(B336,Instruções!$F$6:$J$10,4,0)&amp;" as "&amp;VLOOKUP(B336,Instruções!$F$6:$J$10,4,0)&amp;"_to_be, "&amp;E336&amp;" as "&amp;G336&amp;" FROM "&amp;D336&amp;" WHERE "&amp;Instruções!$D$11&amp;") B ",
"(SELECT "&amp;VLOOKUP(B336,Instruções!$F$6:$J$10,4,0)&amp;" as "&amp;VLOOKUP(B336,Instruções!$F$6:$J$10,4,0)&amp;"_to_be, "&amp;VLOOKUP(B336,Instruções!$F$6:$J$10,5,0)&amp;" as "&amp;VLOOKUP(B336,Instruções!$F$6:$J$10,5,0)&amp;"_to_be,"&amp;E336&amp;" as "&amp;G336&amp;" FROM "&amp;D336&amp;" WHERE "&amp;Instruções!$D$11&amp;") B ")</f>
        <v xml:space="preserve">(SELECT prtctn_id as prtctn_id_to_be, prm_lctn as prm_lctn_to_be FROM bu_loantape_work.lt004_protection WHERE ref_date='2025-06-30' AND nome_perimetro= 'Individual IDComb' AND segmento= 'ESTR' AND ambito= 'PM' AND entidade='00100' AND cod_visao = 1) B </v>
      </c>
      <c r="J336" s="17" t="str">
        <f>IF(VLOOKUP(B336,Instruções!$F$6:$J$10,5,0)="",
"ON "&amp;VLOOKUP(B336,Instruções!$F$6:$J$10,4,0)&amp;"_as_is = "&amp;VLOOKUP(B336,Instruções!$F$6:$J$10,4,0)&amp;"_to_be ",
"ON "&amp;VLOOKUP(B336,Instruções!$F$6:$J$10,4,0)&amp;"_as_is = "&amp;VLOOKUP(B336,Instruções!$F$6:$J$10,4,0)&amp;"_to_be AND "&amp;VLOOKUP(B336,Instruções!$F$6:$J$10,5,0)&amp;"_as_is = "&amp;VLOOKUP(B336,Instruções!$F$6:$J$10,5,0)&amp;"_to_be ")</f>
        <v xml:space="preserve">ON prtctn_id_as_is = prtctn_id_to_be </v>
      </c>
      <c r="K336" s="17" t="str">
        <f t="shared" si="63"/>
        <v xml:space="preserve">WHERE coalesce(cast(prm_lctn_as_is as string), '') &lt;&gt; coalesce(cast(prm_lctn_to_be as string), '') </v>
      </c>
      <c r="L336" s="17" t="str">
        <f t="shared" si="64"/>
        <v xml:space="preserve">SELECT count(*) AS NUM_REG_DIF FROM (SELECT prtctn_id as prtctn_id_as_is, prm_lctn as prm_lctn_as_is FROM cd_loan_tapes_bce.lt004_protection WHERE ref_date='2025-06-30' AND nome_perimetro= 'Individual IDComb' AND segmento= 'ESTR' AND ambito= 'PM' AND entidade='00100' AND cod_visao = 1) A  Inner join (SELECT prtctn_id as prtctn_id_to_be, prm_lctn as prm_lctn_to_be FROM bu_loantape_work.lt004_protection WHERE ref_date='2025-06-30' AND nome_perimetro= 'Individual IDComb' AND segmento= 'ESTR' AND ambito= 'PM' AND entidade='00100' AND cod_visao = 1) B ON prtctn_id_as_is = prtctn_id_to_be WHERE coalesce(cast(prm_lctn_as_is as string), '') &lt;&gt; coalesce(cast(prm_lctn_to_be as string), '') </v>
      </c>
      <c r="M336" s="17" t="s">
        <v>48</v>
      </c>
      <c r="N336" s="17" t="str">
        <f>"SELECT 'Validação de campos' as tipologia_teste, '"&amp;VLOOKUP(B336,Instruções!$F$6:$J$10,3,0)&amp;"' AS TABELA, '"&amp;E336&amp;"' AS CAMPO, '"&amp;Instruções!$D$7&amp;"' as ref_date, coalesce(NUM_REG_DIF, 0) AS NUM_REG_DIF FROM ("&amp;L336&amp;") A "</f>
        <v xml:space="preserve">SELECT 'Validação de campos' as tipologia_teste, 'lt004_protection' AS TABELA, 'prm_lctn' AS CAMPO, '2025-06-30' as ref_date, coalesce(NUM_REG_DIF, 0) AS NUM_REG_DIF FROM (SELECT count(*) AS NUM_REG_DIF FROM (SELECT prtctn_id as prtctn_id_as_is, prm_lctn as prm_lctn_as_is FROM cd_loan_tapes_bce.lt004_protection WHERE ref_date='2025-06-30' AND nome_perimetro= 'Individual IDComb' AND segmento= 'ESTR' AND ambito= 'PM' AND entidade='00100' AND cod_visao = 1) A  Inner join (SELECT prtctn_id as prtctn_id_to_be, prm_lctn as prm_lctn_to_be FROM bu_loantape_work.lt004_protection WHERE ref_date='2025-06-30' AND nome_perimetro= 'Individual IDComb' AND segmento= 'ESTR' AND ambito= 'PM' AND entidade='00100' AND cod_visao = 1) B ON prtctn_id_as_is = prtctn_id_to_be WHERE coalesce(cast(prm_lctn_as_is as string), '') &lt;&gt; coalesce(cast(prm_lctn_to_be as string), '') ) A </v>
      </c>
      <c r="O336" s="19" t="str">
        <f t="shared" si="60"/>
        <v>SELECT 'Validação de campos' as tipologia_teste, 'lt004_protection' AS TABELA, 'prm_lctn' AS CAMPO, '2025-06-30' as ref_date, coalesce(NUM_REG_DIF, 0) AS NUM_REG_DIF FROM (SELECT count(*) AS NUM_REG_DIF FROM (SELECT prtctn_id as prtctn_id_as_is, prm_lctn as prm_lctn_as_is FROM cd_loan_tapes_bce.lt004_protection WHERE ref_date='2025-06-30' AND nome_perimetro= 'Individual IDComb' AND segmento= 'ESTR' AND ambito= 'PM' AND entidade='00100' AND cod_visao = 1) A  Inner join (SELECT prtctn_id as prtctn_id_to_be, prm_lctn as prm_lctn_to_be FROM bu_loantape_work.lt004_protection WHERE ref_date='2025-06-30' AND nome_perimetro= 'Individual IDComb' AND segmento= 'ESTR' AND ambito= 'PM' AND entidade='00100' AND cod_visao = 1) B ON prtctn_id_as_is = prtctn_id_to_be WHERE coalesce(cast(prm_lctn_as_is as string), '') &lt;&gt; coalesce(cast(prm_lctn_to_be as string), '') ) A UNION ALL</v>
      </c>
      <c r="P336" s="17">
        <f t="shared" si="59"/>
        <v>17</v>
      </c>
    </row>
    <row r="337" spans="2:16" s="15" customFormat="1" ht="11.5" x14ac:dyDescent="0.25">
      <c r="B337" s="17" t="s">
        <v>28</v>
      </c>
      <c r="C337" s="17" t="str">
        <f>_xlfn.CONCAT(Instruções!$D$5,".",VLOOKUP(B337,Instruções!$F$5:$H$10,2,0))</f>
        <v>cd_loan_tapes_bce.lt004_protection</v>
      </c>
      <c r="D337" s="17" t="str">
        <f>_xlfn.CONCAT(Instruções!$D$6,".",VLOOKUP(B337,Instruções!$F$5:$H$10,3,0))</f>
        <v>bu_loantape_work.lt004_protection</v>
      </c>
      <c r="E337" s="17" t="s">
        <v>334</v>
      </c>
      <c r="F337" s="17" t="str">
        <f t="shared" si="61"/>
        <v>prtctn_clld_as_is</v>
      </c>
      <c r="G337" s="17" t="str">
        <f t="shared" si="62"/>
        <v>prtctn_clld_to_be</v>
      </c>
      <c r="H337" s="17" t="str">
        <f>IF(VLOOKUP(B337,Instruções!$F$6:$J$10,5,0)="",
"(SELECT "&amp;VLOOKUP(B337,Instruções!$F$6:$J$10,4,0)&amp;" as "&amp;VLOOKUP(B337,Instruções!$F$6:$J$10,4,0)&amp;"_as_is, "&amp;E337&amp;" as "&amp;F337&amp;" FROM "&amp;C337&amp;" WHERE "&amp;Instruções!$D$11&amp;") A ",
"(SELECT "&amp;VLOOKUP(B337,Instruções!$F$6:$J$10,4,0)&amp;" as "&amp;VLOOKUP(B337,Instruções!$F$6:$J$10,4,0)&amp;"_as_is, "&amp;VLOOKUP(B337,Instruções!$F$6:$J$10,5,0)&amp;" as "&amp;VLOOKUP(B337,Instruções!$F$6:$J$10,5,0)&amp;"_as_is,"&amp;E337&amp;" as "&amp;F337&amp;" FROM "&amp;C337&amp;" WHERE "&amp;Instruções!$D$11&amp;") A ")</f>
        <v xml:space="preserve">(SELECT prtctn_id as prtctn_id_as_is, prtctn_clld as prtctn_clld_as_is FROM cd_loan_tapes_bce.lt004_protection WHERE ref_date='2025-06-30' AND nome_perimetro= 'Individual IDComb' AND segmento= 'ESTR' AND ambito= 'PM' AND entidade='00100' AND cod_visao = 1) A </v>
      </c>
      <c r="I337" s="17" t="str">
        <f>IF(VLOOKUP(B337,Instruções!$F$6:$J$10,5,0)="",
"(SELECT "&amp;VLOOKUP(B337,Instruções!$F$6:$J$10,4,0)&amp;" as "&amp;VLOOKUP(B337,Instruções!$F$6:$J$10,4,0)&amp;"_to_be, "&amp;E337&amp;" as "&amp;G337&amp;" FROM "&amp;D337&amp;" WHERE "&amp;Instruções!$D$11&amp;") B ",
"(SELECT "&amp;VLOOKUP(B337,Instruções!$F$6:$J$10,4,0)&amp;" as "&amp;VLOOKUP(B337,Instruções!$F$6:$J$10,4,0)&amp;"_to_be, "&amp;VLOOKUP(B337,Instruções!$F$6:$J$10,5,0)&amp;" as "&amp;VLOOKUP(B337,Instruções!$F$6:$J$10,5,0)&amp;"_to_be,"&amp;E337&amp;" as "&amp;G337&amp;" FROM "&amp;D337&amp;" WHERE "&amp;Instruções!$D$11&amp;") B ")</f>
        <v xml:space="preserve">(SELECT prtctn_id as prtctn_id_to_be, prtctn_clld as prtctn_clld_to_be FROM bu_loantape_work.lt004_protection WHERE ref_date='2025-06-30' AND nome_perimetro= 'Individual IDComb' AND segmento= 'ESTR' AND ambito= 'PM' AND entidade='00100' AND cod_visao = 1) B </v>
      </c>
      <c r="J337" s="17" t="str">
        <f>IF(VLOOKUP(B337,Instruções!$F$6:$J$10,5,0)="",
"ON "&amp;VLOOKUP(B337,Instruções!$F$6:$J$10,4,0)&amp;"_as_is = "&amp;VLOOKUP(B337,Instruções!$F$6:$J$10,4,0)&amp;"_to_be ",
"ON "&amp;VLOOKUP(B337,Instruções!$F$6:$J$10,4,0)&amp;"_as_is = "&amp;VLOOKUP(B337,Instruções!$F$6:$J$10,4,0)&amp;"_to_be AND "&amp;VLOOKUP(B337,Instruções!$F$6:$J$10,5,0)&amp;"_as_is = "&amp;VLOOKUP(B337,Instruções!$F$6:$J$10,5,0)&amp;"_to_be ")</f>
        <v xml:space="preserve">ON prtctn_id_as_is = prtctn_id_to_be </v>
      </c>
      <c r="K337" s="17" t="str">
        <f t="shared" si="63"/>
        <v xml:space="preserve">WHERE coalesce(cast(prtctn_clld_as_is as string), '') &lt;&gt; coalesce(cast(prtctn_clld_to_be as string), '') </v>
      </c>
      <c r="L337" s="17" t="str">
        <f t="shared" si="64"/>
        <v xml:space="preserve">SELECT count(*) AS NUM_REG_DIF FROM (SELECT prtctn_id as prtctn_id_as_is, prtctn_clld as prtctn_clld_as_is FROM cd_loan_tapes_bce.lt004_protection WHERE ref_date='2025-06-30' AND nome_perimetro= 'Individual IDComb' AND segmento= 'ESTR' AND ambito= 'PM' AND entidade='00100' AND cod_visao = 1) A  Inner join (SELECT prtctn_id as prtctn_id_to_be, prtctn_clld as prtctn_clld_to_be FROM bu_loantape_work.lt004_protection WHERE ref_date='2025-06-30' AND nome_perimetro= 'Individual IDComb' AND segmento= 'ESTR' AND ambito= 'PM' AND entidade='00100' AND cod_visao = 1) B ON prtctn_id_as_is = prtctn_id_to_be WHERE coalesce(cast(prtctn_clld_as_is as string), '') &lt;&gt; coalesce(cast(prtctn_clld_to_be as string), '') </v>
      </c>
      <c r="M337" s="17" t="s">
        <v>48</v>
      </c>
      <c r="N337" s="17" t="str">
        <f>"SELECT 'Validação de campos' as tipologia_teste, '"&amp;VLOOKUP(B337,Instruções!$F$6:$J$10,3,0)&amp;"' AS TABELA, '"&amp;E337&amp;"' AS CAMPO, '"&amp;Instruções!$D$7&amp;"' as ref_date, coalesce(NUM_REG_DIF, 0) AS NUM_REG_DIF FROM ("&amp;L337&amp;") A "</f>
        <v xml:space="preserve">SELECT 'Validação de campos' as tipologia_teste, 'lt004_protection' AS TABELA, 'prtctn_clld' AS CAMPO, '2025-06-30' as ref_date, coalesce(NUM_REG_DIF, 0) AS NUM_REG_DIF FROM (SELECT count(*) AS NUM_REG_DIF FROM (SELECT prtctn_id as prtctn_id_as_is, prtctn_clld as prtctn_clld_as_is FROM cd_loan_tapes_bce.lt004_protection WHERE ref_date='2025-06-30' AND nome_perimetro= 'Individual IDComb' AND segmento= 'ESTR' AND ambito= 'PM' AND entidade='00100' AND cod_visao = 1) A  Inner join (SELECT prtctn_id as prtctn_id_to_be, prtctn_clld as prtctn_clld_to_be FROM bu_loantape_work.lt004_protection WHERE ref_date='2025-06-30' AND nome_perimetro= 'Individual IDComb' AND segmento= 'ESTR' AND ambito= 'PM' AND entidade='00100' AND cod_visao = 1) B ON prtctn_id_as_is = prtctn_id_to_be WHERE coalesce(cast(prtctn_clld_as_is as string), '') &lt;&gt; coalesce(cast(prtctn_clld_to_be as string), '') ) A </v>
      </c>
      <c r="O337" s="19" t="str">
        <f t="shared" si="60"/>
        <v>SELECT 'Validação de campos' as tipologia_teste, 'lt004_protection' AS TABELA, 'prtctn_clld' AS CAMPO, '2025-06-30' as ref_date, coalesce(NUM_REG_DIF, 0) AS NUM_REG_DIF FROM (SELECT count(*) AS NUM_REG_DIF FROM (SELECT prtctn_id as prtctn_id_as_is, prtctn_clld as prtctn_clld_as_is FROM cd_loan_tapes_bce.lt004_protection WHERE ref_date='2025-06-30' AND nome_perimetro= 'Individual IDComb' AND segmento= 'ESTR' AND ambito= 'PM' AND entidade='00100' AND cod_visao = 1) A  Inner join (SELECT prtctn_id as prtctn_id_to_be, prtctn_clld as prtctn_clld_to_be FROM bu_loantape_work.lt004_protection WHERE ref_date='2025-06-30' AND nome_perimetro= 'Individual IDComb' AND segmento= 'ESTR' AND ambito= 'PM' AND entidade='00100' AND cod_visao = 1) B ON prtctn_id_as_is = prtctn_id_to_be WHERE coalesce(cast(prtctn_clld_as_is as string), '') &lt;&gt; coalesce(cast(prtctn_clld_to_be as string), '') ) A UNION ALL</v>
      </c>
      <c r="P337" s="17">
        <f t="shared" si="59"/>
        <v>18</v>
      </c>
    </row>
    <row r="338" spans="2:16" s="15" customFormat="1" ht="11.5" x14ac:dyDescent="0.25">
      <c r="B338" s="17" t="s">
        <v>28</v>
      </c>
      <c r="C338" s="17" t="str">
        <f>_xlfn.CONCAT(Instruções!$D$5,".",VLOOKUP(B338,Instruções!$F$5:$H$10,2,0))</f>
        <v>cd_loan_tapes_bce.lt004_protection</v>
      </c>
      <c r="D338" s="17" t="str">
        <f>_xlfn.CONCAT(Instruções!$D$6,".",VLOOKUP(B338,Instruções!$F$5:$H$10,3,0))</f>
        <v>bu_loantape_work.lt004_protection</v>
      </c>
      <c r="E338" s="17" t="s">
        <v>335</v>
      </c>
      <c r="F338" s="17" t="str">
        <f t="shared" si="61"/>
        <v>prtctn_frcd_sl_vl_as_is</v>
      </c>
      <c r="G338" s="17" t="str">
        <f t="shared" si="62"/>
        <v>prtctn_frcd_sl_vl_to_be</v>
      </c>
      <c r="H338" s="17" t="str">
        <f>IF(VLOOKUP(B338,Instruções!$F$6:$J$10,5,0)="",
"(SELECT "&amp;VLOOKUP(B338,Instruções!$F$6:$J$10,4,0)&amp;" as "&amp;VLOOKUP(B338,Instruções!$F$6:$J$10,4,0)&amp;"_as_is, "&amp;E338&amp;" as "&amp;F338&amp;" FROM "&amp;C338&amp;" WHERE "&amp;Instruções!$D$11&amp;") A ",
"(SELECT "&amp;VLOOKUP(B338,Instruções!$F$6:$J$10,4,0)&amp;" as "&amp;VLOOKUP(B338,Instruções!$F$6:$J$10,4,0)&amp;"_as_is, "&amp;VLOOKUP(B338,Instruções!$F$6:$J$10,5,0)&amp;" as "&amp;VLOOKUP(B338,Instruções!$F$6:$J$10,5,0)&amp;"_as_is,"&amp;E338&amp;" as "&amp;F338&amp;" FROM "&amp;C338&amp;" WHERE "&amp;Instruções!$D$11&amp;") A ")</f>
        <v xml:space="preserve">(SELECT prtctn_id as prtctn_id_as_is, prtctn_frcd_sl_vl as prtctn_frcd_sl_vl_as_is FROM cd_loan_tapes_bce.lt004_protection WHERE ref_date='2025-06-30' AND nome_perimetro= 'Individual IDComb' AND segmento= 'ESTR' AND ambito= 'PM' AND entidade='00100' AND cod_visao = 1) A </v>
      </c>
      <c r="I338" s="17" t="str">
        <f>IF(VLOOKUP(B338,Instruções!$F$6:$J$10,5,0)="",
"(SELECT "&amp;VLOOKUP(B338,Instruções!$F$6:$J$10,4,0)&amp;" as "&amp;VLOOKUP(B338,Instruções!$F$6:$J$10,4,0)&amp;"_to_be, "&amp;E338&amp;" as "&amp;G338&amp;" FROM "&amp;D338&amp;" WHERE "&amp;Instruções!$D$11&amp;") B ",
"(SELECT "&amp;VLOOKUP(B338,Instruções!$F$6:$J$10,4,0)&amp;" as "&amp;VLOOKUP(B338,Instruções!$F$6:$J$10,4,0)&amp;"_to_be, "&amp;VLOOKUP(B338,Instruções!$F$6:$J$10,5,0)&amp;" as "&amp;VLOOKUP(B338,Instruções!$F$6:$J$10,5,0)&amp;"_to_be,"&amp;E338&amp;" as "&amp;G338&amp;" FROM "&amp;D338&amp;" WHERE "&amp;Instruções!$D$11&amp;") B ")</f>
        <v xml:space="preserve">(SELECT prtctn_id as prtctn_id_to_be, prtctn_frcd_sl_vl as prtctn_frcd_sl_vl_to_be FROM bu_loantape_work.lt004_protection WHERE ref_date='2025-06-30' AND nome_perimetro= 'Individual IDComb' AND segmento= 'ESTR' AND ambito= 'PM' AND entidade='00100' AND cod_visao = 1) B </v>
      </c>
      <c r="J338" s="17" t="str">
        <f>IF(VLOOKUP(B338,Instruções!$F$6:$J$10,5,0)="",
"ON "&amp;VLOOKUP(B338,Instruções!$F$6:$J$10,4,0)&amp;"_as_is = "&amp;VLOOKUP(B338,Instruções!$F$6:$J$10,4,0)&amp;"_to_be ",
"ON "&amp;VLOOKUP(B338,Instruções!$F$6:$J$10,4,0)&amp;"_as_is = "&amp;VLOOKUP(B338,Instruções!$F$6:$J$10,4,0)&amp;"_to_be AND "&amp;VLOOKUP(B338,Instruções!$F$6:$J$10,5,0)&amp;"_as_is = "&amp;VLOOKUP(B338,Instruções!$F$6:$J$10,5,0)&amp;"_to_be ")</f>
        <v xml:space="preserve">ON prtctn_id_as_is = prtctn_id_to_be </v>
      </c>
      <c r="K338" s="17" t="str">
        <f t="shared" si="63"/>
        <v xml:space="preserve">WHERE coalesce(cast(prtctn_frcd_sl_vl_as_is as string), '') &lt;&gt; coalesce(cast(prtctn_frcd_sl_vl_to_be as string), '') </v>
      </c>
      <c r="L338" s="17" t="str">
        <f t="shared" si="64"/>
        <v xml:space="preserve">SELECT count(*) AS NUM_REG_DIF FROM (SELECT prtctn_id as prtctn_id_as_is, prtctn_frcd_sl_vl as prtctn_frcd_sl_vl_as_is FROM cd_loan_tapes_bce.lt004_protection WHERE ref_date='2025-06-30' AND nome_perimetro= 'Individual IDComb' AND segmento= 'ESTR' AND ambito= 'PM' AND entidade='00100' AND cod_visao = 1) A  Inner join (SELECT prtctn_id as prtctn_id_to_be, prtctn_frcd_sl_vl as prtctn_frcd_sl_vl_to_be FROM bu_loantape_work.lt004_protection WHERE ref_date='2025-06-30' AND nome_perimetro= 'Individual IDComb' AND segmento= 'ESTR' AND ambito= 'PM' AND entidade='00100' AND cod_visao = 1) B ON prtctn_id_as_is = prtctn_id_to_be WHERE coalesce(cast(prtctn_frcd_sl_vl_as_is as string), '') &lt;&gt; coalesce(cast(prtctn_frcd_sl_vl_to_be as string), '') </v>
      </c>
      <c r="M338" s="17" t="s">
        <v>48</v>
      </c>
      <c r="N338" s="17" t="str">
        <f>"SELECT 'Validação de campos' as tipologia_teste, '"&amp;VLOOKUP(B338,Instruções!$F$6:$J$10,3,0)&amp;"' AS TABELA, '"&amp;E338&amp;"' AS CAMPO, '"&amp;Instruções!$D$7&amp;"' as ref_date, coalesce(NUM_REG_DIF, 0) AS NUM_REG_DIF FROM ("&amp;L338&amp;") A "</f>
        <v xml:space="preserve">SELECT 'Validação de campos' as tipologia_teste, 'lt004_protection' AS TABELA, 'prtctn_frcd_sl_vl' AS CAMPO, '2025-06-30' as ref_date, coalesce(NUM_REG_DIF, 0) AS NUM_REG_DIF FROM (SELECT count(*) AS NUM_REG_DIF FROM (SELECT prtctn_id as prtctn_id_as_is, prtctn_frcd_sl_vl as prtctn_frcd_sl_vl_as_is FROM cd_loan_tapes_bce.lt004_protection WHERE ref_date='2025-06-30' AND nome_perimetro= 'Individual IDComb' AND segmento= 'ESTR' AND ambito= 'PM' AND entidade='00100' AND cod_visao = 1) A  Inner join (SELECT prtctn_id as prtctn_id_to_be, prtctn_frcd_sl_vl as prtctn_frcd_sl_vl_to_be FROM bu_loantape_work.lt004_protection WHERE ref_date='2025-06-30' AND nome_perimetro= 'Individual IDComb' AND segmento= 'ESTR' AND ambito= 'PM' AND entidade='00100' AND cod_visao = 1) B ON prtctn_id_as_is = prtctn_id_to_be WHERE coalesce(cast(prtctn_frcd_sl_vl_as_is as string), '') &lt;&gt; coalesce(cast(prtctn_frcd_sl_vl_to_be as string), '') ) A </v>
      </c>
      <c r="O338" s="19" t="str">
        <f t="shared" si="60"/>
        <v>SELECT 'Validação de campos' as tipologia_teste, 'lt004_protection' AS TABELA, 'prtctn_frcd_sl_vl' AS CAMPO, '2025-06-30' as ref_date, coalesce(NUM_REG_DIF, 0) AS NUM_REG_DIF FROM (SELECT count(*) AS NUM_REG_DIF FROM (SELECT prtctn_id as prtctn_id_as_is, prtctn_frcd_sl_vl as prtctn_frcd_sl_vl_as_is FROM cd_loan_tapes_bce.lt004_protection WHERE ref_date='2025-06-30' AND nome_perimetro= 'Individual IDComb' AND segmento= 'ESTR' AND ambito= 'PM' AND entidade='00100' AND cod_visao = 1) A  Inner join (SELECT prtctn_id as prtctn_id_to_be, prtctn_frcd_sl_vl as prtctn_frcd_sl_vl_to_be FROM bu_loantape_work.lt004_protection WHERE ref_date='2025-06-30' AND nome_perimetro= 'Individual IDComb' AND segmento= 'ESTR' AND ambito= 'PM' AND entidade='00100' AND cod_visao = 1) B ON prtctn_id_as_is = prtctn_id_to_be WHERE coalesce(cast(prtctn_frcd_sl_vl_as_is as string), '') &lt;&gt; coalesce(cast(prtctn_frcd_sl_vl_to_be as string), '') ) A UNION ALL</v>
      </c>
      <c r="P338" s="17">
        <f t="shared" si="59"/>
        <v>19</v>
      </c>
    </row>
    <row r="339" spans="2:16" s="15" customFormat="1" ht="11.5" x14ac:dyDescent="0.25">
      <c r="B339" s="17" t="s">
        <v>28</v>
      </c>
      <c r="C339" s="17" t="str">
        <f>_xlfn.CONCAT(Instruções!$D$5,".",VLOOKUP(B339,Instruções!$F$5:$H$10,2,0))</f>
        <v>cd_loan_tapes_bce.lt004_protection</v>
      </c>
      <c r="D339" s="17" t="str">
        <f>_xlfn.CONCAT(Instruções!$D$6,".",VLOOKUP(B339,Instruções!$F$5:$H$10,3,0))</f>
        <v>bu_loantape_work.lt004_protection</v>
      </c>
      <c r="E339" s="17" t="s">
        <v>336</v>
      </c>
      <c r="F339" s="17" t="str">
        <f t="shared" ref="F339:F354" si="65">E339&amp;"_as_is"</f>
        <v>prtctn_prvdr_id_as_is</v>
      </c>
      <c r="G339" s="17" t="str">
        <f t="shared" ref="G339:G354" si="66">E339&amp;"_to_be"</f>
        <v>prtctn_prvdr_id_to_be</v>
      </c>
      <c r="H339" s="17" t="str">
        <f>IF(VLOOKUP(B339,Instruções!$F$6:$J$10,5,0)="",
"(SELECT "&amp;VLOOKUP(B339,Instruções!$F$6:$J$10,4,0)&amp;" as "&amp;VLOOKUP(B339,Instruções!$F$6:$J$10,4,0)&amp;"_as_is, "&amp;E339&amp;" as "&amp;F339&amp;" FROM "&amp;C339&amp;" WHERE "&amp;Instruções!$D$11&amp;") A ",
"(SELECT "&amp;VLOOKUP(B339,Instruções!$F$6:$J$10,4,0)&amp;" as "&amp;VLOOKUP(B339,Instruções!$F$6:$J$10,4,0)&amp;"_as_is, "&amp;VLOOKUP(B339,Instruções!$F$6:$J$10,5,0)&amp;" as "&amp;VLOOKUP(B339,Instruções!$F$6:$J$10,5,0)&amp;"_as_is,"&amp;E339&amp;" as "&amp;F339&amp;" FROM "&amp;C339&amp;" WHERE "&amp;Instruções!$D$11&amp;") A ")</f>
        <v xml:space="preserve">(SELECT prtctn_id as prtctn_id_as_is, prtctn_prvdr_id as prtctn_prvdr_id_as_is FROM cd_loan_tapes_bce.lt004_protection WHERE ref_date='2025-06-30' AND nome_perimetro= 'Individual IDComb' AND segmento= 'ESTR' AND ambito= 'PM' AND entidade='00100' AND cod_visao = 1) A </v>
      </c>
      <c r="I339" s="17" t="str">
        <f>IF(VLOOKUP(B339,Instruções!$F$6:$J$10,5,0)="",
"(SELECT "&amp;VLOOKUP(B339,Instruções!$F$6:$J$10,4,0)&amp;" as "&amp;VLOOKUP(B339,Instruções!$F$6:$J$10,4,0)&amp;"_to_be, "&amp;E339&amp;" as "&amp;G339&amp;" FROM "&amp;D339&amp;" WHERE "&amp;Instruções!$D$11&amp;") B ",
"(SELECT "&amp;VLOOKUP(B339,Instruções!$F$6:$J$10,4,0)&amp;" as "&amp;VLOOKUP(B339,Instruções!$F$6:$J$10,4,0)&amp;"_to_be, "&amp;VLOOKUP(B339,Instruções!$F$6:$J$10,5,0)&amp;" as "&amp;VLOOKUP(B339,Instruções!$F$6:$J$10,5,0)&amp;"_to_be,"&amp;E339&amp;" as "&amp;G339&amp;" FROM "&amp;D339&amp;" WHERE "&amp;Instruções!$D$11&amp;") B ")</f>
        <v xml:space="preserve">(SELECT prtctn_id as prtctn_id_to_be, prtctn_prvdr_id as prtctn_prvdr_id_to_be FROM bu_loantape_work.lt004_protection WHERE ref_date='2025-06-30' AND nome_perimetro= 'Individual IDComb' AND segmento= 'ESTR' AND ambito= 'PM' AND entidade='00100' AND cod_visao = 1) B </v>
      </c>
      <c r="J339" s="17" t="str">
        <f>IF(VLOOKUP(B339,Instruções!$F$6:$J$10,5,0)="",
"ON "&amp;VLOOKUP(B339,Instruções!$F$6:$J$10,4,0)&amp;"_as_is = "&amp;VLOOKUP(B339,Instruções!$F$6:$J$10,4,0)&amp;"_to_be ",
"ON "&amp;VLOOKUP(B339,Instruções!$F$6:$J$10,4,0)&amp;"_as_is = "&amp;VLOOKUP(B339,Instruções!$F$6:$J$10,4,0)&amp;"_to_be AND "&amp;VLOOKUP(B339,Instruções!$F$6:$J$10,5,0)&amp;"_as_is = "&amp;VLOOKUP(B339,Instruções!$F$6:$J$10,5,0)&amp;"_to_be ")</f>
        <v xml:space="preserve">ON prtctn_id_as_is = prtctn_id_to_be </v>
      </c>
      <c r="K339" s="17" t="str">
        <f t="shared" ref="K339:K354" si="67">"WHERE coalesce(cast("&amp;F339&amp;" as string), '') &lt;&gt; coalesce(cast("&amp;G339&amp;" as string), '') "</f>
        <v xml:space="preserve">WHERE coalesce(cast(prtctn_prvdr_id_as_is as string), '') &lt;&gt; coalesce(cast(prtctn_prvdr_id_to_be as string), '') </v>
      </c>
      <c r="L339" s="17" t="str">
        <f t="shared" si="64"/>
        <v xml:space="preserve">SELECT count(*) AS NUM_REG_DIF FROM (SELECT prtctn_id as prtctn_id_as_is, prtctn_prvdr_id as prtctn_prvdr_id_as_is FROM cd_loan_tapes_bce.lt004_protection WHERE ref_date='2025-06-30' AND nome_perimetro= 'Individual IDComb' AND segmento= 'ESTR' AND ambito= 'PM' AND entidade='00100' AND cod_visao = 1) A  Inner join (SELECT prtctn_id as prtctn_id_to_be, prtctn_prvdr_id as prtctn_prvdr_id_to_be FROM bu_loantape_work.lt004_protection WHERE ref_date='2025-06-30' AND nome_perimetro= 'Individual IDComb' AND segmento= 'ESTR' AND ambito= 'PM' AND entidade='00100' AND cod_visao = 1) B ON prtctn_id_as_is = prtctn_id_to_be WHERE coalesce(cast(prtctn_prvdr_id_as_is as string), '') &lt;&gt; coalesce(cast(prtctn_prvdr_id_to_be as string), '') </v>
      </c>
      <c r="M339" s="17" t="s">
        <v>48</v>
      </c>
      <c r="N339" s="17" t="str">
        <f>"SELECT 'Validação de campos' as tipologia_teste, '"&amp;VLOOKUP(B339,Instruções!$F$6:$J$10,3,0)&amp;"' AS TABELA, '"&amp;E339&amp;"' AS CAMPO, '"&amp;Instruções!$D$7&amp;"' as ref_date, coalesce(NUM_REG_DIF, 0) AS NUM_REG_DIF FROM ("&amp;L339&amp;") A "</f>
        <v xml:space="preserve">SELECT 'Validação de campos' as tipologia_teste, 'lt004_protection' AS TABELA, 'prtctn_prvdr_id' AS CAMPO, '2025-06-30' as ref_date, coalesce(NUM_REG_DIF, 0) AS NUM_REG_DIF FROM (SELECT count(*) AS NUM_REG_DIF FROM (SELECT prtctn_id as prtctn_id_as_is, prtctn_prvdr_id as prtctn_prvdr_id_as_is FROM cd_loan_tapes_bce.lt004_protection WHERE ref_date='2025-06-30' AND nome_perimetro= 'Individual IDComb' AND segmento= 'ESTR' AND ambito= 'PM' AND entidade='00100' AND cod_visao = 1) A  Inner join (SELECT prtctn_id as prtctn_id_to_be, prtctn_prvdr_id as prtctn_prvdr_id_to_be FROM bu_loantape_work.lt004_protection WHERE ref_date='2025-06-30' AND nome_perimetro= 'Individual IDComb' AND segmento= 'ESTR' AND ambito= 'PM' AND entidade='00100' AND cod_visao = 1) B ON prtctn_id_as_is = prtctn_id_to_be WHERE coalesce(cast(prtctn_prvdr_id_as_is as string), '') &lt;&gt; coalesce(cast(prtctn_prvdr_id_to_be as string), '') ) A </v>
      </c>
      <c r="O339" s="19" t="str">
        <f t="shared" si="60"/>
        <v>SELECT 'Validação de campos' as tipologia_teste, 'lt004_protection' AS TABELA, 'prtctn_prvdr_id' AS CAMPO, '2025-06-30' as ref_date, coalesce(NUM_REG_DIF, 0) AS NUM_REG_DIF FROM (SELECT count(*) AS NUM_REG_DIF FROM (SELECT prtctn_id as prtctn_id_as_is, prtctn_prvdr_id as prtctn_prvdr_id_as_is FROM cd_loan_tapes_bce.lt004_protection WHERE ref_date='2025-06-30' AND nome_perimetro= 'Individual IDComb' AND segmento= 'ESTR' AND ambito= 'PM' AND entidade='00100' AND cod_visao = 1) A  Inner join (SELECT prtctn_id as prtctn_id_to_be, prtctn_prvdr_id as prtctn_prvdr_id_to_be FROM bu_loantape_work.lt004_protection WHERE ref_date='2025-06-30' AND nome_perimetro= 'Individual IDComb' AND segmento= 'ESTR' AND ambito= 'PM' AND entidade='00100' AND cod_visao = 1) B ON prtctn_id_as_is = prtctn_id_to_be WHERE coalesce(cast(prtctn_prvdr_id_as_is as string), '') &lt;&gt; coalesce(cast(prtctn_prvdr_id_to_be as string), '') ) A UNION ALL</v>
      </c>
      <c r="P339" s="17">
        <f t="shared" si="59"/>
        <v>20</v>
      </c>
    </row>
    <row r="340" spans="2:16" s="15" customFormat="1" ht="11.5" x14ac:dyDescent="0.25">
      <c r="B340" s="17" t="s">
        <v>28</v>
      </c>
      <c r="C340" s="17" t="str">
        <f>_xlfn.CONCAT(Instruções!$D$5,".",VLOOKUP(B340,Instruções!$F$5:$H$10,2,0))</f>
        <v>cd_loan_tapes_bce.lt004_protection</v>
      </c>
      <c r="D340" s="17" t="str">
        <f>_xlfn.CONCAT(Instruções!$D$6,".",VLOOKUP(B340,Instruções!$F$5:$H$10,3,0))</f>
        <v>bu_loantape_work.lt004_protection</v>
      </c>
      <c r="E340" s="17" t="s">
        <v>337</v>
      </c>
      <c r="F340" s="17" t="str">
        <f t="shared" si="65"/>
        <v>prtctn_vl_as_is</v>
      </c>
      <c r="G340" s="17" t="str">
        <f t="shared" si="66"/>
        <v>prtctn_vl_to_be</v>
      </c>
      <c r="H340" s="17" t="str">
        <f>IF(VLOOKUP(B340,Instruções!$F$6:$J$10,5,0)="",
"(SELECT "&amp;VLOOKUP(B340,Instruções!$F$6:$J$10,4,0)&amp;" as "&amp;VLOOKUP(B340,Instruções!$F$6:$J$10,4,0)&amp;"_as_is, "&amp;E340&amp;" as "&amp;F340&amp;" FROM "&amp;C340&amp;" WHERE "&amp;Instruções!$D$11&amp;") A ",
"(SELECT "&amp;VLOOKUP(B340,Instruções!$F$6:$J$10,4,0)&amp;" as "&amp;VLOOKUP(B340,Instruções!$F$6:$J$10,4,0)&amp;"_as_is, "&amp;VLOOKUP(B340,Instruções!$F$6:$J$10,5,0)&amp;" as "&amp;VLOOKUP(B340,Instruções!$F$6:$J$10,5,0)&amp;"_as_is,"&amp;E340&amp;" as "&amp;F340&amp;" FROM "&amp;C340&amp;" WHERE "&amp;Instruções!$D$11&amp;") A ")</f>
        <v xml:space="preserve">(SELECT prtctn_id as prtctn_id_as_is, prtctn_vl as prtctn_vl_as_is FROM cd_loan_tapes_bce.lt004_protection WHERE ref_date='2025-06-30' AND nome_perimetro= 'Individual IDComb' AND segmento= 'ESTR' AND ambito= 'PM' AND entidade='00100' AND cod_visao = 1) A </v>
      </c>
      <c r="I340" s="17" t="str">
        <f>IF(VLOOKUP(B340,Instruções!$F$6:$J$10,5,0)="",
"(SELECT "&amp;VLOOKUP(B340,Instruções!$F$6:$J$10,4,0)&amp;" as "&amp;VLOOKUP(B340,Instruções!$F$6:$J$10,4,0)&amp;"_to_be, "&amp;E340&amp;" as "&amp;G340&amp;" FROM "&amp;D340&amp;" WHERE "&amp;Instruções!$D$11&amp;") B ",
"(SELECT "&amp;VLOOKUP(B340,Instruções!$F$6:$J$10,4,0)&amp;" as "&amp;VLOOKUP(B340,Instruções!$F$6:$J$10,4,0)&amp;"_to_be, "&amp;VLOOKUP(B340,Instruções!$F$6:$J$10,5,0)&amp;" as "&amp;VLOOKUP(B340,Instruções!$F$6:$J$10,5,0)&amp;"_to_be,"&amp;E340&amp;" as "&amp;G340&amp;" FROM "&amp;D340&amp;" WHERE "&amp;Instruções!$D$11&amp;") B ")</f>
        <v xml:space="preserve">(SELECT prtctn_id as prtctn_id_to_be, prtctn_vl as prtctn_vl_to_be FROM bu_loantape_work.lt004_protection WHERE ref_date='2025-06-30' AND nome_perimetro= 'Individual IDComb' AND segmento= 'ESTR' AND ambito= 'PM' AND entidade='00100' AND cod_visao = 1) B </v>
      </c>
      <c r="J340" s="17" t="str">
        <f>IF(VLOOKUP(B340,Instruções!$F$6:$J$10,5,0)="",
"ON "&amp;VLOOKUP(B340,Instruções!$F$6:$J$10,4,0)&amp;"_as_is = "&amp;VLOOKUP(B340,Instruções!$F$6:$J$10,4,0)&amp;"_to_be ",
"ON "&amp;VLOOKUP(B340,Instruções!$F$6:$J$10,4,0)&amp;"_as_is = "&amp;VLOOKUP(B340,Instruções!$F$6:$J$10,4,0)&amp;"_to_be AND "&amp;VLOOKUP(B340,Instruções!$F$6:$J$10,5,0)&amp;"_as_is = "&amp;VLOOKUP(B340,Instruções!$F$6:$J$10,5,0)&amp;"_to_be ")</f>
        <v xml:space="preserve">ON prtctn_id_as_is = prtctn_id_to_be </v>
      </c>
      <c r="K340" s="17" t="str">
        <f t="shared" si="67"/>
        <v xml:space="preserve">WHERE coalesce(cast(prtctn_vl_as_is as string), '') &lt;&gt; coalesce(cast(prtctn_vl_to_be as string), '') </v>
      </c>
      <c r="L340" s="17" t="str">
        <f t="shared" si="64"/>
        <v xml:space="preserve">SELECT count(*) AS NUM_REG_DIF FROM (SELECT prtctn_id as prtctn_id_as_is, prtctn_vl as prtctn_vl_as_is FROM cd_loan_tapes_bce.lt004_protection WHERE ref_date='2025-06-30' AND nome_perimetro= 'Individual IDComb' AND segmento= 'ESTR' AND ambito= 'PM' AND entidade='00100' AND cod_visao = 1) A  Inner join (SELECT prtctn_id as prtctn_id_to_be, prtctn_vl as prtctn_vl_to_be FROM bu_loantape_work.lt004_protection WHERE ref_date='2025-06-30' AND nome_perimetro= 'Individual IDComb' AND segmento= 'ESTR' AND ambito= 'PM' AND entidade='00100' AND cod_visao = 1) B ON prtctn_id_as_is = prtctn_id_to_be WHERE coalesce(cast(prtctn_vl_as_is as string), '') &lt;&gt; coalesce(cast(prtctn_vl_to_be as string), '') </v>
      </c>
      <c r="M340" s="17" t="s">
        <v>48</v>
      </c>
      <c r="N340" s="17" t="str">
        <f>"SELECT 'Validação de campos' as tipologia_teste, '"&amp;VLOOKUP(B340,Instruções!$F$6:$J$10,3,0)&amp;"' AS TABELA, '"&amp;E340&amp;"' AS CAMPO, '"&amp;Instruções!$D$7&amp;"' as ref_date, coalesce(NUM_REG_DIF, 0) AS NUM_REG_DIF FROM ("&amp;L340&amp;") A "</f>
        <v xml:space="preserve">SELECT 'Validação de campos' as tipologia_teste, 'lt004_protection' AS TABELA, 'prtctn_vl' AS CAMPO, '2025-06-30' as ref_date, coalesce(NUM_REG_DIF, 0) AS NUM_REG_DIF FROM (SELECT count(*) AS NUM_REG_DIF FROM (SELECT prtctn_id as prtctn_id_as_is, prtctn_vl as prtctn_vl_as_is FROM cd_loan_tapes_bce.lt004_protection WHERE ref_date='2025-06-30' AND nome_perimetro= 'Individual IDComb' AND segmento= 'ESTR' AND ambito= 'PM' AND entidade='00100' AND cod_visao = 1) A  Inner join (SELECT prtctn_id as prtctn_id_to_be, prtctn_vl as prtctn_vl_to_be FROM bu_loantape_work.lt004_protection WHERE ref_date='2025-06-30' AND nome_perimetro= 'Individual IDComb' AND segmento= 'ESTR' AND ambito= 'PM' AND entidade='00100' AND cod_visao = 1) B ON prtctn_id_as_is = prtctn_id_to_be WHERE coalesce(cast(prtctn_vl_as_is as string), '') &lt;&gt; coalesce(cast(prtctn_vl_to_be as string), '') ) A </v>
      </c>
      <c r="O340" s="19" t="str">
        <f t="shared" si="60"/>
        <v>SELECT 'Validação de campos' as tipologia_teste, 'lt004_protection' AS TABELA, 'prtctn_vl' AS CAMPO, '2025-06-30' as ref_date, coalesce(NUM_REG_DIF, 0) AS NUM_REG_DIF FROM (SELECT count(*) AS NUM_REG_DIF FROM (SELECT prtctn_id as prtctn_id_as_is, prtctn_vl as prtctn_vl_as_is FROM cd_loan_tapes_bce.lt004_protection WHERE ref_date='2025-06-30' AND nome_perimetro= 'Individual IDComb' AND segmento= 'ESTR' AND ambito= 'PM' AND entidade='00100' AND cod_visao = 1) A  Inner join (SELECT prtctn_id as prtctn_id_to_be, prtctn_vl as prtctn_vl_to_be FROM bu_loantape_work.lt004_protection WHERE ref_date='2025-06-30' AND nome_perimetro= 'Individual IDComb' AND segmento= 'ESTR' AND ambito= 'PM' AND entidade='00100' AND cod_visao = 1) B ON prtctn_id_as_is = prtctn_id_to_be WHERE coalesce(cast(prtctn_vl_as_is as string), '') &lt;&gt; coalesce(cast(prtctn_vl_to_be as string), '') ) A UNION ALL</v>
      </c>
      <c r="P340" s="17">
        <f t="shared" si="59"/>
        <v>21</v>
      </c>
    </row>
    <row r="341" spans="2:16" s="15" customFormat="1" ht="11.5" x14ac:dyDescent="0.25">
      <c r="B341" s="17" t="s">
        <v>28</v>
      </c>
      <c r="C341" s="17" t="str">
        <f>_xlfn.CONCAT(Instruções!$D$5,".",VLOOKUP(B341,Instruções!$F$5:$H$10,2,0))</f>
        <v>cd_loan_tapes_bce.lt004_protection</v>
      </c>
      <c r="D341" s="17" t="str">
        <f>_xlfn.CONCAT(Instruções!$D$6,".",VLOOKUP(B341,Instruções!$F$5:$H$10,3,0))</f>
        <v>bu_loantape_work.lt004_protection</v>
      </c>
      <c r="E341" s="17" t="s">
        <v>338</v>
      </c>
      <c r="F341" s="17" t="str">
        <f t="shared" si="65"/>
        <v>prtctn_vl_npe_as_is</v>
      </c>
      <c r="G341" s="17" t="str">
        <f t="shared" si="66"/>
        <v>prtctn_vl_npe_to_be</v>
      </c>
      <c r="H341" s="17" t="str">
        <f>IF(VLOOKUP(B341,Instruções!$F$6:$J$10,5,0)="",
"(SELECT "&amp;VLOOKUP(B341,Instruções!$F$6:$J$10,4,0)&amp;" as "&amp;VLOOKUP(B341,Instruções!$F$6:$J$10,4,0)&amp;"_as_is, "&amp;E341&amp;" as "&amp;F341&amp;" FROM "&amp;C341&amp;" WHERE "&amp;Instruções!$D$11&amp;") A ",
"(SELECT "&amp;VLOOKUP(B341,Instruções!$F$6:$J$10,4,0)&amp;" as "&amp;VLOOKUP(B341,Instruções!$F$6:$J$10,4,0)&amp;"_as_is, "&amp;VLOOKUP(B341,Instruções!$F$6:$J$10,5,0)&amp;" as "&amp;VLOOKUP(B341,Instruções!$F$6:$J$10,5,0)&amp;"_as_is,"&amp;E341&amp;" as "&amp;F341&amp;" FROM "&amp;C341&amp;" WHERE "&amp;Instruções!$D$11&amp;") A ")</f>
        <v xml:space="preserve">(SELECT prtctn_id as prtctn_id_as_is, prtctn_vl_npe as prtctn_vl_npe_as_is FROM cd_loan_tapes_bce.lt004_protection WHERE ref_date='2025-06-30' AND nome_perimetro= 'Individual IDComb' AND segmento= 'ESTR' AND ambito= 'PM' AND entidade='00100' AND cod_visao = 1) A </v>
      </c>
      <c r="I341" s="17" t="str">
        <f>IF(VLOOKUP(B341,Instruções!$F$6:$J$10,5,0)="",
"(SELECT "&amp;VLOOKUP(B341,Instruções!$F$6:$J$10,4,0)&amp;" as "&amp;VLOOKUP(B341,Instruções!$F$6:$J$10,4,0)&amp;"_to_be, "&amp;E341&amp;" as "&amp;G341&amp;" FROM "&amp;D341&amp;" WHERE "&amp;Instruções!$D$11&amp;") B ",
"(SELECT "&amp;VLOOKUP(B341,Instruções!$F$6:$J$10,4,0)&amp;" as "&amp;VLOOKUP(B341,Instruções!$F$6:$J$10,4,0)&amp;"_to_be, "&amp;VLOOKUP(B341,Instruções!$F$6:$J$10,5,0)&amp;" as "&amp;VLOOKUP(B341,Instruções!$F$6:$J$10,5,0)&amp;"_to_be,"&amp;E341&amp;" as "&amp;G341&amp;" FROM "&amp;D341&amp;" WHERE "&amp;Instruções!$D$11&amp;") B ")</f>
        <v xml:space="preserve">(SELECT prtctn_id as prtctn_id_to_be, prtctn_vl_npe as prtctn_vl_npe_to_be FROM bu_loantape_work.lt004_protection WHERE ref_date='2025-06-30' AND nome_perimetro= 'Individual IDComb' AND segmento= 'ESTR' AND ambito= 'PM' AND entidade='00100' AND cod_visao = 1) B </v>
      </c>
      <c r="J341" s="17" t="str">
        <f>IF(VLOOKUP(B341,Instruções!$F$6:$J$10,5,0)="",
"ON "&amp;VLOOKUP(B341,Instruções!$F$6:$J$10,4,0)&amp;"_as_is = "&amp;VLOOKUP(B341,Instruções!$F$6:$J$10,4,0)&amp;"_to_be ",
"ON "&amp;VLOOKUP(B341,Instruções!$F$6:$J$10,4,0)&amp;"_as_is = "&amp;VLOOKUP(B341,Instruções!$F$6:$J$10,4,0)&amp;"_to_be AND "&amp;VLOOKUP(B341,Instruções!$F$6:$J$10,5,0)&amp;"_as_is = "&amp;VLOOKUP(B341,Instruções!$F$6:$J$10,5,0)&amp;"_to_be ")</f>
        <v xml:space="preserve">ON prtctn_id_as_is = prtctn_id_to_be </v>
      </c>
      <c r="K341" s="17" t="str">
        <f t="shared" si="67"/>
        <v xml:space="preserve">WHERE coalesce(cast(prtctn_vl_npe_as_is as string), '') &lt;&gt; coalesce(cast(prtctn_vl_npe_to_be as string), '') </v>
      </c>
      <c r="L341" s="17" t="str">
        <f t="shared" si="64"/>
        <v xml:space="preserve">SELECT count(*) AS NUM_REG_DIF FROM (SELECT prtctn_id as prtctn_id_as_is, prtctn_vl_npe as prtctn_vl_npe_as_is FROM cd_loan_tapes_bce.lt004_protection WHERE ref_date='2025-06-30' AND nome_perimetro= 'Individual IDComb' AND segmento= 'ESTR' AND ambito= 'PM' AND entidade='00100' AND cod_visao = 1) A  Inner join (SELECT prtctn_id as prtctn_id_to_be, prtctn_vl_npe as prtctn_vl_npe_to_be FROM bu_loantape_work.lt004_protection WHERE ref_date='2025-06-30' AND nome_perimetro= 'Individual IDComb' AND segmento= 'ESTR' AND ambito= 'PM' AND entidade='00100' AND cod_visao = 1) B ON prtctn_id_as_is = prtctn_id_to_be WHERE coalesce(cast(prtctn_vl_npe_as_is as string), '') &lt;&gt; coalesce(cast(prtctn_vl_npe_to_be as string), '') </v>
      </c>
      <c r="M341" s="17" t="s">
        <v>48</v>
      </c>
      <c r="N341" s="17" t="str">
        <f>"SELECT 'Validação de campos' as tipologia_teste, '"&amp;VLOOKUP(B341,Instruções!$F$6:$J$10,3,0)&amp;"' AS TABELA, '"&amp;E341&amp;"' AS CAMPO, '"&amp;Instruções!$D$7&amp;"' as ref_date, coalesce(NUM_REG_DIF, 0) AS NUM_REG_DIF FROM ("&amp;L341&amp;") A "</f>
        <v xml:space="preserve">SELECT 'Validação de campos' as tipologia_teste, 'lt004_protection' AS TABELA, 'prtctn_vl_npe' AS CAMPO, '2025-06-30' as ref_date, coalesce(NUM_REG_DIF, 0) AS NUM_REG_DIF FROM (SELECT count(*) AS NUM_REG_DIF FROM (SELECT prtctn_id as prtctn_id_as_is, prtctn_vl_npe as prtctn_vl_npe_as_is FROM cd_loan_tapes_bce.lt004_protection WHERE ref_date='2025-06-30' AND nome_perimetro= 'Individual IDComb' AND segmento= 'ESTR' AND ambito= 'PM' AND entidade='00100' AND cod_visao = 1) A  Inner join (SELECT prtctn_id as prtctn_id_to_be, prtctn_vl_npe as prtctn_vl_npe_to_be FROM bu_loantape_work.lt004_protection WHERE ref_date='2025-06-30' AND nome_perimetro= 'Individual IDComb' AND segmento= 'ESTR' AND ambito= 'PM' AND entidade='00100' AND cod_visao = 1) B ON prtctn_id_as_is = prtctn_id_to_be WHERE coalesce(cast(prtctn_vl_npe_as_is as string), '') &lt;&gt; coalesce(cast(prtctn_vl_npe_to_be as string), '') ) A </v>
      </c>
      <c r="O341" s="19" t="str">
        <f t="shared" si="60"/>
        <v>SELECT 'Validação de campos' as tipologia_teste, 'lt004_protection' AS TABELA, 'prtctn_vl_npe' AS CAMPO, '2025-06-30' as ref_date, coalesce(NUM_REG_DIF, 0) AS NUM_REG_DIF FROM (SELECT count(*) AS NUM_REG_DIF FROM (SELECT prtctn_id as prtctn_id_as_is, prtctn_vl_npe as prtctn_vl_npe_as_is FROM cd_loan_tapes_bce.lt004_protection WHERE ref_date='2025-06-30' AND nome_perimetro= 'Individual IDComb' AND segmento= 'ESTR' AND ambito= 'PM' AND entidade='00100' AND cod_visao = 1) A  Inner join (SELECT prtctn_id as prtctn_id_to_be, prtctn_vl_npe as prtctn_vl_npe_to_be FROM bu_loantape_work.lt004_protection WHERE ref_date='2025-06-30' AND nome_perimetro= 'Individual IDComb' AND segmento= 'ESTR' AND ambito= 'PM' AND entidade='00100' AND cod_visao = 1) B ON prtctn_id_as_is = prtctn_id_to_be WHERE coalesce(cast(prtctn_vl_npe_as_is as string), '') &lt;&gt; coalesce(cast(prtctn_vl_npe_to_be as string), '') ) A UNION ALL</v>
      </c>
      <c r="P341" s="17">
        <f t="shared" si="59"/>
        <v>22</v>
      </c>
    </row>
    <row r="342" spans="2:16" s="15" customFormat="1" ht="11.5" x14ac:dyDescent="0.25">
      <c r="B342" s="17" t="s">
        <v>28</v>
      </c>
      <c r="C342" s="17" t="str">
        <f>_xlfn.CONCAT(Instruções!$D$5,".",VLOOKUP(B342,Instruções!$F$5:$H$10,2,0))</f>
        <v>cd_loan_tapes_bce.lt004_protection</v>
      </c>
      <c r="D342" s="17" t="str">
        <f>_xlfn.CONCAT(Instruções!$D$6,".",VLOOKUP(B342,Instruções!$F$5:$H$10,3,0))</f>
        <v>bu_loantape_work.lt004_protection</v>
      </c>
      <c r="E342" s="17" t="s">
        <v>339</v>
      </c>
      <c r="F342" s="17" t="str">
        <f t="shared" si="65"/>
        <v>prtctn_vl_prvs_as_is</v>
      </c>
      <c r="G342" s="17" t="str">
        <f t="shared" si="66"/>
        <v>prtctn_vl_prvs_to_be</v>
      </c>
      <c r="H342" s="17" t="str">
        <f>IF(VLOOKUP(B342,Instruções!$F$6:$J$10,5,0)="",
"(SELECT "&amp;VLOOKUP(B342,Instruções!$F$6:$J$10,4,0)&amp;" as "&amp;VLOOKUP(B342,Instruções!$F$6:$J$10,4,0)&amp;"_as_is, "&amp;E342&amp;" as "&amp;F342&amp;" FROM "&amp;C342&amp;" WHERE "&amp;Instruções!$D$11&amp;") A ",
"(SELECT "&amp;VLOOKUP(B342,Instruções!$F$6:$J$10,4,0)&amp;" as "&amp;VLOOKUP(B342,Instruções!$F$6:$J$10,4,0)&amp;"_as_is, "&amp;VLOOKUP(B342,Instruções!$F$6:$J$10,5,0)&amp;" as "&amp;VLOOKUP(B342,Instruções!$F$6:$J$10,5,0)&amp;"_as_is,"&amp;E342&amp;" as "&amp;F342&amp;" FROM "&amp;C342&amp;" WHERE "&amp;Instruções!$D$11&amp;") A ")</f>
        <v xml:space="preserve">(SELECT prtctn_id as prtctn_id_as_is, prtctn_vl_prvs as prtctn_vl_prvs_as_is FROM cd_loan_tapes_bce.lt004_protection WHERE ref_date='2025-06-30' AND nome_perimetro= 'Individual IDComb' AND segmento= 'ESTR' AND ambito= 'PM' AND entidade='00100' AND cod_visao = 1) A </v>
      </c>
      <c r="I342" s="17" t="str">
        <f>IF(VLOOKUP(B342,Instruções!$F$6:$J$10,5,0)="",
"(SELECT "&amp;VLOOKUP(B342,Instruções!$F$6:$J$10,4,0)&amp;" as "&amp;VLOOKUP(B342,Instruções!$F$6:$J$10,4,0)&amp;"_to_be, "&amp;E342&amp;" as "&amp;G342&amp;" FROM "&amp;D342&amp;" WHERE "&amp;Instruções!$D$11&amp;") B ",
"(SELECT "&amp;VLOOKUP(B342,Instruções!$F$6:$J$10,4,0)&amp;" as "&amp;VLOOKUP(B342,Instruções!$F$6:$J$10,4,0)&amp;"_to_be, "&amp;VLOOKUP(B342,Instruções!$F$6:$J$10,5,0)&amp;" as "&amp;VLOOKUP(B342,Instruções!$F$6:$J$10,5,0)&amp;"_to_be,"&amp;E342&amp;" as "&amp;G342&amp;" FROM "&amp;D342&amp;" WHERE "&amp;Instruções!$D$11&amp;") B ")</f>
        <v xml:space="preserve">(SELECT prtctn_id as prtctn_id_to_be, prtctn_vl_prvs as prtctn_vl_prvs_to_be FROM bu_loantape_work.lt004_protection WHERE ref_date='2025-06-30' AND nome_perimetro= 'Individual IDComb' AND segmento= 'ESTR' AND ambito= 'PM' AND entidade='00100' AND cod_visao = 1) B </v>
      </c>
      <c r="J342" s="17" t="str">
        <f>IF(VLOOKUP(B342,Instruções!$F$6:$J$10,5,0)="",
"ON "&amp;VLOOKUP(B342,Instruções!$F$6:$J$10,4,0)&amp;"_as_is = "&amp;VLOOKUP(B342,Instruções!$F$6:$J$10,4,0)&amp;"_to_be ",
"ON "&amp;VLOOKUP(B342,Instruções!$F$6:$J$10,4,0)&amp;"_as_is = "&amp;VLOOKUP(B342,Instruções!$F$6:$J$10,4,0)&amp;"_to_be AND "&amp;VLOOKUP(B342,Instruções!$F$6:$J$10,5,0)&amp;"_as_is = "&amp;VLOOKUP(B342,Instruções!$F$6:$J$10,5,0)&amp;"_to_be ")</f>
        <v xml:space="preserve">ON prtctn_id_as_is = prtctn_id_to_be </v>
      </c>
      <c r="K342" s="17" t="str">
        <f t="shared" si="67"/>
        <v xml:space="preserve">WHERE coalesce(cast(prtctn_vl_prvs_as_is as string), '') &lt;&gt; coalesce(cast(prtctn_vl_prvs_to_be as string), '') </v>
      </c>
      <c r="L342" s="17" t="str">
        <f t="shared" si="64"/>
        <v xml:space="preserve">SELECT count(*) AS NUM_REG_DIF FROM (SELECT prtctn_id as prtctn_id_as_is, prtctn_vl_prvs as prtctn_vl_prvs_as_is FROM cd_loan_tapes_bce.lt004_protection WHERE ref_date='2025-06-30' AND nome_perimetro= 'Individual IDComb' AND segmento= 'ESTR' AND ambito= 'PM' AND entidade='00100' AND cod_visao = 1) A  Inner join (SELECT prtctn_id as prtctn_id_to_be, prtctn_vl_prvs as prtctn_vl_prvs_to_be FROM bu_loantape_work.lt004_protection WHERE ref_date='2025-06-30' AND nome_perimetro= 'Individual IDComb' AND segmento= 'ESTR' AND ambito= 'PM' AND entidade='00100' AND cod_visao = 1) B ON prtctn_id_as_is = prtctn_id_to_be WHERE coalesce(cast(prtctn_vl_prvs_as_is as string), '') &lt;&gt; coalesce(cast(prtctn_vl_prvs_to_be as string), '') </v>
      </c>
      <c r="M342" s="17" t="s">
        <v>48</v>
      </c>
      <c r="N342" s="17" t="str">
        <f>"SELECT 'Validação de campos' as tipologia_teste, '"&amp;VLOOKUP(B342,Instruções!$F$6:$J$10,3,0)&amp;"' AS TABELA, '"&amp;E342&amp;"' AS CAMPO, '"&amp;Instruções!$D$7&amp;"' as ref_date, coalesce(NUM_REG_DIF, 0) AS NUM_REG_DIF FROM ("&amp;L342&amp;") A "</f>
        <v xml:space="preserve">SELECT 'Validação de campos' as tipologia_teste, 'lt004_protection' AS TABELA, 'prtctn_vl_prvs' AS CAMPO, '2025-06-30' as ref_date, coalesce(NUM_REG_DIF, 0) AS NUM_REG_DIF FROM (SELECT count(*) AS NUM_REG_DIF FROM (SELECT prtctn_id as prtctn_id_as_is, prtctn_vl_prvs as prtctn_vl_prvs_as_is FROM cd_loan_tapes_bce.lt004_protection WHERE ref_date='2025-06-30' AND nome_perimetro= 'Individual IDComb' AND segmento= 'ESTR' AND ambito= 'PM' AND entidade='00100' AND cod_visao = 1) A  Inner join (SELECT prtctn_id as prtctn_id_to_be, prtctn_vl_prvs as prtctn_vl_prvs_to_be FROM bu_loantape_work.lt004_protection WHERE ref_date='2025-06-30' AND nome_perimetro= 'Individual IDComb' AND segmento= 'ESTR' AND ambito= 'PM' AND entidade='00100' AND cod_visao = 1) B ON prtctn_id_as_is = prtctn_id_to_be WHERE coalesce(cast(prtctn_vl_prvs_as_is as string), '') &lt;&gt; coalesce(cast(prtctn_vl_prvs_to_be as string), '') ) A </v>
      </c>
      <c r="O342" s="19" t="str">
        <f t="shared" si="60"/>
        <v>SELECT 'Validação de campos' as tipologia_teste, 'lt004_protection' AS TABELA, 'prtctn_vl_prvs' AS CAMPO, '2025-06-30' as ref_date, coalesce(NUM_REG_DIF, 0) AS NUM_REG_DIF FROM (SELECT count(*) AS NUM_REG_DIF FROM (SELECT prtctn_id as prtctn_id_as_is, prtctn_vl_prvs as prtctn_vl_prvs_as_is FROM cd_loan_tapes_bce.lt004_protection WHERE ref_date='2025-06-30' AND nome_perimetro= 'Individual IDComb' AND segmento= 'ESTR' AND ambito= 'PM' AND entidade='00100' AND cod_visao = 1) A  Inner join (SELECT prtctn_id as prtctn_id_to_be, prtctn_vl_prvs as prtctn_vl_prvs_to_be FROM bu_loantape_work.lt004_protection WHERE ref_date='2025-06-30' AND nome_perimetro= 'Individual IDComb' AND segmento= 'ESTR' AND ambito= 'PM' AND entidade='00100' AND cod_visao = 1) B ON prtctn_id_as_is = prtctn_id_to_be WHERE coalesce(cast(prtctn_vl_prvs_as_is as string), '') &lt;&gt; coalesce(cast(prtctn_vl_prvs_to_be as string), '') ) A UNION ALL</v>
      </c>
      <c r="P342" s="17">
        <f t="shared" si="59"/>
        <v>23</v>
      </c>
    </row>
    <row r="343" spans="2:16" s="15" customFormat="1" ht="11.5" x14ac:dyDescent="0.25">
      <c r="B343" s="17" t="s">
        <v>28</v>
      </c>
      <c r="C343" s="17" t="str">
        <f>_xlfn.CONCAT(Instruções!$D$5,".",VLOOKUP(B343,Instruções!$F$5:$H$10,2,0))</f>
        <v>cd_loan_tapes_bce.lt004_protection</v>
      </c>
      <c r="D343" s="17" t="str">
        <f>_xlfn.CONCAT(Instruções!$D$6,".",VLOOKUP(B343,Instruções!$F$5:$H$10,3,0))</f>
        <v>bu_loantape_work.lt004_protection</v>
      </c>
      <c r="E343" s="17" t="s">
        <v>340</v>
      </c>
      <c r="F343" s="17" t="str">
        <f t="shared" si="65"/>
        <v>prtctn_vltn_apprch_as_is</v>
      </c>
      <c r="G343" s="17" t="str">
        <f t="shared" si="66"/>
        <v>prtctn_vltn_apprch_to_be</v>
      </c>
      <c r="H343" s="17" t="str">
        <f>IF(VLOOKUP(B343,Instruções!$F$6:$J$10,5,0)="",
"(SELECT "&amp;VLOOKUP(B343,Instruções!$F$6:$J$10,4,0)&amp;" as "&amp;VLOOKUP(B343,Instruções!$F$6:$J$10,4,0)&amp;"_as_is, "&amp;E343&amp;" as "&amp;F343&amp;" FROM "&amp;C343&amp;" WHERE "&amp;Instruções!$D$11&amp;") A ",
"(SELECT "&amp;VLOOKUP(B343,Instruções!$F$6:$J$10,4,0)&amp;" as "&amp;VLOOKUP(B343,Instruções!$F$6:$J$10,4,0)&amp;"_as_is, "&amp;VLOOKUP(B343,Instruções!$F$6:$J$10,5,0)&amp;" as "&amp;VLOOKUP(B343,Instruções!$F$6:$J$10,5,0)&amp;"_as_is,"&amp;E343&amp;" as "&amp;F343&amp;" FROM "&amp;C343&amp;" WHERE "&amp;Instruções!$D$11&amp;") A ")</f>
        <v xml:space="preserve">(SELECT prtctn_id as prtctn_id_as_is, prtctn_vltn_apprch as prtctn_vltn_apprch_as_is FROM cd_loan_tapes_bce.lt004_protection WHERE ref_date='2025-06-30' AND nome_perimetro= 'Individual IDComb' AND segmento= 'ESTR' AND ambito= 'PM' AND entidade='00100' AND cod_visao = 1) A </v>
      </c>
      <c r="I343" s="17" t="str">
        <f>IF(VLOOKUP(B343,Instruções!$F$6:$J$10,5,0)="",
"(SELECT "&amp;VLOOKUP(B343,Instruções!$F$6:$J$10,4,0)&amp;" as "&amp;VLOOKUP(B343,Instruções!$F$6:$J$10,4,0)&amp;"_to_be, "&amp;E343&amp;" as "&amp;G343&amp;" FROM "&amp;D343&amp;" WHERE "&amp;Instruções!$D$11&amp;") B ",
"(SELECT "&amp;VLOOKUP(B343,Instruções!$F$6:$J$10,4,0)&amp;" as "&amp;VLOOKUP(B343,Instruções!$F$6:$J$10,4,0)&amp;"_to_be, "&amp;VLOOKUP(B343,Instruções!$F$6:$J$10,5,0)&amp;" as "&amp;VLOOKUP(B343,Instruções!$F$6:$J$10,5,0)&amp;"_to_be,"&amp;E343&amp;" as "&amp;G343&amp;" FROM "&amp;D343&amp;" WHERE "&amp;Instruções!$D$11&amp;") B ")</f>
        <v xml:space="preserve">(SELECT prtctn_id as prtctn_id_to_be, prtctn_vltn_apprch as prtctn_vltn_apprch_to_be FROM bu_loantape_work.lt004_protection WHERE ref_date='2025-06-30' AND nome_perimetro= 'Individual IDComb' AND segmento= 'ESTR' AND ambito= 'PM' AND entidade='00100' AND cod_visao = 1) B </v>
      </c>
      <c r="J343" s="17" t="str">
        <f>IF(VLOOKUP(B343,Instruções!$F$6:$J$10,5,0)="",
"ON "&amp;VLOOKUP(B343,Instruções!$F$6:$J$10,4,0)&amp;"_as_is = "&amp;VLOOKUP(B343,Instruções!$F$6:$J$10,4,0)&amp;"_to_be ",
"ON "&amp;VLOOKUP(B343,Instruções!$F$6:$J$10,4,0)&amp;"_as_is = "&amp;VLOOKUP(B343,Instruções!$F$6:$J$10,4,0)&amp;"_to_be AND "&amp;VLOOKUP(B343,Instruções!$F$6:$J$10,5,0)&amp;"_as_is = "&amp;VLOOKUP(B343,Instruções!$F$6:$J$10,5,0)&amp;"_to_be ")</f>
        <v xml:space="preserve">ON prtctn_id_as_is = prtctn_id_to_be </v>
      </c>
      <c r="K343" s="17" t="str">
        <f t="shared" si="67"/>
        <v xml:space="preserve">WHERE coalesce(cast(prtctn_vltn_apprch_as_is as string), '') &lt;&gt; coalesce(cast(prtctn_vltn_apprch_to_be as string), '') </v>
      </c>
      <c r="L343" s="17" t="str">
        <f t="shared" si="64"/>
        <v xml:space="preserve">SELECT count(*) AS NUM_REG_DIF FROM (SELECT prtctn_id as prtctn_id_as_is, prtctn_vltn_apprch as prtctn_vltn_apprch_as_is FROM cd_loan_tapes_bce.lt004_protection WHERE ref_date='2025-06-30' AND nome_perimetro= 'Individual IDComb' AND segmento= 'ESTR' AND ambito= 'PM' AND entidade='00100' AND cod_visao = 1) A  Inner join (SELECT prtctn_id as prtctn_id_to_be, prtctn_vltn_apprch as prtctn_vltn_apprch_to_be FROM bu_loantape_work.lt004_protection WHERE ref_date='2025-06-30' AND nome_perimetro= 'Individual IDComb' AND segmento= 'ESTR' AND ambito= 'PM' AND entidade='00100' AND cod_visao = 1) B ON prtctn_id_as_is = prtctn_id_to_be WHERE coalesce(cast(prtctn_vltn_apprch_as_is as string), '') &lt;&gt; coalesce(cast(prtctn_vltn_apprch_to_be as string), '') </v>
      </c>
      <c r="M343" s="17" t="s">
        <v>48</v>
      </c>
      <c r="N343" s="17" t="str">
        <f>"SELECT 'Validação de campos' as tipologia_teste, '"&amp;VLOOKUP(B343,Instruções!$F$6:$J$10,3,0)&amp;"' AS TABELA, '"&amp;E343&amp;"' AS CAMPO, '"&amp;Instruções!$D$7&amp;"' as ref_date, coalesce(NUM_REG_DIF, 0) AS NUM_REG_DIF FROM ("&amp;L343&amp;") A "</f>
        <v xml:space="preserve">SELECT 'Validação de campos' as tipologia_teste, 'lt004_protection' AS TABELA, 'prtctn_vltn_apprch' AS CAMPO, '2025-06-30' as ref_date, coalesce(NUM_REG_DIF, 0) AS NUM_REG_DIF FROM (SELECT count(*) AS NUM_REG_DIF FROM (SELECT prtctn_id as prtctn_id_as_is, prtctn_vltn_apprch as prtctn_vltn_apprch_as_is FROM cd_loan_tapes_bce.lt004_protection WHERE ref_date='2025-06-30' AND nome_perimetro= 'Individual IDComb' AND segmento= 'ESTR' AND ambito= 'PM' AND entidade='00100' AND cod_visao = 1) A  Inner join (SELECT prtctn_id as prtctn_id_to_be, prtctn_vltn_apprch as prtctn_vltn_apprch_to_be FROM bu_loantape_work.lt004_protection WHERE ref_date='2025-06-30' AND nome_perimetro= 'Individual IDComb' AND segmento= 'ESTR' AND ambito= 'PM' AND entidade='00100' AND cod_visao = 1) B ON prtctn_id_as_is = prtctn_id_to_be WHERE coalesce(cast(prtctn_vltn_apprch_as_is as string), '') &lt;&gt; coalesce(cast(prtctn_vltn_apprch_to_be as string), '') ) A </v>
      </c>
      <c r="O343" s="19" t="str">
        <f t="shared" si="60"/>
        <v>SELECT 'Validação de campos' as tipologia_teste, 'lt004_protection' AS TABELA, 'prtctn_vltn_apprch' AS CAMPO, '2025-06-30' as ref_date, coalesce(NUM_REG_DIF, 0) AS NUM_REG_DIF FROM (SELECT count(*) AS NUM_REG_DIF FROM (SELECT prtctn_id as prtctn_id_as_is, prtctn_vltn_apprch as prtctn_vltn_apprch_as_is FROM cd_loan_tapes_bce.lt004_protection WHERE ref_date='2025-06-30' AND nome_perimetro= 'Individual IDComb' AND segmento= 'ESTR' AND ambito= 'PM' AND entidade='00100' AND cod_visao = 1) A  Inner join (SELECT prtctn_id as prtctn_id_to_be, prtctn_vltn_apprch as prtctn_vltn_apprch_to_be FROM bu_loantape_work.lt004_protection WHERE ref_date='2025-06-30' AND nome_perimetro= 'Individual IDComb' AND segmento= 'ESTR' AND ambito= 'PM' AND entidade='00100' AND cod_visao = 1) B ON prtctn_id_as_is = prtctn_id_to_be WHERE coalesce(cast(prtctn_vltn_apprch_as_is as string), '') &lt;&gt; coalesce(cast(prtctn_vltn_apprch_to_be as string), '') ) A UNION ALL</v>
      </c>
      <c r="P343" s="17">
        <f t="shared" si="59"/>
        <v>24</v>
      </c>
    </row>
    <row r="344" spans="2:16" s="15" customFormat="1" ht="11.5" x14ac:dyDescent="0.25">
      <c r="B344" s="17" t="s">
        <v>28</v>
      </c>
      <c r="C344" s="17" t="str">
        <f>_xlfn.CONCAT(Instruções!$D$5,".",VLOOKUP(B344,Instruções!$F$5:$H$10,2,0))</f>
        <v>cd_loan_tapes_bce.lt004_protection</v>
      </c>
      <c r="D344" s="17" t="str">
        <f>_xlfn.CONCAT(Instruções!$D$6,".",VLOOKUP(B344,Instruções!$F$5:$H$10,3,0))</f>
        <v>bu_loantape_work.lt004_protection</v>
      </c>
      <c r="E344" s="17" t="s">
        <v>341</v>
      </c>
      <c r="F344" s="17" t="str">
        <f t="shared" si="65"/>
        <v>rl_estt_addrss_as_is</v>
      </c>
      <c r="G344" s="17" t="str">
        <f t="shared" si="66"/>
        <v>rl_estt_addrss_to_be</v>
      </c>
      <c r="H344" s="17" t="str">
        <f>IF(VLOOKUP(B344,Instruções!$F$6:$J$10,5,0)="",
"(SELECT "&amp;VLOOKUP(B344,Instruções!$F$6:$J$10,4,0)&amp;" as "&amp;VLOOKUP(B344,Instruções!$F$6:$J$10,4,0)&amp;"_as_is, "&amp;E344&amp;" as "&amp;F344&amp;" FROM "&amp;C344&amp;" WHERE "&amp;Instruções!$D$11&amp;") A ",
"(SELECT "&amp;VLOOKUP(B344,Instruções!$F$6:$J$10,4,0)&amp;" as "&amp;VLOOKUP(B344,Instruções!$F$6:$J$10,4,0)&amp;"_as_is, "&amp;VLOOKUP(B344,Instruções!$F$6:$J$10,5,0)&amp;" as "&amp;VLOOKUP(B344,Instruções!$F$6:$J$10,5,0)&amp;"_as_is,"&amp;E344&amp;" as "&amp;F344&amp;" FROM "&amp;C344&amp;" WHERE "&amp;Instruções!$D$11&amp;") A ")</f>
        <v xml:space="preserve">(SELECT prtctn_id as prtctn_id_as_is, rl_estt_addrss as rl_estt_addrss_as_is FROM cd_loan_tapes_bce.lt004_protection WHERE ref_date='2025-06-30' AND nome_perimetro= 'Individual IDComb' AND segmento= 'ESTR' AND ambito= 'PM' AND entidade='00100' AND cod_visao = 1) A </v>
      </c>
      <c r="I344" s="17" t="str">
        <f>IF(VLOOKUP(B344,Instruções!$F$6:$J$10,5,0)="",
"(SELECT "&amp;VLOOKUP(B344,Instruções!$F$6:$J$10,4,0)&amp;" as "&amp;VLOOKUP(B344,Instruções!$F$6:$J$10,4,0)&amp;"_to_be, "&amp;E344&amp;" as "&amp;G344&amp;" FROM "&amp;D344&amp;" WHERE "&amp;Instruções!$D$11&amp;") B ",
"(SELECT "&amp;VLOOKUP(B344,Instruções!$F$6:$J$10,4,0)&amp;" as "&amp;VLOOKUP(B344,Instruções!$F$6:$J$10,4,0)&amp;"_to_be, "&amp;VLOOKUP(B344,Instruções!$F$6:$J$10,5,0)&amp;" as "&amp;VLOOKUP(B344,Instruções!$F$6:$J$10,5,0)&amp;"_to_be,"&amp;E344&amp;" as "&amp;G344&amp;" FROM "&amp;D344&amp;" WHERE "&amp;Instruções!$D$11&amp;") B ")</f>
        <v xml:space="preserve">(SELECT prtctn_id as prtctn_id_to_be, rl_estt_addrss as rl_estt_addrss_to_be FROM bu_loantape_work.lt004_protection WHERE ref_date='2025-06-30' AND nome_perimetro= 'Individual IDComb' AND segmento= 'ESTR' AND ambito= 'PM' AND entidade='00100' AND cod_visao = 1) B </v>
      </c>
      <c r="J344" s="17" t="str">
        <f>IF(VLOOKUP(B344,Instruções!$F$6:$J$10,5,0)="",
"ON "&amp;VLOOKUP(B344,Instruções!$F$6:$J$10,4,0)&amp;"_as_is = "&amp;VLOOKUP(B344,Instruções!$F$6:$J$10,4,0)&amp;"_to_be ",
"ON "&amp;VLOOKUP(B344,Instruções!$F$6:$J$10,4,0)&amp;"_as_is = "&amp;VLOOKUP(B344,Instruções!$F$6:$J$10,4,0)&amp;"_to_be AND "&amp;VLOOKUP(B344,Instruções!$F$6:$J$10,5,0)&amp;"_as_is = "&amp;VLOOKUP(B344,Instruções!$F$6:$J$10,5,0)&amp;"_to_be ")</f>
        <v xml:space="preserve">ON prtctn_id_as_is = prtctn_id_to_be </v>
      </c>
      <c r="K344" s="17" t="str">
        <f t="shared" si="67"/>
        <v xml:space="preserve">WHERE coalesce(cast(rl_estt_addrss_as_is as string), '') &lt;&gt; coalesce(cast(rl_estt_addrss_to_be as string), '') </v>
      </c>
      <c r="L344" s="17" t="str">
        <f t="shared" si="64"/>
        <v xml:space="preserve">SELECT count(*) AS NUM_REG_DIF FROM (SELECT prtctn_id as prtctn_id_as_is, rl_estt_addrss as rl_estt_addrss_as_is FROM cd_loan_tapes_bce.lt004_protection WHERE ref_date='2025-06-30' AND nome_perimetro= 'Individual IDComb' AND segmento= 'ESTR' AND ambito= 'PM' AND entidade='00100' AND cod_visao = 1) A  Inner join (SELECT prtctn_id as prtctn_id_to_be, rl_estt_addrss as rl_estt_addrss_to_be FROM bu_loantape_work.lt004_protection WHERE ref_date='2025-06-30' AND nome_perimetro= 'Individual IDComb' AND segmento= 'ESTR' AND ambito= 'PM' AND entidade='00100' AND cod_visao = 1) B ON prtctn_id_as_is = prtctn_id_to_be WHERE coalesce(cast(rl_estt_addrss_as_is as string), '') &lt;&gt; coalesce(cast(rl_estt_addrss_to_be as string), '') </v>
      </c>
      <c r="M344" s="17" t="s">
        <v>48</v>
      </c>
      <c r="N344" s="17" t="str">
        <f>"SELECT 'Validação de campos' as tipologia_teste, '"&amp;VLOOKUP(B344,Instruções!$F$6:$J$10,3,0)&amp;"' AS TABELA, '"&amp;E344&amp;"' AS CAMPO, '"&amp;Instruções!$D$7&amp;"' as ref_date, coalesce(NUM_REG_DIF, 0) AS NUM_REG_DIF FROM ("&amp;L344&amp;") A "</f>
        <v xml:space="preserve">SELECT 'Validação de campos' as tipologia_teste, 'lt004_protection' AS TABELA, 'rl_estt_addrss' AS CAMPO, '2025-06-30' as ref_date, coalesce(NUM_REG_DIF, 0) AS NUM_REG_DIF FROM (SELECT count(*) AS NUM_REG_DIF FROM (SELECT prtctn_id as prtctn_id_as_is, rl_estt_addrss as rl_estt_addrss_as_is FROM cd_loan_tapes_bce.lt004_protection WHERE ref_date='2025-06-30' AND nome_perimetro= 'Individual IDComb' AND segmento= 'ESTR' AND ambito= 'PM' AND entidade='00100' AND cod_visao = 1) A  Inner join (SELECT prtctn_id as prtctn_id_to_be, rl_estt_addrss as rl_estt_addrss_to_be FROM bu_loantape_work.lt004_protection WHERE ref_date='2025-06-30' AND nome_perimetro= 'Individual IDComb' AND segmento= 'ESTR' AND ambito= 'PM' AND entidade='00100' AND cod_visao = 1) B ON prtctn_id_as_is = prtctn_id_to_be WHERE coalesce(cast(rl_estt_addrss_as_is as string), '') &lt;&gt; coalesce(cast(rl_estt_addrss_to_be as string), '') ) A </v>
      </c>
      <c r="O344" s="19" t="str">
        <f t="shared" si="60"/>
        <v>SELECT 'Validação de campos' as tipologia_teste, 'lt004_protection' AS TABELA, 'rl_estt_addrss' AS CAMPO, '2025-06-30' as ref_date, coalesce(NUM_REG_DIF, 0) AS NUM_REG_DIF FROM (SELECT count(*) AS NUM_REG_DIF FROM (SELECT prtctn_id as prtctn_id_as_is, rl_estt_addrss as rl_estt_addrss_as_is FROM cd_loan_tapes_bce.lt004_protection WHERE ref_date='2025-06-30' AND nome_perimetro= 'Individual IDComb' AND segmento= 'ESTR' AND ambito= 'PM' AND entidade='00100' AND cod_visao = 1) A  Inner join (SELECT prtctn_id as prtctn_id_to_be, rl_estt_addrss as rl_estt_addrss_to_be FROM bu_loantape_work.lt004_protection WHERE ref_date='2025-06-30' AND nome_perimetro= 'Individual IDComb' AND segmento= 'ESTR' AND ambito= 'PM' AND entidade='00100' AND cod_visao = 1) B ON prtctn_id_as_is = prtctn_id_to_be WHERE coalesce(cast(rl_estt_addrss_as_is as string), '') &lt;&gt; coalesce(cast(rl_estt_addrss_to_be as string), '') ) A UNION ALL</v>
      </c>
      <c r="P344" s="17">
        <f t="shared" si="59"/>
        <v>25</v>
      </c>
    </row>
    <row r="345" spans="2:16" s="15" customFormat="1" ht="11.5" x14ac:dyDescent="0.25">
      <c r="B345" s="17" t="s">
        <v>28</v>
      </c>
      <c r="C345" s="17" t="str">
        <f>_xlfn.CONCAT(Instruções!$D$5,".",VLOOKUP(B345,Instruções!$F$5:$H$10,2,0))</f>
        <v>cd_loan_tapes_bce.lt004_protection</v>
      </c>
      <c r="D345" s="17" t="str">
        <f>_xlfn.CONCAT(Instruções!$D$6,".",VLOOKUP(B345,Instruções!$F$5:$H$10,3,0))</f>
        <v>bu_loantape_work.lt004_protection</v>
      </c>
      <c r="E345" s="17" t="s">
        <v>342</v>
      </c>
      <c r="F345" s="17" t="str">
        <f t="shared" si="65"/>
        <v>rl_estt_clltrl_lctn_as_is</v>
      </c>
      <c r="G345" s="17" t="str">
        <f t="shared" si="66"/>
        <v>rl_estt_clltrl_lctn_to_be</v>
      </c>
      <c r="H345" s="17" t="str">
        <f>IF(VLOOKUP(B345,Instruções!$F$6:$J$10,5,0)="",
"(SELECT "&amp;VLOOKUP(B345,Instruções!$F$6:$J$10,4,0)&amp;" as "&amp;VLOOKUP(B345,Instruções!$F$6:$J$10,4,0)&amp;"_as_is, "&amp;E345&amp;" as "&amp;F345&amp;" FROM "&amp;C345&amp;" WHERE "&amp;Instruções!$D$11&amp;") A ",
"(SELECT "&amp;VLOOKUP(B345,Instruções!$F$6:$J$10,4,0)&amp;" as "&amp;VLOOKUP(B345,Instruções!$F$6:$J$10,4,0)&amp;"_as_is, "&amp;VLOOKUP(B345,Instruções!$F$6:$J$10,5,0)&amp;" as "&amp;VLOOKUP(B345,Instruções!$F$6:$J$10,5,0)&amp;"_as_is,"&amp;E345&amp;" as "&amp;F345&amp;" FROM "&amp;C345&amp;" WHERE "&amp;Instruções!$D$11&amp;") A ")</f>
        <v xml:space="preserve">(SELECT prtctn_id as prtctn_id_as_is, rl_estt_clltrl_lctn as rl_estt_clltrl_lctn_as_is FROM cd_loan_tapes_bce.lt004_protection WHERE ref_date='2025-06-30' AND nome_perimetro= 'Individual IDComb' AND segmento= 'ESTR' AND ambito= 'PM' AND entidade='00100' AND cod_visao = 1) A </v>
      </c>
      <c r="I345" s="17" t="str">
        <f>IF(VLOOKUP(B345,Instruções!$F$6:$J$10,5,0)="",
"(SELECT "&amp;VLOOKUP(B345,Instruções!$F$6:$J$10,4,0)&amp;" as "&amp;VLOOKUP(B345,Instruções!$F$6:$J$10,4,0)&amp;"_to_be, "&amp;E345&amp;" as "&amp;G345&amp;" FROM "&amp;D345&amp;" WHERE "&amp;Instruções!$D$11&amp;") B ",
"(SELECT "&amp;VLOOKUP(B345,Instruções!$F$6:$J$10,4,0)&amp;" as "&amp;VLOOKUP(B345,Instruções!$F$6:$J$10,4,0)&amp;"_to_be, "&amp;VLOOKUP(B345,Instruções!$F$6:$J$10,5,0)&amp;" as "&amp;VLOOKUP(B345,Instruções!$F$6:$J$10,5,0)&amp;"_to_be,"&amp;E345&amp;" as "&amp;G345&amp;" FROM "&amp;D345&amp;" WHERE "&amp;Instruções!$D$11&amp;") B ")</f>
        <v xml:space="preserve">(SELECT prtctn_id as prtctn_id_to_be, rl_estt_clltrl_lctn as rl_estt_clltrl_lctn_to_be FROM bu_loantape_work.lt004_protection WHERE ref_date='2025-06-30' AND nome_perimetro= 'Individual IDComb' AND segmento= 'ESTR' AND ambito= 'PM' AND entidade='00100' AND cod_visao = 1) B </v>
      </c>
      <c r="J345" s="17" t="str">
        <f>IF(VLOOKUP(B345,Instruções!$F$6:$J$10,5,0)="",
"ON "&amp;VLOOKUP(B345,Instruções!$F$6:$J$10,4,0)&amp;"_as_is = "&amp;VLOOKUP(B345,Instruções!$F$6:$J$10,4,0)&amp;"_to_be ",
"ON "&amp;VLOOKUP(B345,Instruções!$F$6:$J$10,4,0)&amp;"_as_is = "&amp;VLOOKUP(B345,Instruções!$F$6:$J$10,4,0)&amp;"_to_be AND "&amp;VLOOKUP(B345,Instruções!$F$6:$J$10,5,0)&amp;"_as_is = "&amp;VLOOKUP(B345,Instruções!$F$6:$J$10,5,0)&amp;"_to_be ")</f>
        <v xml:space="preserve">ON prtctn_id_as_is = prtctn_id_to_be </v>
      </c>
      <c r="K345" s="17" t="str">
        <f t="shared" si="67"/>
        <v xml:space="preserve">WHERE coalesce(cast(rl_estt_clltrl_lctn_as_is as string), '') &lt;&gt; coalesce(cast(rl_estt_clltrl_lctn_to_be as string), '') </v>
      </c>
      <c r="L345" s="17" t="str">
        <f t="shared" si="64"/>
        <v xml:space="preserve">SELECT count(*) AS NUM_REG_DIF FROM (SELECT prtctn_id as prtctn_id_as_is, rl_estt_clltrl_lctn as rl_estt_clltrl_lctn_as_is FROM cd_loan_tapes_bce.lt004_protection WHERE ref_date='2025-06-30' AND nome_perimetro= 'Individual IDComb' AND segmento= 'ESTR' AND ambito= 'PM' AND entidade='00100' AND cod_visao = 1) A  Inner join (SELECT prtctn_id as prtctn_id_to_be, rl_estt_clltrl_lctn as rl_estt_clltrl_lctn_to_be FROM bu_loantape_work.lt004_protection WHERE ref_date='2025-06-30' AND nome_perimetro= 'Individual IDComb' AND segmento= 'ESTR' AND ambito= 'PM' AND entidade='00100' AND cod_visao = 1) B ON prtctn_id_as_is = prtctn_id_to_be WHERE coalesce(cast(rl_estt_clltrl_lctn_as_is as string), '') &lt;&gt; coalesce(cast(rl_estt_clltrl_lctn_to_be as string), '') </v>
      </c>
      <c r="M345" s="17" t="s">
        <v>48</v>
      </c>
      <c r="N345" s="17" t="str">
        <f>"SELECT 'Validação de campos' as tipologia_teste, '"&amp;VLOOKUP(B345,Instruções!$F$6:$J$10,3,0)&amp;"' AS TABELA, '"&amp;E345&amp;"' AS CAMPO, '"&amp;Instruções!$D$7&amp;"' as ref_date, coalesce(NUM_REG_DIF, 0) AS NUM_REG_DIF FROM ("&amp;L345&amp;") A "</f>
        <v xml:space="preserve">SELECT 'Validação de campos' as tipologia_teste, 'lt004_protection' AS TABELA, 'rl_estt_clltrl_lctn' AS CAMPO, '2025-06-30' as ref_date, coalesce(NUM_REG_DIF, 0) AS NUM_REG_DIF FROM (SELECT count(*) AS NUM_REG_DIF FROM (SELECT prtctn_id as prtctn_id_as_is, rl_estt_clltrl_lctn as rl_estt_clltrl_lctn_as_is FROM cd_loan_tapes_bce.lt004_protection WHERE ref_date='2025-06-30' AND nome_perimetro= 'Individual IDComb' AND segmento= 'ESTR' AND ambito= 'PM' AND entidade='00100' AND cod_visao = 1) A  Inner join (SELECT prtctn_id as prtctn_id_to_be, rl_estt_clltrl_lctn as rl_estt_clltrl_lctn_to_be FROM bu_loantape_work.lt004_protection WHERE ref_date='2025-06-30' AND nome_perimetro= 'Individual IDComb' AND segmento= 'ESTR' AND ambito= 'PM' AND entidade='00100' AND cod_visao = 1) B ON prtctn_id_as_is = prtctn_id_to_be WHERE coalesce(cast(rl_estt_clltrl_lctn_as_is as string), '') &lt;&gt; coalesce(cast(rl_estt_clltrl_lctn_to_be as string), '') ) A </v>
      </c>
      <c r="O345" s="19" t="str">
        <f t="shared" si="60"/>
        <v>SELECT 'Validação de campos' as tipologia_teste, 'lt004_protection' AS TABELA, 'rl_estt_clltrl_lctn' AS CAMPO, '2025-06-30' as ref_date, coalesce(NUM_REG_DIF, 0) AS NUM_REG_DIF FROM (SELECT count(*) AS NUM_REG_DIF FROM (SELECT prtctn_id as prtctn_id_as_is, rl_estt_clltrl_lctn as rl_estt_clltrl_lctn_as_is FROM cd_loan_tapes_bce.lt004_protection WHERE ref_date='2025-06-30' AND nome_perimetro= 'Individual IDComb' AND segmento= 'ESTR' AND ambito= 'PM' AND entidade='00100' AND cod_visao = 1) A  Inner join (SELECT prtctn_id as prtctn_id_to_be, rl_estt_clltrl_lctn as rl_estt_clltrl_lctn_to_be FROM bu_loantape_work.lt004_protection WHERE ref_date='2025-06-30' AND nome_perimetro= 'Individual IDComb' AND segmento= 'ESTR' AND ambito= 'PM' AND entidade='00100' AND cod_visao = 1) B ON prtctn_id_as_is = prtctn_id_to_be WHERE coalesce(cast(rl_estt_clltrl_lctn_as_is as string), '') &lt;&gt; coalesce(cast(rl_estt_clltrl_lctn_to_be as string), '') ) A UNION ALL</v>
      </c>
      <c r="P345" s="17">
        <f t="shared" si="59"/>
        <v>26</v>
      </c>
    </row>
    <row r="346" spans="2:16" s="15" customFormat="1" ht="11.5" x14ac:dyDescent="0.25">
      <c r="B346" s="17" t="s">
        <v>28</v>
      </c>
      <c r="C346" s="17" t="str">
        <f>_xlfn.CONCAT(Instruções!$D$5,".",VLOOKUP(B346,Instruções!$F$5:$H$10,2,0))</f>
        <v>cd_loan_tapes_bce.lt004_protection</v>
      </c>
      <c r="D346" s="17" t="str">
        <f>_xlfn.CONCAT(Instruções!$D$6,".",VLOOKUP(B346,Instruções!$F$5:$H$10,3,0))</f>
        <v>bu_loantape_work.lt004_protection</v>
      </c>
      <c r="E346" s="17" t="s">
        <v>343</v>
      </c>
      <c r="F346" s="17" t="str">
        <f t="shared" si="65"/>
        <v>rl_estt_clltrl_lctn_int_as_is</v>
      </c>
      <c r="G346" s="17" t="str">
        <f t="shared" si="66"/>
        <v>rl_estt_clltrl_lctn_int_to_be</v>
      </c>
      <c r="H346" s="17" t="str">
        <f>IF(VLOOKUP(B346,Instruções!$F$6:$J$10,5,0)="",
"(SELECT "&amp;VLOOKUP(B346,Instruções!$F$6:$J$10,4,0)&amp;" as "&amp;VLOOKUP(B346,Instruções!$F$6:$J$10,4,0)&amp;"_as_is, "&amp;E346&amp;" as "&amp;F346&amp;" FROM "&amp;C346&amp;" WHERE "&amp;Instruções!$D$11&amp;") A ",
"(SELECT "&amp;VLOOKUP(B346,Instruções!$F$6:$J$10,4,0)&amp;" as "&amp;VLOOKUP(B346,Instruções!$F$6:$J$10,4,0)&amp;"_as_is, "&amp;VLOOKUP(B346,Instruções!$F$6:$J$10,5,0)&amp;" as "&amp;VLOOKUP(B346,Instruções!$F$6:$J$10,5,0)&amp;"_as_is,"&amp;E346&amp;" as "&amp;F346&amp;" FROM "&amp;C346&amp;" WHERE "&amp;Instruções!$D$11&amp;") A ")</f>
        <v xml:space="preserve">(SELECT prtctn_id as prtctn_id_as_is, rl_estt_clltrl_lctn_int as rl_estt_clltrl_lctn_int_as_is FROM cd_loan_tapes_bce.lt004_protection WHERE ref_date='2025-06-30' AND nome_perimetro= 'Individual IDComb' AND segmento= 'ESTR' AND ambito= 'PM' AND entidade='00100' AND cod_visao = 1) A </v>
      </c>
      <c r="I346" s="17" t="str">
        <f>IF(VLOOKUP(B346,Instruções!$F$6:$J$10,5,0)="",
"(SELECT "&amp;VLOOKUP(B346,Instruções!$F$6:$J$10,4,0)&amp;" as "&amp;VLOOKUP(B346,Instruções!$F$6:$J$10,4,0)&amp;"_to_be, "&amp;E346&amp;" as "&amp;G346&amp;" FROM "&amp;D346&amp;" WHERE "&amp;Instruções!$D$11&amp;") B ",
"(SELECT "&amp;VLOOKUP(B346,Instruções!$F$6:$J$10,4,0)&amp;" as "&amp;VLOOKUP(B346,Instruções!$F$6:$J$10,4,0)&amp;"_to_be, "&amp;VLOOKUP(B346,Instruções!$F$6:$J$10,5,0)&amp;" as "&amp;VLOOKUP(B346,Instruções!$F$6:$J$10,5,0)&amp;"_to_be,"&amp;E346&amp;" as "&amp;G346&amp;" FROM "&amp;D346&amp;" WHERE "&amp;Instruções!$D$11&amp;") B ")</f>
        <v xml:space="preserve">(SELECT prtctn_id as prtctn_id_to_be, rl_estt_clltrl_lctn_int as rl_estt_clltrl_lctn_int_to_be FROM bu_loantape_work.lt004_protection WHERE ref_date='2025-06-30' AND nome_perimetro= 'Individual IDComb' AND segmento= 'ESTR' AND ambito= 'PM' AND entidade='00100' AND cod_visao = 1) B </v>
      </c>
      <c r="J346" s="17" t="str">
        <f>IF(VLOOKUP(B346,Instruções!$F$6:$J$10,5,0)="",
"ON "&amp;VLOOKUP(B346,Instruções!$F$6:$J$10,4,0)&amp;"_as_is = "&amp;VLOOKUP(B346,Instruções!$F$6:$J$10,4,0)&amp;"_to_be ",
"ON "&amp;VLOOKUP(B346,Instruções!$F$6:$J$10,4,0)&amp;"_as_is = "&amp;VLOOKUP(B346,Instruções!$F$6:$J$10,4,0)&amp;"_to_be AND "&amp;VLOOKUP(B346,Instruções!$F$6:$J$10,5,0)&amp;"_as_is = "&amp;VLOOKUP(B346,Instruções!$F$6:$J$10,5,0)&amp;"_to_be ")</f>
        <v xml:space="preserve">ON prtctn_id_as_is = prtctn_id_to_be </v>
      </c>
      <c r="K346" s="17" t="str">
        <f t="shared" si="67"/>
        <v xml:space="preserve">WHERE coalesce(cast(rl_estt_clltrl_lctn_int_as_is as string), '') &lt;&gt; coalesce(cast(rl_estt_clltrl_lctn_int_to_be as string), '') </v>
      </c>
      <c r="L346" s="17" t="str">
        <f t="shared" si="64"/>
        <v xml:space="preserve">SELECT count(*) AS NUM_REG_DIF FROM (SELECT prtctn_id as prtctn_id_as_is, rl_estt_clltrl_lctn_int as rl_estt_clltrl_lctn_int_as_is FROM cd_loan_tapes_bce.lt004_protection WHERE ref_date='2025-06-30' AND nome_perimetro= 'Individual IDComb' AND segmento= 'ESTR' AND ambito= 'PM' AND entidade='00100' AND cod_visao = 1) A  Inner join (SELECT prtctn_id as prtctn_id_to_be, rl_estt_clltrl_lctn_int as rl_estt_clltrl_lctn_int_to_be FROM bu_loantape_work.lt004_protection WHERE ref_date='2025-06-30' AND nome_perimetro= 'Individual IDComb' AND segmento= 'ESTR' AND ambito= 'PM' AND entidade='00100' AND cod_visao = 1) B ON prtctn_id_as_is = prtctn_id_to_be WHERE coalesce(cast(rl_estt_clltrl_lctn_int_as_is as string), '') &lt;&gt; coalesce(cast(rl_estt_clltrl_lctn_int_to_be as string), '') </v>
      </c>
      <c r="M346" s="17" t="s">
        <v>48</v>
      </c>
      <c r="N346" s="17" t="str">
        <f>"SELECT 'Validação de campos' as tipologia_teste, '"&amp;VLOOKUP(B346,Instruções!$F$6:$J$10,3,0)&amp;"' AS TABELA, '"&amp;E346&amp;"' AS CAMPO, '"&amp;Instruções!$D$7&amp;"' as ref_date, coalesce(NUM_REG_DIF, 0) AS NUM_REG_DIF FROM ("&amp;L346&amp;") A "</f>
        <v xml:space="preserve">SELECT 'Validação de campos' as tipologia_teste, 'lt004_protection' AS TABELA, 'rl_estt_clltrl_lctn_int' AS CAMPO, '2025-06-30' as ref_date, coalesce(NUM_REG_DIF, 0) AS NUM_REG_DIF FROM (SELECT count(*) AS NUM_REG_DIF FROM (SELECT prtctn_id as prtctn_id_as_is, rl_estt_clltrl_lctn_int as rl_estt_clltrl_lctn_int_as_is FROM cd_loan_tapes_bce.lt004_protection WHERE ref_date='2025-06-30' AND nome_perimetro= 'Individual IDComb' AND segmento= 'ESTR' AND ambito= 'PM' AND entidade='00100' AND cod_visao = 1) A  Inner join (SELECT prtctn_id as prtctn_id_to_be, rl_estt_clltrl_lctn_int as rl_estt_clltrl_lctn_int_to_be FROM bu_loantape_work.lt004_protection WHERE ref_date='2025-06-30' AND nome_perimetro= 'Individual IDComb' AND segmento= 'ESTR' AND ambito= 'PM' AND entidade='00100' AND cod_visao = 1) B ON prtctn_id_as_is = prtctn_id_to_be WHERE coalesce(cast(rl_estt_clltrl_lctn_int_as_is as string), '') &lt;&gt; coalesce(cast(rl_estt_clltrl_lctn_int_to_be as string), '') ) A </v>
      </c>
      <c r="O346" s="19" t="str">
        <f t="shared" si="60"/>
        <v>SELECT 'Validação de campos' as tipologia_teste, 'lt004_protection' AS TABELA, 'rl_estt_clltrl_lctn_int' AS CAMPO, '2025-06-30' as ref_date, coalesce(NUM_REG_DIF, 0) AS NUM_REG_DIF FROM (SELECT count(*) AS NUM_REG_DIF FROM (SELECT prtctn_id as prtctn_id_as_is, rl_estt_clltrl_lctn_int as rl_estt_clltrl_lctn_int_as_is FROM cd_loan_tapes_bce.lt004_protection WHERE ref_date='2025-06-30' AND nome_perimetro= 'Individual IDComb' AND segmento= 'ESTR' AND ambito= 'PM' AND entidade='00100' AND cod_visao = 1) A  Inner join (SELECT prtctn_id as prtctn_id_to_be, rl_estt_clltrl_lctn_int as rl_estt_clltrl_lctn_int_to_be FROM bu_loantape_work.lt004_protection WHERE ref_date='2025-06-30' AND nome_perimetro= 'Individual IDComb' AND segmento= 'ESTR' AND ambito= 'PM' AND entidade='00100' AND cod_visao = 1) B ON prtctn_id_as_is = prtctn_id_to_be WHERE coalesce(cast(rl_estt_clltrl_lctn_int_as_is as string), '') &lt;&gt; coalesce(cast(rl_estt_clltrl_lctn_int_to_be as string), '') ) A UNION ALL</v>
      </c>
      <c r="P346" s="17">
        <f t="shared" si="59"/>
        <v>27</v>
      </c>
    </row>
    <row r="347" spans="2:16" s="15" customFormat="1" ht="11.5" x14ac:dyDescent="0.25">
      <c r="B347" s="17" t="s">
        <v>28</v>
      </c>
      <c r="C347" s="17" t="str">
        <f>_xlfn.CONCAT(Instruções!$D$5,".",VLOOKUP(B347,Instruções!$F$5:$H$10,2,0))</f>
        <v>cd_loan_tapes_bce.lt004_protection</v>
      </c>
      <c r="D347" s="17" t="str">
        <f>_xlfn.CONCAT(Instruções!$D$6,".",VLOOKUP(B347,Instruções!$F$5:$H$10,3,0))</f>
        <v>bu_loantape_work.lt004_protection</v>
      </c>
      <c r="E347" s="17" t="s">
        <v>344</v>
      </c>
      <c r="F347" s="17" t="str">
        <f t="shared" si="65"/>
        <v>rl_estt_cty_as_is</v>
      </c>
      <c r="G347" s="17" t="str">
        <f t="shared" si="66"/>
        <v>rl_estt_cty_to_be</v>
      </c>
      <c r="H347" s="17" t="str">
        <f>IF(VLOOKUP(B347,Instruções!$F$6:$J$10,5,0)="",
"(SELECT "&amp;VLOOKUP(B347,Instruções!$F$6:$J$10,4,0)&amp;" as "&amp;VLOOKUP(B347,Instruções!$F$6:$J$10,4,0)&amp;"_as_is, "&amp;E347&amp;" as "&amp;F347&amp;" FROM "&amp;C347&amp;" WHERE "&amp;Instruções!$D$11&amp;") A ",
"(SELECT "&amp;VLOOKUP(B347,Instruções!$F$6:$J$10,4,0)&amp;" as "&amp;VLOOKUP(B347,Instruções!$F$6:$J$10,4,0)&amp;"_as_is, "&amp;VLOOKUP(B347,Instruções!$F$6:$J$10,5,0)&amp;" as "&amp;VLOOKUP(B347,Instruções!$F$6:$J$10,5,0)&amp;"_as_is,"&amp;E347&amp;" as "&amp;F347&amp;" FROM "&amp;C347&amp;" WHERE "&amp;Instruções!$D$11&amp;") A ")</f>
        <v xml:space="preserve">(SELECT prtctn_id as prtctn_id_as_is, rl_estt_cty as rl_estt_cty_as_is FROM cd_loan_tapes_bce.lt004_protection WHERE ref_date='2025-06-30' AND nome_perimetro= 'Individual IDComb' AND segmento= 'ESTR' AND ambito= 'PM' AND entidade='00100' AND cod_visao = 1) A </v>
      </c>
      <c r="I347" s="17" t="str">
        <f>IF(VLOOKUP(B347,Instruções!$F$6:$J$10,5,0)="",
"(SELECT "&amp;VLOOKUP(B347,Instruções!$F$6:$J$10,4,0)&amp;" as "&amp;VLOOKUP(B347,Instruções!$F$6:$J$10,4,0)&amp;"_to_be, "&amp;E347&amp;" as "&amp;G347&amp;" FROM "&amp;D347&amp;" WHERE "&amp;Instruções!$D$11&amp;") B ",
"(SELECT "&amp;VLOOKUP(B347,Instruções!$F$6:$J$10,4,0)&amp;" as "&amp;VLOOKUP(B347,Instruções!$F$6:$J$10,4,0)&amp;"_to_be, "&amp;VLOOKUP(B347,Instruções!$F$6:$J$10,5,0)&amp;" as "&amp;VLOOKUP(B347,Instruções!$F$6:$J$10,5,0)&amp;"_to_be,"&amp;E347&amp;" as "&amp;G347&amp;" FROM "&amp;D347&amp;" WHERE "&amp;Instruções!$D$11&amp;") B ")</f>
        <v xml:space="preserve">(SELECT prtctn_id as prtctn_id_to_be, rl_estt_cty as rl_estt_cty_to_be FROM bu_loantape_work.lt004_protection WHERE ref_date='2025-06-30' AND nome_perimetro= 'Individual IDComb' AND segmento= 'ESTR' AND ambito= 'PM' AND entidade='00100' AND cod_visao = 1) B </v>
      </c>
      <c r="J347" s="17" t="str">
        <f>IF(VLOOKUP(B347,Instruções!$F$6:$J$10,5,0)="",
"ON "&amp;VLOOKUP(B347,Instruções!$F$6:$J$10,4,0)&amp;"_as_is = "&amp;VLOOKUP(B347,Instruções!$F$6:$J$10,4,0)&amp;"_to_be ",
"ON "&amp;VLOOKUP(B347,Instruções!$F$6:$J$10,4,0)&amp;"_as_is = "&amp;VLOOKUP(B347,Instruções!$F$6:$J$10,4,0)&amp;"_to_be AND "&amp;VLOOKUP(B347,Instruções!$F$6:$J$10,5,0)&amp;"_as_is = "&amp;VLOOKUP(B347,Instruções!$F$6:$J$10,5,0)&amp;"_to_be ")</f>
        <v xml:space="preserve">ON prtctn_id_as_is = prtctn_id_to_be </v>
      </c>
      <c r="K347" s="17" t="str">
        <f t="shared" si="67"/>
        <v xml:space="preserve">WHERE coalesce(cast(rl_estt_cty_as_is as string), '') &lt;&gt; coalesce(cast(rl_estt_cty_to_be as string), '') </v>
      </c>
      <c r="L347" s="17" t="str">
        <f t="shared" si="64"/>
        <v xml:space="preserve">SELECT count(*) AS NUM_REG_DIF FROM (SELECT prtctn_id as prtctn_id_as_is, rl_estt_cty as rl_estt_cty_as_is FROM cd_loan_tapes_bce.lt004_protection WHERE ref_date='2025-06-30' AND nome_perimetro= 'Individual IDComb' AND segmento= 'ESTR' AND ambito= 'PM' AND entidade='00100' AND cod_visao = 1) A  Inner join (SELECT prtctn_id as prtctn_id_to_be, rl_estt_cty as rl_estt_cty_to_be FROM bu_loantape_work.lt004_protection WHERE ref_date='2025-06-30' AND nome_perimetro= 'Individual IDComb' AND segmento= 'ESTR' AND ambito= 'PM' AND entidade='00100' AND cod_visao = 1) B ON prtctn_id_as_is = prtctn_id_to_be WHERE coalesce(cast(rl_estt_cty_as_is as string), '') &lt;&gt; coalesce(cast(rl_estt_cty_to_be as string), '') </v>
      </c>
      <c r="M347" s="17" t="s">
        <v>48</v>
      </c>
      <c r="N347" s="17" t="str">
        <f>"SELECT 'Validação de campos' as tipologia_teste, '"&amp;VLOOKUP(B347,Instruções!$F$6:$J$10,3,0)&amp;"' AS TABELA, '"&amp;E347&amp;"' AS CAMPO, '"&amp;Instruções!$D$7&amp;"' as ref_date, coalesce(NUM_REG_DIF, 0) AS NUM_REG_DIF FROM ("&amp;L347&amp;") A "</f>
        <v xml:space="preserve">SELECT 'Validação de campos' as tipologia_teste, 'lt004_protection' AS TABELA, 'rl_estt_cty' AS CAMPO, '2025-06-30' as ref_date, coalesce(NUM_REG_DIF, 0) AS NUM_REG_DIF FROM (SELECT count(*) AS NUM_REG_DIF FROM (SELECT prtctn_id as prtctn_id_as_is, rl_estt_cty as rl_estt_cty_as_is FROM cd_loan_tapes_bce.lt004_protection WHERE ref_date='2025-06-30' AND nome_perimetro= 'Individual IDComb' AND segmento= 'ESTR' AND ambito= 'PM' AND entidade='00100' AND cod_visao = 1) A  Inner join (SELECT prtctn_id as prtctn_id_to_be, rl_estt_cty as rl_estt_cty_to_be FROM bu_loantape_work.lt004_protection WHERE ref_date='2025-06-30' AND nome_perimetro= 'Individual IDComb' AND segmento= 'ESTR' AND ambito= 'PM' AND entidade='00100' AND cod_visao = 1) B ON prtctn_id_as_is = prtctn_id_to_be WHERE coalesce(cast(rl_estt_cty_as_is as string), '') &lt;&gt; coalesce(cast(rl_estt_cty_to_be as string), '') ) A </v>
      </c>
      <c r="O347" s="19" t="str">
        <f t="shared" si="60"/>
        <v>SELECT 'Validação de campos' as tipologia_teste, 'lt004_protection' AS TABELA, 'rl_estt_cty' AS CAMPO, '2025-06-30' as ref_date, coalesce(NUM_REG_DIF, 0) AS NUM_REG_DIF FROM (SELECT count(*) AS NUM_REG_DIF FROM (SELECT prtctn_id as prtctn_id_as_is, rl_estt_cty as rl_estt_cty_as_is FROM cd_loan_tapes_bce.lt004_protection WHERE ref_date='2025-06-30' AND nome_perimetro= 'Individual IDComb' AND segmento= 'ESTR' AND ambito= 'PM' AND entidade='00100' AND cod_visao = 1) A  Inner join (SELECT prtctn_id as prtctn_id_to_be, rl_estt_cty as rl_estt_cty_to_be FROM bu_loantape_work.lt004_protection WHERE ref_date='2025-06-30' AND nome_perimetro= 'Individual IDComb' AND segmento= 'ESTR' AND ambito= 'PM' AND entidade='00100' AND cod_visao = 1) B ON prtctn_id_as_is = prtctn_id_to_be WHERE coalesce(cast(rl_estt_cty_as_is as string), '') &lt;&gt; coalesce(cast(rl_estt_cty_to_be as string), '') ) A UNION ALL</v>
      </c>
      <c r="P347" s="17">
        <f t="shared" si="59"/>
        <v>28</v>
      </c>
    </row>
    <row r="348" spans="2:16" s="15" customFormat="1" ht="11.5" x14ac:dyDescent="0.25">
      <c r="B348" s="17" t="s">
        <v>28</v>
      </c>
      <c r="C348" s="17" t="str">
        <f>_xlfn.CONCAT(Instruções!$D$5,".",VLOOKUP(B348,Instruções!$F$5:$H$10,2,0))</f>
        <v>cd_loan_tapes_bce.lt004_protection</v>
      </c>
      <c r="D348" s="17" t="str">
        <f>_xlfn.CONCAT(Instruções!$D$6,".",VLOOKUP(B348,Instruções!$F$5:$H$10,3,0))</f>
        <v>bu_loantape_work.lt004_protection</v>
      </c>
      <c r="E348" s="17" t="s">
        <v>345</v>
      </c>
      <c r="F348" s="17" t="str">
        <f t="shared" si="65"/>
        <v>rl_estt_pst_cd_as_is</v>
      </c>
      <c r="G348" s="17" t="str">
        <f t="shared" si="66"/>
        <v>rl_estt_pst_cd_to_be</v>
      </c>
      <c r="H348" s="17" t="str">
        <f>IF(VLOOKUP(B348,Instruções!$F$6:$J$10,5,0)="",
"(SELECT "&amp;VLOOKUP(B348,Instruções!$F$6:$J$10,4,0)&amp;" as "&amp;VLOOKUP(B348,Instruções!$F$6:$J$10,4,0)&amp;"_as_is, "&amp;E348&amp;" as "&amp;F348&amp;" FROM "&amp;C348&amp;" WHERE "&amp;Instruções!$D$11&amp;") A ",
"(SELECT "&amp;VLOOKUP(B348,Instruções!$F$6:$J$10,4,0)&amp;" as "&amp;VLOOKUP(B348,Instruções!$F$6:$J$10,4,0)&amp;"_as_is, "&amp;VLOOKUP(B348,Instruções!$F$6:$J$10,5,0)&amp;" as "&amp;VLOOKUP(B348,Instruções!$F$6:$J$10,5,0)&amp;"_as_is,"&amp;E348&amp;" as "&amp;F348&amp;" FROM "&amp;C348&amp;" WHERE "&amp;Instruções!$D$11&amp;") A ")</f>
        <v xml:space="preserve">(SELECT prtctn_id as prtctn_id_as_is, rl_estt_pst_cd as rl_estt_pst_cd_as_is FROM cd_loan_tapes_bce.lt004_protection WHERE ref_date='2025-06-30' AND nome_perimetro= 'Individual IDComb' AND segmento= 'ESTR' AND ambito= 'PM' AND entidade='00100' AND cod_visao = 1) A </v>
      </c>
      <c r="I348" s="17" t="str">
        <f>IF(VLOOKUP(B348,Instruções!$F$6:$J$10,5,0)="",
"(SELECT "&amp;VLOOKUP(B348,Instruções!$F$6:$J$10,4,0)&amp;" as "&amp;VLOOKUP(B348,Instruções!$F$6:$J$10,4,0)&amp;"_to_be, "&amp;E348&amp;" as "&amp;G348&amp;" FROM "&amp;D348&amp;" WHERE "&amp;Instruções!$D$11&amp;") B ",
"(SELECT "&amp;VLOOKUP(B348,Instruções!$F$6:$J$10,4,0)&amp;" as "&amp;VLOOKUP(B348,Instruções!$F$6:$J$10,4,0)&amp;"_to_be, "&amp;VLOOKUP(B348,Instruções!$F$6:$J$10,5,0)&amp;" as "&amp;VLOOKUP(B348,Instruções!$F$6:$J$10,5,0)&amp;"_to_be,"&amp;E348&amp;" as "&amp;G348&amp;" FROM "&amp;D348&amp;" WHERE "&amp;Instruções!$D$11&amp;") B ")</f>
        <v xml:space="preserve">(SELECT prtctn_id as prtctn_id_to_be, rl_estt_pst_cd as rl_estt_pst_cd_to_be FROM bu_loantape_work.lt004_protection WHERE ref_date='2025-06-30' AND nome_perimetro= 'Individual IDComb' AND segmento= 'ESTR' AND ambito= 'PM' AND entidade='00100' AND cod_visao = 1) B </v>
      </c>
      <c r="J348" s="17" t="str">
        <f>IF(VLOOKUP(B348,Instruções!$F$6:$J$10,5,0)="",
"ON "&amp;VLOOKUP(B348,Instruções!$F$6:$J$10,4,0)&amp;"_as_is = "&amp;VLOOKUP(B348,Instruções!$F$6:$J$10,4,0)&amp;"_to_be ",
"ON "&amp;VLOOKUP(B348,Instruções!$F$6:$J$10,4,0)&amp;"_as_is = "&amp;VLOOKUP(B348,Instruções!$F$6:$J$10,4,0)&amp;"_to_be AND "&amp;VLOOKUP(B348,Instruções!$F$6:$J$10,5,0)&amp;"_as_is = "&amp;VLOOKUP(B348,Instruções!$F$6:$J$10,5,0)&amp;"_to_be ")</f>
        <v xml:space="preserve">ON prtctn_id_as_is = prtctn_id_to_be </v>
      </c>
      <c r="K348" s="17" t="str">
        <f t="shared" si="67"/>
        <v xml:space="preserve">WHERE coalesce(cast(rl_estt_pst_cd_as_is as string), '') &lt;&gt; coalesce(cast(rl_estt_pst_cd_to_be as string), '') </v>
      </c>
      <c r="L348" s="17" t="str">
        <f t="shared" si="64"/>
        <v xml:space="preserve">SELECT count(*) AS NUM_REG_DIF FROM (SELECT prtctn_id as prtctn_id_as_is, rl_estt_pst_cd as rl_estt_pst_cd_as_is FROM cd_loan_tapes_bce.lt004_protection WHERE ref_date='2025-06-30' AND nome_perimetro= 'Individual IDComb' AND segmento= 'ESTR' AND ambito= 'PM' AND entidade='00100' AND cod_visao = 1) A  Inner join (SELECT prtctn_id as prtctn_id_to_be, rl_estt_pst_cd as rl_estt_pst_cd_to_be FROM bu_loantape_work.lt004_protection WHERE ref_date='2025-06-30' AND nome_perimetro= 'Individual IDComb' AND segmento= 'ESTR' AND ambito= 'PM' AND entidade='00100' AND cod_visao = 1) B ON prtctn_id_as_is = prtctn_id_to_be WHERE coalesce(cast(rl_estt_pst_cd_as_is as string), '') &lt;&gt; coalesce(cast(rl_estt_pst_cd_to_be as string), '') </v>
      </c>
      <c r="M348" s="17" t="s">
        <v>48</v>
      </c>
      <c r="N348" s="17" t="str">
        <f>"SELECT 'Validação de campos' as tipologia_teste, '"&amp;VLOOKUP(B348,Instruções!$F$6:$J$10,3,0)&amp;"' AS TABELA, '"&amp;E348&amp;"' AS CAMPO, '"&amp;Instruções!$D$7&amp;"' as ref_date, coalesce(NUM_REG_DIF, 0) AS NUM_REG_DIF FROM ("&amp;L348&amp;") A "</f>
        <v xml:space="preserve">SELECT 'Validação de campos' as tipologia_teste, 'lt004_protection' AS TABELA, 'rl_estt_pst_cd' AS CAMPO, '2025-06-30' as ref_date, coalesce(NUM_REG_DIF, 0) AS NUM_REG_DIF FROM (SELECT count(*) AS NUM_REG_DIF FROM (SELECT prtctn_id as prtctn_id_as_is, rl_estt_pst_cd as rl_estt_pst_cd_as_is FROM cd_loan_tapes_bce.lt004_protection WHERE ref_date='2025-06-30' AND nome_perimetro= 'Individual IDComb' AND segmento= 'ESTR' AND ambito= 'PM' AND entidade='00100' AND cod_visao = 1) A  Inner join (SELECT prtctn_id as prtctn_id_to_be, rl_estt_pst_cd as rl_estt_pst_cd_to_be FROM bu_loantape_work.lt004_protection WHERE ref_date='2025-06-30' AND nome_perimetro= 'Individual IDComb' AND segmento= 'ESTR' AND ambito= 'PM' AND entidade='00100' AND cod_visao = 1) B ON prtctn_id_as_is = prtctn_id_to_be WHERE coalesce(cast(rl_estt_pst_cd_as_is as string), '') &lt;&gt; coalesce(cast(rl_estt_pst_cd_to_be as string), '') ) A </v>
      </c>
      <c r="O348" s="19" t="str">
        <f t="shared" si="60"/>
        <v>SELECT 'Validação de campos' as tipologia_teste, 'lt004_protection' AS TABELA, 'rl_estt_pst_cd' AS CAMPO, '2025-06-30' as ref_date, coalesce(NUM_REG_DIF, 0) AS NUM_REG_DIF FROM (SELECT count(*) AS NUM_REG_DIF FROM (SELECT prtctn_id as prtctn_id_as_is, rl_estt_pst_cd as rl_estt_pst_cd_as_is FROM cd_loan_tapes_bce.lt004_protection WHERE ref_date='2025-06-30' AND nome_perimetro= 'Individual IDComb' AND segmento= 'ESTR' AND ambito= 'PM' AND entidade='00100' AND cod_visao = 1) A  Inner join (SELECT prtctn_id as prtctn_id_to_be, rl_estt_pst_cd as rl_estt_pst_cd_to_be FROM bu_loantape_work.lt004_protection WHERE ref_date='2025-06-30' AND nome_perimetro= 'Individual IDComb' AND segmento= 'ESTR' AND ambito= 'PM' AND entidade='00100' AND cod_visao = 1) B ON prtctn_id_as_is = prtctn_id_to_be WHERE coalesce(cast(rl_estt_pst_cd_as_is as string), '') &lt;&gt; coalesce(cast(rl_estt_pst_cd_to_be as string), '') ) A UNION ALL</v>
      </c>
      <c r="P348" s="17">
        <f t="shared" si="59"/>
        <v>29</v>
      </c>
    </row>
    <row r="349" spans="2:16" s="15" customFormat="1" ht="11.5" x14ac:dyDescent="0.25">
      <c r="B349" s="17" t="s">
        <v>28</v>
      </c>
      <c r="C349" s="17" t="str">
        <f>_xlfn.CONCAT(Instruções!$D$5,".",VLOOKUP(B349,Instruções!$F$5:$H$10,2,0))</f>
        <v>cd_loan_tapes_bce.lt004_protection</v>
      </c>
      <c r="D349" s="17" t="str">
        <f>_xlfn.CONCAT(Instruções!$D$6,".",VLOOKUP(B349,Instruções!$F$5:$H$10,3,0))</f>
        <v>bu_loantape_work.lt004_protection</v>
      </c>
      <c r="E349" s="17" t="s">
        <v>135</v>
      </c>
      <c r="F349" s="17" t="str">
        <f t="shared" si="65"/>
        <v>tax_id_as_is</v>
      </c>
      <c r="G349" s="17" t="str">
        <f t="shared" si="66"/>
        <v>tax_id_to_be</v>
      </c>
      <c r="H349" s="17" t="str">
        <f>IF(VLOOKUP(B349,Instruções!$F$6:$J$10,5,0)="",
"(SELECT "&amp;VLOOKUP(B349,Instruções!$F$6:$J$10,4,0)&amp;" as "&amp;VLOOKUP(B349,Instruções!$F$6:$J$10,4,0)&amp;"_as_is, "&amp;E349&amp;" as "&amp;F349&amp;" FROM "&amp;C349&amp;" WHERE "&amp;Instruções!$D$11&amp;") A ",
"(SELECT "&amp;VLOOKUP(B349,Instruções!$F$6:$J$10,4,0)&amp;" as "&amp;VLOOKUP(B349,Instruções!$F$6:$J$10,4,0)&amp;"_as_is, "&amp;VLOOKUP(B349,Instruções!$F$6:$J$10,5,0)&amp;" as "&amp;VLOOKUP(B349,Instruções!$F$6:$J$10,5,0)&amp;"_as_is,"&amp;E349&amp;" as "&amp;F349&amp;" FROM "&amp;C349&amp;" WHERE "&amp;Instruções!$D$11&amp;") A ")</f>
        <v xml:space="preserve">(SELECT prtctn_id as prtctn_id_as_is, tax_id as tax_id_as_is FROM cd_loan_tapes_bce.lt004_protection WHERE ref_date='2025-06-30' AND nome_perimetro= 'Individual IDComb' AND segmento= 'ESTR' AND ambito= 'PM' AND entidade='00100' AND cod_visao = 1) A </v>
      </c>
      <c r="I349" s="17" t="str">
        <f>IF(VLOOKUP(B349,Instruções!$F$6:$J$10,5,0)="",
"(SELECT "&amp;VLOOKUP(B349,Instruções!$F$6:$J$10,4,0)&amp;" as "&amp;VLOOKUP(B349,Instruções!$F$6:$J$10,4,0)&amp;"_to_be, "&amp;E349&amp;" as "&amp;G349&amp;" FROM "&amp;D349&amp;" WHERE "&amp;Instruções!$D$11&amp;") B ",
"(SELECT "&amp;VLOOKUP(B349,Instruções!$F$6:$J$10,4,0)&amp;" as "&amp;VLOOKUP(B349,Instruções!$F$6:$J$10,4,0)&amp;"_to_be, "&amp;VLOOKUP(B349,Instruções!$F$6:$J$10,5,0)&amp;" as "&amp;VLOOKUP(B349,Instruções!$F$6:$J$10,5,0)&amp;"_to_be,"&amp;E349&amp;" as "&amp;G349&amp;" FROM "&amp;D349&amp;" WHERE "&amp;Instruções!$D$11&amp;") B ")</f>
        <v xml:space="preserve">(SELECT prtctn_id as prtctn_id_to_be, tax_id as tax_id_to_be FROM bu_loantape_work.lt004_protection WHERE ref_date='2025-06-30' AND nome_perimetro= 'Individual IDComb' AND segmento= 'ESTR' AND ambito= 'PM' AND entidade='00100' AND cod_visao = 1) B </v>
      </c>
      <c r="J349" s="17" t="str">
        <f>IF(VLOOKUP(B349,Instruções!$F$6:$J$10,5,0)="",
"ON "&amp;VLOOKUP(B349,Instruções!$F$6:$J$10,4,0)&amp;"_as_is = "&amp;VLOOKUP(B349,Instruções!$F$6:$J$10,4,0)&amp;"_to_be ",
"ON "&amp;VLOOKUP(B349,Instruções!$F$6:$J$10,4,0)&amp;"_as_is = "&amp;VLOOKUP(B349,Instruções!$F$6:$J$10,4,0)&amp;"_to_be AND "&amp;VLOOKUP(B349,Instruções!$F$6:$J$10,5,0)&amp;"_as_is = "&amp;VLOOKUP(B349,Instruções!$F$6:$J$10,5,0)&amp;"_to_be ")</f>
        <v xml:space="preserve">ON prtctn_id_as_is = prtctn_id_to_be </v>
      </c>
      <c r="K349" s="17" t="str">
        <f t="shared" si="67"/>
        <v xml:space="preserve">WHERE coalesce(cast(tax_id_as_is as string), '') &lt;&gt; coalesce(cast(tax_id_to_be as string), '') </v>
      </c>
      <c r="L349" s="17" t="str">
        <f t="shared" si="64"/>
        <v xml:space="preserve">SELECT count(*) AS NUM_REG_DIF FROM (SELECT prtctn_id as prtctn_id_as_is, tax_id as tax_id_as_is FROM cd_loan_tapes_bce.lt004_protection WHERE ref_date='2025-06-30' AND nome_perimetro= 'Individual IDComb' AND segmento= 'ESTR' AND ambito= 'PM' AND entidade='00100' AND cod_visao = 1) A  Inner join (SELECT prtctn_id as prtctn_id_to_be, tax_id as tax_id_to_be FROM bu_loantape_work.lt004_protection WHERE ref_date='2025-06-30' AND nome_perimetro= 'Individual IDComb' AND segmento= 'ESTR' AND ambito= 'PM' AND entidade='00100' AND cod_visao = 1) B ON prtctn_id_as_is = prtctn_id_to_be WHERE coalesce(cast(tax_id_as_is as string), '') &lt;&gt; coalesce(cast(tax_id_to_be as string), '') </v>
      </c>
      <c r="M349" s="17" t="s">
        <v>48</v>
      </c>
      <c r="N349" s="17" t="str">
        <f>"SELECT 'Validação de campos' as tipologia_teste, '"&amp;VLOOKUP(B349,Instruções!$F$6:$J$10,3,0)&amp;"' AS TABELA, '"&amp;E349&amp;"' AS CAMPO, '"&amp;Instruções!$D$7&amp;"' as ref_date, coalesce(NUM_REG_DIF, 0) AS NUM_REG_DIF FROM ("&amp;L349&amp;") A "</f>
        <v xml:space="preserve">SELECT 'Validação de campos' as tipologia_teste, 'lt004_protection' AS TABELA, 'tax_id' AS CAMPO, '2025-06-30' as ref_date, coalesce(NUM_REG_DIF, 0) AS NUM_REG_DIF FROM (SELECT count(*) AS NUM_REG_DIF FROM (SELECT prtctn_id as prtctn_id_as_is, tax_id as tax_id_as_is FROM cd_loan_tapes_bce.lt004_protection WHERE ref_date='2025-06-30' AND nome_perimetro= 'Individual IDComb' AND segmento= 'ESTR' AND ambito= 'PM' AND entidade='00100' AND cod_visao = 1) A  Inner join (SELECT prtctn_id as prtctn_id_to_be, tax_id as tax_id_to_be FROM bu_loantape_work.lt004_protection WHERE ref_date='2025-06-30' AND nome_perimetro= 'Individual IDComb' AND segmento= 'ESTR' AND ambito= 'PM' AND entidade='00100' AND cod_visao = 1) B ON prtctn_id_as_is = prtctn_id_to_be WHERE coalesce(cast(tax_id_as_is as string), '') &lt;&gt; coalesce(cast(tax_id_to_be as string), '') ) A </v>
      </c>
      <c r="O349" s="19" t="str">
        <f t="shared" si="60"/>
        <v>SELECT 'Validação de campos' as tipologia_teste, 'lt004_protection' AS TABELA, 'tax_id' AS CAMPO, '2025-06-30' as ref_date, coalesce(NUM_REG_DIF, 0) AS NUM_REG_DIF FROM (SELECT count(*) AS NUM_REG_DIF FROM (SELECT prtctn_id as prtctn_id_as_is, tax_id as tax_id_as_is FROM cd_loan_tapes_bce.lt004_protection WHERE ref_date='2025-06-30' AND nome_perimetro= 'Individual IDComb' AND segmento= 'ESTR' AND ambito= 'PM' AND entidade='00100' AND cod_visao = 1) A  Inner join (SELECT prtctn_id as prtctn_id_to_be, tax_id as tax_id_to_be FROM bu_loantape_work.lt004_protection WHERE ref_date='2025-06-30' AND nome_perimetro= 'Individual IDComb' AND segmento= 'ESTR' AND ambito= 'PM' AND entidade='00100' AND cod_visao = 1) B ON prtctn_id_as_is = prtctn_id_to_be WHERE coalesce(cast(tax_id_as_is as string), '') &lt;&gt; coalesce(cast(tax_id_to_be as string), '') ) A UNION ALL</v>
      </c>
      <c r="P349" s="17">
        <f t="shared" si="59"/>
        <v>30</v>
      </c>
    </row>
    <row r="350" spans="2:16" s="15" customFormat="1" ht="11.5" x14ac:dyDescent="0.25">
      <c r="B350" s="17" t="s">
        <v>28</v>
      </c>
      <c r="C350" s="17" t="str">
        <f>_xlfn.CONCAT(Instruções!$D$5,".",VLOOKUP(B350,Instruções!$F$5:$H$10,2,0))</f>
        <v>cd_loan_tapes_bce.lt004_protection</v>
      </c>
      <c r="D350" s="17" t="str">
        <f>_xlfn.CONCAT(Instruções!$D$6,".",VLOOKUP(B350,Instruções!$F$5:$H$10,3,0))</f>
        <v>bu_loantape_work.lt004_protection</v>
      </c>
      <c r="E350" s="17" t="s">
        <v>346</v>
      </c>
      <c r="F350" s="17" t="str">
        <f t="shared" si="65"/>
        <v>dt_prtctn_vl_as_is</v>
      </c>
      <c r="G350" s="17" t="str">
        <f t="shared" si="66"/>
        <v>dt_prtctn_vl_to_be</v>
      </c>
      <c r="H350" s="17" t="str">
        <f>IF(VLOOKUP(B350,Instruções!$F$6:$J$10,5,0)="",
"(SELECT "&amp;VLOOKUP(B350,Instruções!$F$6:$J$10,4,0)&amp;" as "&amp;VLOOKUP(B350,Instruções!$F$6:$J$10,4,0)&amp;"_as_is, "&amp;E350&amp;" as "&amp;F350&amp;" FROM "&amp;C350&amp;" WHERE "&amp;Instruções!$D$11&amp;") A ",
"(SELECT "&amp;VLOOKUP(B350,Instruções!$F$6:$J$10,4,0)&amp;" as "&amp;VLOOKUP(B350,Instruções!$F$6:$J$10,4,0)&amp;"_as_is, "&amp;VLOOKUP(B350,Instruções!$F$6:$J$10,5,0)&amp;" as "&amp;VLOOKUP(B350,Instruções!$F$6:$J$10,5,0)&amp;"_as_is,"&amp;E350&amp;" as "&amp;F350&amp;" FROM "&amp;C350&amp;" WHERE "&amp;Instruções!$D$11&amp;") A ")</f>
        <v xml:space="preserve">(SELECT prtctn_id as prtctn_id_as_is, dt_prtctn_vl as dt_prtctn_vl_as_is FROM cd_loan_tapes_bce.lt004_protection WHERE ref_date='2025-06-30' AND nome_perimetro= 'Individual IDComb' AND segmento= 'ESTR' AND ambito= 'PM' AND entidade='00100' AND cod_visao = 1) A </v>
      </c>
      <c r="I350" s="17" t="str">
        <f>IF(VLOOKUP(B350,Instruções!$F$6:$J$10,5,0)="",
"(SELECT "&amp;VLOOKUP(B350,Instruções!$F$6:$J$10,4,0)&amp;" as "&amp;VLOOKUP(B350,Instruções!$F$6:$J$10,4,0)&amp;"_to_be, "&amp;E350&amp;" as "&amp;G350&amp;" FROM "&amp;D350&amp;" WHERE "&amp;Instruções!$D$11&amp;") B ",
"(SELECT "&amp;VLOOKUP(B350,Instruções!$F$6:$J$10,4,0)&amp;" as "&amp;VLOOKUP(B350,Instruções!$F$6:$J$10,4,0)&amp;"_to_be, "&amp;VLOOKUP(B350,Instruções!$F$6:$J$10,5,0)&amp;" as "&amp;VLOOKUP(B350,Instruções!$F$6:$J$10,5,0)&amp;"_to_be,"&amp;E350&amp;" as "&amp;G350&amp;" FROM "&amp;D350&amp;" WHERE "&amp;Instruções!$D$11&amp;") B ")</f>
        <v xml:space="preserve">(SELECT prtctn_id as prtctn_id_to_be, dt_prtctn_vl as dt_prtctn_vl_to_be FROM bu_loantape_work.lt004_protection WHERE ref_date='2025-06-30' AND nome_perimetro= 'Individual IDComb' AND segmento= 'ESTR' AND ambito= 'PM' AND entidade='00100' AND cod_visao = 1) B </v>
      </c>
      <c r="J350" s="17" t="str">
        <f>IF(VLOOKUP(B350,Instruções!$F$6:$J$10,5,0)="",
"ON "&amp;VLOOKUP(B350,Instruções!$F$6:$J$10,4,0)&amp;"_as_is = "&amp;VLOOKUP(B350,Instruções!$F$6:$J$10,4,0)&amp;"_to_be ",
"ON "&amp;VLOOKUP(B350,Instruções!$F$6:$J$10,4,0)&amp;"_as_is = "&amp;VLOOKUP(B350,Instruções!$F$6:$J$10,4,0)&amp;"_to_be AND "&amp;VLOOKUP(B350,Instruções!$F$6:$J$10,5,0)&amp;"_as_is = "&amp;VLOOKUP(B350,Instruções!$F$6:$J$10,5,0)&amp;"_to_be ")</f>
        <v xml:space="preserve">ON prtctn_id_as_is = prtctn_id_to_be </v>
      </c>
      <c r="K350" s="17" t="str">
        <f t="shared" si="67"/>
        <v xml:space="preserve">WHERE coalesce(cast(dt_prtctn_vl_as_is as string), '') &lt;&gt; coalesce(cast(dt_prtctn_vl_to_be as string), '') </v>
      </c>
      <c r="L350" s="17" t="str">
        <f t="shared" si="64"/>
        <v xml:space="preserve">SELECT count(*) AS NUM_REG_DIF FROM (SELECT prtctn_id as prtctn_id_as_is, dt_prtctn_vl as dt_prtctn_vl_as_is FROM cd_loan_tapes_bce.lt004_protection WHERE ref_date='2025-06-30' AND nome_perimetro= 'Individual IDComb' AND segmento= 'ESTR' AND ambito= 'PM' AND entidade='00100' AND cod_visao = 1) A  Inner join (SELECT prtctn_id as prtctn_id_to_be, dt_prtctn_vl as dt_prtctn_vl_to_be FROM bu_loantape_work.lt004_protection WHERE ref_date='2025-06-30' AND nome_perimetro= 'Individual IDComb' AND segmento= 'ESTR' AND ambito= 'PM' AND entidade='00100' AND cod_visao = 1) B ON prtctn_id_as_is = prtctn_id_to_be WHERE coalesce(cast(dt_prtctn_vl_as_is as string), '') &lt;&gt; coalesce(cast(dt_prtctn_vl_to_be as string), '') </v>
      </c>
      <c r="M350" s="17" t="s">
        <v>48</v>
      </c>
      <c r="N350" s="17" t="str">
        <f>"SELECT 'Validação de campos' as tipologia_teste, '"&amp;VLOOKUP(B350,Instruções!$F$6:$J$10,3,0)&amp;"' AS TABELA, '"&amp;E350&amp;"' AS CAMPO, '"&amp;Instruções!$D$7&amp;"' as ref_date, coalesce(NUM_REG_DIF, 0) AS NUM_REG_DIF FROM ("&amp;L350&amp;") A "</f>
        <v xml:space="preserve">SELECT 'Validação de campos' as tipologia_teste, 'lt004_protection' AS TABELA, 'dt_prtctn_vl' AS CAMPO, '2025-06-30' as ref_date, coalesce(NUM_REG_DIF, 0) AS NUM_REG_DIF FROM (SELECT count(*) AS NUM_REG_DIF FROM (SELECT prtctn_id as prtctn_id_as_is, dt_prtctn_vl as dt_prtctn_vl_as_is FROM cd_loan_tapes_bce.lt004_protection WHERE ref_date='2025-06-30' AND nome_perimetro= 'Individual IDComb' AND segmento= 'ESTR' AND ambito= 'PM' AND entidade='00100' AND cod_visao = 1) A  Inner join (SELECT prtctn_id as prtctn_id_to_be, dt_prtctn_vl as dt_prtctn_vl_to_be FROM bu_loantape_work.lt004_protection WHERE ref_date='2025-06-30' AND nome_perimetro= 'Individual IDComb' AND segmento= 'ESTR' AND ambito= 'PM' AND entidade='00100' AND cod_visao = 1) B ON prtctn_id_as_is = prtctn_id_to_be WHERE coalesce(cast(dt_prtctn_vl_as_is as string), '') &lt;&gt; coalesce(cast(dt_prtctn_vl_to_be as string), '') ) A </v>
      </c>
      <c r="O350" s="19" t="str">
        <f t="shared" si="60"/>
        <v>SELECT 'Validação de campos' as tipologia_teste, 'lt004_protection' AS TABELA, 'dt_prtctn_vl' AS CAMPO, '2025-06-30' as ref_date, coalesce(NUM_REG_DIF, 0) AS NUM_REG_DIF FROM (SELECT count(*) AS NUM_REG_DIF FROM (SELECT prtctn_id as prtctn_id_as_is, dt_prtctn_vl as dt_prtctn_vl_as_is FROM cd_loan_tapes_bce.lt004_protection WHERE ref_date='2025-06-30' AND nome_perimetro= 'Individual IDComb' AND segmento= 'ESTR' AND ambito= 'PM' AND entidade='00100' AND cod_visao = 1) A  Inner join (SELECT prtctn_id as prtctn_id_to_be, dt_prtctn_vl as dt_prtctn_vl_to_be FROM bu_loantape_work.lt004_protection WHERE ref_date='2025-06-30' AND nome_perimetro= 'Individual IDComb' AND segmento= 'ESTR' AND ambito= 'PM' AND entidade='00100' AND cod_visao = 1) B ON prtctn_id_as_is = prtctn_id_to_be WHERE coalesce(cast(dt_prtctn_vl_as_is as string), '') &lt;&gt; coalesce(cast(dt_prtctn_vl_to_be as string), '') ) A UNION ALL</v>
      </c>
      <c r="P350" s="17">
        <f t="shared" si="59"/>
        <v>31</v>
      </c>
    </row>
    <row r="351" spans="2:16" s="15" customFormat="1" ht="11.5" x14ac:dyDescent="0.25">
      <c r="B351" s="17" t="s">
        <v>28</v>
      </c>
      <c r="C351" s="17" t="str">
        <f>_xlfn.CONCAT(Instruções!$D$5,".",VLOOKUP(B351,Instruções!$F$5:$H$10,2,0))</f>
        <v>cd_loan_tapes_bce.lt004_protection</v>
      </c>
      <c r="D351" s="17" t="str">
        <f>_xlfn.CONCAT(Instruções!$D$6,".",VLOOKUP(B351,Instruções!$F$5:$H$10,3,0))</f>
        <v>bu_loantape_work.lt004_protection</v>
      </c>
      <c r="E351" s="17" t="s">
        <v>347</v>
      </c>
      <c r="F351" s="17" t="str">
        <f t="shared" si="65"/>
        <v>ntnl_id_as_is</v>
      </c>
      <c r="G351" s="17" t="str">
        <f t="shared" si="66"/>
        <v>ntnl_id_to_be</v>
      </c>
      <c r="H351" s="17" t="str">
        <f>IF(VLOOKUP(B351,Instruções!$F$6:$J$10,5,0)="",
"(SELECT "&amp;VLOOKUP(B351,Instruções!$F$6:$J$10,4,0)&amp;" as "&amp;VLOOKUP(B351,Instruções!$F$6:$J$10,4,0)&amp;"_as_is, "&amp;E351&amp;" as "&amp;F351&amp;" FROM "&amp;C351&amp;" WHERE "&amp;Instruções!$D$11&amp;") A ",
"(SELECT "&amp;VLOOKUP(B351,Instruções!$F$6:$J$10,4,0)&amp;" as "&amp;VLOOKUP(B351,Instruções!$F$6:$J$10,4,0)&amp;"_as_is, "&amp;VLOOKUP(B351,Instruções!$F$6:$J$10,5,0)&amp;" as "&amp;VLOOKUP(B351,Instruções!$F$6:$J$10,5,0)&amp;"_as_is,"&amp;E351&amp;" as "&amp;F351&amp;" FROM "&amp;C351&amp;" WHERE "&amp;Instruções!$D$11&amp;") A ")</f>
        <v xml:space="preserve">(SELECT prtctn_id as prtctn_id_as_is, ntnl_id as ntnl_id_as_is FROM cd_loan_tapes_bce.lt004_protection WHERE ref_date='2025-06-30' AND nome_perimetro= 'Individual IDComb' AND segmento= 'ESTR' AND ambito= 'PM' AND entidade='00100' AND cod_visao = 1) A </v>
      </c>
      <c r="I351" s="17" t="str">
        <f>IF(VLOOKUP(B351,Instruções!$F$6:$J$10,5,0)="",
"(SELECT "&amp;VLOOKUP(B351,Instruções!$F$6:$J$10,4,0)&amp;" as "&amp;VLOOKUP(B351,Instruções!$F$6:$J$10,4,0)&amp;"_to_be, "&amp;E351&amp;" as "&amp;G351&amp;" FROM "&amp;D351&amp;" WHERE "&amp;Instruções!$D$11&amp;") B ",
"(SELECT "&amp;VLOOKUP(B351,Instruções!$F$6:$J$10,4,0)&amp;" as "&amp;VLOOKUP(B351,Instruções!$F$6:$J$10,4,0)&amp;"_to_be, "&amp;VLOOKUP(B351,Instruções!$F$6:$J$10,5,0)&amp;" as "&amp;VLOOKUP(B351,Instruções!$F$6:$J$10,5,0)&amp;"_to_be,"&amp;E351&amp;" as "&amp;G351&amp;" FROM "&amp;D351&amp;" WHERE "&amp;Instruções!$D$11&amp;") B ")</f>
        <v xml:space="preserve">(SELECT prtctn_id as prtctn_id_to_be, ntnl_id as ntnl_id_to_be FROM bu_loantape_work.lt004_protection WHERE ref_date='2025-06-30' AND nome_perimetro= 'Individual IDComb' AND segmento= 'ESTR' AND ambito= 'PM' AND entidade='00100' AND cod_visao = 1) B </v>
      </c>
      <c r="J351" s="17" t="str">
        <f>IF(VLOOKUP(B351,Instruções!$F$6:$J$10,5,0)="",
"ON "&amp;VLOOKUP(B351,Instruções!$F$6:$J$10,4,0)&amp;"_as_is = "&amp;VLOOKUP(B351,Instruções!$F$6:$J$10,4,0)&amp;"_to_be ",
"ON "&amp;VLOOKUP(B351,Instruções!$F$6:$J$10,4,0)&amp;"_as_is = "&amp;VLOOKUP(B351,Instruções!$F$6:$J$10,4,0)&amp;"_to_be AND "&amp;VLOOKUP(B351,Instruções!$F$6:$J$10,5,0)&amp;"_as_is = "&amp;VLOOKUP(B351,Instruções!$F$6:$J$10,5,0)&amp;"_to_be ")</f>
        <v xml:space="preserve">ON prtctn_id_as_is = prtctn_id_to_be </v>
      </c>
      <c r="K351" s="17" t="str">
        <f t="shared" si="67"/>
        <v xml:space="preserve">WHERE coalesce(cast(ntnl_id_as_is as string), '') &lt;&gt; coalesce(cast(ntnl_id_to_be as string), '') </v>
      </c>
      <c r="L351" s="17" t="str">
        <f t="shared" si="64"/>
        <v xml:space="preserve">SELECT count(*) AS NUM_REG_DIF FROM (SELECT prtctn_id as prtctn_id_as_is, ntnl_id as ntnl_id_as_is FROM cd_loan_tapes_bce.lt004_protection WHERE ref_date='2025-06-30' AND nome_perimetro= 'Individual IDComb' AND segmento= 'ESTR' AND ambito= 'PM' AND entidade='00100' AND cod_visao = 1) A  Inner join (SELECT prtctn_id as prtctn_id_to_be, ntnl_id as ntnl_id_to_be FROM bu_loantape_work.lt004_protection WHERE ref_date='2025-06-30' AND nome_perimetro= 'Individual IDComb' AND segmento= 'ESTR' AND ambito= 'PM' AND entidade='00100' AND cod_visao = 1) B ON prtctn_id_as_is = prtctn_id_to_be WHERE coalesce(cast(ntnl_id_as_is as string), '') &lt;&gt; coalesce(cast(ntnl_id_to_be as string), '') </v>
      </c>
      <c r="M351" s="17" t="s">
        <v>48</v>
      </c>
      <c r="N351" s="17" t="str">
        <f>"SELECT 'Validação de campos' as tipologia_teste, '"&amp;VLOOKUP(B351,Instruções!$F$6:$J$10,3,0)&amp;"' AS TABELA, '"&amp;E351&amp;"' AS CAMPO, '"&amp;Instruções!$D$7&amp;"' as ref_date, coalesce(NUM_REG_DIF, 0) AS NUM_REG_DIF FROM ("&amp;L351&amp;") A "</f>
        <v xml:space="preserve">SELECT 'Validação de campos' as tipologia_teste, 'lt004_protection' AS TABELA, 'ntnl_id' AS CAMPO, '2025-06-30' as ref_date, coalesce(NUM_REG_DIF, 0) AS NUM_REG_DIF FROM (SELECT count(*) AS NUM_REG_DIF FROM (SELECT prtctn_id as prtctn_id_as_is, ntnl_id as ntnl_id_as_is FROM cd_loan_tapes_bce.lt004_protection WHERE ref_date='2025-06-30' AND nome_perimetro= 'Individual IDComb' AND segmento= 'ESTR' AND ambito= 'PM' AND entidade='00100' AND cod_visao = 1) A  Inner join (SELECT prtctn_id as prtctn_id_to_be, ntnl_id as ntnl_id_to_be FROM bu_loantape_work.lt004_protection WHERE ref_date='2025-06-30' AND nome_perimetro= 'Individual IDComb' AND segmento= 'ESTR' AND ambito= 'PM' AND entidade='00100' AND cod_visao = 1) B ON prtctn_id_as_is = prtctn_id_to_be WHERE coalesce(cast(ntnl_id_as_is as string), '') &lt;&gt; coalesce(cast(ntnl_id_to_be as string), '') ) A </v>
      </c>
      <c r="O351" s="19" t="str">
        <f t="shared" si="60"/>
        <v>SELECT 'Validação de campos' as tipologia_teste, 'lt004_protection' AS TABELA, 'ntnl_id' AS CAMPO, '2025-06-30' as ref_date, coalesce(NUM_REG_DIF, 0) AS NUM_REG_DIF FROM (SELECT count(*) AS NUM_REG_DIF FROM (SELECT prtctn_id as prtctn_id_as_is, ntnl_id as ntnl_id_as_is FROM cd_loan_tapes_bce.lt004_protection WHERE ref_date='2025-06-30' AND nome_perimetro= 'Individual IDComb' AND segmento= 'ESTR' AND ambito= 'PM' AND entidade='00100' AND cod_visao = 1) A  Inner join (SELECT prtctn_id as prtctn_id_to_be, ntnl_id as ntnl_id_to_be FROM bu_loantape_work.lt004_protection WHERE ref_date='2025-06-30' AND nome_perimetro= 'Individual IDComb' AND segmento= 'ESTR' AND ambito= 'PM' AND entidade='00100' AND cod_visao = 1) B ON prtctn_id_as_is = prtctn_id_to_be WHERE coalesce(cast(ntnl_id_as_is as string), '') &lt;&gt; coalesce(cast(ntnl_id_to_be as string), '') ) A UNION ALL</v>
      </c>
      <c r="P351" s="17">
        <f t="shared" si="59"/>
        <v>32</v>
      </c>
    </row>
    <row r="352" spans="2:16" s="15" customFormat="1" ht="11.5" x14ac:dyDescent="0.25">
      <c r="B352" s="17" t="s">
        <v>28</v>
      </c>
      <c r="C352" s="17" t="str">
        <f>_xlfn.CONCAT(Instruções!$D$5,".",VLOOKUP(B352,Instruções!$F$5:$H$10,2,0))</f>
        <v>cd_loan_tapes_bce.lt004_protection</v>
      </c>
      <c r="D352" s="17" t="str">
        <f>_xlfn.CONCAT(Instruções!$D$6,".",VLOOKUP(B352,Instruções!$F$5:$H$10,3,0))</f>
        <v>bu_loantape_work.lt004_protection</v>
      </c>
      <c r="E352" s="17" t="s">
        <v>348</v>
      </c>
      <c r="F352" s="17" t="str">
        <f t="shared" si="65"/>
        <v>typ_prtctn_intrnl_as_is</v>
      </c>
      <c r="G352" s="17" t="str">
        <f t="shared" si="66"/>
        <v>typ_prtctn_intrnl_to_be</v>
      </c>
      <c r="H352" s="17" t="str">
        <f>IF(VLOOKUP(B352,Instruções!$F$6:$J$10,5,0)="",
"(SELECT "&amp;VLOOKUP(B352,Instruções!$F$6:$J$10,4,0)&amp;" as "&amp;VLOOKUP(B352,Instruções!$F$6:$J$10,4,0)&amp;"_as_is, "&amp;E352&amp;" as "&amp;F352&amp;" FROM "&amp;C352&amp;" WHERE "&amp;Instruções!$D$11&amp;") A ",
"(SELECT "&amp;VLOOKUP(B352,Instruções!$F$6:$J$10,4,0)&amp;" as "&amp;VLOOKUP(B352,Instruções!$F$6:$J$10,4,0)&amp;"_as_is, "&amp;VLOOKUP(B352,Instruções!$F$6:$J$10,5,0)&amp;" as "&amp;VLOOKUP(B352,Instruções!$F$6:$J$10,5,0)&amp;"_as_is,"&amp;E352&amp;" as "&amp;F352&amp;" FROM "&amp;C352&amp;" WHERE "&amp;Instruções!$D$11&amp;") A ")</f>
        <v xml:space="preserve">(SELECT prtctn_id as prtctn_id_as_is, typ_prtctn_intrnl as typ_prtctn_intrnl_as_is FROM cd_loan_tapes_bce.lt004_protection WHERE ref_date='2025-06-30' AND nome_perimetro= 'Individual IDComb' AND segmento= 'ESTR' AND ambito= 'PM' AND entidade='00100' AND cod_visao = 1) A </v>
      </c>
      <c r="I352" s="17" t="str">
        <f>IF(VLOOKUP(B352,Instruções!$F$6:$J$10,5,0)="",
"(SELECT "&amp;VLOOKUP(B352,Instruções!$F$6:$J$10,4,0)&amp;" as "&amp;VLOOKUP(B352,Instruções!$F$6:$J$10,4,0)&amp;"_to_be, "&amp;E352&amp;" as "&amp;G352&amp;" FROM "&amp;D352&amp;" WHERE "&amp;Instruções!$D$11&amp;") B ",
"(SELECT "&amp;VLOOKUP(B352,Instruções!$F$6:$J$10,4,0)&amp;" as "&amp;VLOOKUP(B352,Instruções!$F$6:$J$10,4,0)&amp;"_to_be, "&amp;VLOOKUP(B352,Instruções!$F$6:$J$10,5,0)&amp;" as "&amp;VLOOKUP(B352,Instruções!$F$6:$J$10,5,0)&amp;"_to_be,"&amp;E352&amp;" as "&amp;G352&amp;" FROM "&amp;D352&amp;" WHERE "&amp;Instruções!$D$11&amp;") B ")</f>
        <v xml:space="preserve">(SELECT prtctn_id as prtctn_id_to_be, typ_prtctn_intrnl as typ_prtctn_intrnl_to_be FROM bu_loantape_work.lt004_protection WHERE ref_date='2025-06-30' AND nome_perimetro= 'Individual IDComb' AND segmento= 'ESTR' AND ambito= 'PM' AND entidade='00100' AND cod_visao = 1) B </v>
      </c>
      <c r="J352" s="17" t="str">
        <f>IF(VLOOKUP(B352,Instruções!$F$6:$J$10,5,0)="",
"ON "&amp;VLOOKUP(B352,Instruções!$F$6:$J$10,4,0)&amp;"_as_is = "&amp;VLOOKUP(B352,Instruções!$F$6:$J$10,4,0)&amp;"_to_be ",
"ON "&amp;VLOOKUP(B352,Instruções!$F$6:$J$10,4,0)&amp;"_as_is = "&amp;VLOOKUP(B352,Instruções!$F$6:$J$10,4,0)&amp;"_to_be AND "&amp;VLOOKUP(B352,Instruções!$F$6:$J$10,5,0)&amp;"_as_is = "&amp;VLOOKUP(B352,Instruções!$F$6:$J$10,5,0)&amp;"_to_be ")</f>
        <v xml:space="preserve">ON prtctn_id_as_is = prtctn_id_to_be </v>
      </c>
      <c r="K352" s="17" t="str">
        <f t="shared" si="67"/>
        <v xml:space="preserve">WHERE coalesce(cast(typ_prtctn_intrnl_as_is as string), '') &lt;&gt; coalesce(cast(typ_prtctn_intrnl_to_be as string), '') </v>
      </c>
      <c r="L352" s="17" t="str">
        <f t="shared" si="64"/>
        <v xml:space="preserve">SELECT count(*) AS NUM_REG_DIF FROM (SELECT prtctn_id as prtctn_id_as_is, typ_prtctn_intrnl as typ_prtctn_intrnl_as_is FROM cd_loan_tapes_bce.lt004_protection WHERE ref_date='2025-06-30' AND nome_perimetro= 'Individual IDComb' AND segmento= 'ESTR' AND ambito= 'PM' AND entidade='00100' AND cod_visao = 1) A  Inner join (SELECT prtctn_id as prtctn_id_to_be, typ_prtctn_intrnl as typ_prtctn_intrnl_to_be FROM bu_loantape_work.lt004_protection WHERE ref_date='2025-06-30' AND nome_perimetro= 'Individual IDComb' AND segmento= 'ESTR' AND ambito= 'PM' AND entidade='00100' AND cod_visao = 1) B ON prtctn_id_as_is = prtctn_id_to_be WHERE coalesce(cast(typ_prtctn_intrnl_as_is as string), '') &lt;&gt; coalesce(cast(typ_prtctn_intrnl_to_be as string), '') </v>
      </c>
      <c r="M352" s="17" t="s">
        <v>48</v>
      </c>
      <c r="N352" s="17" t="str">
        <f>"SELECT 'Validação de campos' as tipologia_teste, '"&amp;VLOOKUP(B352,Instruções!$F$6:$J$10,3,0)&amp;"' AS TABELA, '"&amp;E352&amp;"' AS CAMPO, '"&amp;Instruções!$D$7&amp;"' as ref_date, coalesce(NUM_REG_DIF, 0) AS NUM_REG_DIF FROM ("&amp;L352&amp;") A "</f>
        <v xml:space="preserve">SELECT 'Validação de campos' as tipologia_teste, 'lt004_protection' AS TABELA, 'typ_prtctn_intrnl' AS CAMPO, '2025-06-30' as ref_date, coalesce(NUM_REG_DIF, 0) AS NUM_REG_DIF FROM (SELECT count(*) AS NUM_REG_DIF FROM (SELECT prtctn_id as prtctn_id_as_is, typ_prtctn_intrnl as typ_prtctn_intrnl_as_is FROM cd_loan_tapes_bce.lt004_protection WHERE ref_date='2025-06-30' AND nome_perimetro= 'Individual IDComb' AND segmento= 'ESTR' AND ambito= 'PM' AND entidade='00100' AND cod_visao = 1) A  Inner join (SELECT prtctn_id as prtctn_id_to_be, typ_prtctn_intrnl as typ_prtctn_intrnl_to_be FROM bu_loantape_work.lt004_protection WHERE ref_date='2025-06-30' AND nome_perimetro= 'Individual IDComb' AND segmento= 'ESTR' AND ambito= 'PM' AND entidade='00100' AND cod_visao = 1) B ON prtctn_id_as_is = prtctn_id_to_be WHERE coalesce(cast(typ_prtctn_intrnl_as_is as string), '') &lt;&gt; coalesce(cast(typ_prtctn_intrnl_to_be as string), '') ) A </v>
      </c>
      <c r="O352" s="19" t="str">
        <f t="shared" si="60"/>
        <v>SELECT 'Validação de campos' as tipologia_teste, 'lt004_protection' AS TABELA, 'typ_prtctn_intrnl' AS CAMPO, '2025-06-30' as ref_date, coalesce(NUM_REG_DIF, 0) AS NUM_REG_DIF FROM (SELECT count(*) AS NUM_REG_DIF FROM (SELECT prtctn_id as prtctn_id_as_is, typ_prtctn_intrnl as typ_prtctn_intrnl_as_is FROM cd_loan_tapes_bce.lt004_protection WHERE ref_date='2025-06-30' AND nome_perimetro= 'Individual IDComb' AND segmento= 'ESTR' AND ambito= 'PM' AND entidade='00100' AND cod_visao = 1) A  Inner join (SELECT prtctn_id as prtctn_id_to_be, typ_prtctn_intrnl as typ_prtctn_intrnl_to_be FROM bu_loantape_work.lt004_protection WHERE ref_date='2025-06-30' AND nome_perimetro= 'Individual IDComb' AND segmento= 'ESTR' AND ambito= 'PM' AND entidade='00100' AND cod_visao = 1) B ON prtctn_id_as_is = prtctn_id_to_be WHERE coalesce(cast(typ_prtctn_intrnl_as_is as string), '') &lt;&gt; coalesce(cast(typ_prtctn_intrnl_to_be as string), '') ) A UNION ALL</v>
      </c>
      <c r="P352" s="17">
        <f t="shared" si="59"/>
        <v>33</v>
      </c>
    </row>
    <row r="353" spans="2:16" s="15" customFormat="1" ht="11.5" x14ac:dyDescent="0.25">
      <c r="B353" s="17" t="s">
        <v>28</v>
      </c>
      <c r="C353" s="17" t="str">
        <f>_xlfn.CONCAT(Instruções!$D$5,".",VLOOKUP(B353,Instruções!$F$5:$H$10,2,0))</f>
        <v>cd_loan_tapes_bce.lt004_protection</v>
      </c>
      <c r="D353" s="17" t="str">
        <f>_xlfn.CONCAT(Instruções!$D$6,".",VLOOKUP(B353,Instruções!$F$5:$H$10,3,0))</f>
        <v>bu_loantape_work.lt004_protection</v>
      </c>
      <c r="E353" s="17" t="s">
        <v>349</v>
      </c>
      <c r="F353" s="17" t="str">
        <f t="shared" si="65"/>
        <v>typ_prtctn_vl_as_is</v>
      </c>
      <c r="G353" s="17" t="str">
        <f t="shared" si="66"/>
        <v>typ_prtctn_vl_to_be</v>
      </c>
      <c r="H353" s="17" t="str">
        <f>IF(VLOOKUP(B353,Instruções!$F$6:$J$10,5,0)="",
"(SELECT "&amp;VLOOKUP(B353,Instruções!$F$6:$J$10,4,0)&amp;" as "&amp;VLOOKUP(B353,Instruções!$F$6:$J$10,4,0)&amp;"_as_is, "&amp;E353&amp;" as "&amp;F353&amp;" FROM "&amp;C353&amp;" WHERE "&amp;Instruções!$D$11&amp;") A ",
"(SELECT "&amp;VLOOKUP(B353,Instruções!$F$6:$J$10,4,0)&amp;" as "&amp;VLOOKUP(B353,Instruções!$F$6:$J$10,4,0)&amp;"_as_is, "&amp;VLOOKUP(B353,Instruções!$F$6:$J$10,5,0)&amp;" as "&amp;VLOOKUP(B353,Instruções!$F$6:$J$10,5,0)&amp;"_as_is,"&amp;E353&amp;" as "&amp;F353&amp;" FROM "&amp;C353&amp;" WHERE "&amp;Instruções!$D$11&amp;") A ")</f>
        <v xml:space="preserve">(SELECT prtctn_id as prtctn_id_as_is, typ_prtctn_vl as typ_prtctn_vl_as_is FROM cd_loan_tapes_bce.lt004_protection WHERE ref_date='2025-06-30' AND nome_perimetro= 'Individual IDComb' AND segmento= 'ESTR' AND ambito= 'PM' AND entidade='00100' AND cod_visao = 1) A </v>
      </c>
      <c r="I353" s="17" t="str">
        <f>IF(VLOOKUP(B353,Instruções!$F$6:$J$10,5,0)="",
"(SELECT "&amp;VLOOKUP(B353,Instruções!$F$6:$J$10,4,0)&amp;" as "&amp;VLOOKUP(B353,Instruções!$F$6:$J$10,4,0)&amp;"_to_be, "&amp;E353&amp;" as "&amp;G353&amp;" FROM "&amp;D353&amp;" WHERE "&amp;Instruções!$D$11&amp;") B ",
"(SELECT "&amp;VLOOKUP(B353,Instruções!$F$6:$J$10,4,0)&amp;" as "&amp;VLOOKUP(B353,Instruções!$F$6:$J$10,4,0)&amp;"_to_be, "&amp;VLOOKUP(B353,Instruções!$F$6:$J$10,5,0)&amp;" as "&amp;VLOOKUP(B353,Instruções!$F$6:$J$10,5,0)&amp;"_to_be,"&amp;E353&amp;" as "&amp;G353&amp;" FROM "&amp;D353&amp;" WHERE "&amp;Instruções!$D$11&amp;") B ")</f>
        <v xml:space="preserve">(SELECT prtctn_id as prtctn_id_to_be, typ_prtctn_vl as typ_prtctn_vl_to_be FROM bu_loantape_work.lt004_protection WHERE ref_date='2025-06-30' AND nome_perimetro= 'Individual IDComb' AND segmento= 'ESTR' AND ambito= 'PM' AND entidade='00100' AND cod_visao = 1) B </v>
      </c>
      <c r="J353" s="17" t="str">
        <f>IF(VLOOKUP(B353,Instruções!$F$6:$J$10,5,0)="",
"ON "&amp;VLOOKUP(B353,Instruções!$F$6:$J$10,4,0)&amp;"_as_is = "&amp;VLOOKUP(B353,Instruções!$F$6:$J$10,4,0)&amp;"_to_be ",
"ON "&amp;VLOOKUP(B353,Instruções!$F$6:$J$10,4,0)&amp;"_as_is = "&amp;VLOOKUP(B353,Instruções!$F$6:$J$10,4,0)&amp;"_to_be AND "&amp;VLOOKUP(B353,Instruções!$F$6:$J$10,5,0)&amp;"_as_is = "&amp;VLOOKUP(B353,Instruções!$F$6:$J$10,5,0)&amp;"_to_be ")</f>
        <v xml:space="preserve">ON prtctn_id_as_is = prtctn_id_to_be </v>
      </c>
      <c r="K353" s="17" t="str">
        <f t="shared" si="67"/>
        <v xml:space="preserve">WHERE coalesce(cast(typ_prtctn_vl_as_is as string), '') &lt;&gt; coalesce(cast(typ_prtctn_vl_to_be as string), '') </v>
      </c>
      <c r="L353" s="17" t="str">
        <f t="shared" si="64"/>
        <v xml:space="preserve">SELECT count(*) AS NUM_REG_DIF FROM (SELECT prtctn_id as prtctn_id_as_is, typ_prtctn_vl as typ_prtctn_vl_as_is FROM cd_loan_tapes_bce.lt004_protection WHERE ref_date='2025-06-30' AND nome_perimetro= 'Individual IDComb' AND segmento= 'ESTR' AND ambito= 'PM' AND entidade='00100' AND cod_visao = 1) A  Inner join (SELECT prtctn_id as prtctn_id_to_be, typ_prtctn_vl as typ_prtctn_vl_to_be FROM bu_loantape_work.lt004_protection WHERE ref_date='2025-06-30' AND nome_perimetro= 'Individual IDComb' AND segmento= 'ESTR' AND ambito= 'PM' AND entidade='00100' AND cod_visao = 1) B ON prtctn_id_as_is = prtctn_id_to_be WHERE coalesce(cast(typ_prtctn_vl_as_is as string), '') &lt;&gt; coalesce(cast(typ_prtctn_vl_to_be as string), '') </v>
      </c>
      <c r="M353" s="17" t="s">
        <v>48</v>
      </c>
      <c r="N353" s="17" t="str">
        <f>"SELECT 'Validação de campos' as tipologia_teste, '"&amp;VLOOKUP(B353,Instruções!$F$6:$J$10,3,0)&amp;"' AS TABELA, '"&amp;E353&amp;"' AS CAMPO, '"&amp;Instruções!$D$7&amp;"' as ref_date, coalesce(NUM_REG_DIF, 0) AS NUM_REG_DIF FROM ("&amp;L353&amp;") A "</f>
        <v xml:space="preserve">SELECT 'Validação de campos' as tipologia_teste, 'lt004_protection' AS TABELA, 'typ_prtctn_vl' AS CAMPO, '2025-06-30' as ref_date, coalesce(NUM_REG_DIF, 0) AS NUM_REG_DIF FROM (SELECT count(*) AS NUM_REG_DIF FROM (SELECT prtctn_id as prtctn_id_as_is, typ_prtctn_vl as typ_prtctn_vl_as_is FROM cd_loan_tapes_bce.lt004_protection WHERE ref_date='2025-06-30' AND nome_perimetro= 'Individual IDComb' AND segmento= 'ESTR' AND ambito= 'PM' AND entidade='00100' AND cod_visao = 1) A  Inner join (SELECT prtctn_id as prtctn_id_to_be, typ_prtctn_vl as typ_prtctn_vl_to_be FROM bu_loantape_work.lt004_protection WHERE ref_date='2025-06-30' AND nome_perimetro= 'Individual IDComb' AND segmento= 'ESTR' AND ambito= 'PM' AND entidade='00100' AND cod_visao = 1) B ON prtctn_id_as_is = prtctn_id_to_be WHERE coalesce(cast(typ_prtctn_vl_as_is as string), '') &lt;&gt; coalesce(cast(typ_prtctn_vl_to_be as string), '') ) A </v>
      </c>
      <c r="O353" s="19" t="str">
        <f t="shared" si="60"/>
        <v>SELECT 'Validação de campos' as tipologia_teste, 'lt004_protection' AS TABELA, 'typ_prtctn_vl' AS CAMPO, '2025-06-30' as ref_date, coalesce(NUM_REG_DIF, 0) AS NUM_REG_DIF FROM (SELECT count(*) AS NUM_REG_DIF FROM (SELECT prtctn_id as prtctn_id_as_is, typ_prtctn_vl as typ_prtctn_vl_as_is FROM cd_loan_tapes_bce.lt004_protection WHERE ref_date='2025-06-30' AND nome_perimetro= 'Individual IDComb' AND segmento= 'ESTR' AND ambito= 'PM' AND entidade='00100' AND cod_visao = 1) A  Inner join (SELECT prtctn_id as prtctn_id_to_be, typ_prtctn_vl as typ_prtctn_vl_to_be FROM bu_loantape_work.lt004_protection WHERE ref_date='2025-06-30' AND nome_perimetro= 'Individual IDComb' AND segmento= 'ESTR' AND ambito= 'PM' AND entidade='00100' AND cod_visao = 1) B ON prtctn_id_as_is = prtctn_id_to_be WHERE coalesce(cast(typ_prtctn_vl_as_is as string), '') &lt;&gt; coalesce(cast(typ_prtctn_vl_to_be as string), '') ) A UNION ALL</v>
      </c>
      <c r="P353" s="17">
        <f t="shared" si="59"/>
        <v>34</v>
      </c>
    </row>
    <row r="354" spans="2:16" s="15" customFormat="1" ht="11.5" x14ac:dyDescent="0.25">
      <c r="B354" s="17" t="s">
        <v>28</v>
      </c>
      <c r="C354" s="17" t="str">
        <f>_xlfn.CONCAT(Instruções!$D$5,".",VLOOKUP(B354,Instruções!$F$5:$H$10,2,0))</f>
        <v>cd_loan_tapes_bce.lt004_protection</v>
      </c>
      <c r="D354" s="17" t="str">
        <f>_xlfn.CONCAT(Instruções!$D$6,".",VLOOKUP(B354,Instruções!$F$5:$H$10,3,0))</f>
        <v>bu_loantape_work.lt004_protection</v>
      </c>
      <c r="E354" s="17" t="s">
        <v>350</v>
      </c>
      <c r="F354" s="17" t="str">
        <f t="shared" si="65"/>
        <v>yr_cnstrctn_as_is</v>
      </c>
      <c r="G354" s="17" t="str">
        <f t="shared" si="66"/>
        <v>yr_cnstrctn_to_be</v>
      </c>
      <c r="H354" s="17" t="str">
        <f>IF(VLOOKUP(B354,Instruções!$F$6:$J$10,5,0)="",
"(SELECT "&amp;VLOOKUP(B354,Instruções!$F$6:$J$10,4,0)&amp;" as "&amp;VLOOKUP(B354,Instruções!$F$6:$J$10,4,0)&amp;"_as_is, "&amp;E354&amp;" as "&amp;F354&amp;" FROM "&amp;C354&amp;" WHERE "&amp;Instruções!$D$11&amp;") A ",
"(SELECT "&amp;VLOOKUP(B354,Instruções!$F$6:$J$10,4,0)&amp;" as "&amp;VLOOKUP(B354,Instruções!$F$6:$J$10,4,0)&amp;"_as_is, "&amp;VLOOKUP(B354,Instruções!$F$6:$J$10,5,0)&amp;" as "&amp;VLOOKUP(B354,Instruções!$F$6:$J$10,5,0)&amp;"_as_is,"&amp;E354&amp;" as "&amp;F354&amp;" FROM "&amp;C354&amp;" WHERE "&amp;Instruções!$D$11&amp;") A ")</f>
        <v xml:space="preserve">(SELECT prtctn_id as prtctn_id_as_is, yr_cnstrctn as yr_cnstrctn_as_is FROM cd_loan_tapes_bce.lt004_protection WHERE ref_date='2025-06-30' AND nome_perimetro= 'Individual IDComb' AND segmento= 'ESTR' AND ambito= 'PM' AND entidade='00100' AND cod_visao = 1) A </v>
      </c>
      <c r="I354" s="17" t="str">
        <f>IF(VLOOKUP(B354,Instruções!$F$6:$J$10,5,0)="",
"(SELECT "&amp;VLOOKUP(B354,Instruções!$F$6:$J$10,4,0)&amp;" as "&amp;VLOOKUP(B354,Instruções!$F$6:$J$10,4,0)&amp;"_to_be, "&amp;E354&amp;" as "&amp;G354&amp;" FROM "&amp;D354&amp;" WHERE "&amp;Instruções!$D$11&amp;") B ",
"(SELECT "&amp;VLOOKUP(B354,Instruções!$F$6:$J$10,4,0)&amp;" as "&amp;VLOOKUP(B354,Instruções!$F$6:$J$10,4,0)&amp;"_to_be, "&amp;VLOOKUP(B354,Instruções!$F$6:$J$10,5,0)&amp;" as "&amp;VLOOKUP(B354,Instruções!$F$6:$J$10,5,0)&amp;"_to_be,"&amp;E354&amp;" as "&amp;G354&amp;" FROM "&amp;D354&amp;" WHERE "&amp;Instruções!$D$11&amp;") B ")</f>
        <v xml:space="preserve">(SELECT prtctn_id as prtctn_id_to_be, yr_cnstrctn as yr_cnstrctn_to_be FROM bu_loantape_work.lt004_protection WHERE ref_date='2025-06-30' AND nome_perimetro= 'Individual IDComb' AND segmento= 'ESTR' AND ambito= 'PM' AND entidade='00100' AND cod_visao = 1) B </v>
      </c>
      <c r="J354" s="17" t="str">
        <f>IF(VLOOKUP(B354,Instruções!$F$6:$J$10,5,0)="",
"ON "&amp;VLOOKUP(B354,Instruções!$F$6:$J$10,4,0)&amp;"_as_is = "&amp;VLOOKUP(B354,Instruções!$F$6:$J$10,4,0)&amp;"_to_be ",
"ON "&amp;VLOOKUP(B354,Instruções!$F$6:$J$10,4,0)&amp;"_as_is = "&amp;VLOOKUP(B354,Instruções!$F$6:$J$10,4,0)&amp;"_to_be AND "&amp;VLOOKUP(B354,Instruções!$F$6:$J$10,5,0)&amp;"_as_is = "&amp;VLOOKUP(B354,Instruções!$F$6:$J$10,5,0)&amp;"_to_be ")</f>
        <v xml:space="preserve">ON prtctn_id_as_is = prtctn_id_to_be </v>
      </c>
      <c r="K354" s="17" t="str">
        <f t="shared" si="67"/>
        <v xml:space="preserve">WHERE coalesce(cast(yr_cnstrctn_as_is as string), '') &lt;&gt; coalesce(cast(yr_cnstrctn_to_be as string), '') </v>
      </c>
      <c r="L354" s="17" t="str">
        <f t="shared" si="64"/>
        <v xml:space="preserve">SELECT count(*) AS NUM_REG_DIF FROM (SELECT prtctn_id as prtctn_id_as_is, yr_cnstrctn as yr_cnstrctn_as_is FROM cd_loan_tapes_bce.lt004_protection WHERE ref_date='2025-06-30' AND nome_perimetro= 'Individual IDComb' AND segmento= 'ESTR' AND ambito= 'PM' AND entidade='00100' AND cod_visao = 1) A  Inner join (SELECT prtctn_id as prtctn_id_to_be, yr_cnstrctn as yr_cnstrctn_to_be FROM bu_loantape_work.lt004_protection WHERE ref_date='2025-06-30' AND nome_perimetro= 'Individual IDComb' AND segmento= 'ESTR' AND ambito= 'PM' AND entidade='00100' AND cod_visao = 1) B ON prtctn_id_as_is = prtctn_id_to_be WHERE coalesce(cast(yr_cnstrctn_as_is as string), '') &lt;&gt; coalesce(cast(yr_cnstrctn_to_be as string), '') </v>
      </c>
      <c r="M354" s="17" t="s">
        <v>48</v>
      </c>
      <c r="N354" s="17" t="str">
        <f>"SELECT 'Validação de campos' as tipologia_teste, '"&amp;VLOOKUP(B354,Instruções!$F$6:$J$10,3,0)&amp;"' AS TABELA, '"&amp;E354&amp;"' AS CAMPO, '"&amp;Instruções!$D$7&amp;"' as ref_date, coalesce(NUM_REG_DIF, 0) AS NUM_REG_DIF FROM ("&amp;L354&amp;") A "</f>
        <v xml:space="preserve">SELECT 'Validação de campos' as tipologia_teste, 'lt004_protection' AS TABELA, 'yr_cnstrctn' AS CAMPO, '2025-06-30' as ref_date, coalesce(NUM_REG_DIF, 0) AS NUM_REG_DIF FROM (SELECT count(*) AS NUM_REG_DIF FROM (SELECT prtctn_id as prtctn_id_as_is, yr_cnstrctn as yr_cnstrctn_as_is FROM cd_loan_tapes_bce.lt004_protection WHERE ref_date='2025-06-30' AND nome_perimetro= 'Individual IDComb' AND segmento= 'ESTR' AND ambito= 'PM' AND entidade='00100' AND cod_visao = 1) A  Inner join (SELECT prtctn_id as prtctn_id_to_be, yr_cnstrctn as yr_cnstrctn_to_be FROM bu_loantape_work.lt004_protection WHERE ref_date='2025-06-30' AND nome_perimetro= 'Individual IDComb' AND segmento= 'ESTR' AND ambito= 'PM' AND entidade='00100' AND cod_visao = 1) B ON prtctn_id_as_is = prtctn_id_to_be WHERE coalesce(cast(yr_cnstrctn_as_is as string), '') &lt;&gt; coalesce(cast(yr_cnstrctn_to_be as string), '') ) A </v>
      </c>
      <c r="O354" s="19" t="str">
        <f t="shared" si="60"/>
        <v xml:space="preserve">SELECT 'Validação de campos' as tipologia_teste, 'lt004_protection' AS TABELA, 'yr_cnstrctn' AS CAMPO, '2025-06-30' as ref_date, coalesce(NUM_REG_DIF, 0) AS NUM_REG_DIF FROM (SELECT count(*) AS NUM_REG_DIF FROM (SELECT prtctn_id as prtctn_id_as_is, yr_cnstrctn as yr_cnstrctn_as_is FROM cd_loan_tapes_bce.lt004_protection WHERE ref_date='2025-06-30' AND nome_perimetro= 'Individual IDComb' AND segmento= 'ESTR' AND ambito= 'PM' AND entidade='00100' AND cod_visao = 1) A  Inner join (SELECT prtctn_id as prtctn_id_to_be, yr_cnstrctn as yr_cnstrctn_to_be FROM bu_loantape_work.lt004_protection WHERE ref_date='2025-06-30' AND nome_perimetro= 'Individual IDComb' AND segmento= 'ESTR' AND ambito= 'PM' AND entidade='00100' AND cod_visao = 1) B ON prtctn_id_as_is = prtctn_id_to_be WHERE coalesce(cast(yr_cnstrctn_as_is as string), '') &lt;&gt; coalesce(cast(yr_cnstrctn_to_be as string), '') ) A </v>
      </c>
      <c r="P354" s="17">
        <f t="shared" si="59"/>
        <v>35</v>
      </c>
    </row>
    <row r="355" spans="2:16" x14ac:dyDescent="0.3">
      <c r="L355" s="17"/>
    </row>
    <row r="356" spans="2:16" x14ac:dyDescent="0.3">
      <c r="L356" s="17"/>
    </row>
    <row r="358" spans="2:16" ht="14.5" x14ac:dyDescent="0.35">
      <c r="K358" s="22"/>
    </row>
  </sheetData>
  <autoFilter ref="B3:P354" xr:uid="{12B03AB8-C33B-41F0-A70C-BB5256C2BD6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2B83D2-DB58-4BB9-AE5F-15F240949EC7}"/>
</file>

<file path=customXml/itemProps2.xml><?xml version="1.0" encoding="utf-8"?>
<ds:datastoreItem xmlns:ds="http://schemas.openxmlformats.org/officeDocument/2006/customXml" ds:itemID="{5EC74D4D-73FB-4AA7-83E8-7B998BEAF9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743C88-CE23-4BE8-9E29-F956BEE4B59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9b50dc7-8f72-473c-8b7e-4a8c46ecad32"/>
    <ds:schemaRef ds:uri="7b1ec8e5-5652-48eb-8550-a56a35f5f8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Teste Regressivo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Nádia Genebra Ahmad</dc:creator>
  <cp:keywords/>
  <dc:description/>
  <cp:lastModifiedBy>Nuno Miguel Rocha Ferreira</cp:lastModifiedBy>
  <cp:revision/>
  <dcterms:created xsi:type="dcterms:W3CDTF">2024-07-10T10:14:21Z</dcterms:created>
  <dcterms:modified xsi:type="dcterms:W3CDTF">2026-01-15T15:34:11Z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2024-07-10T18:56:07Z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95fa4bb7-cea6-4bd8-bbd3-25d8119440f5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</Properties>
</file>