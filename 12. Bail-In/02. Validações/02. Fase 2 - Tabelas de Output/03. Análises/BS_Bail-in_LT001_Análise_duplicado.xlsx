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TestesBail-In/Shared Documents/Geral/02. Validações/02. Fase 2 - Tabelas de Output/03. Análises/"/>
    </mc:Choice>
  </mc:AlternateContent>
  <xr:revisionPtr revIDLastSave="334" documentId="8_{6334A6E6-79DC-4A2B-A436-A91BB6712B84}" xr6:coauthVersionLast="47" xr6:coauthVersionMax="47" xr10:uidLastSave="{3154C6F4-6E56-4BB4-85AF-C30C45532823}"/>
  <bookViews>
    <workbookView xWindow="-96" yWindow="-96" windowWidth="23232" windowHeight="12432" activeTab="1" xr2:uid="{A927917E-903E-4935-89B1-D2255FE0BF7B}"/>
  </bookViews>
  <sheets>
    <sheet name="Anális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I16" i="2"/>
  <c r="I15" i="2"/>
  <c r="I14" i="2"/>
  <c r="H17" i="2"/>
  <c r="H16" i="2"/>
  <c r="H15" i="2"/>
  <c r="H14" i="2"/>
</calcChain>
</file>

<file path=xl/sharedStrings.xml><?xml version="1.0" encoding="utf-8"?>
<sst xmlns="http://schemas.openxmlformats.org/spreadsheetml/2006/main" count="1029" uniqueCount="158">
  <si>
    <t>Query:</t>
  </si>
  <si>
    <t>select * from
    (
    select *
    from cd_captools.fr001_univ_saldo
    where ref_date = '2025-11-30'
    and concat(cempresa, cbalcao, cnumecta, zdeposit) = '31641600005800007PTCPP0AM0007000'
    )fr001_2025
left join
    (
    SELECT *
    FROM cd_captools.fr802_pl_contas
    WHERE REF_DATE = '2025-11-30'
    and cod_plano = 'BST_IND'
    )FR802
on fr001_2025.ccontab_final_ifrs = fr802.conta
left join
    (
    select *
    from bu_loantape_work.lt801_param_segm
    where ref_date = '2025-11-30'
    and ambito = 'SRB_MBDT'
    AND SEGMENTO = 'ESTR'
    )lt801
ON fr802.tipo_conta = lt801.tipo_conta;</t>
  </si>
  <si>
    <t>.</t>
  </si>
  <si>
    <t>cempresa</t>
  </si>
  <si>
    <t>cbalcao</t>
  </si>
  <si>
    <t>cnumecta</t>
  </si>
  <si>
    <t>zdeposit</t>
  </si>
  <si>
    <t>zcliente</t>
  </si>
  <si>
    <t>tipo_contrato</t>
  </si>
  <si>
    <t>cmoeda</t>
  </si>
  <si>
    <t>sociedade_contraparte</t>
  </si>
  <si>
    <t>ccontab_final_pcsb</t>
  </si>
  <si>
    <t>ccontab_final_ifrs</t>
  </si>
  <si>
    <t>ccontab_final_st_sgps</t>
  </si>
  <si>
    <t>ccontab_final_sgps_cons</t>
  </si>
  <si>
    <t>ccontab_final_cargabal</t>
  </si>
  <si>
    <t>ccontab_final_idcomb</t>
  </si>
  <si>
    <t>origem</t>
  </si>
  <si>
    <t>msaldo_final</t>
  </si>
  <si>
    <t>cod_ajust</t>
  </si>
  <si>
    <t>ckutulmo</t>
  </si>
  <si>
    <t>htimest</t>
  </si>
  <si>
    <t>ref_date</t>
  </si>
  <si>
    <t>cod_visao</t>
  </si>
  <si>
    <t>conta</t>
  </si>
  <si>
    <t>ambito</t>
  </si>
  <si>
    <t>nome</t>
  </si>
  <si>
    <t>descritivo</t>
  </si>
  <si>
    <t>carteira_contabilistica</t>
  </si>
  <si>
    <t>instrumento_financeiro</t>
  </si>
  <si>
    <t>subcarteira_contabilistica</t>
  </si>
  <si>
    <t>tipo_risco</t>
  </si>
  <si>
    <t>stages</t>
  </si>
  <si>
    <t>bruto_imparidade</t>
  </si>
  <si>
    <t>contraparte_i</t>
  </si>
  <si>
    <t>produto</t>
  </si>
  <si>
    <t>metodo_de_analise</t>
  </si>
  <si>
    <t>contragarantia</t>
  </si>
  <si>
    <t>grau_de_subordinacao</t>
  </si>
  <si>
    <t>classe</t>
  </si>
  <si>
    <t>subproduto_extra</t>
  </si>
  <si>
    <t>tipo_conta</t>
  </si>
  <si>
    <t>composicao_valor</t>
  </si>
  <si>
    <t>detalhe_conta</t>
  </si>
  <si>
    <t>conta_mae</t>
  </si>
  <si>
    <t>segmento</t>
  </si>
  <si>
    <t>cproduto</t>
  </si>
  <si>
    <t>subproduto</t>
  </si>
  <si>
    <t>contraparte</t>
  </si>
  <si>
    <t>colateral</t>
  </si>
  <si>
    <t>purpose_code</t>
  </si>
  <si>
    <t>flag_poci</t>
  </si>
  <si>
    <t>flag_lvrg_finc</t>
  </si>
  <si>
    <t>flag_mis</t>
  </si>
  <si>
    <t>flag_gar_intrg_san</t>
  </si>
  <si>
    <t>cod_empr_pme</t>
  </si>
  <si>
    <t>stage</t>
  </si>
  <si>
    <t>tipo_ajuste</t>
  </si>
  <si>
    <t>desc_ajuste</t>
  </si>
  <si>
    <t>rank_insolv</t>
  </si>
  <si>
    <t>31</t>
  </si>
  <si>
    <t>6416</t>
  </si>
  <si>
    <t>00005800007</t>
  </si>
  <si>
    <t>PTCPP0AM0007000</t>
  </si>
  <si>
    <t>5100011001</t>
  </si>
  <si>
    <t>CAM</t>
  </si>
  <si>
    <t>978</t>
  </si>
  <si>
    <t>6200</t>
  </si>
  <si>
    <t>6000</t>
  </si>
  <si>
    <t>B03;MC2301;PR18</t>
  </si>
  <si>
    <t>MANUAL</t>
  </si>
  <si>
    <t>6326736.000000</t>
  </si>
  <si>
    <t>BI00411</t>
  </si>
  <si>
    <t>S614510</t>
  </si>
  <si>
    <t>2025-12-17 12:20:16.544</t>
  </si>
  <si>
    <t>2025-11-30</t>
  </si>
  <si>
    <t>Acções ordinárias</t>
  </si>
  <si>
    <t>capital</t>
  </si>
  <si>
    <t>instrumentos de capital</t>
  </si>
  <si>
    <t>Acoes ordinarias</t>
  </si>
  <si>
    <t>C</t>
  </si>
  <si>
    <t>I</t>
  </si>
  <si>
    <t>T510866</t>
  </si>
  <si>
    <t>2025-12-11 00:28:42.83</t>
  </si>
  <si>
    <t>NULL</t>
  </si>
  <si>
    <t>25810</t>
  </si>
  <si>
    <t>660</t>
  </si>
  <si>
    <t>B03;MC30;PR18;EQGE15</t>
  </si>
  <si>
    <t>-19146966.410000</t>
  </si>
  <si>
    <t>acoes proprias</t>
  </si>
  <si>
    <t>0000000000</t>
  </si>
  <si>
    <t>1762761.000000</t>
  </si>
  <si>
    <t>0000003686</t>
  </si>
  <si>
    <t>1383690177.000000</t>
  </si>
  <si>
    <t>fr001</t>
  </si>
  <si>
    <t>fr802</t>
  </si>
  <si>
    <t>2800</t>
  </si>
  <si>
    <t>2024-12-13 09:23:32.658</t>
  </si>
  <si>
    <t>2024-11-30</t>
  </si>
  <si>
    <t>T510203</t>
  </si>
  <si>
    <t>2024-12-05 15:55:30.646</t>
  </si>
  <si>
    <t>7400066405</t>
  </si>
  <si>
    <t>150</t>
  </si>
  <si>
    <t>8044901277</t>
  </si>
  <si>
    <t>ccontab_final</t>
  </si>
  <si>
    <t>stage_atual</t>
  </si>
  <si>
    <t>ordem_lt801</t>
  </si>
  <si>
    <t>flag_pme</t>
  </si>
  <si>
    <t>flag_inst_div</t>
  </si>
  <si>
    <t>flag_inst_cap</t>
  </si>
  <si>
    <t>flag_inst_deriv</t>
  </si>
  <si>
    <t>flag_ajust_ncon</t>
  </si>
  <si>
    <t>flag_inst_titulos</t>
  </si>
  <si>
    <t>valor_bruto_on</t>
  </si>
  <si>
    <t>valor_bruto_off</t>
  </si>
  <si>
    <t>provisao_on</t>
  </si>
  <si>
    <t>provisao_off</t>
  </si>
  <si>
    <t>valor_bruto_on_prvs</t>
  </si>
  <si>
    <t>valor_bruto_off_prvs</t>
  </si>
  <si>
    <t>provisao_on_prvs</t>
  </si>
  <si>
    <t>provisao_off_prvs</t>
  </si>
  <si>
    <t>juros_corridos</t>
  </si>
  <si>
    <t>juros_corridos_prvs</t>
  </si>
  <si>
    <t>subportfolio_id_inicial</t>
  </si>
  <si>
    <t>subportfolio_id_final</t>
  </si>
  <si>
    <t>idcomb_lt_inicial</t>
  </si>
  <si>
    <t>idcomb_lt_final</t>
  </si>
  <si>
    <t>nome_perimetro</t>
  </si>
  <si>
    <t>entidade</t>
  </si>
  <si>
    <t>instituicoes de credito</t>
  </si>
  <si>
    <t>N</t>
  </si>
  <si>
    <t>1</t>
  </si>
  <si>
    <t>075</t>
  </si>
  <si>
    <t>056</t>
  </si>
  <si>
    <t>N/A</t>
  </si>
  <si>
    <t>0</t>
  </si>
  <si>
    <t>0.000000</t>
  </si>
  <si>
    <t>ECP</t>
  </si>
  <si>
    <t>servdlakep</t>
  </si>
  <si>
    <t>2026-01-09 19:23:05.558</t>
  </si>
  <si>
    <t>SRB_MBDT</t>
  </si>
  <si>
    <t>Individual Local</t>
  </si>
  <si>
    <t>ESTR</t>
  </si>
  <si>
    <t>00100</t>
  </si>
  <si>
    <t>Resumo:</t>
  </si>
  <si>
    <t>LT001 2025-11-30</t>
  </si>
  <si>
    <t>ID</t>
  </si>
  <si>
    <t>ID 6 corresponde a uma operação em 2024 que perdeu a conta cargabal em 2025.</t>
  </si>
  <si>
    <t>ID 7 corresponde a uma operação em 2024 que perdeu a conta cargabal em 2025.</t>
  </si>
  <si>
    <t>ID 8 corresponde a uma operação em 2024 que deixa de existir em 2025.</t>
  </si>
  <si>
    <t>ID 9 corresponde a uma operação em 2024 que deixa de existir em 2025.</t>
  </si>
  <si>
    <t>ID 5 corresponde a uma operação em 2024 que perdeu a conta cargabal em 2025.</t>
  </si>
  <si>
    <t>select *
from bu_loantape_work.lt001_univ_oper
where ref_date = '2025-11-30'
and ambito = 'SRB_MBDT' 
and concat(cempresa, cbalcao, cnumecta, zdeposit ) = '31641600005800007PTCPP0AM0007000';</t>
  </si>
  <si>
    <t xml:space="preserve">1. Análise </t>
  </si>
  <si>
    <t>Análise ao registo duplicado (31641400005800007PTCPP0AM0007000) na tabela LT001_Univ_Oper, decorrente do cálculo dos montantes previous nesta tabela.</t>
  </si>
  <si>
    <t>Os registos previous apresentam uma das chaves da tabela (zcliente) a NULL. Uma vez que a chave do instrumento é sempre a mesma, bem como as contas contabilísticas, o registo surge em duplicado na tabela LT001 (ID5, ID7, ID8 e ID9):</t>
  </si>
  <si>
    <t>31641600005800007PTCPP0AM0007000</t>
  </si>
  <si>
    <t xml:space="preserve">ccontab_final_pcsb, ccontab_final_ifrs, ccontab_final, ccontab_final_cargabal,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</si>
</sst>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Santander Text"/>
      <family val="2"/>
    </font>
    <font>
      <b/>
      <sz val="11"/>
      <color rgb="FFFF0000"/>
      <name val="Santander Text"/>
      <family val="2"/>
    </font>
    <font>
      <b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u/>
      <sz val="11"/>
      <color theme="1"/>
      <name val="Santander Text"/>
      <family val="2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BD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/>
      <top style="hair">
        <color theme="0" tint="-0.24994659260841701"/>
      </top>
      <bottom style="thin">
        <color indexed="64"/>
      </bottom>
      <diagonal/>
    </border>
    <border>
      <left/>
      <right/>
      <top style="hair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hair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thin">
        <color indexed="64"/>
      </right>
      <top/>
      <bottom style="hair">
        <color theme="0" tint="-0.2499465926084170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8" borderId="0" xfId="0" applyFont="1" applyFill="1"/>
    <xf numFmtId="0" fontId="1" fillId="7" borderId="0" xfId="0" applyFont="1" applyFill="1"/>
    <xf numFmtId="0" fontId="2" fillId="0" borderId="5" xfId="0" applyFont="1" applyBorder="1"/>
    <xf numFmtId="0" fontId="1" fillId="0" borderId="5" xfId="0" applyFont="1" applyBorder="1"/>
    <xf numFmtId="0" fontId="3" fillId="7" borderId="0" xfId="0" applyFont="1" applyFill="1"/>
    <xf numFmtId="0" fontId="1" fillId="0" borderId="1" xfId="0" applyFont="1" applyBorder="1"/>
    <xf numFmtId="0" fontId="1" fillId="3" borderId="1" xfId="0" applyFont="1" applyFill="1" applyBorder="1"/>
    <xf numFmtId="4" fontId="1" fillId="0" borderId="1" xfId="0" applyNumberFormat="1" applyFont="1" applyBorder="1"/>
    <xf numFmtId="0" fontId="1" fillId="6" borderId="1" xfId="0" applyFont="1" applyFill="1" applyBorder="1"/>
    <xf numFmtId="4" fontId="1" fillId="6" borderId="1" xfId="0" applyNumberFormat="1" applyFont="1" applyFill="1" applyBorder="1"/>
    <xf numFmtId="0" fontId="1" fillId="5" borderId="1" xfId="0" applyFont="1" applyFill="1" applyBorder="1"/>
    <xf numFmtId="4" fontId="1" fillId="5" borderId="1" xfId="0" applyNumberFormat="1" applyFont="1" applyFill="1" applyBorder="1"/>
    <xf numFmtId="0" fontId="1" fillId="0" borderId="0" xfId="0" applyFont="1" applyAlignment="1">
      <alignment horizontal="center"/>
    </xf>
    <xf numFmtId="4" fontId="1" fillId="3" borderId="1" xfId="0" applyNumberFormat="1" applyFont="1" applyFill="1" applyBorder="1"/>
    <xf numFmtId="0" fontId="1" fillId="4" borderId="1" xfId="0" applyFont="1" applyFill="1" applyBorder="1"/>
    <xf numFmtId="4" fontId="1" fillId="4" borderId="1" xfId="0" applyNumberFormat="1" applyFont="1" applyFill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4" fontId="1" fillId="0" borderId="0" xfId="0" applyNumberFormat="1" applyFont="1"/>
    <xf numFmtId="0" fontId="4" fillId="3" borderId="1" xfId="0" applyFont="1" applyFill="1" applyBorder="1"/>
    <xf numFmtId="0" fontId="4" fillId="6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14" fontId="3" fillId="7" borderId="0" xfId="0" applyNumberFormat="1" applyFont="1" applyFill="1"/>
    <xf numFmtId="0" fontId="1" fillId="10" borderId="6" xfId="0" applyFont="1" applyFill="1" applyBorder="1"/>
    <xf numFmtId="0" fontId="1" fillId="10" borderId="7" xfId="0" applyFont="1" applyFill="1" applyBorder="1"/>
    <xf numFmtId="4" fontId="1" fillId="10" borderId="7" xfId="0" applyNumberFormat="1" applyFont="1" applyFill="1" applyBorder="1"/>
    <xf numFmtId="0" fontId="1" fillId="10" borderId="8" xfId="0" applyFont="1" applyFill="1" applyBorder="1"/>
    <xf numFmtId="0" fontId="1" fillId="10" borderId="12" xfId="0" applyFont="1" applyFill="1" applyBorder="1"/>
    <xf numFmtId="0" fontId="1" fillId="10" borderId="13" xfId="0" applyFont="1" applyFill="1" applyBorder="1"/>
    <xf numFmtId="4" fontId="1" fillId="10" borderId="13" xfId="0" applyNumberFormat="1" applyFont="1" applyFill="1" applyBorder="1"/>
    <xf numFmtId="0" fontId="1" fillId="10" borderId="14" xfId="0" applyFont="1" applyFill="1" applyBorder="1"/>
    <xf numFmtId="0" fontId="3" fillId="7" borderId="2" xfId="0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0" fontId="1" fillId="11" borderId="6" xfId="0" applyFont="1" applyFill="1" applyBorder="1"/>
    <xf numFmtId="0" fontId="1" fillId="11" borderId="7" xfId="0" applyFont="1" applyFill="1" applyBorder="1"/>
    <xf numFmtId="0" fontId="4" fillId="11" borderId="7" xfId="0" applyFont="1" applyFill="1" applyBorder="1"/>
    <xf numFmtId="4" fontId="1" fillId="11" borderId="7" xfId="0" applyNumberFormat="1" applyFont="1" applyFill="1" applyBorder="1"/>
    <xf numFmtId="4" fontId="1" fillId="11" borderId="8" xfId="0" applyNumberFormat="1" applyFont="1" applyFill="1" applyBorder="1"/>
    <xf numFmtId="0" fontId="1" fillId="11" borderId="9" xfId="0" applyFont="1" applyFill="1" applyBorder="1"/>
    <xf numFmtId="0" fontId="1" fillId="11" borderId="10" xfId="0" applyFont="1" applyFill="1" applyBorder="1"/>
    <xf numFmtId="0" fontId="4" fillId="11" borderId="10" xfId="0" applyFont="1" applyFill="1" applyBorder="1"/>
    <xf numFmtId="4" fontId="1" fillId="11" borderId="10" xfId="0" applyNumberFormat="1" applyFont="1" applyFill="1" applyBorder="1"/>
    <xf numFmtId="4" fontId="1" fillId="11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8D56-B306-4965-885D-A744C1883F8B}">
  <dimension ref="A1:BM60"/>
  <sheetViews>
    <sheetView showGridLines="0" topLeftCell="AU20" zoomScale="90" zoomScaleNormal="90" workbookViewId="0">
      <selection activeCell="C30" sqref="C30:BL39"/>
    </sheetView>
  </sheetViews>
  <sheetFormatPr defaultColWidth="0" defaultRowHeight="17.399999999999999" zeroHeight="1" x14ac:dyDescent="0.45"/>
  <cols>
    <col min="1" max="1" width="3.77734375" style="1" customWidth="1"/>
    <col min="2" max="2" width="6.6640625" style="1" customWidth="1"/>
    <col min="3" max="3" width="11.44140625" style="1" bestFit="1" customWidth="1"/>
    <col min="4" max="4" width="7.77734375" style="1" bestFit="1" customWidth="1"/>
    <col min="5" max="5" width="11.77734375" style="1" bestFit="1" customWidth="1"/>
    <col min="6" max="6" width="18.33203125" style="1" bestFit="1" customWidth="1"/>
    <col min="7" max="7" width="12.109375" style="1" bestFit="1" customWidth="1"/>
    <col min="8" max="8" width="16.6640625" style="1" bestFit="1" customWidth="1"/>
    <col min="9" max="9" width="15.21875" style="1" bestFit="1" customWidth="1"/>
    <col min="10" max="10" width="20.77734375" style="1" bestFit="1" customWidth="1"/>
    <col min="11" max="11" width="19.77734375" style="1" bestFit="1" customWidth="1"/>
    <col min="12" max="12" width="16.109375" style="1" bestFit="1" customWidth="1"/>
    <col min="13" max="13" width="19.77734375" style="1" bestFit="1" customWidth="1"/>
    <col min="14" max="14" width="22.44140625" style="1" bestFit="1" customWidth="1"/>
    <col min="15" max="15" width="21.109375" style="1" bestFit="1" customWidth="1"/>
    <col min="16" max="16" width="16" style="1" bestFit="1" customWidth="1"/>
    <col min="17" max="17" width="8" style="1" bestFit="1" customWidth="1"/>
    <col min="18" max="18" width="17.21875" style="1" bestFit="1" customWidth="1"/>
    <col min="19" max="19" width="9.109375" style="1" bestFit="1" customWidth="1"/>
    <col min="20" max="20" width="8.77734375" style="1" bestFit="1" customWidth="1"/>
    <col min="21" max="21" width="7.21875" style="1" bestFit="1" customWidth="1"/>
    <col min="22" max="22" width="7.6640625" style="1" bestFit="1" customWidth="1"/>
    <col min="23" max="23" width="9.33203125" style="1" bestFit="1" customWidth="1"/>
    <col min="24" max="24" width="5.77734375" style="1" bestFit="1" customWidth="1"/>
    <col min="25" max="25" width="6.88671875" style="1" bestFit="1" customWidth="1"/>
    <col min="26" max="26" width="5.77734375" style="1" bestFit="1" customWidth="1"/>
    <col min="27" max="27" width="9.109375" style="1" bestFit="1" customWidth="1"/>
    <col min="28" max="28" width="20.21875" style="1" bestFit="1" customWidth="1"/>
    <col min="29" max="29" width="21" style="1" bestFit="1" customWidth="1"/>
    <col min="30" max="30" width="23.44140625" style="1" bestFit="1" customWidth="1"/>
    <col min="31" max="31" width="9.21875" style="1" bestFit="1" customWidth="1"/>
    <col min="32" max="32" width="6.33203125" style="1" bestFit="1" customWidth="1"/>
    <col min="33" max="33" width="16.21875" style="1" bestFit="1" customWidth="1"/>
    <col min="34" max="34" width="12.109375" style="1" bestFit="1" customWidth="1"/>
    <col min="35" max="35" width="7.6640625" style="1" bestFit="1" customWidth="1"/>
    <col min="36" max="36" width="17.5546875" style="1" bestFit="1" customWidth="1"/>
    <col min="37" max="37" width="13.6640625" style="1" bestFit="1" customWidth="1"/>
    <col min="38" max="38" width="20.77734375" style="1" bestFit="1" customWidth="1"/>
    <col min="39" max="39" width="6.33203125" style="1" bestFit="1" customWidth="1"/>
    <col min="40" max="40" width="15.77734375" style="1" bestFit="1" customWidth="1"/>
    <col min="41" max="41" width="9.77734375" style="1" bestFit="1" customWidth="1"/>
    <col min="42" max="42" width="16.77734375" style="1" bestFit="1" customWidth="1"/>
    <col min="43" max="43" width="12.88671875" style="1" bestFit="1" customWidth="1"/>
    <col min="44" max="44" width="10.21875" style="1" bestFit="1" customWidth="1"/>
    <col min="45" max="45" width="8.77734375" style="1" bestFit="1" customWidth="1"/>
    <col min="46" max="46" width="19.5546875" style="1" bestFit="1" customWidth="1"/>
    <col min="47" max="47" width="19.6640625" style="1" bestFit="1" customWidth="1"/>
    <col min="48" max="48" width="16.6640625" style="1" bestFit="1" customWidth="1"/>
    <col min="49" max="49" width="16.77734375" style="1" bestFit="1" customWidth="1"/>
    <col min="50" max="50" width="13.5546875" style="1" bestFit="1" customWidth="1"/>
    <col min="51" max="51" width="18.5546875" style="1" bestFit="1" customWidth="1"/>
    <col min="52" max="56" width="8.77734375" style="1" customWidth="1"/>
    <col min="57" max="57" width="10.6640625" style="1" bestFit="1" customWidth="1"/>
    <col min="58" max="58" width="23.88671875" style="1" bestFit="1" customWidth="1"/>
    <col min="59" max="59" width="11.44140625" style="1" bestFit="1" customWidth="1"/>
    <col min="60" max="60" width="9.6640625" style="1" bestFit="1" customWidth="1"/>
    <col min="61" max="61" width="10.77734375" style="1" bestFit="1" customWidth="1"/>
    <col min="62" max="62" width="15.77734375" style="1" bestFit="1" customWidth="1"/>
    <col min="63" max="63" width="9.6640625" style="1" bestFit="1" customWidth="1"/>
    <col min="64" max="64" width="8.5546875" style="1" bestFit="1" customWidth="1"/>
    <col min="65" max="65" width="3.6640625" style="1" customWidth="1"/>
    <col min="66" max="16384" width="0" style="1" hidden="1"/>
  </cols>
  <sheetData>
    <row r="1" spans="1:65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</row>
    <row r="2" spans="1:65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</row>
    <row r="3" spans="1:65" ht="3" customHeigh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</row>
    <row r="4" spans="1:65" x14ac:dyDescent="0.45"/>
    <row r="5" spans="1:65" ht="18" thickBot="1" x14ac:dyDescent="0.5">
      <c r="B5" s="4" t="s">
        <v>153</v>
      </c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</row>
    <row r="6" spans="1:65" ht="7.95" customHeight="1" x14ac:dyDescent="0.45"/>
    <row r="7" spans="1:65" x14ac:dyDescent="0.45">
      <c r="B7" s="1" t="s">
        <v>154</v>
      </c>
    </row>
    <row r="8" spans="1:65" x14ac:dyDescent="0.45"/>
    <row r="9" spans="1:65" x14ac:dyDescent="0.45">
      <c r="C9" s="31">
        <v>45626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</row>
    <row r="10" spans="1:65" x14ac:dyDescent="0.45">
      <c r="C10" s="1" t="s">
        <v>0</v>
      </c>
      <c r="D10" s="1" t="s">
        <v>1</v>
      </c>
      <c r="E10" s="1" t="s">
        <v>2</v>
      </c>
    </row>
    <row r="11" spans="1:65" x14ac:dyDescent="0.45">
      <c r="C11" s="25" t="s">
        <v>94</v>
      </c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7"/>
      <c r="X11" s="28" t="s">
        <v>95</v>
      </c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30"/>
    </row>
    <row r="12" spans="1:65" x14ac:dyDescent="0.45">
      <c r="C12" s="7" t="s">
        <v>3</v>
      </c>
      <c r="D12" s="7" t="s">
        <v>4</v>
      </c>
      <c r="E12" s="7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7" t="s">
        <v>10</v>
      </c>
      <c r="K12" s="7" t="s">
        <v>11</v>
      </c>
      <c r="L12" s="7" t="s">
        <v>12</v>
      </c>
      <c r="M12" s="7" t="s">
        <v>13</v>
      </c>
      <c r="N12" s="7" t="s">
        <v>14</v>
      </c>
      <c r="O12" s="7" t="s">
        <v>15</v>
      </c>
      <c r="P12" s="7" t="s">
        <v>16</v>
      </c>
      <c r="Q12" s="7" t="s">
        <v>17</v>
      </c>
      <c r="R12" s="7" t="s">
        <v>18</v>
      </c>
      <c r="S12" s="7" t="s">
        <v>19</v>
      </c>
      <c r="T12" s="7" t="s">
        <v>20</v>
      </c>
      <c r="U12" s="7" t="s">
        <v>21</v>
      </c>
      <c r="V12" s="7" t="s">
        <v>22</v>
      </c>
      <c r="W12" s="7" t="s">
        <v>23</v>
      </c>
      <c r="X12" s="7" t="s">
        <v>24</v>
      </c>
      <c r="Y12" s="7" t="s">
        <v>25</v>
      </c>
      <c r="Z12" s="7" t="s">
        <v>26</v>
      </c>
      <c r="AA12" s="7" t="s">
        <v>27</v>
      </c>
      <c r="AB12" s="7" t="s">
        <v>28</v>
      </c>
      <c r="AC12" s="7" t="s">
        <v>29</v>
      </c>
      <c r="AD12" s="7" t="s">
        <v>30</v>
      </c>
      <c r="AE12" s="7" t="s">
        <v>31</v>
      </c>
      <c r="AF12" s="7" t="s">
        <v>32</v>
      </c>
      <c r="AG12" s="7" t="s">
        <v>33</v>
      </c>
      <c r="AH12" s="7" t="s">
        <v>34</v>
      </c>
      <c r="AI12" s="7" t="s">
        <v>35</v>
      </c>
      <c r="AJ12" s="7" t="s">
        <v>36</v>
      </c>
      <c r="AK12" s="7" t="s">
        <v>37</v>
      </c>
      <c r="AL12" s="7" t="s">
        <v>38</v>
      </c>
      <c r="AM12" s="7" t="s">
        <v>39</v>
      </c>
      <c r="AN12" s="7" t="s">
        <v>40</v>
      </c>
      <c r="AO12" s="7" t="s">
        <v>41</v>
      </c>
      <c r="AP12" s="7" t="s">
        <v>42</v>
      </c>
      <c r="AQ12" s="7" t="s">
        <v>43</v>
      </c>
      <c r="AR12" s="7" t="s">
        <v>44</v>
      </c>
      <c r="AS12" s="7" t="s">
        <v>20</v>
      </c>
      <c r="AT12" s="7" t="s">
        <v>21</v>
      </c>
      <c r="AU12" s="7" t="s">
        <v>22</v>
      </c>
      <c r="AV12" s="7" t="s">
        <v>23</v>
      </c>
    </row>
    <row r="13" spans="1:65" x14ac:dyDescent="0.45">
      <c r="C13" s="8" t="s">
        <v>60</v>
      </c>
      <c r="D13" s="8" t="s">
        <v>61</v>
      </c>
      <c r="E13" s="8" t="s">
        <v>62</v>
      </c>
      <c r="F13" s="8" t="s">
        <v>63</v>
      </c>
      <c r="G13" s="8" t="s">
        <v>64</v>
      </c>
      <c r="H13" s="8" t="s">
        <v>65</v>
      </c>
      <c r="I13" s="8" t="s">
        <v>66</v>
      </c>
      <c r="J13" s="8"/>
      <c r="K13" s="8" t="s">
        <v>67</v>
      </c>
      <c r="L13" s="8" t="s">
        <v>68</v>
      </c>
      <c r="M13" s="8" t="s">
        <v>68</v>
      </c>
      <c r="N13" s="8"/>
      <c r="O13" s="8" t="s">
        <v>96</v>
      </c>
      <c r="P13" s="8" t="s">
        <v>69</v>
      </c>
      <c r="Q13" s="8" t="s">
        <v>70</v>
      </c>
      <c r="R13" s="15">
        <v>482293.05648000003</v>
      </c>
      <c r="S13" s="8" t="s">
        <v>72</v>
      </c>
      <c r="T13" s="8" t="s">
        <v>82</v>
      </c>
      <c r="U13" s="8" t="s">
        <v>97</v>
      </c>
      <c r="V13" s="8" t="s">
        <v>98</v>
      </c>
      <c r="W13" s="8">
        <v>1</v>
      </c>
      <c r="X13" s="7" t="s">
        <v>68</v>
      </c>
      <c r="Y13" s="7"/>
      <c r="Z13" s="7" t="s">
        <v>76</v>
      </c>
      <c r="AA13" s="7" t="s">
        <v>76</v>
      </c>
      <c r="AB13" s="7" t="s">
        <v>77</v>
      </c>
      <c r="AC13" s="7"/>
      <c r="AD13" s="7"/>
      <c r="AE13" s="7"/>
      <c r="AF13" s="7"/>
      <c r="AG13" s="7"/>
      <c r="AH13" s="7"/>
      <c r="AI13" s="7" t="s">
        <v>79</v>
      </c>
      <c r="AJ13" s="7"/>
      <c r="AK13" s="7"/>
      <c r="AL13" s="7"/>
      <c r="AM13" s="7"/>
      <c r="AN13" s="7"/>
      <c r="AO13" s="7" t="s">
        <v>80</v>
      </c>
      <c r="AP13" s="7"/>
      <c r="AQ13" s="7" t="s">
        <v>81</v>
      </c>
      <c r="AR13" s="7"/>
      <c r="AS13" s="7" t="s">
        <v>99</v>
      </c>
      <c r="AT13" s="7" t="s">
        <v>100</v>
      </c>
      <c r="AU13" s="7" t="s">
        <v>98</v>
      </c>
      <c r="AV13" s="7">
        <v>1</v>
      </c>
    </row>
    <row r="14" spans="1:65" x14ac:dyDescent="0.45">
      <c r="C14" s="10" t="s">
        <v>60</v>
      </c>
      <c r="D14" s="10" t="s">
        <v>61</v>
      </c>
      <c r="E14" s="10" t="s">
        <v>62</v>
      </c>
      <c r="F14" s="10" t="s">
        <v>63</v>
      </c>
      <c r="G14" s="10" t="s">
        <v>64</v>
      </c>
      <c r="H14" s="10" t="s">
        <v>65</v>
      </c>
      <c r="I14" s="10" t="s">
        <v>66</v>
      </c>
      <c r="J14" s="10"/>
      <c r="K14" s="10" t="s">
        <v>85</v>
      </c>
      <c r="L14" s="10" t="s">
        <v>86</v>
      </c>
      <c r="M14" s="10" t="s">
        <v>86</v>
      </c>
      <c r="N14" s="10"/>
      <c r="O14" s="10" t="s">
        <v>102</v>
      </c>
      <c r="P14" s="10" t="s">
        <v>87</v>
      </c>
      <c r="Q14" s="10" t="s">
        <v>70</v>
      </c>
      <c r="R14" s="11">
        <v>-2239096.13</v>
      </c>
      <c r="S14" s="10" t="s">
        <v>72</v>
      </c>
      <c r="T14" s="10" t="s">
        <v>82</v>
      </c>
      <c r="U14" s="10" t="s">
        <v>97</v>
      </c>
      <c r="V14" s="10" t="s">
        <v>98</v>
      </c>
      <c r="W14" s="10">
        <v>1</v>
      </c>
      <c r="X14" s="7" t="s">
        <v>86</v>
      </c>
      <c r="Y14" s="7"/>
      <c r="Z14" s="7" t="s">
        <v>76</v>
      </c>
      <c r="AA14" s="7" t="s">
        <v>76</v>
      </c>
      <c r="AB14" s="7" t="s">
        <v>89</v>
      </c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 t="s">
        <v>80</v>
      </c>
      <c r="AP14" s="7"/>
      <c r="AQ14" s="7" t="s">
        <v>81</v>
      </c>
      <c r="AR14" s="7"/>
      <c r="AS14" s="7" t="s">
        <v>99</v>
      </c>
      <c r="AT14" s="7" t="s">
        <v>100</v>
      </c>
      <c r="AU14" s="7" t="s">
        <v>98</v>
      </c>
      <c r="AV14" s="7">
        <v>1</v>
      </c>
    </row>
    <row r="15" spans="1:65" x14ac:dyDescent="0.45">
      <c r="C15" s="12" t="s">
        <v>60</v>
      </c>
      <c r="D15" s="12" t="s">
        <v>61</v>
      </c>
      <c r="E15" s="12" t="s">
        <v>62</v>
      </c>
      <c r="F15" s="12" t="s">
        <v>63</v>
      </c>
      <c r="G15" s="12" t="s">
        <v>90</v>
      </c>
      <c r="H15" s="12" t="s">
        <v>65</v>
      </c>
      <c r="I15" s="12" t="s">
        <v>66</v>
      </c>
      <c r="J15" s="12"/>
      <c r="K15" s="12" t="s">
        <v>67</v>
      </c>
      <c r="L15" s="12" t="s">
        <v>68</v>
      </c>
      <c r="M15" s="12" t="s">
        <v>68</v>
      </c>
      <c r="N15" s="12"/>
      <c r="O15" s="12" t="s">
        <v>96</v>
      </c>
      <c r="P15" s="12" t="s">
        <v>69</v>
      </c>
      <c r="Q15" s="12" t="s">
        <v>70</v>
      </c>
      <c r="R15" s="13">
        <v>-148981777.25743401</v>
      </c>
      <c r="S15" s="12" t="s">
        <v>72</v>
      </c>
      <c r="T15" s="12" t="s">
        <v>82</v>
      </c>
      <c r="U15" s="12" t="s">
        <v>97</v>
      </c>
      <c r="V15" s="12" t="s">
        <v>98</v>
      </c>
      <c r="W15" s="12">
        <v>1</v>
      </c>
      <c r="X15" s="7" t="s">
        <v>68</v>
      </c>
      <c r="Y15" s="7"/>
      <c r="Z15" s="7" t="s">
        <v>76</v>
      </c>
      <c r="AA15" s="7" t="s">
        <v>76</v>
      </c>
      <c r="AB15" s="7" t="s">
        <v>77</v>
      </c>
      <c r="AC15" s="7"/>
      <c r="AD15" s="7"/>
      <c r="AE15" s="7"/>
      <c r="AF15" s="7"/>
      <c r="AG15" s="7"/>
      <c r="AH15" s="7"/>
      <c r="AI15" s="7" t="s">
        <v>79</v>
      </c>
      <c r="AJ15" s="7"/>
      <c r="AK15" s="7"/>
      <c r="AL15" s="7"/>
      <c r="AM15" s="7"/>
      <c r="AN15" s="7"/>
      <c r="AO15" s="7" t="s">
        <v>80</v>
      </c>
      <c r="AP15" s="7"/>
      <c r="AQ15" s="7" t="s">
        <v>81</v>
      </c>
      <c r="AR15" s="7"/>
      <c r="AS15" s="7" t="s">
        <v>99</v>
      </c>
      <c r="AT15" s="7" t="s">
        <v>100</v>
      </c>
      <c r="AU15" s="7" t="s">
        <v>98</v>
      </c>
      <c r="AV15" s="7">
        <v>1</v>
      </c>
    </row>
    <row r="16" spans="1:65" x14ac:dyDescent="0.45">
      <c r="C16" s="7" t="s">
        <v>60</v>
      </c>
      <c r="D16" s="7" t="s">
        <v>61</v>
      </c>
      <c r="E16" s="7" t="s">
        <v>62</v>
      </c>
      <c r="F16" s="7" t="s">
        <v>63</v>
      </c>
      <c r="G16" s="7" t="s">
        <v>103</v>
      </c>
      <c r="H16" s="7" t="s">
        <v>65</v>
      </c>
      <c r="I16" s="7" t="s">
        <v>66</v>
      </c>
      <c r="J16" s="7"/>
      <c r="K16" s="7" t="s">
        <v>67</v>
      </c>
      <c r="L16" s="7" t="s">
        <v>68</v>
      </c>
      <c r="M16" s="7" t="s">
        <v>68</v>
      </c>
      <c r="N16" s="7"/>
      <c r="O16" s="7" t="s">
        <v>96</v>
      </c>
      <c r="P16" s="7" t="s">
        <v>69</v>
      </c>
      <c r="Q16" s="7" t="s">
        <v>70</v>
      </c>
      <c r="R16" s="9">
        <v>16161616.046956999</v>
      </c>
      <c r="S16" s="7" t="s">
        <v>72</v>
      </c>
      <c r="T16" s="7" t="s">
        <v>82</v>
      </c>
      <c r="U16" s="7" t="s">
        <v>97</v>
      </c>
      <c r="V16" s="7" t="s">
        <v>98</v>
      </c>
      <c r="W16" s="7">
        <v>1</v>
      </c>
      <c r="X16" s="7" t="s">
        <v>68</v>
      </c>
      <c r="Y16" s="7"/>
      <c r="Z16" s="7" t="s">
        <v>76</v>
      </c>
      <c r="AA16" s="7" t="s">
        <v>76</v>
      </c>
      <c r="AB16" s="7" t="s">
        <v>77</v>
      </c>
      <c r="AC16" s="7"/>
      <c r="AD16" s="7"/>
      <c r="AE16" s="7"/>
      <c r="AF16" s="7"/>
      <c r="AG16" s="7"/>
      <c r="AH16" s="7"/>
      <c r="AI16" s="7" t="s">
        <v>79</v>
      </c>
      <c r="AJ16" s="7"/>
      <c r="AK16" s="7"/>
      <c r="AL16" s="7"/>
      <c r="AM16" s="7"/>
      <c r="AN16" s="7"/>
      <c r="AO16" s="7" t="s">
        <v>80</v>
      </c>
      <c r="AP16" s="7"/>
      <c r="AQ16" s="7" t="s">
        <v>81</v>
      </c>
      <c r="AR16" s="7"/>
      <c r="AS16" s="7" t="s">
        <v>99</v>
      </c>
      <c r="AT16" s="7" t="s">
        <v>100</v>
      </c>
      <c r="AU16" s="7" t="s">
        <v>98</v>
      </c>
      <c r="AV16" s="7">
        <v>1</v>
      </c>
    </row>
    <row r="17" spans="2:64" x14ac:dyDescent="0.45">
      <c r="C17" s="7" t="s">
        <v>60</v>
      </c>
      <c r="D17" s="7" t="s">
        <v>61</v>
      </c>
      <c r="E17" s="7" t="s">
        <v>62</v>
      </c>
      <c r="F17" s="7" t="s">
        <v>63</v>
      </c>
      <c r="G17" s="7" t="s">
        <v>101</v>
      </c>
      <c r="H17" s="7" t="s">
        <v>65</v>
      </c>
      <c r="I17" s="7" t="s">
        <v>66</v>
      </c>
      <c r="J17" s="7"/>
      <c r="K17" s="7" t="s">
        <v>67</v>
      </c>
      <c r="L17" s="7" t="s">
        <v>68</v>
      </c>
      <c r="M17" s="7" t="s">
        <v>68</v>
      </c>
      <c r="N17" s="7"/>
      <c r="O17" s="7" t="s">
        <v>96</v>
      </c>
      <c r="P17" s="7" t="s">
        <v>69</v>
      </c>
      <c r="Q17" s="7" t="s">
        <v>70</v>
      </c>
      <c r="R17" s="9">
        <v>1524117542.15399</v>
      </c>
      <c r="S17" s="7" t="s">
        <v>72</v>
      </c>
      <c r="T17" s="7" t="s">
        <v>82</v>
      </c>
      <c r="U17" s="7" t="s">
        <v>97</v>
      </c>
      <c r="V17" s="7" t="s">
        <v>98</v>
      </c>
      <c r="W17" s="7">
        <v>1</v>
      </c>
      <c r="X17" s="7" t="s">
        <v>68</v>
      </c>
      <c r="Y17" s="7"/>
      <c r="Z17" s="7" t="s">
        <v>76</v>
      </c>
      <c r="AA17" s="7" t="s">
        <v>76</v>
      </c>
      <c r="AB17" s="7" t="s">
        <v>77</v>
      </c>
      <c r="AC17" s="7"/>
      <c r="AD17" s="7"/>
      <c r="AE17" s="7"/>
      <c r="AF17" s="7"/>
      <c r="AG17" s="7"/>
      <c r="AH17" s="7"/>
      <c r="AI17" s="7" t="s">
        <v>79</v>
      </c>
      <c r="AJ17" s="7"/>
      <c r="AK17" s="7"/>
      <c r="AL17" s="7"/>
      <c r="AM17" s="7"/>
      <c r="AN17" s="7"/>
      <c r="AO17" s="7" t="s">
        <v>80</v>
      </c>
      <c r="AP17" s="7"/>
      <c r="AQ17" s="7" t="s">
        <v>81</v>
      </c>
      <c r="AR17" s="7"/>
      <c r="AS17" s="7" t="s">
        <v>99</v>
      </c>
      <c r="AT17" s="7" t="s">
        <v>100</v>
      </c>
      <c r="AU17" s="7" t="s">
        <v>98</v>
      </c>
      <c r="AV17" s="7">
        <v>1</v>
      </c>
    </row>
    <row r="18" spans="2:64" x14ac:dyDescent="0.45"/>
    <row r="19" spans="2:64" x14ac:dyDescent="0.45">
      <c r="C19" s="31">
        <v>45991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</row>
    <row r="20" spans="2:64" x14ac:dyDescent="0.45">
      <c r="C20" s="1" t="s">
        <v>0</v>
      </c>
      <c r="D20" s="1" t="s">
        <v>1</v>
      </c>
      <c r="E20" s="1" t="s">
        <v>2</v>
      </c>
    </row>
    <row r="21" spans="2:64" x14ac:dyDescent="0.45">
      <c r="C21" s="25" t="s">
        <v>94</v>
      </c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7"/>
      <c r="X21" s="28" t="s">
        <v>95</v>
      </c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30"/>
    </row>
    <row r="22" spans="2:64" x14ac:dyDescent="0.45">
      <c r="B22" s="14"/>
      <c r="C22" s="7" t="s">
        <v>3</v>
      </c>
      <c r="D22" s="7" t="s">
        <v>4</v>
      </c>
      <c r="E22" s="7" t="s">
        <v>5</v>
      </c>
      <c r="F22" s="7" t="s">
        <v>6</v>
      </c>
      <c r="G22" s="7" t="s">
        <v>7</v>
      </c>
      <c r="H22" s="7" t="s">
        <v>8</v>
      </c>
      <c r="I22" s="7" t="s">
        <v>9</v>
      </c>
      <c r="J22" s="7" t="s">
        <v>10</v>
      </c>
      <c r="K22" s="7" t="s">
        <v>11</v>
      </c>
      <c r="L22" s="7" t="s">
        <v>12</v>
      </c>
      <c r="M22" s="7" t="s">
        <v>13</v>
      </c>
      <c r="N22" s="7" t="s">
        <v>14</v>
      </c>
      <c r="O22" s="7" t="s">
        <v>15</v>
      </c>
      <c r="P22" s="7" t="s">
        <v>16</v>
      </c>
      <c r="Q22" s="7" t="s">
        <v>17</v>
      </c>
      <c r="R22" s="7" t="s">
        <v>18</v>
      </c>
      <c r="S22" s="7" t="s">
        <v>19</v>
      </c>
      <c r="T22" s="7" t="s">
        <v>20</v>
      </c>
      <c r="U22" s="7" t="s">
        <v>21</v>
      </c>
      <c r="V22" s="7" t="s">
        <v>22</v>
      </c>
      <c r="W22" s="7" t="s">
        <v>23</v>
      </c>
      <c r="X22" s="7" t="s">
        <v>24</v>
      </c>
      <c r="Y22" s="7" t="s">
        <v>25</v>
      </c>
      <c r="Z22" s="7" t="s">
        <v>26</v>
      </c>
      <c r="AA22" s="7" t="s">
        <v>27</v>
      </c>
      <c r="AB22" s="7" t="s">
        <v>28</v>
      </c>
      <c r="AC22" s="7" t="s">
        <v>29</v>
      </c>
      <c r="AD22" s="7" t="s">
        <v>30</v>
      </c>
      <c r="AE22" s="7" t="s">
        <v>31</v>
      </c>
      <c r="AF22" s="7" t="s">
        <v>32</v>
      </c>
      <c r="AG22" s="7" t="s">
        <v>33</v>
      </c>
      <c r="AH22" s="7" t="s">
        <v>34</v>
      </c>
      <c r="AI22" s="7" t="s">
        <v>35</v>
      </c>
      <c r="AJ22" s="7" t="s">
        <v>36</v>
      </c>
      <c r="AK22" s="7" t="s">
        <v>37</v>
      </c>
      <c r="AL22" s="7" t="s">
        <v>38</v>
      </c>
      <c r="AM22" s="7" t="s">
        <v>39</v>
      </c>
      <c r="AN22" s="7" t="s">
        <v>40</v>
      </c>
      <c r="AO22" s="7" t="s">
        <v>41</v>
      </c>
      <c r="AP22" s="7" t="s">
        <v>42</v>
      </c>
      <c r="AQ22" s="7" t="s">
        <v>43</v>
      </c>
      <c r="AR22" s="7" t="s">
        <v>44</v>
      </c>
      <c r="AS22" s="7" t="s">
        <v>20</v>
      </c>
      <c r="AT22" s="7" t="s">
        <v>21</v>
      </c>
      <c r="AU22" s="7" t="s">
        <v>22</v>
      </c>
      <c r="AV22" s="7" t="s">
        <v>23</v>
      </c>
    </row>
    <row r="23" spans="2:64" x14ac:dyDescent="0.45">
      <c r="B23" s="14"/>
      <c r="C23" s="8" t="s">
        <v>60</v>
      </c>
      <c r="D23" s="8" t="s">
        <v>61</v>
      </c>
      <c r="E23" s="8" t="s">
        <v>62</v>
      </c>
      <c r="F23" s="8" t="s">
        <v>63</v>
      </c>
      <c r="G23" s="8" t="s">
        <v>64</v>
      </c>
      <c r="H23" s="8" t="s">
        <v>65</v>
      </c>
      <c r="I23" s="8" t="s">
        <v>66</v>
      </c>
      <c r="J23" s="8"/>
      <c r="K23" s="8" t="s">
        <v>67</v>
      </c>
      <c r="L23" s="8" t="s">
        <v>68</v>
      </c>
      <c r="M23" s="8" t="s">
        <v>68</v>
      </c>
      <c r="N23" s="8"/>
      <c r="O23" s="8"/>
      <c r="P23" s="8" t="s">
        <v>69</v>
      </c>
      <c r="Q23" s="8" t="s">
        <v>70</v>
      </c>
      <c r="R23" s="15">
        <v>6326736</v>
      </c>
      <c r="S23" s="8" t="s">
        <v>72</v>
      </c>
      <c r="T23" s="8" t="s">
        <v>73</v>
      </c>
      <c r="U23" s="8" t="s">
        <v>74</v>
      </c>
      <c r="V23" s="8" t="s">
        <v>75</v>
      </c>
      <c r="W23" s="8">
        <v>1</v>
      </c>
      <c r="X23" s="7" t="s">
        <v>68</v>
      </c>
      <c r="Y23" s="7"/>
      <c r="Z23" s="7" t="s">
        <v>76</v>
      </c>
      <c r="AA23" s="7" t="s">
        <v>76</v>
      </c>
      <c r="AB23" s="7" t="s">
        <v>77</v>
      </c>
      <c r="AC23" s="7" t="s">
        <v>78</v>
      </c>
      <c r="AD23" s="7"/>
      <c r="AE23" s="7"/>
      <c r="AF23" s="7"/>
      <c r="AG23" s="7"/>
      <c r="AH23" s="7"/>
      <c r="AI23" s="7" t="s">
        <v>79</v>
      </c>
      <c r="AJ23" s="7"/>
      <c r="AK23" s="7"/>
      <c r="AL23" s="7"/>
      <c r="AM23" s="7"/>
      <c r="AN23" s="7"/>
      <c r="AO23" s="7" t="s">
        <v>80</v>
      </c>
      <c r="AP23" s="7"/>
      <c r="AQ23" s="7" t="s">
        <v>81</v>
      </c>
      <c r="AR23" s="7"/>
      <c r="AS23" s="7" t="s">
        <v>82</v>
      </c>
      <c r="AT23" s="7" t="s">
        <v>83</v>
      </c>
      <c r="AU23" s="7" t="s">
        <v>75</v>
      </c>
      <c r="AV23" s="7">
        <v>1</v>
      </c>
    </row>
    <row r="24" spans="2:64" x14ac:dyDescent="0.45">
      <c r="B24" s="14"/>
      <c r="C24" s="10" t="s">
        <v>60</v>
      </c>
      <c r="D24" s="10" t="s">
        <v>61</v>
      </c>
      <c r="E24" s="10" t="s">
        <v>62</v>
      </c>
      <c r="F24" s="10" t="s">
        <v>63</v>
      </c>
      <c r="G24" s="10" t="s">
        <v>64</v>
      </c>
      <c r="H24" s="10" t="s">
        <v>65</v>
      </c>
      <c r="I24" s="10" t="s">
        <v>66</v>
      </c>
      <c r="J24" s="10"/>
      <c r="K24" s="10" t="s">
        <v>85</v>
      </c>
      <c r="L24" s="10" t="s">
        <v>86</v>
      </c>
      <c r="M24" s="10" t="s">
        <v>86</v>
      </c>
      <c r="N24" s="10"/>
      <c r="O24" s="10"/>
      <c r="P24" s="10" t="s">
        <v>87</v>
      </c>
      <c r="Q24" s="10" t="s">
        <v>70</v>
      </c>
      <c r="R24" s="11">
        <v>-19146966.41</v>
      </c>
      <c r="S24" s="10" t="s">
        <v>72</v>
      </c>
      <c r="T24" s="10" t="s">
        <v>73</v>
      </c>
      <c r="U24" s="10" t="s">
        <v>74</v>
      </c>
      <c r="V24" s="10" t="s">
        <v>75</v>
      </c>
      <c r="W24" s="10">
        <v>1</v>
      </c>
      <c r="X24" s="7" t="s">
        <v>86</v>
      </c>
      <c r="Y24" s="7"/>
      <c r="Z24" s="7" t="s">
        <v>76</v>
      </c>
      <c r="AA24" s="7" t="s">
        <v>76</v>
      </c>
      <c r="AB24" s="7" t="s">
        <v>89</v>
      </c>
      <c r="AC24" s="7" t="s">
        <v>78</v>
      </c>
      <c r="AD24" s="7"/>
      <c r="AE24" s="7"/>
      <c r="AF24" s="7"/>
      <c r="AG24" s="7"/>
      <c r="AH24" s="7"/>
      <c r="AI24" s="7" t="s">
        <v>79</v>
      </c>
      <c r="AJ24" s="7"/>
      <c r="AK24" s="7"/>
      <c r="AL24" s="7"/>
      <c r="AM24" s="7"/>
      <c r="AN24" s="7"/>
      <c r="AO24" s="7" t="s">
        <v>80</v>
      </c>
      <c r="AP24" s="7"/>
      <c r="AQ24" s="7" t="s">
        <v>81</v>
      </c>
      <c r="AR24" s="7"/>
      <c r="AS24" s="7" t="s">
        <v>82</v>
      </c>
      <c r="AT24" s="7" t="s">
        <v>83</v>
      </c>
      <c r="AU24" s="7" t="s">
        <v>75</v>
      </c>
      <c r="AV24" s="7">
        <v>1</v>
      </c>
    </row>
    <row r="25" spans="2:64" x14ac:dyDescent="0.45">
      <c r="B25" s="14"/>
      <c r="C25" s="12" t="s">
        <v>60</v>
      </c>
      <c r="D25" s="12" t="s">
        <v>61</v>
      </c>
      <c r="E25" s="12" t="s">
        <v>62</v>
      </c>
      <c r="F25" s="12" t="s">
        <v>63</v>
      </c>
      <c r="G25" s="12" t="s">
        <v>90</v>
      </c>
      <c r="H25" s="12" t="s">
        <v>65</v>
      </c>
      <c r="I25" s="12" t="s">
        <v>66</v>
      </c>
      <c r="J25" s="12"/>
      <c r="K25" s="12" t="s">
        <v>67</v>
      </c>
      <c r="L25" s="12" t="s">
        <v>68</v>
      </c>
      <c r="M25" s="12" t="s">
        <v>68</v>
      </c>
      <c r="N25" s="12"/>
      <c r="O25" s="12"/>
      <c r="P25" s="12" t="s">
        <v>69</v>
      </c>
      <c r="Q25" s="12" t="s">
        <v>70</v>
      </c>
      <c r="R25" s="13">
        <v>1762761</v>
      </c>
      <c r="S25" s="12" t="s">
        <v>72</v>
      </c>
      <c r="T25" s="12" t="s">
        <v>73</v>
      </c>
      <c r="U25" s="12" t="s">
        <v>74</v>
      </c>
      <c r="V25" s="12" t="s">
        <v>75</v>
      </c>
      <c r="W25" s="12">
        <v>1</v>
      </c>
      <c r="X25" s="7" t="s">
        <v>68</v>
      </c>
      <c r="Y25" s="7"/>
      <c r="Z25" s="7" t="s">
        <v>76</v>
      </c>
      <c r="AA25" s="7" t="s">
        <v>76</v>
      </c>
      <c r="AB25" s="7" t="s">
        <v>77</v>
      </c>
      <c r="AC25" s="7" t="s">
        <v>78</v>
      </c>
      <c r="AD25" s="7"/>
      <c r="AE25" s="7"/>
      <c r="AF25" s="7"/>
      <c r="AG25" s="7"/>
      <c r="AH25" s="7"/>
      <c r="AI25" s="7" t="s">
        <v>79</v>
      </c>
      <c r="AJ25" s="7"/>
      <c r="AK25" s="7"/>
      <c r="AL25" s="7"/>
      <c r="AM25" s="7"/>
      <c r="AN25" s="7"/>
      <c r="AO25" s="7" t="s">
        <v>80</v>
      </c>
      <c r="AP25" s="7"/>
      <c r="AQ25" s="7" t="s">
        <v>81</v>
      </c>
      <c r="AR25" s="7"/>
      <c r="AS25" s="7" t="s">
        <v>82</v>
      </c>
      <c r="AT25" s="7" t="s">
        <v>83</v>
      </c>
      <c r="AU25" s="7" t="s">
        <v>75</v>
      </c>
      <c r="AV25" s="7">
        <v>1</v>
      </c>
    </row>
    <row r="26" spans="2:64" x14ac:dyDescent="0.45">
      <c r="B26" s="14"/>
      <c r="C26" s="16" t="s">
        <v>60</v>
      </c>
      <c r="D26" s="16" t="s">
        <v>61</v>
      </c>
      <c r="E26" s="16" t="s">
        <v>62</v>
      </c>
      <c r="F26" s="16" t="s">
        <v>63</v>
      </c>
      <c r="G26" s="16" t="s">
        <v>92</v>
      </c>
      <c r="H26" s="16" t="s">
        <v>65</v>
      </c>
      <c r="I26" s="16" t="s">
        <v>66</v>
      </c>
      <c r="J26" s="16"/>
      <c r="K26" s="16" t="s">
        <v>67</v>
      </c>
      <c r="L26" s="16" t="s">
        <v>68</v>
      </c>
      <c r="M26" s="16" t="s">
        <v>68</v>
      </c>
      <c r="N26" s="16"/>
      <c r="O26" s="16"/>
      <c r="P26" s="16" t="s">
        <v>69</v>
      </c>
      <c r="Q26" s="16" t="s">
        <v>70</v>
      </c>
      <c r="R26" s="17">
        <v>1383690177</v>
      </c>
      <c r="S26" s="16" t="s">
        <v>72</v>
      </c>
      <c r="T26" s="16" t="s">
        <v>73</v>
      </c>
      <c r="U26" s="16" t="s">
        <v>74</v>
      </c>
      <c r="V26" s="16" t="s">
        <v>75</v>
      </c>
      <c r="W26" s="16">
        <v>1</v>
      </c>
      <c r="X26" s="7" t="s">
        <v>68</v>
      </c>
      <c r="Y26" s="7"/>
      <c r="Z26" s="7" t="s">
        <v>76</v>
      </c>
      <c r="AA26" s="7" t="s">
        <v>76</v>
      </c>
      <c r="AB26" s="7" t="s">
        <v>77</v>
      </c>
      <c r="AC26" s="7" t="s">
        <v>78</v>
      </c>
      <c r="AD26" s="7"/>
      <c r="AE26" s="7"/>
      <c r="AF26" s="7"/>
      <c r="AG26" s="7"/>
      <c r="AH26" s="7"/>
      <c r="AI26" s="7" t="s">
        <v>79</v>
      </c>
      <c r="AJ26" s="7"/>
      <c r="AK26" s="7"/>
      <c r="AL26" s="7"/>
      <c r="AM26" s="7"/>
      <c r="AN26" s="7"/>
      <c r="AO26" s="7" t="s">
        <v>80</v>
      </c>
      <c r="AP26" s="7"/>
      <c r="AQ26" s="7" t="s">
        <v>81</v>
      </c>
      <c r="AR26" s="7"/>
      <c r="AS26" s="7" t="s">
        <v>82</v>
      </c>
      <c r="AT26" s="7" t="s">
        <v>83</v>
      </c>
      <c r="AU26" s="7" t="s">
        <v>75</v>
      </c>
      <c r="AV26" s="7">
        <v>1</v>
      </c>
    </row>
    <row r="27" spans="2:64" x14ac:dyDescent="0.45">
      <c r="C27" s="1" t="s">
        <v>156</v>
      </c>
    </row>
    <row r="28" spans="2:64" x14ac:dyDescent="0.45">
      <c r="C28" s="6" t="s">
        <v>145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</row>
    <row r="29" spans="2:64" x14ac:dyDescent="0.45">
      <c r="C29" s="1" t="s">
        <v>0</v>
      </c>
      <c r="D29" s="1" t="s">
        <v>152</v>
      </c>
      <c r="E29" s="1" t="s">
        <v>2</v>
      </c>
    </row>
    <row r="30" spans="2:64" x14ac:dyDescent="0.45">
      <c r="B30" s="18" t="s">
        <v>146</v>
      </c>
      <c r="C30" s="7" t="s">
        <v>3</v>
      </c>
      <c r="D30" s="7" t="s">
        <v>4</v>
      </c>
      <c r="E30" s="7" t="s">
        <v>5</v>
      </c>
      <c r="F30" s="7" t="s">
        <v>6</v>
      </c>
      <c r="G30" s="7" t="s">
        <v>7</v>
      </c>
      <c r="H30" s="7" t="s">
        <v>11</v>
      </c>
      <c r="I30" s="7" t="s">
        <v>12</v>
      </c>
      <c r="J30" s="7" t="s">
        <v>104</v>
      </c>
      <c r="K30" s="7" t="s">
        <v>15</v>
      </c>
      <c r="L30" s="7" t="s">
        <v>18</v>
      </c>
      <c r="M30" s="7" t="s">
        <v>28</v>
      </c>
      <c r="N30" s="7" t="s">
        <v>29</v>
      </c>
      <c r="O30" s="7" t="s">
        <v>48</v>
      </c>
      <c r="P30" s="7" t="s">
        <v>34</v>
      </c>
      <c r="Q30" s="7" t="s">
        <v>35</v>
      </c>
      <c r="R30" s="7" t="s">
        <v>41</v>
      </c>
      <c r="S30" s="7" t="s">
        <v>33</v>
      </c>
      <c r="T30" s="7" t="s">
        <v>42</v>
      </c>
      <c r="U30" s="7" t="s">
        <v>49</v>
      </c>
      <c r="V30" s="7" t="s">
        <v>51</v>
      </c>
      <c r="W30" s="7" t="s">
        <v>50</v>
      </c>
      <c r="X30" s="7" t="s">
        <v>55</v>
      </c>
      <c r="Y30" s="7" t="s">
        <v>56</v>
      </c>
      <c r="Z30" s="7" t="s">
        <v>105</v>
      </c>
      <c r="AA30" s="7" t="s">
        <v>46</v>
      </c>
      <c r="AB30" s="7" t="s">
        <v>47</v>
      </c>
      <c r="AC30" s="7" t="s">
        <v>19</v>
      </c>
      <c r="AD30" s="7" t="s">
        <v>57</v>
      </c>
      <c r="AE30" s="7" t="s">
        <v>58</v>
      </c>
      <c r="AF30" s="7" t="s">
        <v>106</v>
      </c>
      <c r="AG30" s="7" t="s">
        <v>52</v>
      </c>
      <c r="AH30" s="7" t="s">
        <v>107</v>
      </c>
      <c r="AI30" s="7" t="s">
        <v>108</v>
      </c>
      <c r="AJ30" s="7" t="s">
        <v>109</v>
      </c>
      <c r="AK30" s="7" t="s">
        <v>110</v>
      </c>
      <c r="AL30" s="7" t="s">
        <v>111</v>
      </c>
      <c r="AM30" s="7" t="s">
        <v>53</v>
      </c>
      <c r="AN30" s="7" t="s">
        <v>112</v>
      </c>
      <c r="AO30" s="7" t="s">
        <v>54</v>
      </c>
      <c r="AP30" s="7" t="s">
        <v>113</v>
      </c>
      <c r="AQ30" s="7" t="s">
        <v>114</v>
      </c>
      <c r="AR30" s="7" t="s">
        <v>115</v>
      </c>
      <c r="AS30" s="7" t="s">
        <v>116</v>
      </c>
      <c r="AT30" s="7" t="s">
        <v>117</v>
      </c>
      <c r="AU30" s="7" t="s">
        <v>118</v>
      </c>
      <c r="AV30" s="7" t="s">
        <v>119</v>
      </c>
      <c r="AW30" s="7" t="s">
        <v>120</v>
      </c>
      <c r="AX30" s="7" t="s">
        <v>121</v>
      </c>
      <c r="AY30" s="7" t="s">
        <v>122</v>
      </c>
      <c r="AZ30" s="7" t="s">
        <v>123</v>
      </c>
      <c r="BA30" s="7" t="s">
        <v>124</v>
      </c>
      <c r="BB30" s="7" t="s">
        <v>125</v>
      </c>
      <c r="BC30" s="7" t="s">
        <v>126</v>
      </c>
      <c r="BD30" s="7" t="s">
        <v>59</v>
      </c>
      <c r="BE30" s="7" t="s">
        <v>20</v>
      </c>
      <c r="BF30" s="7" t="s">
        <v>21</v>
      </c>
      <c r="BG30" s="7" t="s">
        <v>22</v>
      </c>
      <c r="BH30" s="7" t="s">
        <v>23</v>
      </c>
      <c r="BI30" s="7" t="s">
        <v>25</v>
      </c>
      <c r="BJ30" s="7" t="s">
        <v>127</v>
      </c>
      <c r="BK30" s="7" t="s">
        <v>45</v>
      </c>
      <c r="BL30" s="7" t="s">
        <v>128</v>
      </c>
    </row>
    <row r="31" spans="2:64" x14ac:dyDescent="0.45">
      <c r="B31" s="18">
        <v>1</v>
      </c>
      <c r="C31" s="8" t="s">
        <v>60</v>
      </c>
      <c r="D31" s="8" t="s">
        <v>61</v>
      </c>
      <c r="E31" s="8" t="s">
        <v>62</v>
      </c>
      <c r="F31" s="8" t="s">
        <v>63</v>
      </c>
      <c r="G31" s="8" t="s">
        <v>64</v>
      </c>
      <c r="H31" s="8" t="s">
        <v>67</v>
      </c>
      <c r="I31" s="8" t="s">
        <v>68</v>
      </c>
      <c r="J31" s="8" t="s">
        <v>68</v>
      </c>
      <c r="K31" s="8"/>
      <c r="L31" s="15">
        <v>6326736</v>
      </c>
      <c r="M31" s="8" t="s">
        <v>77</v>
      </c>
      <c r="N31" s="8" t="s">
        <v>78</v>
      </c>
      <c r="O31" s="8" t="s">
        <v>129</v>
      </c>
      <c r="P31" s="8"/>
      <c r="Q31" s="8" t="s">
        <v>79</v>
      </c>
      <c r="R31" s="8" t="s">
        <v>80</v>
      </c>
      <c r="S31" s="8"/>
      <c r="T31" s="8"/>
      <c r="U31" s="8" t="s">
        <v>84</v>
      </c>
      <c r="V31" s="8" t="s">
        <v>130</v>
      </c>
      <c r="W31" s="8"/>
      <c r="X31" s="8" t="s">
        <v>131</v>
      </c>
      <c r="Y31" s="8"/>
      <c r="Z31" s="8"/>
      <c r="AA31" s="8" t="s">
        <v>132</v>
      </c>
      <c r="AB31" s="8" t="s">
        <v>133</v>
      </c>
      <c r="AC31" s="8" t="s">
        <v>72</v>
      </c>
      <c r="AD31" s="8" t="s">
        <v>134</v>
      </c>
      <c r="AE31" s="8" t="s">
        <v>84</v>
      </c>
      <c r="AF31" s="8" t="s">
        <v>84</v>
      </c>
      <c r="AG31" s="8" t="s">
        <v>135</v>
      </c>
      <c r="AH31" s="8" t="s">
        <v>131</v>
      </c>
      <c r="AI31" s="8" t="s">
        <v>135</v>
      </c>
      <c r="AJ31" s="8" t="s">
        <v>131</v>
      </c>
      <c r="AK31" s="8" t="s">
        <v>135</v>
      </c>
      <c r="AL31" s="8" t="s">
        <v>135</v>
      </c>
      <c r="AM31" s="8" t="s">
        <v>135</v>
      </c>
      <c r="AN31" s="8" t="s">
        <v>131</v>
      </c>
      <c r="AO31" s="8" t="s">
        <v>135</v>
      </c>
      <c r="AP31" s="8" t="s">
        <v>71</v>
      </c>
      <c r="AQ31" s="8" t="s">
        <v>136</v>
      </c>
      <c r="AR31" s="8" t="s">
        <v>136</v>
      </c>
      <c r="AS31" s="8" t="s">
        <v>136</v>
      </c>
      <c r="AT31" s="8" t="s">
        <v>84</v>
      </c>
      <c r="AU31" s="8" t="s">
        <v>84</v>
      </c>
      <c r="AV31" s="8" t="s">
        <v>84</v>
      </c>
      <c r="AW31" s="8" t="s">
        <v>84</v>
      </c>
      <c r="AX31" s="8" t="s">
        <v>136</v>
      </c>
      <c r="AY31" s="8" t="s">
        <v>84</v>
      </c>
      <c r="AZ31" s="8" t="s">
        <v>137</v>
      </c>
      <c r="BA31" s="8"/>
      <c r="BB31" s="8" t="s">
        <v>69</v>
      </c>
      <c r="BC31" s="8" t="s">
        <v>69</v>
      </c>
      <c r="BD31" s="8" t="s">
        <v>131</v>
      </c>
      <c r="BE31" s="8" t="s">
        <v>138</v>
      </c>
      <c r="BF31" s="8" t="s">
        <v>139</v>
      </c>
      <c r="BG31" s="8" t="s">
        <v>75</v>
      </c>
      <c r="BH31" s="8">
        <v>1</v>
      </c>
      <c r="BI31" s="8" t="s">
        <v>140</v>
      </c>
      <c r="BJ31" s="8" t="s">
        <v>141</v>
      </c>
      <c r="BK31" s="8" t="s">
        <v>142</v>
      </c>
      <c r="BL31" s="8" t="s">
        <v>143</v>
      </c>
    </row>
    <row r="32" spans="2:64" x14ac:dyDescent="0.45">
      <c r="B32" s="18">
        <v>2</v>
      </c>
      <c r="C32" s="10" t="s">
        <v>60</v>
      </c>
      <c r="D32" s="10" t="s">
        <v>61</v>
      </c>
      <c r="E32" s="10" t="s">
        <v>62</v>
      </c>
      <c r="F32" s="10" t="s">
        <v>63</v>
      </c>
      <c r="G32" s="10" t="s">
        <v>64</v>
      </c>
      <c r="H32" s="10" t="s">
        <v>85</v>
      </c>
      <c r="I32" s="10" t="s">
        <v>86</v>
      </c>
      <c r="J32" s="10" t="s">
        <v>86</v>
      </c>
      <c r="K32" s="10"/>
      <c r="L32" s="11">
        <v>-19146966.41</v>
      </c>
      <c r="M32" s="10" t="s">
        <v>89</v>
      </c>
      <c r="N32" s="10" t="s">
        <v>78</v>
      </c>
      <c r="O32" s="10" t="s">
        <v>129</v>
      </c>
      <c r="P32" s="10"/>
      <c r="Q32" s="10" t="s">
        <v>79</v>
      </c>
      <c r="R32" s="10" t="s">
        <v>80</v>
      </c>
      <c r="S32" s="10"/>
      <c r="T32" s="10"/>
      <c r="U32" s="10" t="s">
        <v>84</v>
      </c>
      <c r="V32" s="10" t="s">
        <v>130</v>
      </c>
      <c r="W32" s="10"/>
      <c r="X32" s="10" t="s">
        <v>131</v>
      </c>
      <c r="Y32" s="10"/>
      <c r="Z32" s="10"/>
      <c r="AA32" s="10" t="s">
        <v>132</v>
      </c>
      <c r="AB32" s="10" t="s">
        <v>133</v>
      </c>
      <c r="AC32" s="10" t="s">
        <v>72</v>
      </c>
      <c r="AD32" s="10" t="s">
        <v>134</v>
      </c>
      <c r="AE32" s="10" t="s">
        <v>84</v>
      </c>
      <c r="AF32" s="10" t="s">
        <v>84</v>
      </c>
      <c r="AG32" s="10" t="s">
        <v>135</v>
      </c>
      <c r="AH32" s="10" t="s">
        <v>131</v>
      </c>
      <c r="AI32" s="10" t="s">
        <v>135</v>
      </c>
      <c r="AJ32" s="10" t="s">
        <v>131</v>
      </c>
      <c r="AK32" s="10" t="s">
        <v>135</v>
      </c>
      <c r="AL32" s="10" t="s">
        <v>135</v>
      </c>
      <c r="AM32" s="10" t="s">
        <v>135</v>
      </c>
      <c r="AN32" s="10" t="s">
        <v>131</v>
      </c>
      <c r="AO32" s="10" t="s">
        <v>135</v>
      </c>
      <c r="AP32" s="10" t="s">
        <v>88</v>
      </c>
      <c r="AQ32" s="10" t="s">
        <v>136</v>
      </c>
      <c r="AR32" s="10" t="s">
        <v>136</v>
      </c>
      <c r="AS32" s="10" t="s">
        <v>136</v>
      </c>
      <c r="AT32" s="10" t="s">
        <v>84</v>
      </c>
      <c r="AU32" s="10" t="s">
        <v>84</v>
      </c>
      <c r="AV32" s="10" t="s">
        <v>84</v>
      </c>
      <c r="AW32" s="10" t="s">
        <v>84</v>
      </c>
      <c r="AX32" s="10" t="s">
        <v>136</v>
      </c>
      <c r="AY32" s="10" t="s">
        <v>84</v>
      </c>
      <c r="AZ32" s="10" t="s">
        <v>137</v>
      </c>
      <c r="BA32" s="10"/>
      <c r="BB32" s="10" t="s">
        <v>87</v>
      </c>
      <c r="BC32" s="10" t="s">
        <v>69</v>
      </c>
      <c r="BD32" s="10" t="s">
        <v>131</v>
      </c>
      <c r="BE32" s="10" t="s">
        <v>138</v>
      </c>
      <c r="BF32" s="10" t="s">
        <v>139</v>
      </c>
      <c r="BG32" s="10" t="s">
        <v>75</v>
      </c>
      <c r="BH32" s="10">
        <v>1</v>
      </c>
      <c r="BI32" s="10" t="s">
        <v>140</v>
      </c>
      <c r="BJ32" s="10" t="s">
        <v>141</v>
      </c>
      <c r="BK32" s="10" t="s">
        <v>142</v>
      </c>
      <c r="BL32" s="10" t="s">
        <v>143</v>
      </c>
    </row>
    <row r="33" spans="1:64" x14ac:dyDescent="0.45">
      <c r="B33" s="18">
        <v>3</v>
      </c>
      <c r="C33" s="16" t="s">
        <v>60</v>
      </c>
      <c r="D33" s="16" t="s">
        <v>61</v>
      </c>
      <c r="E33" s="16" t="s">
        <v>62</v>
      </c>
      <c r="F33" s="16" t="s">
        <v>63</v>
      </c>
      <c r="G33" s="16" t="s">
        <v>92</v>
      </c>
      <c r="H33" s="16" t="s">
        <v>67</v>
      </c>
      <c r="I33" s="16" t="s">
        <v>68</v>
      </c>
      <c r="J33" s="16" t="s">
        <v>68</v>
      </c>
      <c r="K33" s="16"/>
      <c r="L33" s="17">
        <v>1383690177</v>
      </c>
      <c r="M33" s="16" t="s">
        <v>77</v>
      </c>
      <c r="N33" s="16" t="s">
        <v>78</v>
      </c>
      <c r="O33" s="16" t="s">
        <v>84</v>
      </c>
      <c r="P33" s="16"/>
      <c r="Q33" s="16" t="s">
        <v>79</v>
      </c>
      <c r="R33" s="16" t="s">
        <v>80</v>
      </c>
      <c r="S33" s="16"/>
      <c r="T33" s="16"/>
      <c r="U33" s="16" t="s">
        <v>84</v>
      </c>
      <c r="V33" s="16" t="s">
        <v>84</v>
      </c>
      <c r="W33" s="16" t="s">
        <v>84</v>
      </c>
      <c r="X33" s="16" t="s">
        <v>135</v>
      </c>
      <c r="Y33" s="16"/>
      <c r="Z33" s="16" t="s">
        <v>84</v>
      </c>
      <c r="AA33" s="16" t="s">
        <v>84</v>
      </c>
      <c r="AB33" s="16" t="s">
        <v>84</v>
      </c>
      <c r="AC33" s="16" t="s">
        <v>72</v>
      </c>
      <c r="AD33" s="16" t="s">
        <v>134</v>
      </c>
      <c r="AE33" s="16" t="s">
        <v>84</v>
      </c>
      <c r="AF33" s="16" t="s">
        <v>84</v>
      </c>
      <c r="AG33" s="16" t="s">
        <v>135</v>
      </c>
      <c r="AH33" s="16" t="s">
        <v>135</v>
      </c>
      <c r="AI33" s="16" t="s">
        <v>135</v>
      </c>
      <c r="AJ33" s="16" t="s">
        <v>131</v>
      </c>
      <c r="AK33" s="16" t="s">
        <v>135</v>
      </c>
      <c r="AL33" s="16" t="s">
        <v>135</v>
      </c>
      <c r="AM33" s="16" t="s">
        <v>135</v>
      </c>
      <c r="AN33" s="16" t="s">
        <v>131</v>
      </c>
      <c r="AO33" s="16" t="s">
        <v>135</v>
      </c>
      <c r="AP33" s="16" t="s">
        <v>93</v>
      </c>
      <c r="AQ33" s="16" t="s">
        <v>136</v>
      </c>
      <c r="AR33" s="16" t="s">
        <v>136</v>
      </c>
      <c r="AS33" s="16" t="s">
        <v>136</v>
      </c>
      <c r="AT33" s="16" t="s">
        <v>84</v>
      </c>
      <c r="AU33" s="16" t="s">
        <v>84</v>
      </c>
      <c r="AV33" s="16" t="s">
        <v>84</v>
      </c>
      <c r="AW33" s="16" t="s">
        <v>84</v>
      </c>
      <c r="AX33" s="16" t="s">
        <v>136</v>
      </c>
      <c r="AY33" s="16" t="s">
        <v>84</v>
      </c>
      <c r="AZ33" s="16"/>
      <c r="BA33" s="16"/>
      <c r="BB33" s="16" t="s">
        <v>69</v>
      </c>
      <c r="BC33" s="16" t="s">
        <v>69</v>
      </c>
      <c r="BD33" s="16" t="s">
        <v>131</v>
      </c>
      <c r="BE33" s="16" t="s">
        <v>138</v>
      </c>
      <c r="BF33" s="16" t="s">
        <v>139</v>
      </c>
      <c r="BG33" s="16" t="s">
        <v>75</v>
      </c>
      <c r="BH33" s="16">
        <v>1</v>
      </c>
      <c r="BI33" s="16" t="s">
        <v>140</v>
      </c>
      <c r="BJ33" s="16" t="s">
        <v>141</v>
      </c>
      <c r="BK33" s="16" t="s">
        <v>142</v>
      </c>
      <c r="BL33" s="16" t="s">
        <v>143</v>
      </c>
    </row>
    <row r="34" spans="1:64" x14ac:dyDescent="0.45">
      <c r="B34" s="18">
        <v>4</v>
      </c>
      <c r="C34" s="12" t="s">
        <v>60</v>
      </c>
      <c r="D34" s="12" t="s">
        <v>61</v>
      </c>
      <c r="E34" s="12" t="s">
        <v>62</v>
      </c>
      <c r="F34" s="12" t="s">
        <v>63</v>
      </c>
      <c r="G34" s="12" t="s">
        <v>90</v>
      </c>
      <c r="H34" s="12" t="s">
        <v>67</v>
      </c>
      <c r="I34" s="12" t="s">
        <v>68</v>
      </c>
      <c r="J34" s="12" t="s">
        <v>68</v>
      </c>
      <c r="K34" s="12"/>
      <c r="L34" s="13">
        <v>1762761</v>
      </c>
      <c r="M34" s="12" t="s">
        <v>77</v>
      </c>
      <c r="N34" s="12" t="s">
        <v>78</v>
      </c>
      <c r="O34" s="12" t="s">
        <v>84</v>
      </c>
      <c r="P34" s="12"/>
      <c r="Q34" s="12" t="s">
        <v>79</v>
      </c>
      <c r="R34" s="12" t="s">
        <v>80</v>
      </c>
      <c r="S34" s="12"/>
      <c r="T34" s="12"/>
      <c r="U34" s="12" t="s">
        <v>84</v>
      </c>
      <c r="V34" s="12" t="s">
        <v>84</v>
      </c>
      <c r="W34" s="12" t="s">
        <v>84</v>
      </c>
      <c r="X34" s="12" t="s">
        <v>84</v>
      </c>
      <c r="Y34" s="12"/>
      <c r="Z34" s="12" t="s">
        <v>84</v>
      </c>
      <c r="AA34" s="12" t="s">
        <v>84</v>
      </c>
      <c r="AB34" s="12" t="s">
        <v>84</v>
      </c>
      <c r="AC34" s="12" t="s">
        <v>72</v>
      </c>
      <c r="AD34" s="12" t="s">
        <v>134</v>
      </c>
      <c r="AE34" s="12" t="s">
        <v>84</v>
      </c>
      <c r="AF34" s="12" t="s">
        <v>84</v>
      </c>
      <c r="AG34" s="12" t="s">
        <v>135</v>
      </c>
      <c r="AH34" s="12" t="s">
        <v>135</v>
      </c>
      <c r="AI34" s="12" t="s">
        <v>135</v>
      </c>
      <c r="AJ34" s="12" t="s">
        <v>131</v>
      </c>
      <c r="AK34" s="12" t="s">
        <v>135</v>
      </c>
      <c r="AL34" s="12" t="s">
        <v>135</v>
      </c>
      <c r="AM34" s="12" t="s">
        <v>135</v>
      </c>
      <c r="AN34" s="12" t="s">
        <v>131</v>
      </c>
      <c r="AO34" s="12" t="s">
        <v>135</v>
      </c>
      <c r="AP34" s="12" t="s">
        <v>91</v>
      </c>
      <c r="AQ34" s="12" t="s">
        <v>136</v>
      </c>
      <c r="AR34" s="12" t="s">
        <v>136</v>
      </c>
      <c r="AS34" s="12" t="s">
        <v>136</v>
      </c>
      <c r="AT34" s="12" t="s">
        <v>84</v>
      </c>
      <c r="AU34" s="12" t="s">
        <v>84</v>
      </c>
      <c r="AV34" s="12" t="s">
        <v>84</v>
      </c>
      <c r="AW34" s="12" t="s">
        <v>84</v>
      </c>
      <c r="AX34" s="12" t="s">
        <v>136</v>
      </c>
      <c r="AY34" s="12" t="s">
        <v>84</v>
      </c>
      <c r="AZ34" s="12"/>
      <c r="BA34" s="12"/>
      <c r="BB34" s="12" t="s">
        <v>69</v>
      </c>
      <c r="BC34" s="12" t="s">
        <v>69</v>
      </c>
      <c r="BD34" s="12" t="s">
        <v>131</v>
      </c>
      <c r="BE34" s="12" t="s">
        <v>138</v>
      </c>
      <c r="BF34" s="12" t="s">
        <v>139</v>
      </c>
      <c r="BG34" s="12" t="s">
        <v>75</v>
      </c>
      <c r="BH34" s="12">
        <v>1</v>
      </c>
      <c r="BI34" s="12" t="s">
        <v>140</v>
      </c>
      <c r="BJ34" s="12" t="s">
        <v>141</v>
      </c>
      <c r="BK34" s="12" t="s">
        <v>142</v>
      </c>
      <c r="BL34" s="12" t="s">
        <v>143</v>
      </c>
    </row>
    <row r="35" spans="1:64" x14ac:dyDescent="0.45">
      <c r="A35" s="20"/>
      <c r="B35" s="18">
        <v>5</v>
      </c>
      <c r="C35" s="8" t="s">
        <v>60</v>
      </c>
      <c r="D35" s="8" t="s">
        <v>61</v>
      </c>
      <c r="E35" s="8" t="s">
        <v>62</v>
      </c>
      <c r="F35" s="8" t="s">
        <v>63</v>
      </c>
      <c r="G35" s="21" t="s">
        <v>84</v>
      </c>
      <c r="H35" s="8" t="s">
        <v>67</v>
      </c>
      <c r="I35" s="8" t="s">
        <v>68</v>
      </c>
      <c r="J35" s="8" t="s">
        <v>68</v>
      </c>
      <c r="K35" s="8" t="s">
        <v>96</v>
      </c>
      <c r="L35" s="15" t="s">
        <v>84</v>
      </c>
      <c r="M35" s="8" t="s">
        <v>84</v>
      </c>
      <c r="N35" s="8" t="s">
        <v>84</v>
      </c>
      <c r="O35" s="8" t="s">
        <v>84</v>
      </c>
      <c r="P35" s="8" t="s">
        <v>84</v>
      </c>
      <c r="Q35" s="8" t="s">
        <v>84</v>
      </c>
      <c r="R35" s="8" t="s">
        <v>84</v>
      </c>
      <c r="S35" s="8" t="s">
        <v>84</v>
      </c>
      <c r="T35" s="8" t="s">
        <v>84</v>
      </c>
      <c r="U35" s="8" t="s">
        <v>84</v>
      </c>
      <c r="V35" s="8" t="s">
        <v>84</v>
      </c>
      <c r="W35" s="8" t="s">
        <v>84</v>
      </c>
      <c r="X35" s="8" t="s">
        <v>84</v>
      </c>
      <c r="Y35" s="8" t="s">
        <v>84</v>
      </c>
      <c r="Z35" s="8" t="s">
        <v>84</v>
      </c>
      <c r="AA35" s="8" t="s">
        <v>84</v>
      </c>
      <c r="AB35" s="8" t="s">
        <v>84</v>
      </c>
      <c r="AC35" s="8" t="s">
        <v>84</v>
      </c>
      <c r="AD35" s="8" t="s">
        <v>134</v>
      </c>
      <c r="AE35" s="8" t="s">
        <v>84</v>
      </c>
      <c r="AF35" s="8" t="s">
        <v>84</v>
      </c>
      <c r="AG35" s="8" t="s">
        <v>84</v>
      </c>
      <c r="AH35" s="8" t="s">
        <v>84</v>
      </c>
      <c r="AI35" s="8" t="s">
        <v>135</v>
      </c>
      <c r="AJ35" s="8" t="s">
        <v>135</v>
      </c>
      <c r="AK35" s="8" t="s">
        <v>135</v>
      </c>
      <c r="AL35" s="8" t="s">
        <v>135</v>
      </c>
      <c r="AM35" s="8" t="s">
        <v>135</v>
      </c>
      <c r="AN35" s="8" t="s">
        <v>135</v>
      </c>
      <c r="AO35" s="8" t="s">
        <v>84</v>
      </c>
      <c r="AP35" s="8" t="s">
        <v>84</v>
      </c>
      <c r="AQ35" s="8" t="s">
        <v>84</v>
      </c>
      <c r="AR35" s="8" t="s">
        <v>84</v>
      </c>
      <c r="AS35" s="8" t="s">
        <v>84</v>
      </c>
      <c r="AT35" s="15">
        <v>482293.05648000003</v>
      </c>
      <c r="AU35" s="8" t="s">
        <v>136</v>
      </c>
      <c r="AV35" s="8" t="s">
        <v>136</v>
      </c>
      <c r="AW35" s="8" t="s">
        <v>136</v>
      </c>
      <c r="AX35" s="8" t="s">
        <v>84</v>
      </c>
      <c r="AY35" s="8" t="s">
        <v>136</v>
      </c>
      <c r="AZ35" s="8"/>
      <c r="BA35" s="8"/>
      <c r="BB35" s="8" t="s">
        <v>84</v>
      </c>
      <c r="BC35" s="8" t="s">
        <v>84</v>
      </c>
      <c r="BD35" s="8" t="s">
        <v>84</v>
      </c>
      <c r="BE35" s="8" t="s">
        <v>138</v>
      </c>
      <c r="BF35" s="8" t="s">
        <v>139</v>
      </c>
      <c r="BG35" s="8" t="s">
        <v>75</v>
      </c>
      <c r="BH35" s="8">
        <v>1</v>
      </c>
      <c r="BI35" s="8" t="s">
        <v>140</v>
      </c>
      <c r="BJ35" s="8" t="s">
        <v>141</v>
      </c>
      <c r="BK35" s="8" t="s">
        <v>142</v>
      </c>
      <c r="BL35" s="8" t="s">
        <v>143</v>
      </c>
    </row>
    <row r="36" spans="1:64" x14ac:dyDescent="0.45">
      <c r="A36" s="20"/>
      <c r="B36" s="18">
        <v>6</v>
      </c>
      <c r="C36" s="10" t="s">
        <v>60</v>
      </c>
      <c r="D36" s="10" t="s">
        <v>61</v>
      </c>
      <c r="E36" s="10" t="s">
        <v>62</v>
      </c>
      <c r="F36" s="10" t="s">
        <v>63</v>
      </c>
      <c r="G36" s="22" t="s">
        <v>84</v>
      </c>
      <c r="H36" s="10" t="s">
        <v>85</v>
      </c>
      <c r="I36" s="10" t="s">
        <v>86</v>
      </c>
      <c r="J36" s="10" t="s">
        <v>86</v>
      </c>
      <c r="K36" s="10" t="s">
        <v>102</v>
      </c>
      <c r="L36" s="11" t="s">
        <v>84</v>
      </c>
      <c r="M36" s="10" t="s">
        <v>84</v>
      </c>
      <c r="N36" s="10" t="s">
        <v>84</v>
      </c>
      <c r="O36" s="10" t="s">
        <v>84</v>
      </c>
      <c r="P36" s="10" t="s">
        <v>84</v>
      </c>
      <c r="Q36" s="10" t="s">
        <v>84</v>
      </c>
      <c r="R36" s="10" t="s">
        <v>84</v>
      </c>
      <c r="S36" s="10" t="s">
        <v>84</v>
      </c>
      <c r="T36" s="10" t="s">
        <v>84</v>
      </c>
      <c r="U36" s="10" t="s">
        <v>84</v>
      </c>
      <c r="V36" s="10" t="s">
        <v>84</v>
      </c>
      <c r="W36" s="10" t="s">
        <v>84</v>
      </c>
      <c r="X36" s="10" t="s">
        <v>84</v>
      </c>
      <c r="Y36" s="10" t="s">
        <v>84</v>
      </c>
      <c r="Z36" s="10" t="s">
        <v>84</v>
      </c>
      <c r="AA36" s="10" t="s">
        <v>84</v>
      </c>
      <c r="AB36" s="10" t="s">
        <v>84</v>
      </c>
      <c r="AC36" s="10" t="s">
        <v>84</v>
      </c>
      <c r="AD36" s="10" t="s">
        <v>134</v>
      </c>
      <c r="AE36" s="10" t="s">
        <v>84</v>
      </c>
      <c r="AF36" s="10" t="s">
        <v>84</v>
      </c>
      <c r="AG36" s="10" t="s">
        <v>84</v>
      </c>
      <c r="AH36" s="10" t="s">
        <v>84</v>
      </c>
      <c r="AI36" s="10" t="s">
        <v>135</v>
      </c>
      <c r="AJ36" s="10" t="s">
        <v>135</v>
      </c>
      <c r="AK36" s="10" t="s">
        <v>135</v>
      </c>
      <c r="AL36" s="10" t="s">
        <v>135</v>
      </c>
      <c r="AM36" s="10" t="s">
        <v>135</v>
      </c>
      <c r="AN36" s="10" t="s">
        <v>135</v>
      </c>
      <c r="AO36" s="10" t="s">
        <v>84</v>
      </c>
      <c r="AP36" s="10" t="s">
        <v>84</v>
      </c>
      <c r="AQ36" s="10" t="s">
        <v>84</v>
      </c>
      <c r="AR36" s="10" t="s">
        <v>84</v>
      </c>
      <c r="AS36" s="10" t="s">
        <v>84</v>
      </c>
      <c r="AT36" s="11">
        <v>-2239096.13</v>
      </c>
      <c r="AU36" s="10" t="s">
        <v>136</v>
      </c>
      <c r="AV36" s="10" t="s">
        <v>136</v>
      </c>
      <c r="AW36" s="10" t="s">
        <v>136</v>
      </c>
      <c r="AX36" s="10" t="s">
        <v>84</v>
      </c>
      <c r="AY36" s="10" t="s">
        <v>136</v>
      </c>
      <c r="AZ36" s="10"/>
      <c r="BA36" s="10"/>
      <c r="BB36" s="10" t="s">
        <v>84</v>
      </c>
      <c r="BC36" s="10" t="s">
        <v>84</v>
      </c>
      <c r="BD36" s="10" t="s">
        <v>84</v>
      </c>
      <c r="BE36" s="10" t="s">
        <v>138</v>
      </c>
      <c r="BF36" s="10" t="s">
        <v>139</v>
      </c>
      <c r="BG36" s="10" t="s">
        <v>75</v>
      </c>
      <c r="BH36" s="10">
        <v>1</v>
      </c>
      <c r="BI36" s="10" t="s">
        <v>140</v>
      </c>
      <c r="BJ36" s="10" t="s">
        <v>141</v>
      </c>
      <c r="BK36" s="10" t="s">
        <v>142</v>
      </c>
      <c r="BL36" s="10" t="s">
        <v>143</v>
      </c>
    </row>
    <row r="37" spans="1:64" x14ac:dyDescent="0.45">
      <c r="A37" s="20"/>
      <c r="B37" s="18">
        <v>7</v>
      </c>
      <c r="C37" s="12" t="s">
        <v>60</v>
      </c>
      <c r="D37" s="12" t="s">
        <v>61</v>
      </c>
      <c r="E37" s="12" t="s">
        <v>62</v>
      </c>
      <c r="F37" s="12" t="s">
        <v>63</v>
      </c>
      <c r="G37" s="23" t="s">
        <v>84</v>
      </c>
      <c r="H37" s="12" t="s">
        <v>67</v>
      </c>
      <c r="I37" s="12" t="s">
        <v>68</v>
      </c>
      <c r="J37" s="12" t="s">
        <v>68</v>
      </c>
      <c r="K37" s="12" t="s">
        <v>96</v>
      </c>
      <c r="L37" s="13" t="s">
        <v>84</v>
      </c>
      <c r="M37" s="12" t="s">
        <v>84</v>
      </c>
      <c r="N37" s="12" t="s">
        <v>84</v>
      </c>
      <c r="O37" s="12" t="s">
        <v>84</v>
      </c>
      <c r="P37" s="12" t="s">
        <v>84</v>
      </c>
      <c r="Q37" s="12" t="s">
        <v>84</v>
      </c>
      <c r="R37" s="12" t="s">
        <v>84</v>
      </c>
      <c r="S37" s="12" t="s">
        <v>84</v>
      </c>
      <c r="T37" s="12" t="s">
        <v>84</v>
      </c>
      <c r="U37" s="12" t="s">
        <v>84</v>
      </c>
      <c r="V37" s="12" t="s">
        <v>84</v>
      </c>
      <c r="W37" s="12" t="s">
        <v>84</v>
      </c>
      <c r="X37" s="12" t="s">
        <v>84</v>
      </c>
      <c r="Y37" s="12" t="s">
        <v>84</v>
      </c>
      <c r="Z37" s="12" t="s">
        <v>84</v>
      </c>
      <c r="AA37" s="12" t="s">
        <v>84</v>
      </c>
      <c r="AB37" s="12" t="s">
        <v>84</v>
      </c>
      <c r="AC37" s="12" t="s">
        <v>84</v>
      </c>
      <c r="AD37" s="12" t="s">
        <v>134</v>
      </c>
      <c r="AE37" s="12" t="s">
        <v>84</v>
      </c>
      <c r="AF37" s="12" t="s">
        <v>84</v>
      </c>
      <c r="AG37" s="12" t="s">
        <v>84</v>
      </c>
      <c r="AH37" s="12" t="s">
        <v>84</v>
      </c>
      <c r="AI37" s="12" t="s">
        <v>135</v>
      </c>
      <c r="AJ37" s="12" t="s">
        <v>135</v>
      </c>
      <c r="AK37" s="12" t="s">
        <v>135</v>
      </c>
      <c r="AL37" s="12" t="s">
        <v>135</v>
      </c>
      <c r="AM37" s="12" t="s">
        <v>135</v>
      </c>
      <c r="AN37" s="12" t="s">
        <v>135</v>
      </c>
      <c r="AO37" s="12" t="s">
        <v>84</v>
      </c>
      <c r="AP37" s="12" t="s">
        <v>84</v>
      </c>
      <c r="AQ37" s="12" t="s">
        <v>84</v>
      </c>
      <c r="AR37" s="12" t="s">
        <v>84</v>
      </c>
      <c r="AS37" s="12" t="s">
        <v>84</v>
      </c>
      <c r="AT37" s="13">
        <v>-148981777.25743401</v>
      </c>
      <c r="AU37" s="12" t="s">
        <v>136</v>
      </c>
      <c r="AV37" s="12" t="s">
        <v>136</v>
      </c>
      <c r="AW37" s="12" t="s">
        <v>136</v>
      </c>
      <c r="AX37" s="12" t="s">
        <v>84</v>
      </c>
      <c r="AY37" s="12" t="s">
        <v>136</v>
      </c>
      <c r="AZ37" s="12"/>
      <c r="BA37" s="12"/>
      <c r="BB37" s="12" t="s">
        <v>84</v>
      </c>
      <c r="BC37" s="12" t="s">
        <v>84</v>
      </c>
      <c r="BD37" s="12" t="s">
        <v>84</v>
      </c>
      <c r="BE37" s="12" t="s">
        <v>138</v>
      </c>
      <c r="BF37" s="12" t="s">
        <v>139</v>
      </c>
      <c r="BG37" s="12" t="s">
        <v>75</v>
      </c>
      <c r="BH37" s="12">
        <v>1</v>
      </c>
      <c r="BI37" s="12" t="s">
        <v>140</v>
      </c>
      <c r="BJ37" s="12" t="s">
        <v>141</v>
      </c>
      <c r="BK37" s="12" t="s">
        <v>142</v>
      </c>
      <c r="BL37" s="12" t="s">
        <v>143</v>
      </c>
    </row>
    <row r="38" spans="1:64" x14ac:dyDescent="0.45">
      <c r="A38" s="20"/>
      <c r="B38" s="18">
        <v>8</v>
      </c>
      <c r="C38" s="7" t="s">
        <v>60</v>
      </c>
      <c r="D38" s="7" t="s">
        <v>61</v>
      </c>
      <c r="E38" s="7" t="s">
        <v>62</v>
      </c>
      <c r="F38" s="7" t="s">
        <v>63</v>
      </c>
      <c r="G38" s="24" t="s">
        <v>84</v>
      </c>
      <c r="H38" s="7" t="s">
        <v>67</v>
      </c>
      <c r="I38" s="7" t="s">
        <v>68</v>
      </c>
      <c r="J38" s="7" t="s">
        <v>68</v>
      </c>
      <c r="K38" s="7" t="s">
        <v>96</v>
      </c>
      <c r="L38" s="9" t="s">
        <v>84</v>
      </c>
      <c r="M38" s="7" t="s">
        <v>84</v>
      </c>
      <c r="N38" s="7" t="s">
        <v>84</v>
      </c>
      <c r="O38" s="7" t="s">
        <v>84</v>
      </c>
      <c r="P38" s="7" t="s">
        <v>84</v>
      </c>
      <c r="Q38" s="7" t="s">
        <v>84</v>
      </c>
      <c r="R38" s="7" t="s">
        <v>84</v>
      </c>
      <c r="S38" s="7" t="s">
        <v>84</v>
      </c>
      <c r="T38" s="7" t="s">
        <v>84</v>
      </c>
      <c r="U38" s="7" t="s">
        <v>84</v>
      </c>
      <c r="V38" s="7" t="s">
        <v>84</v>
      </c>
      <c r="W38" s="7" t="s">
        <v>84</v>
      </c>
      <c r="X38" s="7" t="s">
        <v>84</v>
      </c>
      <c r="Y38" s="7" t="s">
        <v>84</v>
      </c>
      <c r="Z38" s="7" t="s">
        <v>84</v>
      </c>
      <c r="AA38" s="7" t="s">
        <v>84</v>
      </c>
      <c r="AB38" s="7" t="s">
        <v>84</v>
      </c>
      <c r="AC38" s="7" t="s">
        <v>84</v>
      </c>
      <c r="AD38" s="7" t="s">
        <v>134</v>
      </c>
      <c r="AE38" s="7" t="s">
        <v>84</v>
      </c>
      <c r="AF38" s="7" t="s">
        <v>84</v>
      </c>
      <c r="AG38" s="7" t="s">
        <v>84</v>
      </c>
      <c r="AH38" s="7" t="s">
        <v>84</v>
      </c>
      <c r="AI38" s="7" t="s">
        <v>135</v>
      </c>
      <c r="AJ38" s="7" t="s">
        <v>135</v>
      </c>
      <c r="AK38" s="7" t="s">
        <v>135</v>
      </c>
      <c r="AL38" s="7" t="s">
        <v>135</v>
      </c>
      <c r="AM38" s="7" t="s">
        <v>135</v>
      </c>
      <c r="AN38" s="7" t="s">
        <v>135</v>
      </c>
      <c r="AO38" s="7" t="s">
        <v>84</v>
      </c>
      <c r="AP38" s="7" t="s">
        <v>84</v>
      </c>
      <c r="AQ38" s="7" t="s">
        <v>84</v>
      </c>
      <c r="AR38" s="7" t="s">
        <v>84</v>
      </c>
      <c r="AS38" s="7" t="s">
        <v>84</v>
      </c>
      <c r="AT38" s="9">
        <v>16161616.046956999</v>
      </c>
      <c r="AU38" s="7" t="s">
        <v>136</v>
      </c>
      <c r="AV38" s="7" t="s">
        <v>136</v>
      </c>
      <c r="AW38" s="7" t="s">
        <v>136</v>
      </c>
      <c r="AX38" s="7" t="s">
        <v>84</v>
      </c>
      <c r="AY38" s="7" t="s">
        <v>136</v>
      </c>
      <c r="AZ38" s="7"/>
      <c r="BA38" s="7"/>
      <c r="BB38" s="7" t="s">
        <v>84</v>
      </c>
      <c r="BC38" s="7" t="s">
        <v>84</v>
      </c>
      <c r="BD38" s="7" t="s">
        <v>84</v>
      </c>
      <c r="BE38" s="7" t="s">
        <v>138</v>
      </c>
      <c r="BF38" s="7" t="s">
        <v>139</v>
      </c>
      <c r="BG38" s="7" t="s">
        <v>75</v>
      </c>
      <c r="BH38" s="7">
        <v>1</v>
      </c>
      <c r="BI38" s="7" t="s">
        <v>140</v>
      </c>
      <c r="BJ38" s="7" t="s">
        <v>141</v>
      </c>
      <c r="BK38" s="7" t="s">
        <v>142</v>
      </c>
      <c r="BL38" s="7" t="s">
        <v>143</v>
      </c>
    </row>
    <row r="39" spans="1:64" x14ac:dyDescent="0.45">
      <c r="A39" s="20"/>
      <c r="B39" s="18">
        <v>9</v>
      </c>
      <c r="C39" s="7" t="s">
        <v>60</v>
      </c>
      <c r="D39" s="7" t="s">
        <v>61</v>
      </c>
      <c r="E39" s="7" t="s">
        <v>62</v>
      </c>
      <c r="F39" s="7" t="s">
        <v>63</v>
      </c>
      <c r="G39" s="24" t="s">
        <v>84</v>
      </c>
      <c r="H39" s="7" t="s">
        <v>67</v>
      </c>
      <c r="I39" s="7" t="s">
        <v>68</v>
      </c>
      <c r="J39" s="7" t="s">
        <v>68</v>
      </c>
      <c r="K39" s="7" t="s">
        <v>96</v>
      </c>
      <c r="L39" s="9" t="s">
        <v>84</v>
      </c>
      <c r="M39" s="7" t="s">
        <v>84</v>
      </c>
      <c r="N39" s="7" t="s">
        <v>84</v>
      </c>
      <c r="O39" s="7" t="s">
        <v>84</v>
      </c>
      <c r="P39" s="7" t="s">
        <v>84</v>
      </c>
      <c r="Q39" s="7" t="s">
        <v>84</v>
      </c>
      <c r="R39" s="7" t="s">
        <v>84</v>
      </c>
      <c r="S39" s="7" t="s">
        <v>84</v>
      </c>
      <c r="T39" s="7" t="s">
        <v>84</v>
      </c>
      <c r="U39" s="7" t="s">
        <v>84</v>
      </c>
      <c r="V39" s="7" t="s">
        <v>84</v>
      </c>
      <c r="W39" s="7" t="s">
        <v>84</v>
      </c>
      <c r="X39" s="7" t="s">
        <v>84</v>
      </c>
      <c r="Y39" s="7" t="s">
        <v>84</v>
      </c>
      <c r="Z39" s="7" t="s">
        <v>84</v>
      </c>
      <c r="AA39" s="7" t="s">
        <v>84</v>
      </c>
      <c r="AB39" s="7" t="s">
        <v>84</v>
      </c>
      <c r="AC39" s="7" t="s">
        <v>84</v>
      </c>
      <c r="AD39" s="7" t="s">
        <v>134</v>
      </c>
      <c r="AE39" s="7" t="s">
        <v>84</v>
      </c>
      <c r="AF39" s="7" t="s">
        <v>84</v>
      </c>
      <c r="AG39" s="7" t="s">
        <v>84</v>
      </c>
      <c r="AH39" s="7" t="s">
        <v>84</v>
      </c>
      <c r="AI39" s="7" t="s">
        <v>135</v>
      </c>
      <c r="AJ39" s="7" t="s">
        <v>135</v>
      </c>
      <c r="AK39" s="7" t="s">
        <v>135</v>
      </c>
      <c r="AL39" s="7" t="s">
        <v>135</v>
      </c>
      <c r="AM39" s="7" t="s">
        <v>135</v>
      </c>
      <c r="AN39" s="7" t="s">
        <v>135</v>
      </c>
      <c r="AO39" s="7" t="s">
        <v>84</v>
      </c>
      <c r="AP39" s="7" t="s">
        <v>84</v>
      </c>
      <c r="AQ39" s="7" t="s">
        <v>84</v>
      </c>
      <c r="AR39" s="7" t="s">
        <v>84</v>
      </c>
      <c r="AS39" s="7" t="s">
        <v>84</v>
      </c>
      <c r="AT39" s="9">
        <v>1524117542.15399</v>
      </c>
      <c r="AU39" s="7" t="s">
        <v>136</v>
      </c>
      <c r="AV39" s="7" t="s">
        <v>136</v>
      </c>
      <c r="AW39" s="7" t="s">
        <v>136</v>
      </c>
      <c r="AX39" s="7" t="s">
        <v>84</v>
      </c>
      <c r="AY39" s="7" t="s">
        <v>136</v>
      </c>
      <c r="AZ39" s="7"/>
      <c r="BA39" s="7"/>
      <c r="BB39" s="7" t="s">
        <v>84</v>
      </c>
      <c r="BC39" s="7" t="s">
        <v>84</v>
      </c>
      <c r="BD39" s="7" t="s">
        <v>84</v>
      </c>
      <c r="BE39" s="7" t="s">
        <v>138</v>
      </c>
      <c r="BF39" s="7" t="s">
        <v>139</v>
      </c>
      <c r="BG39" s="7" t="s">
        <v>75</v>
      </c>
      <c r="BH39" s="7">
        <v>1</v>
      </c>
      <c r="BI39" s="7" t="s">
        <v>140</v>
      </c>
      <c r="BJ39" s="7" t="s">
        <v>141</v>
      </c>
      <c r="BK39" s="7" t="s">
        <v>142</v>
      </c>
      <c r="BL39" s="7" t="s">
        <v>143</v>
      </c>
    </row>
    <row r="40" spans="1:64" x14ac:dyDescent="0.45"/>
    <row r="41" spans="1:64" x14ac:dyDescent="0.45"/>
    <row r="42" spans="1:64" x14ac:dyDescent="0.45">
      <c r="B42" s="19" t="s">
        <v>144</v>
      </c>
    </row>
    <row r="43" spans="1:64" x14ac:dyDescent="0.45"/>
    <row r="44" spans="1:64" x14ac:dyDescent="0.45">
      <c r="B44" s="1" t="s">
        <v>155</v>
      </c>
    </row>
    <row r="45" spans="1:64" x14ac:dyDescent="0.45"/>
    <row r="46" spans="1:64" x14ac:dyDescent="0.45">
      <c r="B46" s="1" t="s">
        <v>151</v>
      </c>
    </row>
    <row r="47" spans="1:64" x14ac:dyDescent="0.45">
      <c r="B47" s="1" t="s">
        <v>147</v>
      </c>
    </row>
    <row r="48" spans="1:64" x14ac:dyDescent="0.45">
      <c r="B48" s="1" t="s">
        <v>148</v>
      </c>
    </row>
    <row r="49" spans="2:2" x14ac:dyDescent="0.45">
      <c r="B49" s="1" t="s">
        <v>149</v>
      </c>
    </row>
    <row r="50" spans="2:2" x14ac:dyDescent="0.45">
      <c r="B50" s="1" t="s">
        <v>150</v>
      </c>
    </row>
    <row r="51" spans="2:2" x14ac:dyDescent="0.45"/>
    <row r="52" spans="2:2" x14ac:dyDescent="0.45"/>
    <row r="53" spans="2:2" x14ac:dyDescent="0.45"/>
    <row r="54" spans="2:2" x14ac:dyDescent="0.45"/>
    <row r="55" spans="2:2" x14ac:dyDescent="0.45"/>
    <row r="56" spans="2:2" x14ac:dyDescent="0.45"/>
    <row r="57" spans="2:2" x14ac:dyDescent="0.45"/>
    <row r="58" spans="2:2" x14ac:dyDescent="0.45"/>
    <row r="59" spans="2:2" x14ac:dyDescent="0.45"/>
    <row r="60" spans="2:2" x14ac:dyDescent="0.45"/>
  </sheetData>
  <mergeCells count="4">
    <mergeCell ref="C21:W21"/>
    <mergeCell ref="X21:AV21"/>
    <mergeCell ref="C11:W11"/>
    <mergeCell ref="X11:AV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21B4-7B90-4779-99B0-301D81615DFF}">
  <dimension ref="B2:M19"/>
  <sheetViews>
    <sheetView showGridLines="0" tabSelected="1" workbookViewId="0">
      <selection activeCell="G19" sqref="G19"/>
    </sheetView>
  </sheetViews>
  <sheetFormatPr defaultRowHeight="14.4" x14ac:dyDescent="0.3"/>
  <cols>
    <col min="2" max="2" width="9.21875" bestFit="1" customWidth="1"/>
    <col min="3" max="3" width="7.5546875" bestFit="1" customWidth="1"/>
    <col min="4" max="4" width="13.33203125" bestFit="1" customWidth="1"/>
    <col min="5" max="5" width="18.33203125" bestFit="1" customWidth="1"/>
    <col min="6" max="6" width="12.109375" bestFit="1" customWidth="1"/>
    <col min="7" max="7" width="17.77734375" bestFit="1" customWidth="1"/>
    <col min="8" max="8" width="16.33203125" bestFit="1" customWidth="1"/>
    <col min="9" max="9" width="12.5546875" bestFit="1" customWidth="1"/>
    <col min="10" max="10" width="21.109375" bestFit="1" customWidth="1"/>
    <col min="11" max="11" width="16.33203125" bestFit="1" customWidth="1"/>
    <col min="12" max="12" width="19.5546875" bestFit="1" customWidth="1"/>
    <col min="13" max="13" width="18.88671875" bestFit="1" customWidth="1"/>
  </cols>
  <sheetData>
    <row r="2" spans="2:13" ht="17.399999999999999" x14ac:dyDescent="0.45">
      <c r="B2" s="40" t="s">
        <v>3</v>
      </c>
      <c r="C2" s="41" t="s">
        <v>4</v>
      </c>
      <c r="D2" s="41" t="s">
        <v>5</v>
      </c>
      <c r="E2" s="41" t="s">
        <v>6</v>
      </c>
      <c r="F2" s="41" t="s">
        <v>7</v>
      </c>
      <c r="G2" s="41" t="s">
        <v>11</v>
      </c>
      <c r="H2" s="41" t="s">
        <v>12</v>
      </c>
      <c r="I2" s="41" t="s">
        <v>104</v>
      </c>
      <c r="J2" s="41" t="s">
        <v>15</v>
      </c>
      <c r="K2" s="41" t="s">
        <v>18</v>
      </c>
      <c r="L2" s="41" t="s">
        <v>113</v>
      </c>
      <c r="M2" s="42" t="s">
        <v>117</v>
      </c>
    </row>
    <row r="3" spans="2:13" ht="17.399999999999999" x14ac:dyDescent="0.45">
      <c r="B3" s="36" t="s">
        <v>60</v>
      </c>
      <c r="C3" s="37" t="s">
        <v>61</v>
      </c>
      <c r="D3" s="37" t="s">
        <v>62</v>
      </c>
      <c r="E3" s="37" t="s">
        <v>63</v>
      </c>
      <c r="F3" s="37" t="s">
        <v>64</v>
      </c>
      <c r="G3" s="37" t="s">
        <v>67</v>
      </c>
      <c r="H3" s="37" t="s">
        <v>68</v>
      </c>
      <c r="I3" s="37" t="s">
        <v>68</v>
      </c>
      <c r="J3" s="37"/>
      <c r="K3" s="38">
        <v>6326736</v>
      </c>
      <c r="L3" s="38">
        <v>6326736</v>
      </c>
      <c r="M3" s="39" t="s">
        <v>84</v>
      </c>
    </row>
    <row r="4" spans="2:13" ht="17.399999999999999" x14ac:dyDescent="0.45">
      <c r="B4" s="32" t="s">
        <v>60</v>
      </c>
      <c r="C4" s="33" t="s">
        <v>61</v>
      </c>
      <c r="D4" s="33" t="s">
        <v>62</v>
      </c>
      <c r="E4" s="33" t="s">
        <v>63</v>
      </c>
      <c r="F4" s="33" t="s">
        <v>64</v>
      </c>
      <c r="G4" s="33" t="s">
        <v>85</v>
      </c>
      <c r="H4" s="33" t="s">
        <v>86</v>
      </c>
      <c r="I4" s="33" t="s">
        <v>86</v>
      </c>
      <c r="J4" s="33"/>
      <c r="K4" s="34">
        <v>-19146966.41</v>
      </c>
      <c r="L4" s="34">
        <v>-19146966.41</v>
      </c>
      <c r="M4" s="35" t="s">
        <v>84</v>
      </c>
    </row>
    <row r="5" spans="2:13" ht="17.399999999999999" x14ac:dyDescent="0.45">
      <c r="B5" s="32" t="s">
        <v>60</v>
      </c>
      <c r="C5" s="33" t="s">
        <v>61</v>
      </c>
      <c r="D5" s="33" t="s">
        <v>62</v>
      </c>
      <c r="E5" s="33" t="s">
        <v>63</v>
      </c>
      <c r="F5" s="33" t="s">
        <v>92</v>
      </c>
      <c r="G5" s="33" t="s">
        <v>67</v>
      </c>
      <c r="H5" s="33" t="s">
        <v>68</v>
      </c>
      <c r="I5" s="33" t="s">
        <v>68</v>
      </c>
      <c r="J5" s="33"/>
      <c r="K5" s="34">
        <v>1383690177</v>
      </c>
      <c r="L5" s="34">
        <v>1383690177</v>
      </c>
      <c r="M5" s="35" t="s">
        <v>84</v>
      </c>
    </row>
    <row r="6" spans="2:13" ht="17.399999999999999" x14ac:dyDescent="0.45">
      <c r="B6" s="32" t="s">
        <v>60</v>
      </c>
      <c r="C6" s="33" t="s">
        <v>61</v>
      </c>
      <c r="D6" s="33" t="s">
        <v>62</v>
      </c>
      <c r="E6" s="33" t="s">
        <v>63</v>
      </c>
      <c r="F6" s="33" t="s">
        <v>90</v>
      </c>
      <c r="G6" s="33" t="s">
        <v>67</v>
      </c>
      <c r="H6" s="33" t="s">
        <v>68</v>
      </c>
      <c r="I6" s="33" t="s">
        <v>68</v>
      </c>
      <c r="J6" s="33"/>
      <c r="K6" s="34">
        <v>1762761</v>
      </c>
      <c r="L6" s="34">
        <v>1762761</v>
      </c>
      <c r="M6" s="35" t="s">
        <v>84</v>
      </c>
    </row>
    <row r="7" spans="2:13" ht="17.399999999999999" x14ac:dyDescent="0.45">
      <c r="B7" s="43" t="s">
        <v>60</v>
      </c>
      <c r="C7" s="44" t="s">
        <v>61</v>
      </c>
      <c r="D7" s="44" t="s">
        <v>62</v>
      </c>
      <c r="E7" s="44" t="s">
        <v>63</v>
      </c>
      <c r="F7" s="45" t="s">
        <v>84</v>
      </c>
      <c r="G7" s="44" t="s">
        <v>85</v>
      </c>
      <c r="H7" s="44" t="s">
        <v>86</v>
      </c>
      <c r="I7" s="44" t="s">
        <v>86</v>
      </c>
      <c r="J7" s="44" t="s">
        <v>102</v>
      </c>
      <c r="K7" s="46" t="s">
        <v>84</v>
      </c>
      <c r="L7" s="44" t="s">
        <v>84</v>
      </c>
      <c r="M7" s="47">
        <v>-2239096.13</v>
      </c>
    </row>
    <row r="8" spans="2:13" ht="17.399999999999999" x14ac:dyDescent="0.45">
      <c r="B8" s="43" t="s">
        <v>60</v>
      </c>
      <c r="C8" s="44" t="s">
        <v>61</v>
      </c>
      <c r="D8" s="44" t="s">
        <v>62</v>
      </c>
      <c r="E8" s="44" t="s">
        <v>63</v>
      </c>
      <c r="F8" s="45" t="s">
        <v>84</v>
      </c>
      <c r="G8" s="44" t="s">
        <v>67</v>
      </c>
      <c r="H8" s="44" t="s">
        <v>68</v>
      </c>
      <c r="I8" s="44" t="s">
        <v>68</v>
      </c>
      <c r="J8" s="44" t="s">
        <v>96</v>
      </c>
      <c r="K8" s="46" t="s">
        <v>84</v>
      </c>
      <c r="L8" s="44" t="s">
        <v>84</v>
      </c>
      <c r="M8" s="47">
        <v>-148981777.25743401</v>
      </c>
    </row>
    <row r="9" spans="2:13" ht="17.399999999999999" x14ac:dyDescent="0.45">
      <c r="B9" s="43" t="s">
        <v>60</v>
      </c>
      <c r="C9" s="44" t="s">
        <v>61</v>
      </c>
      <c r="D9" s="44" t="s">
        <v>62</v>
      </c>
      <c r="E9" s="44" t="s">
        <v>63</v>
      </c>
      <c r="F9" s="45" t="s">
        <v>84</v>
      </c>
      <c r="G9" s="44" t="s">
        <v>67</v>
      </c>
      <c r="H9" s="44" t="s">
        <v>68</v>
      </c>
      <c r="I9" s="44" t="s">
        <v>68</v>
      </c>
      <c r="J9" s="44" t="s">
        <v>96</v>
      </c>
      <c r="K9" s="46" t="s">
        <v>84</v>
      </c>
      <c r="L9" s="44" t="s">
        <v>84</v>
      </c>
      <c r="M9" s="47">
        <v>16161616.046956999</v>
      </c>
    </row>
    <row r="10" spans="2:13" ht="17.399999999999999" x14ac:dyDescent="0.45">
      <c r="B10" s="43" t="s">
        <v>60</v>
      </c>
      <c r="C10" s="44" t="s">
        <v>61</v>
      </c>
      <c r="D10" s="44" t="s">
        <v>62</v>
      </c>
      <c r="E10" s="44" t="s">
        <v>63</v>
      </c>
      <c r="F10" s="45" t="s">
        <v>84</v>
      </c>
      <c r="G10" s="44" t="s">
        <v>67</v>
      </c>
      <c r="H10" s="44" t="s">
        <v>68</v>
      </c>
      <c r="I10" s="44" t="s">
        <v>68</v>
      </c>
      <c r="J10" s="44" t="s">
        <v>96</v>
      </c>
      <c r="K10" s="46" t="s">
        <v>84</v>
      </c>
      <c r="L10" s="44" t="s">
        <v>84</v>
      </c>
      <c r="M10" s="47">
        <v>482293.05648000003</v>
      </c>
    </row>
    <row r="11" spans="2:13" ht="17.399999999999999" x14ac:dyDescent="0.45">
      <c r="B11" s="48" t="s">
        <v>60</v>
      </c>
      <c r="C11" s="49" t="s">
        <v>61</v>
      </c>
      <c r="D11" s="49" t="s">
        <v>62</v>
      </c>
      <c r="E11" s="49" t="s">
        <v>63</v>
      </c>
      <c r="F11" s="50" t="s">
        <v>84</v>
      </c>
      <c r="G11" s="49" t="s">
        <v>67</v>
      </c>
      <c r="H11" s="49" t="s">
        <v>68</v>
      </c>
      <c r="I11" s="49" t="s">
        <v>68</v>
      </c>
      <c r="J11" s="49" t="s">
        <v>96</v>
      </c>
      <c r="K11" s="51" t="s">
        <v>84</v>
      </c>
      <c r="L11" s="49" t="s">
        <v>84</v>
      </c>
      <c r="M11" s="52">
        <v>1524117542.15399</v>
      </c>
    </row>
    <row r="14" spans="2:13" x14ac:dyDescent="0.3">
      <c r="G14" t="s">
        <v>11</v>
      </c>
      <c r="H14" t="str">
        <f>+G14&amp;", "</f>
        <v xml:space="preserve">ccontab_final_pcsb, </v>
      </c>
      <c r="I14" t="str">
        <f>+H14</f>
        <v xml:space="preserve">ccontab_final_pcsb, </v>
      </c>
    </row>
    <row r="15" spans="2:13" x14ac:dyDescent="0.3">
      <c r="G15" t="s">
        <v>12</v>
      </c>
      <c r="H15" t="str">
        <f t="shared" ref="H15:H17" si="0">+G15&amp;", "</f>
        <v xml:space="preserve">ccontab_final_ifrs, </v>
      </c>
      <c r="I15" t="str">
        <f>+I14&amp;H15</f>
        <v xml:space="preserve">ccontab_final_pcsb, ccontab_final_ifrs, </v>
      </c>
    </row>
    <row r="16" spans="2:13" x14ac:dyDescent="0.3">
      <c r="G16" t="s">
        <v>104</v>
      </c>
      <c r="H16" t="str">
        <f t="shared" si="0"/>
        <v xml:space="preserve">ccontab_final, </v>
      </c>
      <c r="I16" t="str">
        <f t="shared" ref="I16:I17" si="1">+I15&amp;H16</f>
        <v xml:space="preserve">ccontab_final_pcsb, ccontab_final_ifrs, ccontab_final, </v>
      </c>
    </row>
    <row r="17" spans="7:9" x14ac:dyDescent="0.3">
      <c r="G17" t="s">
        <v>15</v>
      </c>
      <c r="H17" t="str">
        <f t="shared" si="0"/>
        <v xml:space="preserve">ccontab_final_cargabal, </v>
      </c>
      <c r="I17" t="str">
        <f t="shared" si="1"/>
        <v xml:space="preserve">ccontab_final_pcsb, ccontab_final_ifrs, ccontab_final, ccontab_final_cargabal, </v>
      </c>
    </row>
    <row r="19" spans="7:9" x14ac:dyDescent="0.3">
      <c r="I19" t="s">
        <v>157</v>
      </c>
    </row>
  </sheetData>
  <pageMargins left="0.7" right="0.7" top="0.75" bottom="0.75" header="0.3" footer="0.3"/>
  <ignoredErrors>
    <ignoredError sqref="B3:J6 B7:J9 B10:J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FEA87F-E613-45D9-ABD2-58A816B5A6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C450CA-ACDB-43AB-9744-C448E0A2FB0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C2D3E7C6-1AA4-4260-A759-C48D322ED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Análise</vt:lpstr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Miguel Rocha Ferreira</dc:creator>
  <cp:lastModifiedBy>João Guilherme Beno Jardim</cp:lastModifiedBy>
  <dcterms:created xsi:type="dcterms:W3CDTF">2026-01-19T14:32:08Z</dcterms:created>
  <dcterms:modified xsi:type="dcterms:W3CDTF">2026-01-26T10:55:16Z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2026-01-19T17:45:54Z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240b1b8b-9b33-4cbb-8b30-97d5aa2c2d85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0x0101001951051659CE89468EBDA2519EAB1C2D</vt:lpwstr>
  </property>
</Properties>
</file>