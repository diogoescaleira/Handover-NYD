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2. Validações/"/>
    </mc:Choice>
  </mc:AlternateContent>
  <xr:revisionPtr revIDLastSave="350" documentId="8_{9FFCE461-5FB8-4733-9EB5-D91DEC6FF3DF}" xr6:coauthVersionLast="47" xr6:coauthVersionMax="47" xr10:uidLastSave="{6B43E5F1-5E84-46F9-9453-EF959F88A35D}"/>
  <bookViews>
    <workbookView xWindow="28680" yWindow="-120" windowWidth="29040" windowHeight="15720" xr2:uid="{F436C513-7C05-4C1E-9A57-2FD66B8CC8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1" i="1" l="1"/>
  <c r="E67" i="1"/>
</calcChain>
</file>

<file path=xl/sharedStrings.xml><?xml version="1.0" encoding="utf-8"?>
<sst xmlns="http://schemas.openxmlformats.org/spreadsheetml/2006/main" count="94" uniqueCount="69">
  <si>
    <t>LT004_PROTECTION</t>
  </si>
  <si>
    <t>ID</t>
  </si>
  <si>
    <t>P_0000_00000000000_000007402208014</t>
  </si>
  <si>
    <t>P_0000_00000000000_000008000176024</t>
  </si>
  <si>
    <t>P_0000_00000000000_000003461004226</t>
  </si>
  <si>
    <t>P_0000_00000000000_000008000363614</t>
  </si>
  <si>
    <t>P_0000_00000000000_000000000003686</t>
  </si>
  <si>
    <t>P_0000_00000000000_000006511000505</t>
  </si>
  <si>
    <t>LT006_INSTR_PROT</t>
  </si>
  <si>
    <t>Chave de garantia: CONCAT(SUBSTRING(TIPOLOGIA,1,1),'_',CKBALBEM,'_',CKCTABEM,'_',CKREFBEM) AS PRTCTN_ID</t>
  </si>
  <si>
    <t>Tabela B0500</t>
  </si>
  <si>
    <t>Query:</t>
  </si>
  <si>
    <t>INNER JOIN</t>
  </si>
  <si>
    <t xml:space="preserve">    (</t>
  </si>
  <si>
    <t xml:space="preserve">    SELECT *</t>
  </si>
  <si>
    <t xml:space="preserve">    WHERE data_date_part = '${REF_DATE}'</t>
  </si>
  <si>
    <t xml:space="preserve">    ) intragrupo ON lt004.prtctn_prvdr_id = intragrupo.zcliente</t>
  </si>
  <si>
    <t xml:space="preserve">    WHERE espanha_ifrs IN ('x', 'B')</t>
  </si>
  <si>
    <t xml:space="preserve">        AND cod_soc_cpus &lt;&gt; '00100' -- Santander TOTTA SA</t>
  </si>
  <si>
    <t xml:space="preserve">        AND data_date_part = '${REF_DATE}'</t>
  </si>
  <si>
    <t xml:space="preserve">    ) perimetro ON intragrupo.consoles = perimetro.cod_espana</t>
  </si>
  <si>
    <t>Garantia</t>
  </si>
  <si>
    <t>Count(Instrmnt_id)</t>
  </si>
  <si>
    <t>-</t>
  </si>
  <si>
    <t>Banco Santander Brasil S.A.</t>
  </si>
  <si>
    <t>Hispamer</t>
  </si>
  <si>
    <t>BSCH-Banco Santander Central Hispano</t>
  </si>
  <si>
    <r>
      <t xml:space="preserve">Nota: </t>
    </r>
    <r>
      <rPr>
        <sz val="11"/>
        <color theme="1"/>
        <rFont val="Aptos Narrow"/>
        <family val="2"/>
        <scheme val="minor"/>
      </rPr>
      <t>Ao fazer distinct prtctn_id, ficamos com as mesmas 6 garantias que temos na LT004 para este âmbito.</t>
    </r>
  </si>
  <si>
    <t>Chave  da tabela b0500: concat(instrmnt_id, prtctn_id)</t>
  </si>
  <si>
    <t>Número de instrmnt_id associados a cada garantia:</t>
  </si>
  <si>
    <t>Número de instrumentos associados a cada garantia:</t>
  </si>
  <si>
    <t>Entidade</t>
  </si>
  <si>
    <t>Das 9431 operações associadas a garantias pessoais, apenas 4730 passam para a tabela de output B0500.</t>
  </si>
  <si>
    <t xml:space="preserve"> associadas a estas operações (tendo em conta o tradutor de chaves FINREP);</t>
  </si>
  <si>
    <t>Para tal, remover os registos de garantias associadas aos clientes que não são intragrupo Santader:</t>
  </si>
  <si>
    <t xml:space="preserve">PRTCTN_ID </t>
  </si>
  <si>
    <t>#1: Definição do universo da LT004 para o âmbito SRB_MBDT --&gt; Existem 6 garantias:</t>
  </si>
  <si>
    <t>#2: Definição do universo da LT006 --&gt; puxar os instrument_id da LT002 fazendo um inner join com a tabela gt018_rateio_aval, puxando as garantias pessoais</t>
  </si>
  <si>
    <t>#3: Nesta mapa apenas considerar garantias do intragrupo Santander, partindo de todas as combinações prtctn_d, instrmnt_id da tabela LT006.</t>
  </si>
  <si>
    <t>2. Fazer um inner join com a tabela cd_captools.perimetro, selecionando apenas os registos onde o campo espanha_ifrs in ('x','B') e retirando o próprio BST;</t>
  </si>
  <si>
    <t>1. Consultar a tabela cd_captools.intragrupo (tabela com as entidades intragrupo);</t>
  </si>
  <si>
    <t>(</t>
  </si>
  <si>
    <t>    SELECT DISTINCT </t>
  </si>
  <si>
    <t>        INSTRMNT_ID, </t>
  </si>
  <si>
    <t>        PRTCTN_ID, </t>
  </si>
  <si>
    <t>        CONCAT(INSTRMNT_ID,PRTCTN_ID) AS 0020_UNIQ_ID_GUARANTEE, </t>
  </si>
  <si>
    <t>        PRTCTN_ALLCTD_VL AS 0060_MAX_AMNT_GUARANTEE</t>
  </si>
  <si>
    <t>    FROM BU_CAPTOOLS_WORK.simul_lt006_instr_prot</t>
  </si>
  <si>
    <t>    WHERE REF_DATE = '${REF_DATE}' AND ID_CORRIDA IN (SELECT MAX(ID_CORRIDA) FROM BU_CAPTOOLS_WORK.simul_lt006_instr_prot WHERE REF_DATE ='${REF_DATE}')</t>
  </si>
  <si>
    <t>    )LT006</t>
  </si>
  <si>
    <t>LEFT JOIN</t>
  </si>
  <si>
    <t>--CAMPOS DA LT004</t>
  </si>
  <si>
    <t>    (</t>
  </si>
  <si>
    <t>    SELECT </t>
  </si>
  <si>
    <t>        PRTCTN_ID,</t>
  </si>
  <si>
    <t>        FLG_SCRD AS 0070_FLG_SCRD,</t>
  </si>
  <si>
    <t>        DT_MTRTY_PRTCTN,</t>
  </si>
  <si>
    <t>        PRTCTN_PRVDR_ID</t>
  </si>
  <si>
    <t>    FROM BU_CAPTOOLS_WORK.SIMUL_LT004</t>
  </si>
  <si>
    <t>    WHERE REF_DATE = '${REF_DATE}' AND ID_CORRIDA IN (SELECT MAX(ID_CORRIDA) FROM BU_CAPTOOLS_WORK.SIMUL_LT004 WHERE REF_DATE ='${REF_DATE}')</t>
  </si>
  <si>
    <t>    )LT004 ON LT004.PRTCTN_ID = LT006.PRTCTN_ID</t>
  </si>
  <si>
    <t>--CAMPOS DA LT006</t>
  </si>
  <si>
    <r>
      <t xml:space="preserve">    FROM </t>
    </r>
    <r>
      <rPr>
        <b/>
        <sz val="11"/>
        <color theme="1"/>
        <rFont val="Calibri"/>
        <family val="2"/>
      </rPr>
      <t>cd_captools.clientes_intragrupo</t>
    </r>
  </si>
  <si>
    <r>
      <t xml:space="preserve">    FROM </t>
    </r>
    <r>
      <rPr>
        <b/>
        <sz val="11"/>
        <color theme="1"/>
        <rFont val="Calibri"/>
        <family val="2"/>
      </rPr>
      <t>cd_captools.perimetro</t>
    </r>
  </si>
  <si>
    <t>Deste modo, o mapa do B0500 terá apenas registos cujas instrumentos estão associadas a garantias de clientes intragrupo Santander:</t>
  </si>
  <si>
    <t>COSEC-COMPANHIA DE SEGURO DE CREDITOS S.A</t>
  </si>
  <si>
    <t>MIGUEL ANGEL LOJO SANTAMARIA</t>
  </si>
  <si>
    <t>Nome do garante</t>
  </si>
  <si>
    <t>Processo final de seleção de garantias intra-grupo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</si>
</sst>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3" tint="0.24997711111789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rial"/>
    </font>
    <font>
      <b/>
      <sz val="11"/>
      <color rgb="FFFF0000"/>
      <name val="Arial"/>
    </font>
    <font>
      <sz val="11"/>
      <color theme="1"/>
      <name val="Calibri"/>
      <family val="2"/>
    </font>
    <font>
      <sz val="11"/>
      <color theme="1"/>
      <name val="Calibri"/>
    </font>
    <font>
      <sz val="8"/>
      <color theme="1"/>
      <name val="Segoe U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rgb="FFFF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3" borderId="0" xfId="0" applyFont="1" applyFill="1"/>
    <xf numFmtId="0" fontId="0" fillId="3" borderId="0" xfId="0" applyFill="1"/>
    <xf numFmtId="0" fontId="4" fillId="0" borderId="0" xfId="0" applyFont="1" applyAlignment="1">
      <alignment vertical="center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7" fillId="4" borderId="0" xfId="0" applyFont="1" applyFill="1"/>
    <xf numFmtId="0" fontId="7" fillId="3" borderId="0" xfId="0" applyFont="1" applyFill="1"/>
    <xf numFmtId="0" fontId="7" fillId="5" borderId="0" xfId="0" applyFont="1" applyFill="1"/>
    <xf numFmtId="0" fontId="8" fillId="5" borderId="3" xfId="0" applyFont="1" applyFill="1" applyBorder="1"/>
    <xf numFmtId="0" fontId="7" fillId="5" borderId="3" xfId="0" applyFont="1" applyFill="1" applyBorder="1"/>
    <xf numFmtId="0" fontId="6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6" fillId="2" borderId="2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applyAlignment="1">
      <alignment horizontal="right"/>
    </xf>
    <xf numFmtId="0" fontId="1" fillId="0" borderId="0" xfId="0" applyFont="1" applyAlignment="1">
      <alignment horizontal="left" indent="1"/>
    </xf>
    <xf numFmtId="0" fontId="10" fillId="0" borderId="0" xfId="0" applyFont="1" applyAlignment="1">
      <alignment vertical="center"/>
    </xf>
    <xf numFmtId="0" fontId="11" fillId="0" borderId="0" xfId="0" applyFont="1"/>
    <xf numFmtId="0" fontId="10" fillId="0" borderId="0" xfId="0" quotePrefix="1" applyFont="1" applyAlignment="1">
      <alignment vertical="center"/>
    </xf>
    <xf numFmtId="0" fontId="12" fillId="0" borderId="0" xfId="0" applyFont="1" applyAlignment="1">
      <alignment vertic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37724</xdr:colOff>
      <xdr:row>26</xdr:row>
      <xdr:rowOff>37723</xdr:rowOff>
    </xdr:from>
    <xdr:to>
      <xdr:col>5</xdr:col>
      <xdr:colOff>1485901</xdr:colOff>
      <xdr:row>56</xdr:row>
      <xdr:rowOff>95250</xdr:rowOff>
    </xdr:to>
    <xdr:sp macro="" textlink="">
      <xdr:nvSpPr>
        <xdr:cNvPr id="13" name="TextBox 1">
          <a:extLst>
            <a:ext uri="{FF2B5EF4-FFF2-40B4-BE49-F238E27FC236}">
              <a16:creationId xmlns:a16="http://schemas.microsoft.com/office/drawing/2014/main" id="{C9EC2519-D985-51F9-A5C2-92B1B110C6EC}"/>
            </a:ext>
          </a:extLst>
        </xdr:cNvPr>
        <xdr:cNvSpPr txBox="1"/>
      </xdr:nvSpPr>
      <xdr:spPr>
        <a:xfrm>
          <a:off x="1037849" y="4609723"/>
          <a:ext cx="6029702" cy="54867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 b="1"/>
            <a:t>Query</a:t>
          </a:r>
          <a:r>
            <a:rPr lang="pt-PT" sz="1100"/>
            <a:t>:</a:t>
          </a:r>
        </a:p>
        <a:p>
          <a:r>
            <a:rPr lang="pt-PT" sz="1100"/>
            <a:t>(</a:t>
          </a:r>
        </a:p>
        <a:p>
          <a:r>
            <a:rPr lang="pt-PT" sz="1100"/>
            <a:t> SELECT INSTRMNT_ID</a:t>
          </a:r>
        </a:p>
        <a:p>
          <a:r>
            <a:rPr lang="pt-PT" sz="1100"/>
            <a:t>    FROM BU_CAPTOOLS_WORK.SIMUL_LT002_INSTRUMENT</a:t>
          </a:r>
        </a:p>
        <a:p>
          <a:r>
            <a:rPr lang="pt-PT" sz="1100"/>
            <a:t>    WHERE REF_DATE='${REF_DATE}' AND ID_CORRIDA IN (SELECT MAX(ID_CORRIDA) FROM BU_CAPTOOLS_WORK.SIMUL_LT002_INSTRUMENT)</a:t>
          </a:r>
        </a:p>
        <a:p>
          <a:r>
            <a:rPr lang="pt-PT" sz="1100"/>
            <a:t>    ) LT002</a:t>
          </a:r>
        </a:p>
        <a:p>
          <a:endParaRPr lang="pt-PT" sz="1100"/>
        </a:p>
        <a:p>
          <a:r>
            <a:rPr lang="pt-PT" sz="1100"/>
            <a:t>INNER JOIN</a:t>
          </a:r>
        </a:p>
        <a:p>
          <a:r>
            <a:rPr lang="pt-PT" sz="1100"/>
            <a:t>    (</a:t>
          </a:r>
        </a:p>
        <a:p>
          <a:r>
            <a:rPr lang="pt-PT" sz="1100"/>
            <a:t>    SELECT DISTINCT </a:t>
          </a:r>
        </a:p>
        <a:p>
          <a:r>
            <a:rPr lang="pt-PT" sz="1100"/>
            <a:t>    CONCAT (CEMPRESA_FR, CBALCAO_FR, CNUMECTA_FR, ZDEPOSIT_FR) AS CHAVE_FINREP</a:t>
          </a:r>
        </a:p>
        <a:p>
          <a:r>
            <a:rPr lang="pt-PT" sz="1100"/>
            <a:t>    ,CONCAT (CEMPRESA, CBALCAO, CNUMECTA, ZDEPOSIT) AS CHAVE_MASTER</a:t>
          </a:r>
        </a:p>
        <a:p>
          <a:r>
            <a:rPr lang="pt-PT" sz="1100"/>
            <a:t>    FROM CD_CAPTOOLS.KT_CHAVES_FINREP</a:t>
          </a:r>
        </a:p>
        <a:p>
          <a:r>
            <a:rPr lang="pt-PT" sz="1100"/>
            <a:t>    WHERE REF_DATE='${REF_DATE}'</a:t>
          </a:r>
        </a:p>
        <a:p>
          <a:r>
            <a:rPr lang="pt-PT" sz="1100"/>
            <a:t>    ) FR </a:t>
          </a:r>
        </a:p>
        <a:p>
          <a:r>
            <a:rPr lang="pt-PT" sz="1100"/>
            <a:t>    ON LT002.INSTRMNT_ID = FR.CHAVE_FINREP</a:t>
          </a:r>
        </a:p>
        <a:p>
          <a:r>
            <a:rPr lang="pt-PT" sz="1100"/>
            <a:t> </a:t>
          </a:r>
        </a:p>
        <a:p>
          <a:r>
            <a:rPr lang="pt-PT" sz="1100"/>
            <a:t>INNER JOIN </a:t>
          </a:r>
        </a:p>
        <a:p>
          <a:r>
            <a:rPr lang="pt-PT" sz="1100"/>
            <a:t>    (</a:t>
          </a:r>
        </a:p>
        <a:p>
          <a:r>
            <a:rPr lang="pt-PT" sz="1100"/>
            <a:t>    SELECT </a:t>
          </a:r>
        </a:p>
        <a:p>
          <a:r>
            <a:rPr lang="pt-PT" sz="1100"/>
            <a:t>    CONCAT (CEMPRESP, CKBALRES, CKCTARES, CKREFRESP) AS CHAVE_MASTER</a:t>
          </a:r>
        </a:p>
        <a:p>
          <a:r>
            <a:rPr lang="pt-PT" sz="1100"/>
            <a:t>    ,CONCAT (CEMPRESA, CKBALCAO, CKNUMCTA, COMP_ID_GAR) AS CHAVE_PROCESSO</a:t>
          </a:r>
        </a:p>
        <a:p>
          <a:r>
            <a:rPr lang="pt-PT" sz="1100"/>
            <a:t>    ,TIPOLOGIA</a:t>
          </a:r>
        </a:p>
        <a:p>
          <a:r>
            <a:rPr lang="pt-PT" sz="1100"/>
            <a:t>    ,CONCAT(SUBSTRING(TIPOLOGIA,1,1),'_',CKBALBEM,'_',CKCTABEM,'_',CKREFBEM) AS PRTCTN_ID</a:t>
          </a:r>
        </a:p>
        <a:p>
          <a:r>
            <a:rPr lang="pt-PT" sz="1100"/>
            <a:t>    ,CAST(SUM(MAVALIAA) AS DECIMAL(21,2)) AS PRTCTN_ALLCTD_VL</a:t>
          </a:r>
        </a:p>
        <a:p>
          <a:r>
            <a:rPr lang="pt-PT" sz="1100"/>
            <a:t>    FROM CD_GARANTIAS.GT018_RATEIO_AVAL</a:t>
          </a:r>
        </a:p>
        <a:p>
          <a:r>
            <a:rPr lang="pt-PT" sz="1100"/>
            <a:t>    WHERE REF_DATE='${REF_DATE}' AND TIPOLOGIA = 'PES'</a:t>
          </a:r>
        </a:p>
        <a:p>
          <a:r>
            <a:rPr lang="pt-PT" sz="1100"/>
            <a:t>    GROUP BY 1,2,3,4</a:t>
          </a:r>
        </a:p>
        <a:p>
          <a:r>
            <a:rPr lang="pt-PT" sz="1100"/>
            <a:t>    ) GT018 </a:t>
          </a:r>
        </a:p>
        <a:p>
          <a:r>
            <a:rPr lang="pt-PT" sz="1100"/>
            <a:t>    ON FR.CHAVE_MASTER = GT018.CHAVE_MASTER</a:t>
          </a:r>
        </a:p>
        <a:p>
          <a:r>
            <a:rPr lang="pt-PT" sz="1100"/>
            <a:t> </a:t>
          </a:r>
        </a:p>
        <a:p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47AC5-46E6-4E52-8964-F1BDB824B746}">
  <dimension ref="A1:H162"/>
  <sheetViews>
    <sheetView showGridLines="0" tabSelected="1" zoomScale="120" zoomScaleNormal="120" workbookViewId="0">
      <selection activeCell="B7" sqref="B7"/>
    </sheetView>
  </sheetViews>
  <sheetFormatPr defaultColWidth="0" defaultRowHeight="14.5" x14ac:dyDescent="0.35"/>
  <cols>
    <col min="1" max="1" width="3.81640625" customWidth="1"/>
    <col min="2" max="3" width="10.81640625" customWidth="1"/>
    <col min="4" max="4" width="38.453125" customWidth="1"/>
    <col min="5" max="5" width="17.54296875" bestFit="1" customWidth="1"/>
    <col min="6" max="6" width="50.81640625" customWidth="1"/>
    <col min="7" max="8" width="8.7265625" customWidth="1"/>
    <col min="9" max="16384" width="8.90625" hidden="1"/>
  </cols>
  <sheetData>
    <row r="1" spans="1:8" x14ac:dyDescent="0.35">
      <c r="A1" s="10"/>
      <c r="B1" s="10"/>
      <c r="C1" s="10"/>
      <c r="D1" s="10"/>
      <c r="E1" s="10"/>
      <c r="F1" s="10"/>
      <c r="G1" s="10"/>
      <c r="H1" s="10"/>
    </row>
    <row r="2" spans="1:8" x14ac:dyDescent="0.35">
      <c r="A2" s="10"/>
      <c r="B2" s="10"/>
      <c r="C2" s="10"/>
      <c r="D2" s="10"/>
      <c r="E2" s="10"/>
      <c r="F2" s="10"/>
      <c r="G2" s="10"/>
      <c r="H2" s="10"/>
    </row>
    <row r="3" spans="1:8" x14ac:dyDescent="0.35">
      <c r="A3" s="10"/>
      <c r="B3" s="10"/>
      <c r="C3" s="10"/>
      <c r="D3" s="10"/>
      <c r="E3" s="10"/>
      <c r="F3" s="10"/>
      <c r="G3" s="10"/>
      <c r="H3" s="10"/>
    </row>
    <row r="4" spans="1:8" x14ac:dyDescent="0.35">
      <c r="A4" s="11"/>
      <c r="B4" s="11"/>
      <c r="C4" s="11"/>
      <c r="D4" s="11"/>
      <c r="E4" s="11"/>
      <c r="F4" s="11"/>
      <c r="G4" s="11"/>
      <c r="H4" s="11"/>
    </row>
    <row r="5" spans="1:8" x14ac:dyDescent="0.35">
      <c r="A5" s="12"/>
      <c r="B5" s="12"/>
      <c r="C5" s="12"/>
      <c r="D5" s="12"/>
      <c r="E5" s="12"/>
      <c r="F5" s="12"/>
      <c r="G5" s="12"/>
      <c r="H5" s="12"/>
    </row>
    <row r="6" spans="1:8" ht="15" thickBot="1" x14ac:dyDescent="0.4">
      <c r="A6" s="12"/>
      <c r="B6" s="13" t="s">
        <v>68</v>
      </c>
      <c r="C6" s="13"/>
      <c r="D6" s="14"/>
      <c r="E6" s="14"/>
      <c r="F6" s="14"/>
      <c r="G6" s="14"/>
    </row>
    <row r="8" spans="1:8" x14ac:dyDescent="0.35">
      <c r="B8" s="5" t="s">
        <v>0</v>
      </c>
      <c r="C8" s="5"/>
    </row>
    <row r="10" spans="1:8" x14ac:dyDescent="0.35">
      <c r="B10" s="2" t="s">
        <v>36</v>
      </c>
    </row>
    <row r="11" spans="1:8" x14ac:dyDescent="0.35">
      <c r="B11" s="2"/>
    </row>
    <row r="12" spans="1:8" x14ac:dyDescent="0.35">
      <c r="C12" s="15" t="s">
        <v>1</v>
      </c>
      <c r="D12" s="15" t="s">
        <v>35</v>
      </c>
      <c r="E12" s="22"/>
    </row>
    <row r="13" spans="1:8" x14ac:dyDescent="0.35">
      <c r="C13" s="16">
        <v>1</v>
      </c>
      <c r="D13" s="1" t="s">
        <v>2</v>
      </c>
    </row>
    <row r="14" spans="1:8" x14ac:dyDescent="0.35">
      <c r="C14" s="16">
        <v>2</v>
      </c>
      <c r="D14" s="1" t="s">
        <v>3</v>
      </c>
    </row>
    <row r="15" spans="1:8" x14ac:dyDescent="0.35">
      <c r="C15" s="16">
        <v>3</v>
      </c>
      <c r="D15" s="1" t="s">
        <v>4</v>
      </c>
    </row>
    <row r="16" spans="1:8" x14ac:dyDescent="0.35">
      <c r="C16" s="16">
        <v>4</v>
      </c>
      <c r="D16" s="1" t="s">
        <v>5</v>
      </c>
    </row>
    <row r="17" spans="2:7" x14ac:dyDescent="0.35">
      <c r="C17" s="16">
        <v>5</v>
      </c>
      <c r="D17" s="1" t="s">
        <v>6</v>
      </c>
    </row>
    <row r="18" spans="2:7" x14ac:dyDescent="0.35">
      <c r="C18" s="16">
        <v>6</v>
      </c>
      <c r="D18" s="1" t="s">
        <v>7</v>
      </c>
    </row>
    <row r="20" spans="2:7" x14ac:dyDescent="0.35">
      <c r="B20" s="5" t="s">
        <v>8</v>
      </c>
      <c r="C20" s="6"/>
    </row>
    <row r="22" spans="2:7" x14ac:dyDescent="0.35">
      <c r="B22" s="2" t="s">
        <v>37</v>
      </c>
      <c r="G22" s="22"/>
    </row>
    <row r="23" spans="2:7" x14ac:dyDescent="0.35">
      <c r="B23" s="2" t="s">
        <v>33</v>
      </c>
    </row>
    <row r="24" spans="2:7" x14ac:dyDescent="0.35">
      <c r="B24" s="2"/>
    </row>
    <row r="25" spans="2:7" x14ac:dyDescent="0.35">
      <c r="C25" t="s">
        <v>9</v>
      </c>
    </row>
    <row r="27" spans="2:7" ht="14.4" customHeight="1" x14ac:dyDescent="0.35">
      <c r="C27" s="9"/>
    </row>
    <row r="28" spans="2:7" ht="14.4" customHeight="1" x14ac:dyDescent="0.35">
      <c r="C28" s="8"/>
    </row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  <row r="43" customFormat="1" x14ac:dyDescent="0.35"/>
    <row r="44" customFormat="1" x14ac:dyDescent="0.35"/>
    <row r="45" customFormat="1" x14ac:dyDescent="0.35"/>
    <row r="46" customFormat="1" x14ac:dyDescent="0.35"/>
    <row r="47" customFormat="1" x14ac:dyDescent="0.35"/>
    <row r="48" customFormat="1" x14ac:dyDescent="0.35"/>
    <row r="51" spans="2:7" x14ac:dyDescent="0.35">
      <c r="G51" s="22"/>
    </row>
    <row r="53" spans="2:7" x14ac:dyDescent="0.35">
      <c r="G53" s="22"/>
    </row>
    <row r="58" spans="2:7" x14ac:dyDescent="0.35">
      <c r="C58" s="2" t="s">
        <v>29</v>
      </c>
    </row>
    <row r="60" spans="2:7" x14ac:dyDescent="0.35">
      <c r="C60" s="15" t="s">
        <v>1</v>
      </c>
      <c r="D60" s="15" t="s">
        <v>21</v>
      </c>
      <c r="E60" s="15" t="s">
        <v>22</v>
      </c>
      <c r="F60" s="15" t="s">
        <v>67</v>
      </c>
    </row>
    <row r="61" spans="2:7" x14ac:dyDescent="0.35">
      <c r="B61" s="23"/>
      <c r="C61" s="16">
        <v>1</v>
      </c>
      <c r="D61" s="1" t="s">
        <v>2</v>
      </c>
      <c r="E61" s="16">
        <v>1</v>
      </c>
      <c r="F61" s="29" t="s">
        <v>66</v>
      </c>
    </row>
    <row r="62" spans="2:7" x14ac:dyDescent="0.35">
      <c r="B62" s="23"/>
      <c r="C62" s="16">
        <v>2</v>
      </c>
      <c r="D62" s="1" t="s">
        <v>3</v>
      </c>
      <c r="E62" s="16">
        <v>5</v>
      </c>
      <c r="F62" s="29" t="s">
        <v>26</v>
      </c>
    </row>
    <row r="63" spans="2:7" x14ac:dyDescent="0.35">
      <c r="B63" s="23"/>
      <c r="C63" s="16">
        <v>3</v>
      </c>
      <c r="D63" s="1" t="s">
        <v>4</v>
      </c>
      <c r="E63" s="16">
        <v>4700</v>
      </c>
      <c r="F63" s="29" t="s">
        <v>25</v>
      </c>
    </row>
    <row r="64" spans="2:7" x14ac:dyDescent="0.35">
      <c r="B64" s="23"/>
      <c r="C64" s="16">
        <v>4</v>
      </c>
      <c r="D64" s="1" t="s">
        <v>5</v>
      </c>
      <c r="E64" s="16">
        <v>4700</v>
      </c>
      <c r="F64" s="29" t="s">
        <v>65</v>
      </c>
    </row>
    <row r="65" spans="2:7" x14ac:dyDescent="0.35">
      <c r="C65" s="16">
        <v>5</v>
      </c>
      <c r="D65" s="1" t="s">
        <v>6</v>
      </c>
      <c r="E65" s="16">
        <v>21</v>
      </c>
      <c r="F65" s="29" t="s">
        <v>26</v>
      </c>
    </row>
    <row r="66" spans="2:7" x14ac:dyDescent="0.35">
      <c r="C66" s="16">
        <v>6</v>
      </c>
      <c r="D66" s="1" t="s">
        <v>7</v>
      </c>
      <c r="E66" s="16">
        <v>4</v>
      </c>
      <c r="F66" s="29" t="s">
        <v>24</v>
      </c>
    </row>
    <row r="67" spans="2:7" x14ac:dyDescent="0.35">
      <c r="E67" s="17">
        <f>SUM(E61:E66)</f>
        <v>9431</v>
      </c>
    </row>
    <row r="68" spans="2:7" x14ac:dyDescent="0.35">
      <c r="C68" s="24" t="s">
        <v>27</v>
      </c>
      <c r="G68" s="22"/>
    </row>
    <row r="70" spans="2:7" x14ac:dyDescent="0.35">
      <c r="B70" s="5" t="s">
        <v>10</v>
      </c>
      <c r="C70" s="6"/>
    </row>
    <row r="72" spans="2:7" x14ac:dyDescent="0.35">
      <c r="B72" s="7" t="s">
        <v>38</v>
      </c>
    </row>
    <row r="73" spans="2:7" x14ac:dyDescent="0.35">
      <c r="B73" s="2" t="s">
        <v>34</v>
      </c>
    </row>
    <row r="75" spans="2:7" x14ac:dyDescent="0.35">
      <c r="C75" t="s">
        <v>40</v>
      </c>
    </row>
    <row r="76" spans="2:7" x14ac:dyDescent="0.35">
      <c r="C76" t="s">
        <v>39</v>
      </c>
    </row>
    <row r="78" spans="2:7" x14ac:dyDescent="0.35">
      <c r="C78" t="s">
        <v>28</v>
      </c>
    </row>
    <row r="80" spans="2:7" x14ac:dyDescent="0.35">
      <c r="C80" s="3" t="s">
        <v>11</v>
      </c>
    </row>
    <row r="81" spans="3:3" x14ac:dyDescent="0.35">
      <c r="C81" s="27" t="s">
        <v>61</v>
      </c>
    </row>
    <row r="82" spans="3:3" x14ac:dyDescent="0.35">
      <c r="C82" s="25" t="s">
        <v>41</v>
      </c>
    </row>
    <row r="83" spans="3:3" x14ac:dyDescent="0.35">
      <c r="C83" s="25" t="s">
        <v>42</v>
      </c>
    </row>
    <row r="84" spans="3:3" x14ac:dyDescent="0.35">
      <c r="C84" s="25" t="s">
        <v>43</v>
      </c>
    </row>
    <row r="85" spans="3:3" x14ac:dyDescent="0.35">
      <c r="C85" s="25" t="s">
        <v>44</v>
      </c>
    </row>
    <row r="86" spans="3:3" x14ac:dyDescent="0.35">
      <c r="C86" s="25" t="s">
        <v>45</v>
      </c>
    </row>
    <row r="87" spans="3:3" x14ac:dyDescent="0.35">
      <c r="C87" s="25" t="s">
        <v>46</v>
      </c>
    </row>
    <row r="88" spans="3:3" x14ac:dyDescent="0.35">
      <c r="C88" s="25" t="s">
        <v>47</v>
      </c>
    </row>
    <row r="89" spans="3:3" x14ac:dyDescent="0.35">
      <c r="C89" s="25" t="s">
        <v>48</v>
      </c>
    </row>
    <row r="90" spans="3:3" x14ac:dyDescent="0.35">
      <c r="C90" s="25" t="s">
        <v>49</v>
      </c>
    </row>
    <row r="92" spans="3:3" x14ac:dyDescent="0.35">
      <c r="C92" s="27" t="s">
        <v>51</v>
      </c>
    </row>
    <row r="93" spans="3:3" x14ac:dyDescent="0.35">
      <c r="C93" s="25" t="s">
        <v>50</v>
      </c>
    </row>
    <row r="94" spans="3:3" x14ac:dyDescent="0.35">
      <c r="C94" s="25" t="s">
        <v>52</v>
      </c>
    </row>
    <row r="95" spans="3:3" x14ac:dyDescent="0.35">
      <c r="C95" s="25" t="s">
        <v>53</v>
      </c>
    </row>
    <row r="96" spans="3:3" x14ac:dyDescent="0.35">
      <c r="C96" s="25" t="s">
        <v>54</v>
      </c>
    </row>
    <row r="97" spans="3:3" x14ac:dyDescent="0.35">
      <c r="C97" s="25" t="s">
        <v>55</v>
      </c>
    </row>
    <row r="98" spans="3:3" x14ac:dyDescent="0.35">
      <c r="C98" s="25" t="s">
        <v>56</v>
      </c>
    </row>
    <row r="99" spans="3:3" x14ac:dyDescent="0.35">
      <c r="C99" s="25" t="s">
        <v>57</v>
      </c>
    </row>
    <row r="100" spans="3:3" x14ac:dyDescent="0.35">
      <c r="C100" s="25" t="s">
        <v>58</v>
      </c>
    </row>
    <row r="101" spans="3:3" x14ac:dyDescent="0.35">
      <c r="C101" s="25" t="s">
        <v>59</v>
      </c>
    </row>
    <row r="102" spans="3:3" x14ac:dyDescent="0.35">
      <c r="C102" s="25" t="s">
        <v>60</v>
      </c>
    </row>
    <row r="103" spans="3:3" x14ac:dyDescent="0.35">
      <c r="C103" s="3"/>
    </row>
    <row r="104" spans="3:3" x14ac:dyDescent="0.35">
      <c r="C104" s="18" t="s">
        <v>12</v>
      </c>
    </row>
    <row r="105" spans="3:3" x14ac:dyDescent="0.35">
      <c r="C105" s="18" t="s">
        <v>13</v>
      </c>
    </row>
    <row r="106" spans="3:3" x14ac:dyDescent="0.35">
      <c r="C106" s="18" t="s">
        <v>14</v>
      </c>
    </row>
    <row r="107" spans="3:3" x14ac:dyDescent="0.35">
      <c r="C107" s="18" t="s">
        <v>62</v>
      </c>
    </row>
    <row r="108" spans="3:3" x14ac:dyDescent="0.35">
      <c r="C108" s="18" t="s">
        <v>15</v>
      </c>
    </row>
    <row r="109" spans="3:3" x14ac:dyDescent="0.35">
      <c r="C109" s="18" t="s">
        <v>16</v>
      </c>
    </row>
    <row r="110" spans="3:3" x14ac:dyDescent="0.35">
      <c r="C110" s="18"/>
    </row>
    <row r="111" spans="3:3" x14ac:dyDescent="0.35">
      <c r="C111" s="18" t="s">
        <v>12</v>
      </c>
    </row>
    <row r="112" spans="3:3" x14ac:dyDescent="0.35">
      <c r="C112" s="18" t="s">
        <v>13</v>
      </c>
    </row>
    <row r="113" spans="2:7" x14ac:dyDescent="0.35">
      <c r="C113" s="18" t="s">
        <v>14</v>
      </c>
    </row>
    <row r="114" spans="2:7" x14ac:dyDescent="0.35">
      <c r="C114" s="18" t="s">
        <v>63</v>
      </c>
      <c r="G114" s="22"/>
    </row>
    <row r="115" spans="2:7" x14ac:dyDescent="0.35">
      <c r="C115" s="18" t="s">
        <v>17</v>
      </c>
    </row>
    <row r="116" spans="2:7" x14ac:dyDescent="0.35">
      <c r="C116" s="18" t="s">
        <v>18</v>
      </c>
    </row>
    <row r="117" spans="2:7" x14ac:dyDescent="0.35">
      <c r="C117" s="18" t="s">
        <v>19</v>
      </c>
    </row>
    <row r="118" spans="2:7" x14ac:dyDescent="0.35">
      <c r="C118" s="18" t="s">
        <v>20</v>
      </c>
    </row>
    <row r="121" spans="2:7" x14ac:dyDescent="0.35">
      <c r="B121" s="4" t="s">
        <v>64</v>
      </c>
    </row>
    <row r="122" spans="2:7" x14ac:dyDescent="0.35">
      <c r="B122" s="28" t="s">
        <v>30</v>
      </c>
    </row>
    <row r="124" spans="2:7" x14ac:dyDescent="0.35">
      <c r="C124" s="20" t="s">
        <v>1</v>
      </c>
      <c r="D124" s="20" t="s">
        <v>21</v>
      </c>
      <c r="E124" s="20" t="s">
        <v>22</v>
      </c>
      <c r="F124" s="19" t="s">
        <v>31</v>
      </c>
    </row>
    <row r="125" spans="2:7" ht="14.4" customHeight="1" x14ac:dyDescent="0.35">
      <c r="C125" s="16">
        <v>1</v>
      </c>
      <c r="D125" s="16" t="s">
        <v>2</v>
      </c>
      <c r="E125" s="16">
        <v>0</v>
      </c>
      <c r="F125" s="1" t="s">
        <v>23</v>
      </c>
    </row>
    <row r="126" spans="2:7" ht="14.4" customHeight="1" x14ac:dyDescent="0.35">
      <c r="C126" s="16">
        <v>2</v>
      </c>
      <c r="D126" s="16" t="s">
        <v>3</v>
      </c>
      <c r="E126" s="16">
        <v>5</v>
      </c>
      <c r="F126" s="1" t="s">
        <v>26</v>
      </c>
    </row>
    <row r="127" spans="2:7" ht="14.4" customHeight="1" x14ac:dyDescent="0.35">
      <c r="C127" s="16">
        <v>3</v>
      </c>
      <c r="D127" s="16" t="s">
        <v>4</v>
      </c>
      <c r="E127" s="16">
        <v>4700</v>
      </c>
      <c r="F127" s="1" t="s">
        <v>25</v>
      </c>
    </row>
    <row r="128" spans="2:7" ht="14.4" customHeight="1" x14ac:dyDescent="0.35">
      <c r="C128" s="16">
        <v>4</v>
      </c>
      <c r="D128" s="16" t="s">
        <v>5</v>
      </c>
      <c r="E128" s="16">
        <v>0</v>
      </c>
      <c r="F128" s="1" t="s">
        <v>23</v>
      </c>
    </row>
    <row r="129" spans="2:6" ht="14.4" customHeight="1" x14ac:dyDescent="0.35">
      <c r="C129" s="16">
        <v>5</v>
      </c>
      <c r="D129" s="16" t="s">
        <v>6</v>
      </c>
      <c r="E129" s="16">
        <v>21</v>
      </c>
      <c r="F129" s="1" t="s">
        <v>26</v>
      </c>
    </row>
    <row r="130" spans="2:6" ht="14.4" customHeight="1" x14ac:dyDescent="0.35">
      <c r="C130" s="16">
        <v>6</v>
      </c>
      <c r="D130" s="16" t="s">
        <v>7</v>
      </c>
      <c r="E130" s="16">
        <v>4</v>
      </c>
      <c r="F130" s="1" t="s">
        <v>24</v>
      </c>
    </row>
    <row r="131" spans="2:6" x14ac:dyDescent="0.35">
      <c r="C131" s="21"/>
      <c r="D131" s="21"/>
      <c r="E131" s="17">
        <f>SUM(E125:E130)</f>
        <v>4730</v>
      </c>
    </row>
    <row r="133" spans="2:6" x14ac:dyDescent="0.35">
      <c r="B133" s="2" t="s">
        <v>32</v>
      </c>
    </row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spans="5:5" x14ac:dyDescent="0.35">
      <c r="E161" s="26"/>
    </row>
    <row r="162" spans="5:5" x14ac:dyDescent="0.35">
      <c r="E162" s="2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F11CE2-AF03-4536-A762-E607B285D2AB}"/>
</file>

<file path=customXml/itemProps2.xml><?xml version="1.0" encoding="utf-8"?>
<ds:datastoreItem xmlns:ds="http://schemas.openxmlformats.org/officeDocument/2006/customXml" ds:itemID="{4F29D9FF-D438-4A3F-BD46-8253B754AB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867EAC-EC26-495F-AEB7-25501D492AA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Miguel Rocha Ferreira</dc:creator>
  <cp:lastModifiedBy>Nuno Miguel Rocha Ferreira</cp:lastModifiedBy>
  <dcterms:created xsi:type="dcterms:W3CDTF">2025-11-28T17:06:49Z</dcterms:created>
  <dcterms:modified xsi:type="dcterms:W3CDTF">2025-12-04T15:02:59Z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2025-11-28T17:35:26Z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05f7d7e1-864c-401a-b97e-cfa9dcf8c175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  <property fmtid="{D5CDD505-2E9C-101B-9397-08002B2CF9AE}" pid="10" name="ContentTypeId">
    <vt:lpwstr>0x0101001951051659CE89468EBDA2519EAB1C2D</vt:lpwstr>
  </property>
</Properties>
</file>