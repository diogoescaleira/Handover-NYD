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03. Controlos Regulamentares/"/>
    </mc:Choice>
  </mc:AlternateContent>
  <xr:revisionPtr revIDLastSave="305" documentId="8_{0711C606-320C-417B-8000-9D267672C128}" xr6:coauthVersionLast="47" xr6:coauthVersionMax="47" xr10:uidLastSave="{9B8E51E9-D66C-4E5F-B3D0-DADBA971B253}"/>
  <bookViews>
    <workbookView xWindow="-19310" yWindow="-50" windowWidth="19420" windowHeight="10300" tabRatio="841" activeTab="2" xr2:uid="{00000000-000D-0000-FFFF-FFFF00000000}"/>
  </bookViews>
  <sheets>
    <sheet name="Level 1" sheetId="14" r:id="rId1"/>
    <sheet name="Level 2" sheetId="11" r:id="rId2"/>
    <sheet name="Data types" sheetId="13" r:id="rId3"/>
    <sheet name="Sheet1" sheetId="21" r:id="rId4"/>
    <sheet name="NumControlos" sheetId="16" r:id="rId5"/>
    <sheet name="OUTPUT (Proposta)" sheetId="15" r:id="rId6"/>
    <sheet name="B02_Mapping fields" sheetId="18" r:id="rId7"/>
    <sheet name="B05_Mapping fields" sheetId="19" r:id="rId8"/>
    <sheet name="B90_Maping fields" sheetId="20" r:id="rId9"/>
  </sheets>
  <definedNames>
    <definedName name="_xlnm._FilterDatabase" localSheetId="2" hidden="1">'Data types'!$A$1:$N$153</definedName>
    <definedName name="_xlnm._FilterDatabase" localSheetId="0" hidden="1">'Level 1'!$A$2:$W$56</definedName>
    <definedName name="_xlnm._FilterDatabase" localSheetId="1" hidden="1">'Level 2'!$A$2:$Z$59</definedName>
    <definedName name="_xlnm._FilterDatabase" localSheetId="4" hidden="1">NumControlos!$F$3:$G$8</definedName>
    <definedName name="_xlnm._FilterDatabase" localSheetId="3" hidden="1">Sheet1!$A$1:$A$9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3" i="13" l="1"/>
  <c r="L152" i="13"/>
  <c r="L151" i="13"/>
  <c r="L150" i="13"/>
  <c r="L149" i="13"/>
  <c r="L148" i="13"/>
  <c r="L147" i="13"/>
  <c r="L146" i="13"/>
  <c r="K146" i="13" s="1"/>
  <c r="N146" i="13" s="1"/>
  <c r="L145" i="13"/>
  <c r="L144" i="13"/>
  <c r="K144" i="13" s="1"/>
  <c r="N144" i="13" s="1"/>
  <c r="L143" i="13"/>
  <c r="L137" i="13"/>
  <c r="K137" i="13" s="1"/>
  <c r="N137" i="13" s="1"/>
  <c r="L136" i="13"/>
  <c r="L135" i="13"/>
  <c r="K135" i="13" s="1"/>
  <c r="N135" i="13" s="1"/>
  <c r="L134" i="13"/>
  <c r="L133" i="13"/>
  <c r="L132" i="13"/>
  <c r="L131" i="13"/>
  <c r="L130" i="13"/>
  <c r="K130" i="13" s="1"/>
  <c r="N130" i="13" s="1"/>
  <c r="L129" i="13"/>
  <c r="L128" i="13"/>
  <c r="K128" i="13" s="1"/>
  <c r="N128" i="13" s="1"/>
  <c r="L127" i="13"/>
  <c r="L126" i="13"/>
  <c r="K126" i="13" s="1"/>
  <c r="N126" i="13" s="1"/>
  <c r="L125" i="13"/>
  <c r="L124" i="13"/>
  <c r="L123" i="13"/>
  <c r="L122" i="13"/>
  <c r="L99" i="13"/>
  <c r="L98" i="13"/>
  <c r="L97" i="13"/>
  <c r="L96" i="13"/>
  <c r="L95" i="13"/>
  <c r="K95" i="13" s="1"/>
  <c r="N95" i="13" s="1"/>
  <c r="L94" i="13"/>
  <c r="L93" i="13"/>
  <c r="L92" i="13"/>
  <c r="K92" i="13" s="1"/>
  <c r="N92" i="13" s="1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P59" i="11"/>
  <c r="P58" i="11"/>
  <c r="P55" i="11"/>
  <c r="X28" i="11"/>
  <c r="V28" i="11"/>
  <c r="T28" i="11"/>
  <c r="X27" i="11"/>
  <c r="V27" i="11"/>
  <c r="X12" i="11"/>
  <c r="V12" i="11"/>
  <c r="T12" i="11"/>
  <c r="R12" i="11"/>
  <c r="X11" i="11"/>
  <c r="V11" i="11"/>
  <c r="T11" i="11"/>
  <c r="T10" i="11"/>
  <c r="R10" i="11"/>
  <c r="P10" i="11"/>
  <c r="T27" i="11"/>
  <c r="T16" i="11"/>
  <c r="R16" i="11"/>
  <c r="R28" i="11"/>
  <c r="R27" i="11"/>
  <c r="R22" i="11"/>
  <c r="R20" i="11"/>
  <c r="R18" i="11"/>
  <c r="R11" i="11"/>
  <c r="P3" i="11"/>
  <c r="P30" i="11"/>
  <c r="P28" i="11"/>
  <c r="P27" i="11"/>
  <c r="P24" i="11"/>
  <c r="P23" i="11"/>
  <c r="P22" i="11"/>
  <c r="P21" i="11"/>
  <c r="P20" i="11"/>
  <c r="P19" i="11"/>
  <c r="P18" i="11"/>
  <c r="P17" i="11"/>
  <c r="P16" i="11"/>
  <c r="P15" i="11"/>
  <c r="P12" i="11"/>
  <c r="P11" i="11"/>
  <c r="P6" i="11"/>
  <c r="P4" i="11"/>
  <c r="T37" i="14"/>
  <c r="R37" i="14"/>
  <c r="R38" i="14"/>
  <c r="R34" i="14"/>
  <c r="R33" i="14"/>
  <c r="R27" i="14"/>
  <c r="R19" i="14"/>
  <c r="R10" i="14"/>
  <c r="P10" i="14"/>
  <c r="P41" i="14"/>
  <c r="P40" i="14"/>
  <c r="P38" i="14"/>
  <c r="P37" i="14"/>
  <c r="P36" i="14"/>
  <c r="P35" i="14"/>
  <c r="P34" i="14"/>
  <c r="P33" i="14"/>
  <c r="P32" i="14"/>
  <c r="P31" i="14"/>
  <c r="P30" i="14"/>
  <c r="P29" i="14"/>
  <c r="P27" i="14"/>
  <c r="P26" i="14"/>
  <c r="P25" i="14"/>
  <c r="P22" i="14"/>
  <c r="P20" i="14"/>
  <c r="P19" i="14"/>
  <c r="P16" i="14"/>
  <c r="P13" i="14"/>
  <c r="P12" i="14"/>
  <c r="P11" i="14"/>
  <c r="P9" i="14"/>
  <c r="P7" i="14"/>
  <c r="P8" i="14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4" i="11"/>
  <c r="L4" i="11"/>
  <c r="M3" i="11"/>
  <c r="L3" i="11"/>
  <c r="O4" i="15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3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5" i="14"/>
  <c r="M4" i="14"/>
  <c r="M6" i="14"/>
  <c r="M3" i="14"/>
  <c r="G7" i="16"/>
  <c r="G8" i="16"/>
  <c r="G6" i="16"/>
  <c r="G5" i="16"/>
  <c r="G4" i="16"/>
  <c r="G2" i="16" s="1"/>
  <c r="B15" i="11"/>
  <c r="B16" i="11"/>
  <c r="M146" i="13" l="1"/>
  <c r="M144" i="13"/>
  <c r="K131" i="13"/>
  <c r="N131" i="13" s="1"/>
  <c r="K136" i="13"/>
  <c r="N136" i="13" s="1"/>
  <c r="K125" i="13"/>
  <c r="N125" i="13" s="1"/>
  <c r="K98" i="13"/>
  <c r="N98" i="13" s="1"/>
  <c r="K99" i="13"/>
  <c r="N99" i="13" s="1"/>
  <c r="K122" i="13"/>
  <c r="N122" i="13" s="1"/>
  <c r="K143" i="13"/>
  <c r="N143" i="13" s="1"/>
  <c r="K132" i="13"/>
  <c r="N132" i="13" s="1"/>
  <c r="K133" i="13"/>
  <c r="N133" i="13" s="1"/>
  <c r="K97" i="13"/>
  <c r="N97" i="13" s="1"/>
  <c r="K123" i="13"/>
  <c r="N123" i="13" s="1"/>
  <c r="K145" i="13"/>
  <c r="N145" i="13" s="1"/>
  <c r="K153" i="13"/>
  <c r="K129" i="13"/>
  <c r="N129" i="13" s="1"/>
  <c r="K134" i="13"/>
  <c r="N134" i="13" s="1"/>
  <c r="K127" i="13"/>
  <c r="N127" i="13" s="1"/>
  <c r="K37" i="13"/>
  <c r="N37" i="13" s="1"/>
  <c r="K45" i="13"/>
  <c r="N45" i="13" s="1"/>
  <c r="K53" i="13"/>
  <c r="N53" i="13" s="1"/>
  <c r="K61" i="13"/>
  <c r="N61" i="13" s="1"/>
  <c r="K38" i="13"/>
  <c r="N38" i="13" s="1"/>
  <c r="K46" i="13"/>
  <c r="N46" i="13" s="1"/>
  <c r="K54" i="13"/>
  <c r="N54" i="13" s="1"/>
  <c r="K62" i="13"/>
  <c r="N62" i="13" s="1"/>
  <c r="K70" i="13"/>
  <c r="N70" i="13" s="1"/>
  <c r="K94" i="13"/>
  <c r="N94" i="13" s="1"/>
  <c r="K49" i="13"/>
  <c r="N49" i="13" s="1"/>
  <c r="K26" i="13"/>
  <c r="N26" i="13" s="1"/>
  <c r="K31" i="13"/>
  <c r="N31" i="13" s="1"/>
  <c r="K47" i="13"/>
  <c r="N47" i="13" s="1"/>
  <c r="K55" i="13"/>
  <c r="N55" i="13" s="1"/>
  <c r="K71" i="13"/>
  <c r="N71" i="13" s="1"/>
  <c r="K48" i="13"/>
  <c r="N48" i="13" s="1"/>
  <c r="K64" i="13"/>
  <c r="N64" i="13" s="1"/>
  <c r="K72" i="13"/>
  <c r="N72" i="13" s="1"/>
  <c r="K96" i="13"/>
  <c r="N96" i="13" s="1"/>
  <c r="K89" i="13"/>
  <c r="N89" i="13" s="1"/>
  <c r="K56" i="13"/>
  <c r="N56" i="13" s="1"/>
  <c r="K57" i="13"/>
  <c r="N57" i="13" s="1"/>
  <c r="K34" i="13"/>
  <c r="N34" i="13" s="1"/>
  <c r="K32" i="13"/>
  <c r="N32" i="13" s="1"/>
  <c r="K33" i="13"/>
  <c r="N33" i="13" s="1"/>
  <c r="K65" i="13"/>
  <c r="N65" i="13" s="1"/>
  <c r="K50" i="13"/>
  <c r="N50" i="13" s="1"/>
  <c r="K58" i="13"/>
  <c r="N58" i="13" s="1"/>
  <c r="K35" i="13"/>
  <c r="N35" i="13" s="1"/>
  <c r="K51" i="13"/>
  <c r="N51" i="13" s="1"/>
  <c r="K59" i="13"/>
  <c r="N59" i="13" s="1"/>
  <c r="K52" i="13"/>
  <c r="N52" i="13" s="1"/>
  <c r="K60" i="13"/>
  <c r="N60" i="13" s="1"/>
  <c r="K68" i="13"/>
  <c r="N68" i="13" s="1"/>
  <c r="K22" i="13"/>
  <c r="N22" i="13" s="1"/>
  <c r="K21" i="13"/>
  <c r="N21" i="13" s="1"/>
  <c r="K19" i="13"/>
  <c r="N19" i="13" s="1"/>
  <c r="K20" i="13"/>
  <c r="N20" i="13" s="1"/>
  <c r="K152" i="13"/>
  <c r="N152" i="13" s="1"/>
  <c r="K124" i="13"/>
  <c r="N124" i="13" s="1"/>
  <c r="K43" i="13"/>
  <c r="N43" i="13" s="1"/>
  <c r="K86" i="13"/>
  <c r="N86" i="13" s="1"/>
  <c r="K23" i="13"/>
  <c r="N23" i="13" s="1"/>
  <c r="K39" i="13"/>
  <c r="N39" i="13" s="1"/>
  <c r="K79" i="13"/>
  <c r="N79" i="13" s="1"/>
  <c r="K87" i="13"/>
  <c r="N87" i="13" s="1"/>
  <c r="K29" i="13"/>
  <c r="N29" i="13" s="1"/>
  <c r="K77" i="13"/>
  <c r="N77" i="13" s="1"/>
  <c r="K24" i="13"/>
  <c r="N24" i="13" s="1"/>
  <c r="K40" i="13"/>
  <c r="N40" i="13" s="1"/>
  <c r="K80" i="13"/>
  <c r="N80" i="13" s="1"/>
  <c r="K88" i="13"/>
  <c r="N88" i="13" s="1"/>
  <c r="K147" i="13"/>
  <c r="N147" i="13" s="1"/>
  <c r="K25" i="13"/>
  <c r="N25" i="13" s="1"/>
  <c r="K41" i="13"/>
  <c r="N41" i="13" s="1"/>
  <c r="K73" i="13"/>
  <c r="N73" i="13" s="1"/>
  <c r="K81" i="13"/>
  <c r="N81" i="13" s="1"/>
  <c r="K148" i="13"/>
  <c r="N148" i="13" s="1"/>
  <c r="K85" i="13"/>
  <c r="N85" i="13" s="1"/>
  <c r="K30" i="13"/>
  <c r="N30" i="13" s="1"/>
  <c r="K42" i="13"/>
  <c r="N42" i="13" s="1"/>
  <c r="K66" i="13"/>
  <c r="N66" i="13" s="1"/>
  <c r="K74" i="13"/>
  <c r="N74" i="13" s="1"/>
  <c r="K82" i="13"/>
  <c r="N82" i="13" s="1"/>
  <c r="K90" i="13"/>
  <c r="N90" i="13" s="1"/>
  <c r="K149" i="13"/>
  <c r="K93" i="13"/>
  <c r="N93" i="13" s="1"/>
  <c r="K27" i="13"/>
  <c r="N27" i="13" s="1"/>
  <c r="K67" i="13"/>
  <c r="N67" i="13" s="1"/>
  <c r="K75" i="13"/>
  <c r="N75" i="13" s="1"/>
  <c r="K83" i="13"/>
  <c r="N83" i="13" s="1"/>
  <c r="K91" i="13"/>
  <c r="N91" i="13" s="1"/>
  <c r="K150" i="13"/>
  <c r="N150" i="13" s="1"/>
  <c r="K69" i="13"/>
  <c r="N69" i="13" s="1"/>
  <c r="K78" i="13"/>
  <c r="N78" i="13" s="1"/>
  <c r="K28" i="13"/>
  <c r="N28" i="13" s="1"/>
  <c r="K36" i="13"/>
  <c r="N36" i="13" s="1"/>
  <c r="K44" i="13"/>
  <c r="N44" i="13" s="1"/>
  <c r="K76" i="13"/>
  <c r="N76" i="13" s="1"/>
  <c r="K84" i="13"/>
  <c r="N84" i="13" s="1"/>
  <c r="K151" i="13"/>
  <c r="N151" i="13" s="1"/>
  <c r="M130" i="13"/>
  <c r="M126" i="13"/>
  <c r="M135" i="13"/>
  <c r="M95" i="13"/>
  <c r="M128" i="13"/>
  <c r="M137" i="13"/>
  <c r="M92" i="13"/>
  <c r="K63" i="13"/>
  <c r="M63" i="13" s="1"/>
  <c r="F3" i="13"/>
  <c r="F4" i="13"/>
  <c r="F5" i="13"/>
  <c r="F6" i="13"/>
  <c r="F7" i="13"/>
  <c r="F8" i="13"/>
  <c r="F9" i="13"/>
  <c r="F10" i="13"/>
  <c r="F11" i="13"/>
  <c r="F12" i="13"/>
  <c r="A12" i="13"/>
  <c r="A11" i="13"/>
  <c r="A10" i="13"/>
  <c r="A9" i="13"/>
  <c r="A8" i="13"/>
  <c r="A7" i="13"/>
  <c r="A6" i="13"/>
  <c r="A5" i="13"/>
  <c r="A4" i="13"/>
  <c r="A3" i="13"/>
  <c r="C12" i="13"/>
  <c r="C11" i="13"/>
  <c r="C10" i="13"/>
  <c r="C9" i="13"/>
  <c r="C8" i="13"/>
  <c r="C7" i="13"/>
  <c r="C6" i="13"/>
  <c r="C5" i="13"/>
  <c r="C4" i="13"/>
  <c r="C3" i="13"/>
  <c r="F13" i="13"/>
  <c r="C13" i="13"/>
  <c r="A13" i="13"/>
  <c r="F17" i="13"/>
  <c r="F16" i="13"/>
  <c r="F15" i="13"/>
  <c r="F14" i="13"/>
  <c r="F18" i="13"/>
  <c r="A14" i="13"/>
  <c r="A15" i="13"/>
  <c r="A16" i="13"/>
  <c r="A17" i="13"/>
  <c r="A18" i="13"/>
  <c r="C14" i="13"/>
  <c r="C15" i="13"/>
  <c r="C16" i="13"/>
  <c r="C17" i="13"/>
  <c r="C18" i="13"/>
  <c r="F19" i="13"/>
  <c r="C19" i="13"/>
  <c r="A19" i="13"/>
  <c r="B59" i="11"/>
  <c r="B56" i="11"/>
  <c r="B56" i="14"/>
  <c r="A146" i="13"/>
  <c r="C152" i="13"/>
  <c r="C151" i="13"/>
  <c r="C150" i="13"/>
  <c r="C149" i="13"/>
  <c r="C148" i="13"/>
  <c r="C147" i="13"/>
  <c r="C146" i="13"/>
  <c r="C145" i="13"/>
  <c r="F146" i="13"/>
  <c r="B47" i="11"/>
  <c r="Z47" i="11" s="1"/>
  <c r="B28" i="11"/>
  <c r="B12" i="11"/>
  <c r="N149" i="13" l="1"/>
  <c r="M149" i="13"/>
  <c r="M145" i="13"/>
  <c r="M143" i="13"/>
  <c r="N153" i="13"/>
  <c r="M153" i="13"/>
  <c r="M148" i="13"/>
  <c r="M29" i="13"/>
  <c r="M88" i="13"/>
  <c r="M39" i="13"/>
  <c r="M27" i="13"/>
  <c r="M67" i="13"/>
  <c r="M66" i="13"/>
  <c r="M86" i="13"/>
  <c r="M36" i="13"/>
  <c r="M30" i="13"/>
  <c r="M28" i="13"/>
  <c r="M23" i="13"/>
  <c r="M24" i="13"/>
  <c r="M71" i="13"/>
  <c r="M72" i="13"/>
  <c r="M62" i="13"/>
  <c r="M61" i="13"/>
  <c r="M35" i="13"/>
  <c r="M122" i="13"/>
  <c r="M19" i="13"/>
  <c r="M98" i="13"/>
  <c r="M43" i="13"/>
  <c r="M123" i="13"/>
  <c r="M20" i="13"/>
  <c r="M152" i="13"/>
  <c r="M136" i="13"/>
  <c r="M131" i="13"/>
  <c r="M42" i="13"/>
  <c r="M41" i="13"/>
  <c r="M40" i="13"/>
  <c r="M50" i="13"/>
  <c r="M49" i="13"/>
  <c r="M125" i="13"/>
  <c r="M99" i="13"/>
  <c r="M124" i="13"/>
  <c r="M93" i="13"/>
  <c r="M81" i="13"/>
  <c r="M83" i="13"/>
  <c r="M75" i="13"/>
  <c r="M133" i="13"/>
  <c r="M82" i="13"/>
  <c r="M74" i="13"/>
  <c r="M132" i="13"/>
  <c r="M91" i="13"/>
  <c r="M45" i="13"/>
  <c r="M33" i="13"/>
  <c r="M150" i="13"/>
  <c r="M22" i="13"/>
  <c r="M84" i="13"/>
  <c r="M147" i="13"/>
  <c r="M76" i="13"/>
  <c r="M55" i="13"/>
  <c r="M79" i="13"/>
  <c r="M57" i="13"/>
  <c r="M80" i="13"/>
  <c r="M78" i="13"/>
  <c r="M77" i="13"/>
  <c r="M90" i="13"/>
  <c r="M97" i="13"/>
  <c r="M32" i="13"/>
  <c r="M70" i="13"/>
  <c r="M37" i="13"/>
  <c r="M68" i="13"/>
  <c r="M52" i="13"/>
  <c r="M44" i="13"/>
  <c r="M58" i="13"/>
  <c r="M34" i="13"/>
  <c r="M46" i="13"/>
  <c r="M134" i="13"/>
  <c r="M129" i="13"/>
  <c r="M64" i="13"/>
  <c r="M26" i="13"/>
  <c r="M94" i="13"/>
  <c r="M47" i="13"/>
  <c r="M73" i="13"/>
  <c r="M54" i="13"/>
  <c r="M89" i="13"/>
  <c r="M38" i="13"/>
  <c r="M96" i="13"/>
  <c r="M53" i="13"/>
  <c r="M65" i="13"/>
  <c r="M59" i="13"/>
  <c r="M48" i="13"/>
  <c r="M60" i="13"/>
  <c r="M56" i="13"/>
  <c r="M127" i="13"/>
  <c r="M31" i="13"/>
  <c r="M51" i="13"/>
  <c r="M25" i="13"/>
  <c r="M69" i="13"/>
  <c r="M21" i="13"/>
  <c r="M87" i="13"/>
  <c r="M85" i="13"/>
  <c r="M151" i="13"/>
  <c r="N63" i="13"/>
  <c r="B38" i="14"/>
  <c r="B34" i="14"/>
  <c r="B19" i="14"/>
  <c r="B20" i="14"/>
  <c r="B13" i="14"/>
  <c r="B12" i="14"/>
  <c r="B9" i="14"/>
  <c r="B10" i="14"/>
  <c r="B11" i="14"/>
  <c r="B8" i="14"/>
  <c r="B57" i="11"/>
  <c r="B58" i="11"/>
  <c r="C153" i="13"/>
  <c r="A153" i="13"/>
  <c r="F153" i="13"/>
  <c r="C144" i="13"/>
  <c r="C143" i="13"/>
  <c r="A145" i="13"/>
  <c r="A144" i="13"/>
  <c r="A143" i="13"/>
  <c r="F145" i="13"/>
  <c r="F144" i="13"/>
  <c r="F143" i="13"/>
  <c r="F152" i="13"/>
  <c r="A152" i="13"/>
  <c r="F151" i="13"/>
  <c r="A151" i="13"/>
  <c r="F150" i="13"/>
  <c r="A150" i="13"/>
  <c r="F149" i="13"/>
  <c r="A149" i="13"/>
  <c r="F148" i="13"/>
  <c r="A148" i="13"/>
  <c r="F147" i="13"/>
  <c r="A147" i="13"/>
  <c r="B44" i="11"/>
  <c r="Z44" i="11" s="1"/>
  <c r="B40" i="14"/>
  <c r="B41" i="14"/>
  <c r="F72" i="13"/>
  <c r="C72" i="13"/>
  <c r="A72" i="13"/>
  <c r="B49" i="14" l="1"/>
  <c r="W49" i="14" s="1"/>
  <c r="B18" i="14"/>
  <c r="B51" i="11" l="1"/>
  <c r="F101" i="13" l="1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C97" i="13"/>
  <c r="C98" i="13"/>
  <c r="C99" i="13"/>
  <c r="A97" i="13"/>
  <c r="A98" i="13"/>
  <c r="A99" i="13"/>
  <c r="F97" i="13"/>
  <c r="F98" i="13"/>
  <c r="F99" i="13"/>
  <c r="F100" i="13" l="1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2" i="13"/>
  <c r="C121" i="13"/>
  <c r="A121" i="13"/>
  <c r="A103" i="13"/>
  <c r="C103" i="13"/>
  <c r="A36" i="13"/>
  <c r="C36" i="13"/>
  <c r="C83" i="13" l="1"/>
  <c r="A83" i="13"/>
  <c r="A123" i="13"/>
  <c r="C123" i="13"/>
  <c r="C48" i="13" l="1"/>
  <c r="C4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3" i="13"/>
  <c r="A74" i="13"/>
  <c r="A75" i="13"/>
  <c r="A76" i="13"/>
  <c r="A77" i="13"/>
  <c r="A78" i="13"/>
  <c r="A79" i="13"/>
  <c r="A80" i="13"/>
  <c r="A81" i="13"/>
  <c r="A82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100" i="13"/>
  <c r="A101" i="13"/>
  <c r="A102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2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2" i="13"/>
  <c r="B46" i="11"/>
  <c r="Z46" i="11" s="1"/>
  <c r="B50" i="14"/>
  <c r="W50" i="14" s="1"/>
  <c r="B42" i="14"/>
  <c r="W42" i="14" s="1"/>
  <c r="B3" i="14"/>
  <c r="C126" i="13"/>
  <c r="C117" i="13"/>
  <c r="C96" i="13"/>
  <c r="C2" i="13"/>
  <c r="B31" i="11"/>
  <c r="B32" i="11"/>
  <c r="B33" i="11"/>
  <c r="B34" i="11"/>
  <c r="B35" i="11"/>
  <c r="B36" i="11"/>
  <c r="B37" i="11"/>
  <c r="B38" i="11"/>
  <c r="B39" i="11"/>
  <c r="Z39" i="11" s="1"/>
  <c r="B40" i="11"/>
  <c r="Z40" i="11" s="1"/>
  <c r="B41" i="11"/>
  <c r="Z41" i="11" s="1"/>
  <c r="B42" i="11"/>
  <c r="Z42" i="11" s="1"/>
  <c r="B43" i="11"/>
  <c r="Z43" i="11" s="1"/>
  <c r="B45" i="11"/>
  <c r="Z45" i="11" s="1"/>
  <c r="B48" i="11"/>
  <c r="Z48" i="11" s="1"/>
  <c r="B49" i="11"/>
  <c r="Z49" i="11" s="1"/>
  <c r="B50" i="11"/>
  <c r="Z50" i="11" s="1"/>
  <c r="B52" i="11"/>
  <c r="B53" i="11"/>
  <c r="B54" i="11"/>
  <c r="B55" i="11"/>
  <c r="B4" i="11"/>
  <c r="B5" i="11"/>
  <c r="B6" i="11"/>
  <c r="B7" i="11"/>
  <c r="B8" i="11"/>
  <c r="B9" i="11"/>
  <c r="B10" i="11"/>
  <c r="B11" i="11"/>
  <c r="B13" i="11"/>
  <c r="B14" i="11"/>
  <c r="B17" i="11"/>
  <c r="B18" i="11"/>
  <c r="B19" i="11"/>
  <c r="B20" i="11"/>
  <c r="B21" i="11"/>
  <c r="B22" i="11"/>
  <c r="B23" i="11"/>
  <c r="B24" i="11"/>
  <c r="B25" i="11"/>
  <c r="B26" i="11"/>
  <c r="B27" i="11"/>
  <c r="B29" i="11"/>
  <c r="B30" i="11"/>
  <c r="B3" i="11"/>
  <c r="B5" i="14"/>
  <c r="B6" i="14"/>
  <c r="B7" i="14"/>
  <c r="B14" i="14"/>
  <c r="B15" i="14"/>
  <c r="B16" i="14"/>
  <c r="B17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5" i="14"/>
  <c r="B36" i="14"/>
  <c r="B37" i="14"/>
  <c r="B39" i="14"/>
  <c r="B43" i="14"/>
  <c r="W43" i="14" s="1"/>
  <c r="B44" i="14"/>
  <c r="W44" i="14" s="1"/>
  <c r="B45" i="14"/>
  <c r="W45" i="14" s="1"/>
  <c r="B46" i="14"/>
  <c r="W46" i="14" s="1"/>
  <c r="B47" i="14"/>
  <c r="W47" i="14" s="1"/>
  <c r="B48" i="14"/>
  <c r="W48" i="14" s="1"/>
  <c r="B51" i="14"/>
  <c r="W51" i="14" s="1"/>
  <c r="B52" i="14"/>
  <c r="W52" i="14" s="1"/>
  <c r="B53" i="14"/>
  <c r="W53" i="14" s="1"/>
  <c r="B54" i="14"/>
  <c r="W54" i="14" s="1"/>
  <c r="B55" i="14"/>
  <c r="W55" i="14" s="1"/>
  <c r="B4" i="14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5" i="13"/>
  <c r="C124" i="13"/>
  <c r="C122" i="13"/>
  <c r="C120" i="13"/>
  <c r="C119" i="13"/>
  <c r="C118" i="13"/>
  <c r="C112" i="13"/>
  <c r="C113" i="13"/>
  <c r="C114" i="13"/>
  <c r="C115" i="13"/>
  <c r="C116" i="13"/>
  <c r="C101" i="13"/>
  <c r="C102" i="13"/>
  <c r="C104" i="13"/>
  <c r="C105" i="13"/>
  <c r="C106" i="13"/>
  <c r="C107" i="13"/>
  <c r="C108" i="13"/>
  <c r="C109" i="13"/>
  <c r="C110" i="13"/>
  <c r="C111" i="13"/>
  <c r="C10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7" i="13"/>
  <c r="C38" i="13"/>
  <c r="C39" i="13"/>
  <c r="C40" i="13"/>
  <c r="C41" i="13"/>
  <c r="C42" i="13"/>
  <c r="C43" i="13"/>
  <c r="C44" i="13"/>
  <c r="C45" i="13"/>
  <c r="C46" i="13"/>
  <c r="C47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3" i="13"/>
  <c r="C74" i="13"/>
  <c r="C75" i="13"/>
  <c r="C76" i="13"/>
  <c r="C77" i="13"/>
  <c r="C78" i="13"/>
  <c r="C79" i="13"/>
  <c r="C80" i="13"/>
  <c r="C81" i="13"/>
  <c r="C82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20" i="13"/>
  <c r="F16" i="11" l="1"/>
  <c r="D16" i="11"/>
  <c r="F59" i="11"/>
  <c r="D59" i="11"/>
  <c r="N59" i="11" s="1"/>
  <c r="Z59" i="11" s="1"/>
  <c r="F56" i="11"/>
  <c r="D56" i="11"/>
  <c r="N56" i="11" s="1"/>
  <c r="Z56" i="11" s="1"/>
  <c r="F56" i="14"/>
  <c r="D56" i="14"/>
  <c r="F38" i="14"/>
  <c r="D38" i="14"/>
  <c r="F10" i="14"/>
  <c r="F34" i="14"/>
  <c r="F11" i="14"/>
  <c r="D34" i="14"/>
  <c r="F19" i="14"/>
  <c r="D10" i="14"/>
  <c r="D12" i="14"/>
  <c r="F20" i="14"/>
  <c r="D11" i="14"/>
  <c r="F8" i="14"/>
  <c r="D8" i="14"/>
  <c r="D20" i="14"/>
  <c r="D19" i="14"/>
  <c r="F12" i="14"/>
  <c r="F13" i="14"/>
  <c r="D13" i="14"/>
  <c r="F57" i="11"/>
  <c r="D58" i="11"/>
  <c r="N58" i="11" s="1"/>
  <c r="Z58" i="11" s="1"/>
  <c r="D57" i="11"/>
  <c r="N57" i="11" s="1"/>
  <c r="Z57" i="11" s="1"/>
  <c r="F58" i="11"/>
  <c r="D47" i="11"/>
  <c r="F12" i="11"/>
  <c r="F47" i="11"/>
  <c r="D28" i="11"/>
  <c r="F28" i="11"/>
  <c r="D12" i="11"/>
  <c r="D40" i="14"/>
  <c r="F40" i="14"/>
  <c r="F41" i="14"/>
  <c r="D41" i="14"/>
  <c r="F49" i="14"/>
  <c r="D49" i="14"/>
  <c r="D18" i="14"/>
  <c r="F18" i="14"/>
  <c r="F17" i="14"/>
  <c r="D3" i="14"/>
  <c r="N3" i="14" s="1"/>
  <c r="V3" i="14" s="1"/>
  <c r="F5" i="11"/>
  <c r="F7" i="11"/>
  <c r="F9" i="11"/>
  <c r="F17" i="11"/>
  <c r="F21" i="11"/>
  <c r="F25" i="11"/>
  <c r="F10" i="11"/>
  <c r="F11" i="11"/>
  <c r="F14" i="11"/>
  <c r="F18" i="11"/>
  <c r="F22" i="11"/>
  <c r="F3" i="11"/>
  <c r="F4" i="11"/>
  <c r="F6" i="11"/>
  <c r="F8" i="11"/>
  <c r="F13" i="11"/>
  <c r="F19" i="11"/>
  <c r="F23" i="11"/>
  <c r="F15" i="11"/>
  <c r="F20" i="11"/>
  <c r="F24" i="11"/>
  <c r="F26" i="11"/>
  <c r="F31" i="11"/>
  <c r="F32" i="11"/>
  <c r="F40" i="11"/>
  <c r="F43" i="11"/>
  <c r="F44" i="11"/>
  <c r="F49" i="11"/>
  <c r="F55" i="11"/>
  <c r="F53" i="11"/>
  <c r="F30" i="11"/>
  <c r="F38" i="11"/>
  <c r="F27" i="11"/>
  <c r="F35" i="11"/>
  <c r="F41" i="11"/>
  <c r="F51" i="11"/>
  <c r="F34" i="11"/>
  <c r="F39" i="11"/>
  <c r="F46" i="11"/>
  <c r="F52" i="11"/>
  <c r="F29" i="11"/>
  <c r="F33" i="11"/>
  <c r="F37" i="11"/>
  <c r="F42" i="11"/>
  <c r="F45" i="11"/>
  <c r="F50" i="11"/>
  <c r="F54" i="11"/>
  <c r="F36" i="11"/>
  <c r="F48" i="11"/>
  <c r="D15" i="11"/>
  <c r="D17" i="11"/>
  <c r="D34" i="11"/>
  <c r="D21" i="14"/>
  <c r="D24" i="11"/>
  <c r="D35" i="14"/>
  <c r="D22" i="14"/>
  <c r="D32" i="11"/>
  <c r="D27" i="14"/>
  <c r="D20" i="11"/>
  <c r="D30" i="11"/>
  <c r="D47" i="14"/>
  <c r="D13" i="11"/>
  <c r="D11" i="11"/>
  <c r="D37" i="11"/>
  <c r="D7" i="14"/>
  <c r="N7" i="14" s="1"/>
  <c r="W7" i="14" s="1"/>
  <c r="D21" i="11"/>
  <c r="D9" i="11"/>
  <c r="D4" i="11"/>
  <c r="N4" i="11" s="1"/>
  <c r="Y4" i="11" s="1"/>
  <c r="D31" i="14"/>
  <c r="D24" i="14"/>
  <c r="D22" i="11"/>
  <c r="D29" i="11"/>
  <c r="D7" i="11"/>
  <c r="D39" i="14"/>
  <c r="D35" i="11"/>
  <c r="D19" i="11"/>
  <c r="D33" i="11"/>
  <c r="D5" i="11"/>
  <c r="D4" i="14"/>
  <c r="N4" i="14" s="1"/>
  <c r="W4" i="14" s="1"/>
  <c r="D32" i="14"/>
  <c r="D25" i="14"/>
  <c r="D36" i="11"/>
  <c r="D6" i="14"/>
  <c r="N6" i="14" s="1"/>
  <c r="W6" i="14" s="1"/>
  <c r="D36" i="14"/>
  <c r="D33" i="14"/>
  <c r="D31" i="11"/>
  <c r="D18" i="11"/>
  <c r="D25" i="11"/>
  <c r="D37" i="14"/>
  <c r="D15" i="14"/>
  <c r="D16" i="14"/>
  <c r="D23" i="11"/>
  <c r="D26" i="11"/>
  <c r="D14" i="11"/>
  <c r="D27" i="11"/>
  <c r="D46" i="11"/>
  <c r="F4" i="14"/>
  <c r="F7" i="14"/>
  <c r="F23" i="14"/>
  <c r="F26" i="14"/>
  <c r="F30" i="14"/>
  <c r="F35" i="14"/>
  <c r="F42" i="14"/>
  <c r="F45" i="14"/>
  <c r="F52" i="14"/>
  <c r="F15" i="14"/>
  <c r="F24" i="14"/>
  <c r="F32" i="14"/>
  <c r="F47" i="14"/>
  <c r="F54" i="14"/>
  <c r="F6" i="14"/>
  <c r="F22" i="14"/>
  <c r="F29" i="14"/>
  <c r="F44" i="14"/>
  <c r="F48" i="14"/>
  <c r="F55" i="14"/>
  <c r="F5" i="14"/>
  <c r="F9" i="14"/>
  <c r="F14" i="14"/>
  <c r="F27" i="14"/>
  <c r="F31" i="14"/>
  <c r="F36" i="14"/>
  <c r="F46" i="14"/>
  <c r="F50" i="14"/>
  <c r="F53" i="14"/>
  <c r="F3" i="14"/>
  <c r="F21" i="14"/>
  <c r="F28" i="14"/>
  <c r="F37" i="14"/>
  <c r="F43" i="14"/>
  <c r="F16" i="14"/>
  <c r="F25" i="14"/>
  <c r="F33" i="14"/>
  <c r="F39" i="14"/>
  <c r="F51" i="14"/>
  <c r="D53" i="11"/>
  <c r="N53" i="11" s="1"/>
  <c r="Z53" i="11" s="1"/>
  <c r="D42" i="11"/>
  <c r="D5" i="14"/>
  <c r="N5" i="14" s="1"/>
  <c r="W5" i="14" s="1"/>
  <c r="D3" i="11"/>
  <c r="N3" i="11" s="1"/>
  <c r="Y3" i="11" s="1"/>
  <c r="D55" i="11"/>
  <c r="N55" i="11" s="1"/>
  <c r="Z55" i="11" s="1"/>
  <c r="D48" i="11"/>
  <c r="D46" i="14"/>
  <c r="D44" i="14"/>
  <c r="D48" i="14"/>
  <c r="D49" i="11"/>
  <c r="D40" i="11"/>
  <c r="D54" i="11"/>
  <c r="N54" i="11" s="1"/>
  <c r="D45" i="11"/>
  <c r="D50" i="14"/>
  <c r="D51" i="14"/>
  <c r="D54" i="14"/>
  <c r="D44" i="11"/>
  <c r="D39" i="11"/>
  <c r="D38" i="11"/>
  <c r="D53" i="14"/>
  <c r="D43" i="14"/>
  <c r="D52" i="14"/>
  <c r="D43" i="11"/>
  <c r="D41" i="11"/>
  <c r="D52" i="11"/>
  <c r="N52" i="11" s="1"/>
  <c r="Z52" i="11" s="1"/>
  <c r="D51" i="11"/>
  <c r="N51" i="11" s="1"/>
  <c r="Z51" i="11" s="1"/>
  <c r="D50" i="11"/>
  <c r="D55" i="14"/>
  <c r="D26" i="14"/>
  <c r="D14" i="14"/>
  <c r="D9" i="14"/>
  <c r="D8" i="11"/>
  <c r="D6" i="11"/>
  <c r="D28" i="14"/>
  <c r="D23" i="14"/>
  <c r="D10" i="11"/>
  <c r="D30" i="14"/>
  <c r="D42" i="14"/>
  <c r="D17" i="14"/>
  <c r="D29" i="14"/>
  <c r="D45" i="14"/>
  <c r="Z54" i="11" l="1"/>
  <c r="Y54" i="11"/>
  <c r="Z3" i="11"/>
  <c r="Z4" i="11"/>
  <c r="W3" i="14"/>
  <c r="V5" i="14"/>
  <c r="V7" i="14"/>
  <c r="V4" i="14"/>
  <c r="V6" i="14"/>
  <c r="Y57" i="11"/>
  <c r="N8" i="14"/>
  <c r="W8" i="14" s="1"/>
  <c r="N9" i="14"/>
  <c r="W9" i="14" s="1"/>
  <c r="N18" i="14"/>
  <c r="W18" i="14" s="1"/>
  <c r="N11" i="14"/>
  <c r="W11" i="14" s="1"/>
  <c r="N13" i="14"/>
  <c r="W13" i="14" s="1"/>
  <c r="N38" i="14"/>
  <c r="W38" i="14" s="1"/>
  <c r="N12" i="14"/>
  <c r="W12" i="14" s="1"/>
  <c r="N34" i="14"/>
  <c r="W34" i="14" s="1"/>
  <c r="N10" i="14"/>
  <c r="W10" i="14" s="1"/>
  <c r="N20" i="14"/>
  <c r="W20" i="14" s="1"/>
  <c r="N19" i="14"/>
  <c r="W19" i="14" s="1"/>
  <c r="N56" i="14"/>
  <c r="N9" i="11"/>
  <c r="Z9" i="11" s="1"/>
  <c r="Y51" i="11"/>
  <c r="N32" i="11"/>
  <c r="Z32" i="11" s="1"/>
  <c r="N6" i="11"/>
  <c r="Z6" i="11" s="1"/>
  <c r="N25" i="11"/>
  <c r="Z25" i="11" s="1"/>
  <c r="N29" i="11"/>
  <c r="Z29" i="11" s="1"/>
  <c r="N37" i="11"/>
  <c r="Z37" i="11" s="1"/>
  <c r="Y56" i="11"/>
  <c r="N10" i="11"/>
  <c r="Z10" i="11" s="1"/>
  <c r="N21" i="11"/>
  <c r="Z21" i="11" s="1"/>
  <c r="N7" i="11"/>
  <c r="Z7" i="11" s="1"/>
  <c r="Y52" i="11"/>
  <c r="Y53" i="11"/>
  <c r="N8" i="11"/>
  <c r="Z8" i="11" s="1"/>
  <c r="N27" i="11"/>
  <c r="Z27" i="11" s="1"/>
  <c r="N18" i="11"/>
  <c r="Z18" i="11" s="1"/>
  <c r="N22" i="11"/>
  <c r="Z22" i="11" s="1"/>
  <c r="N11" i="11"/>
  <c r="Z11" i="11" s="1"/>
  <c r="N17" i="11"/>
  <c r="Z17" i="11" s="1"/>
  <c r="N12" i="11"/>
  <c r="Z12" i="11" s="1"/>
  <c r="Y58" i="11"/>
  <c r="Y59" i="11"/>
  <c r="N20" i="11"/>
  <c r="Z20" i="11" s="1"/>
  <c r="N36" i="11"/>
  <c r="Z36" i="11" s="1"/>
  <c r="N15" i="11"/>
  <c r="Z15" i="11" s="1"/>
  <c r="N31" i="11"/>
  <c r="Z31" i="11" s="1"/>
  <c r="N24" i="11"/>
  <c r="Z24" i="11" s="1"/>
  <c r="N26" i="11"/>
  <c r="Z26" i="11" s="1"/>
  <c r="N33" i="11"/>
  <c r="Z33" i="11" s="1"/>
  <c r="N38" i="11"/>
  <c r="Z38" i="11" s="1"/>
  <c r="N14" i="11"/>
  <c r="Z14" i="11" s="1"/>
  <c r="N5" i="11"/>
  <c r="Z5" i="11" s="1"/>
  <c r="N13" i="11"/>
  <c r="Z13" i="11" s="1"/>
  <c r="Y55" i="11"/>
  <c r="N23" i="11"/>
  <c r="Z23" i="11" s="1"/>
  <c r="N19" i="11"/>
  <c r="Z19" i="11" s="1"/>
  <c r="N30" i="11"/>
  <c r="Z30" i="11" s="1"/>
  <c r="N34" i="11"/>
  <c r="Z34" i="11" s="1"/>
  <c r="N28" i="11"/>
  <c r="Z28" i="11" s="1"/>
  <c r="N16" i="11"/>
  <c r="Z16" i="11" s="1"/>
  <c r="N35" i="11"/>
  <c r="Z35" i="11" s="1"/>
  <c r="N39" i="14"/>
  <c r="W39" i="14" s="1"/>
  <c r="N37" i="14"/>
  <c r="W37" i="14" s="1"/>
  <c r="N25" i="14"/>
  <c r="W25" i="14" s="1"/>
  <c r="N27" i="14"/>
  <c r="W27" i="14" s="1"/>
  <c r="N32" i="14"/>
  <c r="W32" i="14" s="1"/>
  <c r="N22" i="14"/>
  <c r="W22" i="14" s="1"/>
  <c r="N29" i="14"/>
  <c r="W29" i="14" s="1"/>
  <c r="N35" i="14"/>
  <c r="W35" i="14" s="1"/>
  <c r="N40" i="14"/>
  <c r="W40" i="14" s="1"/>
  <c r="N17" i="14"/>
  <c r="W17" i="14" s="1"/>
  <c r="N24" i="14"/>
  <c r="W24" i="14" s="1"/>
  <c r="N33" i="14"/>
  <c r="W33" i="14" s="1"/>
  <c r="N31" i="14"/>
  <c r="W31" i="14" s="1"/>
  <c r="N21" i="14"/>
  <c r="W21" i="14" s="1"/>
  <c r="N41" i="14"/>
  <c r="W41" i="14" s="1"/>
  <c r="N28" i="14"/>
  <c r="W28" i="14" s="1"/>
  <c r="N14" i="14"/>
  <c r="W14" i="14" s="1"/>
  <c r="N30" i="14"/>
  <c r="W30" i="14" s="1"/>
  <c r="N26" i="14"/>
  <c r="W26" i="14" s="1"/>
  <c r="N36" i="14"/>
  <c r="W36" i="14" s="1"/>
  <c r="N23" i="14"/>
  <c r="W23" i="14" s="1"/>
  <c r="N15" i="14"/>
  <c r="W15" i="14" s="1"/>
  <c r="N16" i="14"/>
  <c r="W16" i="14" s="1"/>
  <c r="U22" i="14"/>
  <c r="U30" i="14"/>
  <c r="U27" i="14"/>
  <c r="U7" i="14"/>
  <c r="U28" i="14"/>
  <c r="U20" i="14"/>
  <c r="U37" i="14"/>
  <c r="U8" i="14"/>
  <c r="U21" i="14"/>
  <c r="U36" i="14"/>
  <c r="U24" i="14"/>
  <c r="U19" i="14"/>
  <c r="U9" i="14"/>
  <c r="U29" i="14"/>
  <c r="U6" i="14"/>
  <c r="U32" i="14"/>
  <c r="U18" i="14"/>
  <c r="U11" i="14"/>
  <c r="U39" i="14"/>
  <c r="U23" i="14"/>
  <c r="U14" i="14"/>
  <c r="U34" i="14"/>
  <c r="U13" i="14"/>
  <c r="U38" i="14"/>
  <c r="U33" i="14"/>
  <c r="U31" i="14"/>
  <c r="U26" i="14"/>
  <c r="U12" i="14"/>
  <c r="U4" i="14"/>
  <c r="U25" i="14"/>
  <c r="U16" i="14"/>
  <c r="U10" i="14"/>
  <c r="U56" i="14"/>
  <c r="U17" i="14"/>
  <c r="U5" i="14"/>
  <c r="U35" i="14"/>
  <c r="U15" i="14"/>
  <c r="U3" i="14"/>
  <c r="W56" i="14" l="1"/>
  <c r="V56" i="14"/>
  <c r="Y12" i="11"/>
  <c r="V24" i="14"/>
  <c r="V10" i="14"/>
  <c r="V17" i="14"/>
  <c r="V39" i="14"/>
  <c r="V28" i="14"/>
  <c r="V35" i="14"/>
  <c r="V38" i="14"/>
  <c r="V26" i="14"/>
  <c r="V34" i="14"/>
  <c r="V14" i="14"/>
  <c r="V16" i="14"/>
  <c r="V41" i="14"/>
  <c r="V29" i="14"/>
  <c r="V13" i="14"/>
  <c r="V8" i="14"/>
  <c r="V30" i="14"/>
  <c r="V15" i="14"/>
  <c r="V21" i="14"/>
  <c r="V22" i="14"/>
  <c r="V11" i="14"/>
  <c r="V40" i="14"/>
  <c r="V23" i="14"/>
  <c r="V31" i="14"/>
  <c r="V32" i="14"/>
  <c r="V19" i="14"/>
  <c r="V18" i="14"/>
  <c r="V25" i="14"/>
  <c r="V37" i="14"/>
  <c r="V12" i="14"/>
  <c r="V36" i="14"/>
  <c r="V33" i="14"/>
  <c r="V27" i="14"/>
  <c r="V20" i="14"/>
  <c r="V9" i="14"/>
  <c r="Y35" i="11"/>
  <c r="Y16" i="11"/>
  <c r="Y18" i="11"/>
  <c r="Y37" i="11"/>
  <c r="Y34" i="11"/>
  <c r="Y38" i="11"/>
  <c r="Y8" i="11"/>
  <c r="Y29" i="11"/>
  <c r="Y15" i="11"/>
  <c r="Y36" i="11"/>
  <c r="Y27" i="11"/>
  <c r="Y33" i="11"/>
  <c r="Y25" i="11"/>
  <c r="Y13" i="11"/>
  <c r="Y9" i="11"/>
  <c r="Y5" i="11"/>
  <c r="Y28" i="11"/>
  <c r="Y30" i="11"/>
  <c r="Y19" i="11"/>
  <c r="Y26" i="11"/>
  <c r="Y6" i="11"/>
  <c r="Y10" i="11"/>
  <c r="Y20" i="11"/>
  <c r="Y23" i="11"/>
  <c r="Y24" i="11"/>
  <c r="Y17" i="11"/>
  <c r="Y7" i="11"/>
  <c r="Y32" i="11"/>
  <c r="Y22" i="11"/>
  <c r="Y14" i="11"/>
  <c r="Y31" i="11"/>
  <c r="Y11" i="11"/>
  <c r="Y21" i="11"/>
</calcChain>
</file>

<file path=xl/sharedStrings.xml><?xml version="1.0" encoding="utf-8"?>
<sst xmlns="http://schemas.openxmlformats.org/spreadsheetml/2006/main" count="2197" uniqueCount="698">
  <si>
    <t>Check ID</t>
  </si>
  <si>
    <t>Tab</t>
  </si>
  <si>
    <t>Data point (Row/Column)</t>
  </si>
  <si>
    <t>Data point (Label)</t>
  </si>
  <si>
    <t>Prerequisite / Dependency</t>
  </si>
  <si>
    <t>0001</t>
  </si>
  <si>
    <t>Row number</t>
  </si>
  <si>
    <t>Missing value. The field must be reported.</t>
  </si>
  <si>
    <t>0002</t>
  </si>
  <si>
    <t>Unique identification number (known to the counterparty)</t>
  </si>
  <si>
    <t>0003</t>
  </si>
  <si>
    <t>0004</t>
  </si>
  <si>
    <t>0005</t>
  </si>
  <si>
    <t xml:space="preserve">Contract Currency </t>
  </si>
  <si>
    <t>0006</t>
  </si>
  <si>
    <t>0007</t>
  </si>
  <si>
    <t>0008</t>
  </si>
  <si>
    <t xml:space="preserve">Accrued interest </t>
  </si>
  <si>
    <t>0009</t>
  </si>
  <si>
    <t>Applicable fees and charges</t>
  </si>
  <si>
    <t>0010</t>
  </si>
  <si>
    <t xml:space="preserve">Outstanding amount </t>
  </si>
  <si>
    <t>0011</t>
  </si>
  <si>
    <t>0012</t>
  </si>
  <si>
    <t>Nature of the liability</t>
  </si>
  <si>
    <t>0013</t>
  </si>
  <si>
    <t>Nature of the liability (if other)</t>
  </si>
  <si>
    <t>0014</t>
  </si>
  <si>
    <t xml:space="preserve">Insolvency ranking </t>
  </si>
  <si>
    <t>0015</t>
  </si>
  <si>
    <t xml:space="preserve">Date of the next interest payment </t>
  </si>
  <si>
    <t>0016</t>
  </si>
  <si>
    <t xml:space="preserve">Earliest redemption date </t>
  </si>
  <si>
    <t>0017</t>
  </si>
  <si>
    <t>Legal maturity</t>
  </si>
  <si>
    <t>0018</t>
  </si>
  <si>
    <t>Governing law</t>
  </si>
  <si>
    <t>0019</t>
  </si>
  <si>
    <t>0020</t>
  </si>
  <si>
    <t>Structured product</t>
  </si>
  <si>
    <t>0021</t>
  </si>
  <si>
    <t>Guaranteed minimum repayment amount of the structured product</t>
  </si>
  <si>
    <t>0022</t>
  </si>
  <si>
    <t>0023</t>
  </si>
  <si>
    <t>Covered portion of eligible deposits</t>
  </si>
  <si>
    <t>0024</t>
  </si>
  <si>
    <t>Secured/Unsecured</t>
  </si>
  <si>
    <t>0025</t>
  </si>
  <si>
    <t>0026</t>
  </si>
  <si>
    <t>0027</t>
  </si>
  <si>
    <t>Type of the collateral</t>
  </si>
  <si>
    <t>0028</t>
  </si>
  <si>
    <t>Type of the collateral (if other)</t>
  </si>
  <si>
    <t>0029</t>
  </si>
  <si>
    <t>0030</t>
  </si>
  <si>
    <t>0031</t>
  </si>
  <si>
    <t>0032</t>
  </si>
  <si>
    <t>Accrued interest per security</t>
  </si>
  <si>
    <t>0033</t>
  </si>
  <si>
    <t>0034</t>
  </si>
  <si>
    <t>Counterparty Type</t>
  </si>
  <si>
    <t>0035</t>
  </si>
  <si>
    <t>0036</t>
  </si>
  <si>
    <t>0037</t>
  </si>
  <si>
    <t>Carrying amount IFRS</t>
  </si>
  <si>
    <t>0038</t>
  </si>
  <si>
    <t>B02.00</t>
  </si>
  <si>
    <t>0039</t>
  </si>
  <si>
    <t>0040</t>
  </si>
  <si>
    <t>Unique identification number of the netting set known to the counterparty</t>
  </si>
  <si>
    <t>0041</t>
  </si>
  <si>
    <t>Insolvency ranking</t>
  </si>
  <si>
    <t>0042</t>
  </si>
  <si>
    <t>Master agreement ID</t>
  </si>
  <si>
    <t>0043</t>
  </si>
  <si>
    <t>Governing law of the Master agreement</t>
  </si>
  <si>
    <t>0044</t>
  </si>
  <si>
    <t xml:space="preserve">Net mark-to-market value </t>
  </si>
  <si>
    <t>0045</t>
  </si>
  <si>
    <t xml:space="preserve">Estimated early termination amount </t>
  </si>
  <si>
    <t>0046</t>
  </si>
  <si>
    <t>0047</t>
  </si>
  <si>
    <t>B03.00</t>
  </si>
  <si>
    <t>0048</t>
  </si>
  <si>
    <t>0049</t>
  </si>
  <si>
    <t>0050</t>
  </si>
  <si>
    <t>0051</t>
  </si>
  <si>
    <t>0052</t>
  </si>
  <si>
    <t>0053</t>
  </si>
  <si>
    <t>0054</t>
  </si>
  <si>
    <t>Level 2 Validation Rules: internal consistency checks.</t>
  </si>
  <si>
    <t>Drop down</t>
  </si>
  <si>
    <t>Drop down values must be respected.</t>
  </si>
  <si>
    <t>The drop down values must be respected.</t>
  </si>
  <si>
    <t>Original amount issued in EUR</t>
  </si>
  <si>
    <t>Check if the reported field is higher than 0.</t>
  </si>
  <si>
    <t>Currencies must be reported using the 3-letters ISO 4217 code.</t>
  </si>
  <si>
    <t>Check if the reported field is higher than or equal 0.</t>
  </si>
  <si>
    <t>The reported amount must be positive or zero.</t>
  </si>
  <si>
    <t>Leave blank</t>
  </si>
  <si>
    <t>The reported amount should be positive or zero.</t>
  </si>
  <si>
    <t>The reported amount should be positive.</t>
  </si>
  <si>
    <t>Structurally subordinated</t>
  </si>
  <si>
    <t>The reported value must be a date (yyyy-mm-gg).</t>
  </si>
  <si>
    <t>The reported value must be after the reference date reported in B99.00 (c0070).</t>
  </si>
  <si>
    <t>Check if the reported field respects the ISO 3166-1 alpha-2 code.</t>
  </si>
  <si>
    <t>Governing law must be reported using the ISO 3166-1 alpha-2 code.</t>
  </si>
  <si>
    <t>"Not applicable" must be reported.</t>
  </si>
  <si>
    <t>c0310 = "Unsecured"</t>
  </si>
  <si>
    <t>The field must be "Not applicable" if c0310 is unsecured.</t>
  </si>
  <si>
    <t>Nature of the global note</t>
  </si>
  <si>
    <t>0055</t>
  </si>
  <si>
    <t>The field must be reported using the ISO 3166-1 alpha-2 code.</t>
  </si>
  <si>
    <t>0056</t>
  </si>
  <si>
    <t>0057</t>
  </si>
  <si>
    <t>0058</t>
  </si>
  <si>
    <t>0059</t>
  </si>
  <si>
    <t>0060</t>
  </si>
  <si>
    <t>Amount of the security interest provided</t>
  </si>
  <si>
    <t xml:space="preserve">Type of security interest provided by a third party </t>
  </si>
  <si>
    <t>Collateral for an asset position</t>
  </si>
  <si>
    <t>Instrument/liability is issued to or bought by an existing shareholder that is not part of the same resolution group</t>
  </si>
  <si>
    <t>Instrument/liability meets the requirements of Art. 21(7a) SRMR</t>
  </si>
  <si>
    <t>0070</t>
  </si>
  <si>
    <t xml:space="preserve">Net value of collateral posted </t>
  </si>
  <si>
    <t xml:space="preserve">Estimated close-out amount </t>
  </si>
  <si>
    <t>0080</t>
  </si>
  <si>
    <t>Check if the reported field is equal to: c0080 - c0090 + c0100.</t>
  </si>
  <si>
    <t>0090</t>
  </si>
  <si>
    <t>B04.00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</si>
  <si>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</si>
  <si>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</si>
  <si>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</si>
  <si>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</si>
  <si>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</si>
  <si>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c0070 = "Secured"</t>
  </si>
  <si>
    <t>0100</t>
  </si>
  <si>
    <t>Guarantee trigger</t>
  </si>
  <si>
    <t>B05.00</t>
  </si>
  <si>
    <t>Tech</t>
  </si>
  <si>
    <t>DP</t>
  </si>
  <si>
    <t>Column</t>
  </si>
  <si>
    <t>Label</t>
  </si>
  <si>
    <t>Unique internal identification number</t>
  </si>
  <si>
    <t>0110</t>
  </si>
  <si>
    <t>0120</t>
  </si>
  <si>
    <t>0130</t>
  </si>
  <si>
    <t>0140</t>
  </si>
  <si>
    <t>0141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</si>
  <si>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</si>
  <si>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</si>
  <si>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</si>
  <si>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</si>
  <si>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</si>
  <si>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</si>
  <si>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</si>
  <si>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</si>
  <si>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</si>
  <si>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</si>
  <si>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</si>
  <si>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</si>
  <si>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</si>
  <si>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CCP cleared</t>
  </si>
  <si>
    <t>0280</t>
  </si>
  <si>
    <t>Not covered and not preferential deposit</t>
  </si>
  <si>
    <t>0290</t>
  </si>
  <si>
    <t>Not covered but preferential deposit</t>
  </si>
  <si>
    <t>0300</t>
  </si>
  <si>
    <t>0310</t>
  </si>
  <si>
    <t>0320</t>
  </si>
  <si>
    <t>0330</t>
  </si>
  <si>
    <t>0340</t>
  </si>
  <si>
    <t>Internal identification number of the pledge, lien or collateral/collateral pool</t>
  </si>
  <si>
    <t>0350</t>
  </si>
  <si>
    <t>0360</t>
  </si>
  <si>
    <t>0370</t>
  </si>
  <si>
    <t>0380</t>
  </si>
  <si>
    <t>0390</t>
  </si>
  <si>
    <t>0391</t>
  </si>
  <si>
    <t>0400</t>
  </si>
  <si>
    <t>0410</t>
  </si>
  <si>
    <t>0420</t>
  </si>
  <si>
    <t>Principal amount of the global note in EUR</t>
  </si>
  <si>
    <t>0430</t>
  </si>
  <si>
    <t>0440</t>
  </si>
  <si>
    <t>0450</t>
  </si>
  <si>
    <t>0460</t>
  </si>
  <si>
    <t xml:space="preserve">Central securities depository </t>
  </si>
  <si>
    <t>0461</t>
  </si>
  <si>
    <t>Central securities depository (LEI)</t>
  </si>
  <si>
    <t>0470</t>
  </si>
  <si>
    <t>0471</t>
  </si>
  <si>
    <t>0480</t>
  </si>
  <si>
    <t>0481</t>
  </si>
  <si>
    <t>0490</t>
  </si>
  <si>
    <t>Registrar for information about creditors/holders</t>
  </si>
  <si>
    <t>0491</t>
  </si>
  <si>
    <t>Registrar for information about creditors/holders (LEI)</t>
  </si>
  <si>
    <t>0500</t>
  </si>
  <si>
    <t>National Numbering Agency</t>
  </si>
  <si>
    <t>0501</t>
  </si>
  <si>
    <t>National Numbering Agency (LEI)</t>
  </si>
  <si>
    <t>0510</t>
  </si>
  <si>
    <t>Common Depository</t>
  </si>
  <si>
    <t>0511</t>
  </si>
  <si>
    <t>Common Depository (LEI)</t>
  </si>
  <si>
    <t>0520</t>
  </si>
  <si>
    <t>Common Service Provider</t>
  </si>
  <si>
    <t>0521</t>
  </si>
  <si>
    <t>Common Service Provider (LEI)</t>
  </si>
  <si>
    <t>0530</t>
  </si>
  <si>
    <t>Counterparty identifier (preferably LEI)</t>
  </si>
  <si>
    <t>Internal identifier of the counterparty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</si>
  <si>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</si>
  <si>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</si>
  <si>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</si>
  <si>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</si>
  <si>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</si>
  <si>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</si>
  <si>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</si>
  <si>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</si>
  <si>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</si>
  <si>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Security interest provider (Name)</t>
  </si>
  <si>
    <t>Security interest provider (LEI)</t>
  </si>
  <si>
    <t>0630</t>
  </si>
  <si>
    <t>0640</t>
  </si>
  <si>
    <t>Carrying amount national GAAP</t>
  </si>
  <si>
    <t>5000</t>
  </si>
  <si>
    <t>5010</t>
  </si>
  <si>
    <t>Identifier of the securities used as a collateral for the guarantee</t>
  </si>
  <si>
    <t>Type of collateralization</t>
  </si>
  <si>
    <t>Value of collateral</t>
  </si>
  <si>
    <t xml:space="preserve">Type of protection value </t>
  </si>
  <si>
    <t>Date of the valuation of the security</t>
  </si>
  <si>
    <t>Protection valuation approach</t>
  </si>
  <si>
    <t>Identifier of the guarantee</t>
  </si>
  <si>
    <t>Amount of the external liabilities</t>
  </si>
  <si>
    <t>Fees and charges per security</t>
  </si>
  <si>
    <t>Bail-in recognition clause</t>
  </si>
  <si>
    <t>Balance sheet item according to IFRS</t>
  </si>
  <si>
    <t>Data type</t>
  </si>
  <si>
    <t>Numeric</t>
  </si>
  <si>
    <t>String</t>
  </si>
  <si>
    <t>Date</t>
  </si>
  <si>
    <t>Data point type</t>
  </si>
  <si>
    <t>Input "XXX"</t>
  </si>
  <si>
    <t>Check if the reported field respect the 3-letters ISO 4217 code.</t>
  </si>
  <si>
    <t>yyyy-mm-dd</t>
  </si>
  <si>
    <t>Relevant amount for Bail-in/WDC</t>
  </si>
  <si>
    <t>Type of counterparty identifier</t>
  </si>
  <si>
    <t>Estimated close-out amount</t>
  </si>
  <si>
    <t>Estimated early termination amount</t>
  </si>
  <si>
    <t>Check if the reported field respects the ISO 3166-1 alpha-2 code or 3166-2</t>
  </si>
  <si>
    <t>Bail-in cascade</t>
  </si>
  <si>
    <t>0161</t>
  </si>
  <si>
    <t>Net mark-to-market value</t>
  </si>
  <si>
    <t>Integer</t>
  </si>
  <si>
    <t>Free text</t>
  </si>
  <si>
    <t>Drop-down</t>
  </si>
  <si>
    <t>2 decimals</t>
  </si>
  <si>
    <t>3-letters ISO 4217</t>
  </si>
  <si>
    <t>Fixed values</t>
  </si>
  <si>
    <t>ISO 3166-1 alpha 2 / ISO 3166-2</t>
  </si>
  <si>
    <t>TRUE / FALSE boolean</t>
  </si>
  <si>
    <t>4 decimals</t>
  </si>
  <si>
    <t xml:space="preserve">ISO 3166-1 </t>
  </si>
  <si>
    <t>B06.00</t>
  </si>
  <si>
    <t xml:space="preserve">Contract currency </t>
  </si>
  <si>
    <t>Outstanding principal amount</t>
  </si>
  <si>
    <t>Contractual subordination</t>
  </si>
  <si>
    <t>Date of issuance</t>
  </si>
  <si>
    <t>Date of the next (partial) redemption payment</t>
  </si>
  <si>
    <t>Zero-Coupon</t>
  </si>
  <si>
    <t>Amount of pledge, lien or collateral based on the current internal valuation</t>
  </si>
  <si>
    <t>Amount of the uncollateralized part</t>
  </si>
  <si>
    <t>Trading method</t>
  </si>
  <si>
    <t>Fair value per security</t>
  </si>
  <si>
    <t>Current pool factor</t>
  </si>
  <si>
    <t>Trading venue</t>
  </si>
  <si>
    <t>Trading venue (LEI)</t>
  </si>
  <si>
    <t>Counterparty name</t>
  </si>
  <si>
    <t>Counterparty type</t>
  </si>
  <si>
    <t>Country of the counterparty</t>
  </si>
  <si>
    <t>0162</t>
  </si>
  <si>
    <t>0351</t>
  </si>
  <si>
    <t>0431</t>
  </si>
  <si>
    <t>Free text, but fixed values for specific items</t>
  </si>
  <si>
    <t>Governing law of the Master Agreement</t>
  </si>
  <si>
    <t>Legal maturity date of the collateral</t>
  </si>
  <si>
    <t>Identifier of the intragroup liability subscribed by the SPV</t>
  </si>
  <si>
    <t>Rule applicable only if c0140 = "Other".</t>
  </si>
  <si>
    <t>Missing value (warning). The field should be reported if c0350 = "Other".</t>
  </si>
  <si>
    <t>Rule applicable only if c0310 = "Secured"</t>
  </si>
  <si>
    <t>Rule applicable only if c0350 = "Other"</t>
  </si>
  <si>
    <t>Denomination / Nominal value per security in EUR</t>
  </si>
  <si>
    <t>Denomination / Nominal value per security in original currency</t>
  </si>
  <si>
    <t>Portion of instrument or liability held by the reporting entity</t>
  </si>
  <si>
    <t>Number of securities outstanding not held by the reporting entity</t>
  </si>
  <si>
    <t>Number of securities outstanding held by the reporting entity</t>
  </si>
  <si>
    <t>Balance sheet item according to national GAAP</t>
  </si>
  <si>
    <t>Original amount issued in original currency</t>
  </si>
  <si>
    <t>Principal amount of the global note in original currency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</si>
  <si>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</si>
  <si>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</si>
  <si>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Check if the reported field is  equal 0.</t>
  </si>
  <si>
    <t>Numeric values from 1 onwards must be reported.</t>
  </si>
  <si>
    <t>The reported value must be before the Date of the next (partial) redemption payment (c0190) and the earliest redemption date (c0200).</t>
  </si>
  <si>
    <t>(Mandated) paying agent</t>
  </si>
  <si>
    <t>(Mandated) paying agent (LEI)</t>
  </si>
  <si>
    <t>0462</t>
  </si>
  <si>
    <t>Central securities depository name (if other)</t>
  </si>
  <si>
    <t>Missing value. The field must be reported for Non-Resolution Entities.</t>
  </si>
  <si>
    <t>ISDA Protocol Resolution Stay of the reporting entity</t>
  </si>
  <si>
    <t>Check if the reported field respects the ISO 3166-1 alpha-2 code or 3166-2.</t>
  </si>
  <si>
    <t>The field must be reported using the ISO 3166-1 alpha-2 code or 3166-2.</t>
  </si>
  <si>
    <t>The reported amount should be positive or zero. Negative amounts should be duly justified by the reporting entity.</t>
  </si>
  <si>
    <t>The field must be reported using the ISO 3166-1 alpha-2 or 3166-2 code.</t>
  </si>
  <si>
    <t>Fair value of the structured product</t>
  </si>
  <si>
    <t>Data type label</t>
  </si>
  <si>
    <t>Type of constrain</t>
  </si>
  <si>
    <t>Input "0001-01-01"</t>
  </si>
  <si>
    <t>Input the final legal maturity of the liability (c0210)</t>
  </si>
  <si>
    <t>Input 999999999999999</t>
  </si>
  <si>
    <t>Input "Not applicable"</t>
  </si>
  <si>
    <t>Input "99"</t>
  </si>
  <si>
    <t>Treatment of "Not applicable" (if cell is grey out, input is not expected)</t>
  </si>
  <si>
    <t>Treatment of "Not available" (if cell is grey out, input is not expected)</t>
  </si>
  <si>
    <t>Type of the unique identifier (known to the counterparty)</t>
  </si>
  <si>
    <t>Amount of guarantee provided by the Resolution Entity</t>
  </si>
  <si>
    <t>Unique (internal) identifier of the guarantee provided to the Non-Resolution Entity</t>
  </si>
  <si>
    <t>Values between 0 and 1, with 9 decimals</t>
  </si>
  <si>
    <t>Input -9999.999999999</t>
  </si>
  <si>
    <t>Type of own funds at individual level</t>
  </si>
  <si>
    <t>Eligible amount for own funds at individual level</t>
  </si>
  <si>
    <t>Type of own funds at consolidated level</t>
  </si>
  <si>
    <t xml:space="preserve">Eligible amount for own funds at consolidated level </t>
  </si>
  <si>
    <t>Numeric integer values from 1 onwards must be reported.</t>
  </si>
  <si>
    <t>Recognition Resolution Stay of counterparty</t>
  </si>
  <si>
    <t>Positive values are allowed in case intragroup liabilities do not meet the conditions set forth in article 44(2)h BRRD and should be duly justified by the reporting entity</t>
  </si>
  <si>
    <t>Check if the reported field is equal or higher than 0.</t>
  </si>
  <si>
    <t>The reported amount should be equal or higher than zero.</t>
  </si>
  <si>
    <t>c0080 &gt; c0090</t>
  </si>
  <si>
    <t>Check if the reported field is equal to zero</t>
  </si>
  <si>
    <t>The reported field should be equal to zero for fully collateralised derivatives.</t>
  </si>
  <si>
    <t>B90.00</t>
  </si>
  <si>
    <t>Tab of origin</t>
  </si>
  <si>
    <t>0581</t>
  </si>
  <si>
    <t>c0080 ≠ "XX" OR "99"</t>
  </si>
  <si>
    <t>Type of test</t>
  </si>
  <si>
    <t>Test for missing values.</t>
  </si>
  <si>
    <t>X</t>
  </si>
  <si>
    <t xml:space="preserve">Test for missing values. </t>
  </si>
  <si>
    <t>Missing value. The field must be reported for securities.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</si>
  <si>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</si>
  <si>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</si>
  <si>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>Missing value. For non-structured liabilities, this field must be reported.</t>
  </si>
  <si>
    <t>Missing value (warning only). For structured liabilities, this field should  be reported only if the information exists..</t>
  </si>
  <si>
    <t>Missing value. The field must be reported if option "Other" has been selected in c0140.</t>
  </si>
  <si>
    <t>Missing value. The field must be reported for structured products.</t>
  </si>
  <si>
    <t>Rule applicable only if c0280 = "TRUE" or c0290 = "TRUE".</t>
  </si>
  <si>
    <t>if {B99.00;c0060} = "Non-Resolution Entity"</t>
  </si>
  <si>
    <t>Type of test
(missing values means "not applicable" or "not available")</t>
  </si>
  <si>
    <t>Rule applicable if c0250 = ("Non-Structured/Vanilla" OR "Other non-standard terms")</t>
  </si>
  <si>
    <t>Rule applicable if c0250 = ("Structured" OR "Only structured coupon")</t>
  </si>
  <si>
    <t>Missing value. The field must be reported for non-structured liabilities.</t>
  </si>
  <si>
    <t xml:space="preserve">Missing value (warning only). For structured liabilities, the field  has to be reported if the information exists. </t>
  </si>
  <si>
    <t>Rule applicable if c0250 = ("Non-Structured" OR "Other non-standard terms") AND c0240 != "ZCB issued at discount"</t>
  </si>
  <si>
    <t>Missing value. For non-structured liabilities that are not zero coupon bonds issued at discount, this field is must be reported.</t>
  </si>
  <si>
    <t>Rule applicable if c0250 = ("Non-Structured/Vanilla" OR "Other non-standard terms") AND c0240 != "ZCB issued at discount"</t>
  </si>
  <si>
    <t>Missing value.For liabilities other than of the type "Cash account/savings account, the field must be reported.</t>
  </si>
  <si>
    <t>Missing value (warning only). For structured liabilities, this field should  be reported if the information exists..</t>
  </si>
  <si>
    <t>Missing value. The field must be reported for secured products.</t>
  </si>
  <si>
    <t>Missing value. The field must be reported for securities with trading-method = "Nominal".</t>
  </si>
  <si>
    <t>Missing value (warning only). The field should be reported for securities with trading-method = "Unit" if the information exists.</t>
  </si>
  <si>
    <t>Missing value. The field must be reported for non-structured securities that are not zero coupon bonds issued at discount.</t>
  </si>
  <si>
    <t>x</t>
  </si>
  <si>
    <t>Missing value (warning only).  This field needs to be reported if the information exists.</t>
  </si>
  <si>
    <t>Rule applicable if c0140 != "Cash account/saving account".</t>
  </si>
  <si>
    <t xml:space="preserve">Missing value (warning only). For structured liabilities, the field has to be reported if the information exists. </t>
  </si>
  <si>
    <t>Warning only (i.e. the validation rule can be breached in certain cases)</t>
  </si>
  <si>
    <t>Input "XX"</t>
  </si>
  <si>
    <t>Missing value (warning only). The field must be reported if the information exists, i.e. the entity reports in IFRS.</t>
  </si>
  <si>
    <t>Missing value (warning only). This field must be reported for structured securities if the information exists.</t>
  </si>
  <si>
    <t>MBDT - Level 1 Validation Rules: completeness checks.</t>
  </si>
  <si>
    <t>Prerequisites</t>
  </si>
  <si>
    <t>c0250 = ("Non-structured/Vanilla" OR "Other non-standard terms") &amp; c0240 != "ZCB issued at discount"</t>
  </si>
  <si>
    <t>Check if the reported field is equal to of: max{0, c0120 - c0300 - c0320}.</t>
  </si>
  <si>
    <t>c0250 = ( "Structured" OR "Structured coupon only")</t>
  </si>
  <si>
    <t>Check if the reported field is equal to: max(0,c0120 - c0320.)</t>
  </si>
  <si>
    <t>c0310 = "Secured" &amp; c0250 = ("Structured" OR "Only structured coupon")</t>
  </si>
  <si>
    <t>The reported field should be equal to: c0080 - c0090 + c0100 for derivatives that are not fully collateralised.</t>
  </si>
  <si>
    <t>c0080 &lt;= c0090</t>
  </si>
  <si>
    <t>High severity (i.e the validation rule should in general not be breached)</t>
  </si>
  <si>
    <t xml:space="preserve">Counterparty within the resolution group </t>
  </si>
  <si>
    <t>The field must have the characteristics of an ISIN, e.g., max. 12 characters and start with 2 letters signifying the ISO country code.</t>
  </si>
  <si>
    <t>c0040 = "ISIN"</t>
  </si>
  <si>
    <t>c0020 ≠ (NCNP OR NCBP)</t>
  </si>
  <si>
    <t>c0030 ≠ "No"</t>
  </si>
  <si>
    <t>(c0020 ≠ "NCNP" OR "NCBP")</t>
  </si>
  <si>
    <t>{B99.00;c0070} is reported &amp; (c0020 ≠ "NCNP" OR "NCBP")</t>
  </si>
  <si>
    <t>c0310 = "Secured" &amp; c0250 = ( "Non-structured/Vanilla"OR "Other non-standard terms") AND c0240 !="ZCB issued at discount"</t>
  </si>
  <si>
    <t>(c0190 or c0200) are reported &amp; (c0020 ≠ "NCNP" OR "NCBP")</t>
  </si>
  <si>
    <t>Rule applicable only if c0040 = "ISIN"</t>
  </si>
  <si>
    <t>Rule applicable only if c0040 = "ISIN" and c0360 = "Nominal"</t>
  </si>
  <si>
    <t>Rule applicable only if c0040 = "ISIN" and c0360 = "Unit"</t>
  </si>
  <si>
    <t>Rule applicable only if c0040 = "ISIN".</t>
  </si>
  <si>
    <t>Rule applicable if c0040 = "ISIN",  c0250 = ("Non-Structured/Vanilla" OR "Other non-standard terms) AND c0240 != "ZCB issued at discount"</t>
  </si>
  <si>
    <t>Rule applicable if c0040 = "ISIN",  c0250 != ("Structured" OR "Only structured coupon")</t>
  </si>
  <si>
    <t>B01.00</t>
  </si>
  <si>
    <t>Category</t>
  </si>
  <si>
    <t xml:space="preserve">Amount excluded from Bail-in/WDC 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</si>
  <si>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</si>
  <si>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</si>
  <si>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</si>
  <si>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</si>
  <si>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</si>
  <si>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</si>
  <si>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</si>
  <si>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</si>
  <si>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</si>
  <si>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</si>
  <si>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</si>
  <si>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B99.00</t>
  </si>
  <si>
    <t>yyyy-mm-dd hh:mm:ss</t>
  </si>
  <si>
    <t>Explanation</t>
  </si>
  <si>
    <t>Missing value. The field must be reported for eligible deposits. If the value is zero, "0" should be entered.</t>
  </si>
  <si>
    <t>Missing value. The field must be reported for secured products. If the value is zero, "0" should be entered.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</si>
  <si>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</si>
  <si>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</si>
  <si>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Check if the reported field is either equal to max(0, c0270 - c0300 - c0320) OR equal to max(0, c0120 - c0300 - c0320)</t>
  </si>
  <si>
    <t>For structured products, the reported amount should be equal to: (c0270 - c0300 - c0320) if the fair value is used to support the determination of the relevant amount for bail-in, OR (c0120 - c0300 - c0320) if not.</t>
  </si>
  <si>
    <t>The reported amount must in general be positive.</t>
  </si>
  <si>
    <t>The reported amount should be in general positive or zero.</t>
  </si>
  <si>
    <t>The reported amount should be equal to: c0080 + c0100 + c0110.</t>
  </si>
  <si>
    <t>Check if the reported field is equal to c0080 + c0100 + c0110.</t>
  </si>
  <si>
    <t>The reported amount should be equal to: c0120 - c0300 - c0320, besides for Zero Coupon Bonds for which specific provisions may apply.</t>
  </si>
  <si>
    <t>The reported field should be equal to: c0120 - c0320.</t>
  </si>
  <si>
    <t>Check if the reported field is either max(0, c0270 - c0320) or max (0, c0120 - c0320)</t>
  </si>
  <si>
    <t>The reported field should be equal to (c0270 - c0320) if the fair value is used, or equal to (c0120 - c0320) otherwise</t>
  </si>
  <si>
    <t>0061</t>
  </si>
  <si>
    <t>CHECK_ID</t>
  </si>
  <si>
    <t>TAB</t>
  </si>
  <si>
    <t>ALERT_TYPE</t>
  </si>
  <si>
    <t>v_1_0001</t>
  </si>
  <si>
    <t>HIGH</t>
  </si>
  <si>
    <t>v_1_0002</t>
  </si>
  <si>
    <t>v_1_0003</t>
  </si>
  <si>
    <t>v_1_0004</t>
  </si>
  <si>
    <t>v_1_0005</t>
  </si>
  <si>
    <t>v_1_0006</t>
  </si>
  <si>
    <t>WARNING</t>
  </si>
  <si>
    <t>RESULT (1=NOK)</t>
  </si>
  <si>
    <t>(…)</t>
  </si>
  <si>
    <t>v_2_0001</t>
  </si>
  <si>
    <t>v_2_0003</t>
  </si>
  <si>
    <t>v_2_0004</t>
  </si>
  <si>
    <t>v_1_0056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</si>
  <si>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</si>
  <si>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</si>
  <si>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</si>
  <si>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</si>
  <si>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</si>
  <si>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</si>
  <si>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</si>
  <si>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</si>
  <si>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</si>
  <si>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</si>
  <si>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</si>
  <si>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</si>
  <si>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</si>
  <si>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</si>
  <si>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</si>
  <si>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</si>
  <si>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</si>
  <si>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</si>
  <si>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</si>
  <si>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</si>
  <si>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</si>
  <si>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</si>
  <si>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</si>
  <si>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</si>
  <si>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</si>
  <si>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</si>
  <si>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</si>
  <si>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</si>
  <si>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</si>
  <si>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</si>
  <si>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</si>
  <si>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</si>
  <si>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</si>
  <si>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v_1_0040</t>
  </si>
  <si>
    <t>v_1_0042</t>
  </si>
  <si>
    <t>v_1_0043</t>
  </si>
  <si>
    <t>v_1_0044</t>
  </si>
  <si>
    <t>v_1_0045</t>
  </si>
  <si>
    <t>v_1_0046</t>
  </si>
  <si>
    <t>v_1_0047</t>
  </si>
  <si>
    <t>v_1_0048</t>
  </si>
  <si>
    <t>v_1_0049</t>
  </si>
  <si>
    <t>v_1_0051</t>
  </si>
  <si>
    <t>v_1_0052</t>
  </si>
  <si>
    <t>v_1_0053</t>
  </si>
  <si>
    <t>v_1_0054</t>
  </si>
  <si>
    <t>v_1_0055</t>
  </si>
  <si>
    <t>v_2_0005</t>
  </si>
  <si>
    <t>v_2_0006</t>
  </si>
  <si>
    <t>v_2_0007</t>
  </si>
  <si>
    <t>v_2_0008</t>
  </si>
  <si>
    <t>v_2_0009</t>
  </si>
  <si>
    <t>v_2_0011</t>
  </si>
  <si>
    <t>v_2_0012</t>
  </si>
  <si>
    <t>v_2_0013</t>
  </si>
  <si>
    <t>v_2_0014</t>
  </si>
  <si>
    <t>v_2_0015</t>
  </si>
  <si>
    <t>v_2_0016</t>
  </si>
  <si>
    <t>v_2_0017</t>
  </si>
  <si>
    <t>v_2_0018</t>
  </si>
  <si>
    <t>v_2_0019</t>
  </si>
  <si>
    <t>v_2_0020</t>
  </si>
  <si>
    <t>v_2_0021</t>
  </si>
  <si>
    <t>v_2_0022</t>
  </si>
  <si>
    <t>v_2_0023</t>
  </si>
  <si>
    <t>v_2_0024</t>
  </si>
  <si>
    <t>v_2_0025</t>
  </si>
  <si>
    <t>v_2_0026</t>
  </si>
  <si>
    <t>v_2_0027</t>
  </si>
  <si>
    <t>v_2_0028</t>
  </si>
  <si>
    <t>v_2_0029</t>
  </si>
  <si>
    <t>v_2_0030</t>
  </si>
  <si>
    <t>v_2_0031</t>
  </si>
  <si>
    <t>v_2_0032</t>
  </si>
  <si>
    <t>v_2_0033</t>
  </si>
  <si>
    <t>v_2_0034</t>
  </si>
  <si>
    <t>v_2_0035</t>
  </si>
  <si>
    <t>v_2_0036</t>
  </si>
  <si>
    <t>v_2_0037</t>
  </si>
  <si>
    <t>v_2_0038</t>
  </si>
  <si>
    <t>v_2_0040</t>
  </si>
  <si>
    <t>v_2_0041</t>
  </si>
  <si>
    <t>v_2_0042</t>
  </si>
  <si>
    <t>v_2_0043</t>
  </si>
  <si>
    <t>v_2_0044</t>
  </si>
  <si>
    <t>v_2_0045</t>
  </si>
  <si>
    <t>v_2_0046</t>
  </si>
  <si>
    <t>v_2_0047</t>
  </si>
  <si>
    <t>v_2_0048</t>
  </si>
  <si>
    <t>v_2_0050</t>
  </si>
  <si>
    <t>v_2_0051</t>
  </si>
  <si>
    <t>v_2_0052</t>
  </si>
  <si>
    <t>v_2_0053</t>
  </si>
  <si>
    <t>v_2_0054</t>
  </si>
  <si>
    <t>v_2_0055</t>
  </si>
  <si>
    <t>v_2_0056</t>
  </si>
  <si>
    <t>v_2_0057</t>
  </si>
  <si>
    <t>v_2_0058</t>
  </si>
  <si>
    <t>v_2_0059</t>
  </si>
  <si>
    <t>v_2_0060</t>
  </si>
  <si>
    <t>v_2_0061</t>
  </si>
  <si>
    <t>Todos os controlos regulamentares (LVL1 + LVL2):</t>
  </si>
  <si>
    <t>AUX_TAB</t>
  </si>
  <si>
    <t>ROW_NUMBER</t>
  </si>
  <si>
    <t>OPTION 2</t>
  </si>
  <si>
    <t>OPTION 1</t>
  </si>
  <si>
    <t>utilizar union all's (HF)</t>
  </si>
  <si>
    <t>Opção 1: por ID de controlo (UNION ALL)</t>
  </si>
  <si>
    <t>Opção 2: por row number do mapa (CASE WHEN)</t>
  </si>
  <si>
    <t>COUNT</t>
  </si>
  <si>
    <t>SUM(I4:N4)</t>
  </si>
  <si>
    <r>
      <t>Rule applicable only if c0250 = ("Structured" OR "</t>
    </r>
    <r>
      <rPr>
        <b/>
        <sz val="8"/>
        <color rgb="FFC00000"/>
        <rFont val="Verdana"/>
        <family val="2"/>
      </rPr>
      <t>Structured coupon only</t>
    </r>
    <r>
      <rPr>
        <sz val="8"/>
        <color theme="1"/>
        <rFont val="Verdana"/>
        <family val="2"/>
      </rPr>
      <t>")</t>
    </r>
  </si>
  <si>
    <t>utilizar case when's</t>
  </si>
  <si>
    <t>AUX_ALERT</t>
  </si>
  <si>
    <t xml:space="preserve">Rows com incidências </t>
  </si>
  <si>
    <t>--&gt; Requer left join com B99 filtrado por c0011 por B02.00 e usando c0020 como chave</t>
  </si>
  <si>
    <r>
      <t>If the ID is an ISIN (</t>
    </r>
    <r>
      <rPr>
        <b/>
        <sz val="8"/>
        <color rgb="FFFF0000"/>
        <rFont val="Verdana"/>
        <family val="2"/>
      </rPr>
      <t>c0030</t>
    </r>
    <r>
      <rPr>
        <sz val="8"/>
        <color theme="1"/>
        <rFont val="Verdana"/>
        <family val="2"/>
      </rPr>
      <t xml:space="preserve"> = "ISIN"), then the ID reported in c0020 must have the characteristics of an ISIN, e.g. 12 characters and start with 2 letters signifying the ISO country code.</t>
    </r>
  </si>
  <si>
    <t>CONTROLS</t>
  </si>
  <si>
    <t>report</t>
  </si>
  <si>
    <t>output</t>
  </si>
  <si>
    <t>0010_row_nmbr</t>
  </si>
  <si>
    <t>0020_uniq_id</t>
  </si>
  <si>
    <t>0030_uniq_id_knwn_cntrprty</t>
  </si>
  <si>
    <t>0040_typ_uniq_id_knwn_cntrprty</t>
  </si>
  <si>
    <t>0050_orgnl_amnt_eur</t>
  </si>
  <si>
    <t>0060_orgnl_amnt_fx</t>
  </si>
  <si>
    <t>0070_cntrct_crrncy</t>
  </si>
  <si>
    <t>0080_otstndng_prncpl_amnt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</si>
  <si>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</si>
  <si>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</si>
  <si>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</si>
  <si>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</si>
  <si>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</si>
  <si>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</si>
  <si>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</si>
  <si>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</si>
  <si>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</si>
  <si>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</si>
  <si>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</si>
  <si>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</si>
  <si>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</si>
  <si>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</si>
  <si>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</si>
  <si>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</si>
  <si>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</si>
  <si>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</si>
  <si>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</si>
  <si>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</si>
  <si>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</si>
  <si>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</si>
  <si>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</si>
  <si>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</si>
  <si>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</si>
  <si>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>0310_flg_clltrl_agrmnts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</si>
  <si>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</si>
  <si>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</si>
  <si>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</si>
  <si>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</si>
  <si>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</si>
  <si>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</si>
  <si>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</si>
  <si>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</si>
  <si>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</si>
  <si>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</si>
  <si>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0400_accrd_intrst_scrty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</si>
  <si>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</si>
  <si>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</si>
  <si>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</si>
  <si>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</si>
  <si>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</si>
  <si>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</si>
  <si>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</si>
  <si>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</si>
  <si>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</si>
  <si>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</si>
  <si>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</si>
  <si>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</si>
  <si>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</si>
  <si>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</si>
  <si>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</si>
  <si>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</si>
  <si>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</si>
  <si>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</si>
  <si>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</si>
  <si>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</si>
  <si>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</si>
  <si>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</si>
  <si>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</si>
  <si>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</si>
  <si>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</si>
  <si>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</si>
  <si>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</si>
  <si>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</si>
  <si>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</si>
  <si>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</si>
  <si>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</si>
  <si>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0620_blnc_sht_ifrs</t>
  </si>
  <si>
    <t>0630_crrying_amnt_ngaap</t>
  </si>
  <si>
    <t>0640_blnc_sht_ngaap</t>
  </si>
  <si>
    <t>5000_flg_shrhldr_not_rsltn_grp</t>
  </si>
  <si>
    <t>5010_flg_art21_7a_srmr</t>
  </si>
  <si>
    <t>AUX_FIELD1</t>
  </si>
  <si>
    <t>AUX_FIELD3</t>
  </si>
  <si>
    <t>AUX_FIELD2</t>
  </si>
  <si>
    <t>FIELD2</t>
  </si>
  <si>
    <t>FIELD3</t>
  </si>
  <si>
    <t>FIELD4</t>
  </si>
  <si>
    <t>AUX_FIELD4</t>
  </si>
  <si>
    <t>FIELD5</t>
  </si>
  <si>
    <t>AUX_FIELD5</t>
  </si>
  <si>
    <t>FIELD6</t>
  </si>
  <si>
    <t>AUX_FIELD6</t>
  </si>
  <si>
    <t>0020_uniq_id_guarantee</t>
  </si>
  <si>
    <t>0030_governing_law</t>
  </si>
  <si>
    <t>0040_flg_art12g_3_srmr</t>
  </si>
  <si>
    <t>0050_typ_guarantee</t>
  </si>
  <si>
    <t>0060_max_amnt_guarantee</t>
  </si>
  <si>
    <t>0070_flg_scrd</t>
  </si>
  <si>
    <t>0080_amnt_clltrl</t>
  </si>
  <si>
    <t>0090_guarantee_trggr</t>
  </si>
  <si>
    <t>0100_dt_mtrty_clltrl</t>
  </si>
  <si>
    <t>0110_scrts_clltrl_id</t>
  </si>
  <si>
    <t>0120_typ_clltrlztn</t>
  </si>
  <si>
    <t>0130_typ_prtctn_vl</t>
  </si>
  <si>
    <t>0140_dt_vltn_scrty</t>
  </si>
  <si>
    <t>0150_prtctn_vltn_apprch</t>
  </si>
  <si>
    <t>0011_tab_origin</t>
  </si>
  <si>
    <t>0020_uniq_id_knwn_cntrprty</t>
  </si>
  <si>
    <t>0030_cntrprty_rsltn_grp</t>
  </si>
  <si>
    <t>0040_cntrprty_nm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</si>
  <si>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</si>
  <si>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</si>
  <si>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</si>
  <si>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</si>
  <si>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</si>
  <si>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</si>
  <si>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t>FORMATS control</t>
  </si>
  <si>
    <t>aux_1</t>
  </si>
  <si>
    <t>CASE WHEN</t>
  </si>
  <si>
    <t>'Households', 'Micro &amp; SME', 'Corporates', 'Institutions', 'Other financial corporations', 'Insurance firms &amp; pension funds', 'Government, central banks &amp; supranationals', 'Non identified, listed on an exchange platform', 'Non identified, not listed on an exchange platform'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</si>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</sst>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Verdana"/>
      <family val="2"/>
    </font>
    <font>
      <sz val="8"/>
      <color theme="0" tint="-0.14999847407452621"/>
      <name val="Verdan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Verdana"/>
      <family val="2"/>
    </font>
    <font>
      <b/>
      <sz val="11"/>
      <color theme="9"/>
      <name val="Calibri"/>
      <family val="2"/>
      <scheme val="minor"/>
    </font>
    <font>
      <b/>
      <sz val="8"/>
      <color rgb="FFC00000"/>
      <name val="Verdana"/>
      <family val="2"/>
    </font>
    <font>
      <b/>
      <sz val="8"/>
      <color rgb="FFFF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</cellStyleXfs>
  <cellXfs count="60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quotePrefix="1" applyFont="1"/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  <xf numFmtId="0" fontId="0" fillId="0" borderId="0" xfId="0" quotePrefix="1"/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0" fillId="4" borderId="0" xfId="0" applyFill="1"/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8" fillId="9" borderId="0" xfId="0" applyFont="1" applyFill="1" applyAlignment="1">
      <alignment horizontal="center"/>
    </xf>
    <xf numFmtId="0" fontId="1" fillId="0" borderId="0" xfId="0" applyFont="1"/>
    <xf numFmtId="0" fontId="4" fillId="10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0" fillId="0" borderId="0" xfId="0" quotePrefix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0" fillId="10" borderId="0" xfId="0" applyFill="1" applyAlignment="1">
      <alignment horizontal="left"/>
    </xf>
    <xf numFmtId="0" fontId="1" fillId="1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/>
    <xf numFmtId="0" fontId="0" fillId="2" borderId="0" xfId="0" quotePrefix="1" applyFill="1"/>
    <xf numFmtId="0" fontId="8" fillId="8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49" fontId="6" fillId="0" borderId="0" xfId="0" applyNumberFormat="1" applyFont="1" applyAlignment="1">
      <alignment vertical="center" wrapText="1"/>
    </xf>
    <xf numFmtId="49" fontId="9" fillId="8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8" fillId="8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left" vertical="top"/>
    </xf>
    <xf numFmtId="0" fontId="0" fillId="10" borderId="0" xfId="0" applyFill="1"/>
    <xf numFmtId="0" fontId="0" fillId="10" borderId="0" xfId="0" applyFill="1" applyAlignment="1">
      <alignment vertical="center"/>
    </xf>
    <xf numFmtId="49" fontId="0" fillId="11" borderId="0" xfId="0" applyNumberFormat="1" applyFill="1"/>
    <xf numFmtId="0" fontId="0" fillId="14" borderId="0" xfId="0" applyFill="1" applyAlignment="1">
      <alignment vertical="center"/>
    </xf>
    <xf numFmtId="0" fontId="0" fillId="15" borderId="0" xfId="0" applyFill="1"/>
  </cellXfs>
  <cellStyles count="4">
    <cellStyle name="Normal" xfId="0" builtinId="0"/>
    <cellStyle name="Normal 2" xfId="2" xr:uid="{00000000-0005-0000-0000-000000000000}"/>
    <cellStyle name="Normal 3" xfId="1" xr:uid="{00000000-0005-0000-0000-000001000000}"/>
    <cellStyle name="Percent 2" xfId="3" xr:uid="{00000000-0005-0000-0000-000002000000}"/>
  </cellStyles>
  <dxfs count="0"/>
  <tableStyles count="0" defaultTableStyle="TableStyleMedium2" defaultPivotStyle="PivotStyleLight16"/>
  <colors>
    <mruColors>
      <color rgb="FFFD9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X56"/>
  <sheetViews>
    <sheetView showGridLines="0" zoomScale="80" zoomScaleNormal="80" workbookViewId="0">
      <pane ySplit="2" topLeftCell="A3" activePane="bottomLeft" state="frozen"/>
      <selection activeCell="G15" sqref="G15"/>
      <selection pane="bottomLeft" activeCell="C8" sqref="C8:C39"/>
    </sheetView>
  </sheetViews>
  <sheetFormatPr defaultColWidth="9.109375" defaultRowHeight="14.4" x14ac:dyDescent="0.3"/>
  <cols>
    <col min="1" max="1" width="3.77734375" customWidth="1"/>
    <col min="2" max="2" width="15.33203125" customWidth="1"/>
    <col min="3" max="3" width="9.109375" customWidth="1"/>
    <col min="4" max="4" width="8.33203125" customWidth="1"/>
    <col min="5" max="5" width="19.5546875" customWidth="1"/>
    <col min="6" max="6" width="14" customWidth="1"/>
    <col min="7" max="8" width="15" style="18" customWidth="1"/>
    <col min="9" max="9" width="44.33203125" customWidth="1"/>
    <col min="10" max="10" width="47" customWidth="1"/>
    <col min="11" max="11" width="32.44140625" customWidth="1"/>
    <col min="12" max="14" width="10.77734375" customWidth="1"/>
    <col min="15" max="15" width="10.77734375" style="49" customWidth="1"/>
    <col min="16" max="16" width="10.77734375" customWidth="1"/>
    <col min="17" max="17" width="10.77734375" style="49" customWidth="1"/>
    <col min="18" max="20" width="10.77734375" customWidth="1"/>
    <col min="21" max="21" width="52.109375" hidden="1" customWidth="1"/>
    <col min="22" max="22" width="52.109375" customWidth="1"/>
    <col min="23" max="23" width="8.44140625" customWidth="1"/>
  </cols>
  <sheetData>
    <row r="1" spans="1:23" ht="42" customHeight="1" x14ac:dyDescent="0.3">
      <c r="A1" t="s">
        <v>443</v>
      </c>
      <c r="B1" s="20" t="s">
        <v>383</v>
      </c>
      <c r="C1" s="19"/>
      <c r="D1" s="19"/>
      <c r="E1" s="19"/>
      <c r="F1" s="19"/>
      <c r="G1" s="19"/>
      <c r="H1" s="19"/>
      <c r="I1" s="19"/>
      <c r="J1" s="19"/>
      <c r="K1" s="19"/>
      <c r="L1" s="25"/>
      <c r="M1" s="25"/>
      <c r="N1" s="25"/>
      <c r="O1" s="45"/>
      <c r="P1" s="25"/>
      <c r="Q1" s="45"/>
      <c r="R1" s="25"/>
      <c r="S1" s="25"/>
      <c r="T1" s="25"/>
      <c r="U1" s="29" t="s">
        <v>563</v>
      </c>
      <c r="V1" s="29" t="s">
        <v>569</v>
      </c>
    </row>
    <row r="2" spans="1:23" ht="40.799999999999997" x14ac:dyDescent="0.3">
      <c r="A2" s="3"/>
      <c r="B2" s="1" t="s">
        <v>0</v>
      </c>
      <c r="C2" s="1" t="s">
        <v>1</v>
      </c>
      <c r="D2" s="1" t="s">
        <v>2</v>
      </c>
      <c r="E2" s="1" t="s">
        <v>3</v>
      </c>
      <c r="F2" s="1" t="s">
        <v>244</v>
      </c>
      <c r="G2" s="1" t="s">
        <v>392</v>
      </c>
      <c r="H2" s="1" t="s">
        <v>379</v>
      </c>
      <c r="I2" s="1" t="s">
        <v>361</v>
      </c>
      <c r="J2" s="1" t="s">
        <v>4</v>
      </c>
      <c r="K2" s="1" t="s">
        <v>424</v>
      </c>
      <c r="L2" s="36" t="s">
        <v>570</v>
      </c>
      <c r="M2" s="36" t="s">
        <v>559</v>
      </c>
      <c r="N2" s="36" t="s">
        <v>658</v>
      </c>
      <c r="O2" s="46" t="s">
        <v>661</v>
      </c>
      <c r="P2" s="36" t="s">
        <v>660</v>
      </c>
      <c r="Q2" s="46" t="s">
        <v>662</v>
      </c>
      <c r="R2" s="36" t="s">
        <v>659</v>
      </c>
      <c r="S2" s="46" t="s">
        <v>663</v>
      </c>
      <c r="T2" s="36" t="s">
        <v>664</v>
      </c>
      <c r="U2" s="22" t="s">
        <v>562</v>
      </c>
      <c r="V2" s="22" t="s">
        <v>561</v>
      </c>
    </row>
    <row r="3" spans="1:23" ht="40.950000000000003" hidden="1" customHeight="1" x14ac:dyDescent="0.3">
      <c r="A3" s="4" t="s">
        <v>5</v>
      </c>
      <c r="B3" s="2" t="str">
        <f>CONCATENATE("v_1_",A3)</f>
        <v>v_1_0001</v>
      </c>
      <c r="C3" s="2" t="s">
        <v>66</v>
      </c>
      <c r="D3" s="2" t="str">
        <f>VLOOKUP(CONCATENATE(C3,"_",E3),'Data types'!A:E,4,FALSE)</f>
        <v>0010</v>
      </c>
      <c r="E3" s="5" t="s">
        <v>6</v>
      </c>
      <c r="F3" s="5" t="str">
        <f>VLOOKUP(CONCATENATE(C3,"_",E3),'Data types'!A:F,6,FALSE)</f>
        <v>Numeric: Integer</v>
      </c>
      <c r="G3" s="17" t="s">
        <v>350</v>
      </c>
      <c r="H3" s="17"/>
      <c r="I3" s="5" t="s">
        <v>351</v>
      </c>
      <c r="J3" s="16"/>
      <c r="K3" s="5" t="s">
        <v>7</v>
      </c>
      <c r="L3" s="17" t="str">
        <f>+IF(G3="X","HIGH","WARNING")</f>
        <v>HIGH</v>
      </c>
      <c r="M3" s="17" t="str">
        <f>+LEFT(C3,3)</f>
        <v>B02</v>
      </c>
      <c r="N3" s="17" t="str">
        <f>"`"&amp;VLOOKUP(D3,'B02_Mapping fields'!B:C,2,FALSE)&amp;"`"</f>
        <v>`0010_row_nmbr`</v>
      </c>
      <c r="O3" s="47"/>
      <c r="P3" s="17"/>
      <c r="Q3" s="47"/>
      <c r="R3" s="17"/>
      <c r="S3" s="47"/>
      <c r="T3" s="17"/>
      <c r="U3" s="5" t="str">
        <f>+",SELECT '"&amp;M3&amp;"' AS TAB, '"&amp;L3&amp;"' AS ALERT_TYPE, '"&amp;B3&amp;"' AS CHECK_ID, ROW_NUMBER, CASE WHEN A.ISSUES &gt;0 THEN 1 ELSE 0 END AS "&amp;B3&amp;" FROM (SELECT COUNT(*) AS ISSUES FROM "&amp;M3&amp;" WHERE "&amp;M3&amp;"."&amp;D3&amp;" IS MISSING) AS A;"</f>
        <v>,SELECT 'B02' AS TAB, 'HIGH' AS ALERT_TYPE, 'v_1_0001' AS CHECK_ID, ROW_NUMBER, CASE WHEN A.ISSUES &gt;0 THEN 1 ELSE 0 END AS v_1_0001 FROM (SELECT COUNT(*) AS ISSUES FROM B02 WHERE B02.0010 IS MISSING) AS A;</v>
      </c>
      <c r="V3" s="5" t="str">
        <f>+",CASE WHEN "&amp;N3&amp;" IS MISSING THEN 1 ELSE 0 END AS "&amp;B3</f>
        <v>,CASE WHEN `0010_row_nmbr` IS MISSING THEN 1 ELSE 0 END AS v_1_0001</v>
      </c>
      <c r="W3" t="str">
        <f>+"SUM("&amp;B3&amp;") AS LVL1_H_"&amp;MID(N3,2,LEN(N3)-2)&amp;","</f>
        <v>SUM(v_1_0001) AS LVL1_H_0010_row_nmbr,</v>
      </c>
    </row>
    <row r="4" spans="1:23" ht="40.950000000000003" hidden="1" customHeight="1" x14ac:dyDescent="0.3">
      <c r="A4" s="4" t="s">
        <v>8</v>
      </c>
      <c r="B4" s="2" t="str">
        <f>CONCATENATE("v_1_",A4)</f>
        <v>v_1_0002</v>
      </c>
      <c r="C4" s="2" t="s">
        <v>66</v>
      </c>
      <c r="D4" s="2" t="str">
        <f>VLOOKUP(CONCATENATE(C4,"_",E4),'Data types'!A:E,4,FALSE)</f>
        <v>0030</v>
      </c>
      <c r="E4" s="5" t="s">
        <v>9</v>
      </c>
      <c r="F4" s="5" t="str">
        <f>VLOOKUP(CONCATENATE(C4,"_",E4),'Data types'!A:F,6,FALSE)</f>
        <v>String: Free text</v>
      </c>
      <c r="G4" s="17" t="s">
        <v>350</v>
      </c>
      <c r="H4" s="17"/>
      <c r="I4" s="5" t="s">
        <v>349</v>
      </c>
      <c r="J4" s="16"/>
      <c r="K4" s="5" t="s">
        <v>7</v>
      </c>
      <c r="L4" s="17" t="str">
        <f t="shared" ref="L4:L56" si="0">+IF(G4="X","HIGH","WARNING")</f>
        <v>HIGH</v>
      </c>
      <c r="M4" s="17" t="str">
        <f t="shared" ref="M4:M56" si="1">+LEFT(C4,3)</f>
        <v>B02</v>
      </c>
      <c r="N4" s="17" t="str">
        <f>"`"&amp;VLOOKUP(D4,'B02_Mapping fields'!B:C,2,FALSE)&amp;"`"</f>
        <v>`0030_uniq_id_knwn_cntrprty`</v>
      </c>
      <c r="O4" s="47"/>
      <c r="P4" s="17"/>
      <c r="Q4" s="47"/>
      <c r="R4" s="17"/>
      <c r="S4" s="47"/>
      <c r="T4" s="17"/>
      <c r="U4" s="5" t="str">
        <f>+",SELECT '"&amp;M4&amp;"' AS TAB, '"&amp;L4&amp;"' AS ALERT_TYPE, '"&amp;B4&amp;"' AS CHECK_ID, ROW_NUMBER, CASE WHEN A.ISSUES &gt;0 THEN 1 ELSE 0 END AS "&amp;B4&amp;" FROM (SELECT COUNT(*) AS ISSUES FROM "&amp;M4&amp;" WHERE "&amp;M4&amp;"."&amp;D4&amp;" IS MISSING) AS A;"</f>
        <v>,SELECT 'B02' AS TAB, 'HIGH' AS ALERT_TYPE, 'v_1_0002' AS CHECK_ID, ROW_NUMBER, CASE WHEN A.ISSUES &gt;0 THEN 1 ELSE 0 END AS v_1_0002 FROM (SELECT COUNT(*) AS ISSUES FROM B02 WHERE B02.0030 IS MISSING) AS A;</v>
      </c>
      <c r="V4" s="5" t="str">
        <f>+",CASE WHEN "&amp;N4&amp;" IS MISSING THEN 1 ELSE 0 END AS "&amp;B4</f>
        <v>,CASE WHEN `0030_uniq_id_knwn_cntrprty` IS MISSING THEN 1 ELSE 0 END AS v_1_0002</v>
      </c>
      <c r="W4" t="str">
        <f t="shared" ref="W4:W7" si="2">+"SUM("&amp;B4&amp;") AS LVL1_H_"&amp;MID(N4,2,LEN(N4)-2)&amp;","</f>
        <v>SUM(v_1_0002) AS LVL1_H_0030_uniq_id_knwn_cntrprty,</v>
      </c>
    </row>
    <row r="5" spans="1:23" ht="40.950000000000003" hidden="1" customHeight="1" x14ac:dyDescent="0.3">
      <c r="A5" s="4" t="s">
        <v>10</v>
      </c>
      <c r="B5" s="2" t="str">
        <f t="shared" ref="B5:B55" si="3">CONCATENATE("v_1_",A5)</f>
        <v>v_1_0003</v>
      </c>
      <c r="C5" s="2" t="s">
        <v>66</v>
      </c>
      <c r="D5" s="2" t="str">
        <f>VLOOKUP(CONCATENATE(C5,"_",E5),'Data types'!A:E,4,FALSE)</f>
        <v>0040</v>
      </c>
      <c r="E5" s="5" t="s">
        <v>327</v>
      </c>
      <c r="F5" s="5" t="str">
        <f>VLOOKUP(CONCATENATE(C5,"_",E5),'Data types'!A:F,6,FALSE)</f>
        <v>String: Free text, but fixed values for specific items</v>
      </c>
      <c r="G5" s="17" t="s">
        <v>350</v>
      </c>
      <c r="H5" s="17"/>
      <c r="I5" s="5" t="s">
        <v>349</v>
      </c>
      <c r="J5" s="16"/>
      <c r="K5" s="5" t="s">
        <v>7</v>
      </c>
      <c r="L5" s="17" t="str">
        <f t="shared" si="0"/>
        <v>HIGH</v>
      </c>
      <c r="M5" s="17" t="str">
        <f t="shared" si="1"/>
        <v>B02</v>
      </c>
      <c r="N5" s="17" t="str">
        <f>"`"&amp;VLOOKUP(D5,'B02_Mapping fields'!B:C,2,FALSE)&amp;"`"</f>
        <v>`0040_typ_uniq_id_knwn_cntrprty`</v>
      </c>
      <c r="O5" s="47"/>
      <c r="P5" s="17"/>
      <c r="Q5" s="47"/>
      <c r="R5" s="17"/>
      <c r="S5" s="47"/>
      <c r="T5" s="17"/>
      <c r="U5" s="5" t="str">
        <f>+",SELECT '"&amp;M5&amp;"' AS TAB, '"&amp;L5&amp;"' AS ALERT_TYPE, '"&amp;B5&amp;"' AS CHECK_ID, ROW_NUMBER, CASE WHEN A.ISSUES &gt;0 THEN 1 ELSE 0 END AS "&amp;B5&amp;" FROM (SELECT COUNT(*) AS ISSUES FROM "&amp;M5&amp;" WHERE "&amp;M5&amp;"."&amp;D5&amp;" IS MISSING) AS A;"</f>
        <v>,SELECT 'B02' AS TAB, 'HIGH' AS ALERT_TYPE, 'v_1_0003' AS CHECK_ID, ROW_NUMBER, CASE WHEN A.ISSUES &gt;0 THEN 1 ELSE 0 END AS v_1_0003 FROM (SELECT COUNT(*) AS ISSUES FROM B02 WHERE B02.0040 IS MISSING) AS A;</v>
      </c>
      <c r="V5" s="5" t="str">
        <f>+",CASE WHEN "&amp;N5&amp;" IS MISSING THEN 1 ELSE 0 END AS "&amp;B5</f>
        <v>,CASE WHEN `0040_typ_uniq_id_knwn_cntrprty` IS MISSING THEN 1 ELSE 0 END AS v_1_0003</v>
      </c>
      <c r="W5" t="str">
        <f t="shared" si="2"/>
        <v>SUM(v_1_0003) AS LVL1_H_0040_typ_uniq_id_knwn_cntrprty,</v>
      </c>
    </row>
    <row r="6" spans="1:23" ht="40.950000000000003" hidden="1" customHeight="1" x14ac:dyDescent="0.3">
      <c r="A6" s="4" t="s">
        <v>11</v>
      </c>
      <c r="B6" s="2" t="str">
        <f t="shared" si="3"/>
        <v>v_1_0004</v>
      </c>
      <c r="C6" s="2" t="s">
        <v>66</v>
      </c>
      <c r="D6" s="2" t="str">
        <f>VLOOKUP(CONCATENATE(C6,"_",E6),'Data types'!A:E,4,FALSE)</f>
        <v>0070</v>
      </c>
      <c r="E6" s="5" t="s">
        <v>13</v>
      </c>
      <c r="F6" s="5" t="str">
        <f>VLOOKUP(CONCATENATE(C6,"_",E6),'Data types'!A:F,6,FALSE)</f>
        <v>String: 3-letters ISO 4217</v>
      </c>
      <c r="G6" s="17" t="s">
        <v>350</v>
      </c>
      <c r="H6" s="17"/>
      <c r="I6" s="5" t="s">
        <v>349</v>
      </c>
      <c r="J6" s="16"/>
      <c r="K6" s="5" t="s">
        <v>7</v>
      </c>
      <c r="L6" s="17" t="str">
        <f t="shared" si="0"/>
        <v>HIGH</v>
      </c>
      <c r="M6" s="17" t="str">
        <f t="shared" si="1"/>
        <v>B02</v>
      </c>
      <c r="N6" s="17" t="str">
        <f>"`"&amp;VLOOKUP(D6,'B02_Mapping fields'!B:C,2,FALSE)&amp;"`"</f>
        <v>`0070_cntrct_crrncy`</v>
      </c>
      <c r="O6" s="47"/>
      <c r="P6" s="17"/>
      <c r="Q6" s="47"/>
      <c r="R6" s="17"/>
      <c r="S6" s="47"/>
      <c r="T6" s="17"/>
      <c r="U6" s="5" t="str">
        <f>+",SELECT '"&amp;M6&amp;"' AS TAB, '"&amp;L6&amp;"' AS ALERT_TYPE, '"&amp;B6&amp;"' AS CHECK_ID, ROW_NUMBER, CASE WHEN A.ISSUES &gt;0 THEN 1 ELSE 0 END AS "&amp;B6&amp;" FROM (SELECT COUNT(*) AS ISSUES FROM "&amp;M6&amp;" WHERE "&amp;M6&amp;"."&amp;D6&amp;" IS MISSING) AS A;"</f>
        <v>,SELECT 'B02' AS TAB, 'HIGH' AS ALERT_TYPE, 'v_1_0004' AS CHECK_ID, ROW_NUMBER, CASE WHEN A.ISSUES &gt;0 THEN 1 ELSE 0 END AS v_1_0004 FROM (SELECT COUNT(*) AS ISSUES FROM B02 WHERE B02.0070 IS MISSING) AS A;</v>
      </c>
      <c r="V6" s="5" t="str">
        <f>+",CASE WHEN "&amp;N6&amp;" IS MISSING THEN 1 ELSE 0 END AS "&amp;B6</f>
        <v>,CASE WHEN `0070_cntrct_crrncy` IS MISSING THEN 1 ELSE 0 END AS v_1_0004</v>
      </c>
      <c r="W6" t="str">
        <f t="shared" si="2"/>
        <v>SUM(v_1_0004) AS LVL1_H_0070_cntrct_crrncy,</v>
      </c>
    </row>
    <row r="7" spans="1:23" ht="40.950000000000003" hidden="1" customHeight="1" x14ac:dyDescent="0.3">
      <c r="A7" s="4" t="s">
        <v>12</v>
      </c>
      <c r="B7" s="2" t="str">
        <f t="shared" si="3"/>
        <v>v_1_0005</v>
      </c>
      <c r="C7" s="2" t="s">
        <v>66</v>
      </c>
      <c r="D7" s="2" t="str">
        <f>VLOOKUP(CONCATENATE(C7,"_",E7),'Data types'!A:E,4,FALSE)</f>
        <v>0080</v>
      </c>
      <c r="E7" s="5" t="s">
        <v>268</v>
      </c>
      <c r="F7" s="5" t="str">
        <f>VLOOKUP(CONCATENATE(C7,"_",E7),'Data types'!A:F,6,FALSE)</f>
        <v>Numeric: 2 decimals</v>
      </c>
      <c r="G7" s="17" t="s">
        <v>350</v>
      </c>
      <c r="H7" s="17"/>
      <c r="I7" s="5" t="s">
        <v>349</v>
      </c>
      <c r="J7" s="5" t="s">
        <v>362</v>
      </c>
      <c r="K7" s="5" t="s">
        <v>364</v>
      </c>
      <c r="L7" s="17" t="str">
        <f t="shared" si="0"/>
        <v>HIGH</v>
      </c>
      <c r="M7" s="17" t="str">
        <f t="shared" si="1"/>
        <v>B02</v>
      </c>
      <c r="N7" s="17" t="str">
        <f>"`"&amp;VLOOKUP(D7,'B02_Mapping fields'!B:C,2,FALSE)&amp;"`"</f>
        <v>`0080_otstndng_prncpl_amnt`</v>
      </c>
      <c r="O7" s="48" t="s">
        <v>159</v>
      </c>
      <c r="P7" s="17" t="str">
        <f>"`"&amp;VLOOKUP(O7,'B02_Mapping fields'!B:C,2,FALSE)&amp;"`"</f>
        <v>`0250_strctrd_prdct`</v>
      </c>
      <c r="Q7" s="47"/>
      <c r="R7" s="17"/>
      <c r="S7" s="47"/>
      <c r="T7" s="17"/>
      <c r="U7" s="5" t="str">
        <f>+",SELECT '"&amp;M7&amp;"' AS TAB, '"&amp;L7&amp;"' AS ALERT_TYPE, '"&amp;B7&amp;"' AS CHECK_ID, ROW_NUMBER, CASE WHEN A.ISSUES &gt;0 THEN 1 ELSE 0 END AS "&amp;B7&amp;" FROM (SELECT COUNT(*) AS ISSUES FROM "&amp;M7&amp;" WHERE "&amp;M7&amp;"."&amp;D7&amp;" IS MISSING AND c0250 IN ('Non-Structured/Vanilla', 'Other non-standard terms')) AS A;"</f>
        <v>,SELECT 'B02' AS TAB, 'HIGH' AS ALERT_TYPE, 'v_1_0005' AS CHECK_ID, ROW_NUMBER, CASE WHEN A.ISSUES &gt;0 THEN 1 ELSE 0 END AS v_1_0005 FROM (SELECT COUNT(*) AS ISSUES FROM B02 WHERE B02.0080 IS MISSING AND c0250 IN ('Non-Structured/Vanilla', 'Other non-standard terms')) AS A;</v>
      </c>
      <c r="V7" s="5" t="str">
        <f>+",CASE WHEN "&amp;N7&amp;" IS MISSING AND "&amp;P7&amp;" IN ('Non-Structured/Vanilla', 'Other non-standard terms') THEN 1 ELSE 0 END AS "&amp;B7</f>
        <v>,CASE WHEN `0080_otstndng_prncpl_amnt` IS MISSING AND `0250_strctrd_prdct` IN ('Non-Structured/Vanilla', 'Other non-standard terms') THEN 1 ELSE 0 END AS v_1_0005</v>
      </c>
      <c r="W7" t="str">
        <f t="shared" si="2"/>
        <v>SUM(v_1_0005) AS LVL1_H_0080_otstndng_prncpl_amnt,</v>
      </c>
    </row>
    <row r="8" spans="1:23" ht="40.950000000000003" customHeight="1" x14ac:dyDescent="0.3">
      <c r="A8" s="4" t="s">
        <v>14</v>
      </c>
      <c r="B8" s="2" t="str">
        <f t="shared" si="3"/>
        <v>v_1_0006</v>
      </c>
      <c r="C8" s="2" t="s">
        <v>66</v>
      </c>
      <c r="D8" s="2" t="str">
        <f>VLOOKUP(CONCATENATE(C8,"_",E8),'Data types'!A:E,4,FALSE)</f>
        <v>0080</v>
      </c>
      <c r="E8" s="5" t="s">
        <v>268</v>
      </c>
      <c r="F8" s="5" t="str">
        <f>VLOOKUP(CONCATENATE(C8,"_",E8),'Data types'!A:F,6,FALSE)</f>
        <v>Numeric: 2 decimals</v>
      </c>
      <c r="G8" s="17"/>
      <c r="H8" s="17" t="s">
        <v>350</v>
      </c>
      <c r="I8" s="5" t="s">
        <v>349</v>
      </c>
      <c r="J8" s="5" t="s">
        <v>363</v>
      </c>
      <c r="K8" s="5" t="s">
        <v>378</v>
      </c>
      <c r="L8" s="17" t="str">
        <f t="shared" si="0"/>
        <v>WARNING</v>
      </c>
      <c r="M8" s="17" t="str">
        <f t="shared" si="1"/>
        <v>B02</v>
      </c>
      <c r="N8" s="17" t="str">
        <f>"`"&amp;VLOOKUP(D8,'B02_Mapping fields'!B:C,2,FALSE)&amp;"`"</f>
        <v>`0080_otstndng_prncpl_amnt`</v>
      </c>
      <c r="O8" s="48" t="s">
        <v>159</v>
      </c>
      <c r="P8" s="17" t="str">
        <f>"`"&amp;VLOOKUP(O8,'B02_Mapping fields'!B:C,2,FALSE)&amp;"`"</f>
        <v>`0250_strctrd_prdct`</v>
      </c>
      <c r="Q8" s="47"/>
      <c r="R8" s="17"/>
      <c r="S8" s="47"/>
      <c r="T8" s="17"/>
      <c r="U8" s="5" t="str">
        <f>+",SELECT '"&amp;M8&amp;"' AS TAB, '"&amp;L8&amp;"' AS ALERT_TYPE, '"&amp;B8&amp;"' AS CHECK_ID, ROW_NUMBER, CASE WHEN A.ISSUES &gt;0 THEN 1 ELSE 0 END AS "&amp;B8&amp;" FROM (SELECT COUNT(*) AS ISSUES FROM "&amp;M8&amp;" WHERE "&amp;M8&amp;"."&amp;D8&amp;" IS MISSING AND c0250 IN ('Structured', 'Only structured coupon')) AS A;"</f>
        <v>,SELECT 'B02' AS TAB, 'WARNING' AS ALERT_TYPE, 'v_1_0006' AS CHECK_ID, ROW_NUMBER, CASE WHEN A.ISSUES &gt;0 THEN 1 ELSE 0 END AS v_1_0006 FROM (SELECT COUNT(*) AS ISSUES FROM B02 WHERE B02.0080 IS MISSING AND c0250 IN ('Structured', 'Only structured coupon')) AS A;</v>
      </c>
      <c r="V8" s="5" t="str">
        <f>+",CASE WHEN "&amp;N8&amp;" IS MISSING AND "&amp;P8&amp;" IN ('Structured', 'Only structured coupon') THEN 1 ELSE 0 END AS "&amp;B8</f>
        <v>,CASE WHEN `0080_otstndng_prncpl_amnt` IS MISSING AND `0250_strctrd_prdct` IN ('Structured', 'Only structured coupon') THEN 1 ELSE 0 END AS v_1_0006</v>
      </c>
      <c r="W8" t="str">
        <f>+"SUM("&amp;B8&amp;") AS LVL1_W_"&amp;MID(N8,2,LEN(N8)-2)&amp;","</f>
        <v>SUM(v_1_0006) AS LVL1_W_0080_otstndng_prncpl_amnt,</v>
      </c>
    </row>
    <row r="9" spans="1:23" ht="40.950000000000003" hidden="1" customHeight="1" x14ac:dyDescent="0.3">
      <c r="A9" s="4" t="s">
        <v>15</v>
      </c>
      <c r="B9" s="2" t="str">
        <f t="shared" si="3"/>
        <v>v_1_0007</v>
      </c>
      <c r="C9" s="2" t="s">
        <v>66</v>
      </c>
      <c r="D9" s="2" t="str">
        <f>VLOOKUP(CONCATENATE(C9,"_",E9),'Data types'!A:E,4,FALSE)</f>
        <v>0090</v>
      </c>
      <c r="E9" s="5" t="s">
        <v>296</v>
      </c>
      <c r="F9" s="5" t="str">
        <f>VLOOKUP(CONCATENATE(C9,"_",E9),'Data types'!A:F,6,FALSE)</f>
        <v>Numeric: 2 decimals</v>
      </c>
      <c r="G9" s="17" t="s">
        <v>350</v>
      </c>
      <c r="H9" s="17"/>
      <c r="I9" s="5" t="s">
        <v>349</v>
      </c>
      <c r="J9" s="5" t="s">
        <v>402</v>
      </c>
      <c r="K9" s="5" t="s">
        <v>352</v>
      </c>
      <c r="L9" s="17" t="str">
        <f t="shared" si="0"/>
        <v>HIGH</v>
      </c>
      <c r="M9" s="17" t="str">
        <f t="shared" si="1"/>
        <v>B02</v>
      </c>
      <c r="N9" s="17" t="str">
        <f>"`"&amp;VLOOKUP(D9,'B02_Mapping fields'!B:C,2,FALSE)&amp;"`"</f>
        <v>`0090_prtn_amnt_rprtng_entty`</v>
      </c>
      <c r="O9" s="48" t="s">
        <v>68</v>
      </c>
      <c r="P9" s="17" t="str">
        <f>"`"&amp;VLOOKUP(O9,'B02_Mapping fields'!B:C,2,FALSE)&amp;"`"</f>
        <v>`0040_typ_uniq_id_knwn_cntrprty`</v>
      </c>
      <c r="Q9" s="47"/>
      <c r="R9" s="17"/>
      <c r="S9" s="47"/>
      <c r="T9" s="17"/>
      <c r="U9" s="5" t="str">
        <f>+",SELECT '"&amp;M9&amp;"' AS TAB, '"&amp;L9&amp;"' AS ALERT_TYPE, '"&amp;B9&amp;"' AS CHECK_ID, ROW_NUMBER, CASE WHEN A.ISSUES &gt;0 THEN 1 ELSE 0 END AS "&amp;B9&amp;" FROM (SELECT COUNT(*) AS ISSUES FROM "&amp;M9&amp;" WHERE "&amp;M9&amp;"."&amp;D9&amp;" IS MISSING AND c0040 = 'ISIN') AS A;"</f>
        <v>,SELECT 'B02' AS TAB, 'HIGH' AS ALERT_TYPE, 'v_1_0007' AS CHECK_ID, ROW_NUMBER, CASE WHEN A.ISSUES &gt;0 THEN 1 ELSE 0 END AS v_1_0007 FROM (SELECT COUNT(*) AS ISSUES FROM B02 WHERE B02.0090 IS MISSING AND c0040 = 'ISIN') AS A;</v>
      </c>
      <c r="V9" s="5" t="str">
        <f>+",CASE WHEN "&amp;N9&amp;" IS MISSING AND "&amp;P9&amp;" = 'ISIN' THEN 1 ELSE 0 END AS "&amp;B9</f>
        <v>,CASE WHEN `0090_prtn_amnt_rprtng_entty` IS MISSING AND `0040_typ_uniq_id_knwn_cntrprty` = 'ISIN' THEN 1 ELSE 0 END AS v_1_0007</v>
      </c>
      <c r="W9" t="str">
        <f t="shared" ref="W9:W10" si="4">+"SUM("&amp;B9&amp;") AS LVL1_H_"&amp;MID(N9,2,LEN(N9)-2)&amp;","</f>
        <v>SUM(v_1_0007) AS LVL1_H_0090_prtn_amnt_rprtng_entty,</v>
      </c>
    </row>
    <row r="10" spans="1:23" ht="40.950000000000003" hidden="1" customHeight="1" x14ac:dyDescent="0.3">
      <c r="A10" s="4" t="s">
        <v>16</v>
      </c>
      <c r="B10" s="2" t="str">
        <f t="shared" si="3"/>
        <v>v_1_0008</v>
      </c>
      <c r="C10" s="2" t="s">
        <v>66</v>
      </c>
      <c r="D10" s="2" t="str">
        <f>VLOOKUP(CONCATENATE(C10,"_",E10),'Data types'!A:E,4,FALSE)</f>
        <v>0100</v>
      </c>
      <c r="E10" s="5" t="s">
        <v>17</v>
      </c>
      <c r="F10" s="5" t="str">
        <f>VLOOKUP(CONCATENATE(C10,"_",E10),'Data types'!A:F,6,FALSE)</f>
        <v>Numeric: 2 decimals</v>
      </c>
      <c r="G10" s="17" t="s">
        <v>350</v>
      </c>
      <c r="H10" s="17"/>
      <c r="I10" s="5" t="s">
        <v>349</v>
      </c>
      <c r="J10" s="5" t="s">
        <v>366</v>
      </c>
      <c r="K10" s="5" t="s">
        <v>353</v>
      </c>
      <c r="L10" s="17" t="str">
        <f t="shared" si="0"/>
        <v>HIGH</v>
      </c>
      <c r="M10" s="17" t="str">
        <f t="shared" si="1"/>
        <v>B02</v>
      </c>
      <c r="N10" s="17" t="str">
        <f>"`"&amp;VLOOKUP(D10,'B02_Mapping fields'!B:C,2,FALSE)&amp;"`"</f>
        <v>`0100_accrd_intrst_instrmnt`</v>
      </c>
      <c r="O10" s="47" t="s">
        <v>159</v>
      </c>
      <c r="P10" s="17" t="str">
        <f>"`"&amp;VLOOKUP(O10,'B02_Mapping fields'!B:C,2,FALSE)&amp;"`"</f>
        <v>`0250_strctrd_prdct`</v>
      </c>
      <c r="Q10" s="47" t="s">
        <v>158</v>
      </c>
      <c r="R10" s="17" t="str">
        <f>"`"&amp;VLOOKUP(Q10,'B02_Mapping fields'!B:C,2,FALSE)&amp;"`"</f>
        <v>`0240_zero_coupon`</v>
      </c>
      <c r="S10" s="47"/>
      <c r="T10" s="17"/>
      <c r="U10" s="5" t="str">
        <f>+",SELECT '"&amp;M10&amp;"' AS TAB, '"&amp;L10&amp;"' AS ALERT_TYPE, '"&amp;B10&amp;"' AS CHECK_ID, ROW_NUMBER, CASE WHEN A.ISSUES &gt;0 THEN 1 ELSE 0 END AS "&amp;B10&amp;" FROM (SELECT COUNT(*) AS ISSUES FROM "&amp;M10&amp;" WHERE "&amp;M10&amp;"."&amp;D10&amp;" IS MISSING AND c0250 IN ('Non-Structured', 'Other non-standard terms') AND c0240 != 'ZCB issued at discount') AS A;"</f>
        <v>,SELECT 'B02' AS TAB, 'HIGH' AS ALERT_TYPE, 'v_1_0008' AS CHECK_ID, ROW_NUMBER, CASE WHEN A.ISSUES &gt;0 THEN 1 ELSE 0 END AS v_1_0008 FROM (SELECT COUNT(*) AS ISSUES FROM B02 WHERE B02.0100 IS MISSING AND c0250 IN ('Non-Structured', 'Other non-standard terms') AND c0240 != 'ZCB issued at discount') AS A;</v>
      </c>
      <c r="V10" s="5" t="str">
        <f>+",CASE WHEN "&amp;N10&amp;" IS MISSING AND "&amp;P10&amp;" IN ('Non-Structured', 'Other non-standard terms') AND "&amp;R10&amp;" != 'ZCB issued at discount' THEN 1 ELSE 0 END AS "&amp;B10</f>
        <v>,CASE WHEN `0100_accrd_intrst_instrmnt` IS MISSING AND `0250_strctrd_prdct` IN ('Non-Structured', 'Other non-standard terms') AND `0240_zero_coupon` != 'ZCB issued at discount' THEN 1 ELSE 0 END AS v_1_0008</v>
      </c>
      <c r="W10" t="str">
        <f t="shared" si="4"/>
        <v>SUM(v_1_0008) AS LVL1_H_0100_accrd_intrst_instrmnt,</v>
      </c>
    </row>
    <row r="11" spans="1:23" ht="40.950000000000003" customHeight="1" x14ac:dyDescent="0.3">
      <c r="A11" s="4" t="s">
        <v>18</v>
      </c>
      <c r="B11" s="2" t="str">
        <f t="shared" si="3"/>
        <v>v_1_0009</v>
      </c>
      <c r="C11" s="2" t="s">
        <v>66</v>
      </c>
      <c r="D11" s="2" t="str">
        <f>VLOOKUP(CONCATENATE(C11,"_",E11),'Data types'!A:E,4,FALSE)</f>
        <v>0100</v>
      </c>
      <c r="E11" s="5" t="s">
        <v>17</v>
      </c>
      <c r="F11" s="5" t="str">
        <f>VLOOKUP(CONCATENATE(C11,"_",E11),'Data types'!A:F,6,FALSE)</f>
        <v>Numeric: 2 decimals</v>
      </c>
      <c r="G11" s="17"/>
      <c r="H11" s="17" t="s">
        <v>350</v>
      </c>
      <c r="I11" s="5" t="s">
        <v>349</v>
      </c>
      <c r="J11" s="5" t="s">
        <v>354</v>
      </c>
      <c r="K11" s="5" t="s">
        <v>365</v>
      </c>
      <c r="L11" s="17" t="str">
        <f t="shared" si="0"/>
        <v>WARNING</v>
      </c>
      <c r="M11" s="17" t="str">
        <f t="shared" si="1"/>
        <v>B02</v>
      </c>
      <c r="N11" s="17" t="str">
        <f>"`"&amp;VLOOKUP(D11,'B02_Mapping fields'!B:C,2,FALSE)&amp;"`"</f>
        <v>`0100_accrd_intrst_instrmnt`</v>
      </c>
      <c r="O11" s="47" t="s">
        <v>159</v>
      </c>
      <c r="P11" s="17" t="str">
        <f>"`"&amp;VLOOKUP(O11,'B02_Mapping fields'!B:C,2,FALSE)&amp;"`"</f>
        <v>`0250_strctrd_prdct`</v>
      </c>
      <c r="Q11" s="47"/>
      <c r="R11" s="17"/>
      <c r="S11" s="47"/>
      <c r="T11" s="17"/>
      <c r="U11" s="5" t="str">
        <f>+",SELECT '"&amp;M11&amp;"' AS TAB, '"&amp;L11&amp;"' AS ALERT_TYPE, '"&amp;B11&amp;"' AS CHECK_ID, ROW_NUMBER, CASE WHEN A.ISSUES &gt;0 THEN 1 ELSE 0 END AS "&amp;B11&amp;" FROM (SELECT COUNT(*) AS ISSUES FROM "&amp;M11&amp;" WHERE "&amp;M11&amp;"."&amp;D11&amp;" IS MISSING AND c0250 IN ('Structured', 'Only structured coupon')) AS A;"</f>
        <v>,SELECT 'B02' AS TAB, 'WARNING' AS ALERT_TYPE, 'v_1_0009' AS CHECK_ID, ROW_NUMBER, CASE WHEN A.ISSUES &gt;0 THEN 1 ELSE 0 END AS v_1_0009 FROM (SELECT COUNT(*) AS ISSUES FROM B02 WHERE B02.0100 IS MISSING AND c0250 IN ('Structured', 'Only structured coupon')) AS A;</v>
      </c>
      <c r="V11" s="5" t="str">
        <f>+",CASE WHEN "&amp;N11&amp;" IS MISSING AND "&amp;P11&amp;" IN ('Structured', 'Only structured coupon') THEN 1 ELSE 0 END AS "&amp;B11</f>
        <v>,CASE WHEN `0100_accrd_intrst_instrmnt` IS MISSING AND `0250_strctrd_prdct` IN ('Structured', 'Only structured coupon') THEN 1 ELSE 0 END AS v_1_0009</v>
      </c>
      <c r="W11" t="str">
        <f>+"SUM("&amp;B11&amp;") AS LVL1_W_"&amp;MID(N11,2,LEN(N11)-2)&amp;","</f>
        <v>SUM(v_1_0009) AS LVL1_W_0100_accrd_intrst_instrmnt,</v>
      </c>
    </row>
    <row r="12" spans="1:23" ht="40.950000000000003" hidden="1" customHeight="1" x14ac:dyDescent="0.3">
      <c r="A12" s="4" t="s">
        <v>20</v>
      </c>
      <c r="B12" s="2" t="str">
        <f t="shared" ref="B12:B13" si="5">CONCATENATE("v_1_",A12)</f>
        <v>v_1_0010</v>
      </c>
      <c r="C12" s="2" t="s">
        <v>66</v>
      </c>
      <c r="D12" s="2" t="str">
        <f>VLOOKUP(CONCATENATE(C12,"_",E12),'Data types'!A:E,4,FALSE)</f>
        <v>0120</v>
      </c>
      <c r="E12" s="5" t="s">
        <v>21</v>
      </c>
      <c r="F12" s="5" t="str">
        <f>VLOOKUP(CONCATENATE(C12,"_",E12),'Data types'!A:F,6,FALSE)</f>
        <v>Numeric: 2 decimals</v>
      </c>
      <c r="G12" s="17" t="s">
        <v>350</v>
      </c>
      <c r="H12" s="17"/>
      <c r="I12" s="5" t="s">
        <v>349</v>
      </c>
      <c r="J12" s="5" t="s">
        <v>362</v>
      </c>
      <c r="K12" s="5" t="s">
        <v>355</v>
      </c>
      <c r="L12" s="17" t="str">
        <f t="shared" si="0"/>
        <v>HIGH</v>
      </c>
      <c r="M12" s="17" t="str">
        <f t="shared" si="1"/>
        <v>B02</v>
      </c>
      <c r="N12" s="17" t="str">
        <f>"`"&amp;VLOOKUP(D12,'B02_Mapping fields'!B:C,2,FALSE)&amp;"`"</f>
        <v>`0120_otstndng_amnt`</v>
      </c>
      <c r="O12" s="47" t="s">
        <v>159</v>
      </c>
      <c r="P12" s="17" t="str">
        <f>"`"&amp;VLOOKUP(O12,'B02_Mapping fields'!B:C,2,FALSE)&amp;"`"</f>
        <v>`0250_strctrd_prdct`</v>
      </c>
      <c r="Q12" s="47"/>
      <c r="R12" s="17"/>
      <c r="S12" s="47"/>
      <c r="T12" s="17"/>
      <c r="U12" s="5" t="str">
        <f>+",SELECT '"&amp;M12&amp;"' AS TAB, '"&amp;L12&amp;"' AS ALERT_TYPE, '"&amp;B12&amp;"' AS CHECK_ID, ROW_NUMBER, CASE WHEN A.ISSUES &gt;0 THEN 1 ELSE 0 END AS "&amp;B12&amp;" FROM (SELECT COUNT(*) AS ISSUES FROM "&amp;M12&amp;" WHERE "&amp;M12&amp;"."&amp;D12&amp;" IS MISSING AND c0250 IN ('Non-Structured/Vanilla', 'Other non-standard terms')) AS A;"</f>
        <v>,SELECT 'B02' AS TAB, 'HIGH' AS ALERT_TYPE, 'v_1_0010' AS CHECK_ID, ROW_NUMBER, CASE WHEN A.ISSUES &gt;0 THEN 1 ELSE 0 END AS v_1_0010 FROM (SELECT COUNT(*) AS ISSUES FROM B02 WHERE B02.0120 IS MISSING AND c0250 IN ('Non-Structured/Vanilla', 'Other non-standard terms')) AS A;</v>
      </c>
      <c r="V12" s="5" t="str">
        <f>+",CASE WHEN "&amp;N12&amp;" IS MISSING AND "&amp;P12&amp;" IN ('Non-Structured/Vanilla', 'Other non-standard terms') THEN 1 ELSE 0 END AS "&amp;B12</f>
        <v>,CASE WHEN `0120_otstndng_amnt` IS MISSING AND `0250_strctrd_prdct` IN ('Non-Structured/Vanilla', 'Other non-standard terms') THEN 1 ELSE 0 END AS v_1_0010</v>
      </c>
      <c r="W12" t="str">
        <f>+"SUM("&amp;B12&amp;") AS LVL1_H_"&amp;MID(N12,2,LEN(N12)-2)&amp;","</f>
        <v>SUM(v_1_0010) AS LVL1_H_0120_otstndng_amnt,</v>
      </c>
    </row>
    <row r="13" spans="1:23" ht="40.950000000000003" customHeight="1" x14ac:dyDescent="0.3">
      <c r="A13" s="4" t="s">
        <v>22</v>
      </c>
      <c r="B13" s="2" t="str">
        <f t="shared" si="5"/>
        <v>v_1_0011</v>
      </c>
      <c r="C13" s="2" t="s">
        <v>66</v>
      </c>
      <c r="D13" s="2" t="str">
        <f>VLOOKUP(CONCATENATE(C13,"_",E13),'Data types'!A:E,4,FALSE)</f>
        <v>0120</v>
      </c>
      <c r="E13" s="5" t="s">
        <v>21</v>
      </c>
      <c r="F13" s="5" t="str">
        <f>VLOOKUP(CONCATENATE(C13,"_",E13),'Data types'!A:F,6,FALSE)</f>
        <v>Numeric: 2 decimals</v>
      </c>
      <c r="G13" s="17"/>
      <c r="H13" s="17" t="s">
        <v>350</v>
      </c>
      <c r="I13" s="5" t="s">
        <v>349</v>
      </c>
      <c r="J13" s="5" t="s">
        <v>354</v>
      </c>
      <c r="K13" s="5" t="s">
        <v>365</v>
      </c>
      <c r="L13" s="17" t="str">
        <f t="shared" si="0"/>
        <v>WARNING</v>
      </c>
      <c r="M13" s="17" t="str">
        <f t="shared" si="1"/>
        <v>B02</v>
      </c>
      <c r="N13" s="17" t="str">
        <f>"`"&amp;VLOOKUP(D13,'B02_Mapping fields'!B:C,2,FALSE)&amp;"`"</f>
        <v>`0120_otstndng_amnt`</v>
      </c>
      <c r="O13" s="47" t="s">
        <v>159</v>
      </c>
      <c r="P13" s="17" t="str">
        <f>"`"&amp;VLOOKUP(O13,'B02_Mapping fields'!B:C,2,FALSE)&amp;"`"</f>
        <v>`0250_strctrd_prdct`</v>
      </c>
      <c r="Q13" s="47"/>
      <c r="R13" s="17"/>
      <c r="S13" s="47"/>
      <c r="T13" s="17"/>
      <c r="U13" s="5" t="str">
        <f>+",SELECT '"&amp;M13&amp;"' AS TAB, '"&amp;L13&amp;"' AS ALERT_TYPE, '"&amp;B13&amp;"' AS CHECK_ID, ROW_NUMBER, CASE WHEN A.ISSUES &gt;0 THEN 1 ELSE 0 END AS "&amp;B13&amp;" FROM (SELECT COUNT(*) AS ISSUES FROM "&amp;M13&amp;" WHERE "&amp;M13&amp;"."&amp;D13&amp;" IS MISSING AND c0250 NOT IN ('Structured', 'Only structured coupon')) AS A;"</f>
        <v>,SELECT 'B02' AS TAB, 'WARNING' AS ALERT_TYPE, 'v_1_0011' AS CHECK_ID, ROW_NUMBER, CASE WHEN A.ISSUES &gt;0 THEN 1 ELSE 0 END AS v_1_0011 FROM (SELECT COUNT(*) AS ISSUES FROM B02 WHERE B02.0120 IS MISSING AND c0250 NOT IN ('Structured', 'Only structured coupon')) AS A;</v>
      </c>
      <c r="V13" s="5" t="str">
        <f>+",CASE WHEN "&amp;N13&amp;" IS MISSING AND "&amp;P13&amp;" NOT IN ('Structured', 'Only structured coupon') THEN 1 ELSE 0 END AS "&amp;B13</f>
        <v>,CASE WHEN `0120_otstndng_amnt` IS MISSING AND `0250_strctrd_prdct` NOT IN ('Structured', 'Only structured coupon') THEN 1 ELSE 0 END AS v_1_0011</v>
      </c>
      <c r="W13" t="str">
        <f>+"SUM("&amp;B13&amp;") AS LVL1_W_"&amp;MID(N13,2,LEN(N13)-2)&amp;","</f>
        <v>SUM(v_1_0011) AS LVL1_W_0120_otstndng_amnt,</v>
      </c>
    </row>
    <row r="14" spans="1:23" ht="40.950000000000003" hidden="1" customHeight="1" x14ac:dyDescent="0.3">
      <c r="A14" s="4" t="s">
        <v>23</v>
      </c>
      <c r="B14" s="2" t="str">
        <f t="shared" si="3"/>
        <v>v_1_0012</v>
      </c>
      <c r="C14" s="2" t="s">
        <v>66</v>
      </c>
      <c r="D14" s="2" t="str">
        <f>VLOOKUP(CONCATENATE(C14,"_",E14),'Data types'!A:E,4,FALSE)</f>
        <v>0130</v>
      </c>
      <c r="E14" s="5" t="s">
        <v>248</v>
      </c>
      <c r="F14" s="5" t="str">
        <f>VLOOKUP(CONCATENATE(C14,"_",E14),'Data types'!A:F,6,FALSE)</f>
        <v>Numeric: 2 decimals</v>
      </c>
      <c r="G14" s="17" t="s">
        <v>350</v>
      </c>
      <c r="H14" s="17"/>
      <c r="I14" s="5" t="s">
        <v>349</v>
      </c>
      <c r="J14" s="16"/>
      <c r="K14" s="5" t="s">
        <v>7</v>
      </c>
      <c r="L14" s="17" t="str">
        <f t="shared" si="0"/>
        <v>HIGH</v>
      </c>
      <c r="M14" s="17" t="str">
        <f t="shared" si="1"/>
        <v>B02</v>
      </c>
      <c r="N14" s="17" t="str">
        <f>"`"&amp;VLOOKUP(D14,'B02_Mapping fields'!B:C,2,FALSE)&amp;"`"</f>
        <v>`0130_rlvnt_amnt_wdc`</v>
      </c>
      <c r="O14" s="47"/>
      <c r="P14" s="17"/>
      <c r="Q14" s="47"/>
      <c r="R14" s="17"/>
      <c r="S14" s="47"/>
      <c r="T14" s="17"/>
      <c r="U14" s="5" t="str">
        <f>+",SELECT '"&amp;M14&amp;"' AS TAB, '"&amp;L14&amp;"' AS ALERT_TYPE, '"&amp;B14&amp;"' AS CHECK_ID, ROW_NUMBER, CASE WHEN A.ISSUES &gt;0 THEN 1 ELSE 0 END AS "&amp;B14&amp;" FROM (SELECT COUNT(*) AS ISSUES FROM "&amp;M14&amp;" WHERE "&amp;M14&amp;"."&amp;D14&amp;" IS MISSING) AS A;"</f>
        <v>,SELECT 'B02' AS TAB, 'HIGH' AS ALERT_TYPE, 'v_1_0012' AS CHECK_ID, ROW_NUMBER, CASE WHEN A.ISSUES &gt;0 THEN 1 ELSE 0 END AS v_1_0012 FROM (SELECT COUNT(*) AS ISSUES FROM B02 WHERE B02.0130 IS MISSING) AS A;</v>
      </c>
      <c r="V14" s="5" t="str">
        <f>+",CASE WHEN "&amp;N14&amp;" IS MISSING THEN 1 ELSE 0 END AS "&amp;B14</f>
        <v>,CASE WHEN `0130_rlvnt_amnt_wdc` IS MISSING THEN 1 ELSE 0 END AS v_1_0012</v>
      </c>
      <c r="W14" t="str">
        <f t="shared" ref="W14:W19" si="6">+"SUM("&amp;B14&amp;") AS LVL1_H_"&amp;MID(N14,2,LEN(N14)-2)&amp;","</f>
        <v>SUM(v_1_0012) AS LVL1_H_0130_rlvnt_amnt_wdc,</v>
      </c>
    </row>
    <row r="15" spans="1:23" ht="40.950000000000003" hidden="1" customHeight="1" x14ac:dyDescent="0.3">
      <c r="A15" s="4" t="s">
        <v>25</v>
      </c>
      <c r="B15" s="2" t="str">
        <f t="shared" si="3"/>
        <v>v_1_0013</v>
      </c>
      <c r="C15" s="2" t="s">
        <v>66</v>
      </c>
      <c r="D15" s="2" t="str">
        <f>VLOOKUP(CONCATENATE(C15,"_",E15),'Data types'!A:E,4,FALSE)</f>
        <v>0140</v>
      </c>
      <c r="E15" s="5" t="s">
        <v>24</v>
      </c>
      <c r="F15" s="5" t="str">
        <f>VLOOKUP(CONCATENATE(C15,"_",E15),'Data types'!A:F,6,FALSE)</f>
        <v>String: Drop-down</v>
      </c>
      <c r="G15" s="17" t="s">
        <v>350</v>
      </c>
      <c r="H15" s="17"/>
      <c r="I15" s="5" t="s">
        <v>349</v>
      </c>
      <c r="J15" s="16"/>
      <c r="K15" s="5" t="s">
        <v>7</v>
      </c>
      <c r="L15" s="17" t="str">
        <f t="shared" si="0"/>
        <v>HIGH</v>
      </c>
      <c r="M15" s="17" t="str">
        <f t="shared" si="1"/>
        <v>B02</v>
      </c>
      <c r="N15" s="17" t="str">
        <f>"`"&amp;VLOOKUP(D15,'B02_Mapping fields'!B:C,2,FALSE)&amp;"`"</f>
        <v>`0140_ntr_lblty`</v>
      </c>
      <c r="O15" s="47"/>
      <c r="P15" s="17"/>
      <c r="Q15" s="47"/>
      <c r="R15" s="17"/>
      <c r="S15" s="47"/>
      <c r="T15" s="17"/>
      <c r="U15" s="5" t="str">
        <f t="shared" ref="U15" si="7">+",SELECT '"&amp;M15&amp;"' AS TAB, '"&amp;L15&amp;"' AS ALERT_TYPE, '"&amp;B15&amp;"' AS CHECK_ID, ROW_NUMBER, CASE WHEN A.ISSUES &gt;0 THEN 1 ELSE 0 END AS "&amp;B15&amp;" FROM (SELECT COUNT(*) AS ISSUES FROM "&amp;M15&amp;" WHERE "&amp;M15&amp;"."&amp;D15&amp;" IS MISSING) AS A;"</f>
        <v>,SELECT 'B02' AS TAB, 'HIGH' AS ALERT_TYPE, 'v_1_0013' AS CHECK_ID, ROW_NUMBER, CASE WHEN A.ISSUES &gt;0 THEN 1 ELSE 0 END AS v_1_0013 FROM (SELECT COUNT(*) AS ISSUES FROM B02 WHERE B02.0140 IS MISSING) AS A;</v>
      </c>
      <c r="V15" s="5" t="str">
        <f>+",CASE WHEN "&amp;N15&amp;" IS MISSING THEN 1 ELSE 0 END AS "&amp;B15</f>
        <v>,CASE WHEN `0140_ntr_lblty` IS MISSING THEN 1 ELSE 0 END AS v_1_0013</v>
      </c>
      <c r="W15" t="str">
        <f t="shared" si="6"/>
        <v>SUM(v_1_0013) AS LVL1_H_0140_ntr_lblty,</v>
      </c>
    </row>
    <row r="16" spans="1:23" ht="40.950000000000003" hidden="1" customHeight="1" x14ac:dyDescent="0.3">
      <c r="A16" s="4" t="s">
        <v>27</v>
      </c>
      <c r="B16" s="2" t="str">
        <f t="shared" si="3"/>
        <v>v_1_0014</v>
      </c>
      <c r="C16" s="2" t="s">
        <v>66</v>
      </c>
      <c r="D16" s="2" t="str">
        <f>VLOOKUP(CONCATENATE(C16,"_",E16),'Data types'!A:E,4,FALSE)</f>
        <v>0141</v>
      </c>
      <c r="E16" s="5" t="s">
        <v>26</v>
      </c>
      <c r="F16" s="5" t="str">
        <f>VLOOKUP(CONCATENATE(C16,"_",E16),'Data types'!A:F,6,FALSE)</f>
        <v>String: Free text</v>
      </c>
      <c r="G16" s="17" t="s">
        <v>350</v>
      </c>
      <c r="H16" s="17"/>
      <c r="I16" s="5" t="s">
        <v>349</v>
      </c>
      <c r="J16" s="5" t="s">
        <v>290</v>
      </c>
      <c r="K16" s="5" t="s">
        <v>357</v>
      </c>
      <c r="L16" s="17" t="str">
        <f t="shared" si="0"/>
        <v>HIGH</v>
      </c>
      <c r="M16" s="17" t="str">
        <f t="shared" si="1"/>
        <v>B02</v>
      </c>
      <c r="N16" s="17" t="str">
        <f>"`"&amp;VLOOKUP(D16,'B02_Mapping fields'!B:C,2,FALSE)&amp;"`"</f>
        <v>`0141_ntr_lblty_othr`</v>
      </c>
      <c r="O16" s="47" t="s">
        <v>147</v>
      </c>
      <c r="P16" s="17" t="str">
        <f>"`"&amp;VLOOKUP(O16,'B02_Mapping fields'!B:C,2,FALSE)&amp;"`"</f>
        <v>`0140_ntr_lblty`</v>
      </c>
      <c r="Q16" s="47"/>
      <c r="R16" s="17"/>
      <c r="S16" s="47"/>
      <c r="T16" s="17"/>
      <c r="U16" s="5" t="str">
        <f>+",SELECT '"&amp;M16&amp;"' AS TAB, '"&amp;L16&amp;"' AS ALERT_TYPE, '"&amp;B16&amp;"' AS CHECK_ID, ROW_NUMBER, CASE WHEN A.ISSUES &gt;0 THEN 1 ELSE 0 END AS "&amp;B16&amp;" FROM (SELECT COUNT(*) AS ISSUES FROM "&amp;M16&amp;" WHERE "&amp;M16&amp;"."&amp;D16&amp;" IS MISSING AND c0140 = 'Other') AS A;"</f>
        <v>,SELECT 'B02' AS TAB, 'HIGH' AS ALERT_TYPE, 'v_1_0014' AS CHECK_ID, ROW_NUMBER, CASE WHEN A.ISSUES &gt;0 THEN 1 ELSE 0 END AS v_1_0014 FROM (SELECT COUNT(*) AS ISSUES FROM B02 WHERE B02.0141 IS MISSING AND c0140 = 'Other') AS A;</v>
      </c>
      <c r="V16" s="5" t="str">
        <f>+",CASE WHEN "&amp;N16&amp;" IS MISSING AND "&amp;P16&amp;" = 'Other' THEN 1 ELSE 0 END AS "&amp;B16</f>
        <v>,CASE WHEN `0141_ntr_lblty_othr` IS MISSING AND `0140_ntr_lblty` = 'Other' THEN 1 ELSE 0 END AS v_1_0014</v>
      </c>
      <c r="W16" t="str">
        <f t="shared" si="6"/>
        <v>SUM(v_1_0014) AS LVL1_H_0141_ntr_lblty_othr,</v>
      </c>
    </row>
    <row r="17" spans="1:23" ht="40.950000000000003" hidden="1" customHeight="1" x14ac:dyDescent="0.3">
      <c r="A17" s="4" t="s">
        <v>29</v>
      </c>
      <c r="B17" s="2" t="str">
        <f t="shared" si="3"/>
        <v>v_1_0015</v>
      </c>
      <c r="C17" s="2" t="s">
        <v>66</v>
      </c>
      <c r="D17" s="2" t="str">
        <f>VLOOKUP(CONCATENATE(C17,"_",E17),'Data types'!A:E,4,FALSE)</f>
        <v>0160</v>
      </c>
      <c r="E17" s="5" t="s">
        <v>28</v>
      </c>
      <c r="F17" s="5" t="str">
        <f>VLOOKUP(CONCATENATE(C17,"_",E17),'Data types'!A:F,6,FALSE)</f>
        <v>Numeric: Integer</v>
      </c>
      <c r="G17" s="17" t="s">
        <v>350</v>
      </c>
      <c r="H17" s="17"/>
      <c r="I17" s="5" t="s">
        <v>349</v>
      </c>
      <c r="J17" s="16"/>
      <c r="K17" s="5" t="s">
        <v>7</v>
      </c>
      <c r="L17" s="17" t="str">
        <f t="shared" si="0"/>
        <v>HIGH</v>
      </c>
      <c r="M17" s="17" t="str">
        <f t="shared" si="1"/>
        <v>B02</v>
      </c>
      <c r="N17" s="17" t="str">
        <f>"`"&amp;VLOOKUP(D17,'B02_Mapping fields'!B:C,2,FALSE)&amp;"`"</f>
        <v>`0160_rank_insolv`</v>
      </c>
      <c r="O17" s="47"/>
      <c r="P17" s="17"/>
      <c r="Q17" s="47"/>
      <c r="R17" s="17"/>
      <c r="S17" s="47"/>
      <c r="T17" s="17"/>
      <c r="U17" s="5" t="str">
        <f>+",SELECT '"&amp;M17&amp;"' AS TAB, '"&amp;L17&amp;"' AS ALERT_TYPE, '"&amp;B17&amp;"' AS CHECK_ID, ROW_NUMBER, CASE WHEN A.ISSUES &gt;0 THEN 1 ELSE 0 END AS "&amp;B17&amp;" FROM (SELECT COUNT(*) AS ISSUES FROM "&amp;M17&amp;" WHERE "&amp;M17&amp;"."&amp;D17&amp;" IS MISSING) AS A;"</f>
        <v>,SELECT 'B02' AS TAB, 'HIGH' AS ALERT_TYPE, 'v_1_0015' AS CHECK_ID, ROW_NUMBER, CASE WHEN A.ISSUES &gt;0 THEN 1 ELSE 0 END AS v_1_0015 FROM (SELECT COUNT(*) AS ISSUES FROM B02 WHERE B02.0160 IS MISSING) AS A;</v>
      </c>
      <c r="V17" s="5" t="str">
        <f>+",CASE WHEN "&amp;N17&amp;" IS MISSING THEN 1 ELSE 0 END AS "&amp;B17</f>
        <v>,CASE WHEN `0160_rank_insolv` IS MISSING THEN 1 ELSE 0 END AS v_1_0015</v>
      </c>
      <c r="W17" t="str">
        <f t="shared" si="6"/>
        <v>SUM(v_1_0015) AS LVL1_H_0160_rank_insolv,</v>
      </c>
    </row>
    <row r="18" spans="1:23" ht="40.950000000000003" hidden="1" customHeight="1" x14ac:dyDescent="0.3">
      <c r="A18" s="4" t="s">
        <v>31</v>
      </c>
      <c r="B18" s="2" t="str">
        <f t="shared" si="3"/>
        <v>v_1_0016</v>
      </c>
      <c r="C18" s="2" t="s">
        <v>66</v>
      </c>
      <c r="D18" s="2" t="str">
        <f>VLOOKUP(CONCATENATE(C18,"_",E18),'Data types'!A:E,4,FALSE)</f>
        <v>0162</v>
      </c>
      <c r="E18" s="5" t="s">
        <v>253</v>
      </c>
      <c r="F18" s="5" t="str">
        <f>VLOOKUP(CONCATENATE(C18,"_",E18),'Data types'!A:F,6,FALSE)</f>
        <v>String: Fixed values</v>
      </c>
      <c r="G18" s="17" t="s">
        <v>350</v>
      </c>
      <c r="H18" s="17"/>
      <c r="I18" s="5" t="s">
        <v>349</v>
      </c>
      <c r="J18" s="16"/>
      <c r="K18" s="5" t="s">
        <v>7</v>
      </c>
      <c r="L18" s="17" t="str">
        <f t="shared" si="0"/>
        <v>HIGH</v>
      </c>
      <c r="M18" s="17" t="str">
        <f t="shared" si="1"/>
        <v>B02</v>
      </c>
      <c r="N18" s="17" t="str">
        <f>"`"&amp;VLOOKUP(D18,'B02_Mapping fields'!B:C,2,FALSE)&amp;"`"</f>
        <v>`0162_bail_in_cascade`</v>
      </c>
      <c r="O18" s="47"/>
      <c r="P18" s="17"/>
      <c r="Q18" s="47"/>
      <c r="R18" s="17"/>
      <c r="S18" s="47"/>
      <c r="T18" s="17"/>
      <c r="U18" s="5" t="str">
        <f>+",SELECT '"&amp;M18&amp;"' AS TAB, '"&amp;L18&amp;"' AS ALERT_TYPE, '"&amp;B18&amp;"' AS CHECK_ID, ROW_NUMBER, CASE WHEN A.ISSUES &gt;0 THEN 1 ELSE 0 END AS "&amp;B18&amp;" FROM (SELECT COUNT(*) AS ISSUES FROM "&amp;M18&amp;" WHERE "&amp;M18&amp;"."&amp;D18&amp;" IS MISSING) AS A;"</f>
        <v>,SELECT 'B02' AS TAB, 'HIGH' AS ALERT_TYPE, 'v_1_0016' AS CHECK_ID, ROW_NUMBER, CASE WHEN A.ISSUES &gt;0 THEN 1 ELSE 0 END AS v_1_0016 FROM (SELECT COUNT(*) AS ISSUES FROM B02 WHERE B02.0162 IS MISSING) AS A;</v>
      </c>
      <c r="V18" s="5" t="str">
        <f>+",CASE WHEN "&amp;N18&amp;" IS MISSING THEN 1 ELSE 0 END AS "&amp;B18</f>
        <v>,CASE WHEN `0162_bail_in_cascade` IS MISSING THEN 1 ELSE 0 END AS v_1_0016</v>
      </c>
      <c r="W18" t="str">
        <f t="shared" si="6"/>
        <v>SUM(v_1_0016) AS LVL1_H_0162_bail_in_cascade,</v>
      </c>
    </row>
    <row r="19" spans="1:23" ht="40.950000000000003" hidden="1" customHeight="1" x14ac:dyDescent="0.3">
      <c r="A19" s="4" t="s">
        <v>33</v>
      </c>
      <c r="B19" s="2" t="str">
        <f t="shared" si="3"/>
        <v>v_1_0017</v>
      </c>
      <c r="C19" s="2" t="s">
        <v>66</v>
      </c>
      <c r="D19" s="2" t="str">
        <f>VLOOKUP(CONCATENATE(C19,"_",E19),'Data types'!A:E,4,FALSE)</f>
        <v>0180</v>
      </c>
      <c r="E19" s="5" t="s">
        <v>30</v>
      </c>
      <c r="F19" s="5" t="str">
        <f>VLOOKUP(CONCATENATE(C19,"_",E19),'Data types'!A:F,6,FALSE)</f>
        <v>Date: yyyy-mm-dd</v>
      </c>
      <c r="G19" s="17" t="s">
        <v>350</v>
      </c>
      <c r="H19" s="17"/>
      <c r="I19" s="5" t="s">
        <v>349</v>
      </c>
      <c r="J19" s="5" t="s">
        <v>368</v>
      </c>
      <c r="K19" s="5" t="s">
        <v>367</v>
      </c>
      <c r="L19" s="17" t="str">
        <f t="shared" si="0"/>
        <v>HIGH</v>
      </c>
      <c r="M19" s="17" t="str">
        <f t="shared" si="1"/>
        <v>B02</v>
      </c>
      <c r="N19" s="17" t="str">
        <f>"`"&amp;VLOOKUP(D19,'B02_Mapping fields'!B:C,2,FALSE)&amp;"`"</f>
        <v>`0180_dt_nxt_intrst_pymnt`</v>
      </c>
      <c r="O19" s="47" t="s">
        <v>159</v>
      </c>
      <c r="P19" s="17" t="str">
        <f>"`"&amp;VLOOKUP(O19,'B02_Mapping fields'!B:C,2,FALSE)&amp;"`"</f>
        <v>`0250_strctrd_prdct`</v>
      </c>
      <c r="Q19" s="47" t="s">
        <v>158</v>
      </c>
      <c r="R19" s="17" t="str">
        <f>"`"&amp;VLOOKUP(Q19,'B02_Mapping fields'!B:C,2,FALSE)&amp;"`"</f>
        <v>`0240_zero_coupon`</v>
      </c>
      <c r="S19" s="47"/>
      <c r="T19" s="17"/>
      <c r="U19" s="5" t="str">
        <f>+",SELECT '"&amp;M19&amp;"' AS TAB, '"&amp;L19&amp;"' AS ALERT_TYPE, '"&amp;B19&amp;"' AS CHECK_ID, ROW_NUMBER, CASE WHEN A.ISSUES &gt;0 THEN 1 ELSE 0 END AS "&amp;B19&amp;" FROM (SELECT COUNT(*) AS ISSUES FROM "&amp;M19&amp;" WHERE "&amp;M19&amp;"."&amp;D19&amp;" IS MISSING AND c0250 IN ('Non-Structured/Vanilla', 'Other non-standard terms') AND c0240 != 'ZCB issued at discount') AS A;"</f>
        <v>,SELECT 'B02' AS TAB, 'HIGH' AS ALERT_TYPE, 'v_1_0017' AS CHECK_ID, ROW_NUMBER, CASE WHEN A.ISSUES &gt;0 THEN 1 ELSE 0 END AS v_1_0017 FROM (SELECT COUNT(*) AS ISSUES FROM B02 WHERE B02.0180 IS MISSING AND c0250 IN ('Non-Structured/Vanilla', 'Other non-standard terms') AND c0240 != 'ZCB issued at discount') AS A;</v>
      </c>
      <c r="V19" s="5" t="str">
        <f>+",CASE WHEN "&amp;N19&amp;" IS MISSING AND "&amp;P19&amp;" IN ('Non-Structured/Vanilla', 'Other non-standard terms') AND "&amp;R19&amp;" != 'ZCB issued at discount' THEN 1 ELSE 0 END AS "&amp;B19</f>
        <v>,CASE WHEN `0180_dt_nxt_intrst_pymnt` IS MISSING AND `0250_strctrd_prdct` IN ('Non-Structured/Vanilla', 'Other non-standard terms') AND `0240_zero_coupon` != 'ZCB issued at discount' THEN 1 ELSE 0 END AS v_1_0017</v>
      </c>
      <c r="W19" t="str">
        <f t="shared" si="6"/>
        <v>SUM(v_1_0017) AS LVL1_H_0180_dt_nxt_intrst_pymnt,</v>
      </c>
    </row>
    <row r="20" spans="1:23" ht="40.950000000000003" customHeight="1" x14ac:dyDescent="0.3">
      <c r="A20" s="4" t="s">
        <v>35</v>
      </c>
      <c r="B20" s="2" t="str">
        <f t="shared" si="3"/>
        <v>v_1_0018</v>
      </c>
      <c r="C20" s="2" t="s">
        <v>66</v>
      </c>
      <c r="D20" s="2" t="str">
        <f>VLOOKUP(CONCATENATE(C20,"_",E20),'Data types'!A:E,4,FALSE)</f>
        <v>0180</v>
      </c>
      <c r="E20" s="5" t="s">
        <v>30</v>
      </c>
      <c r="F20" s="5" t="str">
        <f>VLOOKUP(CONCATENATE(C20,"_",E20),'Data types'!A:F,6,FALSE)</f>
        <v>Date: yyyy-mm-dd</v>
      </c>
      <c r="G20" s="17"/>
      <c r="H20" s="17" t="s">
        <v>350</v>
      </c>
      <c r="I20" s="5" t="s">
        <v>349</v>
      </c>
      <c r="J20" s="5" t="s">
        <v>354</v>
      </c>
      <c r="K20" s="5" t="s">
        <v>356</v>
      </c>
      <c r="L20" s="17" t="str">
        <f t="shared" si="0"/>
        <v>WARNING</v>
      </c>
      <c r="M20" s="17" t="str">
        <f t="shared" si="1"/>
        <v>B02</v>
      </c>
      <c r="N20" s="17" t="str">
        <f>"`"&amp;VLOOKUP(D20,'B02_Mapping fields'!B:C,2,FALSE)&amp;"`"</f>
        <v>`0180_dt_nxt_intrst_pymnt`</v>
      </c>
      <c r="O20" s="47" t="s">
        <v>159</v>
      </c>
      <c r="P20" s="17" t="str">
        <f>"`"&amp;VLOOKUP(O20,'B02_Mapping fields'!B:C,2,FALSE)&amp;"`"</f>
        <v>`0250_strctrd_prdct`</v>
      </c>
      <c r="Q20" s="47"/>
      <c r="R20" s="17"/>
      <c r="S20" s="47"/>
      <c r="T20" s="17"/>
      <c r="U20" s="5" t="str">
        <f>+",SELECT '"&amp;M20&amp;"' AS TAB, '"&amp;L20&amp;"' AS ALERT_TYPE, '"&amp;B20&amp;"' AS CHECK_ID, ROW_NUMBER, CASE WHEN A.ISSUES &gt;0 THEN 1 ELSE 0 END AS "&amp;B20&amp;" FROM (SELECT COUNT(*) AS ISSUES FROM "&amp;M20&amp;" WHERE "&amp;M20&amp;"."&amp;D20&amp;" IS MISSING AND c0250 NOT IN ('Structured', 'Only structured coupon')) AS A;"</f>
        <v>,SELECT 'B02' AS TAB, 'WARNING' AS ALERT_TYPE, 'v_1_0018' AS CHECK_ID, ROW_NUMBER, CASE WHEN A.ISSUES &gt;0 THEN 1 ELSE 0 END AS v_1_0018 FROM (SELECT COUNT(*) AS ISSUES FROM B02 WHERE B02.0180 IS MISSING AND c0250 NOT IN ('Structured', 'Only structured coupon')) AS A;</v>
      </c>
      <c r="V20" s="5" t="str">
        <f>+",CASE WHEN "&amp;N20&amp;" IS MISSING AND "&amp;P20&amp;" NOT IN ('Structured', 'Only structured coupon') THEN 1 ELSE 0 END AS "&amp;B20</f>
        <v>,CASE WHEN `0180_dt_nxt_intrst_pymnt` IS MISSING AND `0250_strctrd_prdct` NOT IN ('Structured', 'Only structured coupon') THEN 1 ELSE 0 END AS v_1_0018</v>
      </c>
      <c r="W20" t="str">
        <f t="shared" ref="W20:W21" si="8">+"SUM("&amp;B20&amp;") AS LVL1_W_"&amp;MID(N20,2,LEN(N20)-2)&amp;","</f>
        <v>SUM(v_1_0018) AS LVL1_W_0180_dt_nxt_intrst_pymnt,</v>
      </c>
    </row>
    <row r="21" spans="1:23" ht="40.950000000000003" customHeight="1" x14ac:dyDescent="0.3">
      <c r="A21" s="4" t="s">
        <v>37</v>
      </c>
      <c r="B21" s="2" t="str">
        <f t="shared" si="3"/>
        <v>v_1_0019</v>
      </c>
      <c r="C21" s="2" t="s">
        <v>66</v>
      </c>
      <c r="D21" s="2" t="str">
        <f>VLOOKUP(CONCATENATE(C21,"_",E21),'Data types'!A:E,4,FALSE)</f>
        <v>0200</v>
      </c>
      <c r="E21" s="5" t="s">
        <v>32</v>
      </c>
      <c r="F21" s="5" t="str">
        <f>VLOOKUP(CONCATENATE(C21,"_",E21),'Data types'!A:F,6,FALSE)</f>
        <v>Date: yyyy-mm-dd</v>
      </c>
      <c r="G21" s="17"/>
      <c r="H21" s="17" t="s">
        <v>350</v>
      </c>
      <c r="I21" s="5" t="s">
        <v>349</v>
      </c>
      <c r="J21" s="16"/>
      <c r="K21" s="5" t="s">
        <v>376</v>
      </c>
      <c r="L21" s="17" t="str">
        <f t="shared" si="0"/>
        <v>WARNING</v>
      </c>
      <c r="M21" s="17" t="str">
        <f t="shared" si="1"/>
        <v>B02</v>
      </c>
      <c r="N21" s="17" t="str">
        <f>"`"&amp;VLOOKUP(D21,'B02_Mapping fields'!B:C,2,FALSE)&amp;"`"</f>
        <v>`0200_dt_erlst_rdmptn`</v>
      </c>
      <c r="O21" s="47"/>
      <c r="P21" s="17"/>
      <c r="Q21" s="47"/>
      <c r="R21" s="17"/>
      <c r="S21" s="47"/>
      <c r="T21" s="17"/>
      <c r="U21" s="5" t="str">
        <f>+",SELECT '"&amp;M21&amp;"' AS TAB, '"&amp;L21&amp;"' AS ALERT_TYPE, '"&amp;B21&amp;"' AS CHECK_ID, ROW_NUMBER, CASE WHEN A.ISSUES &gt;0 THEN 1 ELSE 0 END AS "&amp;B21&amp;" FROM (SELECT COUNT(*) AS ISSUES FROM "&amp;M21&amp;" WHERE "&amp;M21&amp;"."&amp;D21&amp;" IS MISSING) AS A;"</f>
        <v>,SELECT 'B02' AS TAB, 'WARNING' AS ALERT_TYPE, 'v_1_0019' AS CHECK_ID, ROW_NUMBER, CASE WHEN A.ISSUES &gt;0 THEN 1 ELSE 0 END AS v_1_0019 FROM (SELECT COUNT(*) AS ISSUES FROM B02 WHERE B02.0200 IS MISSING) AS A;</v>
      </c>
      <c r="V21" s="5" t="str">
        <f>+",CASE WHEN "&amp;N21&amp;" IS MISSING THEN 1 ELSE 0 END AS "&amp;B21</f>
        <v>,CASE WHEN `0200_dt_erlst_rdmptn` IS MISSING THEN 1 ELSE 0 END AS v_1_0019</v>
      </c>
      <c r="W21" t="str">
        <f t="shared" si="8"/>
        <v>SUM(v_1_0019) AS LVL1_W_0200_dt_erlst_rdmptn,</v>
      </c>
    </row>
    <row r="22" spans="1:23" ht="40.950000000000003" hidden="1" customHeight="1" x14ac:dyDescent="0.3">
      <c r="A22" s="4" t="s">
        <v>38</v>
      </c>
      <c r="B22" s="2" t="str">
        <f t="shared" si="3"/>
        <v>v_1_0020</v>
      </c>
      <c r="C22" s="2" t="s">
        <v>66</v>
      </c>
      <c r="D22" s="2" t="str">
        <f>VLOOKUP(CONCATENATE(C22,"_",E22),'Data types'!A:E,4,FALSE)</f>
        <v>0210</v>
      </c>
      <c r="E22" s="5" t="s">
        <v>34</v>
      </c>
      <c r="F22" s="5" t="str">
        <f>VLOOKUP(CONCATENATE(C22,"_",E22),'Data types'!A:F,6,FALSE)</f>
        <v>Date: yyyy-mm-dd</v>
      </c>
      <c r="G22" s="17" t="s">
        <v>350</v>
      </c>
      <c r="H22" s="17"/>
      <c r="I22" s="5" t="s">
        <v>349</v>
      </c>
      <c r="J22" s="5" t="s">
        <v>377</v>
      </c>
      <c r="K22" s="5" t="s">
        <v>369</v>
      </c>
      <c r="L22" s="17" t="str">
        <f t="shared" si="0"/>
        <v>HIGH</v>
      </c>
      <c r="M22" s="17" t="str">
        <f t="shared" si="1"/>
        <v>B02</v>
      </c>
      <c r="N22" s="17" t="str">
        <f>"`"&amp;VLOOKUP(D22,'B02_Mapping fields'!B:C,2,FALSE)&amp;"`"</f>
        <v>`0210_dt_lgl_fnl_mtrty`</v>
      </c>
      <c r="O22" s="47" t="s">
        <v>147</v>
      </c>
      <c r="P22" s="17" t="str">
        <f>"`"&amp;VLOOKUP(O22,'B02_Mapping fields'!B:C,2,FALSE)&amp;"`"</f>
        <v>`0140_ntr_lblty`</v>
      </c>
      <c r="Q22" s="47"/>
      <c r="R22" s="17"/>
      <c r="S22" s="47"/>
      <c r="T22" s="17"/>
      <c r="U22" s="5" t="str">
        <f>+",SELECT '"&amp;M22&amp;"' AS TAB, '"&amp;L22&amp;"' AS ALERT_TYPE, '"&amp;B22&amp;"' AS CHECK_ID, ROW_NUMBER, CASE WHEN A.ISSUES &gt;0 THEN 1 ELSE 0 END AS "&amp;B22&amp;" FROM (SELECT COUNT(*) AS ISSUES FROM "&amp;M22&amp;" WHERE "&amp;M22&amp;"."&amp;D22&amp;" IS MISSING AND c0240 != 'Cash account/saving account') AS A;"</f>
        <v>,SELECT 'B02' AS TAB, 'HIGH' AS ALERT_TYPE, 'v_1_0020' AS CHECK_ID, ROW_NUMBER, CASE WHEN A.ISSUES &gt;0 THEN 1 ELSE 0 END AS v_1_0020 FROM (SELECT COUNT(*) AS ISSUES FROM B02 WHERE B02.0210 IS MISSING AND c0240 != 'Cash account/saving account') AS A;</v>
      </c>
      <c r="V22" s="5" t="str">
        <f>+",CASE WHEN "&amp;N22&amp;" IS MISSING AND "&amp;P22&amp;" != 'Cash account/saving account' THEN 1 ELSE 0 END AS "&amp;B22</f>
        <v>,CASE WHEN `0210_dt_lgl_fnl_mtrty` IS MISSING AND `0140_ntr_lblty` != 'Cash account/saving account' THEN 1 ELSE 0 END AS v_1_0020</v>
      </c>
      <c r="W22" t="str">
        <f t="shared" ref="W22:W24" si="9">+"SUM("&amp;B22&amp;") AS LVL1_H_"&amp;MID(N22,2,LEN(N22)-2)&amp;","</f>
        <v>SUM(v_1_0020) AS LVL1_H_0210_dt_lgl_fnl_mtrty,</v>
      </c>
    </row>
    <row r="23" spans="1:23" ht="40.950000000000003" hidden="1" customHeight="1" x14ac:dyDescent="0.3">
      <c r="A23" s="4" t="s">
        <v>40</v>
      </c>
      <c r="B23" s="2" t="str">
        <f t="shared" si="3"/>
        <v>v_1_0021</v>
      </c>
      <c r="C23" s="2" t="s">
        <v>66</v>
      </c>
      <c r="D23" s="2" t="str">
        <f>VLOOKUP(CONCATENATE(C23,"_",E23),'Data types'!A:E,4,FALSE)</f>
        <v>0220</v>
      </c>
      <c r="E23" s="5" t="s">
        <v>36</v>
      </c>
      <c r="F23" s="5" t="str">
        <f>VLOOKUP(CONCATENATE(C23,"_",E23),'Data types'!A:F,6,FALSE)</f>
        <v>String: ISO 3166-1 alpha 2 / ISO 3166-2</v>
      </c>
      <c r="G23" s="17" t="s">
        <v>350</v>
      </c>
      <c r="H23" s="17"/>
      <c r="I23" s="5" t="s">
        <v>349</v>
      </c>
      <c r="J23" s="16"/>
      <c r="K23" s="5" t="s">
        <v>7</v>
      </c>
      <c r="L23" s="17" t="str">
        <f t="shared" si="0"/>
        <v>HIGH</v>
      </c>
      <c r="M23" s="17" t="str">
        <f t="shared" si="1"/>
        <v>B02</v>
      </c>
      <c r="N23" s="17" t="str">
        <f>"`"&amp;VLOOKUP(D23,'B02_Mapping fields'!B:C,2,FALSE)&amp;"`"</f>
        <v>`0220_governing_law`</v>
      </c>
      <c r="O23" s="47"/>
      <c r="P23" s="17"/>
      <c r="Q23" s="47"/>
      <c r="R23" s="17"/>
      <c r="S23" s="47"/>
      <c r="T23" s="17"/>
      <c r="U23" s="5" t="str">
        <f>+",SELECT '"&amp;M23&amp;"' AS TAB, '"&amp;L23&amp;"' AS ALERT_TYPE, '"&amp;B23&amp;"' AS CHECK_ID, ROW_NUMBER, CASE WHEN A.ISSUES &gt;0 THEN 1 ELSE 0 END AS "&amp;B23&amp;" FROM (SELECT COUNT(*) AS ISSUES FROM "&amp;M23&amp;" WHERE "&amp;M23&amp;"."&amp;D23&amp;" IS MISSING) AS A;"</f>
        <v>,SELECT 'B02' AS TAB, 'HIGH' AS ALERT_TYPE, 'v_1_0021' AS CHECK_ID, ROW_NUMBER, CASE WHEN A.ISSUES &gt;0 THEN 1 ELSE 0 END AS v_1_0021 FROM (SELECT COUNT(*) AS ISSUES FROM B02 WHERE B02.0220 IS MISSING) AS A;</v>
      </c>
      <c r="V23" s="5" t="str">
        <f>+",CASE WHEN "&amp;N23&amp;" IS MISSING THEN 1 ELSE 0 END AS "&amp;B23</f>
        <v>,CASE WHEN `0220_governing_law` IS MISSING THEN 1 ELSE 0 END AS v_1_0021</v>
      </c>
      <c r="W23" t="str">
        <f t="shared" si="9"/>
        <v>SUM(v_1_0021) AS LVL1_H_0220_governing_law,</v>
      </c>
    </row>
    <row r="24" spans="1:23" ht="40.950000000000003" hidden="1" customHeight="1" x14ac:dyDescent="0.3">
      <c r="A24" s="4" t="s">
        <v>42</v>
      </c>
      <c r="B24" s="2" t="str">
        <f t="shared" si="3"/>
        <v>v_1_0022</v>
      </c>
      <c r="C24" s="2" t="s">
        <v>66</v>
      </c>
      <c r="D24" s="2" t="str">
        <f>VLOOKUP(CONCATENATE(C24,"_",E24),'Data types'!A:E,4,FALSE)</f>
        <v>0250</v>
      </c>
      <c r="E24" s="5" t="s">
        <v>39</v>
      </c>
      <c r="F24" s="5" t="str">
        <f>VLOOKUP(CONCATENATE(C24,"_",E24),'Data types'!A:F,6,FALSE)</f>
        <v>String: Drop-down</v>
      </c>
      <c r="G24" s="17" t="s">
        <v>350</v>
      </c>
      <c r="H24" s="17"/>
      <c r="I24" s="5" t="s">
        <v>349</v>
      </c>
      <c r="J24" s="16"/>
      <c r="K24" s="5" t="s">
        <v>7</v>
      </c>
      <c r="L24" s="17" t="str">
        <f t="shared" si="0"/>
        <v>HIGH</v>
      </c>
      <c r="M24" s="17" t="str">
        <f t="shared" si="1"/>
        <v>B02</v>
      </c>
      <c r="N24" s="17" t="str">
        <f>"`"&amp;VLOOKUP(D24,'B02_Mapping fields'!B:C,2,FALSE)&amp;"`"</f>
        <v>`0250_strctrd_prdct`</v>
      </c>
      <c r="O24" s="47"/>
      <c r="P24" s="17"/>
      <c r="Q24" s="47"/>
      <c r="R24" s="17"/>
      <c r="S24" s="47"/>
      <c r="T24" s="17"/>
      <c r="U24" s="5" t="str">
        <f>+",SELECT '"&amp;M24&amp;"' AS TAB, '"&amp;L24&amp;"' AS ALERT_TYPE, '"&amp;B24&amp;"' AS CHECK_ID, ROW_NUMBER, CASE WHEN A.ISSUES &gt;0 THEN 1 ELSE 0 END AS "&amp;B24&amp;" FROM (SELECT COUNT(*) AS ISSUES FROM "&amp;M24&amp;" WHERE "&amp;M24&amp;"."&amp;D24&amp;" IS MISSING) AS A;"</f>
        <v>,SELECT 'B02' AS TAB, 'HIGH' AS ALERT_TYPE, 'v_1_0022' AS CHECK_ID, ROW_NUMBER, CASE WHEN A.ISSUES &gt;0 THEN 1 ELSE 0 END AS v_1_0022 FROM (SELECT COUNT(*) AS ISSUES FROM B02 WHERE B02.0250 IS MISSING) AS A;</v>
      </c>
      <c r="V24" s="5" t="str">
        <f>+",CASE WHEN "&amp;N24&amp;" IS MISSING THEN 1 ELSE 0 END AS "&amp;B24</f>
        <v>,CASE WHEN `0250_strctrd_prdct` IS MISSING THEN 1 ELSE 0 END AS v_1_0022</v>
      </c>
      <c r="W24" t="str">
        <f t="shared" si="9"/>
        <v>SUM(v_1_0022) AS LVL1_H_0250_strctrd_prdct,</v>
      </c>
    </row>
    <row r="25" spans="1:23" ht="40.950000000000003" customHeight="1" x14ac:dyDescent="0.3">
      <c r="A25" s="4" t="s">
        <v>43</v>
      </c>
      <c r="B25" s="2" t="str">
        <f t="shared" si="3"/>
        <v>v_1_0023</v>
      </c>
      <c r="C25" s="2" t="s">
        <v>66</v>
      </c>
      <c r="D25" s="2" t="str">
        <f>VLOOKUP(CONCATENATE(C25,"_",E25),'Data types'!A:E,4,FALSE)</f>
        <v>0260</v>
      </c>
      <c r="E25" s="5" t="s">
        <v>41</v>
      </c>
      <c r="F25" s="5" t="str">
        <f>VLOOKUP(CONCATENATE(C25,"_",E25),'Data types'!A:F,6,FALSE)</f>
        <v>Numeric: 2 decimals</v>
      </c>
      <c r="G25" s="17"/>
      <c r="H25" s="17" t="s">
        <v>350</v>
      </c>
      <c r="I25" s="5" t="s">
        <v>349</v>
      </c>
      <c r="J25" s="28" t="s">
        <v>568</v>
      </c>
      <c r="K25" s="5" t="s">
        <v>370</v>
      </c>
      <c r="L25" s="17" t="str">
        <f t="shared" si="0"/>
        <v>WARNING</v>
      </c>
      <c r="M25" s="17" t="str">
        <f t="shared" si="1"/>
        <v>B02</v>
      </c>
      <c r="N25" s="17" t="str">
        <f>"`"&amp;VLOOKUP(D25,'B02_Mapping fields'!B:C,2,FALSE)&amp;"`"</f>
        <v>`0260_grntd_min_amnt_strctrd_prdct`</v>
      </c>
      <c r="O25" s="47" t="s">
        <v>159</v>
      </c>
      <c r="P25" s="17" t="str">
        <f>"`"&amp;VLOOKUP(O25,'B02_Mapping fields'!B:C,2,FALSE)&amp;"`"</f>
        <v>`0250_strctrd_prdct`</v>
      </c>
      <c r="Q25" s="47"/>
      <c r="R25" s="17"/>
      <c r="S25" s="47"/>
      <c r="T25" s="17"/>
      <c r="U25" s="5" t="str">
        <f>+",SELECT '"&amp;M25&amp;"' AS TAB, '"&amp;L25&amp;"' AS ALERT_TYPE, '"&amp;B25&amp;"' AS CHECK_ID, ROW_NUMBER, CASE WHEN A.ISSUES &gt;0 THEN 1 ELSE 0 END AS "&amp;B25&amp;" FROM (SELECT COUNT(*) AS ISSUES FROM "&amp;M25&amp;" WHERE "&amp;M25&amp;"."&amp;D25&amp;" IS MISSING AND c0250 IN ('Structured', 'Only structured coupon')) AS A;"</f>
        <v>,SELECT 'B02' AS TAB, 'WARNING' AS ALERT_TYPE, 'v_1_0023' AS CHECK_ID, ROW_NUMBER, CASE WHEN A.ISSUES &gt;0 THEN 1 ELSE 0 END AS v_1_0023 FROM (SELECT COUNT(*) AS ISSUES FROM B02 WHERE B02.0260 IS MISSING AND c0250 IN ('Structured', 'Only structured coupon')) AS A;</v>
      </c>
      <c r="V25" s="5" t="str">
        <f>+",CASE WHEN "&amp;N25&amp;" IS MISSING AND "&amp;P25&amp;" IN ('Structured', 'Only structured coupon') THEN 1 ELSE 0 END AS "&amp;B25</f>
        <v>,CASE WHEN `0260_grntd_min_amnt_strctrd_prdct` IS MISSING AND `0250_strctrd_prdct` IN ('Structured', 'Only structured coupon') THEN 1 ELSE 0 END AS v_1_0023</v>
      </c>
      <c r="W25" t="str">
        <f>+"SUM("&amp;B25&amp;") AS LVL1_W_"&amp;MID(N25,2,LEN(N25)-2)&amp;","</f>
        <v>SUM(v_1_0023) AS LVL1_W_0260_grntd_min_amnt_strctrd_prdct,</v>
      </c>
    </row>
    <row r="26" spans="1:23" ht="40.950000000000003" hidden="1" customHeight="1" x14ac:dyDescent="0.3">
      <c r="A26" s="4" t="s">
        <v>45</v>
      </c>
      <c r="B26" s="2" t="str">
        <f t="shared" si="3"/>
        <v>v_1_0024</v>
      </c>
      <c r="C26" s="2" t="s">
        <v>66</v>
      </c>
      <c r="D26" s="2" t="str">
        <f>VLOOKUP(CONCATENATE(C26,"_",E26),'Data types'!A:E,4,FALSE)</f>
        <v>0270</v>
      </c>
      <c r="E26" s="5" t="s">
        <v>317</v>
      </c>
      <c r="F26" s="5" t="str">
        <f>VLOOKUP(CONCATENATE(C26,"_",E26),'Data types'!A:F,6,FALSE)</f>
        <v>Numeric: 2 decimals</v>
      </c>
      <c r="G26" s="17" t="s">
        <v>350</v>
      </c>
      <c r="H26" s="17"/>
      <c r="I26" s="5" t="s">
        <v>349</v>
      </c>
      <c r="J26" s="28" t="s">
        <v>568</v>
      </c>
      <c r="K26" s="5" t="s">
        <v>358</v>
      </c>
      <c r="L26" s="17" t="str">
        <f t="shared" si="0"/>
        <v>HIGH</v>
      </c>
      <c r="M26" s="17" t="str">
        <f t="shared" si="1"/>
        <v>B02</v>
      </c>
      <c r="N26" s="17" t="str">
        <f>"`"&amp;VLOOKUP(D26,'B02_Mapping fields'!B:C,2,FALSE)&amp;"`"</f>
        <v>`0270_fv_amnt_strctrd_prdct`</v>
      </c>
      <c r="O26" s="47" t="s">
        <v>159</v>
      </c>
      <c r="P26" s="17" t="str">
        <f>"`"&amp;VLOOKUP(O26,'B02_Mapping fields'!B:C,2,FALSE)&amp;"`"</f>
        <v>`0250_strctrd_prdct`</v>
      </c>
      <c r="Q26" s="47"/>
      <c r="R26" s="17"/>
      <c r="S26" s="47"/>
      <c r="T26" s="17"/>
      <c r="U26" s="5" t="str">
        <f>+",SELECT '"&amp;M26&amp;"' AS TAB, '"&amp;L26&amp;"' AS ALERT_TYPE, '"&amp;B26&amp;"' AS CHECK_ID, ROW_NUMBER, CASE WHEN A.ISSUES &gt;0 THEN 1 ELSE 0 END AS "&amp;B26&amp;" FROM (SELECT COUNT(*) AS ISSUES FROM "&amp;M26&amp;" WHERE "&amp;M26&amp;"."&amp;D26&amp;" IS MISSING AND c0250 IN ('Structured', 'Only structured coupon')) AS A;"</f>
        <v>,SELECT 'B02' AS TAB, 'HIGH' AS ALERT_TYPE, 'v_1_0024' AS CHECK_ID, ROW_NUMBER, CASE WHEN A.ISSUES &gt;0 THEN 1 ELSE 0 END AS v_1_0024 FROM (SELECT COUNT(*) AS ISSUES FROM B02 WHERE B02.0270 IS MISSING AND c0250 IN ('Structured', 'Only structured coupon')) AS A;</v>
      </c>
      <c r="V26" s="5" t="str">
        <f>+",CASE WHEN "&amp;N26&amp;" IS MISSING AND "&amp;P26&amp;" IN ('Structured', 'Only structured coupon') THEN 1 ELSE 0 END AS "&amp;B26</f>
        <v>,CASE WHEN `0270_fv_amnt_strctrd_prdct` IS MISSING AND `0250_strctrd_prdct` IN ('Structured', 'Only structured coupon') THEN 1 ELSE 0 END AS v_1_0024</v>
      </c>
      <c r="W26" t="str">
        <f t="shared" ref="W26:W33" si="10">+"SUM("&amp;B26&amp;") AS LVL1_H_"&amp;MID(N26,2,LEN(N26)-2)&amp;","</f>
        <v>SUM(v_1_0024) AS LVL1_H_0270_fv_amnt_strctrd_prdct,</v>
      </c>
    </row>
    <row r="27" spans="1:23" ht="40.950000000000003" hidden="1" customHeight="1" x14ac:dyDescent="0.3">
      <c r="A27" s="4" t="s">
        <v>47</v>
      </c>
      <c r="B27" s="2" t="str">
        <f t="shared" si="3"/>
        <v>v_1_0025</v>
      </c>
      <c r="C27" s="2" t="s">
        <v>66</v>
      </c>
      <c r="D27" s="2" t="str">
        <f>VLOOKUP(CONCATENATE(C27,"_",E27),'Data types'!A:E,4,FALSE)</f>
        <v>0300</v>
      </c>
      <c r="E27" s="5" t="s">
        <v>44</v>
      </c>
      <c r="F27" s="5" t="str">
        <f>VLOOKUP(CONCATENATE(C27,"_",E27),'Data types'!A:F,6,FALSE)</f>
        <v>Numeric: 2 decimals</v>
      </c>
      <c r="G27" s="17" t="s">
        <v>350</v>
      </c>
      <c r="H27" s="17"/>
      <c r="I27" s="5" t="s">
        <v>349</v>
      </c>
      <c r="J27" s="5" t="s">
        <v>359</v>
      </c>
      <c r="K27" s="5" t="s">
        <v>425</v>
      </c>
      <c r="L27" s="17" t="str">
        <f t="shared" si="0"/>
        <v>HIGH</v>
      </c>
      <c r="M27" s="17" t="str">
        <f t="shared" si="1"/>
        <v>B02</v>
      </c>
      <c r="N27" s="17" t="str">
        <f>"`"&amp;VLOOKUP(D27,'B02_Mapping fields'!B:C,2,FALSE)&amp;"`"</f>
        <v>`0300_amnt_cvrd_elgbl_dpsts`</v>
      </c>
      <c r="O27" s="47" t="s">
        <v>163</v>
      </c>
      <c r="P27" s="17" t="str">
        <f>"`"&amp;VLOOKUP(O27,'B02_Mapping fields'!B:C,2,FALSE)&amp;"`"</f>
        <v>`0280_flg_ncnp_dpsts`</v>
      </c>
      <c r="Q27" s="47" t="s">
        <v>165</v>
      </c>
      <c r="R27" s="17" t="str">
        <f>"`"&amp;VLOOKUP(Q27,'B02_Mapping fields'!B:C,2,FALSE)&amp;"`"</f>
        <v>`0290_flg_ncbp_dpsts`</v>
      </c>
      <c r="S27" s="47"/>
      <c r="T27" s="17"/>
      <c r="U27" s="5" t="str">
        <f>+",SELECT '"&amp;M27&amp;"' AS TAB, '"&amp;L27&amp;"' AS ALERT_TYPE, '"&amp;B27&amp;"' AS CHECK_ID, ROW_NUMBER, CASE WHEN A.ISSUES &gt;0 THEN 1 ELSE 0 END AS "&amp;B27&amp;" FROM (SELECT COUNT(*) AS ISSUES FROM "&amp;M27&amp;" WHERE "&amp;M27&amp;"."&amp;D27&amp;" IS MISSING AND (c0280 = 'TRUE' or c0290 = 'TRUE')) AS A;"</f>
        <v>,SELECT 'B02' AS TAB, 'HIGH' AS ALERT_TYPE, 'v_1_0025' AS CHECK_ID, ROW_NUMBER, CASE WHEN A.ISSUES &gt;0 THEN 1 ELSE 0 END AS v_1_0025 FROM (SELECT COUNT(*) AS ISSUES FROM B02 WHERE B02.0300 IS MISSING AND (c0280 = 'TRUE' or c0290 = 'TRUE')) AS A;</v>
      </c>
      <c r="V27" s="5" t="str">
        <f>+",CASE WHEN "&amp;N27&amp;" IS MISSING AND ("&amp;P27&amp;" = 'TRUE' or "&amp;R27&amp;" = 'TRUE') THEN 1 ELSE 0 END AS "&amp;B27</f>
        <v>,CASE WHEN `0300_amnt_cvrd_elgbl_dpsts` IS MISSING AND (`0280_flg_ncnp_dpsts` = 'TRUE' or `0290_flg_ncbp_dpsts` = 'TRUE') THEN 1 ELSE 0 END AS v_1_0025</v>
      </c>
      <c r="W27" t="str">
        <f t="shared" si="10"/>
        <v>SUM(v_1_0025) AS LVL1_H_0300_amnt_cvrd_elgbl_dpsts,</v>
      </c>
    </row>
    <row r="28" spans="1:23" ht="40.950000000000003" hidden="1" customHeight="1" x14ac:dyDescent="0.3">
      <c r="A28" s="4" t="s">
        <v>48</v>
      </c>
      <c r="B28" s="2" t="str">
        <f t="shared" si="3"/>
        <v>v_1_0026</v>
      </c>
      <c r="C28" s="2" t="s">
        <v>66</v>
      </c>
      <c r="D28" s="2" t="str">
        <f>VLOOKUP(CONCATENATE(C28,"_",E28),'Data types'!A:E,4,FALSE)</f>
        <v>0310</v>
      </c>
      <c r="E28" s="5" t="s">
        <v>46</v>
      </c>
      <c r="F28" s="5" t="str">
        <f>VLOOKUP(CONCATENATE(C28,"_",E28),'Data types'!A:F,6,FALSE)</f>
        <v>String: Drop-down</v>
      </c>
      <c r="G28" s="17" t="s">
        <v>350</v>
      </c>
      <c r="H28" s="17"/>
      <c r="I28" s="5" t="s">
        <v>349</v>
      </c>
      <c r="J28" s="16"/>
      <c r="K28" s="5" t="s">
        <v>7</v>
      </c>
      <c r="L28" s="17" t="str">
        <f t="shared" si="0"/>
        <v>HIGH</v>
      </c>
      <c r="M28" s="17" t="str">
        <f t="shared" si="1"/>
        <v>B02</v>
      </c>
      <c r="N28" s="17" t="str">
        <f>"`"&amp;VLOOKUP(D28,'B02_Mapping fields'!B:C,2,FALSE)&amp;"`"</f>
        <v>`0310_flg_clltrl_agrmnts`</v>
      </c>
      <c r="O28" s="47"/>
      <c r="P28" s="17"/>
      <c r="Q28" s="47"/>
      <c r="R28" s="17"/>
      <c r="S28" s="47"/>
      <c r="T28" s="17"/>
      <c r="U28" s="5" t="str">
        <f>+",SELECT '"&amp;M28&amp;"' AS TAB, '"&amp;L28&amp;"' AS ALERT_TYPE, '"&amp;B28&amp;"' AS CHECK_ID, ROW_NUMBER, CASE WHEN A.ISSUES &gt;0 THEN 1 ELSE 0 END AS "&amp;B28&amp;" FROM (SELECT COUNT(*) AS ISSUES FROM "&amp;M28&amp;" WHERE "&amp;M28&amp;"."&amp;D28&amp;" IS MISSING) AS A;"</f>
        <v>,SELECT 'B02' AS TAB, 'HIGH' AS ALERT_TYPE, 'v_1_0026' AS CHECK_ID, ROW_NUMBER, CASE WHEN A.ISSUES &gt;0 THEN 1 ELSE 0 END AS v_1_0026 FROM (SELECT COUNT(*) AS ISSUES FROM B02 WHERE B02.0310 IS MISSING) AS A;</v>
      </c>
      <c r="V28" s="5" t="str">
        <f>+",CASE WHEN "&amp;N28&amp;" IS MISSING THEN 1 ELSE 0 END AS "&amp;B28</f>
        <v>,CASE WHEN `0310_flg_clltrl_agrmnts` IS MISSING THEN 1 ELSE 0 END AS v_1_0026</v>
      </c>
      <c r="W28" t="str">
        <f t="shared" si="10"/>
        <v>SUM(v_1_0026) AS LVL1_H_0310_flg_clltrl_agrmnts,</v>
      </c>
    </row>
    <row r="29" spans="1:23" ht="40.950000000000003" hidden="1" customHeight="1" x14ac:dyDescent="0.3">
      <c r="A29" s="4" t="s">
        <v>49</v>
      </c>
      <c r="B29" s="2" t="str">
        <f t="shared" si="3"/>
        <v>v_1_0027</v>
      </c>
      <c r="C29" s="2" t="s">
        <v>66</v>
      </c>
      <c r="D29" s="2" t="str">
        <f>VLOOKUP(CONCATENATE(C29,"_",E29),'Data types'!A:E,4,FALSE)</f>
        <v>0320</v>
      </c>
      <c r="E29" s="5" t="s">
        <v>273</v>
      </c>
      <c r="F29" s="5" t="str">
        <f>VLOOKUP(CONCATENATE(C29,"_",E29),'Data types'!A:F,6,FALSE)</f>
        <v>Numeric: 2 decimals</v>
      </c>
      <c r="G29" s="17" t="s">
        <v>350</v>
      </c>
      <c r="H29" s="17"/>
      <c r="I29" s="5" t="s">
        <v>349</v>
      </c>
      <c r="J29" s="5" t="s">
        <v>292</v>
      </c>
      <c r="K29" s="5" t="s">
        <v>426</v>
      </c>
      <c r="L29" s="17" t="str">
        <f t="shared" si="0"/>
        <v>HIGH</v>
      </c>
      <c r="M29" s="17" t="str">
        <f t="shared" si="1"/>
        <v>B02</v>
      </c>
      <c r="N29" s="17" t="str">
        <f>"`"&amp;VLOOKUP(D29,'B02_Mapping fields'!B:C,2,FALSE)&amp;"`"</f>
        <v>`0320_amnt_clltrl`</v>
      </c>
      <c r="O29" s="47" t="s">
        <v>168</v>
      </c>
      <c r="P29" s="17" t="str">
        <f>"`"&amp;VLOOKUP(O29,'B02_Mapping fields'!B:C,2,FALSE)&amp;"`"</f>
        <v>`0310_flg_clltrl_agrmnts`</v>
      </c>
      <c r="Q29" s="47"/>
      <c r="R29" s="17"/>
      <c r="S29" s="47"/>
      <c r="T29" s="17"/>
      <c r="U29" s="5" t="str">
        <f>+",SELECT '"&amp;M29&amp;"' AS TAB, '"&amp;L29&amp;"' AS ALERT_TYPE, '"&amp;B29&amp;"' AS CHECK_ID, ROW_NUMBER, CASE WHEN A.ISSUES &gt;0 THEN 1 ELSE 0 END AS "&amp;B29&amp;" FROM (SELECT COUNT(*) AS ISSUES FROM "&amp;M29&amp;" WHERE "&amp;M29&amp;"."&amp;D29&amp;" IS MISSING AND c0310 = 'Secured') AS A;"</f>
        <v>,SELECT 'B02' AS TAB, 'HIGH' AS ALERT_TYPE, 'v_1_0027' AS CHECK_ID, ROW_NUMBER, CASE WHEN A.ISSUES &gt;0 THEN 1 ELSE 0 END AS v_1_0027 FROM (SELECT COUNT(*) AS ISSUES FROM B02 WHERE B02.0320 IS MISSING AND c0310 = 'Secured') AS A;</v>
      </c>
      <c r="V29" s="5" t="str">
        <f>+",CASE WHEN "&amp;N29&amp;" IS MISSING AND "&amp;P29&amp;" = 'Secured' THEN 1 ELSE 0 END AS "&amp;B29</f>
        <v>,CASE WHEN `0320_amnt_clltrl` IS MISSING AND `0310_flg_clltrl_agrmnts` = 'Secured' THEN 1 ELSE 0 END AS v_1_0027</v>
      </c>
      <c r="W29" t="str">
        <f t="shared" si="10"/>
        <v>SUM(v_1_0027) AS LVL1_H_0320_amnt_clltrl,</v>
      </c>
    </row>
    <row r="30" spans="1:23" ht="40.950000000000003" hidden="1" customHeight="1" x14ac:dyDescent="0.3">
      <c r="A30" s="4" t="s">
        <v>51</v>
      </c>
      <c r="B30" s="2" t="str">
        <f t="shared" si="3"/>
        <v>v_1_0028</v>
      </c>
      <c r="C30" s="2" t="s">
        <v>66</v>
      </c>
      <c r="D30" s="2" t="str">
        <f>VLOOKUP(CONCATENATE(C30,"_",E30),'Data types'!A:E,4,FALSE)</f>
        <v>0330</v>
      </c>
      <c r="E30" s="5" t="s">
        <v>274</v>
      </c>
      <c r="F30" s="5" t="str">
        <f>VLOOKUP(CONCATENATE(C30,"_",E30),'Data types'!A:F,6,FALSE)</f>
        <v>Numeric: 2 decimals</v>
      </c>
      <c r="G30" s="17" t="s">
        <v>350</v>
      </c>
      <c r="H30" s="17"/>
      <c r="I30" s="5" t="s">
        <v>349</v>
      </c>
      <c r="J30" s="5" t="s">
        <v>292</v>
      </c>
      <c r="K30" s="5" t="s">
        <v>371</v>
      </c>
      <c r="L30" s="17" t="str">
        <f t="shared" si="0"/>
        <v>HIGH</v>
      </c>
      <c r="M30" s="17" t="str">
        <f t="shared" si="1"/>
        <v>B02</v>
      </c>
      <c r="N30" s="17" t="str">
        <f>"`"&amp;VLOOKUP(D30,'B02_Mapping fields'!B:C,2,FALSE)&amp;"`"</f>
        <v>`0330_amnt_unclltrlzd`</v>
      </c>
      <c r="O30" s="47" t="s">
        <v>168</v>
      </c>
      <c r="P30" s="17" t="str">
        <f>"`"&amp;VLOOKUP(O30,'B02_Mapping fields'!B:C,2,FALSE)&amp;"`"</f>
        <v>`0310_flg_clltrl_agrmnts`</v>
      </c>
      <c r="Q30" s="47"/>
      <c r="R30" s="17"/>
      <c r="S30" s="47"/>
      <c r="T30" s="17"/>
      <c r="U30" s="5" t="str">
        <f>+",SELECT '"&amp;M30&amp;"' AS TAB, '"&amp;L30&amp;"' AS ALERT_TYPE, '"&amp;B30&amp;"' AS CHECK_ID, ROW_NUMBER, CASE WHEN A.ISSUES &gt;0 THEN 1 ELSE 0 END AS "&amp;B30&amp;" FROM (SELECT COUNT(*) AS ISSUES FROM "&amp;M30&amp;" WHERE "&amp;M30&amp;"."&amp;D30&amp;" IS MISSING AND c0310 = 'Secured') AS A;"</f>
        <v>,SELECT 'B02' AS TAB, 'HIGH' AS ALERT_TYPE, 'v_1_0028' AS CHECK_ID, ROW_NUMBER, CASE WHEN A.ISSUES &gt;0 THEN 1 ELSE 0 END AS v_1_0028 FROM (SELECT COUNT(*) AS ISSUES FROM B02 WHERE B02.0330 IS MISSING AND c0310 = 'Secured') AS A;</v>
      </c>
      <c r="V30" s="5" t="str">
        <f>+",CASE WHEN "&amp;N30&amp;" IS MISSING AND "&amp;P30&amp;" = 'Secured' THEN 1 ELSE 0 END AS "&amp;B30</f>
        <v>,CASE WHEN `0330_amnt_unclltrlzd` IS MISSING AND `0310_flg_clltrl_agrmnts` = 'Secured' THEN 1 ELSE 0 END AS v_1_0028</v>
      </c>
      <c r="W30" t="str">
        <f t="shared" si="10"/>
        <v>SUM(v_1_0028) AS LVL1_H_0330_amnt_unclltrlzd,</v>
      </c>
    </row>
    <row r="31" spans="1:23" ht="40.950000000000003" hidden="1" customHeight="1" x14ac:dyDescent="0.3">
      <c r="A31" s="4" t="s">
        <v>53</v>
      </c>
      <c r="B31" s="2" t="str">
        <f t="shared" si="3"/>
        <v>v_1_0029</v>
      </c>
      <c r="C31" s="2" t="s">
        <v>66</v>
      </c>
      <c r="D31" s="2" t="str">
        <f>VLOOKUP(CONCATENATE(C31,"_",E31),'Data types'!A:E,4,FALSE)</f>
        <v>0350</v>
      </c>
      <c r="E31" s="5" t="s">
        <v>50</v>
      </c>
      <c r="F31" s="5" t="str">
        <f>VLOOKUP(CONCATENATE(C31,"_",E31),'Data types'!A:F,6,FALSE)</f>
        <v>String: Drop-down</v>
      </c>
      <c r="G31" s="17" t="s">
        <v>350</v>
      </c>
      <c r="H31" s="17"/>
      <c r="I31" s="5" t="s">
        <v>349</v>
      </c>
      <c r="J31" s="5" t="s">
        <v>292</v>
      </c>
      <c r="K31" s="5" t="s">
        <v>371</v>
      </c>
      <c r="L31" s="17" t="str">
        <f t="shared" si="0"/>
        <v>HIGH</v>
      </c>
      <c r="M31" s="17" t="str">
        <f t="shared" si="1"/>
        <v>B02</v>
      </c>
      <c r="N31" s="17" t="str">
        <f>"`"&amp;VLOOKUP(D31,'B02_Mapping fields'!B:C,2,FALSE)&amp;"`"</f>
        <v>`0350_typ_clltrl`</v>
      </c>
      <c r="O31" s="47" t="s">
        <v>168</v>
      </c>
      <c r="P31" s="17" t="str">
        <f>"`"&amp;VLOOKUP(O31,'B02_Mapping fields'!B:C,2,FALSE)&amp;"`"</f>
        <v>`0310_flg_clltrl_agrmnts`</v>
      </c>
      <c r="Q31" s="47"/>
      <c r="R31" s="17"/>
      <c r="S31" s="47"/>
      <c r="T31" s="17"/>
      <c r="U31" s="5" t="str">
        <f>+",SELECT '"&amp;M31&amp;"' AS TAB, '"&amp;L31&amp;"' AS ALERT_TYPE, '"&amp;B31&amp;"' AS CHECK_ID, ROW_NUMBER, CASE WHEN A.ISSUES &gt;0 THEN 1 ELSE 0 END AS "&amp;B31&amp;" FROM (SELECT COUNT(*) AS ISSUES FROM "&amp;M31&amp;" WHERE "&amp;M31&amp;"."&amp;D31&amp;" IS MISSING AND c0310 = 'Secured') AS A;"</f>
        <v>,SELECT 'B02' AS TAB, 'HIGH' AS ALERT_TYPE, 'v_1_0029' AS CHECK_ID, ROW_NUMBER, CASE WHEN A.ISSUES &gt;0 THEN 1 ELSE 0 END AS v_1_0029 FROM (SELECT COUNT(*) AS ISSUES FROM B02 WHERE B02.0350 IS MISSING AND c0310 = 'Secured') AS A;</v>
      </c>
      <c r="V31" s="5" t="str">
        <f>+",CASE WHEN "&amp;N31&amp;" IS MISSING AND "&amp;P31&amp;" = 'Secured' THEN 1 ELSE 0 END AS "&amp;B31</f>
        <v>,CASE WHEN `0350_typ_clltrl` IS MISSING AND `0310_flg_clltrl_agrmnts` = 'Secured' THEN 1 ELSE 0 END AS v_1_0029</v>
      </c>
      <c r="W31" t="str">
        <f t="shared" si="10"/>
        <v>SUM(v_1_0029) AS LVL1_H_0350_typ_clltrl,</v>
      </c>
    </row>
    <row r="32" spans="1:23" ht="40.950000000000003" hidden="1" customHeight="1" x14ac:dyDescent="0.3">
      <c r="A32" s="4" t="s">
        <v>54</v>
      </c>
      <c r="B32" s="2" t="str">
        <f t="shared" si="3"/>
        <v>v_1_0030</v>
      </c>
      <c r="C32" s="2" t="s">
        <v>66</v>
      </c>
      <c r="D32" s="2" t="str">
        <f>VLOOKUP(CONCATENATE(C32,"_",E32),'Data types'!A:E,4,FALSE)</f>
        <v>0351</v>
      </c>
      <c r="E32" s="5" t="s">
        <v>52</v>
      </c>
      <c r="F32" s="5" t="str">
        <f>VLOOKUP(CONCATENATE(C32,"_",E32),'Data types'!A:F,6,FALSE)</f>
        <v>String: Free text</v>
      </c>
      <c r="G32" s="17" t="s">
        <v>350</v>
      </c>
      <c r="H32" s="17"/>
      <c r="I32" s="5" t="s">
        <v>349</v>
      </c>
      <c r="J32" s="5" t="s">
        <v>293</v>
      </c>
      <c r="K32" s="5" t="s">
        <v>291</v>
      </c>
      <c r="L32" s="17" t="str">
        <f t="shared" si="0"/>
        <v>HIGH</v>
      </c>
      <c r="M32" s="17" t="str">
        <f t="shared" si="1"/>
        <v>B02</v>
      </c>
      <c r="N32" s="17" t="str">
        <f>"`"&amp;VLOOKUP(D32,'B02_Mapping fields'!B:C,2,FALSE)&amp;"`"</f>
        <v>`0351_typ_clltrl_othr`</v>
      </c>
      <c r="O32" s="47" t="s">
        <v>173</v>
      </c>
      <c r="P32" s="17" t="str">
        <f>"`"&amp;VLOOKUP(O32,'B02_Mapping fields'!B:C,2,FALSE)&amp;"`"</f>
        <v>`0350_typ_clltrl`</v>
      </c>
      <c r="Q32" s="47"/>
      <c r="R32" s="17"/>
      <c r="S32" s="47"/>
      <c r="T32" s="17"/>
      <c r="U32" s="5" t="str">
        <f>+",SELECT '"&amp;M32&amp;"' AS TAB, '"&amp;L32&amp;"' AS ALERT_TYPE, '"&amp;B32&amp;"' AS CHECK_ID, ROW_NUMBER, CASE WHEN A.ISSUES &gt;0 THEN 1 ELSE 0 END AS "&amp;B32&amp;" FROM (SELECT COUNT(*) AS ISSUES FROM "&amp;M32&amp;" WHERE "&amp;M32&amp;"."&amp;D32&amp;" IS MISSING AND c0350 = 'Other') AS A;"</f>
        <v>,SELECT 'B02' AS TAB, 'HIGH' AS ALERT_TYPE, 'v_1_0030' AS CHECK_ID, ROW_NUMBER, CASE WHEN A.ISSUES &gt;0 THEN 1 ELSE 0 END AS v_1_0030 FROM (SELECT COUNT(*) AS ISSUES FROM B02 WHERE B02.0351 IS MISSING AND c0350 = 'Other') AS A;</v>
      </c>
      <c r="V32" s="5" t="str">
        <f>+",CASE WHEN "&amp;N32&amp;" IS MISSING AND "&amp;P32&amp;" = 'Other' THEN 1 ELSE 0 END AS "&amp;B32</f>
        <v>,CASE WHEN `0351_typ_clltrl_othr` IS MISSING AND `0350_typ_clltrl` = 'Other' THEN 1 ELSE 0 END AS v_1_0030</v>
      </c>
      <c r="W32" t="str">
        <f t="shared" si="10"/>
        <v>SUM(v_1_0030) AS LVL1_H_0351_typ_clltrl_othr,</v>
      </c>
    </row>
    <row r="33" spans="1:24" ht="40.950000000000003" hidden="1" customHeight="1" x14ac:dyDescent="0.3">
      <c r="A33" s="4" t="s">
        <v>55</v>
      </c>
      <c r="B33" s="2" t="str">
        <f t="shared" si="3"/>
        <v>v_1_0031</v>
      </c>
      <c r="C33" s="2" t="s">
        <v>66</v>
      </c>
      <c r="D33" s="2" t="str">
        <f>VLOOKUP(CONCATENATE(C33,"_",E33),'Data types'!A:E,4,FALSE)</f>
        <v>0370</v>
      </c>
      <c r="E33" s="5" t="s">
        <v>294</v>
      </c>
      <c r="F33" s="5" t="str">
        <f>VLOOKUP(CONCATENATE(C33,"_",E33),'Data types'!A:F,6,FALSE)</f>
        <v>Numeric: 2 decimals</v>
      </c>
      <c r="G33" s="17" t="s">
        <v>350</v>
      </c>
      <c r="H33" s="17"/>
      <c r="I33" s="5" t="s">
        <v>349</v>
      </c>
      <c r="J33" s="5" t="s">
        <v>403</v>
      </c>
      <c r="K33" s="5" t="s">
        <v>372</v>
      </c>
      <c r="L33" s="17" t="str">
        <f t="shared" si="0"/>
        <v>HIGH</v>
      </c>
      <c r="M33" s="17" t="str">
        <f t="shared" si="1"/>
        <v>B02</v>
      </c>
      <c r="N33" s="17" t="str">
        <f>"`"&amp;VLOOKUP(D33,'B02_Mapping fields'!B:C,2,FALSE)&amp;"`"</f>
        <v>`0370_amnt_scrty_eur`</v>
      </c>
      <c r="O33" s="47" t="s">
        <v>68</v>
      </c>
      <c r="P33" s="17" t="str">
        <f>"`"&amp;VLOOKUP(O33,'B02_Mapping fields'!B:C,2,FALSE)&amp;"`"</f>
        <v>`0040_typ_uniq_id_knwn_cntrprty`</v>
      </c>
      <c r="Q33" s="47" t="s">
        <v>174</v>
      </c>
      <c r="R33" s="17" t="str">
        <f>"`"&amp;VLOOKUP(Q33,'B02_Mapping fields'!B:C,2,FALSE)&amp;"`"</f>
        <v>`0360_trdng_mthd`</v>
      </c>
      <c r="S33" s="47"/>
      <c r="T33" s="17"/>
      <c r="U33" s="5" t="str">
        <f>+",SELECT '"&amp;M33&amp;"' AS TAB, '"&amp;L33&amp;"' AS ALERT_TYPE, '"&amp;B33&amp;"' AS CHECK_ID, ROW_NUMBER, CASE WHEN A.ISSUES &gt;0 THEN 1 ELSE 0 END AS "&amp;B33&amp;" FROM (SELECT COUNT(*) AS ISSUES FROM "&amp;M33&amp;" WHERE "&amp;M33&amp;"."&amp;D33&amp;" IS MISSING AND c0040 = 'ISIN' AND c0360 = 'Nominal') AS A;"</f>
        <v>,SELECT 'B02' AS TAB, 'HIGH' AS ALERT_TYPE, 'v_1_0031' AS CHECK_ID, ROW_NUMBER, CASE WHEN A.ISSUES &gt;0 THEN 1 ELSE 0 END AS v_1_0031 FROM (SELECT COUNT(*) AS ISSUES FROM B02 WHERE B02.0370 IS MISSING AND c0040 = 'ISIN' AND c0360 = 'Nominal') AS A;</v>
      </c>
      <c r="V33" s="5" t="str">
        <f>+",CASE WHEN "&amp;N33&amp;" IS MISSING AND "&amp;P33&amp;" = 'ISIN' AND "&amp;R33&amp;" = 'Nominal' THEN 1 ELSE 0 END AS "&amp;B33</f>
        <v>,CASE WHEN `0370_amnt_scrty_eur` IS MISSING AND `0040_typ_uniq_id_knwn_cntrprty` = 'ISIN' AND `0360_trdng_mthd` = 'Nominal' THEN 1 ELSE 0 END AS v_1_0031</v>
      </c>
      <c r="W33" t="str">
        <f t="shared" si="10"/>
        <v>SUM(v_1_0031) AS LVL1_H_0370_amnt_scrty_eur,</v>
      </c>
    </row>
    <row r="34" spans="1:24" ht="40.950000000000003" customHeight="1" x14ac:dyDescent="0.3">
      <c r="A34" s="4" t="s">
        <v>56</v>
      </c>
      <c r="B34" s="2" t="str">
        <f t="shared" ref="B34" si="11">CONCATENATE("v_1_",A34)</f>
        <v>v_1_0032</v>
      </c>
      <c r="C34" s="2" t="s">
        <v>66</v>
      </c>
      <c r="D34" s="2" t="str">
        <f>VLOOKUP(CONCATENATE(C34,"_",E34),'Data types'!A:E,4,FALSE)</f>
        <v>0370</v>
      </c>
      <c r="E34" s="5" t="s">
        <v>294</v>
      </c>
      <c r="F34" s="5" t="str">
        <f>VLOOKUP(CONCATENATE(C34,"_",E34),'Data types'!A:F,6,FALSE)</f>
        <v>Numeric: 2 decimals</v>
      </c>
      <c r="G34" s="17"/>
      <c r="H34" s="17" t="s">
        <v>350</v>
      </c>
      <c r="I34" s="5"/>
      <c r="J34" s="5" t="s">
        <v>404</v>
      </c>
      <c r="K34" s="5" t="s">
        <v>373</v>
      </c>
      <c r="L34" s="17" t="str">
        <f t="shared" si="0"/>
        <v>WARNING</v>
      </c>
      <c r="M34" s="17" t="str">
        <f t="shared" si="1"/>
        <v>B02</v>
      </c>
      <c r="N34" s="17" t="str">
        <f>"`"&amp;VLOOKUP(D34,'B02_Mapping fields'!B:C,2,FALSE)&amp;"`"</f>
        <v>`0370_amnt_scrty_eur`</v>
      </c>
      <c r="O34" s="47" t="s">
        <v>68</v>
      </c>
      <c r="P34" s="17" t="str">
        <f>"`"&amp;VLOOKUP(O34,'B02_Mapping fields'!B:C,2,FALSE)&amp;"`"</f>
        <v>`0040_typ_uniq_id_knwn_cntrprty`</v>
      </c>
      <c r="Q34" s="47" t="s">
        <v>174</v>
      </c>
      <c r="R34" s="17" t="str">
        <f>"`"&amp;VLOOKUP(Q34,'B02_Mapping fields'!B:C,2,FALSE)&amp;"`"</f>
        <v>`0360_trdng_mthd`</v>
      </c>
      <c r="S34" s="47"/>
      <c r="T34" s="17"/>
      <c r="U34" s="5" t="str">
        <f>+",SELECT '"&amp;M34&amp;"' AS TAB, '"&amp;L34&amp;"' AS ALERT_TYPE, '"&amp;B34&amp;"' AS CHECK_ID, ROW_NUMBER, CASE WHEN A.ISSUES &gt;0 THEN 1 ELSE 0 END AS "&amp;B34&amp;" FROM (SELECT COUNT(*) AS ISSUES FROM "&amp;M34&amp;" WHERE "&amp;M34&amp;"."&amp;D34&amp;" IS MISSING AND c0040 = 'ISIN' AND c0360 = 'Unit') AS A;"</f>
        <v>,SELECT 'B02' AS TAB, 'WARNING' AS ALERT_TYPE, 'v_1_0032' AS CHECK_ID, ROW_NUMBER, CASE WHEN A.ISSUES &gt;0 THEN 1 ELSE 0 END AS v_1_0032 FROM (SELECT COUNT(*) AS ISSUES FROM B02 WHERE B02.0370 IS MISSING AND c0040 = 'ISIN' AND c0360 = 'Unit') AS A;</v>
      </c>
      <c r="V34" s="5" t="str">
        <f>+",CASE WHEN "&amp;N34&amp;" IS MISSING AND "&amp;P34&amp;" = 'ISIN' AND "&amp;R34&amp;" = 'Unit' THEN 1 ELSE 0 END AS "&amp;B34</f>
        <v>,CASE WHEN `0370_amnt_scrty_eur` IS MISSING AND `0040_typ_uniq_id_knwn_cntrprty` = 'ISIN' AND `0360_trdng_mthd` = 'Unit' THEN 1 ELSE 0 END AS v_1_0032</v>
      </c>
      <c r="W34" t="str">
        <f>+"SUM("&amp;B34&amp;") AS LVL1_W_"&amp;MID(N34,2,LEN(N34)-2)&amp;","</f>
        <v>SUM(v_1_0032) AS LVL1_W_0370_amnt_scrty_eur,</v>
      </c>
    </row>
    <row r="35" spans="1:24" ht="40.950000000000003" hidden="1" customHeight="1" x14ac:dyDescent="0.3">
      <c r="A35" s="4" t="s">
        <v>58</v>
      </c>
      <c r="B35" s="2" t="str">
        <f t="shared" si="3"/>
        <v>v_1_0033</v>
      </c>
      <c r="C35" s="2" t="s">
        <v>66</v>
      </c>
      <c r="D35" s="2" t="str">
        <f>VLOOKUP(CONCATENATE(C35,"_",E35),'Data types'!A:E,4,FALSE)</f>
        <v>0390</v>
      </c>
      <c r="E35" s="5" t="s">
        <v>297</v>
      </c>
      <c r="F35" s="5" t="str">
        <f>VLOOKUP(CONCATENATE(C35,"_",E35),'Data types'!A:F,6,FALSE)</f>
        <v>Numeric: Integer</v>
      </c>
      <c r="G35" s="17" t="s">
        <v>350</v>
      </c>
      <c r="H35" s="17"/>
      <c r="I35" s="5" t="s">
        <v>349</v>
      </c>
      <c r="J35" s="5" t="s">
        <v>405</v>
      </c>
      <c r="K35" s="5" t="s">
        <v>427</v>
      </c>
      <c r="L35" s="17" t="str">
        <f t="shared" si="0"/>
        <v>HIGH</v>
      </c>
      <c r="M35" s="17" t="str">
        <f t="shared" si="1"/>
        <v>B02</v>
      </c>
      <c r="N35" s="17" t="str">
        <f>"`"&amp;VLOOKUP(D35,'B02_Mapping fields'!B:C,2,FALSE)&amp;"`"</f>
        <v>`0390_nmbr_scrts_not_rprtng_entty`</v>
      </c>
      <c r="O35" s="47" t="s">
        <v>68</v>
      </c>
      <c r="P35" s="17" t="str">
        <f>"`"&amp;VLOOKUP(O35,'B02_Mapping fields'!B:C,2,FALSE)&amp;"`"</f>
        <v>`0040_typ_uniq_id_knwn_cntrprty`</v>
      </c>
      <c r="Q35" s="47"/>
      <c r="R35" s="17"/>
      <c r="S35" s="47"/>
      <c r="T35" s="17"/>
      <c r="U35" s="5" t="str">
        <f>+",SELECT '"&amp;M35&amp;"' AS TAB, '"&amp;L35&amp;"' AS ALERT_TYPE, '"&amp;B35&amp;"' AS CHECK_ID, ROW_NUMBER, CASE WHEN A.ISSUES &gt;0 THEN 1 ELSE 0 END AS "&amp;B35&amp;" FROM (SELECT COUNT(*) AS ISSUES FROM "&amp;M35&amp;" WHERE "&amp;M35&amp;"."&amp;D35&amp;" IS MISSING AND c0040 = 'ISIN') AS A;"</f>
        <v>,SELECT 'B02' AS TAB, 'HIGH' AS ALERT_TYPE, 'v_1_0033' AS CHECK_ID, ROW_NUMBER, CASE WHEN A.ISSUES &gt;0 THEN 1 ELSE 0 END AS v_1_0033 FROM (SELECT COUNT(*) AS ISSUES FROM B02 WHERE B02.0390 IS MISSING AND c0040 = 'ISIN') AS A;</v>
      </c>
      <c r="V35" s="5" t="str">
        <f>+",CASE WHEN "&amp;N35&amp;" IS MISSING AND "&amp;P35&amp;" = 'ISIN' THEN 1 ELSE 0 END AS "&amp;B35</f>
        <v>,CASE WHEN `0390_nmbr_scrts_not_rprtng_entty` IS MISSING AND `0040_typ_uniq_id_knwn_cntrprty` = 'ISIN' THEN 1 ELSE 0 END AS v_1_0033</v>
      </c>
      <c r="W35" t="str">
        <f t="shared" ref="W35:W37" si="12">+"SUM("&amp;B35&amp;") AS LVL1_H_"&amp;MID(N35,2,LEN(N35)-2)&amp;","</f>
        <v>SUM(v_1_0033) AS LVL1_H_0390_nmbr_scrts_not_rprtng_entty,</v>
      </c>
    </row>
    <row r="36" spans="1:24" ht="40.950000000000003" hidden="1" customHeight="1" x14ac:dyDescent="0.3">
      <c r="A36" s="4" t="s">
        <v>59</v>
      </c>
      <c r="B36" s="2" t="str">
        <f t="shared" si="3"/>
        <v>v_1_0034</v>
      </c>
      <c r="C36" s="2" t="s">
        <v>66</v>
      </c>
      <c r="D36" s="2" t="str">
        <f>VLOOKUP(CONCATENATE(C36,"_",E36),'Data types'!A:E,4,FALSE)</f>
        <v>0391</v>
      </c>
      <c r="E36" s="5" t="s">
        <v>298</v>
      </c>
      <c r="F36" s="5" t="str">
        <f>VLOOKUP(CONCATENATE(C36,"_",E36),'Data types'!A:F,6,FALSE)</f>
        <v>Numeric: Integer</v>
      </c>
      <c r="G36" s="17" t="s">
        <v>350</v>
      </c>
      <c r="H36" s="17"/>
      <c r="I36" s="5" t="s">
        <v>349</v>
      </c>
      <c r="J36" s="5" t="s">
        <v>405</v>
      </c>
      <c r="K36" s="5" t="s">
        <v>428</v>
      </c>
      <c r="L36" s="17" t="str">
        <f t="shared" si="0"/>
        <v>HIGH</v>
      </c>
      <c r="M36" s="17" t="str">
        <f t="shared" si="1"/>
        <v>B02</v>
      </c>
      <c r="N36" s="17" t="str">
        <f>"`"&amp;VLOOKUP(D36,'B02_Mapping fields'!B:C,2,FALSE)&amp;"`"</f>
        <v>`0391_nmbr_scrts_rprtng_entty`</v>
      </c>
      <c r="O36" s="47" t="s">
        <v>68</v>
      </c>
      <c r="P36" s="17" t="str">
        <f>"`"&amp;VLOOKUP(O36,'B02_Mapping fields'!B:C,2,FALSE)&amp;"`"</f>
        <v>`0040_typ_uniq_id_knwn_cntrprty`</v>
      </c>
      <c r="Q36" s="47"/>
      <c r="R36" s="17"/>
      <c r="S36" s="47"/>
      <c r="T36" s="17"/>
      <c r="U36" s="5" t="str">
        <f>+",SELECT '"&amp;M36&amp;"' AS TAB, '"&amp;L36&amp;"' AS ALERT_TYPE, '"&amp;B36&amp;"' AS CHECK_ID, ROW_NUMBER, CASE WHEN A.ISSUES &gt;0 THEN 1 ELSE 0 END AS "&amp;B36&amp;" FROM (SELECT COUNT(*) AS ISSUES FROM "&amp;M36&amp;" WHERE "&amp;M36&amp;"."&amp;D36&amp;" IS MISSING AND c0040 = 'ISIN') AS A;"</f>
        <v>,SELECT 'B02' AS TAB, 'HIGH' AS ALERT_TYPE, 'v_1_0034' AS CHECK_ID, ROW_NUMBER, CASE WHEN A.ISSUES &gt;0 THEN 1 ELSE 0 END AS v_1_0034 FROM (SELECT COUNT(*) AS ISSUES FROM B02 WHERE B02.0391 IS MISSING AND c0040 = 'ISIN') AS A;</v>
      </c>
      <c r="V36" s="5" t="str">
        <f>+",CASE WHEN "&amp;N36&amp;" IS MISSING AND "&amp;P36&amp;" = 'ISIN' THEN 1 ELSE 0 END AS "&amp;B36</f>
        <v>,CASE WHEN `0391_nmbr_scrts_rprtng_entty` IS MISSING AND `0040_typ_uniq_id_knwn_cntrprty` = 'ISIN' THEN 1 ELSE 0 END AS v_1_0034</v>
      </c>
      <c r="W36" t="str">
        <f t="shared" si="12"/>
        <v>SUM(v_1_0034) AS LVL1_H_0391_nmbr_scrts_rprtng_entty,</v>
      </c>
    </row>
    <row r="37" spans="1:24" ht="40.950000000000003" hidden="1" customHeight="1" x14ac:dyDescent="0.3">
      <c r="A37" s="4" t="s">
        <v>61</v>
      </c>
      <c r="B37" s="2" t="str">
        <f t="shared" si="3"/>
        <v>v_1_0035</v>
      </c>
      <c r="C37" s="2" t="s">
        <v>66</v>
      </c>
      <c r="D37" s="2" t="str">
        <f>VLOOKUP(CONCATENATE(C37,"_",E37),'Data types'!A:E,4,FALSE)</f>
        <v>0400</v>
      </c>
      <c r="E37" s="5" t="s">
        <v>57</v>
      </c>
      <c r="F37" s="5" t="str">
        <f>VLOOKUP(CONCATENATE(C37,"_",E37),'Data types'!A:F,6,FALSE)</f>
        <v>Numeric: 4 decimals</v>
      </c>
      <c r="G37" s="17" t="s">
        <v>350</v>
      </c>
      <c r="H37" s="17"/>
      <c r="I37" s="5" t="s">
        <v>349</v>
      </c>
      <c r="J37" s="5" t="s">
        <v>406</v>
      </c>
      <c r="K37" s="5" t="s">
        <v>374</v>
      </c>
      <c r="L37" s="17" t="str">
        <f t="shared" si="0"/>
        <v>HIGH</v>
      </c>
      <c r="M37" s="17" t="str">
        <f t="shared" si="1"/>
        <v>B02</v>
      </c>
      <c r="N37" s="17" t="str">
        <f>"`"&amp;VLOOKUP(D37,'B02_Mapping fields'!B:C,2,FALSE)&amp;"`"</f>
        <v>`0400_accrd_intrst_scrty`</v>
      </c>
      <c r="O37" s="47" t="s">
        <v>68</v>
      </c>
      <c r="P37" s="17" t="str">
        <f>"`"&amp;VLOOKUP(O37,'B02_Mapping fields'!B:C,2,FALSE)&amp;"`"</f>
        <v>`0040_typ_uniq_id_knwn_cntrprty`</v>
      </c>
      <c r="Q37" s="47" t="s">
        <v>159</v>
      </c>
      <c r="R37" s="17" t="str">
        <f>"`"&amp;VLOOKUP(Q37,'B02_Mapping fields'!B:C,2,FALSE)&amp;"`"</f>
        <v>`0250_strctrd_prdct`</v>
      </c>
      <c r="S37" s="47" t="s">
        <v>158</v>
      </c>
      <c r="T37" s="17" t="str">
        <f>"`"&amp;VLOOKUP(S37,'B02_Mapping fields'!B:C,2,FALSE)&amp;"`"</f>
        <v>`0240_zero_coupon`</v>
      </c>
      <c r="U37" s="5" t="str">
        <f>+",SELECT '"&amp;M37&amp;"' AS TAB, '"&amp;L37&amp;"' AS ALERT_TYPE, '"&amp;B37&amp;"' AS CHECK_ID, ROW_NUMBER, CASE WHEN A.ISSUES &gt;0 THEN 1 ELSE 0 END AS "&amp;B37&amp;" FROM (SELECT COUNT(*) AS ISSUES FROM "&amp;M37&amp;" WHERE "&amp;M37&amp;"."&amp;D37&amp;" IS MISSING AND c0250 IN ('Non-Structured/Vanilla', 'Other non-standard terms') AND c0240 != 'ZCB issued at discount') AS A;"</f>
        <v>,SELECT 'B02' AS TAB, 'HIGH' AS ALERT_TYPE, 'v_1_0035' AS CHECK_ID, ROW_NUMBER, CASE WHEN A.ISSUES &gt;0 THEN 1 ELSE 0 END AS v_1_0035 FROM (SELECT COUNT(*) AS ISSUES FROM B02 WHERE B02.0400 IS MISSING AND c0250 IN ('Non-Structured/Vanilla', 'Other non-standard terms') AND c0240 != 'ZCB issued at discount') AS A;</v>
      </c>
      <c r="V37" s="5" t="str">
        <f>+",CASE WHEN "&amp;N37&amp;" IS MISSING AND "&amp;P37&amp;" = 'ISIN' AND "&amp;R37&amp;" IN ('Non-Structured/Vanilla', 'Other non-standard terms') AND "&amp;T37&amp;" != 'ZCB issued at discount' THEN 1 ELSE 0 END AS "&amp;B37</f>
        <v>,CASE WHEN `0400_accrd_intrst_scrty` IS MISSING AND `0040_typ_uniq_id_knwn_cntrprty` = 'ISIN' AND `0250_strctrd_prdct` IN ('Non-Structured/Vanilla', 'Other non-standard terms') AND `0240_zero_coupon` != 'ZCB issued at discount' THEN 1 ELSE 0 END AS v_1_0035</v>
      </c>
      <c r="W37" t="str">
        <f t="shared" si="12"/>
        <v>SUM(v_1_0035) AS LVL1_H_0400_accrd_intrst_scrty,</v>
      </c>
    </row>
    <row r="38" spans="1:24" ht="40.950000000000003" customHeight="1" x14ac:dyDescent="0.3">
      <c r="A38" s="4" t="s">
        <v>62</v>
      </c>
      <c r="B38" s="2" t="str">
        <f t="shared" ref="B38" si="13">CONCATENATE("v_1_",A38)</f>
        <v>v_1_0036</v>
      </c>
      <c r="C38" s="2" t="s">
        <v>66</v>
      </c>
      <c r="D38" s="2" t="str">
        <f>VLOOKUP(CONCATENATE(C38,"_",E38),'Data types'!A:E,4,FALSE)</f>
        <v>0400</v>
      </c>
      <c r="E38" s="5" t="s">
        <v>57</v>
      </c>
      <c r="F38" s="5" t="str">
        <f>VLOOKUP(CONCATENATE(C38,"_",E38),'Data types'!A:F,6,FALSE)</f>
        <v>Numeric: 4 decimals</v>
      </c>
      <c r="G38" s="17"/>
      <c r="H38" s="17" t="s">
        <v>350</v>
      </c>
      <c r="I38" s="5" t="s">
        <v>349</v>
      </c>
      <c r="J38" s="5" t="s">
        <v>407</v>
      </c>
      <c r="K38" s="5" t="s">
        <v>382</v>
      </c>
      <c r="L38" s="17" t="str">
        <f t="shared" si="0"/>
        <v>WARNING</v>
      </c>
      <c r="M38" s="17" t="str">
        <f t="shared" si="1"/>
        <v>B02</v>
      </c>
      <c r="N38" s="17" t="str">
        <f>"`"&amp;VLOOKUP(D38,'B02_Mapping fields'!B:C,2,FALSE)&amp;"`"</f>
        <v>`0400_accrd_intrst_scrty`</v>
      </c>
      <c r="O38" s="47" t="s">
        <v>68</v>
      </c>
      <c r="P38" s="17" t="str">
        <f>"`"&amp;VLOOKUP(O38,'B02_Mapping fields'!B:C,2,FALSE)&amp;"`"</f>
        <v>`0040_typ_uniq_id_knwn_cntrprty`</v>
      </c>
      <c r="Q38" s="47" t="s">
        <v>159</v>
      </c>
      <c r="R38" s="17" t="str">
        <f>"`"&amp;VLOOKUP(Q38,'B02_Mapping fields'!B:C,2,FALSE)&amp;"`"</f>
        <v>`0250_strctrd_prdct`</v>
      </c>
      <c r="S38" s="47"/>
      <c r="T38" s="17"/>
      <c r="U38" s="5" t="str">
        <f>+",SELECT '"&amp;M38&amp;"' AS TAB, '"&amp;L38&amp;"' AS ALERT_TYPE, '"&amp;B38&amp;"' AS CHECK_ID, ROW_NUMBER, CASE WHEN A.ISSUES &gt;0 THEN 1 ELSE 0 END AS "&amp;B38&amp;" FROM (SELECT COUNT(*) AS ISSUES FROM "&amp;M38&amp;" WHERE "&amp;M38&amp;"."&amp;D38&amp;" IS MISSING AND c0040 = 'ISIN' AND c0250 NOT IN ('Structured', 'Only structured coupon')) AS A;"</f>
        <v>,SELECT 'B02' AS TAB, 'WARNING' AS ALERT_TYPE, 'v_1_0036' AS CHECK_ID, ROW_NUMBER, CASE WHEN A.ISSUES &gt;0 THEN 1 ELSE 0 END AS v_1_0036 FROM (SELECT COUNT(*) AS ISSUES FROM B02 WHERE B02.0400 IS MISSING AND c0040 = 'ISIN' AND c0250 NOT IN ('Structured', 'Only structured coupon')) AS A;</v>
      </c>
      <c r="V38" s="5" t="str">
        <f>+",CASE WHEN "&amp;N38&amp;" IS MISSING AND "&amp;P38&amp;" = 'ISIN' AND "&amp;R38&amp;" NOT IN ('Structured', 'Only structured coupon') THEN 1 ELSE 0 END AS "&amp;B38</f>
        <v>,CASE WHEN `0400_accrd_intrst_scrty` IS MISSING AND `0040_typ_uniq_id_knwn_cntrprty` = 'ISIN' AND `0250_strctrd_prdct` NOT IN ('Structured', 'Only structured coupon') THEN 1 ELSE 0 END AS v_1_0036</v>
      </c>
      <c r="W38" t="str">
        <f t="shared" ref="W38:W39" si="14">+"SUM("&amp;B38&amp;") AS LVL1_W_"&amp;MID(N38,2,LEN(N38)-2)&amp;","</f>
        <v>SUM(v_1_0036) AS LVL1_W_0400_accrd_intrst_scrty,</v>
      </c>
    </row>
    <row r="39" spans="1:24" ht="40.950000000000003" customHeight="1" x14ac:dyDescent="0.3">
      <c r="A39" s="4" t="s">
        <v>63</v>
      </c>
      <c r="B39" s="2" t="str">
        <f t="shared" si="3"/>
        <v>v_1_0037</v>
      </c>
      <c r="C39" s="2" t="s">
        <v>66</v>
      </c>
      <c r="D39" s="2" t="str">
        <f>VLOOKUP(CONCATENATE(C39,"_",E39),'Data types'!A:E,4,FALSE)</f>
        <v>0610</v>
      </c>
      <c r="E39" s="5" t="s">
        <v>64</v>
      </c>
      <c r="F39" s="5" t="str">
        <f>VLOOKUP(CONCATENATE(C39,"_",E39),'Data types'!A:F,6,FALSE)</f>
        <v>Numeric: 2 decimals</v>
      </c>
      <c r="G39" s="17"/>
      <c r="H39" s="17" t="s">
        <v>350</v>
      </c>
      <c r="I39" s="5" t="s">
        <v>349</v>
      </c>
      <c r="J39" s="16"/>
      <c r="K39" s="5" t="s">
        <v>381</v>
      </c>
      <c r="L39" s="17" t="str">
        <f t="shared" si="0"/>
        <v>WARNING</v>
      </c>
      <c r="M39" s="17" t="str">
        <f t="shared" si="1"/>
        <v>B02</v>
      </c>
      <c r="N39" s="17" t="str">
        <f>"`"&amp;VLOOKUP(D39,'B02_Mapping fields'!B:C,2,FALSE)&amp;"`"</f>
        <v>`0610_crryng_amnt_ifrs`</v>
      </c>
      <c r="O39" s="47"/>
      <c r="P39" s="17"/>
      <c r="Q39" s="47"/>
      <c r="R39" s="17"/>
      <c r="S39" s="47"/>
      <c r="T39" s="17"/>
      <c r="U39" s="5" t="str">
        <f>+",SELECT '"&amp;M39&amp;"' AS TAB, '"&amp;L39&amp;"' AS ALERT_TYPE, '"&amp;B39&amp;"' AS CHECK_ID, ROW_NUMBER, CASE WHEN A.ISSUES &gt;0 THEN 1 ELSE 0 END AS "&amp;B39&amp;" FROM (SELECT COUNT(*) AS ISSUES FROM "&amp;M39&amp;" WHERE "&amp;M39&amp;"."&amp;D39&amp;" IS MISSING) AS A;"</f>
        <v>,SELECT 'B02' AS TAB, 'WARNING' AS ALERT_TYPE, 'v_1_0037' AS CHECK_ID, ROW_NUMBER, CASE WHEN A.ISSUES &gt;0 THEN 1 ELSE 0 END AS v_1_0037 FROM (SELECT COUNT(*) AS ISSUES FROM B02 WHERE B02.0610 IS MISSING) AS A;</v>
      </c>
      <c r="V39" s="5" t="str">
        <f>+",CASE WHEN "&amp;N39&amp;" IS MISSING THEN 1 ELSE 0 END AS "&amp;B39</f>
        <v>,CASE WHEN `0610_crryng_amnt_ifrs` IS MISSING THEN 1 ELSE 0 END AS v_1_0037</v>
      </c>
      <c r="W39" t="str">
        <f t="shared" si="14"/>
        <v>SUM(v_1_0037) AS LVL1_W_0610_crryng_amnt_ifrs,</v>
      </c>
    </row>
    <row r="40" spans="1:24" ht="40.950000000000003" hidden="1" customHeight="1" x14ac:dyDescent="0.3">
      <c r="A40" s="4" t="s">
        <v>65</v>
      </c>
      <c r="B40" s="2" t="str">
        <f t="shared" ref="B40:B41" si="15">CONCATENATE("v_1_",A40)</f>
        <v>v_1_0038</v>
      </c>
      <c r="C40" s="2" t="s">
        <v>66</v>
      </c>
      <c r="D40" s="2" t="str">
        <f>VLOOKUP(CONCATENATE(C40,"_",E40),'Data types'!A:E,4,FALSE)</f>
        <v>5000</v>
      </c>
      <c r="E40" s="5" t="s">
        <v>121</v>
      </c>
      <c r="F40" s="5" t="str">
        <f>VLOOKUP(CONCATENATE(C40,"_",E40),'Data types'!A:F,6,FALSE)</f>
        <v>String: TRUE / FALSE boolean</v>
      </c>
      <c r="G40" s="17" t="s">
        <v>350</v>
      </c>
      <c r="H40" s="17"/>
      <c r="I40" s="5" t="s">
        <v>349</v>
      </c>
      <c r="J40" s="5" t="s">
        <v>360</v>
      </c>
      <c r="K40" s="5" t="s">
        <v>311</v>
      </c>
      <c r="L40" s="17" t="str">
        <f t="shared" si="0"/>
        <v>HIGH</v>
      </c>
      <c r="M40" s="17" t="str">
        <f t="shared" si="1"/>
        <v>B02</v>
      </c>
      <c r="N40" s="17" t="str">
        <f>"`"&amp;VLOOKUP(D40,'B02_Mapping fields'!B:C,2,FALSE)&amp;"`"</f>
        <v>`5000_flg_shrhldr_not_rsltn_grp`</v>
      </c>
      <c r="O40" s="47" t="s">
        <v>117</v>
      </c>
      <c r="P40" s="17" t="str">
        <f>"`"&amp;VLOOKUP(O40,'B02_Mapping fields'!B:C,2,FALSE)&amp;"`"</f>
        <v>`0060_orgnl_amnt_fx`</v>
      </c>
      <c r="Q40" s="47"/>
      <c r="R40" s="17"/>
      <c r="S40" s="47"/>
      <c r="T40" s="17"/>
      <c r="U40" s="34"/>
      <c r="V40" s="34" t="str">
        <f>+",CASE WHEN "&amp;N40&amp;" IS MISSING AND B99."&amp;P40&amp;" = 'Non-Resolution Entity' THEN 1 ELSE 0 END AS "&amp;B40</f>
        <v>,CASE WHEN `5000_flg_shrhldr_not_rsltn_grp` IS MISSING AND B99.`0060_orgnl_amnt_fx` = 'Non-Resolution Entity' THEN 1 ELSE 0 END AS v_1_0038</v>
      </c>
      <c r="W40" t="str">
        <f t="shared" ref="W40:W41" si="16">+"SUM("&amp;B40&amp;") AS LVL1_H_"&amp;MID(N40,2,LEN(N40)-2)&amp;","</f>
        <v>SUM(v_1_0038) AS LVL1_H_5000_flg_shrhldr_not_rsltn_grp,</v>
      </c>
      <c r="X40" s="35" t="s">
        <v>572</v>
      </c>
    </row>
    <row r="41" spans="1:24" ht="40.950000000000003" hidden="1" customHeight="1" x14ac:dyDescent="0.3">
      <c r="A41" s="4" t="s">
        <v>67</v>
      </c>
      <c r="B41" s="2" t="str">
        <f t="shared" si="15"/>
        <v>v_1_0039</v>
      </c>
      <c r="C41" s="2" t="s">
        <v>66</v>
      </c>
      <c r="D41" s="2" t="str">
        <f>VLOOKUP(CONCATENATE(C41,"_",E41),'Data types'!A:E,4,FALSE)</f>
        <v>5010</v>
      </c>
      <c r="E41" s="5" t="s">
        <v>122</v>
      </c>
      <c r="F41" s="5" t="str">
        <f>VLOOKUP(CONCATENATE(C41,"_",E41),'Data types'!A:F,6,FALSE)</f>
        <v>String: TRUE / FALSE boolean</v>
      </c>
      <c r="G41" s="17" t="s">
        <v>350</v>
      </c>
      <c r="H41" s="17"/>
      <c r="I41" s="5" t="s">
        <v>349</v>
      </c>
      <c r="J41" s="5" t="s">
        <v>360</v>
      </c>
      <c r="K41" s="5" t="s">
        <v>311</v>
      </c>
      <c r="L41" s="17" t="str">
        <f t="shared" si="0"/>
        <v>HIGH</v>
      </c>
      <c r="M41" s="17" t="str">
        <f t="shared" si="1"/>
        <v>B02</v>
      </c>
      <c r="N41" s="17" t="str">
        <f>"`"&amp;VLOOKUP(D41,'B02_Mapping fields'!B:C,2,FALSE)&amp;"`"</f>
        <v>`5010_flg_art21_7a_srmr`</v>
      </c>
      <c r="O41" s="47" t="s">
        <v>117</v>
      </c>
      <c r="P41" s="17" t="str">
        <f>"`"&amp;VLOOKUP(O41,'B02_Mapping fields'!B:C,2,FALSE)&amp;"`"</f>
        <v>`0060_orgnl_amnt_fx`</v>
      </c>
      <c r="Q41" s="47"/>
      <c r="R41" s="17"/>
      <c r="S41" s="47"/>
      <c r="T41" s="17"/>
      <c r="U41" s="34"/>
      <c r="V41" s="34" t="str">
        <f>+",CASE WHEN "&amp;N41&amp;" IS MISSING AND B99."&amp;P41&amp;" = 'Non-Resolution Entity' THEN 1 ELSE 0 END AS "&amp;B41</f>
        <v>,CASE WHEN `5010_flg_art21_7a_srmr` IS MISSING AND B99.`0060_orgnl_amnt_fx` = 'Non-Resolution Entity' THEN 1 ELSE 0 END AS v_1_0039</v>
      </c>
      <c r="W41" t="str">
        <f t="shared" si="16"/>
        <v>SUM(v_1_0039) AS LVL1_H_5010_flg_art21_7a_srmr,</v>
      </c>
      <c r="X41" s="35" t="s">
        <v>572</v>
      </c>
    </row>
    <row r="42" spans="1:24" ht="40.950000000000003" hidden="1" customHeight="1" x14ac:dyDescent="0.3">
      <c r="A42" s="4" t="s">
        <v>68</v>
      </c>
      <c r="B42" s="30" t="str">
        <f>CONCATENATE("v_1_",A42)</f>
        <v>v_1_0040</v>
      </c>
      <c r="C42" s="30" t="s">
        <v>82</v>
      </c>
      <c r="D42" s="30" t="str">
        <f>VLOOKUP(CONCATENATE(C42,"_",E42),'Data types'!A:E,4,FALSE)</f>
        <v>0010</v>
      </c>
      <c r="E42" s="31" t="s">
        <v>6</v>
      </c>
      <c r="F42" s="31" t="str">
        <f>VLOOKUP(CONCATENATE(C42,"_",E42),'Data types'!A:F,6,FALSE)</f>
        <v>Numeric: Integer</v>
      </c>
      <c r="G42" s="32" t="s">
        <v>350</v>
      </c>
      <c r="H42" s="32"/>
      <c r="I42" s="31" t="s">
        <v>349</v>
      </c>
      <c r="J42" s="33"/>
      <c r="K42" s="31" t="s">
        <v>7</v>
      </c>
      <c r="L42" s="32" t="str">
        <f t="shared" si="0"/>
        <v>HIGH</v>
      </c>
      <c r="M42" s="32" t="str">
        <f t="shared" si="1"/>
        <v>B03</v>
      </c>
      <c r="N42" s="32"/>
      <c r="O42" s="32"/>
      <c r="P42" s="32"/>
      <c r="Q42" s="32"/>
      <c r="R42" s="32"/>
      <c r="S42" s="32"/>
      <c r="T42" s="32"/>
      <c r="U42" s="31"/>
      <c r="V42" s="31"/>
      <c r="W42" t="str">
        <f t="shared" ref="W42:W55" si="17">+"SUM("&amp;B42&amp;") AS "&amp;N42&amp;","</f>
        <v>SUM(v_1_0040) AS ,</v>
      </c>
    </row>
    <row r="43" spans="1:24" ht="40.950000000000003" hidden="1" customHeight="1" x14ac:dyDescent="0.3">
      <c r="A43" s="4" t="s">
        <v>72</v>
      </c>
      <c r="B43" s="30" t="str">
        <f t="shared" si="3"/>
        <v>v_1_0042</v>
      </c>
      <c r="C43" s="30" t="s">
        <v>82</v>
      </c>
      <c r="D43" s="30" t="str">
        <f>VLOOKUP(CONCATENATE(C43,"_",E43),'Data types'!A:E,4,FALSE)</f>
        <v>0020</v>
      </c>
      <c r="E43" s="31" t="s">
        <v>69</v>
      </c>
      <c r="F43" s="31" t="str">
        <f>VLOOKUP(CONCATENATE(C43,"_",E43),'Data types'!A:F,6,FALSE)</f>
        <v>String: Free text</v>
      </c>
      <c r="G43" s="32" t="s">
        <v>350</v>
      </c>
      <c r="H43" s="32"/>
      <c r="I43" s="31" t="s">
        <v>349</v>
      </c>
      <c r="J43" s="33"/>
      <c r="K43" s="31" t="s">
        <v>7</v>
      </c>
      <c r="L43" s="32" t="str">
        <f t="shared" si="0"/>
        <v>HIGH</v>
      </c>
      <c r="M43" s="32" t="str">
        <f t="shared" si="1"/>
        <v>B03</v>
      </c>
      <c r="N43" s="32"/>
      <c r="O43" s="32"/>
      <c r="P43" s="32"/>
      <c r="Q43" s="32"/>
      <c r="R43" s="32"/>
      <c r="S43" s="32"/>
      <c r="T43" s="32"/>
      <c r="U43" s="31"/>
      <c r="V43" s="31"/>
      <c r="W43" t="str">
        <f t="shared" si="17"/>
        <v>SUM(v_1_0042) AS ,</v>
      </c>
    </row>
    <row r="44" spans="1:24" ht="40.950000000000003" hidden="1" customHeight="1" x14ac:dyDescent="0.3">
      <c r="A44" s="4" t="s">
        <v>74</v>
      </c>
      <c r="B44" s="30" t="str">
        <f t="shared" si="3"/>
        <v>v_1_0043</v>
      </c>
      <c r="C44" s="30" t="s">
        <v>82</v>
      </c>
      <c r="D44" s="30" t="str">
        <f>VLOOKUP(CONCATENATE(C44,"_",E44),'Data types'!A:E,4,FALSE)</f>
        <v>0030</v>
      </c>
      <c r="E44" s="31" t="s">
        <v>71</v>
      </c>
      <c r="F44" s="31" t="str">
        <f>VLOOKUP(CONCATENATE(C44,"_",E44),'Data types'!A:F,6,FALSE)</f>
        <v>Numeric: Integer</v>
      </c>
      <c r="G44" s="32" t="s">
        <v>350</v>
      </c>
      <c r="H44" s="32"/>
      <c r="I44" s="31" t="s">
        <v>349</v>
      </c>
      <c r="J44" s="33"/>
      <c r="K44" s="31" t="s">
        <v>7</v>
      </c>
      <c r="L44" s="32" t="str">
        <f t="shared" si="0"/>
        <v>HIGH</v>
      </c>
      <c r="M44" s="32" t="str">
        <f t="shared" si="1"/>
        <v>B03</v>
      </c>
      <c r="N44" s="32"/>
      <c r="O44" s="32"/>
      <c r="P44" s="32"/>
      <c r="Q44" s="32"/>
      <c r="R44" s="32"/>
      <c r="S44" s="32"/>
      <c r="T44" s="32"/>
      <c r="U44" s="31"/>
      <c r="V44" s="31"/>
      <c r="W44" t="str">
        <f t="shared" si="17"/>
        <v>SUM(v_1_0043) AS ,</v>
      </c>
    </row>
    <row r="45" spans="1:24" ht="40.950000000000003" hidden="1" customHeight="1" x14ac:dyDescent="0.3">
      <c r="A45" s="4" t="s">
        <v>76</v>
      </c>
      <c r="B45" s="30" t="str">
        <f t="shared" si="3"/>
        <v>v_1_0044</v>
      </c>
      <c r="C45" s="30" t="s">
        <v>82</v>
      </c>
      <c r="D45" s="30" t="str">
        <f>VLOOKUP(CONCATENATE(C45,"_",E45),'Data types'!A:E,4,FALSE)</f>
        <v>0060</v>
      </c>
      <c r="E45" s="31" t="s">
        <v>73</v>
      </c>
      <c r="F45" s="31" t="str">
        <f>VLOOKUP(CONCATENATE(C45,"_",E45),'Data types'!A:F,6,FALSE)</f>
        <v>String: Free text</v>
      </c>
      <c r="G45" s="32" t="s">
        <v>350</v>
      </c>
      <c r="H45" s="32"/>
      <c r="I45" s="31" t="s">
        <v>349</v>
      </c>
      <c r="J45" s="33"/>
      <c r="K45" s="31" t="s">
        <v>7</v>
      </c>
      <c r="L45" s="32" t="str">
        <f t="shared" si="0"/>
        <v>HIGH</v>
      </c>
      <c r="M45" s="32" t="str">
        <f t="shared" si="1"/>
        <v>B03</v>
      </c>
      <c r="N45" s="32"/>
      <c r="O45" s="32"/>
      <c r="P45" s="32"/>
      <c r="Q45" s="32"/>
      <c r="R45" s="32"/>
      <c r="S45" s="32"/>
      <c r="T45" s="32"/>
      <c r="U45" s="31"/>
      <c r="V45" s="31"/>
      <c r="W45" t="str">
        <f t="shared" si="17"/>
        <v>SUM(v_1_0044) AS ,</v>
      </c>
    </row>
    <row r="46" spans="1:24" ht="40.950000000000003" hidden="1" customHeight="1" x14ac:dyDescent="0.3">
      <c r="A46" s="4" t="s">
        <v>78</v>
      </c>
      <c r="B46" s="30" t="str">
        <f t="shared" si="3"/>
        <v>v_1_0045</v>
      </c>
      <c r="C46" s="30" t="s">
        <v>82</v>
      </c>
      <c r="D46" s="30" t="str">
        <f>VLOOKUP(CONCATENATE(C46,"_",E46),'Data types'!A:E,4,FALSE)</f>
        <v>0070</v>
      </c>
      <c r="E46" s="31" t="s">
        <v>75</v>
      </c>
      <c r="F46" s="31" t="str">
        <f>VLOOKUP(CONCATENATE(C46,"_",E46),'Data types'!A:F,6,FALSE)</f>
        <v>String: ISO 3166-1 alpha 2 / ISO 3166-2</v>
      </c>
      <c r="G46" s="32" t="s">
        <v>350</v>
      </c>
      <c r="H46" s="32"/>
      <c r="I46" s="31" t="s">
        <v>349</v>
      </c>
      <c r="J46" s="33"/>
      <c r="K46" s="31" t="s">
        <v>7</v>
      </c>
      <c r="L46" s="32" t="str">
        <f t="shared" si="0"/>
        <v>HIGH</v>
      </c>
      <c r="M46" s="32" t="str">
        <f t="shared" si="1"/>
        <v>B03</v>
      </c>
      <c r="N46" s="32"/>
      <c r="O46" s="32"/>
      <c r="P46" s="32"/>
      <c r="Q46" s="32"/>
      <c r="R46" s="32"/>
      <c r="S46" s="32"/>
      <c r="T46" s="32"/>
      <c r="U46" s="31"/>
      <c r="V46" s="31"/>
      <c r="W46" t="str">
        <f t="shared" si="17"/>
        <v>SUM(v_1_0045) AS ,</v>
      </c>
    </row>
    <row r="47" spans="1:24" ht="40.950000000000003" hidden="1" customHeight="1" x14ac:dyDescent="0.3">
      <c r="A47" s="4" t="s">
        <v>80</v>
      </c>
      <c r="B47" s="30" t="str">
        <f t="shared" si="3"/>
        <v>v_1_0046</v>
      </c>
      <c r="C47" s="30" t="s">
        <v>82</v>
      </c>
      <c r="D47" s="30" t="str">
        <f>VLOOKUP(CONCATENATE(C47,"_",E47),'Data types'!A:E,4,FALSE)</f>
        <v>0080</v>
      </c>
      <c r="E47" s="31" t="s">
        <v>77</v>
      </c>
      <c r="F47" s="31" t="str">
        <f>VLOOKUP(CONCATENATE(C47,"_",E47),'Data types'!A:F,6,FALSE)</f>
        <v>Numeric: 2 decimals</v>
      </c>
      <c r="G47" s="32" t="s">
        <v>350</v>
      </c>
      <c r="H47" s="32"/>
      <c r="I47" s="31" t="s">
        <v>349</v>
      </c>
      <c r="J47" s="33"/>
      <c r="K47" s="31" t="s">
        <v>7</v>
      </c>
      <c r="L47" s="32" t="str">
        <f t="shared" si="0"/>
        <v>HIGH</v>
      </c>
      <c r="M47" s="32" t="str">
        <f t="shared" si="1"/>
        <v>B03</v>
      </c>
      <c r="N47" s="32"/>
      <c r="O47" s="32"/>
      <c r="P47" s="32"/>
      <c r="Q47" s="32"/>
      <c r="R47" s="32"/>
      <c r="S47" s="32"/>
      <c r="T47" s="32"/>
      <c r="U47" s="31"/>
      <c r="V47" s="31"/>
      <c r="W47" t="str">
        <f t="shared" si="17"/>
        <v>SUM(v_1_0046) AS ,</v>
      </c>
    </row>
    <row r="48" spans="1:24" ht="40.950000000000003" hidden="1" customHeight="1" x14ac:dyDescent="0.3">
      <c r="A48" s="4" t="s">
        <v>81</v>
      </c>
      <c r="B48" s="30" t="str">
        <f t="shared" si="3"/>
        <v>v_1_0047</v>
      </c>
      <c r="C48" s="30" t="s">
        <v>82</v>
      </c>
      <c r="D48" s="30" t="str">
        <f>VLOOKUP(CONCATENATE(C48,"_",E48),'Data types'!A:E,4,FALSE)</f>
        <v>0110</v>
      </c>
      <c r="E48" s="31" t="s">
        <v>79</v>
      </c>
      <c r="F48" s="31" t="str">
        <f>VLOOKUP(CONCATENATE(C48,"_",E48),'Data types'!A:F,6,FALSE)</f>
        <v>Numeric: 2 decimals</v>
      </c>
      <c r="G48" s="32" t="s">
        <v>350</v>
      </c>
      <c r="H48" s="32"/>
      <c r="I48" s="31" t="s">
        <v>349</v>
      </c>
      <c r="J48" s="33"/>
      <c r="K48" s="31" t="s">
        <v>7</v>
      </c>
      <c r="L48" s="32" t="str">
        <f t="shared" si="0"/>
        <v>HIGH</v>
      </c>
      <c r="M48" s="32" t="str">
        <f t="shared" si="1"/>
        <v>B03</v>
      </c>
      <c r="N48" s="32"/>
      <c r="O48" s="32"/>
      <c r="P48" s="32"/>
      <c r="Q48" s="32"/>
      <c r="R48" s="32"/>
      <c r="S48" s="32"/>
      <c r="T48" s="32"/>
      <c r="U48" s="31"/>
      <c r="V48" s="31"/>
      <c r="W48" t="str">
        <f t="shared" si="17"/>
        <v>SUM(v_1_0047) AS ,</v>
      </c>
    </row>
    <row r="49" spans="1:23" ht="40.950000000000003" hidden="1" customHeight="1" x14ac:dyDescent="0.3">
      <c r="A49" s="4" t="s">
        <v>83</v>
      </c>
      <c r="B49" s="30" t="str">
        <f t="shared" ref="B49" si="18">CONCATENATE("v_1_",A49)</f>
        <v>v_1_0048</v>
      </c>
      <c r="C49" s="30" t="s">
        <v>82</v>
      </c>
      <c r="D49" s="30" t="str">
        <f>VLOOKUP(CONCATENATE(C49,"_",E49),'Data types'!A:E,4,FALSE)</f>
        <v>0120</v>
      </c>
      <c r="E49" s="31" t="s">
        <v>162</v>
      </c>
      <c r="F49" s="31" t="str">
        <f>VLOOKUP(CONCATENATE(C49,"_",E49),'Data types'!A:F,6,FALSE)</f>
        <v>String: TRUE / FALSE boolean</v>
      </c>
      <c r="G49" s="32" t="s">
        <v>350</v>
      </c>
      <c r="H49" s="32"/>
      <c r="I49" s="31" t="s">
        <v>349</v>
      </c>
      <c r="J49" s="33"/>
      <c r="K49" s="31" t="s">
        <v>7</v>
      </c>
      <c r="L49" s="32" t="str">
        <f t="shared" si="0"/>
        <v>HIGH</v>
      </c>
      <c r="M49" s="32" t="str">
        <f t="shared" si="1"/>
        <v>B03</v>
      </c>
      <c r="N49" s="32"/>
      <c r="O49" s="32"/>
      <c r="P49" s="32"/>
      <c r="Q49" s="32"/>
      <c r="R49" s="32"/>
      <c r="S49" s="32"/>
      <c r="T49" s="32"/>
      <c r="U49" s="31"/>
      <c r="V49" s="31"/>
      <c r="W49" t="str">
        <f t="shared" si="17"/>
        <v>SUM(v_1_0048) AS ,</v>
      </c>
    </row>
    <row r="50" spans="1:23" ht="40.950000000000003" hidden="1" customHeight="1" x14ac:dyDescent="0.3">
      <c r="A50" s="4" t="s">
        <v>84</v>
      </c>
      <c r="B50" s="30" t="str">
        <f>CONCATENATE("v_1_",A50)</f>
        <v>v_1_0049</v>
      </c>
      <c r="C50" s="30" t="s">
        <v>129</v>
      </c>
      <c r="D50" s="30" t="str">
        <f>VLOOKUP(CONCATENATE(C50,"_",E50),'Data types'!A:E,4,FALSE)</f>
        <v>0010</v>
      </c>
      <c r="E50" s="31" t="s">
        <v>6</v>
      </c>
      <c r="F50" s="31" t="str">
        <f>VLOOKUP(CONCATENATE(C50,"_",E50),'Data types'!A:F,6,FALSE)</f>
        <v>Numeric: Integer</v>
      </c>
      <c r="G50" s="32" t="s">
        <v>350</v>
      </c>
      <c r="H50" s="32"/>
      <c r="I50" s="31" t="s">
        <v>349</v>
      </c>
      <c r="J50" s="33"/>
      <c r="K50" s="31" t="s">
        <v>7</v>
      </c>
      <c r="L50" s="32" t="str">
        <f t="shared" si="0"/>
        <v>HIGH</v>
      </c>
      <c r="M50" s="32" t="str">
        <f t="shared" si="1"/>
        <v>B04</v>
      </c>
      <c r="N50" s="32"/>
      <c r="O50" s="32"/>
      <c r="P50" s="32"/>
      <c r="Q50" s="32"/>
      <c r="R50" s="32"/>
      <c r="S50" s="32"/>
      <c r="T50" s="32"/>
      <c r="U50" s="31"/>
      <c r="V50" s="31"/>
      <c r="W50" t="str">
        <f t="shared" si="17"/>
        <v>SUM(v_1_0049) AS ,</v>
      </c>
    </row>
    <row r="51" spans="1:23" ht="40.950000000000003" hidden="1" customHeight="1" x14ac:dyDescent="0.3">
      <c r="A51" s="4" t="s">
        <v>86</v>
      </c>
      <c r="B51" s="30" t="str">
        <f t="shared" si="3"/>
        <v>v_1_0051</v>
      </c>
      <c r="C51" s="30" t="s">
        <v>129</v>
      </c>
      <c r="D51" s="30" t="str">
        <f>VLOOKUP(CONCATENATE(C51,"_",E51),'Data types'!A:E,4,FALSE)</f>
        <v>0020</v>
      </c>
      <c r="E51" s="31" t="s">
        <v>69</v>
      </c>
      <c r="F51" s="31" t="str">
        <f>VLOOKUP(CONCATENATE(C51,"_",E51),'Data types'!A:F,6,FALSE)</f>
        <v>String: Free text</v>
      </c>
      <c r="G51" s="32" t="s">
        <v>350</v>
      </c>
      <c r="H51" s="32"/>
      <c r="I51" s="31" t="s">
        <v>349</v>
      </c>
      <c r="J51" s="33"/>
      <c r="K51" s="31" t="s">
        <v>7</v>
      </c>
      <c r="L51" s="32" t="str">
        <f t="shared" si="0"/>
        <v>HIGH</v>
      </c>
      <c r="M51" s="32" t="str">
        <f t="shared" si="1"/>
        <v>B04</v>
      </c>
      <c r="N51" s="32"/>
      <c r="O51" s="32"/>
      <c r="P51" s="32"/>
      <c r="Q51" s="32"/>
      <c r="R51" s="32"/>
      <c r="S51" s="32"/>
      <c r="T51" s="32"/>
      <c r="U51" s="31"/>
      <c r="V51" s="31"/>
      <c r="W51" t="str">
        <f t="shared" si="17"/>
        <v>SUM(v_1_0051) AS ,</v>
      </c>
    </row>
    <row r="52" spans="1:23" ht="40.950000000000003" hidden="1" customHeight="1" x14ac:dyDescent="0.3">
      <c r="A52" s="4" t="s">
        <v>87</v>
      </c>
      <c r="B52" s="30" t="str">
        <f t="shared" si="3"/>
        <v>v_1_0052</v>
      </c>
      <c r="C52" s="30" t="s">
        <v>129</v>
      </c>
      <c r="D52" s="30" t="str">
        <f>VLOOKUP(CONCATENATE(C52,"_",E52),'Data types'!A:E,4,FALSE)</f>
        <v>0030</v>
      </c>
      <c r="E52" s="31" t="s">
        <v>71</v>
      </c>
      <c r="F52" s="31" t="str">
        <f>VLOOKUP(CONCATENATE(C52,"_",E52),'Data types'!A:F,6,FALSE)</f>
        <v>Numeric: Integer</v>
      </c>
      <c r="G52" s="32" t="s">
        <v>350</v>
      </c>
      <c r="H52" s="32"/>
      <c r="I52" s="31" t="s">
        <v>349</v>
      </c>
      <c r="J52" s="33"/>
      <c r="K52" s="31" t="s">
        <v>7</v>
      </c>
      <c r="L52" s="32" t="str">
        <f t="shared" si="0"/>
        <v>HIGH</v>
      </c>
      <c r="M52" s="32" t="str">
        <f t="shared" si="1"/>
        <v>B04</v>
      </c>
      <c r="N52" s="32"/>
      <c r="O52" s="32"/>
      <c r="P52" s="32"/>
      <c r="Q52" s="32"/>
      <c r="R52" s="32"/>
      <c r="S52" s="32"/>
      <c r="T52" s="32"/>
      <c r="U52" s="31"/>
      <c r="V52" s="31"/>
      <c r="W52" t="str">
        <f t="shared" si="17"/>
        <v>SUM(v_1_0052) AS ,</v>
      </c>
    </row>
    <row r="53" spans="1:23" ht="40.950000000000003" hidden="1" customHeight="1" x14ac:dyDescent="0.3">
      <c r="A53" s="4" t="s">
        <v>88</v>
      </c>
      <c r="B53" s="30" t="str">
        <f t="shared" si="3"/>
        <v>v_1_0053</v>
      </c>
      <c r="C53" s="30" t="s">
        <v>129</v>
      </c>
      <c r="D53" s="30" t="str">
        <f>VLOOKUP(CONCATENATE(C53,"_",E53),'Data types'!A:E,4,FALSE)</f>
        <v>0040</v>
      </c>
      <c r="E53" s="31" t="s">
        <v>73</v>
      </c>
      <c r="F53" s="31" t="str">
        <f>VLOOKUP(CONCATENATE(C53,"_",E53),'Data types'!A:F,6,FALSE)</f>
        <v>String: Free text</v>
      </c>
      <c r="G53" s="32" t="s">
        <v>350</v>
      </c>
      <c r="H53" s="32"/>
      <c r="I53" s="31" t="s">
        <v>349</v>
      </c>
      <c r="J53" s="33"/>
      <c r="K53" s="31" t="s">
        <v>7</v>
      </c>
      <c r="L53" s="32" t="str">
        <f t="shared" si="0"/>
        <v>HIGH</v>
      </c>
      <c r="M53" s="32" t="str">
        <f t="shared" si="1"/>
        <v>B04</v>
      </c>
      <c r="N53" s="32"/>
      <c r="O53" s="32"/>
      <c r="P53" s="32"/>
      <c r="Q53" s="32"/>
      <c r="R53" s="32"/>
      <c r="S53" s="32"/>
      <c r="T53" s="32"/>
      <c r="U53" s="31"/>
      <c r="V53" s="31"/>
      <c r="W53" t="str">
        <f t="shared" si="17"/>
        <v>SUM(v_1_0053) AS ,</v>
      </c>
    </row>
    <row r="54" spans="1:23" ht="40.950000000000003" hidden="1" customHeight="1" x14ac:dyDescent="0.3">
      <c r="A54" s="4" t="s">
        <v>89</v>
      </c>
      <c r="B54" s="30" t="str">
        <f t="shared" si="3"/>
        <v>v_1_0054</v>
      </c>
      <c r="C54" s="30" t="s">
        <v>129</v>
      </c>
      <c r="D54" s="30" t="str">
        <f>VLOOKUP(CONCATENATE(C54,"_",E54),'Data types'!A:E,4,FALSE)</f>
        <v>0050</v>
      </c>
      <c r="E54" s="31" t="s">
        <v>75</v>
      </c>
      <c r="F54" s="31" t="str">
        <f>VLOOKUP(CONCATENATE(C54,"_",E54),'Data types'!A:F,6,FALSE)</f>
        <v>String: ISO 3166-1 alpha 2 / ISO 3166-2</v>
      </c>
      <c r="G54" s="32" t="s">
        <v>350</v>
      </c>
      <c r="H54" s="32"/>
      <c r="I54" s="31" t="s">
        <v>349</v>
      </c>
      <c r="J54" s="33"/>
      <c r="K54" s="31" t="s">
        <v>7</v>
      </c>
      <c r="L54" s="32" t="str">
        <f t="shared" si="0"/>
        <v>HIGH</v>
      </c>
      <c r="M54" s="32" t="str">
        <f t="shared" si="1"/>
        <v>B04</v>
      </c>
      <c r="N54" s="32"/>
      <c r="O54" s="32"/>
      <c r="P54" s="32"/>
      <c r="Q54" s="32"/>
      <c r="R54" s="32"/>
      <c r="S54" s="32"/>
      <c r="T54" s="32"/>
      <c r="U54" s="31"/>
      <c r="V54" s="31"/>
      <c r="W54" t="str">
        <f t="shared" si="17"/>
        <v>SUM(v_1_0054) AS ,</v>
      </c>
    </row>
    <row r="55" spans="1:23" ht="40.950000000000003" hidden="1" customHeight="1" x14ac:dyDescent="0.3">
      <c r="A55" s="4" t="s">
        <v>111</v>
      </c>
      <c r="B55" s="30" t="str">
        <f t="shared" si="3"/>
        <v>v_1_0055</v>
      </c>
      <c r="C55" s="30" t="s">
        <v>129</v>
      </c>
      <c r="D55" s="30" t="str">
        <f>VLOOKUP(CONCATENATE(C55,"_",E55),'Data types'!A:E,4,FALSE)</f>
        <v>0060</v>
      </c>
      <c r="E55" s="31" t="s">
        <v>255</v>
      </c>
      <c r="F55" s="31" t="str">
        <f>VLOOKUP(CONCATENATE(C55,"_",E55),'Data types'!A:F,6,FALSE)</f>
        <v>Numeric: 2 decimals</v>
      </c>
      <c r="G55" s="32" t="s">
        <v>350</v>
      </c>
      <c r="H55" s="32"/>
      <c r="I55" s="31" t="s">
        <v>349</v>
      </c>
      <c r="J55" s="33"/>
      <c r="K55" s="31" t="s">
        <v>7</v>
      </c>
      <c r="L55" s="32" t="str">
        <f t="shared" si="0"/>
        <v>HIGH</v>
      </c>
      <c r="M55" s="32" t="str">
        <f t="shared" si="1"/>
        <v>B04</v>
      </c>
      <c r="N55" s="32"/>
      <c r="O55" s="32"/>
      <c r="P55" s="32"/>
      <c r="Q55" s="32"/>
      <c r="R55" s="32"/>
      <c r="S55" s="32"/>
      <c r="T55" s="32"/>
      <c r="U55" s="31"/>
      <c r="V55" s="31"/>
      <c r="W55" t="str">
        <f t="shared" si="17"/>
        <v>SUM(v_1_0055) AS ,</v>
      </c>
    </row>
    <row r="56" spans="1:23" ht="40.950000000000003" hidden="1" customHeight="1" x14ac:dyDescent="0.3">
      <c r="A56" s="4" t="s">
        <v>113</v>
      </c>
      <c r="B56" s="2" t="str">
        <f t="shared" ref="B56" si="19">CONCATENATE("v_1_",A56)</f>
        <v>v_1_0056</v>
      </c>
      <c r="C56" s="2" t="s">
        <v>344</v>
      </c>
      <c r="D56" s="2" t="str">
        <f>VLOOKUP(CONCATENATE(C56,"_",E56),'Data types'!A:E,4,FALSE)</f>
        <v>0030</v>
      </c>
      <c r="E56" s="5" t="s">
        <v>393</v>
      </c>
      <c r="F56" s="5" t="str">
        <f>VLOOKUP(CONCATENATE(C56,"_",E56),'Data types'!A:F,6,FALSE)</f>
        <v>String: Drop-down</v>
      </c>
      <c r="G56" s="17" t="s">
        <v>350</v>
      </c>
      <c r="H56" s="17"/>
      <c r="I56" s="5" t="s">
        <v>349</v>
      </c>
      <c r="J56" s="16"/>
      <c r="K56" s="5" t="s">
        <v>7</v>
      </c>
      <c r="L56" s="17" t="str">
        <f t="shared" si="0"/>
        <v>HIGH</v>
      </c>
      <c r="M56" s="17" t="str">
        <f t="shared" si="1"/>
        <v>B90</v>
      </c>
      <c r="N56" s="17" t="str">
        <f>"`"&amp;VLOOKUP(D56,'B90_Maping fields'!B:C,2,FALSE)&amp;"`"</f>
        <v>`0030_cntrprty_rsltn_grp`</v>
      </c>
      <c r="O56" s="47"/>
      <c r="P56" s="17"/>
      <c r="Q56" s="47"/>
      <c r="R56" s="17"/>
      <c r="S56" s="47"/>
      <c r="T56" s="17"/>
      <c r="U56" s="5" t="str">
        <f>+",SELECT '"&amp;M56&amp;"' AS TAB, '"&amp;L56&amp;"' AS ALERT_TYPE, '"&amp;B56&amp;"' AS CHECK_ID, ROW_NUMBER, CASE WHEN A.ISSUES &gt;0 THEN 1 ELSE 0 END AS "&amp;B56&amp;" FROM (SELECT COUNT(*) AS ISSUES FROM "&amp;M56&amp;" WHERE "&amp;M56&amp;"."&amp;D56&amp;" IS MISSING) AS A;"</f>
        <v>,SELECT 'B90' AS TAB, 'HIGH' AS ALERT_TYPE, 'v_1_0056' AS CHECK_ID, ROW_NUMBER, CASE WHEN A.ISSUES &gt;0 THEN 1 ELSE 0 END AS v_1_0056 FROM (SELECT COUNT(*) AS ISSUES FROM B90 WHERE B90.0030 IS MISSING) AS A;</v>
      </c>
      <c r="V56" s="5" t="str">
        <f>+",CASE WHEN "&amp;N56&amp;" IS MISSING OR "&amp;N56&amp;"='' THEN 1 ELSE 0 END AS "&amp;B56</f>
        <v>,CASE WHEN `0030_cntrprty_rsltn_grp` IS MISSING OR `0030_cntrprty_rsltn_grp`='' THEN 1 ELSE 0 END AS v_1_0056</v>
      </c>
      <c r="W56" t="str">
        <f>+"SUM("&amp;B56&amp;") AS LVL1_H_"&amp;MID(N56,2,LEN(N56)-2)&amp;","</f>
        <v>SUM(v_1_0056) AS LVL1_H_0030_cntrprty_rsltn_grp,</v>
      </c>
    </row>
  </sheetData>
  <autoFilter ref="A2:W56" xr:uid="{00000000-0001-0000-0100-000000000000}">
    <filterColumn colId="2">
      <filters>
        <filter val="B02.00"/>
        <filter val="B90.00"/>
      </filters>
    </filterColumn>
    <filterColumn colId="7">
      <customFilters>
        <customFilter operator="notEqual" val=" "/>
      </customFilters>
    </filterColumn>
  </autoFilter>
  <phoneticPr fontId="7" type="noConversion"/>
  <pageMargins left="0.7" right="0.7" top="0.75" bottom="0.75" header="0.3" footer="0.3"/>
  <pageSetup paperSize="8"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Z64"/>
  <sheetViews>
    <sheetView showGridLines="0" zoomScale="90" zoomScaleNormal="90" workbookViewId="0">
      <selection activeCell="K11" sqref="K11"/>
    </sheetView>
  </sheetViews>
  <sheetFormatPr defaultColWidth="9.109375" defaultRowHeight="14.4" x14ac:dyDescent="0.3"/>
  <cols>
    <col min="1" max="1" width="13.5546875" customWidth="1"/>
    <col min="2" max="2" width="10.44140625" customWidth="1"/>
    <col min="3" max="3" width="7.33203125" customWidth="1"/>
    <col min="4" max="4" width="6.109375" customWidth="1"/>
    <col min="5" max="6" width="17.5546875" customWidth="1"/>
    <col min="7" max="7" width="16.33203125" customWidth="1"/>
    <col min="8" max="8" width="16" customWidth="1"/>
    <col min="9" max="9" width="24.5546875" customWidth="1"/>
    <col min="10" max="10" width="24.6640625" customWidth="1"/>
    <col min="11" max="11" width="48.44140625" customWidth="1"/>
    <col min="12" max="20" width="10.77734375" customWidth="1"/>
    <col min="21" max="21" width="10.77734375" style="49" customWidth="1"/>
    <col min="22" max="22" width="10.77734375" customWidth="1"/>
    <col min="23" max="23" width="10.77734375" style="49" customWidth="1"/>
    <col min="24" max="24" width="10.77734375" customWidth="1"/>
    <col min="25" max="25" width="52.109375" customWidth="1"/>
  </cols>
  <sheetData>
    <row r="1" spans="1:26" ht="45" customHeight="1" x14ac:dyDescent="0.3">
      <c r="B1" s="6" t="s">
        <v>90</v>
      </c>
      <c r="Y1" s="29" t="s">
        <v>569</v>
      </c>
    </row>
    <row r="2" spans="1:26" ht="88.5" customHeight="1" x14ac:dyDescent="0.3">
      <c r="A2" s="3"/>
      <c r="B2" s="1" t="s">
        <v>0</v>
      </c>
      <c r="C2" s="1" t="s">
        <v>1</v>
      </c>
      <c r="D2" s="1" t="s">
        <v>2</v>
      </c>
      <c r="E2" s="1" t="s">
        <v>3</v>
      </c>
      <c r="F2" s="1" t="s">
        <v>244</v>
      </c>
      <c r="G2" s="1" t="s">
        <v>392</v>
      </c>
      <c r="H2" s="1" t="s">
        <v>379</v>
      </c>
      <c r="I2" s="1" t="s">
        <v>348</v>
      </c>
      <c r="J2" s="1" t="s">
        <v>384</v>
      </c>
      <c r="K2" s="1" t="s">
        <v>424</v>
      </c>
      <c r="L2" s="36" t="s">
        <v>570</v>
      </c>
      <c r="M2" s="36" t="s">
        <v>559</v>
      </c>
      <c r="N2" s="36" t="s">
        <v>658</v>
      </c>
      <c r="O2" s="46" t="s">
        <v>661</v>
      </c>
      <c r="P2" s="36" t="s">
        <v>660</v>
      </c>
      <c r="Q2" s="46" t="s">
        <v>662</v>
      </c>
      <c r="R2" s="36" t="s">
        <v>659</v>
      </c>
      <c r="S2" s="46" t="s">
        <v>663</v>
      </c>
      <c r="T2" s="36" t="s">
        <v>664</v>
      </c>
      <c r="U2" s="46" t="s">
        <v>665</v>
      </c>
      <c r="V2" s="36" t="s">
        <v>666</v>
      </c>
      <c r="W2" s="46" t="s">
        <v>667</v>
      </c>
      <c r="X2" s="36" t="s">
        <v>668</v>
      </c>
      <c r="Y2" s="22" t="s">
        <v>561</v>
      </c>
    </row>
    <row r="3" spans="1:26" ht="72.75" hidden="1" customHeight="1" x14ac:dyDescent="0.3">
      <c r="A3" s="4" t="s">
        <v>5</v>
      </c>
      <c r="B3" s="8" t="str">
        <f>CONCATENATE("v_2_",A3)</f>
        <v>v_2_0001</v>
      </c>
      <c r="C3" s="2" t="s">
        <v>66</v>
      </c>
      <c r="D3" s="2" t="str">
        <f>VLOOKUP(CONCATENATE(C3,"_",E3),'Data types'!A:E,4,FALSE)</f>
        <v>0030</v>
      </c>
      <c r="E3" s="5" t="s">
        <v>9</v>
      </c>
      <c r="F3" s="5" t="str">
        <f>VLOOKUP(CONCATENATE(C3,"_",E3),'Data types'!A:F,6,FALSE)</f>
        <v>String: Free text</v>
      </c>
      <c r="G3" s="17" t="s">
        <v>350</v>
      </c>
      <c r="H3" s="17"/>
      <c r="I3" s="5" t="s">
        <v>394</v>
      </c>
      <c r="J3" s="5" t="s">
        <v>395</v>
      </c>
      <c r="K3" s="28" t="s">
        <v>573</v>
      </c>
      <c r="L3" s="17" t="str">
        <f>+IF(G3="X","HIGH","WARNING")</f>
        <v>HIGH</v>
      </c>
      <c r="M3" s="17" t="str">
        <f>+LEFT(C3,3)</f>
        <v>B02</v>
      </c>
      <c r="N3" s="17" t="str">
        <f>"`"&amp;VLOOKUP(D3,'B02_Mapping fields'!B:C,2,FALSE)&amp;"`"</f>
        <v>`0030_uniq_id_knwn_cntrprty`</v>
      </c>
      <c r="O3" s="47" t="s">
        <v>68</v>
      </c>
      <c r="P3" s="17" t="str">
        <f>"`"&amp;VLOOKUP(O3,'B02_Mapping fields'!B:C,2,FALSE)&amp;"`"</f>
        <v>`0040_typ_uniq_id_knwn_cntrprty`</v>
      </c>
      <c r="Q3" s="47"/>
      <c r="R3" s="17"/>
      <c r="S3" s="47"/>
      <c r="T3" s="17"/>
      <c r="U3" s="47"/>
      <c r="V3" s="17"/>
      <c r="W3" s="47"/>
      <c r="X3" s="17"/>
      <c r="Y3" s="5" t="str">
        <f>+",CASE WHEN "&amp;P3&amp;" = 'ISIN' AND LENGTH("&amp;N3&amp;") = 12 AND SUBSTR("&amp;N3&amp;", 1, 1) RLIKE '^[A-Za-z]$' AND SUBSTR("&amp;N3&amp;", 2, 1) RLIKE '^[A-Za-z]$' THEN 0 ELSE 1 END AS "&amp;B3</f>
        <v>,CASE WHEN `0040_typ_uniq_id_knwn_cntrprty` = 'ISIN' AND LENGTH(`0030_uniq_id_knwn_cntrprty`) = 12 AND SUBSTR(`0030_uniq_id_knwn_cntrprty`, 1, 1) RLIKE '^[A-Za-z]$' AND SUBSTR(`0030_uniq_id_knwn_cntrprty`, 2, 1) RLIKE '^[A-Za-z]$' THEN 0 ELSE 1 END AS v_2_0001</v>
      </c>
      <c r="Z3" s="50" t="str">
        <f>+"SUM("&amp;B3&amp;") AS LVL2_H_"&amp;MID(N3,2,LEN(N3)-2)&amp;","</f>
        <v>SUM(v_2_0001) AS LVL2_H_0030_uniq_id_knwn_cntrprty,</v>
      </c>
    </row>
    <row r="4" spans="1:26" ht="72.75" hidden="1" customHeight="1" x14ac:dyDescent="0.3">
      <c r="A4" s="4" t="s">
        <v>10</v>
      </c>
      <c r="B4" s="2" t="str">
        <f t="shared" ref="B4:B31" si="0">CONCATENATE("v_2_",A4)</f>
        <v>v_2_0003</v>
      </c>
      <c r="C4" s="2" t="s">
        <v>66</v>
      </c>
      <c r="D4" s="2" t="str">
        <f>VLOOKUP(CONCATENATE(C4,"_",E4),'Data types'!A:E,4,FALSE)</f>
        <v>0070</v>
      </c>
      <c r="E4" s="5" t="s">
        <v>13</v>
      </c>
      <c r="F4" s="5" t="str">
        <f>VLOOKUP(CONCATENATE(C4,"_",E4),'Data types'!A:F,6,FALSE)</f>
        <v>String: 3-letters ISO 4217</v>
      </c>
      <c r="G4" s="17" t="s">
        <v>350</v>
      </c>
      <c r="H4" s="17"/>
      <c r="I4" s="5" t="s">
        <v>246</v>
      </c>
      <c r="J4" s="5" t="s">
        <v>396</v>
      </c>
      <c r="K4" s="5" t="s">
        <v>96</v>
      </c>
      <c r="L4" s="17" t="str">
        <f t="shared" ref="L4:L59" si="1">+IF(G4="X","HIGH","WARNING")</f>
        <v>HIGH</v>
      </c>
      <c r="M4" s="17" t="str">
        <f t="shared" ref="M4:M59" si="2">+LEFT(C4,3)</f>
        <v>B02</v>
      </c>
      <c r="N4" s="17" t="str">
        <f>"`"&amp;VLOOKUP(D4,'B02_Mapping fields'!B:C,2,FALSE)&amp;"`"</f>
        <v>`0070_cntrct_crrncy`</v>
      </c>
      <c r="O4" s="47" t="s">
        <v>38</v>
      </c>
      <c r="P4" s="17" t="str">
        <f>"`"&amp;VLOOKUP(O4,'B02_Mapping fields'!B:C,2,FALSE)&amp;"`"</f>
        <v>`0020_uniq_id`</v>
      </c>
      <c r="Q4" s="47"/>
      <c r="R4" s="17"/>
      <c r="S4" s="47"/>
      <c r="T4" s="17"/>
      <c r="U4" s="47"/>
      <c r="V4" s="17"/>
      <c r="W4" s="47"/>
      <c r="X4" s="17"/>
      <c r="Y4" s="5" t="str">
        <f>+",CASE WHEN "&amp;P4&amp;" NOT IN ('NCNP', 'NCBP') AND LENGTH("&amp;N4&amp;") = 3 THEN 0 ELSE 1 END AS "&amp;B4</f>
        <v>,CASE WHEN `0020_uniq_id` NOT IN ('NCNP', 'NCBP') AND LENGTH(`0070_cntrct_crrncy`) = 3 THEN 0 ELSE 1 END AS v_2_0003</v>
      </c>
      <c r="Z4" s="50" t="str">
        <f t="shared" ref="Z4" si="3">+"SUM("&amp;B4&amp;") AS LVL2_H_"&amp;MID(N4,2,LEN(N4)-2)&amp;","</f>
        <v>SUM(v_2_0003) AS LVL2_H_0070_cntrct_crrncy,</v>
      </c>
    </row>
    <row r="5" spans="1:26" ht="72.75" hidden="1" customHeight="1" x14ac:dyDescent="0.3">
      <c r="A5" s="4" t="s">
        <v>11</v>
      </c>
      <c r="B5" s="2" t="str">
        <f t="shared" si="0"/>
        <v>v_2_0004</v>
      </c>
      <c r="C5" s="2" t="s">
        <v>66</v>
      </c>
      <c r="D5" s="2" t="str">
        <f>VLOOKUP(CONCATENATE(C5,"_",E5),'Data types'!A:E,4,FALSE)</f>
        <v>0080</v>
      </c>
      <c r="E5" s="5" t="s">
        <v>268</v>
      </c>
      <c r="F5" s="5" t="str">
        <f>VLOOKUP(CONCATENATE(C5,"_",E5),'Data types'!A:F,6,FALSE)</f>
        <v>Numeric: 2 decimals</v>
      </c>
      <c r="G5" s="17"/>
      <c r="H5" s="17" t="s">
        <v>350</v>
      </c>
      <c r="I5" s="5" t="s">
        <v>95</v>
      </c>
      <c r="J5" s="5"/>
      <c r="K5" s="5" t="s">
        <v>431</v>
      </c>
      <c r="L5" s="17" t="str">
        <f t="shared" si="1"/>
        <v>WARNING</v>
      </c>
      <c r="M5" s="17" t="str">
        <f t="shared" si="2"/>
        <v>B02</v>
      </c>
      <c r="N5" s="17" t="str">
        <f>"`"&amp;VLOOKUP(D5,'B02_Mapping fields'!B:C,2,FALSE)&amp;"`"</f>
        <v>`0080_otstndng_prncpl_amnt`</v>
      </c>
      <c r="O5" s="47"/>
      <c r="P5" s="17"/>
      <c r="Q5" s="47"/>
      <c r="R5" s="17"/>
      <c r="S5" s="47"/>
      <c r="T5" s="17"/>
      <c r="U5" s="47"/>
      <c r="V5" s="17"/>
      <c r="W5" s="47"/>
      <c r="X5" s="17"/>
      <c r="Y5" s="5" t="str">
        <f>+",CASE WHEN "&amp;N5&amp;" &lt;=0 THEN 1 ELSE 0 END AS "&amp;B5</f>
        <v>,CASE WHEN `0080_otstndng_prncpl_amnt` &lt;=0 THEN 1 ELSE 0 END AS v_2_0004</v>
      </c>
      <c r="Z5" s="50" t="str">
        <f>+"SUM("&amp;B5&amp;") AS LVL2_W_"&amp;MID(N5,2,LEN(N5)-2)&amp;","</f>
        <v>SUM(v_2_0004) AS LVL2_W_0080_otstndng_prncpl_amnt,</v>
      </c>
    </row>
    <row r="6" spans="1:26" ht="72.75" hidden="1" customHeight="1" x14ac:dyDescent="0.3">
      <c r="A6" s="4" t="s">
        <v>12</v>
      </c>
      <c r="B6" s="2" t="str">
        <f t="shared" si="0"/>
        <v>v_2_0005</v>
      </c>
      <c r="C6" s="2" t="s">
        <v>66</v>
      </c>
      <c r="D6" s="2" t="str">
        <f>VLOOKUP(CONCATENATE(C6,"_",E6),'Data types'!A:E,4,FALSE)</f>
        <v>0090</v>
      </c>
      <c r="E6" s="5" t="s">
        <v>296</v>
      </c>
      <c r="F6" s="5" t="str">
        <f>VLOOKUP(CONCATENATE(C6,"_",E6),'Data types'!A:F,6,FALSE)</f>
        <v>Numeric: 2 decimals</v>
      </c>
      <c r="G6" s="17" t="s">
        <v>350</v>
      </c>
      <c r="H6" s="17"/>
      <c r="I6" s="5" t="s">
        <v>97</v>
      </c>
      <c r="J6" s="5" t="s">
        <v>395</v>
      </c>
      <c r="K6" s="5" t="s">
        <v>98</v>
      </c>
      <c r="L6" s="17" t="str">
        <f t="shared" si="1"/>
        <v>HIGH</v>
      </c>
      <c r="M6" s="17" t="str">
        <f t="shared" si="2"/>
        <v>B02</v>
      </c>
      <c r="N6" s="17" t="str">
        <f>"`"&amp;VLOOKUP(D6,'B02_Mapping fields'!B:C,2,FALSE)&amp;"`"</f>
        <v>`0090_prtn_amnt_rprtng_entty`</v>
      </c>
      <c r="O6" s="47" t="s">
        <v>68</v>
      </c>
      <c r="P6" s="17" t="str">
        <f>"`"&amp;VLOOKUP(O6,'B02_Mapping fields'!B:C,2,FALSE)&amp;"`"</f>
        <v>`0040_typ_uniq_id_knwn_cntrprty`</v>
      </c>
      <c r="Q6" s="47"/>
      <c r="R6" s="17"/>
      <c r="S6" s="47"/>
      <c r="T6" s="17"/>
      <c r="U6" s="47"/>
      <c r="V6" s="17"/>
      <c r="W6" s="47"/>
      <c r="X6" s="17"/>
      <c r="Y6" s="5" t="str">
        <f>+",CASE WHEN "&amp;N6&amp;" &gt;=0 AND "&amp;P6&amp;" = 'ISIN' THEN 0 ELSE 1 END AS "&amp;B6</f>
        <v>,CASE WHEN `0090_prtn_amnt_rprtng_entty` &gt;=0 AND `0040_typ_uniq_id_knwn_cntrprty` = 'ISIN' THEN 0 ELSE 1 END AS v_2_0005</v>
      </c>
      <c r="Z6" s="50" t="str">
        <f>+"SUM("&amp;B6&amp;") AS LVL2_H_"&amp;MID(N6,2,LEN(N6)-2)&amp;","</f>
        <v>SUM(v_2_0005) AS LVL2_H_0090_prtn_amnt_rprtng_entty,</v>
      </c>
    </row>
    <row r="7" spans="1:26" ht="72.75" hidden="1" customHeight="1" x14ac:dyDescent="0.3">
      <c r="A7" s="4" t="s">
        <v>14</v>
      </c>
      <c r="B7" s="2" t="str">
        <f t="shared" si="0"/>
        <v>v_2_0006</v>
      </c>
      <c r="C7" s="2" t="s">
        <v>66</v>
      </c>
      <c r="D7" s="2" t="str">
        <f>VLOOKUP(CONCATENATE(C7,"_",E7),'Data types'!A:E,4,FALSE)</f>
        <v>0100</v>
      </c>
      <c r="E7" s="5" t="s">
        <v>17</v>
      </c>
      <c r="F7" s="5" t="str">
        <f>VLOOKUP(CONCATENATE(C7,"_",E7),'Data types'!A:F,6,FALSE)</f>
        <v>Numeric: 2 decimals</v>
      </c>
      <c r="G7" s="17"/>
      <c r="H7" s="17" t="s">
        <v>350</v>
      </c>
      <c r="I7" s="5" t="s">
        <v>302</v>
      </c>
      <c r="J7" s="5"/>
      <c r="K7" s="5" t="s">
        <v>303</v>
      </c>
      <c r="L7" s="17" t="str">
        <f t="shared" si="1"/>
        <v>WARNING</v>
      </c>
      <c r="M7" s="17" t="str">
        <f t="shared" si="2"/>
        <v>B02</v>
      </c>
      <c r="N7" s="17" t="str">
        <f>"`"&amp;VLOOKUP(D7,'B02_Mapping fields'!B:C,2,FALSE)&amp;"`"</f>
        <v>`0100_accrd_intrst_instrmnt`</v>
      </c>
      <c r="O7" s="47"/>
      <c r="P7" s="17"/>
      <c r="Q7" s="47"/>
      <c r="R7" s="17"/>
      <c r="S7" s="47"/>
      <c r="T7" s="17"/>
      <c r="U7" s="47"/>
      <c r="V7" s="17"/>
      <c r="W7" s="47"/>
      <c r="X7" s="17"/>
      <c r="Y7" s="5" t="str">
        <f>+",CASE WHEN "&amp;N7&amp;" &gt;=0 THEN 0 ELSE 1 END AS "&amp;B7</f>
        <v>,CASE WHEN `0100_accrd_intrst_instrmnt` &gt;=0 THEN 0 ELSE 1 END AS v_2_0006</v>
      </c>
      <c r="Z7" s="50" t="str">
        <f t="shared" ref="Z7:Z8" si="4">+"SUM("&amp;B7&amp;") AS LVL2_W_"&amp;MID(N7,2,LEN(N7)-2)&amp;","</f>
        <v>SUM(v_2_0006) AS LVL2_W_0100_accrd_intrst_instrmnt,</v>
      </c>
    </row>
    <row r="8" spans="1:26" ht="72.75" hidden="1" customHeight="1" x14ac:dyDescent="0.3">
      <c r="A8" s="4" t="s">
        <v>15</v>
      </c>
      <c r="B8" s="2" t="str">
        <f t="shared" si="0"/>
        <v>v_2_0007</v>
      </c>
      <c r="C8" s="2" t="s">
        <v>66</v>
      </c>
      <c r="D8" s="2" t="str">
        <f>VLOOKUP(CONCATENATE(C8,"_",E8),'Data types'!A:E,4,FALSE)</f>
        <v>0110</v>
      </c>
      <c r="E8" s="5" t="s">
        <v>19</v>
      </c>
      <c r="F8" s="5" t="str">
        <f>VLOOKUP(CONCATENATE(C8,"_",E8),'Data types'!A:F,6,FALSE)</f>
        <v>Numeric: 2 decimals</v>
      </c>
      <c r="G8" s="17"/>
      <c r="H8" s="17" t="s">
        <v>350</v>
      </c>
      <c r="I8" s="5" t="s">
        <v>97</v>
      </c>
      <c r="J8" s="5"/>
      <c r="K8" s="5" t="s">
        <v>432</v>
      </c>
      <c r="L8" s="17" t="str">
        <f t="shared" si="1"/>
        <v>WARNING</v>
      </c>
      <c r="M8" s="17" t="str">
        <f t="shared" si="2"/>
        <v>B02</v>
      </c>
      <c r="N8" s="17" t="str">
        <f>"`"&amp;VLOOKUP(D8,'B02_Mapping fields'!B:C,2,FALSE)&amp;"`"</f>
        <v>`0110_applcbl_fees_charges`</v>
      </c>
      <c r="O8" s="47"/>
      <c r="P8" s="17"/>
      <c r="Q8" s="47"/>
      <c r="R8" s="17"/>
      <c r="S8" s="47"/>
      <c r="T8" s="17"/>
      <c r="U8" s="47"/>
      <c r="V8" s="17"/>
      <c r="W8" s="47"/>
      <c r="X8" s="17"/>
      <c r="Y8" s="5" t="str">
        <f>+",CASE WHEN "&amp;N8&amp;" &gt;=0 THEN 0 ELSE 1 END AS "&amp;B8</f>
        <v>,CASE WHEN `0110_applcbl_fees_charges` &gt;=0 THEN 0 ELSE 1 END AS v_2_0007</v>
      </c>
      <c r="Z8" s="50" t="str">
        <f t="shared" si="4"/>
        <v>SUM(v_2_0007) AS LVL2_W_0110_applcbl_fees_charges,</v>
      </c>
    </row>
    <row r="9" spans="1:26" ht="72.75" hidden="1" customHeight="1" x14ac:dyDescent="0.3">
      <c r="A9" s="4" t="s">
        <v>16</v>
      </c>
      <c r="B9" s="2" t="str">
        <f t="shared" si="0"/>
        <v>v_2_0008</v>
      </c>
      <c r="C9" s="2" t="s">
        <v>66</v>
      </c>
      <c r="D9" s="2" t="str">
        <f>VLOOKUP(CONCATENATE(C9,"_",E9),'Data types'!A:E,4,FALSE)</f>
        <v>0120</v>
      </c>
      <c r="E9" s="5" t="s">
        <v>21</v>
      </c>
      <c r="F9" s="5" t="str">
        <f>VLOOKUP(CONCATENATE(C9,"_",E9),'Data types'!A:F,6,FALSE)</f>
        <v>Numeric: 2 decimals</v>
      </c>
      <c r="G9" s="17" t="s">
        <v>350</v>
      </c>
      <c r="H9" s="17"/>
      <c r="I9" s="5" t="s">
        <v>95</v>
      </c>
      <c r="J9" s="5"/>
      <c r="K9" s="5" t="s">
        <v>101</v>
      </c>
      <c r="L9" s="17" t="str">
        <f t="shared" si="1"/>
        <v>HIGH</v>
      </c>
      <c r="M9" s="17" t="str">
        <f t="shared" si="2"/>
        <v>B02</v>
      </c>
      <c r="N9" s="17" t="str">
        <f>"`"&amp;VLOOKUP(D9,'B02_Mapping fields'!B:C,2,FALSE)&amp;"`"</f>
        <v>`0120_otstndng_amnt`</v>
      </c>
      <c r="O9" s="47"/>
      <c r="P9" s="17"/>
      <c r="Q9" s="47"/>
      <c r="R9" s="17"/>
      <c r="S9" s="47"/>
      <c r="T9" s="17"/>
      <c r="U9" s="47"/>
      <c r="V9" s="17"/>
      <c r="W9" s="47"/>
      <c r="X9" s="17"/>
      <c r="Y9" s="5" t="str">
        <f>+",CASE WHEN "&amp;N9&amp;" &gt;=0 THEN 0 ELSE 1 END AS "&amp;B9</f>
        <v>,CASE WHEN `0120_otstndng_amnt` &gt;=0 THEN 0 ELSE 1 END AS v_2_0008</v>
      </c>
      <c r="Z9" s="50" t="str">
        <f t="shared" ref="Z9:Z38" si="5">+"SUM("&amp;B9&amp;") AS LVL2_H_"&amp;MID(N9,2,LEN(N9)-2)&amp;","</f>
        <v>SUM(v_2_0008) AS LVL2_H_0120_otstndng_amnt,</v>
      </c>
    </row>
    <row r="10" spans="1:26" ht="72.75" hidden="1" customHeight="1" x14ac:dyDescent="0.3">
      <c r="A10" s="4" t="s">
        <v>18</v>
      </c>
      <c r="B10" s="2" t="str">
        <f t="shared" si="0"/>
        <v>v_2_0009</v>
      </c>
      <c r="C10" s="2" t="s">
        <v>66</v>
      </c>
      <c r="D10" s="2" t="str">
        <f>VLOOKUP(CONCATENATE(C10,"_",E10),'Data types'!A:E,4,FALSE)</f>
        <v>0120</v>
      </c>
      <c r="E10" s="5" t="s">
        <v>21</v>
      </c>
      <c r="F10" s="5" t="str">
        <f>VLOOKUP(CONCATENATE(C10,"_",E10),'Data types'!A:F,6,FALSE)</f>
        <v>Numeric: 2 decimals</v>
      </c>
      <c r="G10" s="17" t="s">
        <v>350</v>
      </c>
      <c r="H10" s="17"/>
      <c r="I10" s="5" t="s">
        <v>434</v>
      </c>
      <c r="J10" s="5"/>
      <c r="K10" s="5" t="s">
        <v>433</v>
      </c>
      <c r="L10" s="17" t="str">
        <f t="shared" si="1"/>
        <v>HIGH</v>
      </c>
      <c r="M10" s="17" t="str">
        <f t="shared" si="2"/>
        <v>B02</v>
      </c>
      <c r="N10" s="17" t="str">
        <f>"`"&amp;VLOOKUP(D10,'B02_Mapping fields'!B:C,2,FALSE)&amp;"`"</f>
        <v>`0120_otstndng_amnt`</v>
      </c>
      <c r="O10" s="47" t="s">
        <v>126</v>
      </c>
      <c r="P10" s="17" t="str">
        <f>"`"&amp;VLOOKUP(O10,'B02_Mapping fields'!B:C,2,FALSE)&amp;"`"</f>
        <v>`0080_otstndng_prncpl_amnt`</v>
      </c>
      <c r="Q10" s="47" t="s">
        <v>136</v>
      </c>
      <c r="R10" s="17" t="str">
        <f>"`"&amp;VLOOKUP(Q10,'B02_Mapping fields'!B:C,2,FALSE)&amp;"`"</f>
        <v>`0100_accrd_intrst_instrmnt`</v>
      </c>
      <c r="S10" s="47" t="s">
        <v>144</v>
      </c>
      <c r="T10" s="17" t="str">
        <f>"`"&amp;VLOOKUP(S10,'B02_Mapping fields'!B:C,2,FALSE)&amp;"`"</f>
        <v>`0110_applcbl_fees_charges`</v>
      </c>
      <c r="U10" s="47"/>
      <c r="V10" s="17"/>
      <c r="W10" s="47"/>
      <c r="X10" s="17"/>
      <c r="Y10" s="5" t="str">
        <f>+",CASE WHEN "&amp;N10&amp;" = ("&amp;P10&amp;"+"&amp;R10&amp;"+"&amp;T10&amp;") THEN 0 ELSE 1 END AS "&amp;B10</f>
        <v>,CASE WHEN `0120_otstndng_amnt` = (`0080_otstndng_prncpl_amnt`+`0100_accrd_intrst_instrmnt`+`0110_applcbl_fees_charges`) THEN 0 ELSE 1 END AS v_2_0009</v>
      </c>
      <c r="Z10" s="50" t="str">
        <f t="shared" si="5"/>
        <v>SUM(v_2_0009) AS LVL2_H_0120_otstndng_amnt,</v>
      </c>
    </row>
    <row r="11" spans="1:26" ht="72.75" customHeight="1" x14ac:dyDescent="0.3">
      <c r="A11" s="4" t="s">
        <v>22</v>
      </c>
      <c r="B11" s="2" t="str">
        <f t="shared" si="0"/>
        <v>v_2_0011</v>
      </c>
      <c r="C11" s="2" t="s">
        <v>66</v>
      </c>
      <c r="D11" s="2" t="str">
        <f>VLOOKUP(CONCATENATE(C11,"_",E11),'Data types'!A:E,4,FALSE)</f>
        <v>0130</v>
      </c>
      <c r="E11" s="5" t="s">
        <v>248</v>
      </c>
      <c r="F11" s="5" t="str">
        <f>VLOOKUP(CONCATENATE(C11,"_",E11),'Data types'!A:F,6,FALSE)</f>
        <v>Numeric: 2 decimals</v>
      </c>
      <c r="G11" s="17" t="s">
        <v>350</v>
      </c>
      <c r="H11" s="17"/>
      <c r="I11" s="5" t="s">
        <v>386</v>
      </c>
      <c r="J11" s="5" t="s">
        <v>385</v>
      </c>
      <c r="K11" s="5" t="s">
        <v>435</v>
      </c>
      <c r="L11" s="17" t="str">
        <f t="shared" si="1"/>
        <v>HIGH</v>
      </c>
      <c r="M11" s="17" t="str">
        <f t="shared" si="2"/>
        <v>B02</v>
      </c>
      <c r="N11" s="17" t="str">
        <f>"`"&amp;VLOOKUP(D11,'B02_Mapping fields'!B:C,2,FALSE)&amp;"`"</f>
        <v>`0130_rlvnt_amnt_wdc`</v>
      </c>
      <c r="O11" s="47" t="s">
        <v>159</v>
      </c>
      <c r="P11" s="17" t="str">
        <f>"`"&amp;VLOOKUP(O11,'B02_Mapping fields'!B:C,2,FALSE)&amp;"`"</f>
        <v>`0250_strctrd_prdct`</v>
      </c>
      <c r="Q11" s="47" t="s">
        <v>158</v>
      </c>
      <c r="R11" s="17" t="str">
        <f>"`"&amp;VLOOKUP(Q11,'B02_Mapping fields'!B:C,2,FALSE)&amp;"`"</f>
        <v>`0240_zero_coupon`</v>
      </c>
      <c r="S11" s="47" t="s">
        <v>145</v>
      </c>
      <c r="T11" s="17" t="str">
        <f>"`"&amp;VLOOKUP(S11,'B02_Mapping fields'!B:C,2,FALSE)&amp;"`"</f>
        <v>`0120_otstndng_amnt`</v>
      </c>
      <c r="U11" s="47" t="s">
        <v>167</v>
      </c>
      <c r="V11" s="17" t="str">
        <f>"`"&amp;VLOOKUP(U11,'B02_Mapping fields'!B:C,2,FALSE)&amp;"`"</f>
        <v>`0300_amnt_cvrd_elgbl_dpsts`</v>
      </c>
      <c r="W11" s="47" t="s">
        <v>169</v>
      </c>
      <c r="X11" s="17" t="str">
        <f>"`"&amp;VLOOKUP(W11,'B02_Mapping fields'!B:C,2,FALSE)&amp;"`"</f>
        <v>`0320_amnt_clltrl`</v>
      </c>
      <c r="Y11" s="5" t="str">
        <f>+",CASE WHEN "&amp;N11&amp;" = MAX(0, "&amp;T11&amp;"-"&amp;V11&amp;"-"&amp;X11&amp;") AND "&amp;P11&amp;" IN ('Non-structured/Vanilla', 'Other non-standard terms') AND "&amp;R11&amp;" != 'ZCB issued at discount' THEN 0 ELSE 1 END AS "&amp;B11</f>
        <v>,CASE WHEN `0130_rlvnt_amnt_wdc` = MAX(0, `0120_otstndng_amnt`-`0300_amnt_cvrd_elgbl_dpsts`-`0320_amnt_clltrl`) AND `0250_strctrd_prdct` IN ('Non-structured/Vanilla', 'Other non-standard terms') AND `0240_zero_coupon` != 'ZCB issued at discount' THEN 0 ELSE 1 END AS v_2_0011</v>
      </c>
      <c r="Z11" s="50" t="str">
        <f t="shared" si="5"/>
        <v>SUM(v_2_0011) AS LVL2_H_0130_rlvnt_amnt_wdc,</v>
      </c>
    </row>
    <row r="12" spans="1:26" ht="72.75" customHeight="1" x14ac:dyDescent="0.3">
      <c r="A12" s="4" t="s">
        <v>23</v>
      </c>
      <c r="B12" s="2" t="str">
        <f t="shared" ref="B12" si="6">CONCATENATE("v_2_",A12)</f>
        <v>v_2_0012</v>
      </c>
      <c r="C12" s="2" t="s">
        <v>66</v>
      </c>
      <c r="D12" s="2" t="str">
        <f>VLOOKUP(CONCATENATE(C12,"_",E12),'Data types'!A:E,4,FALSE)</f>
        <v>0130</v>
      </c>
      <c r="E12" s="5" t="s">
        <v>248</v>
      </c>
      <c r="F12" s="5" t="str">
        <f>VLOOKUP(CONCATENATE(C12,"_",E12),'Data types'!A:F,6,FALSE)</f>
        <v>Numeric: 2 decimals</v>
      </c>
      <c r="G12" s="17" t="s">
        <v>350</v>
      </c>
      <c r="H12" s="17"/>
      <c r="I12" s="5" t="s">
        <v>429</v>
      </c>
      <c r="J12" s="5" t="s">
        <v>387</v>
      </c>
      <c r="K12" s="5" t="s">
        <v>430</v>
      </c>
      <c r="L12" s="17" t="str">
        <f t="shared" si="1"/>
        <v>HIGH</v>
      </c>
      <c r="M12" s="17" t="str">
        <f t="shared" si="2"/>
        <v>B02</v>
      </c>
      <c r="N12" s="17" t="str">
        <f>"`"&amp;VLOOKUP(D12,'B02_Mapping fields'!B:C,2,FALSE)&amp;"`"</f>
        <v>`0130_rlvnt_amnt_wdc`</v>
      </c>
      <c r="O12" s="47" t="s">
        <v>159</v>
      </c>
      <c r="P12" s="17" t="str">
        <f>"`"&amp;VLOOKUP(O12,'B02_Mapping fields'!B:C,2,FALSE)&amp;"`"</f>
        <v>`0250_strctrd_prdct`</v>
      </c>
      <c r="Q12" s="47" t="s">
        <v>161</v>
      </c>
      <c r="R12" s="17" t="str">
        <f>"`"&amp;VLOOKUP(Q12,'B02_Mapping fields'!B:C,2,FALSE)&amp;"`"</f>
        <v>`0270_fv_amnt_strctrd_prdct`</v>
      </c>
      <c r="S12" s="47" t="s">
        <v>167</v>
      </c>
      <c r="T12" s="17" t="str">
        <f>"`"&amp;VLOOKUP(S12,'B02_Mapping fields'!B:C,2,FALSE)&amp;"`"</f>
        <v>`0300_amnt_cvrd_elgbl_dpsts`</v>
      </c>
      <c r="U12" s="47" t="s">
        <v>169</v>
      </c>
      <c r="V12" s="17" t="str">
        <f>"`"&amp;VLOOKUP(U12,'B02_Mapping fields'!B:C,2,FALSE)&amp;"`"</f>
        <v>`0320_amnt_clltrl`</v>
      </c>
      <c r="W12" s="47" t="s">
        <v>145</v>
      </c>
      <c r="X12" s="17" t="str">
        <f>"`"&amp;VLOOKUP(W12,'B02_Mapping fields'!B:C,2,FALSE)&amp;"`"</f>
        <v>`0120_otstndng_amnt`</v>
      </c>
      <c r="Y12" s="5" t="str">
        <f>+",CASE WHEN ("&amp;N12&amp;" = MAX(0, "&amp;R12&amp;"-"&amp;T12&amp;"-"&amp;V12&amp;") OR "&amp;N12&amp;" = MAX(0, "&amp;X12&amp;"-"&amp;T12&amp;"-"&amp;V12&amp;")) AND "&amp;P12&amp;" IN ('Structured', 'Structured coupon only') THEN 0 ELSE 1 END AS "&amp;B12</f>
        <v>,CASE WHEN (`0130_rlvnt_amnt_wdc` = MAX(0, `0270_fv_amnt_strctrd_prdct`-`0300_amnt_cvrd_elgbl_dpsts`-`0320_amnt_clltrl`) OR `0130_rlvnt_amnt_wdc` = MAX(0, `0120_otstndng_amnt`-`0300_amnt_cvrd_elgbl_dpsts`-`0320_amnt_clltrl`)) AND `0250_strctrd_prdct` IN ('Structured', 'Structured coupon only') THEN 0 ELSE 1 END AS v_2_0012</v>
      </c>
      <c r="Z12" s="50" t="str">
        <f t="shared" si="5"/>
        <v>SUM(v_2_0012) AS LVL2_H_0130_rlvnt_amnt_wdc,</v>
      </c>
    </row>
    <row r="13" spans="1:26" ht="72.75" hidden="1" customHeight="1" x14ac:dyDescent="0.3">
      <c r="A13" s="4" t="s">
        <v>25</v>
      </c>
      <c r="B13" s="2" t="str">
        <f t="shared" si="0"/>
        <v>v_2_0013</v>
      </c>
      <c r="C13" s="2" t="s">
        <v>66</v>
      </c>
      <c r="D13" s="2" t="str">
        <f>VLOOKUP(CONCATENATE(C13,"_",E13),'Data types'!A:E,4,FALSE)</f>
        <v>0140</v>
      </c>
      <c r="E13" s="5" t="s">
        <v>24</v>
      </c>
      <c r="F13" s="5" t="str">
        <f>VLOOKUP(CONCATENATE(C13,"_",E13),'Data types'!A:F,6,FALSE)</f>
        <v>String: Drop-down</v>
      </c>
      <c r="G13" s="17" t="s">
        <v>350</v>
      </c>
      <c r="H13" s="17"/>
      <c r="I13" s="5" t="s">
        <v>92</v>
      </c>
      <c r="J13" s="5"/>
      <c r="K13" s="5" t="s">
        <v>93</v>
      </c>
      <c r="L13" s="17" t="str">
        <f t="shared" si="1"/>
        <v>HIGH</v>
      </c>
      <c r="M13" s="17" t="str">
        <f t="shared" si="2"/>
        <v>B02</v>
      </c>
      <c r="N13" s="17" t="str">
        <f>"`"&amp;VLOOKUP(D13,'B02_Mapping fields'!B:C,2,FALSE)&amp;"`"</f>
        <v>`0140_ntr_lblty`</v>
      </c>
      <c r="O13" s="47"/>
      <c r="P13" s="17"/>
      <c r="Q13" s="47"/>
      <c r="R13" s="17"/>
      <c r="S13" s="47"/>
      <c r="T13" s="17"/>
      <c r="U13" s="47"/>
      <c r="V13" s="17"/>
      <c r="W13" s="47"/>
      <c r="X13" s="17"/>
      <c r="Y13" s="5" t="str">
        <f>+",CASE WHEN "&amp;N13&amp;" IN ('Registered Bond', 'Bearer Bond', 'Borrower Note Loan', 'Certificate of Deposit / Commercial paper', 'Title of ownership', 'Cash account/saving account', 'Term deposit', 'Loan', 'Bill of exchange ', 'Other') THEN 0 ELSE 1 END AS "&amp;B13</f>
        <v>,CASE WHEN `0140_ntr_lblty` IN ('Registered Bond', 'Bearer Bond', 'Borrower Note Loan', 'Certificate of Deposit / Commercial paper', 'Title of ownership', 'Cash account/saving account', 'Term deposit', 'Loan', 'Bill of exchange ', 'Other') THEN 0 ELSE 1 END AS v_2_0013</v>
      </c>
      <c r="Z13" s="50" t="str">
        <f t="shared" si="5"/>
        <v>SUM(v_2_0013) AS LVL2_H_0140_ntr_lblty,</v>
      </c>
    </row>
    <row r="14" spans="1:26" ht="72.75" hidden="1" customHeight="1" x14ac:dyDescent="0.3">
      <c r="A14" s="4" t="s">
        <v>27</v>
      </c>
      <c r="B14" s="2" t="str">
        <f t="shared" si="0"/>
        <v>v_2_0014</v>
      </c>
      <c r="C14" s="2" t="s">
        <v>66</v>
      </c>
      <c r="D14" s="2" t="str">
        <f>VLOOKUP(CONCATENATE(C14,"_",E14),'Data types'!A:E,4,FALSE)</f>
        <v>0160</v>
      </c>
      <c r="E14" s="5" t="s">
        <v>28</v>
      </c>
      <c r="F14" s="5" t="str">
        <f>VLOOKUP(CONCATENATE(C14,"_",E14),'Data types'!A:F,6,FALSE)</f>
        <v>Numeric: Integer</v>
      </c>
      <c r="G14" s="17" t="s">
        <v>350</v>
      </c>
      <c r="H14" s="17"/>
      <c r="I14" s="5" t="s">
        <v>336</v>
      </c>
      <c r="J14" s="5"/>
      <c r="K14" s="5" t="s">
        <v>305</v>
      </c>
      <c r="L14" s="17" t="str">
        <f t="shared" si="1"/>
        <v>HIGH</v>
      </c>
      <c r="M14" s="17" t="str">
        <f t="shared" si="2"/>
        <v>B02</v>
      </c>
      <c r="N14" s="17" t="str">
        <f>"`"&amp;VLOOKUP(D14,'B02_Mapping fields'!B:C,2,FALSE)&amp;"`"</f>
        <v>`0160_rank_insolv`</v>
      </c>
      <c r="O14" s="47"/>
      <c r="P14" s="17"/>
      <c r="Q14" s="47"/>
      <c r="R14" s="17"/>
      <c r="S14" s="47"/>
      <c r="T14" s="17"/>
      <c r="U14" s="47"/>
      <c r="V14" s="17"/>
      <c r="W14" s="47"/>
      <c r="X14" s="17"/>
      <c r="Y14" s="5" t="str">
        <f>+",CASE WHEN "&amp;N14&amp;" REGEXP '^-?[0-9]+$' THEN 0 ELSE 1 END AS "&amp;B14</f>
        <v>,CASE WHEN `0160_rank_insolv` REGEXP '^-?[0-9]+$' THEN 0 ELSE 1 END AS v_2_0014</v>
      </c>
      <c r="Z14" s="50" t="str">
        <f t="shared" si="5"/>
        <v>SUM(v_2_0014) AS LVL2_H_0160_rank_insolv,</v>
      </c>
    </row>
    <row r="15" spans="1:26" ht="72.75" hidden="1" customHeight="1" x14ac:dyDescent="0.3">
      <c r="A15" s="4" t="s">
        <v>29</v>
      </c>
      <c r="B15" s="2" t="str">
        <f t="shared" si="0"/>
        <v>v_2_0015</v>
      </c>
      <c r="C15" s="2" t="s">
        <v>66</v>
      </c>
      <c r="D15" s="2" t="str">
        <f>VLOOKUP(CONCATENATE(C15,"_",E15),'Data types'!A:E,4,FALSE)</f>
        <v>0170</v>
      </c>
      <c r="E15" s="5" t="s">
        <v>270</v>
      </c>
      <c r="F15" s="5" t="str">
        <f>VLOOKUP(CONCATENATE(C15,"_",E15),'Data types'!A:F,6,FALSE)</f>
        <v>Date: yyyy-mm-dd</v>
      </c>
      <c r="G15" s="17" t="s">
        <v>350</v>
      </c>
      <c r="H15" s="17"/>
      <c r="I15" s="5" t="s">
        <v>103</v>
      </c>
      <c r="J15" s="5" t="s">
        <v>398</v>
      </c>
      <c r="K15" s="5" t="s">
        <v>103</v>
      </c>
      <c r="L15" s="17" t="str">
        <f t="shared" si="1"/>
        <v>HIGH</v>
      </c>
      <c r="M15" s="17" t="str">
        <f t="shared" si="2"/>
        <v>B02</v>
      </c>
      <c r="N15" s="17" t="str">
        <f>"`"&amp;VLOOKUP(D15,'B02_Mapping fields'!B:C,2,FALSE)&amp;"`"</f>
        <v>`0170_dt_incptn`</v>
      </c>
      <c r="O15" s="47" t="s">
        <v>38</v>
      </c>
      <c r="P15" s="17" t="str">
        <f>"`"&amp;VLOOKUP(O15,'B02_Mapping fields'!B:C,2,FALSE)&amp;"`"</f>
        <v>`0020_uniq_id`</v>
      </c>
      <c r="Q15" s="47"/>
      <c r="R15" s="17"/>
      <c r="S15" s="47"/>
      <c r="T15" s="17"/>
      <c r="U15" s="47"/>
      <c r="V15" s="17"/>
      <c r="W15" s="47"/>
      <c r="X15" s="17"/>
      <c r="Y15" s="5" t="str">
        <f>+",CASE WHEN "&amp;N15&amp;" REGEXP '^[0-9]{4}-[0-9]{2}-[0-9]{2}$' AND "&amp;P15&amp;" NOT IN ('NCNP', 'NCBP') THEN 0 ELSE 1 END AS "&amp;B15</f>
        <v>,CASE WHEN `0170_dt_incptn` REGEXP '^[0-9]{4}-[0-9]{2}-[0-9]{2}$' AND `0020_uniq_id` NOT IN ('NCNP', 'NCBP') THEN 0 ELSE 1 END AS v_2_0015</v>
      </c>
      <c r="Z15" s="50" t="str">
        <f t="shared" si="5"/>
        <v>SUM(v_2_0015) AS LVL2_H_0170_dt_incptn,</v>
      </c>
    </row>
    <row r="16" spans="1:26" ht="72.75" hidden="1" customHeight="1" x14ac:dyDescent="0.3">
      <c r="A16" s="4" t="s">
        <v>31</v>
      </c>
      <c r="B16" s="2" t="str">
        <f t="shared" si="0"/>
        <v>v_2_0016</v>
      </c>
      <c r="C16" s="2" t="s">
        <v>66</v>
      </c>
      <c r="D16" s="2" t="str">
        <f>VLOOKUP(CONCATENATE(C16,"_",E16),'Data types'!A:E,4,FALSE)</f>
        <v>0170</v>
      </c>
      <c r="E16" s="5" t="s">
        <v>270</v>
      </c>
      <c r="F16" s="5" t="str">
        <f>VLOOKUP(CONCATENATE(C16,"_",E16),'Data types'!A:F,6,FALSE)</f>
        <v>Date: yyyy-mm-dd</v>
      </c>
      <c r="G16" s="17" t="s">
        <v>350</v>
      </c>
      <c r="H16" s="17"/>
      <c r="I16" s="5" t="s">
        <v>306</v>
      </c>
      <c r="J16" s="5" t="s">
        <v>401</v>
      </c>
      <c r="K16" s="5" t="s">
        <v>306</v>
      </c>
      <c r="L16" s="17" t="str">
        <f t="shared" si="1"/>
        <v>HIGH</v>
      </c>
      <c r="M16" s="17" t="str">
        <f t="shared" si="2"/>
        <v>B02</v>
      </c>
      <c r="N16" s="17" t="str">
        <f>"`"&amp;VLOOKUP(D16,'B02_Mapping fields'!B:C,2,FALSE)&amp;"`"</f>
        <v>`0170_dt_incptn`</v>
      </c>
      <c r="O16" s="47" t="s">
        <v>153</v>
      </c>
      <c r="P16" s="17" t="str">
        <f>"`"&amp;VLOOKUP(O16,'B02_Mapping fields'!B:C,2,FALSE)&amp;"`"</f>
        <v>`0190_dt_nxt_rdmptn_pymnt`</v>
      </c>
      <c r="Q16" s="47" t="s">
        <v>154</v>
      </c>
      <c r="R16" s="17" t="str">
        <f>"`"&amp;VLOOKUP(Q16,'B02_Mapping fields'!B:C,2,FALSE)&amp;"`"</f>
        <v>`0200_dt_erlst_rdmptn`</v>
      </c>
      <c r="S16" s="47" t="s">
        <v>38</v>
      </c>
      <c r="T16" s="17" t="str">
        <f>"`"&amp;VLOOKUP(S16,'B02_Mapping fields'!B:C,2,FALSE)&amp;"`"</f>
        <v>`0020_uniq_id`</v>
      </c>
      <c r="U16" s="47"/>
      <c r="V16" s="17"/>
      <c r="W16" s="47"/>
      <c r="X16" s="17"/>
      <c r="Y16" s="5" t="str">
        <f>+",CASE WHEN "&amp;N16&amp;" &lt; "&amp;P16&amp;" AND "&amp;N16&amp;" &lt; "&amp;R16&amp;" AND "&amp;P16&amp;" IS NOT MISSING AND ("&amp;R16&amp;" IS NOT MISSING OR "&amp;R16&amp;" = '0001-01-01') AND "&amp;T16&amp;" NOT IN ('NCNP', 'NCBP') THEN 0 ELSE 1 END AS "&amp;B16</f>
        <v>,CASE WHEN `0170_dt_incptn` &lt; `0190_dt_nxt_rdmptn_pymnt` AND `0170_dt_incptn` &lt; `0200_dt_erlst_rdmptn` AND `0190_dt_nxt_rdmptn_pymnt` IS NOT MISSING AND (`0200_dt_erlst_rdmptn` IS NOT MISSING OR `0200_dt_erlst_rdmptn` = '0001-01-01') AND `0020_uniq_id` NOT IN ('NCNP', 'NCBP') THEN 0 ELSE 1 END AS v_2_0016</v>
      </c>
      <c r="Z16" s="50" t="str">
        <f t="shared" si="5"/>
        <v>SUM(v_2_0016) AS LVL2_H_0170_dt_incptn,</v>
      </c>
    </row>
    <row r="17" spans="1:26" ht="72.75" hidden="1" customHeight="1" x14ac:dyDescent="0.3">
      <c r="A17" s="4" t="s">
        <v>33</v>
      </c>
      <c r="B17" s="2" t="str">
        <f t="shared" si="0"/>
        <v>v_2_0017</v>
      </c>
      <c r="C17" s="2" t="s">
        <v>66</v>
      </c>
      <c r="D17" s="2" t="str">
        <f>VLOOKUP(CONCATENATE(C17,"_",E17),'Data types'!A:E,4,FALSE)</f>
        <v>0180</v>
      </c>
      <c r="E17" s="5" t="s">
        <v>30</v>
      </c>
      <c r="F17" s="5" t="str">
        <f>VLOOKUP(CONCATENATE(C17,"_",E17),'Data types'!A:F,6,FALSE)</f>
        <v>Date: yyyy-mm-dd</v>
      </c>
      <c r="G17" s="17" t="s">
        <v>350</v>
      </c>
      <c r="H17" s="17"/>
      <c r="I17" s="5" t="s">
        <v>103</v>
      </c>
      <c r="J17" s="5" t="s">
        <v>398</v>
      </c>
      <c r="K17" s="5" t="s">
        <v>103</v>
      </c>
      <c r="L17" s="17" t="str">
        <f t="shared" si="1"/>
        <v>HIGH</v>
      </c>
      <c r="M17" s="17" t="str">
        <f t="shared" si="2"/>
        <v>B02</v>
      </c>
      <c r="N17" s="17" t="str">
        <f>"`"&amp;VLOOKUP(D17,'B02_Mapping fields'!B:C,2,FALSE)&amp;"`"</f>
        <v>`0180_dt_nxt_intrst_pymnt`</v>
      </c>
      <c r="O17" s="47" t="s">
        <v>38</v>
      </c>
      <c r="P17" s="17" t="str">
        <f>"`"&amp;VLOOKUP(O17,'B02_Mapping fields'!B:C,2,FALSE)&amp;"`"</f>
        <v>`0020_uniq_id`</v>
      </c>
      <c r="Q17" s="47"/>
      <c r="R17" s="17"/>
      <c r="S17" s="47"/>
      <c r="T17" s="17"/>
      <c r="U17" s="47"/>
      <c r="V17" s="17"/>
      <c r="W17" s="47"/>
      <c r="X17" s="17"/>
      <c r="Y17" s="5" t="str">
        <f>+",CASE WHEN "&amp;N17&amp;" REGEXP '^[0-9]{4}-[0-9]{2}-[0-9]{2}$' AND "&amp;P17&amp;" NOT IN ('NCNP', 'NCBP') THEN 0 ELSE 1 END AS "&amp;B17</f>
        <v>,CASE WHEN `0180_dt_nxt_intrst_pymnt` REGEXP '^[0-9]{4}-[0-9]{2}-[0-9]{2}$' AND `0020_uniq_id` NOT IN ('NCNP', 'NCBP') THEN 0 ELSE 1 END AS v_2_0017</v>
      </c>
      <c r="Z17" s="50" t="str">
        <f t="shared" si="5"/>
        <v>SUM(v_2_0017) AS LVL2_H_0180_dt_nxt_intrst_pymnt,</v>
      </c>
    </row>
    <row r="18" spans="1:26" ht="72.75" hidden="1" customHeight="1" x14ac:dyDescent="0.3">
      <c r="A18" s="4" t="s">
        <v>35</v>
      </c>
      <c r="B18" s="2" t="str">
        <f t="shared" si="0"/>
        <v>v_2_0018</v>
      </c>
      <c r="C18" s="2" t="s">
        <v>66</v>
      </c>
      <c r="D18" s="2" t="str">
        <f>VLOOKUP(CONCATENATE(C18,"_",E18),'Data types'!A:E,4,FALSE)</f>
        <v>0180</v>
      </c>
      <c r="E18" s="5" t="s">
        <v>30</v>
      </c>
      <c r="F18" s="5" t="str">
        <f>VLOOKUP(CONCATENATE(C18,"_",E18),'Data types'!A:F,6,FALSE)</f>
        <v>Date: yyyy-mm-dd</v>
      </c>
      <c r="G18" s="17" t="s">
        <v>350</v>
      </c>
      <c r="H18" s="17"/>
      <c r="I18" s="5" t="s">
        <v>104</v>
      </c>
      <c r="J18" s="5" t="s">
        <v>399</v>
      </c>
      <c r="K18" s="5" t="s">
        <v>104</v>
      </c>
      <c r="L18" s="17" t="str">
        <f t="shared" si="1"/>
        <v>HIGH</v>
      </c>
      <c r="M18" s="17" t="str">
        <f t="shared" si="2"/>
        <v>B02</v>
      </c>
      <c r="N18" s="17" t="str">
        <f>"`"&amp;VLOOKUP(D18,'B02_Mapping fields'!B:C,2,FALSE)&amp;"`"</f>
        <v>`0180_dt_nxt_intrst_pymnt`</v>
      </c>
      <c r="O18" s="47" t="s">
        <v>123</v>
      </c>
      <c r="P18" s="17" t="str">
        <f>"`"&amp;VLOOKUP(O18,'B02_Mapping fields'!B:C,2,FALSE)&amp;"`"</f>
        <v>`0070_cntrct_crrncy`</v>
      </c>
      <c r="Q18" s="47" t="s">
        <v>38</v>
      </c>
      <c r="R18" s="17" t="str">
        <f>"`"&amp;VLOOKUP(Q18,'B02_Mapping fields'!B:C,2,FALSE)&amp;"`"</f>
        <v>`0020_uniq_id`</v>
      </c>
      <c r="S18" s="47"/>
      <c r="T18" s="17"/>
      <c r="U18" s="47"/>
      <c r="V18" s="17"/>
      <c r="W18" s="47"/>
      <c r="X18" s="17"/>
      <c r="Y18" s="34" t="str">
        <f>+",CASE WHEN "&amp;N18&amp;" &gt; "&amp;P18&amp;" AND "&amp;P18&amp;" IS NOT MISSING AND "&amp;R18&amp;" NOT IN ('NCNP', 'NCBP') THEN 0 ELSE 1 END AS "&amp;B18</f>
        <v>,CASE WHEN `0180_dt_nxt_intrst_pymnt` &gt; `0070_cntrct_crrncy` AND `0070_cntrct_crrncy` IS NOT MISSING AND `0020_uniq_id` NOT IN ('NCNP', 'NCBP') THEN 0 ELSE 1 END AS v_2_0018</v>
      </c>
      <c r="Z18" s="50" t="str">
        <f t="shared" si="5"/>
        <v>SUM(v_2_0018) AS LVL2_H_0180_dt_nxt_intrst_pymnt,</v>
      </c>
    </row>
    <row r="19" spans="1:26" ht="72.75" hidden="1" customHeight="1" x14ac:dyDescent="0.3">
      <c r="A19" s="4" t="s">
        <v>37</v>
      </c>
      <c r="B19" s="2" t="str">
        <f t="shared" si="0"/>
        <v>v_2_0019</v>
      </c>
      <c r="C19" s="2" t="s">
        <v>66</v>
      </c>
      <c r="D19" s="2" t="str">
        <f>VLOOKUP(CONCATENATE(C19,"_",E19),'Data types'!A:E,4,FALSE)</f>
        <v>0200</v>
      </c>
      <c r="E19" s="5" t="s">
        <v>32</v>
      </c>
      <c r="F19" s="5" t="str">
        <f>VLOOKUP(CONCATENATE(C19,"_",E19),'Data types'!A:F,6,FALSE)</f>
        <v>Date: yyyy-mm-dd</v>
      </c>
      <c r="G19" s="17" t="s">
        <v>350</v>
      </c>
      <c r="H19" s="17"/>
      <c r="I19" s="5" t="s">
        <v>103</v>
      </c>
      <c r="J19" s="5" t="s">
        <v>398</v>
      </c>
      <c r="K19" s="5" t="s">
        <v>103</v>
      </c>
      <c r="L19" s="17" t="str">
        <f t="shared" si="1"/>
        <v>HIGH</v>
      </c>
      <c r="M19" s="17" t="str">
        <f t="shared" si="2"/>
        <v>B02</v>
      </c>
      <c r="N19" s="17" t="str">
        <f>"`"&amp;VLOOKUP(D19,'B02_Mapping fields'!B:C,2,FALSE)&amp;"`"</f>
        <v>`0200_dt_erlst_rdmptn`</v>
      </c>
      <c r="O19" s="47" t="s">
        <v>38</v>
      </c>
      <c r="P19" s="17" t="str">
        <f>"`"&amp;VLOOKUP(O19,'B02_Mapping fields'!B:C,2,FALSE)&amp;"`"</f>
        <v>`0020_uniq_id`</v>
      </c>
      <c r="Q19" s="47"/>
      <c r="R19" s="17"/>
      <c r="S19" s="47"/>
      <c r="T19" s="17"/>
      <c r="U19" s="47"/>
      <c r="V19" s="17"/>
      <c r="W19" s="47"/>
      <c r="X19" s="17"/>
      <c r="Y19" s="5" t="str">
        <f>+",CASE WHEN "&amp;N19&amp;" REGEXP '^[0-9]{4}-[0-9]{2}-[0-9]{2}$' AND "&amp;P19&amp;" NOT IN ('NCNP', 'NCBP') THEN 0 ELSE 1 END AS "&amp;B19</f>
        <v>,CASE WHEN `0200_dt_erlst_rdmptn` REGEXP '^[0-9]{4}-[0-9]{2}-[0-9]{2}$' AND `0020_uniq_id` NOT IN ('NCNP', 'NCBP') THEN 0 ELSE 1 END AS v_2_0019</v>
      </c>
      <c r="Z19" s="50" t="str">
        <f t="shared" si="5"/>
        <v>SUM(v_2_0019) AS LVL2_H_0200_dt_erlst_rdmptn,</v>
      </c>
    </row>
    <row r="20" spans="1:26" ht="72.75" hidden="1" customHeight="1" x14ac:dyDescent="0.3">
      <c r="A20" s="4" t="s">
        <v>38</v>
      </c>
      <c r="B20" s="2" t="str">
        <f t="shared" si="0"/>
        <v>v_2_0020</v>
      </c>
      <c r="C20" s="2" t="s">
        <v>66</v>
      </c>
      <c r="D20" s="2" t="str">
        <f>VLOOKUP(CONCATENATE(C20,"_",E20),'Data types'!A:E,4,FALSE)</f>
        <v>0200</v>
      </c>
      <c r="E20" s="5" t="s">
        <v>32</v>
      </c>
      <c r="F20" s="5" t="str">
        <f>VLOOKUP(CONCATENATE(C20,"_",E20),'Data types'!A:F,6,FALSE)</f>
        <v>Date: yyyy-mm-dd</v>
      </c>
      <c r="G20" s="17" t="s">
        <v>350</v>
      </c>
      <c r="H20" s="17"/>
      <c r="I20" s="5" t="s">
        <v>104</v>
      </c>
      <c r="J20" s="5" t="s">
        <v>399</v>
      </c>
      <c r="K20" s="5" t="s">
        <v>104</v>
      </c>
      <c r="L20" s="17" t="str">
        <f t="shared" si="1"/>
        <v>HIGH</v>
      </c>
      <c r="M20" s="17" t="str">
        <f t="shared" si="2"/>
        <v>B02</v>
      </c>
      <c r="N20" s="17" t="str">
        <f>"`"&amp;VLOOKUP(D20,'B02_Mapping fields'!B:C,2,FALSE)&amp;"`"</f>
        <v>`0200_dt_erlst_rdmptn`</v>
      </c>
      <c r="O20" s="47" t="s">
        <v>123</v>
      </c>
      <c r="P20" s="17" t="str">
        <f>"`"&amp;VLOOKUP(O20,'B02_Mapping fields'!B:C,2,FALSE)&amp;"`"</f>
        <v>`0070_cntrct_crrncy`</v>
      </c>
      <c r="Q20" s="47" t="s">
        <v>38</v>
      </c>
      <c r="R20" s="17" t="str">
        <f>"`"&amp;VLOOKUP(Q20,'B02_Mapping fields'!B:C,2,FALSE)&amp;"`"</f>
        <v>`0020_uniq_id`</v>
      </c>
      <c r="S20" s="47"/>
      <c r="T20" s="17"/>
      <c r="U20" s="47"/>
      <c r="V20" s="17"/>
      <c r="W20" s="47"/>
      <c r="X20" s="17"/>
      <c r="Y20" s="34" t="str">
        <f>+",CASE WHEN "&amp;N20&amp;" &gt; "&amp;P20&amp;" AND "&amp;P20&amp;" IS NOT MISSING AND "&amp;R20&amp;" NOT IN ('NCNP', 'NCBP') THEN 0 ELSE 1 END AS "&amp;B20</f>
        <v>,CASE WHEN `0200_dt_erlst_rdmptn` &gt; `0070_cntrct_crrncy` AND `0070_cntrct_crrncy` IS NOT MISSING AND `0020_uniq_id` NOT IN ('NCNP', 'NCBP') THEN 0 ELSE 1 END AS v_2_0020</v>
      </c>
      <c r="Z20" s="50" t="str">
        <f t="shared" si="5"/>
        <v>SUM(v_2_0020) AS LVL2_H_0200_dt_erlst_rdmptn,</v>
      </c>
    </row>
    <row r="21" spans="1:26" ht="72.75" hidden="1" customHeight="1" x14ac:dyDescent="0.3">
      <c r="A21" s="4" t="s">
        <v>40</v>
      </c>
      <c r="B21" s="2" t="str">
        <f t="shared" si="0"/>
        <v>v_2_0021</v>
      </c>
      <c r="C21" s="2" t="s">
        <v>66</v>
      </c>
      <c r="D21" s="2" t="str">
        <f>VLOOKUP(CONCATENATE(C21,"_",E21),'Data types'!A:E,4,FALSE)</f>
        <v>0210</v>
      </c>
      <c r="E21" s="5" t="s">
        <v>34</v>
      </c>
      <c r="F21" s="5" t="str">
        <f>VLOOKUP(CONCATENATE(C21,"_",E21),'Data types'!A:F,6,FALSE)</f>
        <v>Date: yyyy-mm-dd</v>
      </c>
      <c r="G21" s="17" t="s">
        <v>350</v>
      </c>
      <c r="H21" s="17"/>
      <c r="I21" s="5" t="s">
        <v>103</v>
      </c>
      <c r="J21" s="5" t="s">
        <v>398</v>
      </c>
      <c r="K21" s="5" t="s">
        <v>103</v>
      </c>
      <c r="L21" s="17" t="str">
        <f t="shared" si="1"/>
        <v>HIGH</v>
      </c>
      <c r="M21" s="17" t="str">
        <f t="shared" si="2"/>
        <v>B02</v>
      </c>
      <c r="N21" s="17" t="str">
        <f>"`"&amp;VLOOKUP(D21,'B02_Mapping fields'!B:C,2,FALSE)&amp;"`"</f>
        <v>`0210_dt_lgl_fnl_mtrty`</v>
      </c>
      <c r="O21" s="47" t="s">
        <v>38</v>
      </c>
      <c r="P21" s="17" t="str">
        <f>"`"&amp;VLOOKUP(O21,'B02_Mapping fields'!B:C,2,FALSE)&amp;"`"</f>
        <v>`0020_uniq_id`</v>
      </c>
      <c r="Q21" s="47"/>
      <c r="R21" s="17"/>
      <c r="S21" s="47"/>
      <c r="T21" s="17"/>
      <c r="U21" s="47"/>
      <c r="V21" s="17"/>
      <c r="W21" s="47"/>
      <c r="X21" s="17"/>
      <c r="Y21" s="5" t="str">
        <f>+",CASE WHEN "&amp;N21&amp;" REGEXP '^[0-9]{4}-[0-9]{2}-[0-9]{2}$' AND "&amp;P21&amp;" NOT IN ('NCNP', 'NCBP') THEN 0 ELSE 1 END AS "&amp;B21</f>
        <v>,CASE WHEN `0210_dt_lgl_fnl_mtrty` REGEXP '^[0-9]{4}-[0-9]{2}-[0-9]{2}$' AND `0020_uniq_id` NOT IN ('NCNP', 'NCBP') THEN 0 ELSE 1 END AS v_2_0021</v>
      </c>
      <c r="Z21" s="50" t="str">
        <f t="shared" si="5"/>
        <v>SUM(v_2_0021) AS LVL2_H_0210_dt_lgl_fnl_mtrty,</v>
      </c>
    </row>
    <row r="22" spans="1:26" ht="72.75" hidden="1" customHeight="1" x14ac:dyDescent="0.3">
      <c r="A22" s="4" t="s">
        <v>42</v>
      </c>
      <c r="B22" s="2" t="str">
        <f t="shared" si="0"/>
        <v>v_2_0022</v>
      </c>
      <c r="C22" s="2" t="s">
        <v>66</v>
      </c>
      <c r="D22" s="2" t="str">
        <f>VLOOKUP(CONCATENATE(C22,"_",E22),'Data types'!A:E,4,FALSE)</f>
        <v>0210</v>
      </c>
      <c r="E22" s="5" t="s">
        <v>34</v>
      </c>
      <c r="F22" s="5" t="str">
        <f>VLOOKUP(CONCATENATE(C22,"_",E22),'Data types'!A:F,6,FALSE)</f>
        <v>Date: yyyy-mm-dd</v>
      </c>
      <c r="G22" s="17" t="s">
        <v>350</v>
      </c>
      <c r="H22" s="17"/>
      <c r="I22" s="5" t="s">
        <v>104</v>
      </c>
      <c r="J22" s="5" t="s">
        <v>399</v>
      </c>
      <c r="K22" s="5" t="s">
        <v>104</v>
      </c>
      <c r="L22" s="17" t="str">
        <f t="shared" si="1"/>
        <v>HIGH</v>
      </c>
      <c r="M22" s="17" t="str">
        <f t="shared" si="2"/>
        <v>B02</v>
      </c>
      <c r="N22" s="17" t="str">
        <f>"`"&amp;VLOOKUP(D22,'B02_Mapping fields'!B:C,2,FALSE)&amp;"`"</f>
        <v>`0210_dt_lgl_fnl_mtrty`</v>
      </c>
      <c r="O22" s="47" t="s">
        <v>123</v>
      </c>
      <c r="P22" s="17" t="str">
        <f>"`"&amp;VLOOKUP(O22,'B02_Mapping fields'!B:C,2,FALSE)&amp;"`"</f>
        <v>`0070_cntrct_crrncy`</v>
      </c>
      <c r="Q22" s="47" t="s">
        <v>38</v>
      </c>
      <c r="R22" s="17" t="str">
        <f>"`"&amp;VLOOKUP(Q22,'B02_Mapping fields'!B:C,2,FALSE)&amp;"`"</f>
        <v>`0020_uniq_id`</v>
      </c>
      <c r="S22" s="47"/>
      <c r="T22" s="17"/>
      <c r="U22" s="47"/>
      <c r="V22" s="17"/>
      <c r="W22" s="47"/>
      <c r="X22" s="17"/>
      <c r="Y22" s="34" t="str">
        <f>+",CASE WHEN "&amp;N22&amp;" &gt; "&amp;P22&amp;" AND "&amp;P22&amp;" IS NOT MISSING AND "&amp;R22&amp;" NOT IN ('NCNP', 'NCBP') THEN 0 ELSE 1 END AS "&amp;B22</f>
        <v>,CASE WHEN `0210_dt_lgl_fnl_mtrty` &gt; `0070_cntrct_crrncy` AND `0070_cntrct_crrncy` IS NOT MISSING AND `0020_uniq_id` NOT IN ('NCNP', 'NCBP') THEN 0 ELSE 1 END AS v_2_0022</v>
      </c>
      <c r="Z22" s="50" t="str">
        <f t="shared" si="5"/>
        <v>SUM(v_2_0022) AS LVL2_H_0210_dt_lgl_fnl_mtrty,</v>
      </c>
    </row>
    <row r="23" spans="1:26" ht="72.75" hidden="1" customHeight="1" x14ac:dyDescent="0.3">
      <c r="A23" s="4" t="s">
        <v>43</v>
      </c>
      <c r="B23" s="2" t="str">
        <f t="shared" si="0"/>
        <v>v_2_0023</v>
      </c>
      <c r="C23" s="2" t="s">
        <v>66</v>
      </c>
      <c r="D23" s="2" t="str">
        <f>VLOOKUP(CONCATENATE(C23,"_",E23),'Data types'!A:E,4,FALSE)</f>
        <v>0220</v>
      </c>
      <c r="E23" s="5" t="s">
        <v>36</v>
      </c>
      <c r="F23" s="5" t="str">
        <f>VLOOKUP(CONCATENATE(C23,"_",E23),'Data types'!A:F,6,FALSE)</f>
        <v>String: ISO 3166-1 alpha 2 / ISO 3166-2</v>
      </c>
      <c r="G23" s="17" t="s">
        <v>350</v>
      </c>
      <c r="H23" s="17"/>
      <c r="I23" s="5" t="s">
        <v>252</v>
      </c>
      <c r="J23" s="5" t="s">
        <v>398</v>
      </c>
      <c r="K23" s="5" t="s">
        <v>106</v>
      </c>
      <c r="L23" s="17" t="str">
        <f t="shared" si="1"/>
        <v>HIGH</v>
      </c>
      <c r="M23" s="17" t="str">
        <f t="shared" si="2"/>
        <v>B02</v>
      </c>
      <c r="N23" s="17" t="str">
        <f>"`"&amp;VLOOKUP(D23,'B02_Mapping fields'!B:C,2,FALSE)&amp;"`"</f>
        <v>`0220_governing_law`</v>
      </c>
      <c r="O23" s="47" t="s">
        <v>38</v>
      </c>
      <c r="P23" s="17" t="str">
        <f>"`"&amp;VLOOKUP(O23,'B02_Mapping fields'!B:C,2,FALSE)&amp;"`"</f>
        <v>`0020_uniq_id`</v>
      </c>
      <c r="Q23" s="47"/>
      <c r="R23" s="17"/>
      <c r="S23" s="47"/>
      <c r="T23" s="17"/>
      <c r="U23" s="47"/>
      <c r="V23" s="17"/>
      <c r="W23" s="47"/>
      <c r="X23" s="17"/>
      <c r="Y23" s="5" t="str">
        <f>+",CASE WHEN ("&amp;N23&amp;" REGEXP '^[A-Z]{2}$' OR "&amp;N23&amp;" REGEXP '^[A-Z]{2}-[A-Z0-9]{1,3}$') AND "&amp;N23&amp;" IS NOT MISSING AND "&amp;P23&amp;" NOT IN ('NCNP', 'NCBP') THEN 0 ELSE 1 END AS "&amp;B23</f>
        <v>,CASE WHEN (`0220_governing_law` REGEXP '^[A-Z]{2}$' OR `0220_governing_law` REGEXP '^[A-Z]{2}-[A-Z0-9]{1,3}$') AND `0220_governing_law` IS NOT MISSING AND `0020_uniq_id` NOT IN ('NCNP', 'NCBP') THEN 0 ELSE 1 END AS v_2_0023</v>
      </c>
      <c r="Z23" s="50" t="str">
        <f t="shared" si="5"/>
        <v>SUM(v_2_0023) AS LVL2_H_0220_governing_law,</v>
      </c>
    </row>
    <row r="24" spans="1:26" ht="72.75" hidden="1" customHeight="1" x14ac:dyDescent="0.3">
      <c r="A24" s="4" t="s">
        <v>45</v>
      </c>
      <c r="B24" s="2" t="str">
        <f t="shared" si="0"/>
        <v>v_2_0024</v>
      </c>
      <c r="C24" s="2" t="s">
        <v>66</v>
      </c>
      <c r="D24" s="2" t="str">
        <f>VLOOKUP(CONCATENATE(C24,"_",E24),'Data types'!A:E,4,FALSE)</f>
        <v>0230</v>
      </c>
      <c r="E24" s="5" t="s">
        <v>238</v>
      </c>
      <c r="F24" s="5" t="str">
        <f>VLOOKUP(CONCATENATE(C24,"_",E24),'Data types'!A:F,6,FALSE)</f>
        <v>String: Drop-down</v>
      </c>
      <c r="G24" s="17" t="s">
        <v>350</v>
      </c>
      <c r="H24" s="17"/>
      <c r="I24" s="5" t="s">
        <v>92</v>
      </c>
      <c r="J24" s="5" t="s">
        <v>398</v>
      </c>
      <c r="K24" s="5" t="s">
        <v>93</v>
      </c>
      <c r="L24" s="17" t="str">
        <f t="shared" si="1"/>
        <v>HIGH</v>
      </c>
      <c r="M24" s="17" t="str">
        <f t="shared" si="2"/>
        <v>B02</v>
      </c>
      <c r="N24" s="17" t="str">
        <f>"`"&amp;VLOOKUP(D24,'B02_Mapping fields'!B:C,2,FALSE)&amp;"`"</f>
        <v>`0230_bail_in_rcgntn_cls`</v>
      </c>
      <c r="O24" s="47" t="s">
        <v>38</v>
      </c>
      <c r="P24" s="17" t="str">
        <f>"`"&amp;VLOOKUP(O24,'B02_Mapping fields'!B:C,2,FALSE)&amp;"`"</f>
        <v>`0020_uniq_id`</v>
      </c>
      <c r="Q24" s="47"/>
      <c r="R24" s="17"/>
      <c r="S24" s="47"/>
      <c r="T24" s="17"/>
      <c r="U24" s="47"/>
      <c r="V24" s="17"/>
      <c r="W24" s="47"/>
      <c r="X24" s="17"/>
      <c r="Y24" s="5" t="str">
        <f>+",CASE WHEN "&amp;N24&amp;" IN ('Yes, supported by Legal Opinion', 'Yes, not supported by Legal Opinion', 'No', 'Not applicable', 'Aggregated') AND "&amp;P24&amp;" NOT IN ('NCNP', 'NCBP') THEN 0 ELSE 1 END AS "&amp;B24</f>
        <v>,CASE WHEN `0230_bail_in_rcgntn_cls` IN ('Yes, supported by Legal Opinion', 'Yes, not supported by Legal Opinion', 'No', 'Not applicable', 'Aggregated') AND `0020_uniq_id` NOT IN ('NCNP', 'NCBP') THEN 0 ELSE 1 END AS v_2_0024</v>
      </c>
      <c r="Z24" s="50" t="str">
        <f t="shared" si="5"/>
        <v>SUM(v_2_0024) AS LVL2_H_0230_bail_in_rcgntn_cls,</v>
      </c>
    </row>
    <row r="25" spans="1:26" ht="72.75" hidden="1" customHeight="1" x14ac:dyDescent="0.3">
      <c r="A25" s="4" t="s">
        <v>47</v>
      </c>
      <c r="B25" s="2" t="str">
        <f t="shared" si="0"/>
        <v>v_2_0025</v>
      </c>
      <c r="C25" s="2" t="s">
        <v>66</v>
      </c>
      <c r="D25" s="2" t="str">
        <f>VLOOKUP(CONCATENATE(C25,"_",E25),'Data types'!A:E,4,FALSE)</f>
        <v>0250</v>
      </c>
      <c r="E25" s="5" t="s">
        <v>39</v>
      </c>
      <c r="F25" s="5" t="str">
        <f>VLOOKUP(CONCATENATE(C25,"_",E25),'Data types'!A:F,6,FALSE)</f>
        <v>String: Drop-down</v>
      </c>
      <c r="G25" s="17" t="s">
        <v>350</v>
      </c>
      <c r="H25" s="17"/>
      <c r="I25" s="5" t="s">
        <v>92</v>
      </c>
      <c r="J25" s="5"/>
      <c r="K25" s="5" t="s">
        <v>93</v>
      </c>
      <c r="L25" s="17" t="str">
        <f t="shared" si="1"/>
        <v>HIGH</v>
      </c>
      <c r="M25" s="17" t="str">
        <f t="shared" si="2"/>
        <v>B02</v>
      </c>
      <c r="N25" s="17" t="str">
        <f>"`"&amp;VLOOKUP(D25,'B02_Mapping fields'!B:C,2,FALSE)&amp;"`"</f>
        <v>`0250_strctrd_prdct`</v>
      </c>
      <c r="O25" s="47"/>
      <c r="P25" s="17"/>
      <c r="Q25" s="47"/>
      <c r="R25" s="17"/>
      <c r="S25" s="47"/>
      <c r="T25" s="17"/>
      <c r="U25" s="47"/>
      <c r="V25" s="17"/>
      <c r="W25" s="47"/>
      <c r="X25" s="17"/>
      <c r="Y25" s="5" t="str">
        <f>+",CASE WHEN "&amp;N25&amp;" IN ('Non-structured/Vanilla', 'Structured', 'Other non-standard terms', 'Only structured coupon', 'Aggregated') THEN 0 ELSE 1 END AS "&amp;B25</f>
        <v>,CASE WHEN `0250_strctrd_prdct` IN ('Non-structured/Vanilla', 'Structured', 'Other non-standard terms', 'Only structured coupon', 'Aggregated') THEN 0 ELSE 1 END AS v_2_0025</v>
      </c>
      <c r="Z25" s="50" t="str">
        <f t="shared" si="5"/>
        <v>SUM(v_2_0025) AS LVL2_H_0250_strctrd_prdct,</v>
      </c>
    </row>
    <row r="26" spans="1:26" ht="72.75" hidden="1" customHeight="1" x14ac:dyDescent="0.3">
      <c r="A26" s="4" t="s">
        <v>48</v>
      </c>
      <c r="B26" s="2" t="str">
        <f t="shared" si="0"/>
        <v>v_2_0026</v>
      </c>
      <c r="C26" s="2" t="s">
        <v>66</v>
      </c>
      <c r="D26" s="2" t="str">
        <f>VLOOKUP(CONCATENATE(C26,"_",E26),'Data types'!A:E,4,FALSE)</f>
        <v>0310</v>
      </c>
      <c r="E26" s="5" t="s">
        <v>46</v>
      </c>
      <c r="F26" s="5" t="str">
        <f>VLOOKUP(CONCATENATE(C26,"_",E26),'Data types'!A:F,6,FALSE)</f>
        <v>String: Drop-down</v>
      </c>
      <c r="G26" s="17" t="s">
        <v>350</v>
      </c>
      <c r="H26" s="17"/>
      <c r="I26" s="5" t="s">
        <v>92</v>
      </c>
      <c r="J26" s="5"/>
      <c r="K26" s="5" t="s">
        <v>93</v>
      </c>
      <c r="L26" s="17" t="str">
        <f t="shared" si="1"/>
        <v>HIGH</v>
      </c>
      <c r="M26" s="17" t="str">
        <f t="shared" si="2"/>
        <v>B02</v>
      </c>
      <c r="N26" s="17" t="str">
        <f>"`"&amp;VLOOKUP(D26,'B02_Mapping fields'!B:C,2,FALSE)&amp;"`"</f>
        <v>`0310_flg_clltrl_agrmnts`</v>
      </c>
      <c r="O26" s="47"/>
      <c r="P26" s="17"/>
      <c r="Q26" s="47"/>
      <c r="R26" s="17"/>
      <c r="S26" s="47"/>
      <c r="T26" s="17"/>
      <c r="U26" s="47"/>
      <c r="V26" s="17"/>
      <c r="W26" s="47"/>
      <c r="X26" s="17"/>
      <c r="Y26" s="5" t="str">
        <f>+",CASE WHEN "&amp;N26&amp;" IN ('Secured', 'Unsecured') THEN 0 ELSE 1 END AS "&amp;B26</f>
        <v>,CASE WHEN `0310_flg_clltrl_agrmnts` IN ('Secured', 'Unsecured') THEN 0 ELSE 1 END AS v_2_0026</v>
      </c>
      <c r="Z26" s="50" t="str">
        <f t="shared" si="5"/>
        <v>SUM(v_2_0026) AS LVL2_H_0310_flg_clltrl_agrmnts,</v>
      </c>
    </row>
    <row r="27" spans="1:26" ht="72.75" hidden="1" customHeight="1" x14ac:dyDescent="0.3">
      <c r="A27" s="4" t="s">
        <v>49</v>
      </c>
      <c r="B27" s="2" t="str">
        <f t="shared" si="0"/>
        <v>v_2_0027</v>
      </c>
      <c r="C27" s="2" t="s">
        <v>66</v>
      </c>
      <c r="D27" s="2" t="str">
        <f>VLOOKUP(CONCATENATE(C27,"_",E27),'Data types'!A:E,4,FALSE)</f>
        <v>0330</v>
      </c>
      <c r="E27" s="5" t="s">
        <v>274</v>
      </c>
      <c r="F27" s="5" t="str">
        <f>VLOOKUP(CONCATENATE(C27,"_",E27),'Data types'!A:F,6,FALSE)</f>
        <v>Numeric: 2 decimals</v>
      </c>
      <c r="G27" s="17" t="s">
        <v>350</v>
      </c>
      <c r="H27" s="17"/>
      <c r="I27" s="5" t="s">
        <v>388</v>
      </c>
      <c r="J27" s="5" t="s">
        <v>400</v>
      </c>
      <c r="K27" s="5" t="s">
        <v>436</v>
      </c>
      <c r="L27" s="17" t="str">
        <f t="shared" si="1"/>
        <v>HIGH</v>
      </c>
      <c r="M27" s="17" t="str">
        <f t="shared" si="2"/>
        <v>B02</v>
      </c>
      <c r="N27" s="17" t="str">
        <f>"`"&amp;VLOOKUP(D27,'B02_Mapping fields'!B:C,2,FALSE)&amp;"`"</f>
        <v>`0330_amnt_unclltrlzd`</v>
      </c>
      <c r="O27" s="47" t="s">
        <v>168</v>
      </c>
      <c r="P27" s="17" t="str">
        <f>"`"&amp;VLOOKUP(O27,'B02_Mapping fields'!B:C,2,FALSE)&amp;"`"</f>
        <v>`0310_flg_clltrl_agrmnts`</v>
      </c>
      <c r="Q27" s="47" t="s">
        <v>159</v>
      </c>
      <c r="R27" s="17" t="str">
        <f>"`"&amp;VLOOKUP(Q27,'B02_Mapping fields'!B:C,2,FALSE)&amp;"`"</f>
        <v>`0250_strctrd_prdct`</v>
      </c>
      <c r="S27" s="47" t="s">
        <v>158</v>
      </c>
      <c r="T27" s="17" t="str">
        <f>"`"&amp;VLOOKUP(S27,'B02_Mapping fields'!B:C,2,FALSE)&amp;"`"</f>
        <v>`0240_zero_coupon`</v>
      </c>
      <c r="U27" s="47" t="s">
        <v>145</v>
      </c>
      <c r="V27" s="17" t="str">
        <f>"`"&amp;VLOOKUP(U27,'B02_Mapping fields'!B:C,2,FALSE)&amp;"`"</f>
        <v>`0120_otstndng_amnt`</v>
      </c>
      <c r="W27" s="47" t="s">
        <v>169</v>
      </c>
      <c r="X27" s="17" t="str">
        <f>"`"&amp;VLOOKUP(W27,'B02_Mapping fields'!B:C,2,FALSE)&amp;"`"</f>
        <v>`0320_amnt_clltrl`</v>
      </c>
      <c r="Y27" s="5" t="str">
        <f>+",CASE WHEN "&amp;N27&amp;" = MAX(0, "&amp;V27&amp;"-"&amp;X27&amp;") AND "&amp;P27&amp;" = 'Secured' AND "&amp;R27&amp;" IN ('Non-structured/Vanilla', 'Other non-standard terms') AND "&amp;T27&amp;" != 'ZCB issued at discount'  THEN 0 ELSE 1 END AS "&amp;B27</f>
        <v>,CASE WHEN `0330_amnt_unclltrlzd` = MAX(0, `0120_otstndng_amnt`-`0320_amnt_clltrl`) AND `0310_flg_clltrl_agrmnts` = 'Secured' AND `0250_strctrd_prdct` IN ('Non-structured/Vanilla', 'Other non-standard terms') AND `0240_zero_coupon` != 'ZCB issued at discount'  THEN 0 ELSE 1 END AS v_2_0027</v>
      </c>
      <c r="Z27" s="50" t="str">
        <f t="shared" si="5"/>
        <v>SUM(v_2_0027) AS LVL2_H_0330_amnt_unclltrlzd,</v>
      </c>
    </row>
    <row r="28" spans="1:26" ht="72.75" hidden="1" customHeight="1" x14ac:dyDescent="0.3">
      <c r="A28" s="4" t="s">
        <v>51</v>
      </c>
      <c r="B28" s="2" t="str">
        <f t="shared" ref="B28" si="7">CONCATENATE("v_2_",A28)</f>
        <v>v_2_0028</v>
      </c>
      <c r="C28" s="2" t="s">
        <v>66</v>
      </c>
      <c r="D28" s="2" t="str">
        <f>VLOOKUP(CONCATENATE(C28,"_",E28),'Data types'!A:E,4,FALSE)</f>
        <v>0330</v>
      </c>
      <c r="E28" s="5" t="s">
        <v>274</v>
      </c>
      <c r="F28" s="5" t="str">
        <f>VLOOKUP(CONCATENATE(C28,"_",E28),'Data types'!A:F,6,FALSE)</f>
        <v>Numeric: 2 decimals</v>
      </c>
      <c r="G28" s="17" t="s">
        <v>350</v>
      </c>
      <c r="H28" s="17"/>
      <c r="I28" s="5" t="s">
        <v>437</v>
      </c>
      <c r="J28" s="5" t="s">
        <v>389</v>
      </c>
      <c r="K28" s="5" t="s">
        <v>438</v>
      </c>
      <c r="L28" s="17" t="str">
        <f t="shared" si="1"/>
        <v>HIGH</v>
      </c>
      <c r="M28" s="17" t="str">
        <f t="shared" si="2"/>
        <v>B02</v>
      </c>
      <c r="N28" s="17" t="str">
        <f>"`"&amp;VLOOKUP(D28,'B02_Mapping fields'!B:C,2,FALSE)&amp;"`"</f>
        <v>`0330_amnt_unclltrlzd`</v>
      </c>
      <c r="O28" s="47" t="s">
        <v>168</v>
      </c>
      <c r="P28" s="17" t="str">
        <f>"`"&amp;VLOOKUP(O28,'B02_Mapping fields'!B:C,2,FALSE)&amp;"`"</f>
        <v>`0310_flg_clltrl_agrmnts`</v>
      </c>
      <c r="Q28" s="47" t="s">
        <v>159</v>
      </c>
      <c r="R28" s="17" t="str">
        <f>"`"&amp;VLOOKUP(Q28,'B02_Mapping fields'!B:C,2,FALSE)&amp;"`"</f>
        <v>`0250_strctrd_prdct`</v>
      </c>
      <c r="S28" s="47" t="s">
        <v>161</v>
      </c>
      <c r="T28" s="17" t="str">
        <f>"`"&amp;VLOOKUP(S28,'B02_Mapping fields'!B:C,2,FALSE)&amp;"`"</f>
        <v>`0270_fv_amnt_strctrd_prdct`</v>
      </c>
      <c r="U28" s="47" t="s">
        <v>169</v>
      </c>
      <c r="V28" s="17" t="str">
        <f>"`"&amp;VLOOKUP(U28,'B02_Mapping fields'!B:C,2,FALSE)&amp;"`"</f>
        <v>`0320_amnt_clltrl`</v>
      </c>
      <c r="W28" s="47" t="s">
        <v>145</v>
      </c>
      <c r="X28" s="17" t="str">
        <f>"`"&amp;VLOOKUP(W28,'B02_Mapping fields'!B:C,2,FALSE)&amp;"`"</f>
        <v>`0120_otstndng_amnt`</v>
      </c>
      <c r="Y28" s="5" t="str">
        <f>+",CASE WHEN ("&amp;N28&amp;" = MAX(0, "&amp;T28&amp;"-"&amp;V28&amp;") OR "&amp;N28&amp;" = MAX(0, "&amp;X28&amp;"-"&amp;V28&amp;")) AND "&amp;P28&amp;" = 'Secured' AND "&amp;R28&amp;" IN ('Structured', 'Only structured coupon') AND c0240 != 'ZCB issued at discount'  THEN 0 ELSE 1 END AS "&amp;B28</f>
        <v>,CASE WHEN (`0330_amnt_unclltrlzd` = MAX(0, `0270_fv_amnt_strctrd_prdct`-`0320_amnt_clltrl`) OR `0330_amnt_unclltrlzd` = MAX(0, `0120_otstndng_amnt`-`0320_amnt_clltrl`)) AND `0310_flg_clltrl_agrmnts` = 'Secured' AND `0250_strctrd_prdct` IN ('Structured', 'Only structured coupon') AND c0240 != 'ZCB issued at discount'  THEN 0 ELSE 1 END AS v_2_0028</v>
      </c>
      <c r="Z28" s="50" t="str">
        <f t="shared" si="5"/>
        <v>SUM(v_2_0028) AS LVL2_H_0330_amnt_unclltrlzd,</v>
      </c>
    </row>
    <row r="29" spans="1:26" ht="72.75" hidden="1" customHeight="1" x14ac:dyDescent="0.3">
      <c r="A29" s="4" t="s">
        <v>53</v>
      </c>
      <c r="B29" s="2" t="str">
        <f t="shared" si="0"/>
        <v>v_2_0029</v>
      </c>
      <c r="C29" s="2" t="s">
        <v>66</v>
      </c>
      <c r="D29" s="2" t="str">
        <f>VLOOKUP(CONCATENATE(C29,"_",E29),'Data types'!A:E,4,FALSE)</f>
        <v>0350</v>
      </c>
      <c r="E29" s="5" t="s">
        <v>50</v>
      </c>
      <c r="F29" s="5" t="str">
        <f>VLOOKUP(CONCATENATE(C29,"_",E29),'Data types'!A:F,6,FALSE)</f>
        <v>String: Drop-down</v>
      </c>
      <c r="G29" s="17" t="s">
        <v>350</v>
      </c>
      <c r="H29" s="17"/>
      <c r="I29" s="5" t="s">
        <v>92</v>
      </c>
      <c r="J29" s="5"/>
      <c r="K29" s="5" t="s">
        <v>93</v>
      </c>
      <c r="L29" s="17" t="str">
        <f t="shared" si="1"/>
        <v>HIGH</v>
      </c>
      <c r="M29" s="17" t="str">
        <f t="shared" si="2"/>
        <v>B02</v>
      </c>
      <c r="N29" s="17" t="str">
        <f>"`"&amp;VLOOKUP(D29,'B02_Mapping fields'!B:C,2,FALSE)&amp;"`"</f>
        <v>`0350_typ_clltrl`</v>
      </c>
      <c r="O29" s="47"/>
      <c r="P29" s="17"/>
      <c r="Q29" s="47"/>
      <c r="R29" s="17"/>
      <c r="S29" s="47"/>
      <c r="T29" s="17"/>
      <c r="U29" s="47"/>
      <c r="V29" s="17"/>
      <c r="W29" s="47"/>
      <c r="X29" s="17"/>
      <c r="Y29" s="5" t="str">
        <f>+",CASE WHEN "&amp;N29&amp;" IN ('Real estate', 'Ships', 'Aircraft', 'Financial', 'Other', 'Not applicable') THEN 0 ELSE 1 END AS "&amp;B29</f>
        <v>,CASE WHEN `0350_typ_clltrl` IN ('Real estate', 'Ships', 'Aircraft', 'Financial', 'Other', 'Not applicable') THEN 0 ELSE 1 END AS v_2_0029</v>
      </c>
      <c r="Z29" s="50" t="str">
        <f t="shared" si="5"/>
        <v>SUM(v_2_0029) AS LVL2_H_0350_typ_clltrl,</v>
      </c>
    </row>
    <row r="30" spans="1:26" ht="72.75" hidden="1" customHeight="1" x14ac:dyDescent="0.3">
      <c r="A30" s="4" t="s">
        <v>54</v>
      </c>
      <c r="B30" s="2" t="str">
        <f t="shared" si="0"/>
        <v>v_2_0030</v>
      </c>
      <c r="C30" s="2" t="s">
        <v>66</v>
      </c>
      <c r="D30" s="2" t="str">
        <f>VLOOKUP(CONCATENATE(C30,"_",E30),'Data types'!A:E,4,FALSE)</f>
        <v>0350</v>
      </c>
      <c r="E30" s="5" t="s">
        <v>50</v>
      </c>
      <c r="F30" s="5" t="str">
        <f>VLOOKUP(CONCATENATE(C30,"_",E30),'Data types'!A:F,6,FALSE)</f>
        <v>String: Drop-down</v>
      </c>
      <c r="G30" s="17" t="s">
        <v>350</v>
      </c>
      <c r="H30" s="17"/>
      <c r="I30" s="5" t="s">
        <v>107</v>
      </c>
      <c r="J30" s="5" t="s">
        <v>108</v>
      </c>
      <c r="K30" s="5" t="s">
        <v>109</v>
      </c>
      <c r="L30" s="17" t="str">
        <f t="shared" si="1"/>
        <v>HIGH</v>
      </c>
      <c r="M30" s="17" t="str">
        <f t="shared" si="2"/>
        <v>B02</v>
      </c>
      <c r="N30" s="17" t="str">
        <f>"`"&amp;VLOOKUP(D30,'B02_Mapping fields'!B:C,2,FALSE)&amp;"`"</f>
        <v>`0350_typ_clltrl`</v>
      </c>
      <c r="O30" s="47" t="s">
        <v>168</v>
      </c>
      <c r="P30" s="17" t="str">
        <f>"`"&amp;VLOOKUP(O30,'B02_Mapping fields'!B:C,2,FALSE)&amp;"`"</f>
        <v>`0310_flg_clltrl_agrmnts`</v>
      </c>
      <c r="Q30" s="47"/>
      <c r="R30" s="17"/>
      <c r="S30" s="47"/>
      <c r="T30" s="17"/>
      <c r="U30" s="47"/>
      <c r="V30" s="17"/>
      <c r="W30" s="47"/>
      <c r="X30" s="17"/>
      <c r="Y30" s="5" t="str">
        <f>+",CASE WHEN "&amp;N30&amp;" = 'Not applicable' AND "&amp;P30&amp;" = 'Unsecured' THEN 0 ELSE 1 END AS "&amp;B30</f>
        <v>,CASE WHEN `0350_typ_clltrl` = 'Not applicable' AND `0310_flg_clltrl_agrmnts` = 'Unsecured' THEN 0 ELSE 1 END AS v_2_0030</v>
      </c>
      <c r="Z30" s="50" t="str">
        <f t="shared" si="5"/>
        <v>SUM(v_2_0030) AS LVL2_H_0350_typ_clltrl,</v>
      </c>
    </row>
    <row r="31" spans="1:26" ht="72.75" hidden="1" customHeight="1" x14ac:dyDescent="0.3">
      <c r="A31" s="4" t="s">
        <v>55</v>
      </c>
      <c r="B31" s="2" t="str">
        <f t="shared" si="0"/>
        <v>v_2_0031</v>
      </c>
      <c r="C31" s="2" t="s">
        <v>66</v>
      </c>
      <c r="D31" s="2" t="str">
        <f>VLOOKUP(CONCATENATE(C31,"_",E31),'Data types'!A:E,4,FALSE)</f>
        <v>0440</v>
      </c>
      <c r="E31" s="5" t="s">
        <v>110</v>
      </c>
      <c r="F31" s="5" t="str">
        <f>VLOOKUP(CONCATENATE(C31,"_",E31),'Data types'!A:F,6,FALSE)</f>
        <v>String: Drop-down</v>
      </c>
      <c r="G31" s="17" t="s">
        <v>350</v>
      </c>
      <c r="H31" s="17"/>
      <c r="I31" s="5" t="s">
        <v>92</v>
      </c>
      <c r="J31" s="5"/>
      <c r="K31" s="5" t="s">
        <v>93</v>
      </c>
      <c r="L31" s="17" t="str">
        <f t="shared" si="1"/>
        <v>HIGH</v>
      </c>
      <c r="M31" s="17" t="str">
        <f t="shared" si="2"/>
        <v>B02</v>
      </c>
      <c r="N31" s="17" t="str">
        <f>"`"&amp;VLOOKUP(D31,'B02_Mapping fields'!B:C,2,FALSE)&amp;"`"</f>
        <v>`0440_ntr_glbl_nt`</v>
      </c>
      <c r="O31" s="47"/>
      <c r="P31" s="17"/>
      <c r="Q31" s="47"/>
      <c r="R31" s="17"/>
      <c r="S31" s="47"/>
      <c r="T31" s="17"/>
      <c r="U31" s="47"/>
      <c r="V31" s="17"/>
      <c r="W31" s="47"/>
      <c r="X31" s="17"/>
      <c r="Y31" s="5" t="str">
        <f>+",CASE WHEN "&amp;N31&amp;" IN ('NGN', 'CGN', 'Not applicable') THEN 0 ELSE 1 END AS "&amp;B31</f>
        <v>,CASE WHEN `0440_ntr_glbl_nt` IN ('NGN', 'CGN', 'Not applicable') THEN 0 ELSE 1 END AS v_2_0031</v>
      </c>
      <c r="Z31" s="50" t="str">
        <f t="shared" si="5"/>
        <v>SUM(v_2_0031) AS LVL2_H_0440_ntr_glbl_nt,</v>
      </c>
    </row>
    <row r="32" spans="1:26" ht="72.75" hidden="1" customHeight="1" x14ac:dyDescent="0.3">
      <c r="A32" s="4" t="s">
        <v>56</v>
      </c>
      <c r="B32" s="2" t="str">
        <f t="shared" ref="B32:B56" si="8">CONCATENATE("v_2_",A32)</f>
        <v>v_2_0032</v>
      </c>
      <c r="C32" s="2" t="s">
        <v>66</v>
      </c>
      <c r="D32" s="2" t="str">
        <f>VLOOKUP(CONCATENATE(C32,"_",E32),'Data types'!A:E,4,FALSE)</f>
        <v>0530</v>
      </c>
      <c r="E32" s="5" t="s">
        <v>332</v>
      </c>
      <c r="F32" s="5" t="str">
        <f>VLOOKUP(CONCATENATE(C32,"_",E32),'Data types'!A:F,6,FALSE)</f>
        <v>String: Drop-down</v>
      </c>
      <c r="G32" s="17" t="s">
        <v>350</v>
      </c>
      <c r="H32" s="17"/>
      <c r="I32" s="5" t="s">
        <v>92</v>
      </c>
      <c r="J32" s="5"/>
      <c r="K32" s="5" t="s">
        <v>93</v>
      </c>
      <c r="L32" s="17" t="str">
        <f t="shared" si="1"/>
        <v>HIGH</v>
      </c>
      <c r="M32" s="17" t="str">
        <f t="shared" si="2"/>
        <v>B02</v>
      </c>
      <c r="N32" s="17" t="str">
        <f>"`"&amp;VLOOKUP(D32,'B02_Mapping fields'!B:C,2,FALSE)&amp;"`"</f>
        <v>`0530_typ_own_fnds_ind_lvl`</v>
      </c>
      <c r="O32" s="47"/>
      <c r="P32" s="17"/>
      <c r="Q32" s="47"/>
      <c r="R32" s="17"/>
      <c r="S32" s="47"/>
      <c r="T32" s="17"/>
      <c r="U32" s="47"/>
      <c r="V32" s="17"/>
      <c r="W32" s="47"/>
      <c r="X32" s="17"/>
      <c r="Y32" s="5" t="str">
        <f>+",CASE WHEN "&amp;N32&amp;" IN ('T2 in phase-out', 'Grandfathered T2', 'Fully Compliant T2', 'Partially (A)T1 and T2', 'Grandfathered AT1', 'Fully Compliant AT1', 'CET1', 'No') THEN 0 ELSE 1 END AS "&amp;B32</f>
        <v>,CASE WHEN `0530_typ_own_fnds_ind_lvl` IN ('T2 in phase-out', 'Grandfathered T2', 'Fully Compliant T2', 'Partially (A)T1 and T2', 'Grandfathered AT1', 'Fully Compliant AT1', 'CET1', 'No') THEN 0 ELSE 1 END AS v_2_0032</v>
      </c>
      <c r="Z32" s="50" t="str">
        <f t="shared" si="5"/>
        <v>SUM(v_2_0032) AS LVL2_H_0530_typ_own_fnds_ind_lvl,</v>
      </c>
    </row>
    <row r="33" spans="1:26" ht="72.75" hidden="1" customHeight="1" x14ac:dyDescent="0.3">
      <c r="A33" s="4" t="s">
        <v>58</v>
      </c>
      <c r="B33" s="2" t="str">
        <f t="shared" si="8"/>
        <v>v_2_0033</v>
      </c>
      <c r="C33" s="2" t="s">
        <v>66</v>
      </c>
      <c r="D33" s="2" t="str">
        <f>VLOOKUP(CONCATENATE(C33,"_",E33),'Data types'!A:E,4,FALSE)</f>
        <v>0540</v>
      </c>
      <c r="E33" s="5" t="s">
        <v>333</v>
      </c>
      <c r="F33" s="5" t="str">
        <f>VLOOKUP(CONCATENATE(C33,"_",E33),'Data types'!A:F,6,FALSE)</f>
        <v>Numeric: 2 decimals</v>
      </c>
      <c r="G33" s="17" t="s">
        <v>350</v>
      </c>
      <c r="H33" s="17"/>
      <c r="I33" s="5" t="s">
        <v>97</v>
      </c>
      <c r="J33" s="5"/>
      <c r="K33" s="5" t="s">
        <v>100</v>
      </c>
      <c r="L33" s="17" t="str">
        <f t="shared" si="1"/>
        <v>HIGH</v>
      </c>
      <c r="M33" s="17" t="str">
        <f t="shared" si="2"/>
        <v>B02</v>
      </c>
      <c r="N33" s="17" t="str">
        <f>"`"&amp;VLOOKUP(D33,'B02_Mapping fields'!B:C,2,FALSE)&amp;"`"</f>
        <v>`0540_elgbl_amnt_own_fnds_ind_lvl`</v>
      </c>
      <c r="O33" s="47"/>
      <c r="P33" s="17"/>
      <c r="Q33" s="47"/>
      <c r="R33" s="17"/>
      <c r="S33" s="47"/>
      <c r="T33" s="17"/>
      <c r="U33" s="47"/>
      <c r="V33" s="17"/>
      <c r="W33" s="47"/>
      <c r="X33" s="17"/>
      <c r="Y33" s="5" t="str">
        <f>+",CASE WHEN "&amp;N33&amp;" &gt;= 0 THEN 0 ELSE 1 END AS "&amp;B33</f>
        <v>,CASE WHEN `0540_elgbl_amnt_own_fnds_ind_lvl` &gt;= 0 THEN 0 ELSE 1 END AS v_2_0033</v>
      </c>
      <c r="Z33" s="50" t="str">
        <f t="shared" si="5"/>
        <v>SUM(v_2_0033) AS LVL2_H_0540_elgbl_amnt_own_fnds_ind_lvl,</v>
      </c>
    </row>
    <row r="34" spans="1:26" ht="72.75" hidden="1" customHeight="1" x14ac:dyDescent="0.3">
      <c r="A34" s="4" t="s">
        <v>59</v>
      </c>
      <c r="B34" s="2" t="str">
        <f t="shared" si="8"/>
        <v>v_2_0034</v>
      </c>
      <c r="C34" s="2" t="s">
        <v>66</v>
      </c>
      <c r="D34" s="2" t="str">
        <f>VLOOKUP(CONCATENATE(C34,"_",E34),'Data types'!A:E,4,FALSE)</f>
        <v>0550</v>
      </c>
      <c r="E34" s="5" t="s">
        <v>334</v>
      </c>
      <c r="F34" s="5" t="str">
        <f>VLOOKUP(CONCATENATE(C34,"_",E34),'Data types'!A:F,6,FALSE)</f>
        <v>String: Drop-down</v>
      </c>
      <c r="G34" s="17" t="s">
        <v>350</v>
      </c>
      <c r="H34" s="17"/>
      <c r="I34" s="5" t="s">
        <v>92</v>
      </c>
      <c r="J34" s="5"/>
      <c r="K34" s="5" t="s">
        <v>93</v>
      </c>
      <c r="L34" s="17" t="str">
        <f t="shared" si="1"/>
        <v>HIGH</v>
      </c>
      <c r="M34" s="17" t="str">
        <f t="shared" si="2"/>
        <v>B02</v>
      </c>
      <c r="N34" s="17" t="str">
        <f>"`"&amp;VLOOKUP(D34,'B02_Mapping fields'!B:C,2,FALSE)&amp;"`"</f>
        <v>`0550_typ_own_fnds_cnsldtd_lvl`</v>
      </c>
      <c r="O34" s="47"/>
      <c r="P34" s="17"/>
      <c r="Q34" s="47"/>
      <c r="R34" s="17"/>
      <c r="S34" s="47"/>
      <c r="T34" s="17"/>
      <c r="U34" s="47"/>
      <c r="V34" s="17"/>
      <c r="W34" s="47"/>
      <c r="X34" s="17"/>
      <c r="Y34" s="5" t="str">
        <f>+",CASE WHEN "&amp;N34&amp;" IN ('T2 in phase-out', 'Grandfathered T2', 'Fully Compliant T2', 'Partially (A)T1 and T2', 'Grandfathered AT1', 'Fully Compliant AT1', 'CET1', 'No') THEN 0 ELSE 1 END AS "&amp;B34</f>
        <v>,CASE WHEN `0550_typ_own_fnds_cnsldtd_lvl` IN ('T2 in phase-out', 'Grandfathered T2', 'Fully Compliant T2', 'Partially (A)T1 and T2', 'Grandfathered AT1', 'Fully Compliant AT1', 'CET1', 'No') THEN 0 ELSE 1 END AS v_2_0034</v>
      </c>
      <c r="Z34" s="50" t="str">
        <f t="shared" si="5"/>
        <v>SUM(v_2_0034) AS LVL2_H_0550_typ_own_fnds_cnsldtd_lvl,</v>
      </c>
    </row>
    <row r="35" spans="1:26" ht="72.75" hidden="1" customHeight="1" x14ac:dyDescent="0.3">
      <c r="A35" s="4" t="s">
        <v>61</v>
      </c>
      <c r="B35" s="2" t="str">
        <f t="shared" si="8"/>
        <v>v_2_0035</v>
      </c>
      <c r="C35" s="2" t="s">
        <v>66</v>
      </c>
      <c r="D35" s="2" t="str">
        <f>VLOOKUP(CONCATENATE(C35,"_",E35),'Data types'!A:E,4,FALSE)</f>
        <v>0560</v>
      </c>
      <c r="E35" s="5" t="s">
        <v>335</v>
      </c>
      <c r="F35" s="5" t="str">
        <f>VLOOKUP(CONCATENATE(C35,"_",E35),'Data types'!A:F,6,FALSE)</f>
        <v>Numeric: 2 decimals</v>
      </c>
      <c r="G35" s="17" t="s">
        <v>350</v>
      </c>
      <c r="H35" s="17"/>
      <c r="I35" s="5" t="s">
        <v>97</v>
      </c>
      <c r="J35" s="5"/>
      <c r="K35" s="5" t="s">
        <v>100</v>
      </c>
      <c r="L35" s="17" t="str">
        <f t="shared" si="1"/>
        <v>HIGH</v>
      </c>
      <c r="M35" s="17" t="str">
        <f t="shared" si="2"/>
        <v>B02</v>
      </c>
      <c r="N35" s="17" t="str">
        <f>"`"&amp;VLOOKUP(D35,'B02_Mapping fields'!B:C,2,FALSE)&amp;"`"</f>
        <v>`0560_elgbl_amnt_own_fnds_cnsldtd_lvl`</v>
      </c>
      <c r="O35" s="47"/>
      <c r="P35" s="17"/>
      <c r="Q35" s="47"/>
      <c r="R35" s="17"/>
      <c r="S35" s="47"/>
      <c r="T35" s="17"/>
      <c r="U35" s="47"/>
      <c r="V35" s="17"/>
      <c r="W35" s="47"/>
      <c r="X35" s="17"/>
      <c r="Y35" s="5" t="str">
        <f>+",CASE WHEN "&amp;N35&amp;" &gt;= 0 THEN 0 ELSE 1 END AS "&amp;B35</f>
        <v>,CASE WHEN `0560_elgbl_amnt_own_fnds_cnsldtd_lvl` &gt;= 0 THEN 0 ELSE 1 END AS v_2_0035</v>
      </c>
      <c r="Z35" s="50" t="str">
        <f t="shared" si="5"/>
        <v>SUM(v_2_0035) AS LVL2_H_0560_elgbl_amnt_own_fnds_cnsldtd_lvl,</v>
      </c>
    </row>
    <row r="36" spans="1:26" ht="72.75" hidden="1" customHeight="1" x14ac:dyDescent="0.3">
      <c r="A36" s="4" t="s">
        <v>62</v>
      </c>
      <c r="B36" s="2" t="str">
        <f t="shared" si="8"/>
        <v>v_2_0036</v>
      </c>
      <c r="C36" s="2" t="s">
        <v>66</v>
      </c>
      <c r="D36" s="2" t="str">
        <f>VLOOKUP(CONCATENATE(C36,"_",E36),'Data types'!A:E,4,FALSE)</f>
        <v>0590</v>
      </c>
      <c r="E36" s="5" t="s">
        <v>119</v>
      </c>
      <c r="F36" s="5" t="str">
        <f>VLOOKUP(CONCATENATE(C36,"_",E36),'Data types'!A:F,6,FALSE)</f>
        <v>String: Drop-down</v>
      </c>
      <c r="G36" s="17" t="s">
        <v>350</v>
      </c>
      <c r="H36" s="17"/>
      <c r="I36" s="5" t="s">
        <v>92</v>
      </c>
      <c r="J36" s="5"/>
      <c r="K36" s="5" t="s">
        <v>93</v>
      </c>
      <c r="L36" s="17" t="str">
        <f t="shared" si="1"/>
        <v>HIGH</v>
      </c>
      <c r="M36" s="17" t="str">
        <f t="shared" si="2"/>
        <v>B02</v>
      </c>
      <c r="N36" s="17" t="str">
        <f>"`"&amp;VLOOKUP(D36,'B02_Mapping fields'!B:C,2,FALSE)&amp;"`"</f>
        <v>`0590_typ_scrty_intrst_prvdd`</v>
      </c>
      <c r="O36" s="47"/>
      <c r="P36" s="17"/>
      <c r="Q36" s="47"/>
      <c r="R36" s="17"/>
      <c r="S36" s="47"/>
      <c r="T36" s="17"/>
      <c r="U36" s="47"/>
      <c r="V36" s="17"/>
      <c r="W36" s="47"/>
      <c r="X36" s="17"/>
      <c r="Y36" s="5" t="str">
        <f>+",CASE WHEN "&amp;N36&amp;" IN ('T2 in phase-out', 'Grandfathered T2', 'Fully Compliant T2', 'Partially (A)T1 and T2', 'Grandfathered AT1', 'Fully Compliant AT1', 'CET1', 'No') THEN 0 ELSE 1 END AS "&amp;B36</f>
        <v>,CASE WHEN `0590_typ_scrty_intrst_prvdd` IN ('T2 in phase-out', 'Grandfathered T2', 'Fully Compliant T2', 'Partially (A)T1 and T2', 'Grandfathered AT1', 'Fully Compliant AT1', 'CET1', 'No') THEN 0 ELSE 1 END AS v_2_0036</v>
      </c>
      <c r="Z36" s="50" t="str">
        <f t="shared" si="5"/>
        <v>SUM(v_2_0036) AS LVL2_H_0590_typ_scrty_intrst_prvdd,</v>
      </c>
    </row>
    <row r="37" spans="1:26" ht="72.75" hidden="1" customHeight="1" x14ac:dyDescent="0.3">
      <c r="A37" s="4" t="s">
        <v>63</v>
      </c>
      <c r="B37" s="2" t="str">
        <f t="shared" si="8"/>
        <v>v_2_0037</v>
      </c>
      <c r="C37" s="2" t="s">
        <v>66</v>
      </c>
      <c r="D37" s="2" t="str">
        <f>VLOOKUP(CONCATENATE(C37,"_",E37),'Data types'!A:E,4,FALSE)</f>
        <v>0610</v>
      </c>
      <c r="E37" s="5" t="s">
        <v>64</v>
      </c>
      <c r="F37" s="5" t="str">
        <f>VLOOKUP(CONCATENATE(C37,"_",E37),'Data types'!A:F,6,FALSE)</f>
        <v>Numeric: 2 decimals</v>
      </c>
      <c r="G37" s="17" t="s">
        <v>350</v>
      </c>
      <c r="H37" s="17"/>
      <c r="I37" s="5" t="s">
        <v>97</v>
      </c>
      <c r="J37" s="5"/>
      <c r="K37" s="5" t="s">
        <v>100</v>
      </c>
      <c r="L37" s="17" t="str">
        <f t="shared" si="1"/>
        <v>HIGH</v>
      </c>
      <c r="M37" s="17" t="str">
        <f t="shared" si="2"/>
        <v>B02</v>
      </c>
      <c r="N37" s="17" t="str">
        <f>"`"&amp;VLOOKUP(D37,'B02_Mapping fields'!B:C,2,FALSE)&amp;"`"</f>
        <v>`0610_crryng_amnt_ifrs`</v>
      </c>
      <c r="O37" s="47"/>
      <c r="P37" s="17"/>
      <c r="Q37" s="47"/>
      <c r="R37" s="17"/>
      <c r="S37" s="47"/>
      <c r="T37" s="17"/>
      <c r="U37" s="47"/>
      <c r="V37" s="17"/>
      <c r="W37" s="47"/>
      <c r="X37" s="17"/>
      <c r="Y37" s="5" t="str">
        <f>+",CASE WHEN "&amp;N37&amp;" &gt;= 0 THEN 0 ELSE 1 END AS "&amp;B37</f>
        <v>,CASE WHEN `0610_crryng_amnt_ifrs` &gt;= 0 THEN 0 ELSE 1 END AS v_2_0037</v>
      </c>
      <c r="Z37" s="50" t="str">
        <f t="shared" si="5"/>
        <v>SUM(v_2_0037) AS LVL2_H_0610_crryng_amnt_ifrs,</v>
      </c>
    </row>
    <row r="38" spans="1:26" ht="72.75" hidden="1" customHeight="1" x14ac:dyDescent="0.3">
      <c r="A38" s="4" t="s">
        <v>65</v>
      </c>
      <c r="B38" s="2" t="str">
        <f t="shared" si="8"/>
        <v>v_2_0038</v>
      </c>
      <c r="C38" s="2" t="s">
        <v>66</v>
      </c>
      <c r="D38" s="2" t="str">
        <f>VLOOKUP(CONCATENATE(C38,"_",E38),'Data types'!A:E,4,FALSE)</f>
        <v>0620</v>
      </c>
      <c r="E38" s="5" t="s">
        <v>239</v>
      </c>
      <c r="F38" s="5" t="str">
        <f>VLOOKUP(CONCATENATE(C38,"_",E38),'Data types'!A:F,6,FALSE)</f>
        <v>String: Drop-down</v>
      </c>
      <c r="G38" s="17" t="s">
        <v>375</v>
      </c>
      <c r="H38" s="17"/>
      <c r="I38" s="5" t="s">
        <v>92</v>
      </c>
      <c r="J38" s="5"/>
      <c r="K38" s="5" t="s">
        <v>93</v>
      </c>
      <c r="L38" s="17" t="str">
        <f t="shared" si="1"/>
        <v>HIGH</v>
      </c>
      <c r="M38" s="17" t="str">
        <f t="shared" si="2"/>
        <v>B02</v>
      </c>
      <c r="N38" s="17" t="str">
        <f>"`"&amp;VLOOKUP(D38,'B02_Mapping fields'!B:C,2,FALSE)&amp;"`"</f>
        <v>`0620_blnc_sht_ifrs`</v>
      </c>
      <c r="O38" s="47"/>
      <c r="P38" s="17"/>
      <c r="Q38" s="47"/>
      <c r="R38" s="17"/>
      <c r="S38" s="47"/>
      <c r="T38" s="17"/>
      <c r="U38" s="47"/>
      <c r="V38" s="17"/>
      <c r="W38" s="47"/>
      <c r="X38" s="17"/>
      <c r="Y38" s="5" t="str">
        <f>+",CASE WHEN "&amp;N38&amp;" IN ('010 Financial liabilities held for trading', '070 Financial liabilities at fair value through profit or loss', '110 Financial liabilities at amortized cost', '280 Other liabilities', '300 Total equity') THEN 0 ELSE 1 END AS "&amp;B38</f>
        <v>,CASE WHEN `0620_blnc_sht_ifrs` IN ('010 Financial liabilities held for trading', '070 Financial liabilities at fair value through profit or loss', '110 Financial liabilities at amortized cost', '280 Other liabilities', '300 Total equity') THEN 0 ELSE 1 END AS v_2_0038</v>
      </c>
      <c r="Z38" s="50" t="str">
        <f t="shared" si="5"/>
        <v>SUM(v_2_0038) AS LVL2_H_0620_blnc_sht_ifrs,</v>
      </c>
    </row>
    <row r="39" spans="1:26" ht="72.75" hidden="1" customHeight="1" x14ac:dyDescent="0.3">
      <c r="A39" s="4" t="s">
        <v>68</v>
      </c>
      <c r="B39" s="30" t="str">
        <f t="shared" si="8"/>
        <v>v_2_0040</v>
      </c>
      <c r="C39" s="30" t="s">
        <v>82</v>
      </c>
      <c r="D39" s="30" t="str">
        <f>VLOOKUP(CONCATENATE(C39,"_",E39),'Data types'!A:E,4,FALSE)</f>
        <v>0030</v>
      </c>
      <c r="E39" s="31" t="s">
        <v>71</v>
      </c>
      <c r="F39" s="31" t="str">
        <f>VLOOKUP(CONCATENATE(C39,"_",E39),'Data types'!A:F,6,FALSE)</f>
        <v>Numeric: Integer</v>
      </c>
      <c r="G39" s="32" t="s">
        <v>350</v>
      </c>
      <c r="H39" s="32"/>
      <c r="I39" s="31" t="s">
        <v>305</v>
      </c>
      <c r="J39" s="31"/>
      <c r="K39" s="31" t="s">
        <v>305</v>
      </c>
      <c r="L39" s="17" t="str">
        <f t="shared" si="1"/>
        <v>HIGH</v>
      </c>
      <c r="M39" s="17" t="str">
        <f t="shared" si="2"/>
        <v>B03</v>
      </c>
      <c r="N39" s="17"/>
      <c r="O39" s="17"/>
      <c r="P39" s="17"/>
      <c r="Q39" s="47"/>
      <c r="R39" s="17"/>
      <c r="S39" s="17"/>
      <c r="T39" s="17"/>
      <c r="U39" s="17"/>
      <c r="V39" s="17"/>
      <c r="W39" s="17"/>
      <c r="X39" s="17"/>
      <c r="Y39" s="5"/>
      <c r="Z39" s="50" t="e">
        <f t="shared" ref="Z39:Z50" si="9">+"SUM("&amp;B39&amp;") AS LVL1_"&amp;MID(N39,2,LEN(N39)-2)&amp;","</f>
        <v>#VALUE!</v>
      </c>
    </row>
    <row r="40" spans="1:26" ht="72.75" hidden="1" customHeight="1" x14ac:dyDescent="0.3">
      <c r="A40" s="4" t="s">
        <v>70</v>
      </c>
      <c r="B40" s="30" t="str">
        <f t="shared" si="8"/>
        <v>v_2_0041</v>
      </c>
      <c r="C40" s="30" t="s">
        <v>82</v>
      </c>
      <c r="D40" s="30" t="str">
        <f>VLOOKUP(CONCATENATE(C40,"_",E40),'Data types'!A:E,4,FALSE)</f>
        <v>0040</v>
      </c>
      <c r="E40" s="31" t="s">
        <v>312</v>
      </c>
      <c r="F40" s="31" t="str">
        <f>VLOOKUP(CONCATENATE(C40,"_",E40),'Data types'!A:F,6,FALSE)</f>
        <v>String: Drop down</v>
      </c>
      <c r="G40" s="32" t="s">
        <v>350</v>
      </c>
      <c r="H40" s="32"/>
      <c r="I40" s="31" t="s">
        <v>92</v>
      </c>
      <c r="J40" s="31"/>
      <c r="K40" s="31" t="s">
        <v>93</v>
      </c>
      <c r="L40" s="17" t="str">
        <f t="shared" si="1"/>
        <v>HIGH</v>
      </c>
      <c r="M40" s="17" t="str">
        <f t="shared" si="2"/>
        <v>B03</v>
      </c>
      <c r="N40" s="17"/>
      <c r="O40" s="17"/>
      <c r="P40" s="17"/>
      <c r="Q40" s="47"/>
      <c r="R40" s="17"/>
      <c r="S40" s="17"/>
      <c r="T40" s="17"/>
      <c r="U40" s="17"/>
      <c r="V40" s="17"/>
      <c r="W40" s="17"/>
      <c r="X40" s="17"/>
      <c r="Y40" s="5"/>
      <c r="Z40" s="50" t="e">
        <f t="shared" si="9"/>
        <v>#VALUE!</v>
      </c>
    </row>
    <row r="41" spans="1:26" ht="72.75" hidden="1" customHeight="1" x14ac:dyDescent="0.3">
      <c r="A41" s="4" t="s">
        <v>72</v>
      </c>
      <c r="B41" s="30" t="str">
        <f t="shared" si="8"/>
        <v>v_2_0042</v>
      </c>
      <c r="C41" s="30" t="s">
        <v>82</v>
      </c>
      <c r="D41" s="30" t="str">
        <f>VLOOKUP(CONCATENATE(C41,"_",E41),'Data types'!A:E,4,FALSE)</f>
        <v>0050</v>
      </c>
      <c r="E41" s="31" t="s">
        <v>337</v>
      </c>
      <c r="F41" s="31" t="str">
        <f>VLOOKUP(CONCATENATE(C41,"_",E41),'Data types'!A:F,6,FALSE)</f>
        <v>String: Drop down</v>
      </c>
      <c r="G41" s="32" t="s">
        <v>350</v>
      </c>
      <c r="H41" s="32"/>
      <c r="I41" s="31" t="s">
        <v>92</v>
      </c>
      <c r="J41" s="31"/>
      <c r="K41" s="31" t="s">
        <v>93</v>
      </c>
      <c r="L41" s="17" t="str">
        <f t="shared" si="1"/>
        <v>HIGH</v>
      </c>
      <c r="M41" s="17" t="str">
        <f t="shared" si="2"/>
        <v>B03</v>
      </c>
      <c r="N41" s="17"/>
      <c r="O41" s="17"/>
      <c r="P41" s="17"/>
      <c r="Q41" s="47"/>
      <c r="R41" s="17"/>
      <c r="S41" s="17"/>
      <c r="T41" s="17"/>
      <c r="U41" s="17"/>
      <c r="V41" s="17"/>
      <c r="W41" s="17"/>
      <c r="X41" s="17"/>
      <c r="Y41" s="5"/>
      <c r="Z41" s="50" t="e">
        <f t="shared" si="9"/>
        <v>#VALUE!</v>
      </c>
    </row>
    <row r="42" spans="1:26" ht="72.75" hidden="1" customHeight="1" x14ac:dyDescent="0.3">
      <c r="A42" s="4" t="s">
        <v>74</v>
      </c>
      <c r="B42" s="30" t="str">
        <f t="shared" si="8"/>
        <v>v_2_0043</v>
      </c>
      <c r="C42" s="30" t="s">
        <v>82</v>
      </c>
      <c r="D42" s="30" t="str">
        <f>VLOOKUP(CONCATENATE(C42,"_",E42),'Data types'!A:E,4,FALSE)</f>
        <v>0070</v>
      </c>
      <c r="E42" s="31" t="s">
        <v>75</v>
      </c>
      <c r="F42" s="31" t="str">
        <f>VLOOKUP(CONCATENATE(C42,"_",E42),'Data types'!A:F,6,FALSE)</f>
        <v>String: ISO 3166-1 alpha 2 / ISO 3166-2</v>
      </c>
      <c r="G42" s="32" t="s">
        <v>350</v>
      </c>
      <c r="H42" s="32"/>
      <c r="I42" s="31" t="s">
        <v>313</v>
      </c>
      <c r="J42" s="31"/>
      <c r="K42" s="31" t="s">
        <v>314</v>
      </c>
      <c r="L42" s="17" t="str">
        <f t="shared" si="1"/>
        <v>HIGH</v>
      </c>
      <c r="M42" s="17" t="str">
        <f t="shared" si="2"/>
        <v>B03</v>
      </c>
      <c r="N42" s="17"/>
      <c r="O42" s="17"/>
      <c r="P42" s="17"/>
      <c r="Q42" s="47"/>
      <c r="R42" s="17"/>
      <c r="S42" s="17"/>
      <c r="T42" s="17"/>
      <c r="U42" s="17"/>
      <c r="V42" s="17"/>
      <c r="W42" s="17"/>
      <c r="X42" s="17"/>
      <c r="Y42" s="5"/>
      <c r="Z42" s="50" t="e">
        <f t="shared" si="9"/>
        <v>#VALUE!</v>
      </c>
    </row>
    <row r="43" spans="1:26" ht="72.75" hidden="1" customHeight="1" x14ac:dyDescent="0.3">
      <c r="A43" s="4" t="s">
        <v>76</v>
      </c>
      <c r="B43" s="30" t="str">
        <f t="shared" si="8"/>
        <v>v_2_0044</v>
      </c>
      <c r="C43" s="30" t="s">
        <v>82</v>
      </c>
      <c r="D43" s="30" t="str">
        <f>VLOOKUP(CONCATENATE(C43,"_",E43),'Data types'!A:E,4,FALSE)</f>
        <v>0080</v>
      </c>
      <c r="E43" s="31" t="s">
        <v>77</v>
      </c>
      <c r="F43" s="31" t="str">
        <f>VLOOKUP(CONCATENATE(C43,"_",E43),'Data types'!A:F,6,FALSE)</f>
        <v>Numeric: 2 decimals</v>
      </c>
      <c r="G43" s="32" t="s">
        <v>350</v>
      </c>
      <c r="H43" s="32"/>
      <c r="I43" s="31" t="s">
        <v>95</v>
      </c>
      <c r="J43" s="31"/>
      <c r="K43" s="31" t="s">
        <v>101</v>
      </c>
      <c r="L43" s="17" t="str">
        <f t="shared" si="1"/>
        <v>HIGH</v>
      </c>
      <c r="M43" s="17" t="str">
        <f t="shared" si="2"/>
        <v>B03</v>
      </c>
      <c r="N43" s="17"/>
      <c r="O43" s="17"/>
      <c r="P43" s="17"/>
      <c r="Q43" s="47"/>
      <c r="R43" s="17"/>
      <c r="S43" s="17"/>
      <c r="T43" s="17"/>
      <c r="U43" s="17"/>
      <c r="V43" s="17"/>
      <c r="W43" s="17"/>
      <c r="X43" s="17"/>
      <c r="Y43" s="5"/>
      <c r="Z43" s="50" t="e">
        <f t="shared" si="9"/>
        <v>#VALUE!</v>
      </c>
    </row>
    <row r="44" spans="1:26" ht="72.75" hidden="1" customHeight="1" x14ac:dyDescent="0.3">
      <c r="A44" s="4" t="s">
        <v>78</v>
      </c>
      <c r="B44" s="30" t="str">
        <f t="shared" si="8"/>
        <v>v_2_0045</v>
      </c>
      <c r="C44" s="30" t="s">
        <v>82</v>
      </c>
      <c r="D44" s="30" t="str">
        <f>VLOOKUP(CONCATENATE(C44,"_",E44),'Data types'!A:E,4,FALSE)</f>
        <v>0100</v>
      </c>
      <c r="E44" s="31" t="s">
        <v>125</v>
      </c>
      <c r="F44" s="31" t="str">
        <f>VLOOKUP(CONCATENATE(C44,"_",E44),'Data types'!A:F,6,FALSE)</f>
        <v>Numeric: 2 decimals</v>
      </c>
      <c r="G44" s="32"/>
      <c r="H44" s="32" t="s">
        <v>350</v>
      </c>
      <c r="I44" s="31" t="s">
        <v>97</v>
      </c>
      <c r="J44" s="31"/>
      <c r="K44" s="31" t="s">
        <v>315</v>
      </c>
      <c r="L44" s="17" t="str">
        <f t="shared" si="1"/>
        <v>WARNING</v>
      </c>
      <c r="M44" s="17" t="str">
        <f t="shared" si="2"/>
        <v>B03</v>
      </c>
      <c r="N44" s="17"/>
      <c r="O44" s="17"/>
      <c r="P44" s="17"/>
      <c r="Q44" s="47"/>
      <c r="R44" s="17"/>
      <c r="S44" s="17"/>
      <c r="T44" s="17"/>
      <c r="U44" s="17"/>
      <c r="V44" s="17"/>
      <c r="W44" s="17"/>
      <c r="X44" s="17"/>
      <c r="Y44" s="5"/>
      <c r="Z44" s="50" t="e">
        <f t="shared" si="9"/>
        <v>#VALUE!</v>
      </c>
    </row>
    <row r="45" spans="1:26" ht="72.75" hidden="1" customHeight="1" x14ac:dyDescent="0.3">
      <c r="A45" s="4" t="s">
        <v>80</v>
      </c>
      <c r="B45" s="30" t="str">
        <f t="shared" si="8"/>
        <v>v_2_0046</v>
      </c>
      <c r="C45" s="30" t="s">
        <v>82</v>
      </c>
      <c r="D45" s="30" t="str">
        <f>VLOOKUP(CONCATENATE(C45,"_",E45),'Data types'!A:E,4,FALSE)</f>
        <v>0110</v>
      </c>
      <c r="E45" s="31" t="s">
        <v>79</v>
      </c>
      <c r="F45" s="31" t="str">
        <f>VLOOKUP(CONCATENATE(C45,"_",E45),'Data types'!A:F,6,FALSE)</f>
        <v>Numeric: 2 decimals</v>
      </c>
      <c r="G45" s="32" t="s">
        <v>350</v>
      </c>
      <c r="H45" s="32"/>
      <c r="I45" s="31" t="s">
        <v>339</v>
      </c>
      <c r="J45" s="31"/>
      <c r="K45" s="31" t="s">
        <v>340</v>
      </c>
      <c r="L45" s="17" t="str">
        <f t="shared" si="1"/>
        <v>HIGH</v>
      </c>
      <c r="M45" s="17" t="str">
        <f t="shared" si="2"/>
        <v>B03</v>
      </c>
      <c r="N45" s="17"/>
      <c r="O45" s="17"/>
      <c r="P45" s="17"/>
      <c r="Q45" s="47"/>
      <c r="R45" s="17"/>
      <c r="S45" s="17"/>
      <c r="T45" s="17"/>
      <c r="U45" s="17"/>
      <c r="V45" s="17"/>
      <c r="W45" s="17"/>
      <c r="X45" s="17"/>
      <c r="Y45" s="5"/>
      <c r="Z45" s="50" t="e">
        <f t="shared" si="9"/>
        <v>#VALUE!</v>
      </c>
    </row>
    <row r="46" spans="1:26" ht="72.75" hidden="1" customHeight="1" x14ac:dyDescent="0.3">
      <c r="A46" s="4" t="s">
        <v>81</v>
      </c>
      <c r="B46" s="30" t="str">
        <f t="shared" si="8"/>
        <v>v_2_0047</v>
      </c>
      <c r="C46" s="30" t="s">
        <v>82</v>
      </c>
      <c r="D46" s="30" t="str">
        <f>VLOOKUP(CONCATENATE(C46,"_",E46),'Data types'!A:E,4,FALSE)</f>
        <v>0110</v>
      </c>
      <c r="E46" s="31" t="s">
        <v>79</v>
      </c>
      <c r="F46" s="31" t="str">
        <f>VLOOKUP(CONCATENATE(C46,"_",E46),'Data types'!A:F,6,FALSE)</f>
        <v>Numeric: 2 decimals</v>
      </c>
      <c r="G46" s="32" t="s">
        <v>350</v>
      </c>
      <c r="H46" s="32"/>
      <c r="I46" s="31" t="s">
        <v>127</v>
      </c>
      <c r="J46" s="31" t="s">
        <v>341</v>
      </c>
      <c r="K46" s="31" t="s">
        <v>390</v>
      </c>
      <c r="L46" s="17" t="str">
        <f t="shared" si="1"/>
        <v>HIGH</v>
      </c>
      <c r="M46" s="17" t="str">
        <f t="shared" si="2"/>
        <v>B03</v>
      </c>
      <c r="N46" s="17"/>
      <c r="O46" s="17"/>
      <c r="P46" s="17"/>
      <c r="Q46" s="47"/>
      <c r="R46" s="17"/>
      <c r="S46" s="17"/>
      <c r="T46" s="17"/>
      <c r="U46" s="17"/>
      <c r="V46" s="17"/>
      <c r="W46" s="17"/>
      <c r="X46" s="17"/>
      <c r="Y46" s="5"/>
      <c r="Z46" s="50" t="e">
        <f t="shared" si="9"/>
        <v>#VALUE!</v>
      </c>
    </row>
    <row r="47" spans="1:26" ht="72.75" hidden="1" customHeight="1" x14ac:dyDescent="0.3">
      <c r="A47" s="4" t="s">
        <v>83</v>
      </c>
      <c r="B47" s="30" t="str">
        <f t="shared" ref="B47" si="10">CONCATENATE("v_2_",A47)</f>
        <v>v_2_0048</v>
      </c>
      <c r="C47" s="30" t="s">
        <v>82</v>
      </c>
      <c r="D47" s="30" t="str">
        <f>VLOOKUP(CONCATENATE(C47,"_",E47),'Data types'!A:E,4,FALSE)</f>
        <v>0110</v>
      </c>
      <c r="E47" s="31" t="s">
        <v>79</v>
      </c>
      <c r="F47" s="31" t="str">
        <f>VLOOKUP(CONCATENATE(C47,"_",E47),'Data types'!A:F,6,FALSE)</f>
        <v>Numeric: 2 decimals</v>
      </c>
      <c r="G47" s="32" t="s">
        <v>350</v>
      </c>
      <c r="H47" s="32"/>
      <c r="I47" s="31" t="s">
        <v>342</v>
      </c>
      <c r="J47" s="31" t="s">
        <v>391</v>
      </c>
      <c r="K47" s="31" t="s">
        <v>343</v>
      </c>
      <c r="L47" s="17" t="str">
        <f t="shared" si="1"/>
        <v>HIGH</v>
      </c>
      <c r="M47" s="17" t="str">
        <f t="shared" si="2"/>
        <v>B03</v>
      </c>
      <c r="N47" s="17"/>
      <c r="O47" s="17"/>
      <c r="P47" s="17"/>
      <c r="Q47" s="47"/>
      <c r="R47" s="17"/>
      <c r="S47" s="17"/>
      <c r="T47" s="17"/>
      <c r="U47" s="17"/>
      <c r="V47" s="17"/>
      <c r="W47" s="17"/>
      <c r="X47" s="17"/>
      <c r="Y47" s="5"/>
      <c r="Z47" s="50" t="e">
        <f t="shared" si="9"/>
        <v>#VALUE!</v>
      </c>
    </row>
    <row r="48" spans="1:26" ht="72.75" hidden="1" customHeight="1" x14ac:dyDescent="0.3">
      <c r="A48" s="4" t="s">
        <v>85</v>
      </c>
      <c r="B48" s="30" t="str">
        <f t="shared" si="8"/>
        <v>v_2_0050</v>
      </c>
      <c r="C48" s="30" t="s">
        <v>129</v>
      </c>
      <c r="D48" s="30" t="str">
        <f>VLOOKUP(CONCATENATE(C48,"_",E48),'Data types'!A:E,4,FALSE)</f>
        <v>0030</v>
      </c>
      <c r="E48" s="31" t="s">
        <v>71</v>
      </c>
      <c r="F48" s="31" t="str">
        <f>VLOOKUP(CONCATENATE(C48,"_",E48),'Data types'!A:F,6,FALSE)</f>
        <v>Numeric: Integer</v>
      </c>
      <c r="G48" s="32" t="s">
        <v>350</v>
      </c>
      <c r="H48" s="32"/>
      <c r="I48" s="31" t="s">
        <v>305</v>
      </c>
      <c r="J48" s="31"/>
      <c r="K48" s="31" t="s">
        <v>305</v>
      </c>
      <c r="L48" s="17" t="str">
        <f t="shared" si="1"/>
        <v>HIGH</v>
      </c>
      <c r="M48" s="17" t="str">
        <f t="shared" si="2"/>
        <v>B04</v>
      </c>
      <c r="N48" s="17"/>
      <c r="O48" s="17"/>
      <c r="P48" s="17"/>
      <c r="Q48" s="47"/>
      <c r="R48" s="17"/>
      <c r="S48" s="17"/>
      <c r="T48" s="17"/>
      <c r="U48" s="17"/>
      <c r="V48" s="17"/>
      <c r="W48" s="17"/>
      <c r="X48" s="17"/>
      <c r="Y48" s="5"/>
      <c r="Z48" s="50" t="e">
        <f t="shared" si="9"/>
        <v>#VALUE!</v>
      </c>
    </row>
    <row r="49" spans="1:26" ht="72.75" hidden="1" customHeight="1" x14ac:dyDescent="0.3">
      <c r="A49" s="4" t="s">
        <v>86</v>
      </c>
      <c r="B49" s="30" t="str">
        <f t="shared" si="8"/>
        <v>v_2_0051</v>
      </c>
      <c r="C49" s="30" t="s">
        <v>129</v>
      </c>
      <c r="D49" s="30" t="str">
        <f>VLOOKUP(CONCATENATE(C49,"_",E49),'Data types'!A:E,4,FALSE)</f>
        <v>0050</v>
      </c>
      <c r="E49" s="31" t="s">
        <v>75</v>
      </c>
      <c r="F49" s="31" t="str">
        <f>VLOOKUP(CONCATENATE(C49,"_",E49),'Data types'!A:F,6,FALSE)</f>
        <v>String: ISO 3166-1 alpha 2 / ISO 3166-2</v>
      </c>
      <c r="G49" s="32" t="s">
        <v>350</v>
      </c>
      <c r="H49" s="32"/>
      <c r="I49" s="31" t="s">
        <v>313</v>
      </c>
      <c r="J49" s="31"/>
      <c r="K49" s="31" t="s">
        <v>316</v>
      </c>
      <c r="L49" s="17" t="str">
        <f t="shared" si="1"/>
        <v>HIGH</v>
      </c>
      <c r="M49" s="17" t="str">
        <f t="shared" si="2"/>
        <v>B04</v>
      </c>
      <c r="N49" s="17"/>
      <c r="O49" s="17"/>
      <c r="P49" s="17"/>
      <c r="Q49" s="47"/>
      <c r="R49" s="17"/>
      <c r="S49" s="17"/>
      <c r="T49" s="17"/>
      <c r="U49" s="17"/>
      <c r="V49" s="17"/>
      <c r="W49" s="17"/>
      <c r="X49" s="17"/>
      <c r="Y49" s="5"/>
      <c r="Z49" s="50" t="e">
        <f t="shared" si="9"/>
        <v>#VALUE!</v>
      </c>
    </row>
    <row r="50" spans="1:26" ht="72.75" hidden="1" customHeight="1" x14ac:dyDescent="0.3">
      <c r="A50" s="4" t="s">
        <v>87</v>
      </c>
      <c r="B50" s="30" t="str">
        <f t="shared" si="8"/>
        <v>v_2_0052</v>
      </c>
      <c r="C50" s="30" t="s">
        <v>129</v>
      </c>
      <c r="D50" s="30" t="str">
        <f>VLOOKUP(CONCATENATE(C50,"_",E50),'Data types'!A:E,4,FALSE)</f>
        <v>0060</v>
      </c>
      <c r="E50" s="31" t="s">
        <v>255</v>
      </c>
      <c r="F50" s="31" t="str">
        <f>VLOOKUP(CONCATENATE(C50,"_",E50),'Data types'!A:F,6,FALSE)</f>
        <v>Numeric: 2 decimals</v>
      </c>
      <c r="G50" s="32" t="s">
        <v>350</v>
      </c>
      <c r="H50" s="32"/>
      <c r="I50" s="31" t="s">
        <v>95</v>
      </c>
      <c r="J50" s="31"/>
      <c r="K50" s="31" t="s">
        <v>101</v>
      </c>
      <c r="L50" s="17" t="str">
        <f t="shared" si="1"/>
        <v>HIGH</v>
      </c>
      <c r="M50" s="17" t="str">
        <f t="shared" si="2"/>
        <v>B04</v>
      </c>
      <c r="N50" s="17"/>
      <c r="O50" s="17"/>
      <c r="P50" s="17"/>
      <c r="Q50" s="47"/>
      <c r="R50" s="17"/>
      <c r="S50" s="17"/>
      <c r="T50" s="17"/>
      <c r="U50" s="17"/>
      <c r="V50" s="17"/>
      <c r="W50" s="17"/>
      <c r="X50" s="17"/>
      <c r="Y50" s="5"/>
      <c r="Z50" s="50" t="e">
        <f t="shared" si="9"/>
        <v>#VALUE!</v>
      </c>
    </row>
    <row r="51" spans="1:26" ht="72.75" hidden="1" customHeight="1" x14ac:dyDescent="0.3">
      <c r="A51" s="4" t="s">
        <v>88</v>
      </c>
      <c r="B51" s="2" t="str">
        <f>CONCATENATE("v_2_",A51)</f>
        <v>v_2_0053</v>
      </c>
      <c r="C51" s="2" t="s">
        <v>138</v>
      </c>
      <c r="D51" s="2" t="str">
        <f>VLOOKUP(CONCATENATE(C51,"_",E51),'Data types'!A:E,4,FALSE)</f>
        <v>0030</v>
      </c>
      <c r="E51" s="5" t="s">
        <v>36</v>
      </c>
      <c r="F51" s="5" t="str">
        <f>VLOOKUP(CONCATENATE(C51,"_",E51),'Data types'!A:F,6,FALSE)</f>
        <v>String: ISO 3166-1 alpha 2 / ISO 3166-2</v>
      </c>
      <c r="G51" s="17" t="s">
        <v>350</v>
      </c>
      <c r="H51" s="17"/>
      <c r="I51" s="5" t="s">
        <v>252</v>
      </c>
      <c r="J51" s="5"/>
      <c r="K51" s="5" t="s">
        <v>316</v>
      </c>
      <c r="L51" s="17" t="str">
        <f t="shared" si="1"/>
        <v>HIGH</v>
      </c>
      <c r="M51" s="17" t="str">
        <f t="shared" si="2"/>
        <v>B05</v>
      </c>
      <c r="N51" s="17" t="str">
        <f>"`"&amp;VLOOKUP(D51,'B05_Mapping fields'!B:C,2,FALSE)&amp;"`"</f>
        <v>`0030_governing_law`</v>
      </c>
      <c r="O51" s="47"/>
      <c r="P51" s="17"/>
      <c r="Q51" s="47"/>
      <c r="R51" s="17"/>
      <c r="S51" s="47"/>
      <c r="T51" s="17"/>
      <c r="U51" s="47"/>
      <c r="V51" s="17"/>
      <c r="W51" s="47"/>
      <c r="X51" s="17"/>
      <c r="Y51" s="5" t="str">
        <f>+",CASE WHEN ("&amp;N51&amp;" REGEXP '^[A-Z]{2}$' OR "&amp;N51&amp;" REGEXP '^[A-Z]{2}-[A-Z0-9]{1,3}$') AND "&amp;N51&amp;" IS NOT MISSING THEN 0 ELSE 1 END AS "&amp;B51</f>
        <v>,CASE WHEN (`0030_governing_law` REGEXP '^[A-Z]{2}$' OR `0030_governing_law` REGEXP '^[A-Z]{2}-[A-Z0-9]{1,3}$') AND `0030_governing_law` IS NOT MISSING THEN 0 ELSE 1 END AS v_2_0053</v>
      </c>
      <c r="Z51" s="50" t="str">
        <f t="shared" ref="Z51:Z58" si="11">+"SUM("&amp;B51&amp;") AS LVL2_H_"&amp;MID(N51,2,LEN(N51)-2)&amp;","</f>
        <v>SUM(v_2_0053) AS LVL2_H_0030_governing_law,</v>
      </c>
    </row>
    <row r="52" spans="1:26" ht="72.75" hidden="1" customHeight="1" x14ac:dyDescent="0.3">
      <c r="A52" s="4" t="s">
        <v>89</v>
      </c>
      <c r="B52" s="2" t="str">
        <f t="shared" si="8"/>
        <v>v_2_0054</v>
      </c>
      <c r="C52" s="2" t="s">
        <v>138</v>
      </c>
      <c r="D52" s="2" t="str">
        <f>VLOOKUP(CONCATENATE(C52,"_",E52),'Data types'!A:E,4,FALSE)</f>
        <v>0050</v>
      </c>
      <c r="E52" s="5" t="s">
        <v>131</v>
      </c>
      <c r="F52" s="5" t="str">
        <f>VLOOKUP(CONCATENATE(C52,"_",E52),'Data types'!A:F,6,FALSE)</f>
        <v>String: Drop down</v>
      </c>
      <c r="G52" s="17" t="s">
        <v>350</v>
      </c>
      <c r="H52" s="17"/>
      <c r="I52" s="5" t="s">
        <v>92</v>
      </c>
      <c r="J52" s="5"/>
      <c r="K52" s="5" t="s">
        <v>93</v>
      </c>
      <c r="L52" s="17" t="str">
        <f t="shared" si="1"/>
        <v>HIGH</v>
      </c>
      <c r="M52" s="17" t="str">
        <f t="shared" si="2"/>
        <v>B05</v>
      </c>
      <c r="N52" s="17" t="str">
        <f>"`"&amp;VLOOKUP(D52,'B05_Mapping fields'!B:C,2,FALSE)&amp;"`"</f>
        <v>`0050_typ_guarantee`</v>
      </c>
      <c r="O52" s="47"/>
      <c r="P52" s="17"/>
      <c r="Q52" s="47"/>
      <c r="R52" s="17"/>
      <c r="S52" s="47"/>
      <c r="T52" s="17"/>
      <c r="U52" s="47"/>
      <c r="V52" s="17"/>
      <c r="W52" s="47"/>
      <c r="X52" s="17"/>
      <c r="Y52" s="5" t="str">
        <f>+",CASE WHEN "&amp;N52&amp;" IN ('Issuance', 'Counterparty', 'Unlimited', 'Other types of guarantee than issuance guarantees, counterparty guarantees and unlimited guarantees') THEN 0 ELSE 1 END AS "&amp;B52</f>
        <v>,CASE WHEN `0050_typ_guarantee` IN ('Issuance', 'Counterparty', 'Unlimited', 'Other types of guarantee than issuance guarantees, counterparty guarantees and unlimited guarantees') THEN 0 ELSE 1 END AS v_2_0054</v>
      </c>
      <c r="Z52" s="50" t="str">
        <f t="shared" si="11"/>
        <v>SUM(v_2_0054) AS LVL2_H_0050_typ_guarantee,</v>
      </c>
    </row>
    <row r="53" spans="1:26" ht="72.75" hidden="1" customHeight="1" x14ac:dyDescent="0.3">
      <c r="A53" s="4" t="s">
        <v>111</v>
      </c>
      <c r="B53" s="2" t="str">
        <f t="shared" si="8"/>
        <v>v_2_0055</v>
      </c>
      <c r="C53" s="2" t="s">
        <v>138</v>
      </c>
      <c r="D53" s="2" t="str">
        <f>VLOOKUP(CONCATENATE(C53,"_",E53),'Data types'!A:E,4,FALSE)</f>
        <v>0060</v>
      </c>
      <c r="E53" s="5" t="s">
        <v>132</v>
      </c>
      <c r="F53" s="5" t="str">
        <f>VLOOKUP(CONCATENATE(C53,"_",E53),'Data types'!A:F,6,FALSE)</f>
        <v>Numeric: 2 decimals</v>
      </c>
      <c r="G53" s="17" t="s">
        <v>350</v>
      </c>
      <c r="H53" s="17"/>
      <c r="I53" s="5" t="s">
        <v>97</v>
      </c>
      <c r="J53" s="5"/>
      <c r="K53" s="5" t="s">
        <v>100</v>
      </c>
      <c r="L53" s="17" t="str">
        <f t="shared" si="1"/>
        <v>HIGH</v>
      </c>
      <c r="M53" s="17" t="str">
        <f t="shared" si="2"/>
        <v>B05</v>
      </c>
      <c r="N53" s="17" t="str">
        <f>"`"&amp;VLOOKUP(D53,'B05_Mapping fields'!B:C,2,FALSE)&amp;"`"</f>
        <v>`0060_max_amnt_guarantee`</v>
      </c>
      <c r="O53" s="47"/>
      <c r="P53" s="17"/>
      <c r="Q53" s="47"/>
      <c r="R53" s="17"/>
      <c r="S53" s="47"/>
      <c r="T53" s="17"/>
      <c r="U53" s="47"/>
      <c r="V53" s="17"/>
      <c r="W53" s="47"/>
      <c r="X53" s="17"/>
      <c r="Y53" s="5" t="str">
        <f>+",CASE WHEN "&amp;N53&amp;" &gt;= 0 THEN 0 ELSE 1 END AS "&amp;B53</f>
        <v>,CASE WHEN `0060_max_amnt_guarantee` &gt;= 0 THEN 0 ELSE 1 END AS v_2_0055</v>
      </c>
      <c r="Z53" s="50" t="str">
        <f t="shared" si="11"/>
        <v>SUM(v_2_0055) AS LVL2_H_0060_max_amnt_guarantee,</v>
      </c>
    </row>
    <row r="54" spans="1:26" ht="72.75" hidden="1" customHeight="1" x14ac:dyDescent="0.3">
      <c r="A54" s="4" t="s">
        <v>113</v>
      </c>
      <c r="B54" s="2" t="str">
        <f t="shared" si="8"/>
        <v>v_2_0056</v>
      </c>
      <c r="C54" s="2" t="s">
        <v>138</v>
      </c>
      <c r="D54" s="2" t="str">
        <f>VLOOKUP(CONCATENATE(C54,"_",E54),'Data types'!A:E,4,FALSE)</f>
        <v>0070</v>
      </c>
      <c r="E54" s="5" t="s">
        <v>133</v>
      </c>
      <c r="F54" s="5" t="str">
        <f>VLOOKUP(CONCATENATE(C54,"_",E54),'Data types'!A:F,6,FALSE)</f>
        <v>String: Drop down</v>
      </c>
      <c r="G54" s="17" t="s">
        <v>350</v>
      </c>
      <c r="H54" s="17"/>
      <c r="I54" s="5" t="s">
        <v>92</v>
      </c>
      <c r="J54" s="5"/>
      <c r="K54" s="5" t="s">
        <v>93</v>
      </c>
      <c r="L54" s="17" t="str">
        <f t="shared" si="1"/>
        <v>HIGH</v>
      </c>
      <c r="M54" s="17" t="str">
        <f t="shared" si="2"/>
        <v>B05</v>
      </c>
      <c r="N54" s="17" t="str">
        <f>"`"&amp;VLOOKUP(D54,'B05_Mapping fields'!B:C,2,FALSE)&amp;"`"</f>
        <v>`0070_flg_scrd`</v>
      </c>
      <c r="O54" s="47"/>
      <c r="P54" s="17"/>
      <c r="Q54" s="47"/>
      <c r="R54" s="17"/>
      <c r="S54" s="47"/>
      <c r="T54" s="17"/>
      <c r="U54" s="47"/>
      <c r="V54" s="17"/>
      <c r="W54" s="47"/>
      <c r="X54" s="17"/>
      <c r="Y54" s="5" t="str">
        <f>+",CASE WHEN "&amp;N54&amp;" IN ('Secured', 'Unsecured') THEN 0 ELSE 1 END AS "&amp;B54</f>
        <v>,CASE WHEN `0070_flg_scrd` IN ('Secured', 'Unsecured') THEN 0 ELSE 1 END AS v_2_0056</v>
      </c>
      <c r="Z54" s="50" t="str">
        <f t="shared" si="11"/>
        <v>SUM(v_2_0056) AS LVL2_H_0070_flg_scrd,</v>
      </c>
    </row>
    <row r="55" spans="1:26" ht="72.75" hidden="1" customHeight="1" x14ac:dyDescent="0.3">
      <c r="A55" s="4" t="s">
        <v>114</v>
      </c>
      <c r="B55" s="2" t="str">
        <f t="shared" si="8"/>
        <v>v_2_0057</v>
      </c>
      <c r="C55" s="2" t="s">
        <v>138</v>
      </c>
      <c r="D55" s="2" t="str">
        <f>VLOOKUP(CONCATENATE(C55,"_",E55),'Data types'!A:E,4,FALSE)</f>
        <v>0080</v>
      </c>
      <c r="E55" s="5" t="s">
        <v>134</v>
      </c>
      <c r="F55" s="5" t="str">
        <f>VLOOKUP(CONCATENATE(C55,"_",E55),'Data types'!A:F,6,FALSE)</f>
        <v>Numeric: 2 decimals</v>
      </c>
      <c r="G55" s="17" t="s">
        <v>350</v>
      </c>
      <c r="H55" s="17"/>
      <c r="I55" s="5" t="s">
        <v>97</v>
      </c>
      <c r="J55" s="5" t="s">
        <v>135</v>
      </c>
      <c r="K55" s="5" t="s">
        <v>100</v>
      </c>
      <c r="L55" s="17" t="str">
        <f t="shared" si="1"/>
        <v>HIGH</v>
      </c>
      <c r="M55" s="17" t="str">
        <f t="shared" si="2"/>
        <v>B05</v>
      </c>
      <c r="N55" s="17" t="str">
        <f>"`"&amp;VLOOKUP(D55,'B05_Mapping fields'!B:C,2,FALSE)&amp;"`"</f>
        <v>`0080_amnt_clltrl`</v>
      </c>
      <c r="O55" s="47" t="s">
        <v>123</v>
      </c>
      <c r="P55" s="17" t="str">
        <f>"`"&amp;VLOOKUP(O55,'B05_Mapping fields'!B:C,2,FALSE)&amp;"`"</f>
        <v>`0070_flg_scrd`</v>
      </c>
      <c r="Q55" s="47"/>
      <c r="R55" s="17"/>
      <c r="S55" s="47"/>
      <c r="T55" s="17"/>
      <c r="U55" s="47"/>
      <c r="V55" s="17"/>
      <c r="W55" s="47"/>
      <c r="X55" s="17"/>
      <c r="Y55" s="5" t="str">
        <f>+",CASE WHEN "&amp;N55&amp;" &gt;= 0 AND "&amp;P55&amp;" = 'Secured' THEN 0 ELSE 1 END AS "&amp;B55</f>
        <v>,CASE WHEN `0080_amnt_clltrl` &gt;= 0 AND `0070_flg_scrd` = 'Secured' THEN 0 ELSE 1 END AS v_2_0057</v>
      </c>
      <c r="Z55" s="50" t="str">
        <f t="shared" si="11"/>
        <v>SUM(v_2_0057) AS LVL2_H_0080_amnt_clltrl,</v>
      </c>
    </row>
    <row r="56" spans="1:26" ht="72.75" hidden="1" customHeight="1" x14ac:dyDescent="0.3">
      <c r="A56" s="4" t="s">
        <v>115</v>
      </c>
      <c r="B56" s="2" t="str">
        <f t="shared" si="8"/>
        <v>v_2_0058</v>
      </c>
      <c r="C56" s="2" t="s">
        <v>344</v>
      </c>
      <c r="D56" s="2" t="str">
        <f>VLOOKUP(CONCATENATE(C56,"_",E56),'Data types'!A:E,4,FALSE)</f>
        <v>0030</v>
      </c>
      <c r="E56" s="5" t="s">
        <v>393</v>
      </c>
      <c r="F56" s="5" t="str">
        <f>VLOOKUP(CONCATENATE(C56,"_",E56),'Data types'!A:F,6,FALSE)</f>
        <v>String: Drop-down</v>
      </c>
      <c r="G56" s="17" t="s">
        <v>350</v>
      </c>
      <c r="H56" s="17"/>
      <c r="I56" s="5" t="s">
        <v>92</v>
      </c>
      <c r="J56" s="5"/>
      <c r="K56" s="5" t="s">
        <v>93</v>
      </c>
      <c r="L56" s="17" t="str">
        <f t="shared" si="1"/>
        <v>HIGH</v>
      </c>
      <c r="M56" s="17" t="str">
        <f t="shared" si="2"/>
        <v>B90</v>
      </c>
      <c r="N56" s="17" t="str">
        <f>"`"&amp;VLOOKUP(D56,'B90_Maping fields'!B:C,2,FALSE)&amp;"`"</f>
        <v>`0030_cntrprty_rsltn_grp`</v>
      </c>
      <c r="O56" s="47"/>
      <c r="P56" s="17"/>
      <c r="Q56" s="47"/>
      <c r="R56" s="17"/>
      <c r="S56" s="47"/>
      <c r="T56" s="17"/>
      <c r="U56" s="47"/>
      <c r="V56" s="17"/>
      <c r="W56" s="47"/>
      <c r="X56" s="17"/>
      <c r="Y56" s="5" t="str">
        <f>+",CASE WHEN "&amp;N56&amp;" IN ('Intragroup and intra-resolution group', 'Intragroup but not intra-resolution group', 'No') THEN 0 ELSE 1 END AS "&amp;B56</f>
        <v>,CASE WHEN `0030_cntrprty_rsltn_grp` IN ('Intragroup and intra-resolution group', 'Intragroup but not intra-resolution group', 'No') THEN 0 ELSE 1 END AS v_2_0058</v>
      </c>
      <c r="Z56" s="50" t="str">
        <f t="shared" si="11"/>
        <v>SUM(v_2_0058) AS LVL2_H_0030_cntrprty_rsltn_grp,</v>
      </c>
    </row>
    <row r="57" spans="1:26" ht="72.75" hidden="1" customHeight="1" x14ac:dyDescent="0.3">
      <c r="A57" s="4" t="s">
        <v>116</v>
      </c>
      <c r="B57" s="2" t="str">
        <f t="shared" ref="B57" si="12">CONCATENATE("v_2_",A57)</f>
        <v>v_2_0059</v>
      </c>
      <c r="C57" s="2" t="s">
        <v>344</v>
      </c>
      <c r="D57" s="2" t="str">
        <f>VLOOKUP(CONCATENATE(C57,"_",E57),'Data types'!A:E,4,FALSE)</f>
        <v>0080</v>
      </c>
      <c r="E57" s="5" t="s">
        <v>60</v>
      </c>
      <c r="F57" s="5" t="str">
        <f>VLOOKUP(CONCATENATE(C57,"_",E57),'Data types'!A:F,6,FALSE)</f>
        <v>String: Drop-down</v>
      </c>
      <c r="G57" s="17" t="s">
        <v>350</v>
      </c>
      <c r="H57" s="17"/>
      <c r="I57" s="5" t="s">
        <v>92</v>
      </c>
      <c r="J57" s="5"/>
      <c r="K57" s="5" t="s">
        <v>93</v>
      </c>
      <c r="L57" s="17" t="str">
        <f t="shared" si="1"/>
        <v>HIGH</v>
      </c>
      <c r="M57" s="17" t="str">
        <f t="shared" si="2"/>
        <v>B90</v>
      </c>
      <c r="N57" s="17" t="str">
        <f>"`"&amp;VLOOKUP(D57,'B90_Maping fields'!B:C,2,FALSE)&amp;"`"</f>
        <v>`0080_cntrprty_typ`</v>
      </c>
      <c r="O57" s="47"/>
      <c r="P57" s="17"/>
      <c r="Q57" s="47"/>
      <c r="R57" s="17"/>
      <c r="S57" s="47"/>
      <c r="T57" s="17"/>
      <c r="U57" s="47"/>
      <c r="V57" s="17"/>
      <c r="W57" s="47"/>
      <c r="X57" s="17"/>
      <c r="Y57" s="5" t="str">
        <f>+",CASE WHEN "&amp;N57&amp;" IN ('"&amp;Z57&amp;") THEN 0 ELSE 1 END AS "&amp;B57</f>
        <v>,CASE WHEN `0080_cntrprty_typ` IN ('SUM(v_2_0059) AS LVL2_H_0080_cntrprty_typ,) THEN 0 ELSE 1 END AS v_2_0059</v>
      </c>
      <c r="Z57" s="50" t="str">
        <f t="shared" si="11"/>
        <v>SUM(v_2_0059) AS LVL2_H_0080_cntrprty_typ,</v>
      </c>
    </row>
    <row r="58" spans="1:26" ht="72.75" hidden="1" customHeight="1" x14ac:dyDescent="0.3">
      <c r="A58" s="4" t="s">
        <v>117</v>
      </c>
      <c r="B58" s="2" t="str">
        <f>CONCATENATE("v_2_",A58)</f>
        <v>v_2_0060</v>
      </c>
      <c r="C58" s="2" t="s">
        <v>344</v>
      </c>
      <c r="D58" s="2" t="str">
        <f>VLOOKUP(CONCATENATE(C58,"_",E58),'Data types'!A:E,4,FALSE)</f>
        <v>0090</v>
      </c>
      <c r="E58" s="5" t="s">
        <v>282</v>
      </c>
      <c r="F58" s="5" t="str">
        <f>VLOOKUP(CONCATENATE(C58,"_",E58),'Data types'!A:F,6,FALSE)</f>
        <v xml:space="preserve">String: ISO 3166-1 </v>
      </c>
      <c r="G58" s="17" t="s">
        <v>350</v>
      </c>
      <c r="H58" s="17"/>
      <c r="I58" s="5" t="s">
        <v>105</v>
      </c>
      <c r="J58" s="21" t="s">
        <v>347</v>
      </c>
      <c r="K58" s="5" t="s">
        <v>112</v>
      </c>
      <c r="L58" s="17" t="str">
        <f t="shared" si="1"/>
        <v>HIGH</v>
      </c>
      <c r="M58" s="17" t="str">
        <f t="shared" si="2"/>
        <v>B90</v>
      </c>
      <c r="N58" s="17" t="str">
        <f>"`"&amp;VLOOKUP(D58,'B90_Maping fields'!B:C,2,FALSE)&amp;"`"</f>
        <v>`0090_cntry_cntrprty`</v>
      </c>
      <c r="O58" s="47" t="s">
        <v>126</v>
      </c>
      <c r="P58" s="17" t="str">
        <f>"`"&amp;VLOOKUP(O58,'B90_Maping fields'!B:C,2,FALSE)&amp;"`"</f>
        <v>`0080_cntrprty_typ`</v>
      </c>
      <c r="Q58" s="47"/>
      <c r="R58" s="17"/>
      <c r="S58" s="47"/>
      <c r="T58" s="17"/>
      <c r="U58" s="47"/>
      <c r="V58" s="17"/>
      <c r="W58" s="47"/>
      <c r="X58" s="17"/>
      <c r="Y58" s="5" t="str">
        <f>+",CASE WHEN ("&amp;N58&amp;" REGEXP '^[A-Z]{2}$' OR "&amp;N58&amp;" REGEXP '^[A-Z]{2}-[A-Z0-9]{1,3}$') AND "&amp;N58&amp;" IS NOT MISSING AND "&amp;P58&amp;" NOT IN ('XX', '99') THEN 0 ELSE 1 END AS "&amp;B58</f>
        <v>,CASE WHEN (`0090_cntry_cntrprty` REGEXP '^[A-Z]{2}$' OR `0090_cntry_cntrprty` REGEXP '^[A-Z]{2}-[A-Z0-9]{1,3}$') AND `0090_cntry_cntrprty` IS NOT MISSING AND `0080_cntrprty_typ` NOT IN ('XX', '99') THEN 0 ELSE 1 END AS v_2_0060</v>
      </c>
      <c r="Z58" s="50" t="str">
        <f t="shared" si="11"/>
        <v>SUM(v_2_0060) AS LVL2_H_0090_cntry_cntrprty,</v>
      </c>
    </row>
    <row r="59" spans="1:26" ht="72.75" hidden="1" customHeight="1" x14ac:dyDescent="0.3">
      <c r="A59" s="4" t="s">
        <v>439</v>
      </c>
      <c r="B59" s="2" t="str">
        <f t="shared" ref="B59" si="13">CONCATENATE("v_2_",A59)</f>
        <v>v_2_0061</v>
      </c>
      <c r="C59" s="2" t="s">
        <v>344</v>
      </c>
      <c r="D59" s="2" t="str">
        <f>VLOOKUP(CONCATENATE(C59,"_",E59),'Data types'!A:E,4,FALSE)</f>
        <v>0100</v>
      </c>
      <c r="E59" s="5" t="s">
        <v>248</v>
      </c>
      <c r="F59" s="5" t="str">
        <f>VLOOKUP(CONCATENATE(C59,"_",E59),'Data types'!A:F,6,FALSE)</f>
        <v>Numeric: 2 decimals</v>
      </c>
      <c r="G59" s="17"/>
      <c r="H59" s="17" t="s">
        <v>350</v>
      </c>
      <c r="I59" s="5" t="s">
        <v>304</v>
      </c>
      <c r="J59" s="5" t="s">
        <v>397</v>
      </c>
      <c r="K59" s="5" t="s">
        <v>338</v>
      </c>
      <c r="L59" s="17" t="str">
        <f t="shared" si="1"/>
        <v>WARNING</v>
      </c>
      <c r="M59" s="17" t="str">
        <f t="shared" si="2"/>
        <v>B90</v>
      </c>
      <c r="N59" s="17" t="str">
        <f>"`"&amp;VLOOKUP(D59,'B90_Maping fields'!B:C,2,FALSE)&amp;"`"</f>
        <v>`0100_rlvnt_amnt_wdc`</v>
      </c>
      <c r="O59" s="47" t="s">
        <v>54</v>
      </c>
      <c r="P59" s="17" t="str">
        <f>"`"&amp;VLOOKUP(O59,'B90_Maping fields'!B:C,2,FALSE)&amp;"`"</f>
        <v>`0030_cntrprty_rsltn_grp`</v>
      </c>
      <c r="Q59" s="47"/>
      <c r="R59" s="17"/>
      <c r="S59" s="47"/>
      <c r="T59" s="17"/>
      <c r="U59" s="47"/>
      <c r="V59" s="17"/>
      <c r="W59" s="47"/>
      <c r="X59" s="17"/>
      <c r="Y59" s="5" t="str">
        <f>+",CASE WHEN "&amp;N59&amp;" = 0 AND "&amp;P59&amp;" != 'No' THEN 0 ELSE 1 END AS "&amp;B59</f>
        <v>,CASE WHEN `0100_rlvnt_amnt_wdc` = 0 AND `0030_cntrprty_rsltn_grp` != 'No' THEN 0 ELSE 1 END AS v_2_0061</v>
      </c>
      <c r="Z59" s="50" t="str">
        <f>+"SUM("&amp;B59&amp;") AS LVL2_W_"&amp;MID(N59,2,LEN(N59)-2)&amp;","</f>
        <v>SUM(v_2_0061) AS LVL2_W_0100_rlvnt_amnt_wdc,</v>
      </c>
    </row>
    <row r="62" spans="1:26" x14ac:dyDescent="0.3">
      <c r="B62" s="2"/>
    </row>
    <row r="63" spans="1:26" x14ac:dyDescent="0.3">
      <c r="B63" s="2"/>
    </row>
    <row r="64" spans="1:26" x14ac:dyDescent="0.3">
      <c r="B64" s="2"/>
    </row>
  </sheetData>
  <autoFilter ref="A2:Z59" xr:uid="{00000000-0001-0000-0200-000000000000}">
    <filterColumn colId="3">
      <filters>
        <filter val="0130"/>
      </filters>
    </filterColumn>
  </autoFilter>
  <phoneticPr fontId="7" type="noConversion"/>
  <pageMargins left="0.7" right="0.7" top="0.75" bottom="0.75" header="0.3" footer="0.3"/>
  <pageSetup paperSize="8" scale="3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155"/>
  <sheetViews>
    <sheetView showGridLines="0" tabSelected="1" topLeftCell="F1" zoomScale="90" zoomScaleNormal="90" workbookViewId="0">
      <pane ySplit="18" topLeftCell="A19" activePane="bottomLeft" state="frozen"/>
      <selection pane="bottomLeft" activeCell="G19" sqref="G19"/>
    </sheetView>
  </sheetViews>
  <sheetFormatPr defaultColWidth="9.109375" defaultRowHeight="14.4" x14ac:dyDescent="0.3"/>
  <cols>
    <col min="1" max="1" width="35.109375" style="7" customWidth="1"/>
    <col min="3" max="3" width="13.5546875" customWidth="1"/>
    <col min="5" max="5" width="60" customWidth="1"/>
    <col min="6" max="6" width="33.33203125" bestFit="1" customWidth="1"/>
    <col min="7" max="7" width="13" bestFit="1" customWidth="1"/>
    <col min="8" max="8" width="38.77734375" bestFit="1" customWidth="1"/>
    <col min="9" max="9" width="24.88671875" customWidth="1"/>
    <col min="10" max="12" width="22.6640625" customWidth="1"/>
    <col min="13" max="14" width="30.77734375" customWidth="1"/>
  </cols>
  <sheetData>
    <row r="1" spans="1:14" s="10" customFormat="1" ht="72.45" customHeight="1" x14ac:dyDescent="0.3">
      <c r="A1" s="11" t="s">
        <v>139</v>
      </c>
      <c r="B1" s="12" t="s">
        <v>1</v>
      </c>
      <c r="C1" s="12" t="s">
        <v>140</v>
      </c>
      <c r="D1" s="12" t="s">
        <v>141</v>
      </c>
      <c r="E1" s="12" t="s">
        <v>142</v>
      </c>
      <c r="F1" s="12" t="s">
        <v>318</v>
      </c>
      <c r="G1" s="13" t="s">
        <v>240</v>
      </c>
      <c r="H1" s="13" t="s">
        <v>319</v>
      </c>
      <c r="I1" s="14" t="s">
        <v>325</v>
      </c>
      <c r="J1" s="14" t="s">
        <v>326</v>
      </c>
      <c r="K1" s="52" t="s">
        <v>693</v>
      </c>
      <c r="L1" s="52" t="s">
        <v>694</v>
      </c>
      <c r="M1" s="53" t="s">
        <v>695</v>
      </c>
      <c r="N1" s="42" t="s">
        <v>697</v>
      </c>
    </row>
    <row r="2" spans="1:14" hidden="1" x14ac:dyDescent="0.3">
      <c r="A2" s="39" t="str">
        <f>CONCATENATE(B2,"_",E2)</f>
        <v>B99.00_Name of Legal Entity</v>
      </c>
      <c r="B2" s="40" t="s">
        <v>422</v>
      </c>
      <c r="C2" s="40" t="str">
        <f>CONCATENATE(B2,";c",D2)</f>
        <v>B99.00;c0010</v>
      </c>
      <c r="D2" s="40" t="s">
        <v>20</v>
      </c>
      <c r="E2" s="40" t="s">
        <v>411</v>
      </c>
      <c r="F2" s="40" t="str">
        <f>CONCATENATE(G2,": ",H2)</f>
        <v>String: Free text</v>
      </c>
      <c r="G2" s="40" t="s">
        <v>242</v>
      </c>
      <c r="H2" s="40" t="s">
        <v>257</v>
      </c>
      <c r="I2" s="15"/>
      <c r="J2" s="15"/>
    </row>
    <row r="3" spans="1:14" hidden="1" x14ac:dyDescent="0.3">
      <c r="A3" s="39" t="str">
        <f t="shared" ref="A3:A12" si="0">CONCATENATE(B3,"_",E3)</f>
        <v>B99.00_LEI of Legal Entity</v>
      </c>
      <c r="B3" s="40" t="s">
        <v>422</v>
      </c>
      <c r="C3" s="40" t="str">
        <f t="shared" ref="C3:C12" si="1">CONCATENATE(B3,";c",D3)</f>
        <v>B99.00;c0020</v>
      </c>
      <c r="D3" s="40" t="s">
        <v>38</v>
      </c>
      <c r="E3" s="40" t="s">
        <v>412</v>
      </c>
      <c r="F3" s="40" t="str">
        <f t="shared" ref="F3:F12" si="2">CONCATENATE(G3,": ",H3)</f>
        <v>String: Free text</v>
      </c>
      <c r="G3" s="40" t="s">
        <v>242</v>
      </c>
      <c r="H3" s="40" t="s">
        <v>257</v>
      </c>
      <c r="I3" s="15"/>
      <c r="J3" s="15"/>
    </row>
    <row r="4" spans="1:14" hidden="1" x14ac:dyDescent="0.3">
      <c r="A4" s="39" t="str">
        <f t="shared" si="0"/>
        <v>B99.00_Country of incorporation</v>
      </c>
      <c r="B4" s="40" t="s">
        <v>422</v>
      </c>
      <c r="C4" s="40" t="str">
        <f t="shared" si="1"/>
        <v>B99.00;c0030</v>
      </c>
      <c r="D4" s="40" t="s">
        <v>54</v>
      </c>
      <c r="E4" s="40" t="s">
        <v>413</v>
      </c>
      <c r="F4" s="40" t="str">
        <f t="shared" si="2"/>
        <v xml:space="preserve">String: ISO 3166-1 </v>
      </c>
      <c r="G4" s="40" t="s">
        <v>242</v>
      </c>
      <c r="H4" s="40" t="s">
        <v>265</v>
      </c>
      <c r="I4" s="15"/>
      <c r="J4" s="15"/>
    </row>
    <row r="5" spans="1:14" hidden="1" x14ac:dyDescent="0.3">
      <c r="A5" s="39" t="str">
        <f t="shared" si="0"/>
        <v>B99.00_Name of the ultimate parent entity</v>
      </c>
      <c r="B5" s="40" t="s">
        <v>422</v>
      </c>
      <c r="C5" s="40" t="str">
        <f t="shared" si="1"/>
        <v>B99.00;c0040</v>
      </c>
      <c r="D5" s="40" t="s">
        <v>68</v>
      </c>
      <c r="E5" s="40" t="s">
        <v>414</v>
      </c>
      <c r="F5" s="40" t="str">
        <f t="shared" si="2"/>
        <v>String: Free text</v>
      </c>
      <c r="G5" s="40" t="s">
        <v>242</v>
      </c>
      <c r="H5" s="40" t="s">
        <v>257</v>
      </c>
      <c r="I5" s="15"/>
      <c r="J5" s="15"/>
    </row>
    <row r="6" spans="1:14" hidden="1" x14ac:dyDescent="0.3">
      <c r="A6" s="39" t="str">
        <f t="shared" si="0"/>
        <v>B99.00_LEI of the ultimate parent entity</v>
      </c>
      <c r="B6" s="40" t="s">
        <v>422</v>
      </c>
      <c r="C6" s="40" t="str">
        <f t="shared" si="1"/>
        <v>B99.00;c0041</v>
      </c>
      <c r="D6" s="40" t="s">
        <v>70</v>
      </c>
      <c r="E6" s="40" t="s">
        <v>415</v>
      </c>
      <c r="F6" s="40" t="str">
        <f t="shared" si="2"/>
        <v>String: Free text</v>
      </c>
      <c r="G6" s="40" t="s">
        <v>242</v>
      </c>
      <c r="H6" s="40" t="s">
        <v>257</v>
      </c>
      <c r="I6" s="15"/>
      <c r="J6" s="15"/>
    </row>
    <row r="7" spans="1:14" hidden="1" x14ac:dyDescent="0.3">
      <c r="A7" s="39" t="str">
        <f t="shared" si="0"/>
        <v>B99.00_Name of the Resolution Entity</v>
      </c>
      <c r="B7" s="40" t="s">
        <v>422</v>
      </c>
      <c r="C7" s="40" t="str">
        <f t="shared" si="1"/>
        <v>B99.00;c0050</v>
      </c>
      <c r="D7" s="40" t="s">
        <v>85</v>
      </c>
      <c r="E7" s="40" t="s">
        <v>416</v>
      </c>
      <c r="F7" s="40" t="str">
        <f t="shared" si="2"/>
        <v>String: Free text</v>
      </c>
      <c r="G7" s="40" t="s">
        <v>242</v>
      </c>
      <c r="H7" s="40" t="s">
        <v>257</v>
      </c>
      <c r="I7" s="15"/>
      <c r="J7" s="15"/>
    </row>
    <row r="8" spans="1:14" hidden="1" x14ac:dyDescent="0.3">
      <c r="A8" s="39" t="str">
        <f t="shared" si="0"/>
        <v>B99.00_LEI of the Resolution Entity</v>
      </c>
      <c r="B8" s="40" t="s">
        <v>422</v>
      </c>
      <c r="C8" s="40" t="str">
        <f t="shared" si="1"/>
        <v>B99.00;c0051</v>
      </c>
      <c r="D8" s="40" t="s">
        <v>86</v>
      </c>
      <c r="E8" s="40" t="s">
        <v>417</v>
      </c>
      <c r="F8" s="40" t="str">
        <f t="shared" si="2"/>
        <v>String: Free text</v>
      </c>
      <c r="G8" s="40" t="s">
        <v>242</v>
      </c>
      <c r="H8" s="40" t="s">
        <v>257</v>
      </c>
      <c r="I8" s="15"/>
      <c r="J8" s="15"/>
    </row>
    <row r="9" spans="1:14" hidden="1" x14ac:dyDescent="0.3">
      <c r="A9" s="39" t="str">
        <f t="shared" si="0"/>
        <v>B99.00_Reporting entity type</v>
      </c>
      <c r="B9" s="40" t="s">
        <v>422</v>
      </c>
      <c r="C9" s="40" t="str">
        <f t="shared" si="1"/>
        <v>B99.00;c0060</v>
      </c>
      <c r="D9" s="40" t="s">
        <v>117</v>
      </c>
      <c r="E9" s="40" t="s">
        <v>418</v>
      </c>
      <c r="F9" s="40" t="str">
        <f t="shared" si="2"/>
        <v>String: Drop-down</v>
      </c>
      <c r="G9" s="40" t="s">
        <v>242</v>
      </c>
      <c r="H9" s="40" t="s">
        <v>258</v>
      </c>
      <c r="I9" s="15"/>
      <c r="J9" s="15"/>
    </row>
    <row r="10" spans="1:14" hidden="1" x14ac:dyDescent="0.3">
      <c r="A10" s="39" t="str">
        <f t="shared" si="0"/>
        <v>B99.00_Reference date</v>
      </c>
      <c r="B10" s="40" t="s">
        <v>422</v>
      </c>
      <c r="C10" s="40" t="str">
        <f t="shared" si="1"/>
        <v>B99.00;c0070</v>
      </c>
      <c r="D10" s="40" t="s">
        <v>123</v>
      </c>
      <c r="E10" s="40" t="s">
        <v>419</v>
      </c>
      <c r="F10" s="40" t="str">
        <f t="shared" si="2"/>
        <v>Date: yyyy-mm-dd hh:mm:ss</v>
      </c>
      <c r="G10" s="40" t="s">
        <v>243</v>
      </c>
      <c r="H10" s="40" t="s">
        <v>423</v>
      </c>
      <c r="I10" s="15"/>
      <c r="J10" s="15"/>
    </row>
    <row r="11" spans="1:14" hidden="1" x14ac:dyDescent="0.3">
      <c r="A11" s="39" t="str">
        <f t="shared" si="0"/>
        <v>B99.00_Reported currency</v>
      </c>
      <c r="B11" s="40" t="s">
        <v>422</v>
      </c>
      <c r="C11" s="40" t="str">
        <f t="shared" si="1"/>
        <v>B99.00;c0080</v>
      </c>
      <c r="D11" s="40" t="s">
        <v>126</v>
      </c>
      <c r="E11" s="40" t="s">
        <v>420</v>
      </c>
      <c r="F11" s="40" t="str">
        <f t="shared" si="2"/>
        <v>String: 3-letters ISO 4217</v>
      </c>
      <c r="G11" s="40" t="s">
        <v>242</v>
      </c>
      <c r="H11" s="40" t="s">
        <v>260</v>
      </c>
      <c r="I11" s="15"/>
      <c r="J11" s="15"/>
    </row>
    <row r="12" spans="1:14" hidden="1" x14ac:dyDescent="0.3">
      <c r="A12" s="39" t="str">
        <f t="shared" si="0"/>
        <v>B99.00_EUR exchange rate</v>
      </c>
      <c r="B12" s="40" t="s">
        <v>422</v>
      </c>
      <c r="C12" s="40" t="str">
        <f t="shared" si="1"/>
        <v>B99.00;c0090</v>
      </c>
      <c r="D12" s="40" t="s">
        <v>128</v>
      </c>
      <c r="E12" s="40" t="s">
        <v>421</v>
      </c>
      <c r="F12" s="40" t="str">
        <f t="shared" si="2"/>
        <v>Numeric: 4 decimals</v>
      </c>
      <c r="G12" s="40" t="s">
        <v>241</v>
      </c>
      <c r="H12" s="40" t="s">
        <v>264</v>
      </c>
      <c r="I12" s="15"/>
      <c r="J12" s="15"/>
    </row>
    <row r="13" spans="1:14" hidden="1" x14ac:dyDescent="0.3">
      <c r="A13" s="39" t="str">
        <f>CONCATENATE(B13,"_",E13)</f>
        <v>B01.00_Row number</v>
      </c>
      <c r="B13" s="40" t="s">
        <v>408</v>
      </c>
      <c r="C13" s="40" t="str">
        <f>CONCATENATE(B13,";c",D13)</f>
        <v>B01.00;c0010</v>
      </c>
      <c r="D13" s="40" t="s">
        <v>20</v>
      </c>
      <c r="E13" s="40" t="s">
        <v>6</v>
      </c>
      <c r="F13" s="40" t="str">
        <f>CONCATENATE(G13,": ",H13)</f>
        <v>Numeric: Integer</v>
      </c>
      <c r="G13" s="40" t="s">
        <v>241</v>
      </c>
      <c r="H13" s="40" t="s">
        <v>256</v>
      </c>
      <c r="I13" s="15"/>
      <c r="J13" s="15"/>
    </row>
    <row r="14" spans="1:14" hidden="1" x14ac:dyDescent="0.3">
      <c r="A14" s="39" t="str">
        <f t="shared" ref="A14:A18" si="3">CONCATENATE(B14,"_",E14)</f>
        <v xml:space="preserve">B01.00_Insolvency ranking </v>
      </c>
      <c r="B14" s="40" t="s">
        <v>408</v>
      </c>
      <c r="C14" s="40" t="str">
        <f t="shared" ref="C14:C18" si="4">CONCATENATE(B14,";c",D14)</f>
        <v>B01.00;c0020</v>
      </c>
      <c r="D14" s="40" t="s">
        <v>38</v>
      </c>
      <c r="E14" s="40" t="s">
        <v>28</v>
      </c>
      <c r="F14" s="40" t="str">
        <f t="shared" ref="F14:F17" si="5">CONCATENATE(G14,": ",H14)</f>
        <v>String: Free text</v>
      </c>
      <c r="G14" s="40" t="s">
        <v>242</v>
      </c>
      <c r="H14" s="40" t="s">
        <v>257</v>
      </c>
      <c r="I14" s="15"/>
      <c r="J14" s="15"/>
    </row>
    <row r="15" spans="1:14" hidden="1" x14ac:dyDescent="0.3">
      <c r="A15" s="39" t="str">
        <f t="shared" si="3"/>
        <v>B01.00_Category</v>
      </c>
      <c r="B15" s="40" t="s">
        <v>408</v>
      </c>
      <c r="C15" s="40" t="str">
        <f t="shared" si="4"/>
        <v>B01.00;c0030</v>
      </c>
      <c r="D15" s="40" t="s">
        <v>54</v>
      </c>
      <c r="E15" s="40" t="s">
        <v>409</v>
      </c>
      <c r="F15" s="40" t="str">
        <f t="shared" si="5"/>
        <v>String: Drop-down</v>
      </c>
      <c r="G15" s="40" t="s">
        <v>242</v>
      </c>
      <c r="H15" s="40" t="s">
        <v>258</v>
      </c>
      <c r="I15" s="15"/>
      <c r="J15" s="15"/>
    </row>
    <row r="16" spans="1:14" hidden="1" x14ac:dyDescent="0.3">
      <c r="A16" s="39" t="str">
        <f t="shared" si="3"/>
        <v>B01.00_Counterparty type</v>
      </c>
      <c r="B16" s="40" t="s">
        <v>408</v>
      </c>
      <c r="C16" s="40" t="str">
        <f t="shared" si="4"/>
        <v>B01.00;c0040</v>
      </c>
      <c r="D16" s="41" t="s">
        <v>68</v>
      </c>
      <c r="E16" s="40" t="s">
        <v>281</v>
      </c>
      <c r="F16" s="40" t="str">
        <f t="shared" si="5"/>
        <v>String: Drop-down</v>
      </c>
      <c r="G16" s="40" t="s">
        <v>242</v>
      </c>
      <c r="H16" s="40" t="s">
        <v>258</v>
      </c>
      <c r="I16" s="15"/>
      <c r="J16" s="15"/>
    </row>
    <row r="17" spans="1:14" hidden="1" x14ac:dyDescent="0.3">
      <c r="A17" s="39" t="str">
        <f t="shared" si="3"/>
        <v>B01.00_Relevant amount for Bail-in/WDC</v>
      </c>
      <c r="B17" s="40" t="s">
        <v>408</v>
      </c>
      <c r="C17" s="40" t="str">
        <f t="shared" si="4"/>
        <v>B01.00;c0050</v>
      </c>
      <c r="D17" s="40" t="s">
        <v>85</v>
      </c>
      <c r="E17" s="40" t="s">
        <v>248</v>
      </c>
      <c r="F17" s="40" t="str">
        <f t="shared" si="5"/>
        <v>Numeric: 2 decimals</v>
      </c>
      <c r="G17" s="40" t="s">
        <v>241</v>
      </c>
      <c r="H17" s="40" t="s">
        <v>259</v>
      </c>
      <c r="I17" t="s">
        <v>323</v>
      </c>
      <c r="J17" s="15"/>
    </row>
    <row r="18" spans="1:14" hidden="1" x14ac:dyDescent="0.3">
      <c r="A18" s="39" t="str">
        <f t="shared" si="3"/>
        <v xml:space="preserve">B01.00_Amount excluded from Bail-in/WDC </v>
      </c>
      <c r="B18" s="40" t="s">
        <v>408</v>
      </c>
      <c r="C18" s="40" t="str">
        <f t="shared" si="4"/>
        <v>B01.00;c0060</v>
      </c>
      <c r="D18" s="40" t="s">
        <v>117</v>
      </c>
      <c r="E18" s="40" t="s">
        <v>410</v>
      </c>
      <c r="F18" s="40" t="str">
        <f t="shared" ref="F18" si="6">CONCATENATE(G18,": ",H18)</f>
        <v>Numeric: 2 decimals</v>
      </c>
      <c r="G18" s="40" t="s">
        <v>241</v>
      </c>
      <c r="H18" s="40" t="s">
        <v>259</v>
      </c>
      <c r="I18" s="15"/>
      <c r="J18" s="15"/>
    </row>
    <row r="19" spans="1:14" ht="14.4" customHeight="1" x14ac:dyDescent="0.3">
      <c r="A19" s="7" t="str">
        <f>CONCATENATE(B19,"_",E19)</f>
        <v>B02.00_Row number</v>
      </c>
      <c r="B19" t="s">
        <v>66</v>
      </c>
      <c r="C19" t="str">
        <f>CONCATENATE(B19,";c",D19)</f>
        <v>B02.00;c0010</v>
      </c>
      <c r="D19" t="s">
        <v>20</v>
      </c>
      <c r="E19" t="s">
        <v>6</v>
      </c>
      <c r="F19" t="str">
        <f>CONCATENATE(G19,": ",H19)</f>
        <v>Numeric: Integer</v>
      </c>
      <c r="G19" t="s">
        <v>241</v>
      </c>
      <c r="H19" t="s">
        <v>256</v>
      </c>
      <c r="I19" s="15"/>
      <c r="J19" s="15"/>
      <c r="K19" s="50" t="str">
        <f t="shared" ref="K19:K62" si="7">+"FRMT_"&amp;L19</f>
        <v>FRMT_0010_row_nmbr</v>
      </c>
      <c r="L19" s="50" t="str">
        <f>+VLOOKUP(D19,'B02_Mapping fields'!B:C,2,FALSE)</f>
        <v>0010_row_nmbr</v>
      </c>
      <c r="M19" s="50" t="str">
        <f>+",CASE WHEN cast(`"&amp;L19&amp;"` as string) RLIKE '^[0-9]+$' AND CAST(`"&amp;L19&amp;_xlfn._LONGTEXT("`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")&amp;K19</f>
        <v>,CASE WHEN cast(`0010_row_nmbr` as string) RLIKE '^[0-9]+$' AND CAST(`0010_row_nmbr`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FRMT_0010_row_nmbr</v>
      </c>
      <c r="N19" t="str">
        <f>+"SUM("&amp;K19&amp;") AS `"&amp;K19&amp;"`,"</f>
        <v>SUM(FRMT_0010_row_nmbr) AS `FRMT_0010_row_nmbr`,</v>
      </c>
    </row>
    <row r="20" spans="1:14" ht="14.4" customHeight="1" x14ac:dyDescent="0.3">
      <c r="A20" s="7" t="str">
        <f t="shared" ref="A20:A84" si="8">CONCATENATE(B20,"_",E20)</f>
        <v>B02.00_Unique internal identification number</v>
      </c>
      <c r="B20" t="s">
        <v>66</v>
      </c>
      <c r="C20" t="str">
        <f>CONCATENATE(B20,";c",D20)</f>
        <v>B02.00;c0020</v>
      </c>
      <c r="D20" t="s">
        <v>38</v>
      </c>
      <c r="E20" t="s">
        <v>143</v>
      </c>
      <c r="F20" t="str">
        <f t="shared" ref="F20:F82" si="9">CONCATENATE(G20,": ",H20)</f>
        <v>String: Free text</v>
      </c>
      <c r="G20" t="s">
        <v>242</v>
      </c>
      <c r="H20" t="s">
        <v>257</v>
      </c>
      <c r="I20" s="15"/>
      <c r="J20" s="15"/>
      <c r="K20" s="50" t="str">
        <f t="shared" si="7"/>
        <v>FRMT_0020_uniq_id</v>
      </c>
      <c r="L20" s="50" t="str">
        <f>+VLOOKUP(D20,'B02_Mapping fields'!B:C,2,FALSE)</f>
        <v>0020_uniq_id</v>
      </c>
      <c r="M20" s="50" t="str">
        <f>+",CASE WHEN `"&amp;L20&amp;"` RLIKE '[A-Za-z]' and `"&amp;L20&amp;_xlfn._LONGTEXT("`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")&amp;K20</f>
        <v>,CASE WHEN `0020_uniq_id` RLIKE '[A-Za-z]' and `0020_uniq_id` NOT IN ('N/A','11111111111','11111111111.00','11111111111.000000','1111-11-11','0000-00-00','0001-01-01','9999-12-31','MISS','00000','99999999999','999999999999999','99999999999.00','99999999999.000000','-9999.9999','','Not applicable','XXX') THEN 0 ELSE 1 END AS FRMT_0020_uniq_id</v>
      </c>
      <c r="N20" t="str">
        <f t="shared" ref="N20:N83" si="10">+"SUM("&amp;K20&amp;") AS `"&amp;K20&amp;"`,"</f>
        <v>SUM(FRMT_0020_uniq_id) AS `FRMT_0020_uniq_id`,</v>
      </c>
    </row>
    <row r="21" spans="1:14" ht="14.4" customHeight="1" x14ac:dyDescent="0.3">
      <c r="A21" s="7" t="str">
        <f t="shared" si="8"/>
        <v>B02.00_Unique identification number (known to the counterparty)</v>
      </c>
      <c r="B21" t="s">
        <v>66</v>
      </c>
      <c r="C21" t="str">
        <f t="shared" ref="C21:C84" si="11">CONCATENATE(B21,";c",D21)</f>
        <v>B02.00;c0030</v>
      </c>
      <c r="D21" t="s">
        <v>54</v>
      </c>
      <c r="E21" t="s">
        <v>9</v>
      </c>
      <c r="F21" t="str">
        <f t="shared" si="9"/>
        <v>String: Free text</v>
      </c>
      <c r="G21" t="s">
        <v>242</v>
      </c>
      <c r="H21" t="s">
        <v>257</v>
      </c>
      <c r="I21" s="15"/>
      <c r="J21" s="15"/>
      <c r="K21" s="50" t="str">
        <f t="shared" si="7"/>
        <v>FRMT_0030_uniq_id_knwn_cntrprty</v>
      </c>
      <c r="L21" s="50" t="str">
        <f>+VLOOKUP(D21,'B02_Mapping fields'!B:C,2,FALSE)</f>
        <v>0030_uniq_id_knwn_cntrprty</v>
      </c>
      <c r="M21" s="50" t="str">
        <f>+",CASE WHEN `"&amp;L21&amp;"` RLIKE '[A-Za-z]' and `"&amp;L21&amp;_xlfn._LONGTEXT("`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")&amp;K21</f>
        <v>,CASE WHEN `0030_uniq_id_knwn_cntrprty` RLIKE '[A-Za-z]' and `0030_uniq_id_knwn_cntrprty` NOT IN ('N/A','11111111111','11111111111.00','11111111111.000000','1111-11-11','0000-00-00','0001-01-01','9999-12-31','MISS','00000','99999999999','999999999999999','99999999999.00','99999999999.000000','-9999.9999','','Not applicable','XXX') THEN 0 ELSE 1 END AS FRMT_0030_uniq_id_knwn_cntrprty</v>
      </c>
      <c r="N21" t="str">
        <f t="shared" si="10"/>
        <v>SUM(FRMT_0030_uniq_id_knwn_cntrprty) AS `FRMT_0030_uniq_id_knwn_cntrprty`,</v>
      </c>
    </row>
    <row r="22" spans="1:14" ht="14.4" customHeight="1" x14ac:dyDescent="0.3">
      <c r="A22" s="7" t="str">
        <f t="shared" si="8"/>
        <v>B02.00_Type of the unique identifier (known to the counterparty)</v>
      </c>
      <c r="B22" t="s">
        <v>66</v>
      </c>
      <c r="C22" t="str">
        <f t="shared" si="11"/>
        <v>B02.00;c0040</v>
      </c>
      <c r="D22" s="9" t="s">
        <v>68</v>
      </c>
      <c r="E22" t="s">
        <v>327</v>
      </c>
      <c r="F22" t="str">
        <f t="shared" si="9"/>
        <v>String: Free text, but fixed values for specific items</v>
      </c>
      <c r="G22" t="s">
        <v>242</v>
      </c>
      <c r="H22" t="s">
        <v>286</v>
      </c>
      <c r="I22" s="15"/>
      <c r="J22" s="15"/>
      <c r="K22" s="50" t="str">
        <f t="shared" si="7"/>
        <v>FRMT_0040_typ_uniq_id_knwn_cntrprty</v>
      </c>
      <c r="L22" s="50" t="str">
        <f>+VLOOKUP(D22,'B02_Mapping fields'!B:C,2,FALSE)</f>
        <v>0040_typ_uniq_id_knwn_cntrprty</v>
      </c>
      <c r="M22" s="50" t="str">
        <f>+",CASE WHEN `"&amp;L22&amp;"` RLIKE '[A-Za-z]' AND `"&amp;L22&amp;_xlfn._LONGTEXT("`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")&amp;K22</f>
        <v>,CASE WHEN `0040_typ_uniq_id_knwn_cntrprty` RLIKE '[A-Za-z]' AND `0040_typ_uniq_id_knwn_cntrprty` NOT IN ('N/A','11111111111','11111111111.00','11111111111.000000','1111-11-11','0000-00-00','0001-01-01','9999-12-31','MISS','00000','99999999999','999999999999999','99999999999.00','99999999999.000000','-9999.9999','','Not applicable','XXX') THEN 0 ELSE 1 END AS FRMT_0040_typ_uniq_id_knwn_cntrprty</v>
      </c>
      <c r="N22" t="str">
        <f t="shared" si="10"/>
        <v>SUM(FRMT_0040_typ_uniq_id_knwn_cntrprty) AS `FRMT_0040_typ_uniq_id_knwn_cntrprty`,</v>
      </c>
    </row>
    <row r="23" spans="1:14" ht="14.4" customHeight="1" x14ac:dyDescent="0.3">
      <c r="A23" s="7" t="str">
        <f t="shared" si="8"/>
        <v>B02.00_Original amount issued in EUR</v>
      </c>
      <c r="B23" t="s">
        <v>66</v>
      </c>
      <c r="C23" t="str">
        <f t="shared" si="11"/>
        <v>B02.00;c0050</v>
      </c>
      <c r="D23" t="s">
        <v>85</v>
      </c>
      <c r="E23" t="s">
        <v>94</v>
      </c>
      <c r="F23" t="str">
        <f t="shared" si="9"/>
        <v>Numeric: 2 decimals</v>
      </c>
      <c r="G23" t="s">
        <v>241</v>
      </c>
      <c r="H23" t="s">
        <v>259</v>
      </c>
      <c r="I23" t="s">
        <v>322</v>
      </c>
      <c r="J23" s="15"/>
      <c r="K23" s="50" t="str">
        <f t="shared" si="7"/>
        <v>FRMT_0050_orgnl_amnt_eur</v>
      </c>
      <c r="L23" s="50" t="str">
        <f>+VLOOKUP(D23,'B02_Mapping fields'!B:C,2,FALSE)</f>
        <v>0050_orgnl_amnt_eur</v>
      </c>
      <c r="M23" s="50" t="str">
        <f>+",CASE WHEN (CAST(ROUND(`"&amp;L23&amp;"`, 2) AS STRING) = CAST(`"&amp;L23&amp;"` AS STRING) AND CAST(`"&amp;L23&amp;"` AS STRING) NOT IN ('N/A','11111111111','11111111111.00','11111111111.000000','1111-11-11','0000-00-00','0001-01-01','9999-12-31','MISS','00000','99999999999','99999999999.00','99999999999.000000','-9999.9999','','Not applicable','XXX')) OR `"&amp;L23&amp;"`= 999999999999999.00 THEN 0 ELSE 1 END AS "&amp;K23</f>
        <v>,CASE WHEN (CAST(ROUND(`0050_orgnl_amnt_eur`, 2) AS STRING) = CAST(`0050_orgnl_amnt_eur` AS STRING) AND CAST(`0050_orgnl_amnt_eur` AS STRING) NOT IN ('N/A','11111111111','11111111111.00','11111111111.000000','1111-11-11','0000-00-00','0001-01-01','9999-12-31','MISS','00000','99999999999','99999999999.00','99999999999.000000','-9999.9999','','Not applicable','XXX')) OR `0050_orgnl_amnt_eur`= 999999999999999.00 THEN 0 ELSE 1 END AS FRMT_0050_orgnl_amnt_eur</v>
      </c>
      <c r="N23" t="str">
        <f t="shared" si="10"/>
        <v>SUM(FRMT_0050_orgnl_amnt_eur) AS `FRMT_0050_orgnl_amnt_eur`,</v>
      </c>
    </row>
    <row r="24" spans="1:14" ht="14.4" customHeight="1" x14ac:dyDescent="0.3">
      <c r="A24" s="7" t="str">
        <f t="shared" si="8"/>
        <v>B02.00_Original amount issued in original currency</v>
      </c>
      <c r="B24" t="s">
        <v>66</v>
      </c>
      <c r="C24" t="str">
        <f t="shared" si="11"/>
        <v>B02.00;c0060</v>
      </c>
      <c r="D24" t="s">
        <v>117</v>
      </c>
      <c r="E24" t="s">
        <v>300</v>
      </c>
      <c r="F24" t="str">
        <f t="shared" si="9"/>
        <v>Numeric: 2 decimals</v>
      </c>
      <c r="G24" t="s">
        <v>241</v>
      </c>
      <c r="H24" t="s">
        <v>259</v>
      </c>
      <c r="I24" t="s">
        <v>322</v>
      </c>
      <c r="J24" s="15"/>
      <c r="K24" s="50" t="str">
        <f t="shared" si="7"/>
        <v>FRMT_0060_orgnl_amnt_fx</v>
      </c>
      <c r="L24" s="50" t="str">
        <f>+VLOOKUP(D24,'B02_Mapping fields'!B:C,2,FALSE)</f>
        <v>0060_orgnl_amnt_fx</v>
      </c>
      <c r="M24" s="50" t="str">
        <f>+",CASE WHEN (CAST(ROUND(`"&amp;L24&amp;"`, 2) AS STRING) = CAST(`"&amp;L24&amp;"` AS STRING) AND CAST(`"&amp;L24&amp;"` AS STRING) NOT IN ('N/A','11111111111','11111111111.00','11111111111.000000','1111-11-11','0000-00-00','0001-01-01','9999-12-31','MISS','00000','99999999999','99999999999.00','99999999999.000000','-9999.9999','','Not applicable','XXX')) OR `"&amp;L24&amp;"`= 999999999999999.00 THEN 0 ELSE 1 END AS "&amp;K24</f>
        <v>,CASE WHEN (CAST(ROUND(`0060_orgnl_amnt_fx`, 2) AS STRING) = CAST(`0060_orgnl_amnt_fx` AS STRING) AND CAST(`0060_orgnl_amnt_fx` AS STRING) NOT IN ('N/A','11111111111','11111111111.00','11111111111.000000','1111-11-11','0000-00-00','0001-01-01','9999-12-31','MISS','00000','99999999999','99999999999.00','99999999999.000000','-9999.9999','','Not applicable','XXX')) OR `0060_orgnl_amnt_fx`= 999999999999999.00 THEN 0 ELSE 1 END AS FRMT_0060_orgnl_amnt_fx</v>
      </c>
      <c r="N24" t="str">
        <f t="shared" si="10"/>
        <v>SUM(FRMT_0060_orgnl_amnt_fx) AS `FRMT_0060_orgnl_amnt_fx`,</v>
      </c>
    </row>
    <row r="25" spans="1:14" ht="14.4" customHeight="1" x14ac:dyDescent="0.3">
      <c r="A25" s="7" t="str">
        <f t="shared" si="8"/>
        <v xml:space="preserve">B02.00_Contract currency </v>
      </c>
      <c r="B25" t="s">
        <v>66</v>
      </c>
      <c r="C25" t="str">
        <f t="shared" si="11"/>
        <v>B02.00;c0070</v>
      </c>
      <c r="D25" t="s">
        <v>123</v>
      </c>
      <c r="E25" t="s">
        <v>267</v>
      </c>
      <c r="F25" t="str">
        <f t="shared" si="9"/>
        <v>String: 3-letters ISO 4217</v>
      </c>
      <c r="G25" t="s">
        <v>242</v>
      </c>
      <c r="H25" t="s">
        <v>260</v>
      </c>
      <c r="I25" t="s">
        <v>245</v>
      </c>
      <c r="J25" s="15"/>
      <c r="K25" s="50" t="str">
        <f t="shared" si="7"/>
        <v>FRMT_0070_cntrct_crrncy</v>
      </c>
      <c r="L25" s="50" t="str">
        <f>+VLOOKUP(D25,'B02_Mapping fields'!B:C,2,FALSE)</f>
        <v>0070_cntrct_crrncy</v>
      </c>
      <c r="M25" s="50" t="str">
        <f>+",CASE WHEN (LENGTH(`"&amp;L25&amp;"`) = 3 AND `"&amp;L25&amp;"` NOT IN ('N/A','11111111111','11111111111.00','11111111111.000000','1111-11-11','0000-00-00','0001-01-01','9999-12-31','MISS','00000','99999999999','99999999999.00','99999999999.000000','-9999.9999','','Not applicable')) OR `"&amp;L25&amp;"`='XXX' THEN 0 ELSE 1 END AS "&amp;K25</f>
        <v>,CASE WHEN (LENGTH(`0070_cntrct_crrncy`) = 3 AND `0070_cntrct_crrncy` NOT IN ('N/A','11111111111','11111111111.00','11111111111.000000','1111-11-11','0000-00-00','0001-01-01','9999-12-31','MISS','00000','99999999999','99999999999.00','99999999999.000000','-9999.9999','','Not applicable')) OR `0070_cntrct_crrncy`='XXX' THEN 0 ELSE 1 END AS FRMT_0070_cntrct_crrncy</v>
      </c>
      <c r="N25" t="str">
        <f t="shared" si="10"/>
        <v>SUM(FRMT_0070_cntrct_crrncy) AS `FRMT_0070_cntrct_crrncy`,</v>
      </c>
    </row>
    <row r="26" spans="1:14" ht="14.4" customHeight="1" x14ac:dyDescent="0.3">
      <c r="A26" s="7" t="str">
        <f t="shared" si="8"/>
        <v>B02.00_Outstanding principal amount</v>
      </c>
      <c r="B26" t="s">
        <v>66</v>
      </c>
      <c r="C26" t="str">
        <f t="shared" si="11"/>
        <v>B02.00;c0080</v>
      </c>
      <c r="D26" t="s">
        <v>126</v>
      </c>
      <c r="E26" t="s">
        <v>268</v>
      </c>
      <c r="F26" t="str">
        <f t="shared" si="9"/>
        <v>Numeric: 2 decimals</v>
      </c>
      <c r="G26" t="s">
        <v>241</v>
      </c>
      <c r="H26" t="s">
        <v>259</v>
      </c>
      <c r="I26" s="15"/>
      <c r="J26" s="15"/>
      <c r="K26" s="50" t="str">
        <f t="shared" si="7"/>
        <v>FRMT_0080_otstndng_prncpl_amnt</v>
      </c>
      <c r="L26" s="50" t="str">
        <f>+VLOOKUP(D26,'B02_Mapping fields'!B:C,2,FALSE)</f>
        <v>0080_otstndng_prncpl_amnt</v>
      </c>
      <c r="M26" s="50" t="str">
        <f>+",CASE WHEN CAST(ROUND(`"&amp;L26&amp;"`, 2) AS STRING) = CAST(`"&amp;L26&amp;"` AS STRING) AND CAST(`"&amp;L26&amp;_xlfn._LONGTEXT("`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")&amp;K26</f>
        <v>,CASE WHEN CAST(ROUND(`0080_otstndng_prncpl_amnt`, 2) AS STRING) = CAST(`0080_otstndng_prncpl_amnt` AS STRING) AND CAST(`0080_otstndng_prncpl_amnt` AS STRING) NOT IN ('N/A','11111111111','11111111111.00','11111111111.000000','1111-11-11','0000-00-00','0001-01-01','9999-12-31','MISS','00000','99999999999','99999999999.00','99999999999.000000','-9999.9999','','Not applicable','XXX') THEN 0 ELSE 1 END AS FRMT_0080_otstndng_prncpl_amnt</v>
      </c>
      <c r="N26" t="str">
        <f t="shared" si="10"/>
        <v>SUM(FRMT_0080_otstndng_prncpl_amnt) AS `FRMT_0080_otstndng_prncpl_amnt`,</v>
      </c>
    </row>
    <row r="27" spans="1:14" ht="14.4" customHeight="1" x14ac:dyDescent="0.3">
      <c r="A27" s="7" t="str">
        <f t="shared" si="8"/>
        <v>B02.00_Portion of instrument or liability held by the reporting entity</v>
      </c>
      <c r="B27" t="s">
        <v>66</v>
      </c>
      <c r="C27" t="str">
        <f t="shared" si="11"/>
        <v>B02.00;c0090</v>
      </c>
      <c r="D27" t="s">
        <v>128</v>
      </c>
      <c r="E27" t="s">
        <v>296</v>
      </c>
      <c r="F27" t="str">
        <f t="shared" si="9"/>
        <v>Numeric: 2 decimals</v>
      </c>
      <c r="G27" t="s">
        <v>241</v>
      </c>
      <c r="H27" t="s">
        <v>259</v>
      </c>
      <c r="I27" t="s">
        <v>322</v>
      </c>
      <c r="J27" s="15"/>
      <c r="K27" s="50" t="str">
        <f t="shared" si="7"/>
        <v>FRMT_0090_prtn_amnt_rprtng_entty</v>
      </c>
      <c r="L27" s="50" t="str">
        <f>+VLOOKUP(D27,'B02_Mapping fields'!B:C,2,FALSE)</f>
        <v>0090_prtn_amnt_rprtng_entty</v>
      </c>
      <c r="M27" s="50" t="str">
        <f>+",CASE WHEN (CAST(ROUND(`"&amp;L27&amp;"`, 2) AS STRING) = CAST(`"&amp;L27&amp;"` AS STRING) AND CAST(`"&amp;L27&amp;"` AS STRING) NOT IN ('N/A','11111111111','11111111111.00','11111111111.000000','1111-11-11','0000-00-00','0001-01-01','9999-12-31','MISS','00000','99999999999','99999999999.00','99999999999.000000','-9999.9999','','Not applicable','XXX')) OR `"&amp;L27&amp;"`= 999999999999999.00 THEN 0 ELSE 1 END AS "&amp;K27</f>
        <v>,CASE WHEN (CAST(ROUND(`0090_prtn_amnt_rprtng_entty`, 2) AS STRING) = CAST(`0090_prtn_amnt_rprtng_entty` AS STRING) AND CAST(`0090_prtn_amnt_rprtng_entty` AS STRING) NOT IN ('N/A','11111111111','11111111111.00','11111111111.000000','1111-11-11','0000-00-00','0001-01-01','9999-12-31','MISS','00000','99999999999','99999999999.00','99999999999.000000','-9999.9999','','Not applicable','XXX')) OR `0090_prtn_amnt_rprtng_entty`= 999999999999999.00 THEN 0 ELSE 1 END AS FRMT_0090_prtn_amnt_rprtng_entty</v>
      </c>
      <c r="N27" t="str">
        <f t="shared" si="10"/>
        <v>SUM(FRMT_0090_prtn_amnt_rprtng_entty) AS `FRMT_0090_prtn_amnt_rprtng_entty`,</v>
      </c>
    </row>
    <row r="28" spans="1:14" ht="14.4" customHeight="1" x14ac:dyDescent="0.3">
      <c r="A28" s="7" t="str">
        <f t="shared" si="8"/>
        <v xml:space="preserve">B02.00_Accrued interest </v>
      </c>
      <c r="B28" t="s">
        <v>66</v>
      </c>
      <c r="C28" t="str">
        <f t="shared" si="11"/>
        <v>B02.00;c0100</v>
      </c>
      <c r="D28" t="s">
        <v>136</v>
      </c>
      <c r="E28" t="s">
        <v>17</v>
      </c>
      <c r="F28" t="str">
        <f t="shared" si="9"/>
        <v>Numeric: 2 decimals</v>
      </c>
      <c r="G28" t="s">
        <v>241</v>
      </c>
      <c r="H28" t="s">
        <v>259</v>
      </c>
      <c r="I28" t="s">
        <v>322</v>
      </c>
      <c r="J28" t="s">
        <v>99</v>
      </c>
      <c r="K28" s="50" t="str">
        <f t="shared" si="7"/>
        <v>FRMT_0100_accrd_intrst_instrmnt</v>
      </c>
      <c r="L28" s="50" t="str">
        <f>+VLOOKUP(D28,'B02_Mapping fields'!B:C,2,FALSE)</f>
        <v>0100_accrd_intrst_instrmnt</v>
      </c>
      <c r="M28" s="50" t="str">
        <f>+",CASE WHEN (CAST(ROUND(`"&amp;L28&amp;"`, 2) AS STRING) = CAST(`"&amp;L28&amp;"` AS STRING) AND CAST(`"&amp;L28&amp;"` AS STRING) NOT IN ('N/A','11111111111','11111111111.00','11111111111.000000','1111-11-11','0000-00-00','0001-01-01','9999-12-31','MISS','00000','99999999999','99999999999.00','99999999999.000000','-9999.9999','Not applicable','XXX')) OR `"&amp;L28&amp;"` = 999999999999999 OR CAST(`"&amp;L28&amp;"` AS STRING) = '' THEN 0 ELSE 1 END AS "&amp;K28</f>
        <v>,CASE WHEN (CAST(ROUND(`0100_accrd_intrst_instrmnt`, 2) AS STRING) = CAST(`0100_accrd_intrst_instrmnt` AS STRING) AND CAST(`0100_accrd_intrst_instrmnt` AS STRING) NOT IN ('N/A','11111111111','11111111111.00','11111111111.000000','1111-11-11','0000-00-00','0001-01-01','9999-12-31','MISS','00000','99999999999','99999999999.00','99999999999.000000','-9999.9999','Not applicable','XXX')) OR `0100_accrd_intrst_instrmnt` = 999999999999999 OR CAST(`0100_accrd_intrst_instrmnt` AS STRING) = '' THEN 0 ELSE 1 END AS FRMT_0100_accrd_intrst_instrmnt</v>
      </c>
      <c r="N28" t="str">
        <f t="shared" si="10"/>
        <v>SUM(FRMT_0100_accrd_intrst_instrmnt) AS `FRMT_0100_accrd_intrst_instrmnt`,</v>
      </c>
    </row>
    <row r="29" spans="1:14" ht="14.4" customHeight="1" x14ac:dyDescent="0.3">
      <c r="A29" s="7" t="str">
        <f t="shared" si="8"/>
        <v>B02.00_Applicable fees and charges</v>
      </c>
      <c r="B29" t="s">
        <v>66</v>
      </c>
      <c r="C29" t="str">
        <f t="shared" si="11"/>
        <v>B02.00;c0110</v>
      </c>
      <c r="D29" t="s">
        <v>144</v>
      </c>
      <c r="E29" t="s">
        <v>19</v>
      </c>
      <c r="F29" t="str">
        <f t="shared" si="9"/>
        <v>Numeric: 2 decimals</v>
      </c>
      <c r="G29" t="s">
        <v>241</v>
      </c>
      <c r="H29" t="s">
        <v>259</v>
      </c>
      <c r="I29" t="s">
        <v>322</v>
      </c>
      <c r="J29" t="s">
        <v>99</v>
      </c>
      <c r="K29" s="50" t="str">
        <f t="shared" si="7"/>
        <v>FRMT_0110_applcbl_fees_charges</v>
      </c>
      <c r="L29" s="50" t="str">
        <f>+VLOOKUP(D29,'B02_Mapping fields'!B:C,2,FALSE)</f>
        <v>0110_applcbl_fees_charges</v>
      </c>
      <c r="M29" s="50" t="str">
        <f>+",CASE WHEN (CAST(ROUND(`"&amp;L29&amp;"`, 2) AS STRING) = CAST(`"&amp;L29&amp;"` AS STRING) AND CAST(`"&amp;L29&amp;"` AS STRING) NOT IN ('N/A','11111111111','11111111111.00','11111111111.000000','1111-11-11','0000-00-00','0001-01-01','9999-12-31','MISS','00000','99999999999','99999999999.00','99999999999.000000','-9999.9999','Not applicable','XXX')) OR `"&amp;L29&amp;"` = 999999999999999 OR CAST(`"&amp;L29&amp;"` AS STRING) = '' THEN 0 ELSE 1 END AS "&amp;K29</f>
        <v>,CASE WHEN (CAST(ROUND(`0110_applcbl_fees_charges`, 2) AS STRING) = CAST(`0110_applcbl_fees_charges` AS STRING) AND CAST(`0110_applcbl_fees_charges` AS STRING) NOT IN ('N/A','11111111111','11111111111.00','11111111111.000000','1111-11-11','0000-00-00','0001-01-01','9999-12-31','MISS','00000','99999999999','99999999999.00','99999999999.000000','-9999.9999','Not applicable','XXX')) OR `0110_applcbl_fees_charges` = 999999999999999 OR CAST(`0110_applcbl_fees_charges` AS STRING) = '' THEN 0 ELSE 1 END AS FRMT_0110_applcbl_fees_charges</v>
      </c>
      <c r="N29" t="str">
        <f t="shared" si="10"/>
        <v>SUM(FRMT_0110_applcbl_fees_charges) AS `FRMT_0110_applcbl_fees_charges`,</v>
      </c>
    </row>
    <row r="30" spans="1:14" ht="14.4" customHeight="1" x14ac:dyDescent="0.3">
      <c r="A30" s="7" t="str">
        <f t="shared" si="8"/>
        <v xml:space="preserve">B02.00_Outstanding amount </v>
      </c>
      <c r="B30" t="s">
        <v>66</v>
      </c>
      <c r="C30" t="str">
        <f t="shared" si="11"/>
        <v>B02.00;c0120</v>
      </c>
      <c r="D30" t="s">
        <v>145</v>
      </c>
      <c r="E30" t="s">
        <v>21</v>
      </c>
      <c r="F30" t="str">
        <f t="shared" si="9"/>
        <v>Numeric: 2 decimals</v>
      </c>
      <c r="G30" t="s">
        <v>241</v>
      </c>
      <c r="H30" t="s">
        <v>259</v>
      </c>
      <c r="I30" t="s">
        <v>322</v>
      </c>
      <c r="J30" s="15"/>
      <c r="K30" s="50" t="str">
        <f t="shared" si="7"/>
        <v>FRMT_0120_otstndng_amnt</v>
      </c>
      <c r="L30" s="50" t="str">
        <f>+VLOOKUP(D30,'B02_Mapping fields'!B:C,2,FALSE)</f>
        <v>0120_otstndng_amnt</v>
      </c>
      <c r="M30" s="50" t="str">
        <f>+",CASE WHEN (CAST(ROUND(`"&amp;L30&amp;"`, 2) AS STRING) = CAST(`"&amp;L30&amp;"` AS STRING) AND CAST(`"&amp;L30&amp;"` AS STRING) NOT IN ('N/A','11111111111','11111111111.00','11111111111.000000','1111-11-11','0000-00-00','0001-01-01','9999-12-31','MISS','00000','99999999999','99999999999.00','99999999999.000000','-9999.9999','','Not applicable','XXX')) OR `"&amp;L30&amp;"`= 999999999999999.00 THEN 0 ELSE 1 END AS "&amp;K30</f>
        <v>,CASE WHEN (CAST(ROUND(`0120_otstndng_amnt`, 2) AS STRING) = CAST(`0120_otstndng_amnt` AS STRING) AND CAST(`0120_otstndng_amnt` AS STRING) NOT IN ('N/A','11111111111','11111111111.00','11111111111.000000','1111-11-11','0000-00-00','0001-01-01','9999-12-31','MISS','00000','99999999999','99999999999.00','99999999999.000000','-9999.9999','','Not applicable','XXX')) OR `0120_otstndng_amnt`= 999999999999999.00 THEN 0 ELSE 1 END AS FRMT_0120_otstndng_amnt</v>
      </c>
      <c r="N30" t="str">
        <f t="shared" si="10"/>
        <v>SUM(FRMT_0120_otstndng_amnt) AS `FRMT_0120_otstndng_amnt`,</v>
      </c>
    </row>
    <row r="31" spans="1:14" ht="14.4" customHeight="1" x14ac:dyDescent="0.3">
      <c r="A31" s="7" t="str">
        <f t="shared" si="8"/>
        <v>B02.00_Relevant amount for Bail-in/WDC</v>
      </c>
      <c r="B31" t="s">
        <v>66</v>
      </c>
      <c r="C31" t="str">
        <f t="shared" si="11"/>
        <v>B02.00;c0130</v>
      </c>
      <c r="D31" t="s">
        <v>146</v>
      </c>
      <c r="E31" t="s">
        <v>248</v>
      </c>
      <c r="F31" t="str">
        <f t="shared" si="9"/>
        <v>Numeric: 2 decimals</v>
      </c>
      <c r="G31" t="s">
        <v>241</v>
      </c>
      <c r="H31" t="s">
        <v>259</v>
      </c>
      <c r="I31" s="15"/>
      <c r="J31" s="15"/>
      <c r="K31" s="50" t="str">
        <f t="shared" si="7"/>
        <v>FRMT_0130_rlvnt_amnt_wdc</v>
      </c>
      <c r="L31" s="50" t="str">
        <f>+VLOOKUP(D31,'B02_Mapping fields'!B:C,2,FALSE)</f>
        <v>0130_rlvnt_amnt_wdc</v>
      </c>
      <c r="M31" s="50" t="str">
        <f>+",CASE WHEN CAST(ROUND(`"&amp;L31&amp;"`, 2) AS STRING) = CAST(`"&amp;L31&amp;"` AS STRING) AND CAST(`"&amp;L31&amp;_xlfn._LONGTEXT("`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")&amp;K31</f>
        <v>,CASE WHEN CAST(ROUND(`0130_rlvnt_amnt_wdc`, 2) AS STRING) = CAST(`0130_rlvnt_amnt_wdc` AS STRING) AND CAST(`0130_rlvnt_amnt_wdc` AS STRING) NOT IN ('N/A','11111111111','11111111111.00','11111111111.000000','1111-11-11','0000-00-00','0001-01-01','9999-12-31','MISS','00000','99999999999','99999999999.00','99999999999.000000','-9999.9999','','Not applicable','XXX') THEN 0 ELSE 1 END AS FRMT_0130_rlvnt_amnt_wdc</v>
      </c>
      <c r="N31" t="str">
        <f t="shared" si="10"/>
        <v>SUM(FRMT_0130_rlvnt_amnt_wdc) AS `FRMT_0130_rlvnt_amnt_wdc`,</v>
      </c>
    </row>
    <row r="32" spans="1:14" ht="14.4" customHeight="1" x14ac:dyDescent="0.3">
      <c r="A32" s="7" t="str">
        <f t="shared" si="8"/>
        <v>B02.00_Nature of the liability</v>
      </c>
      <c r="B32" t="s">
        <v>66</v>
      </c>
      <c r="C32" t="str">
        <f t="shared" si="11"/>
        <v>B02.00;c0140</v>
      </c>
      <c r="D32" t="s">
        <v>147</v>
      </c>
      <c r="E32" t="s">
        <v>24</v>
      </c>
      <c r="F32" t="str">
        <f t="shared" si="9"/>
        <v>String: Drop-down</v>
      </c>
      <c r="G32" s="59" t="s">
        <v>242</v>
      </c>
      <c r="H32" t="s">
        <v>258</v>
      </c>
      <c r="I32" s="15"/>
      <c r="J32" s="15"/>
      <c r="K32" s="50" t="str">
        <f t="shared" si="7"/>
        <v>FRMT_0140_ntr_lblty</v>
      </c>
      <c r="L32" s="50" t="str">
        <f>+VLOOKUP(D32,'B02_Mapping fields'!B:C,2,FALSE)</f>
        <v>0140_ntr_lblty</v>
      </c>
      <c r="M32" t="str">
        <f>+",CASE WHEN `"&amp;L32&amp;"` IN ('Registered Bond', 'Bearer Bond', 'Borrower Note Loan', 'Certificate of Deposit / Commercial paper', 'Title of ownership', 'Cash account/saving account', 'Term deposit', 'Loan', 'Bill of exchange ', 'Other') THEN 0 ELSE 1 END AS "&amp;K32</f>
        <v>,CASE WHEN `0140_ntr_lblty` IN ('Registered Bond', 'Bearer Bond', 'Borrower Note Loan', 'Certificate of Deposit / Commercial paper', 'Title of ownership', 'Cash account/saving account', 'Term deposit', 'Loan', 'Bill of exchange ', 'Other') THEN 0 ELSE 1 END AS FRMT_0140_ntr_lblty</v>
      </c>
      <c r="N32" t="str">
        <f t="shared" si="10"/>
        <v>SUM(FRMT_0140_ntr_lblty) AS `FRMT_0140_ntr_lblty`,</v>
      </c>
    </row>
    <row r="33" spans="1:14" ht="14.4" customHeight="1" x14ac:dyDescent="0.3">
      <c r="A33" s="7" t="str">
        <f t="shared" si="8"/>
        <v>B02.00_Nature of the liability (if other)</v>
      </c>
      <c r="B33" t="s">
        <v>66</v>
      </c>
      <c r="C33" t="str">
        <f t="shared" si="11"/>
        <v>B02.00;c0141</v>
      </c>
      <c r="D33" t="s">
        <v>148</v>
      </c>
      <c r="E33" t="s">
        <v>26</v>
      </c>
      <c r="F33" t="str">
        <f t="shared" si="9"/>
        <v>String: Free text</v>
      </c>
      <c r="G33" s="59" t="s">
        <v>242</v>
      </c>
      <c r="H33" t="s">
        <v>257</v>
      </c>
      <c r="I33" s="15"/>
      <c r="J33" s="15"/>
      <c r="K33" s="50" t="str">
        <f t="shared" si="7"/>
        <v>FRMT_0141_ntr_lblty_othr</v>
      </c>
      <c r="L33" s="50" t="str">
        <f>+VLOOKUP(D33,'B02_Mapping fields'!B:C,2,FALSE)</f>
        <v>0141_ntr_lblty_othr</v>
      </c>
      <c r="M33" s="50" t="str">
        <f>+",CASE WHEN `"&amp;L33&amp;"` RLIKE '[A-Za-z]' AND `"&amp;L33&amp;_xlfn._LONGTEXT("`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")&amp;K33</f>
        <v>,CASE WHEN `0141_ntr_lblty_othr` RLIKE '[A-Za-z]' AND `0141_ntr_lblty_othr` NOT IN ('N/A','11111111111','11111111111.00','11111111111.000000','1111-11-11','0000-00-00','0001-01-01','9999-12-31','MISS','00000','99999999999','999999999999999','99999999999.00','99999999999.000000','-9999.9999','','Not applicable','XXX') THEN 0 ELSE 1 END AS FRMT_0141_ntr_lblty_othr</v>
      </c>
      <c r="N33" t="str">
        <f t="shared" si="10"/>
        <v>SUM(FRMT_0141_ntr_lblty_othr) AS `FRMT_0141_ntr_lblty_othr`,</v>
      </c>
    </row>
    <row r="34" spans="1:14" ht="14.4" customHeight="1" x14ac:dyDescent="0.3">
      <c r="A34" s="7" t="str">
        <f t="shared" si="8"/>
        <v>B02.00_Structurally subordinated</v>
      </c>
      <c r="B34" t="s">
        <v>66</v>
      </c>
      <c r="C34" t="str">
        <f t="shared" si="11"/>
        <v>B02.00;c0150</v>
      </c>
      <c r="D34" t="s">
        <v>149</v>
      </c>
      <c r="E34" t="s">
        <v>102</v>
      </c>
      <c r="F34" t="str">
        <f t="shared" si="9"/>
        <v>String: Drop-down</v>
      </c>
      <c r="G34" t="s">
        <v>242</v>
      </c>
      <c r="H34" t="s">
        <v>258</v>
      </c>
      <c r="I34" s="15"/>
      <c r="J34" s="15"/>
      <c r="K34" s="50" t="str">
        <f t="shared" si="7"/>
        <v>FRMT_0150_flg_strctrlly_sbrdntd</v>
      </c>
      <c r="L34" s="50" t="str">
        <f>+VLOOKUP(D34,'B02_Mapping fields'!B:C,2,FALSE)</f>
        <v>0150_flg_strctrlly_sbrdntd</v>
      </c>
      <c r="M34" t="str">
        <f>+",CASE WHEN `"&amp;L34&amp;"` IN ('TRUE', 'FALSE') THEN 0 ELSE 1 END AS "&amp;K34</f>
        <v>,CASE WHEN `0150_flg_strctrlly_sbrdntd` IN ('TRUE', 'FALSE') THEN 0 ELSE 1 END AS FRMT_0150_flg_strctrlly_sbrdntd</v>
      </c>
      <c r="N34" t="str">
        <f t="shared" si="10"/>
        <v>SUM(FRMT_0150_flg_strctrlly_sbrdntd) AS `FRMT_0150_flg_strctrlly_sbrdntd`,</v>
      </c>
    </row>
    <row r="35" spans="1:14" ht="14.4" customHeight="1" x14ac:dyDescent="0.3">
      <c r="A35" s="7" t="str">
        <f t="shared" si="8"/>
        <v xml:space="preserve">B02.00_Insolvency ranking </v>
      </c>
      <c r="B35" t="s">
        <v>66</v>
      </c>
      <c r="C35" t="str">
        <f t="shared" si="11"/>
        <v>B02.00;c0160</v>
      </c>
      <c r="D35" t="s">
        <v>150</v>
      </c>
      <c r="E35" t="s">
        <v>28</v>
      </c>
      <c r="F35" t="str">
        <f t="shared" si="9"/>
        <v>Numeric: Integer</v>
      </c>
      <c r="G35" t="s">
        <v>241</v>
      </c>
      <c r="H35" t="s">
        <v>256</v>
      </c>
      <c r="I35" s="15"/>
      <c r="J35" s="15"/>
      <c r="K35" s="50" t="str">
        <f t="shared" si="7"/>
        <v>FRMT_0160_rank_insolv</v>
      </c>
      <c r="L35" s="50" t="str">
        <f>+VLOOKUP(D35,'B02_Mapping fields'!B:C,2,FALSE)</f>
        <v>0160_rank_insolv</v>
      </c>
      <c r="M35" s="50" t="str">
        <f>+",CASE WHEN CAST(`"&amp;L35&amp;"` AS STRING) RLIKE '^[0-9]+$' AND CAST(`"&amp;L35&amp;_xlfn._LONGTEXT("`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")&amp;K35</f>
        <v>,CASE WHEN CAST(`0160_rank_insolv` AS STRING) RLIKE '^[0-9]+$' AND CAST(`0160_rank_insolv`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FRMT_0160_rank_insolv</v>
      </c>
      <c r="N35" t="str">
        <f t="shared" si="10"/>
        <v>SUM(FRMT_0160_rank_insolv) AS `FRMT_0160_rank_insolv`,</v>
      </c>
    </row>
    <row r="36" spans="1:14" ht="14.4" customHeight="1" x14ac:dyDescent="0.3">
      <c r="A36" s="7" t="str">
        <f t="shared" ref="A36" si="12">CONCATENATE(B36,"_",E36)</f>
        <v>B02.00_Contractual subordination</v>
      </c>
      <c r="B36" t="s">
        <v>66</v>
      </c>
      <c r="C36" t="str">
        <f t="shared" ref="C36" si="13">CONCATENATE(B36,";c",D36)</f>
        <v>B02.00;c0161</v>
      </c>
      <c r="D36" t="s">
        <v>254</v>
      </c>
      <c r="E36" t="s">
        <v>269</v>
      </c>
      <c r="F36" t="str">
        <f t="shared" si="9"/>
        <v>Numeric: 2 decimals</v>
      </c>
      <c r="G36" t="s">
        <v>241</v>
      </c>
      <c r="H36" t="s">
        <v>259</v>
      </c>
      <c r="I36" t="s">
        <v>322</v>
      </c>
      <c r="J36" s="15"/>
      <c r="K36" s="50" t="str">
        <f t="shared" si="7"/>
        <v>FRMT_0161_cntrctl_sbrdntn</v>
      </c>
      <c r="L36" s="50" t="str">
        <f>+VLOOKUP(D36,'B02_Mapping fields'!B:C,2,FALSE)</f>
        <v>0161_cntrctl_sbrdntn</v>
      </c>
      <c r="M36" s="50" t="str">
        <f>+",CASE WHEN (CAST(ROUND(`"&amp;L36&amp;"`, 2) AS STRING) = CAST(`"&amp;L36&amp;"` AS STRING) AND CAST(`"&amp;L36&amp;"` AS STRING) NOT IN ('N/A','11111111111','11111111111.00','11111111111.000000','1111-11-11','0000-00-00','0001-01-01','9999-12-31','MISS','00000','99999999999','99999999999.00','99999999999.000000','-9999.9999','','Not applicable','XXX')) OR `"&amp;L36&amp;"`= 999999999999999.00 THEN 0 ELSE 1 END AS "&amp;K36</f>
        <v>,CASE WHEN (CAST(ROUND(`0161_cntrctl_sbrdntn`, 2) AS STRING) = CAST(`0161_cntrctl_sbrdntn` AS STRING) AND CAST(`0161_cntrctl_sbrdntn` AS STRING) NOT IN ('N/A','11111111111','11111111111.00','11111111111.000000','1111-11-11','0000-00-00','0001-01-01','9999-12-31','MISS','00000','99999999999','99999999999.00','99999999999.000000','-9999.9999','','Not applicable','XXX')) OR `0161_cntrctl_sbrdntn`= 999999999999999.00 THEN 0 ELSE 1 END AS FRMT_0161_cntrctl_sbrdntn</v>
      </c>
      <c r="N36" t="str">
        <f t="shared" si="10"/>
        <v>SUM(FRMT_0161_cntrctl_sbrdntn) AS `FRMT_0161_cntrctl_sbrdntn`,</v>
      </c>
    </row>
    <row r="37" spans="1:14" ht="14.4" customHeight="1" x14ac:dyDescent="0.3">
      <c r="A37" s="7" t="str">
        <f t="shared" si="8"/>
        <v>B02.00_Bail-in cascade</v>
      </c>
      <c r="B37" t="s">
        <v>66</v>
      </c>
      <c r="C37" t="str">
        <f t="shared" si="11"/>
        <v>B02.00;c0162</v>
      </c>
      <c r="D37" t="s">
        <v>283</v>
      </c>
      <c r="E37" t="s">
        <v>253</v>
      </c>
      <c r="F37" t="str">
        <f t="shared" si="9"/>
        <v>String: Fixed values</v>
      </c>
      <c r="G37" t="s">
        <v>242</v>
      </c>
      <c r="H37" t="s">
        <v>261</v>
      </c>
      <c r="I37" s="15"/>
      <c r="J37" s="15"/>
      <c r="K37" s="50" t="str">
        <f t="shared" si="7"/>
        <v>FRMT_0162_bail_in_cascade</v>
      </c>
      <c r="L37" s="50" t="str">
        <f>+VLOOKUP(D37,'B02_Mapping fields'!B:C,2,FALSE)</f>
        <v>0162_bail_in_cascade</v>
      </c>
      <c r="M37" s="50" t="str">
        <f>+",CASE WHEN `"&amp;L37&amp;"` in ('1','2','3','4','5','6','7','8','9','10','11','12','13','14','14','15','16','17','18','19','20') THEN 0 ELSE 1 END AS "&amp;K37</f>
        <v>,CASE WHEN `0162_bail_in_cascade` in ('1','2','3','4','5','6','7','8','9','10','11','12','13','14','14','15','16','17','18','19','20') THEN 0 ELSE 1 END AS FRMT_0162_bail_in_cascade</v>
      </c>
      <c r="N37" t="str">
        <f t="shared" si="10"/>
        <v>SUM(FRMT_0162_bail_in_cascade) AS `FRMT_0162_bail_in_cascade`,</v>
      </c>
    </row>
    <row r="38" spans="1:14" ht="14.4" customHeight="1" x14ac:dyDescent="0.3">
      <c r="A38" s="7" t="str">
        <f t="shared" si="8"/>
        <v>B02.00_Date of issuance</v>
      </c>
      <c r="B38" t="s">
        <v>66</v>
      </c>
      <c r="C38" t="str">
        <f t="shared" si="11"/>
        <v>B02.00;c0170</v>
      </c>
      <c r="D38" t="s">
        <v>151</v>
      </c>
      <c r="E38" t="s">
        <v>270</v>
      </c>
      <c r="F38" t="str">
        <f t="shared" si="9"/>
        <v>Date: yyyy-mm-dd</v>
      </c>
      <c r="G38" t="s">
        <v>243</v>
      </c>
      <c r="H38" t="s">
        <v>247</v>
      </c>
      <c r="I38" s="15"/>
      <c r="J38" s="15"/>
      <c r="K38" s="50" t="str">
        <f t="shared" si="7"/>
        <v>FRMT_0170_dt_incptn</v>
      </c>
      <c r="L38" s="50" t="str">
        <f>+VLOOKUP(D38,'B02_Mapping fields'!B:C,2,FALSE)</f>
        <v>0170_dt_incptn</v>
      </c>
      <c r="M38" s="50" t="str">
        <f>+",CASE WHEN `"&amp;L38&amp;"` REGEXP '^[0-9]{4}-[0-9]{2}-[0-9]{2}$' and `"&amp;L38&amp;_xlfn._LONGTEXT("`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")&amp;K38</f>
        <v>,CASE WHEN `0170_dt_incptn` REGEXP '^[0-9]{4}-[0-9]{2}-[0-9]{2}$' and `0170_dt_incptn` NOT IN ('N/A','11111111111','11111111111.00','11111111111.000000','1111-11-11','0000-00-00','0001-01-01','9999-12-31','MISS','00000','99999999999','999999999999999','99999999999.00','99999999999.000000','-9999.9999','','Not applicable','XXX') THEN 0 ELSE 1 END AS FRMT_0170_dt_incptn</v>
      </c>
      <c r="N38" t="str">
        <f t="shared" si="10"/>
        <v>SUM(FRMT_0170_dt_incptn) AS `FRMT_0170_dt_incptn`,</v>
      </c>
    </row>
    <row r="39" spans="1:14" ht="14.4" customHeight="1" x14ac:dyDescent="0.3">
      <c r="A39" s="7" t="str">
        <f t="shared" si="8"/>
        <v xml:space="preserve">B02.00_Date of the next interest payment </v>
      </c>
      <c r="B39" t="s">
        <v>66</v>
      </c>
      <c r="C39" t="str">
        <f t="shared" si="11"/>
        <v>B02.00;c0180</v>
      </c>
      <c r="D39" t="s">
        <v>152</v>
      </c>
      <c r="E39" t="s">
        <v>30</v>
      </c>
      <c r="F39" t="str">
        <f t="shared" si="9"/>
        <v>Date: yyyy-mm-dd</v>
      </c>
      <c r="G39" t="s">
        <v>243</v>
      </c>
      <c r="H39" t="s">
        <v>247</v>
      </c>
      <c r="I39" t="s">
        <v>320</v>
      </c>
      <c r="J39" t="s">
        <v>99</v>
      </c>
      <c r="K39" s="50" t="str">
        <f t="shared" si="7"/>
        <v>FRMT_0180_dt_nxt_intrst_pymnt</v>
      </c>
      <c r="L39" s="50" t="str">
        <f>+VLOOKUP(D39,'B02_Mapping fields'!B:C,2,FALSE)</f>
        <v>0180_dt_nxt_intrst_pymnt</v>
      </c>
      <c r="M39" s="50" t="str">
        <f>+",CASE WHEN (`"&amp;L39&amp;"` REGEXP '^[0-9]{4}-[0-9]{2}-[0-9]{2}$' and `"&amp;L39&amp;"` NOT IN ('N/A','11111111111','11111111111.00','11111111111.000000','1111-11-11','0000-00-00','9999-12-31','MISS','00000','99999999999','999999999999999','99999999999.00','99999999999.000000','-9999.9999','Not applicable','XXX')) OR `"&amp;L39&amp;"` IN ('0001-01-01', '          ') THEN 0 ELSE 1 END AS "&amp;K39</f>
        <v>,CASE WHEN (`0180_dt_nxt_intrst_pymnt` REGEXP '^[0-9]{4}-[0-9]{2}-[0-9]{2}$' and `0180_dt_nxt_intrst_pymnt` NOT IN ('N/A','11111111111','11111111111.00','11111111111.000000','1111-11-11','0000-00-00','9999-12-31','MISS','00000','99999999999','999999999999999','99999999999.00','99999999999.000000','-9999.9999','Not applicable','XXX')) OR `0180_dt_nxt_intrst_pymnt` IN ('0001-01-01', '          ') THEN 0 ELSE 1 END AS FRMT_0180_dt_nxt_intrst_pymnt</v>
      </c>
      <c r="N39" t="str">
        <f t="shared" si="10"/>
        <v>SUM(FRMT_0180_dt_nxt_intrst_pymnt) AS `FRMT_0180_dt_nxt_intrst_pymnt`,</v>
      </c>
    </row>
    <row r="40" spans="1:14" ht="14.4" customHeight="1" x14ac:dyDescent="0.3">
      <c r="A40" s="7" t="str">
        <f t="shared" si="8"/>
        <v>B02.00_Date of the next (partial) redemption payment</v>
      </c>
      <c r="B40" t="s">
        <v>66</v>
      </c>
      <c r="C40" t="str">
        <f t="shared" si="11"/>
        <v>B02.00;c0190</v>
      </c>
      <c r="D40" t="s">
        <v>153</v>
      </c>
      <c r="E40" t="s">
        <v>271</v>
      </c>
      <c r="F40" t="str">
        <f t="shared" si="9"/>
        <v>Date: yyyy-mm-dd</v>
      </c>
      <c r="G40" t="s">
        <v>243</v>
      </c>
      <c r="H40" t="s">
        <v>247</v>
      </c>
      <c r="I40" t="s">
        <v>321</v>
      </c>
      <c r="J40" s="15"/>
      <c r="K40" s="50" t="str">
        <f t="shared" si="7"/>
        <v>FRMT_0190_dt_nxt_rdmptn_pymnt</v>
      </c>
      <c r="L40" s="50" t="str">
        <f>+VLOOKUP(D40,'B02_Mapping fields'!B:C,2,FALSE)</f>
        <v>0190_dt_nxt_rdmptn_pymnt</v>
      </c>
      <c r="M40" s="50" t="str">
        <f>+",CASE WHEN (`"&amp;L40&amp;"` REGEXP '^[0-9]{4}-[0-9]{2}-[0-9]{2}$' AND `"&amp;L40&amp;"` NOT IN ('N/A','11111111111','11111111111.00','11111111111.000000','1111-11-11','0000-00-00','0001-01-01','9999-12-31','MISS','00000','99999999999','999999999999999','99999999999.00','99999999999.000000','-9999.9999','','Not applicable','XXX')) OR `"&amp;L40&amp;"` = `0210_dt_lgl_fnl_mtrty` THEN 0 ELSE 1 END AS "&amp;K40</f>
        <v>,CASE WHEN (`0190_dt_nxt_rdmptn_pymnt` REGEXP '^[0-9]{4}-[0-9]{2}-[0-9]{2}$' AND `0190_dt_nxt_rdmptn_pymnt` NOT IN ('N/A','11111111111','11111111111.00','11111111111.000000','1111-11-11','0000-00-00','0001-01-01','9999-12-31','MISS','00000','99999999999','999999999999999','99999999999.00','99999999999.000000','-9999.9999','','Not applicable','XXX')) OR `0190_dt_nxt_rdmptn_pymnt` = `0210_dt_lgl_fnl_mtrty` THEN 0 ELSE 1 END AS FRMT_0190_dt_nxt_rdmptn_pymnt</v>
      </c>
      <c r="N40" t="str">
        <f t="shared" si="10"/>
        <v>SUM(FRMT_0190_dt_nxt_rdmptn_pymnt) AS `FRMT_0190_dt_nxt_rdmptn_pymnt`,</v>
      </c>
    </row>
    <row r="41" spans="1:14" ht="14.4" customHeight="1" x14ac:dyDescent="0.3">
      <c r="A41" s="7" t="str">
        <f t="shared" si="8"/>
        <v xml:space="preserve">B02.00_Earliest redemption date </v>
      </c>
      <c r="B41" t="s">
        <v>66</v>
      </c>
      <c r="C41" t="str">
        <f t="shared" si="11"/>
        <v>B02.00;c0200</v>
      </c>
      <c r="D41" t="s">
        <v>154</v>
      </c>
      <c r="E41" t="s">
        <v>32</v>
      </c>
      <c r="F41" t="str">
        <f t="shared" si="9"/>
        <v>Date: yyyy-mm-dd</v>
      </c>
      <c r="G41" t="s">
        <v>243</v>
      </c>
      <c r="H41" t="s">
        <v>247</v>
      </c>
      <c r="I41" t="s">
        <v>320</v>
      </c>
      <c r="J41" s="15"/>
      <c r="K41" s="50" t="str">
        <f t="shared" si="7"/>
        <v>FRMT_0200_dt_erlst_rdmptn</v>
      </c>
      <c r="L41" s="50" t="str">
        <f>+VLOOKUP(D41,'B02_Mapping fields'!B:C,2,FALSE)</f>
        <v>0200_dt_erlst_rdmptn</v>
      </c>
      <c r="M41" s="50" t="str">
        <f t="shared" ref="M41:M42" si="14">+",CASE WHEN (`"&amp;L41&amp;"` REGEXP '^[0-9]{4}-[0-9]{2}-[0-9]{2}$' and `"&amp;L41&amp;"` NOT IN ('N/A','11111111111','11111111111.00','11111111111.000000','1111-11-11','0000-00-00','9999-12-31','MISS','00000','99999999999','999999999999999','99999999999.00','99999999999.000000','-9999.9999','Not applicable','XXX')) OR `"&amp;L41&amp;"` IN ('0001-01-01', '')  THEN 0 ELSE 1 END AS "&amp;K41</f>
        <v>,CASE WHEN (`0200_dt_erlst_rdmptn` REGEXP '^[0-9]{4}-[0-9]{2}-[0-9]{2}$' and `0200_dt_erlst_rdmptn` NOT IN ('N/A','11111111111','11111111111.00','11111111111.000000','1111-11-11','0000-00-00','9999-12-31','MISS','00000','99999999999','999999999999999','99999999999.00','99999999999.000000','-9999.9999','Not applicable','XXX')) OR `0200_dt_erlst_rdmptn` IN ('0001-01-01', '')  THEN 0 ELSE 1 END AS FRMT_0200_dt_erlst_rdmptn</v>
      </c>
      <c r="N41" t="str">
        <f t="shared" si="10"/>
        <v>SUM(FRMT_0200_dt_erlst_rdmptn) AS `FRMT_0200_dt_erlst_rdmptn`,</v>
      </c>
    </row>
    <row r="42" spans="1:14" ht="14.4" customHeight="1" x14ac:dyDescent="0.3">
      <c r="A42" s="7" t="str">
        <f t="shared" si="8"/>
        <v>B02.00_Legal maturity</v>
      </c>
      <c r="B42" t="s">
        <v>66</v>
      </c>
      <c r="C42" t="str">
        <f t="shared" si="11"/>
        <v>B02.00;c0210</v>
      </c>
      <c r="D42" t="s">
        <v>155</v>
      </c>
      <c r="E42" t="s">
        <v>34</v>
      </c>
      <c r="F42" t="str">
        <f t="shared" si="9"/>
        <v>Date: yyyy-mm-dd</v>
      </c>
      <c r="G42" t="s">
        <v>243</v>
      </c>
      <c r="H42" t="s">
        <v>247</v>
      </c>
      <c r="I42" t="s">
        <v>320</v>
      </c>
      <c r="J42" s="15"/>
      <c r="K42" s="50" t="str">
        <f t="shared" si="7"/>
        <v>FRMT_0210_dt_lgl_fnl_mtrty</v>
      </c>
      <c r="L42" s="50" t="str">
        <f>+VLOOKUP(D42,'B02_Mapping fields'!B:C,2,FALSE)</f>
        <v>0210_dt_lgl_fnl_mtrty</v>
      </c>
      <c r="M42" s="50" t="str">
        <f t="shared" si="14"/>
        <v>,CASE WHEN (`0210_dt_lgl_fnl_mtrty` REGEXP '^[0-9]{4}-[0-9]{2}-[0-9]{2}$' and `0210_dt_lgl_fnl_mtrty` NOT IN ('N/A','11111111111','11111111111.00','11111111111.000000','1111-11-11','0000-00-00','9999-12-31','MISS','00000','99999999999','999999999999999','99999999999.00','99999999999.000000','-9999.9999','Not applicable','XXX')) OR `0210_dt_lgl_fnl_mtrty` IN ('0001-01-01', '')  THEN 0 ELSE 1 END AS FRMT_0210_dt_lgl_fnl_mtrty</v>
      </c>
      <c r="N42" t="str">
        <f t="shared" si="10"/>
        <v>SUM(FRMT_0210_dt_lgl_fnl_mtrty) AS `FRMT_0210_dt_lgl_fnl_mtrty`,</v>
      </c>
    </row>
    <row r="43" spans="1:14" ht="14.4" customHeight="1" x14ac:dyDescent="0.3">
      <c r="A43" s="7" t="str">
        <f t="shared" si="8"/>
        <v>B02.00_Governing law</v>
      </c>
      <c r="B43" t="s">
        <v>66</v>
      </c>
      <c r="C43" t="str">
        <f t="shared" si="11"/>
        <v>B02.00;c0220</v>
      </c>
      <c r="D43" t="s">
        <v>156</v>
      </c>
      <c r="E43" t="s">
        <v>36</v>
      </c>
      <c r="F43" t="str">
        <f t="shared" si="9"/>
        <v>String: ISO 3166-1 alpha 2 / ISO 3166-2</v>
      </c>
      <c r="G43" s="59" t="s">
        <v>242</v>
      </c>
      <c r="H43" t="s">
        <v>262</v>
      </c>
      <c r="I43" t="s">
        <v>380</v>
      </c>
      <c r="J43" s="15"/>
      <c r="K43" s="50" t="str">
        <f t="shared" si="7"/>
        <v>FRMT_0220_governing_law</v>
      </c>
      <c r="L43" s="50" t="str">
        <f>+VLOOKUP(D43,'B02_Mapping fields'!B:C,2,FALSE)</f>
        <v>0220_governing_law</v>
      </c>
      <c r="M43" s="50" t="str">
        <f>+",CASE WHEN LENGTH(`"&amp;L43&amp;"`) = 2 OR `"&amp;L43&amp;"` = 'XX' THEN 0 ELSE 1 END AS "&amp;K43</f>
        <v>,CASE WHEN LENGTH(`0220_governing_law`) = 2 OR `0220_governing_law` = 'XX' THEN 0 ELSE 1 END AS FRMT_0220_governing_law</v>
      </c>
      <c r="N43" t="str">
        <f t="shared" si="10"/>
        <v>SUM(FRMT_0220_governing_law) AS `FRMT_0220_governing_law`,</v>
      </c>
    </row>
    <row r="44" spans="1:14" ht="14.4" customHeight="1" x14ac:dyDescent="0.3">
      <c r="A44" s="7" t="str">
        <f t="shared" si="8"/>
        <v>B02.00_Bail-in recognition clause</v>
      </c>
      <c r="B44" t="s">
        <v>66</v>
      </c>
      <c r="C44" t="str">
        <f t="shared" si="11"/>
        <v>B02.00;c0230</v>
      </c>
      <c r="D44" t="s">
        <v>157</v>
      </c>
      <c r="E44" t="s">
        <v>238</v>
      </c>
      <c r="F44" t="str">
        <f t="shared" si="9"/>
        <v>String: Drop-down</v>
      </c>
      <c r="G44" s="59" t="s">
        <v>242</v>
      </c>
      <c r="H44" t="s">
        <v>258</v>
      </c>
      <c r="I44" t="s">
        <v>323</v>
      </c>
      <c r="J44" s="15"/>
      <c r="K44" s="50" t="str">
        <f t="shared" si="7"/>
        <v>FRMT_0230_bail_in_rcgntn_cls</v>
      </c>
      <c r="L44" s="50" t="str">
        <f>+VLOOKUP(D44,'B02_Mapping fields'!B:C,2,FALSE)</f>
        <v>0230_bail_in_rcgntn_cls</v>
      </c>
      <c r="M44" t="str">
        <f>+",CASE WHEN `"&amp;L44&amp;"` IN ('Yes, supported by Legal Opinion', 'Yes, not supported by Legal Opinion', 'No', 'Not applicable', 'Aggregated', 'Not applicable') THEN 0 ELSE 1 END AS "&amp;K44</f>
        <v>,CASE WHEN `0230_bail_in_rcgntn_cls` IN ('Yes, supported by Legal Opinion', 'Yes, not supported by Legal Opinion', 'No', 'Not applicable', 'Aggregated', 'Not applicable') THEN 0 ELSE 1 END AS FRMT_0230_bail_in_rcgntn_cls</v>
      </c>
      <c r="N44" t="str">
        <f t="shared" si="10"/>
        <v>SUM(FRMT_0230_bail_in_rcgntn_cls) AS `FRMT_0230_bail_in_rcgntn_cls`,</v>
      </c>
    </row>
    <row r="45" spans="1:14" ht="14.4" customHeight="1" x14ac:dyDescent="0.3">
      <c r="A45" s="7" t="str">
        <f t="shared" si="8"/>
        <v>B02.00_Zero-Coupon</v>
      </c>
      <c r="B45" t="s">
        <v>66</v>
      </c>
      <c r="C45" t="str">
        <f t="shared" si="11"/>
        <v>B02.00;c0240</v>
      </c>
      <c r="D45" t="s">
        <v>158</v>
      </c>
      <c r="E45" t="s">
        <v>272</v>
      </c>
      <c r="F45" t="str">
        <f t="shared" si="9"/>
        <v>String: Drop-down</v>
      </c>
      <c r="G45" s="59" t="s">
        <v>242</v>
      </c>
      <c r="H45" t="s">
        <v>258</v>
      </c>
      <c r="I45" s="15"/>
      <c r="J45" s="15"/>
      <c r="K45" s="50" t="str">
        <f t="shared" si="7"/>
        <v>FRMT_0240_zero_coupon</v>
      </c>
      <c r="L45" s="50" t="str">
        <f>+VLOOKUP(D45,'B02_Mapping fields'!B:C,2,FALSE)</f>
        <v>0240_zero_coupon</v>
      </c>
      <c r="M45" t="str">
        <f>+",CASE WHEN `"&amp;L45&amp;"` IN ('ZCB issued at discount', 'ZCB not issued at discount', 'No ZCB', 'Aggregated') THEN 0 ELSE 1 END AS "&amp;K45</f>
        <v>,CASE WHEN `0240_zero_coupon` IN ('ZCB issued at discount', 'ZCB not issued at discount', 'No ZCB', 'Aggregated') THEN 0 ELSE 1 END AS FRMT_0240_zero_coupon</v>
      </c>
      <c r="N45" t="str">
        <f t="shared" si="10"/>
        <v>SUM(FRMT_0240_zero_coupon) AS `FRMT_0240_zero_coupon`,</v>
      </c>
    </row>
    <row r="46" spans="1:14" ht="14.4" customHeight="1" x14ac:dyDescent="0.3">
      <c r="A46" s="7" t="str">
        <f t="shared" si="8"/>
        <v>B02.00_Structured product</v>
      </c>
      <c r="B46" t="s">
        <v>66</v>
      </c>
      <c r="C46" t="str">
        <f t="shared" si="11"/>
        <v>B02.00;c0250</v>
      </c>
      <c r="D46" t="s">
        <v>159</v>
      </c>
      <c r="E46" t="s">
        <v>39</v>
      </c>
      <c r="F46" t="str">
        <f t="shared" si="9"/>
        <v>String: Drop-down</v>
      </c>
      <c r="G46" s="59" t="s">
        <v>242</v>
      </c>
      <c r="H46" t="s">
        <v>258</v>
      </c>
      <c r="I46" s="15"/>
      <c r="J46" s="15"/>
      <c r="K46" s="50" t="str">
        <f t="shared" si="7"/>
        <v>FRMT_0250_strctrd_prdct</v>
      </c>
      <c r="L46" s="50" t="str">
        <f>+VLOOKUP(D46,'B02_Mapping fields'!B:C,2,FALSE)</f>
        <v>0250_strctrd_prdct</v>
      </c>
      <c r="M46" t="str">
        <f>+",CASE WHEN `"&amp;L46&amp;"` IN ('Non-structured/Vanilla', 'Structured', 'Other non-standard terms', 'Only structured coupon', 'Aggregated') THEN 0 ELSE 1 END AS "&amp;K46</f>
        <v>,CASE WHEN `0250_strctrd_prdct` IN ('Non-structured/Vanilla', 'Structured', 'Other non-standard terms', 'Only structured coupon', 'Aggregated') THEN 0 ELSE 1 END AS FRMT_0250_strctrd_prdct</v>
      </c>
      <c r="N46" t="str">
        <f t="shared" si="10"/>
        <v>SUM(FRMT_0250_strctrd_prdct) AS `FRMT_0250_strctrd_prdct`,</v>
      </c>
    </row>
    <row r="47" spans="1:14" ht="14.4" customHeight="1" x14ac:dyDescent="0.3">
      <c r="A47" s="7" t="str">
        <f t="shared" si="8"/>
        <v>B02.00_Guaranteed minimum repayment amount of the structured product</v>
      </c>
      <c r="B47" t="s">
        <v>66</v>
      </c>
      <c r="C47" t="str">
        <f t="shared" si="11"/>
        <v>B02.00;c0260</v>
      </c>
      <c r="D47" t="s">
        <v>160</v>
      </c>
      <c r="E47" t="s">
        <v>41</v>
      </c>
      <c r="F47" t="str">
        <f t="shared" si="9"/>
        <v>Numeric: 2 decimals</v>
      </c>
      <c r="G47" t="s">
        <v>241</v>
      </c>
      <c r="H47" t="s">
        <v>259</v>
      </c>
      <c r="I47" s="15"/>
      <c r="J47" s="15"/>
      <c r="K47" s="50" t="str">
        <f t="shared" si="7"/>
        <v>FRMT_0260_grntd_min_amnt_strctrd_prdct</v>
      </c>
      <c r="L47" s="50" t="str">
        <f>+VLOOKUP(D47,'B02_Mapping fields'!B:C,2,FALSE)</f>
        <v>0260_grntd_min_amnt_strctrd_prdct</v>
      </c>
      <c r="M47" s="50" t="str">
        <f t="shared" ref="M47:M48" si="15">+",CASE WHEN CAST(ROUND(`"&amp;L47&amp;"`, 2) AS STRING) = CAST(`"&amp;L47&amp;"` AS STRING) AND CAST(`"&amp;L47&amp;_xlfn._LONGTEXT("`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")&amp;K47</f>
        <v>,CASE WHEN CAST(ROUND(`0260_grntd_min_amnt_strctrd_prdct`, 2) AS STRING) = CAST(`0260_grntd_min_amnt_strctrd_prdct` AS STRING) AND CAST(`0260_grntd_min_amnt_strctrd_prdct` AS STRING) NOT IN ('N/A','11111111111','11111111111.00','11111111111.000000','1111-11-11','0000-00-00','0001-01-01','9999-12-31','MISS','00000','99999999999','99999999999.00','99999999999.000000','-9999.9999','','Not applicable','XXX') THEN 0 ELSE 1 END AS FRMT_0260_grntd_min_amnt_strctrd_prdct</v>
      </c>
      <c r="N47" t="str">
        <f t="shared" si="10"/>
        <v>SUM(FRMT_0260_grntd_min_amnt_strctrd_prdct) AS `FRMT_0260_grntd_min_amnt_strctrd_prdct`,</v>
      </c>
    </row>
    <row r="48" spans="1:14" ht="14.4" customHeight="1" x14ac:dyDescent="0.3">
      <c r="A48" s="7" t="str">
        <f t="shared" si="8"/>
        <v>B02.00_Fair value of the structured product</v>
      </c>
      <c r="B48" t="s">
        <v>66</v>
      </c>
      <c r="C48" t="str">
        <f t="shared" si="11"/>
        <v>B02.00;c0270</v>
      </c>
      <c r="D48" t="s">
        <v>161</v>
      </c>
      <c r="E48" t="s">
        <v>317</v>
      </c>
      <c r="F48" t="str">
        <f t="shared" si="9"/>
        <v>Numeric: 2 decimals</v>
      </c>
      <c r="G48" t="s">
        <v>241</v>
      </c>
      <c r="H48" t="s">
        <v>259</v>
      </c>
      <c r="I48" s="15"/>
      <c r="J48" s="15"/>
      <c r="K48" s="50" t="str">
        <f t="shared" si="7"/>
        <v>FRMT_0270_fv_amnt_strctrd_prdct</v>
      </c>
      <c r="L48" s="50" t="str">
        <f>+VLOOKUP(D48,'B02_Mapping fields'!B:C,2,FALSE)</f>
        <v>0270_fv_amnt_strctrd_prdct</v>
      </c>
      <c r="M48" s="50" t="str">
        <f t="shared" si="15"/>
        <v>,CASE WHEN CAST(ROUND(`0270_fv_amnt_strctrd_prdct`, 2) AS STRING) = CAST(`0270_fv_amnt_strctrd_prdct` AS STRING) AND CAST(`0270_fv_amnt_strctrd_prdct` AS STRING) NOT IN ('N/A','11111111111','11111111111.00','11111111111.000000','1111-11-11','0000-00-00','0001-01-01','9999-12-31','MISS','00000','99999999999','99999999999.00','99999999999.000000','-9999.9999','','Not applicable','XXX') THEN 0 ELSE 1 END AS FRMT_0270_fv_amnt_strctrd_prdct</v>
      </c>
      <c r="N48" t="str">
        <f t="shared" si="10"/>
        <v>SUM(FRMT_0270_fv_amnt_strctrd_prdct) AS `FRMT_0270_fv_amnt_strctrd_prdct`,</v>
      </c>
    </row>
    <row r="49" spans="1:14" ht="14.4" customHeight="1" x14ac:dyDescent="0.3">
      <c r="A49" s="7" t="str">
        <f t="shared" si="8"/>
        <v>B02.00_Not covered and not preferential deposit</v>
      </c>
      <c r="B49" t="s">
        <v>66</v>
      </c>
      <c r="C49" t="str">
        <f t="shared" si="11"/>
        <v>B02.00;c0280</v>
      </c>
      <c r="D49" t="s">
        <v>163</v>
      </c>
      <c r="E49" t="s">
        <v>164</v>
      </c>
      <c r="F49" t="str">
        <f t="shared" si="9"/>
        <v>String: TRUE / FALSE boolean</v>
      </c>
      <c r="G49" s="59" t="s">
        <v>242</v>
      </c>
      <c r="H49" t="s">
        <v>263</v>
      </c>
      <c r="I49" s="15"/>
      <c r="J49" s="15"/>
      <c r="K49" s="50" t="str">
        <f t="shared" si="7"/>
        <v>FRMT_0280_flg_ncnp_dpsts</v>
      </c>
      <c r="L49" s="50" t="str">
        <f>+VLOOKUP(D49,'B02_Mapping fields'!B:C,2,FALSE)</f>
        <v>0280_flg_ncnp_dpsts</v>
      </c>
      <c r="M49" s="50" t="str">
        <f>+",CASE WHEN `"&amp;L49&amp;"` IN ('TRUE', 'FALSE')  THEN 0 ELSE 1 END AS "&amp;K49</f>
        <v>,CASE WHEN `0280_flg_ncnp_dpsts` IN ('TRUE', 'FALSE')  THEN 0 ELSE 1 END AS FRMT_0280_flg_ncnp_dpsts</v>
      </c>
      <c r="N49" t="str">
        <f t="shared" si="10"/>
        <v>SUM(FRMT_0280_flg_ncnp_dpsts) AS `FRMT_0280_flg_ncnp_dpsts`,</v>
      </c>
    </row>
    <row r="50" spans="1:14" ht="14.4" customHeight="1" x14ac:dyDescent="0.3">
      <c r="A50" s="7" t="str">
        <f t="shared" si="8"/>
        <v>B02.00_Not covered but preferential deposit</v>
      </c>
      <c r="B50" t="s">
        <v>66</v>
      </c>
      <c r="C50" t="str">
        <f t="shared" si="11"/>
        <v>B02.00;c0290</v>
      </c>
      <c r="D50" t="s">
        <v>165</v>
      </c>
      <c r="E50" t="s">
        <v>166</v>
      </c>
      <c r="F50" t="str">
        <f t="shared" si="9"/>
        <v>String: TRUE / FALSE boolean</v>
      </c>
      <c r="G50" s="59" t="s">
        <v>242</v>
      </c>
      <c r="H50" t="s">
        <v>263</v>
      </c>
      <c r="I50" s="15"/>
      <c r="J50" s="15"/>
      <c r="K50" s="50" t="str">
        <f t="shared" si="7"/>
        <v>FRMT_0290_flg_ncbp_dpsts</v>
      </c>
      <c r="L50" s="50" t="str">
        <f>+VLOOKUP(D50,'B02_Mapping fields'!B:C,2,FALSE)</f>
        <v>0290_flg_ncbp_dpsts</v>
      </c>
      <c r="M50" s="50" t="str">
        <f t="shared" ref="M50" si="16">+",CASE WHEN `"&amp;L50&amp;"` IN ('TRUE', 'FALSE')  THEN 0 ELSE 1 END AS "&amp;K50</f>
        <v>,CASE WHEN `0290_flg_ncbp_dpsts` IN ('TRUE', 'FALSE')  THEN 0 ELSE 1 END AS FRMT_0290_flg_ncbp_dpsts</v>
      </c>
      <c r="N50" t="str">
        <f t="shared" si="10"/>
        <v>SUM(FRMT_0290_flg_ncbp_dpsts) AS `FRMT_0290_flg_ncbp_dpsts`,</v>
      </c>
    </row>
    <row r="51" spans="1:14" ht="14.4" customHeight="1" x14ac:dyDescent="0.3">
      <c r="A51" s="7" t="str">
        <f t="shared" si="8"/>
        <v>B02.00_Covered portion of eligible deposits</v>
      </c>
      <c r="B51" t="s">
        <v>66</v>
      </c>
      <c r="C51" t="str">
        <f t="shared" si="11"/>
        <v>B02.00;c0300</v>
      </c>
      <c r="D51" t="s">
        <v>167</v>
      </c>
      <c r="E51" t="s">
        <v>44</v>
      </c>
      <c r="F51" t="str">
        <f t="shared" si="9"/>
        <v>Numeric: 2 decimals</v>
      </c>
      <c r="G51" t="s">
        <v>241</v>
      </c>
      <c r="H51" t="s">
        <v>259</v>
      </c>
      <c r="I51" s="15"/>
      <c r="J51" s="15"/>
      <c r="K51" s="50" t="str">
        <f t="shared" si="7"/>
        <v>FRMT_0300_amnt_cvrd_elgbl_dpsts</v>
      </c>
      <c r="L51" s="50" t="str">
        <f>+VLOOKUP(D51,'B02_Mapping fields'!B:C,2,FALSE)</f>
        <v>0300_amnt_cvrd_elgbl_dpsts</v>
      </c>
      <c r="M51" s="50" t="str">
        <f>+",CASE WHEN CAST(ROUND(`"&amp;L51&amp;"`, 2) AS STRING) = CAST(`"&amp;L51&amp;"` AS STRING) AND CAST(`"&amp;L51&amp;_xlfn._LONGTEXT("`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")&amp;K51</f>
        <v>,CASE WHEN CAST(ROUND(`0300_amnt_cvrd_elgbl_dpsts`, 2) AS STRING) = CAST(`0300_amnt_cvrd_elgbl_dpsts` AS STRING) AND CAST(`0300_amnt_cvrd_elgbl_dpsts` AS STRING) NOT IN ('N/A','11111111111','11111111111.00','11111111111.000000','1111-11-11','0000-00-00','0001-01-01','9999-12-31','MISS','00000','99999999999','99999999999.00','99999999999.000000','-9999.9999','','Not applicable','XXX') THEN 0 ELSE 1 END AS FRMT_0300_amnt_cvrd_elgbl_dpsts</v>
      </c>
      <c r="N51" t="str">
        <f t="shared" si="10"/>
        <v>SUM(FRMT_0300_amnt_cvrd_elgbl_dpsts) AS `FRMT_0300_amnt_cvrd_elgbl_dpsts`,</v>
      </c>
    </row>
    <row r="52" spans="1:14" ht="14.4" customHeight="1" x14ac:dyDescent="0.3">
      <c r="A52" s="7" t="str">
        <f t="shared" si="8"/>
        <v>B02.00_Secured/Unsecured</v>
      </c>
      <c r="B52" t="s">
        <v>66</v>
      </c>
      <c r="C52" t="str">
        <f t="shared" si="11"/>
        <v>B02.00;c0310</v>
      </c>
      <c r="D52" t="s">
        <v>168</v>
      </c>
      <c r="E52" t="s">
        <v>46</v>
      </c>
      <c r="F52" t="str">
        <f t="shared" si="9"/>
        <v>String: Drop-down</v>
      </c>
      <c r="G52" s="59" t="s">
        <v>242</v>
      </c>
      <c r="H52" t="s">
        <v>258</v>
      </c>
      <c r="I52" s="15"/>
      <c r="J52" s="15"/>
      <c r="K52" s="50" t="str">
        <f t="shared" si="7"/>
        <v>FRMT_0310_flg_clltrl_agrmnts</v>
      </c>
      <c r="L52" s="50" t="str">
        <f>+VLOOKUP(D52,'B02_Mapping fields'!B:C,2,FALSE)</f>
        <v>0310_flg_clltrl_agrmnts</v>
      </c>
      <c r="M52" t="str">
        <f>+",CASE WHEN `"&amp;L52&amp;"` IN ('Secured', 'Unsecured') THEN 0 ELSE 1 END AS "&amp;K52</f>
        <v>,CASE WHEN `0310_flg_clltrl_agrmnts` IN ('Secured', 'Unsecured') THEN 0 ELSE 1 END AS FRMT_0310_flg_clltrl_agrmnts</v>
      </c>
      <c r="N52" t="str">
        <f t="shared" si="10"/>
        <v>SUM(FRMT_0310_flg_clltrl_agrmnts) AS `FRMT_0310_flg_clltrl_agrmnts`,</v>
      </c>
    </row>
    <row r="53" spans="1:14" ht="14.4" customHeight="1" x14ac:dyDescent="0.3">
      <c r="A53" s="7" t="str">
        <f t="shared" si="8"/>
        <v>B02.00_Amount of pledge, lien or collateral based on the current internal valuation</v>
      </c>
      <c r="B53" t="s">
        <v>66</v>
      </c>
      <c r="C53" t="str">
        <f t="shared" si="11"/>
        <v>B02.00;c0320</v>
      </c>
      <c r="D53" t="s">
        <v>169</v>
      </c>
      <c r="E53" t="s">
        <v>273</v>
      </c>
      <c r="F53" t="str">
        <f t="shared" si="9"/>
        <v>Numeric: 2 decimals</v>
      </c>
      <c r="G53" t="s">
        <v>241</v>
      </c>
      <c r="H53" t="s">
        <v>259</v>
      </c>
      <c r="I53" s="15"/>
      <c r="J53" s="15"/>
      <c r="K53" s="50" t="str">
        <f t="shared" si="7"/>
        <v>FRMT_0320_amnt_clltrl</v>
      </c>
      <c r="L53" s="50" t="str">
        <f>+VLOOKUP(D53,'B02_Mapping fields'!B:C,2,FALSE)</f>
        <v>0320_amnt_clltrl</v>
      </c>
      <c r="M53" s="50" t="str">
        <f>+",CASE WHEN CAST(ROUND(`"&amp;L53&amp;"`, 2) AS STRING) = CAST(`"&amp;L53&amp;"` AS STRING) AND CAST(`"&amp;L53&amp;_xlfn._LONGTEXT("`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")&amp;K53</f>
        <v>,CASE WHEN CAST(ROUND(`0320_amnt_clltrl`, 2) AS STRING) = CAST(`0320_amnt_clltrl` AS STRING) AND CAST(`0320_amnt_clltrl` AS STRING) NOT IN ('N/A','11111111111','11111111111.00','11111111111.000000','1111-11-11','0000-00-00','0001-01-01','9999-12-31','MISS','00000','99999999999','99999999999.00','99999999999.000000','-9999.9999','','Not applicable','XXX') THEN 0 ELSE 1 END AS FRMT_0320_amnt_clltrl</v>
      </c>
      <c r="N53" t="str">
        <f t="shared" si="10"/>
        <v>SUM(FRMT_0320_amnt_clltrl) AS `FRMT_0320_amnt_clltrl`,</v>
      </c>
    </row>
    <row r="54" spans="1:14" ht="14.4" customHeight="1" x14ac:dyDescent="0.3">
      <c r="A54" s="7" t="str">
        <f t="shared" si="8"/>
        <v>B02.00_Amount of the uncollateralized part</v>
      </c>
      <c r="B54" t="s">
        <v>66</v>
      </c>
      <c r="C54" t="str">
        <f t="shared" si="11"/>
        <v>B02.00;c0330</v>
      </c>
      <c r="D54" t="s">
        <v>170</v>
      </c>
      <c r="E54" t="s">
        <v>274</v>
      </c>
      <c r="F54" t="str">
        <f t="shared" si="9"/>
        <v>Numeric: 2 decimals</v>
      </c>
      <c r="G54" t="s">
        <v>241</v>
      </c>
      <c r="H54" t="s">
        <v>259</v>
      </c>
      <c r="I54" s="15"/>
      <c r="J54" t="s">
        <v>99</v>
      </c>
      <c r="K54" s="50" t="str">
        <f t="shared" si="7"/>
        <v>FRMT_0330_amnt_unclltrlzd</v>
      </c>
      <c r="L54" s="50" t="str">
        <f>+VLOOKUP(D54,'B02_Mapping fields'!B:C,2,FALSE)</f>
        <v>0330_amnt_unclltrlzd</v>
      </c>
      <c r="M54" s="50" t="str">
        <f>+",CASE WHEN (CAST(ROUND(`"&amp;L54&amp;"`, 2) AS STRING) = CAST(`"&amp;L54&amp;"` AS STRING) and cast(`"&amp;L38&amp;_xlfn._LONGTEXT("` as string) NOT IN ('N/A','11111111111','11111111111.00','11111111111.000000','1111-11-11','0000-00-00','0001-01-01','9999-12-31','MISS','00000','99999999999','999999999999999','99999999999.00','99999999999.000000','-9999.9999','Not applicable','XXX')) o","r CAST(`")&amp;L54&amp;"` AS STRING) = '' THEN 0 ELSE 1 END AS "&amp;K54</f>
        <v>,CASE WHEN (CAST(ROUND(`0330_amnt_unclltrlzd`, 2) AS STRING) = CAST(`0330_amnt_unclltrlzd` AS STRING) and cast(`0170_dt_incptn` as string) NOT IN ('N/A','11111111111','11111111111.00','11111111111.000000','1111-11-11','0000-00-00','0001-01-01','9999-12-31','MISS','00000','99999999999','999999999999999','99999999999.00','99999999999.000000','-9999.9999','Not applicable','XXX')) or CAST(`0330_amnt_unclltrlzd` AS STRING) = '' THEN 0 ELSE 1 END AS FRMT_0330_amnt_unclltrlzd</v>
      </c>
      <c r="N54" t="str">
        <f t="shared" si="10"/>
        <v>SUM(FRMT_0330_amnt_unclltrlzd) AS `FRMT_0330_amnt_unclltrlzd`,</v>
      </c>
    </row>
    <row r="55" spans="1:14" ht="14.4" customHeight="1" x14ac:dyDescent="0.3">
      <c r="A55" s="7" t="str">
        <f t="shared" si="8"/>
        <v>B02.00_Internal identification number of the pledge, lien or collateral/collateral pool</v>
      </c>
      <c r="B55" t="s">
        <v>66</v>
      </c>
      <c r="C55" t="str">
        <f t="shared" si="11"/>
        <v>B02.00;c0340</v>
      </c>
      <c r="D55" t="s">
        <v>171</v>
      </c>
      <c r="E55" t="s">
        <v>172</v>
      </c>
      <c r="F55" t="str">
        <f t="shared" si="9"/>
        <v>String: Free text</v>
      </c>
      <c r="G55" t="s">
        <v>242</v>
      </c>
      <c r="H55" t="s">
        <v>257</v>
      </c>
      <c r="I55" s="15"/>
      <c r="J55" s="15"/>
      <c r="K55" s="50" t="str">
        <f t="shared" si="7"/>
        <v>FRMT_0340_id_clltrl</v>
      </c>
      <c r="L55" s="50" t="str">
        <f>+VLOOKUP(D55,'B02_Mapping fields'!B:C,2,FALSE)</f>
        <v>0340_id_clltrl</v>
      </c>
      <c r="M55" s="50" t="str">
        <f>+",CASE WHEN `"&amp;L55&amp;"` RLIKE '[A-Za-z]' AND `"&amp;L55&amp;_xlfn._LONGTEXT("`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")&amp;K55</f>
        <v>,CASE WHEN `0340_id_clltrl` RLIKE '[A-Za-z]' AND `0340_id_clltrl` NOT IN ('N/A','11111111111','11111111111.00','11111111111.000000','1111-11-11','0000-00-00','0001-01-01','9999-12-31','MISS','00000','99999999999','999999999999999','99999999999.00','99999999999.000000','-9999.9999','','Not applicable','XXX') THEN 0 ELSE 1 END AS FRMT_0340_id_clltrl</v>
      </c>
      <c r="N55" t="str">
        <f t="shared" si="10"/>
        <v>SUM(FRMT_0340_id_clltrl) AS `FRMT_0340_id_clltrl`,</v>
      </c>
    </row>
    <row r="56" spans="1:14" ht="14.4" customHeight="1" x14ac:dyDescent="0.3">
      <c r="A56" s="7" t="str">
        <f t="shared" si="8"/>
        <v>B02.00_Type of the collateral</v>
      </c>
      <c r="B56" t="s">
        <v>66</v>
      </c>
      <c r="C56" t="str">
        <f t="shared" si="11"/>
        <v>B02.00;c0350</v>
      </c>
      <c r="D56" t="s">
        <v>173</v>
      </c>
      <c r="E56" t="s">
        <v>50</v>
      </c>
      <c r="F56" t="str">
        <f t="shared" si="9"/>
        <v>String: Drop-down</v>
      </c>
      <c r="G56" s="59" t="s">
        <v>242</v>
      </c>
      <c r="H56" t="s">
        <v>258</v>
      </c>
      <c r="I56" t="s">
        <v>323</v>
      </c>
      <c r="J56" t="s">
        <v>99</v>
      </c>
      <c r="K56" s="50" t="str">
        <f t="shared" si="7"/>
        <v>FRMT_0350_typ_clltrl</v>
      </c>
      <c r="L56" s="50" t="str">
        <f>+VLOOKUP(D56,'B02_Mapping fields'!B:C,2,FALSE)</f>
        <v>0350_typ_clltrl</v>
      </c>
      <c r="M56" t="str">
        <f>+",CASE WHEN `"&amp;L56&amp;"` IN ('Real estate', 'Ships', 'Aircraft', 'Financial', 'Other', 'Not applicable', '') THEN 0 ELSE 1 END AS "&amp;K56</f>
        <v>,CASE WHEN `0350_typ_clltrl` IN ('Real estate', 'Ships', 'Aircraft', 'Financial', 'Other', 'Not applicable', '') THEN 0 ELSE 1 END AS FRMT_0350_typ_clltrl</v>
      </c>
      <c r="N56" t="str">
        <f t="shared" si="10"/>
        <v>SUM(FRMT_0350_typ_clltrl) AS `FRMT_0350_typ_clltrl`,</v>
      </c>
    </row>
    <row r="57" spans="1:14" ht="14.4" customHeight="1" x14ac:dyDescent="0.3">
      <c r="A57" s="7" t="str">
        <f t="shared" si="8"/>
        <v>B02.00_Type of the collateral (if other)</v>
      </c>
      <c r="B57" t="s">
        <v>66</v>
      </c>
      <c r="C57" t="str">
        <f t="shared" si="11"/>
        <v>B02.00;c0351</v>
      </c>
      <c r="D57" t="s">
        <v>284</v>
      </c>
      <c r="E57" t="s">
        <v>52</v>
      </c>
      <c r="F57" t="str">
        <f t="shared" si="9"/>
        <v>String: Free text</v>
      </c>
      <c r="G57" t="s">
        <v>242</v>
      </c>
      <c r="H57" t="s">
        <v>257</v>
      </c>
      <c r="I57" s="15"/>
      <c r="J57" s="15"/>
      <c r="K57" s="50" t="str">
        <f t="shared" si="7"/>
        <v>FRMT_0351_typ_clltrl_othr</v>
      </c>
      <c r="L57" s="50" t="str">
        <f>+VLOOKUP(D57,'B02_Mapping fields'!B:C,2,FALSE)</f>
        <v>0351_typ_clltrl_othr</v>
      </c>
      <c r="M57" s="50" t="str">
        <f>+",CASE WHEN `"&amp;L57&amp;"` RLIKE '[A-Za-z]' AND `"&amp;L57&amp;_xlfn._LONGTEXT("`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")&amp;K57</f>
        <v>,CASE WHEN `0351_typ_clltrl_othr` RLIKE '[A-Za-z]' AND `0351_typ_clltrl_othr` NOT IN ('N/A','11111111111','11111111111.00','11111111111.000000','1111-11-11','0000-00-00','0001-01-01','9999-12-31','MISS','00000','99999999999','999999999999999','99999999999.00','99999999999.000000','-9999.9999','','Not applicable','XXX') THEN 0 ELSE 1 END AS FRMT_0351_typ_clltrl_othr</v>
      </c>
      <c r="N57" t="str">
        <f t="shared" si="10"/>
        <v>SUM(FRMT_0351_typ_clltrl_othr) AS `FRMT_0351_typ_clltrl_othr`,</v>
      </c>
    </row>
    <row r="58" spans="1:14" ht="14.4" customHeight="1" x14ac:dyDescent="0.3">
      <c r="A58" s="7" t="str">
        <f t="shared" si="8"/>
        <v>B02.00_Trading method</v>
      </c>
      <c r="B58" t="s">
        <v>66</v>
      </c>
      <c r="C58" t="str">
        <f t="shared" si="11"/>
        <v>B02.00;c0360</v>
      </c>
      <c r="D58" t="s">
        <v>174</v>
      </c>
      <c r="E58" t="s">
        <v>275</v>
      </c>
      <c r="F58" t="str">
        <f t="shared" si="9"/>
        <v>String: Drop-down</v>
      </c>
      <c r="G58" s="59" t="s">
        <v>242</v>
      </c>
      <c r="H58" t="s">
        <v>258</v>
      </c>
      <c r="I58" s="15"/>
      <c r="J58" s="15"/>
      <c r="K58" s="50" t="str">
        <f t="shared" si="7"/>
        <v>FRMT_0360_trdng_mthd</v>
      </c>
      <c r="L58" s="50" t="str">
        <f>+VLOOKUP(D58,'B02_Mapping fields'!B:C,2,FALSE)</f>
        <v>0360_trdng_mthd</v>
      </c>
      <c r="M58" t="str">
        <f>+",CASE WHEN `"&amp;L58&amp;"` IN ('Nominal', 'Unit', 'Not applicable') THEN 0 ELSE 1 END AS "&amp;K58</f>
        <v>,CASE WHEN `0360_trdng_mthd` IN ('Nominal', 'Unit', 'Not applicable') THEN 0 ELSE 1 END AS FRMT_0360_trdng_mthd</v>
      </c>
      <c r="N58" t="str">
        <f t="shared" si="10"/>
        <v>SUM(FRMT_0360_trdng_mthd) AS `FRMT_0360_trdng_mthd`,</v>
      </c>
    </row>
    <row r="59" spans="1:14" ht="14.4" customHeight="1" x14ac:dyDescent="0.3">
      <c r="A59" s="7" t="str">
        <f t="shared" si="8"/>
        <v>B02.00_Denomination / Nominal value per security in EUR</v>
      </c>
      <c r="B59" t="s">
        <v>66</v>
      </c>
      <c r="C59" t="str">
        <f t="shared" si="11"/>
        <v>B02.00;c0370</v>
      </c>
      <c r="D59" t="s">
        <v>175</v>
      </c>
      <c r="E59" t="s">
        <v>294</v>
      </c>
      <c r="F59" t="str">
        <f t="shared" si="9"/>
        <v>Numeric: 2 decimals</v>
      </c>
      <c r="G59" t="s">
        <v>241</v>
      </c>
      <c r="H59" t="s">
        <v>259</v>
      </c>
      <c r="I59" s="15"/>
      <c r="J59" s="15"/>
      <c r="K59" s="50" t="str">
        <f t="shared" si="7"/>
        <v>FRMT_0370_amnt_scrty_eur</v>
      </c>
      <c r="L59" s="50" t="str">
        <f>+VLOOKUP(D59,'B02_Mapping fields'!B:C,2,FALSE)</f>
        <v>0370_amnt_scrty_eur</v>
      </c>
      <c r="M59" s="50" t="str">
        <f t="shared" ref="M59:M60" si="17">+",CASE WHEN CAST(ROUND(`"&amp;L59&amp;"`, 2) AS STRING) = CAST(`"&amp;L59&amp;"` AS STRING) AND CAST(`"&amp;L59&amp;_xlfn._LONGTEXT("`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")&amp;K59</f>
        <v>,CASE WHEN CAST(ROUND(`0370_amnt_scrty_eur`, 2) AS STRING) = CAST(`0370_amnt_scrty_eur` AS STRING) AND CAST(`0370_amnt_scrty_eur` AS STRING) NOT IN ('N/A','11111111111','11111111111.00','11111111111.000000','1111-11-11','0000-00-00','0001-01-01','9999-12-31','MISS','00000','99999999999','99999999999.00','99999999999.000000','-9999.9999','','Not applicable','XXX') THEN 0 ELSE 1 END AS FRMT_0370_amnt_scrty_eur</v>
      </c>
      <c r="N59" t="str">
        <f t="shared" si="10"/>
        <v>SUM(FRMT_0370_amnt_scrty_eur) AS `FRMT_0370_amnt_scrty_eur`,</v>
      </c>
    </row>
    <row r="60" spans="1:14" ht="14.4" customHeight="1" x14ac:dyDescent="0.3">
      <c r="A60" s="7" t="str">
        <f t="shared" si="8"/>
        <v>B02.00_Denomination / Nominal value per security in original currency</v>
      </c>
      <c r="B60" t="s">
        <v>66</v>
      </c>
      <c r="C60" t="str">
        <f t="shared" si="11"/>
        <v>B02.00;c0380</v>
      </c>
      <c r="D60" t="s">
        <v>176</v>
      </c>
      <c r="E60" t="s">
        <v>295</v>
      </c>
      <c r="F60" t="str">
        <f t="shared" si="9"/>
        <v>Numeric: 2 decimals</v>
      </c>
      <c r="G60" t="s">
        <v>241</v>
      </c>
      <c r="H60" t="s">
        <v>259</v>
      </c>
      <c r="I60" s="15"/>
      <c r="J60" s="15"/>
      <c r="K60" s="50" t="str">
        <f t="shared" si="7"/>
        <v>FRMT_0380_amnt_scrty_fx</v>
      </c>
      <c r="L60" s="50" t="str">
        <f>+VLOOKUP(D60,'B02_Mapping fields'!B:C,2,FALSE)</f>
        <v>0380_amnt_scrty_fx</v>
      </c>
      <c r="M60" s="50" t="str">
        <f t="shared" si="17"/>
        <v>,CASE WHEN CAST(ROUND(`0380_amnt_scrty_fx`, 2) AS STRING) = CAST(`0380_amnt_scrty_fx` AS STRING) AND CAST(`0380_amnt_scrty_fx` AS STRING) NOT IN ('N/A','11111111111','11111111111.00','11111111111.000000','1111-11-11','0000-00-00','0001-01-01','9999-12-31','MISS','00000','99999999999','99999999999.00','99999999999.000000','-9999.9999','','Not applicable','XXX') THEN 0 ELSE 1 END AS FRMT_0380_amnt_scrty_fx</v>
      </c>
      <c r="N60" t="str">
        <f t="shared" si="10"/>
        <v>SUM(FRMT_0380_amnt_scrty_fx) AS `FRMT_0380_amnt_scrty_fx`,</v>
      </c>
    </row>
    <row r="61" spans="1:14" ht="14.4" customHeight="1" x14ac:dyDescent="0.3">
      <c r="A61" s="7" t="str">
        <f t="shared" si="8"/>
        <v>B02.00_Number of securities outstanding not held by the reporting entity</v>
      </c>
      <c r="B61" t="s">
        <v>66</v>
      </c>
      <c r="C61" t="str">
        <f t="shared" si="11"/>
        <v>B02.00;c0390</v>
      </c>
      <c r="D61" t="s">
        <v>177</v>
      </c>
      <c r="E61" t="s">
        <v>297</v>
      </c>
      <c r="F61" t="str">
        <f t="shared" si="9"/>
        <v>Numeric: Integer</v>
      </c>
      <c r="G61" t="s">
        <v>241</v>
      </c>
      <c r="H61" t="s">
        <v>256</v>
      </c>
      <c r="I61" s="15"/>
      <c r="J61" s="15"/>
      <c r="K61" s="50" t="str">
        <f t="shared" si="7"/>
        <v>FRMT_0390_nmbr_scrts_not_rprtng_entty</v>
      </c>
      <c r="L61" s="50" t="str">
        <f>+VLOOKUP(D61,'B02_Mapping fields'!B:C,2,FALSE)</f>
        <v>0390_nmbr_scrts_not_rprtng_entty</v>
      </c>
      <c r="M61" s="50" t="str">
        <f>+",CASE WHEN CAST(`"&amp;L61&amp;"` AS STRING) RLIKE '^[0-9]+$' AND CAST(`"&amp;L61&amp;_xlfn._LONGTEXT("`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")&amp;K61</f>
        <v>,CASE WHEN CAST(`0390_nmbr_scrts_not_rprtng_entty` AS STRING) RLIKE '^[0-9]+$' AND CAST(`0390_nmbr_scrts_not_rprtng_entty`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FRMT_0390_nmbr_scrts_not_rprtng_entty</v>
      </c>
      <c r="N61" t="str">
        <f t="shared" si="10"/>
        <v>SUM(FRMT_0390_nmbr_scrts_not_rprtng_entty) AS `FRMT_0390_nmbr_scrts_not_rprtng_entty`,</v>
      </c>
    </row>
    <row r="62" spans="1:14" ht="14.4" customHeight="1" x14ac:dyDescent="0.3">
      <c r="A62" s="7" t="str">
        <f t="shared" si="8"/>
        <v>B02.00_Number of securities outstanding held by the reporting entity</v>
      </c>
      <c r="B62" t="s">
        <v>66</v>
      </c>
      <c r="C62" t="str">
        <f t="shared" si="11"/>
        <v>B02.00;c0391</v>
      </c>
      <c r="D62" s="9" t="s">
        <v>178</v>
      </c>
      <c r="E62" t="s">
        <v>298</v>
      </c>
      <c r="F62" t="str">
        <f t="shared" si="9"/>
        <v>Numeric: Integer</v>
      </c>
      <c r="G62" t="s">
        <v>241</v>
      </c>
      <c r="H62" t="s">
        <v>256</v>
      </c>
      <c r="I62" s="15"/>
      <c r="J62" s="15"/>
      <c r="K62" s="50" t="str">
        <f t="shared" si="7"/>
        <v>FRMT_0391_nmbr_scrts_rprtng_entty</v>
      </c>
      <c r="L62" s="50" t="str">
        <f>+VLOOKUP(D62,'B02_Mapping fields'!B:C,2,FALSE)</f>
        <v>0391_nmbr_scrts_rprtng_entty</v>
      </c>
      <c r="M62" s="50" t="str">
        <f>+",CASE WHEN CAST(`"&amp;L62&amp;"` AS STRING) RLIKE '^[0-9]+$' AND CAST(`"&amp;L62&amp;_xlfn._LONGTEXT("`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")&amp;K62</f>
        <v>,CASE WHEN CAST(`0391_nmbr_scrts_rprtng_entty` AS STRING) RLIKE '^[0-9]+$' AND CAST(`0391_nmbr_scrts_rprtng_entty`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FRMT_0391_nmbr_scrts_rprtng_entty</v>
      </c>
      <c r="N62" t="str">
        <f t="shared" si="10"/>
        <v>SUM(FRMT_0391_nmbr_scrts_rprtng_entty) AS `FRMT_0391_nmbr_scrts_rprtng_entty`,</v>
      </c>
    </row>
    <row r="63" spans="1:14" ht="14.4" customHeight="1" x14ac:dyDescent="0.3">
      <c r="A63" s="7" t="str">
        <f t="shared" si="8"/>
        <v>B02.00_Accrued interest per security</v>
      </c>
      <c r="B63" t="s">
        <v>66</v>
      </c>
      <c r="C63" t="str">
        <f t="shared" si="11"/>
        <v>B02.00;c0400</v>
      </c>
      <c r="D63" t="s">
        <v>179</v>
      </c>
      <c r="E63" t="s">
        <v>57</v>
      </c>
      <c r="F63" t="str">
        <f t="shared" si="9"/>
        <v>Numeric: 4 decimals</v>
      </c>
      <c r="G63" t="s">
        <v>241</v>
      </c>
      <c r="H63" t="s">
        <v>264</v>
      </c>
      <c r="I63" s="15"/>
      <c r="J63" s="15"/>
      <c r="K63" s="50" t="str">
        <f>+"FRMT_"&amp;L63</f>
        <v>FRMT_0400_accrd_intrst_scrty</v>
      </c>
      <c r="L63" s="50" t="str">
        <f>+VLOOKUP(D63,'B02_Mapping fields'!B:C,2,FALSE)</f>
        <v>0400_accrd_intrst_scrty</v>
      </c>
      <c r="M63" s="50" t="str">
        <f>+",CASE WHEN CAST(ROUND(`"&amp;L63&amp;"`, 4) AS STRING) = CAST(`"&amp;L63&amp;"` AS STRING) and cast(`"&amp;L63&amp;_xlfn._LONGTEXT("`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")&amp;K63</f>
        <v>,CASE WHEN CAST(ROUND(`0400_accrd_intrst_scrty`, 4) AS STRING) = CAST(`0400_accrd_intrst_scrty` AS STRING) and cast(`0400_accrd_intrst_scrty`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FRMT_0400_accrd_intrst_scrty</v>
      </c>
      <c r="N63" t="str">
        <f t="shared" si="10"/>
        <v>SUM(FRMT_0400_accrd_intrst_scrty) AS `FRMT_0400_accrd_intrst_scrty`,</v>
      </c>
    </row>
    <row r="64" spans="1:14" ht="14.4" customHeight="1" x14ac:dyDescent="0.3">
      <c r="A64" s="7" t="str">
        <f t="shared" si="8"/>
        <v>B02.00_Fees and charges per security</v>
      </c>
      <c r="B64" t="s">
        <v>66</v>
      </c>
      <c r="C64" t="str">
        <f t="shared" si="11"/>
        <v>B02.00;c0410</v>
      </c>
      <c r="D64" t="s">
        <v>180</v>
      </c>
      <c r="E64" t="s">
        <v>237</v>
      </c>
      <c r="F64" t="str">
        <f t="shared" si="9"/>
        <v>Numeric: 4 decimals</v>
      </c>
      <c r="G64" t="s">
        <v>241</v>
      </c>
      <c r="H64" t="s">
        <v>264</v>
      </c>
      <c r="I64" s="15"/>
      <c r="J64" s="15"/>
      <c r="K64" s="50" t="str">
        <f t="shared" ref="K64:K99" si="18">+"FRMT_"&amp;L64</f>
        <v>FRMT_0410_fees_charges_scrty</v>
      </c>
      <c r="L64" s="50" t="str">
        <f>+VLOOKUP(D64,'B02_Mapping fields'!B:C,2,FALSE)</f>
        <v>0410_fees_charges_scrty</v>
      </c>
      <c r="M64" s="50" t="str">
        <f>+",CASE WHEN CAST(ROUND(`"&amp;L64&amp;"`, 4) AS STRING) = CAST(`"&amp;L64&amp;"` AS STRING) and cast(`"&amp;L64&amp;_xlfn._LONGTEXT("`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")&amp;K64</f>
        <v>,CASE WHEN CAST(ROUND(`0410_fees_charges_scrty`, 4) AS STRING) = CAST(`0410_fees_charges_scrty` AS STRING) and cast(`0410_fees_charges_scrty`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FRMT_0410_fees_charges_scrty</v>
      </c>
      <c r="N64" t="str">
        <f t="shared" si="10"/>
        <v>SUM(FRMT_0410_fees_charges_scrty) AS `FRMT_0410_fees_charges_scrty`,</v>
      </c>
    </row>
    <row r="65" spans="1:14" ht="14.4" customHeight="1" x14ac:dyDescent="0.3">
      <c r="A65" s="7" t="str">
        <f t="shared" si="8"/>
        <v>B02.00_Fair value per security</v>
      </c>
      <c r="B65" t="s">
        <v>66</v>
      </c>
      <c r="C65" t="str">
        <f t="shared" si="11"/>
        <v>B02.00;c0420</v>
      </c>
      <c r="D65" t="s">
        <v>181</v>
      </c>
      <c r="E65" t="s">
        <v>276</v>
      </c>
      <c r="F65" t="str">
        <f t="shared" si="9"/>
        <v>Numeric: 4 decimals</v>
      </c>
      <c r="G65" t="s">
        <v>241</v>
      </c>
      <c r="H65" t="s">
        <v>264</v>
      </c>
      <c r="I65" s="15"/>
      <c r="J65" s="15"/>
      <c r="K65" s="50" t="str">
        <f t="shared" si="18"/>
        <v>FRMT_0420_fv_amnt_scrty</v>
      </c>
      <c r="L65" s="50" t="str">
        <f>+VLOOKUP(D65,'B02_Mapping fields'!B:C,2,FALSE)</f>
        <v>0420_fv_amnt_scrty</v>
      </c>
      <c r="M65" s="50" t="str">
        <f>+",CASE WHEN CAST(ROUND(`"&amp;L65&amp;"`, 4) AS STRING) = CAST(`"&amp;L65&amp;"` AS STRING) and cast(`"&amp;L65&amp;_xlfn._LONGTEXT("`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")&amp;K65</f>
        <v>,CASE WHEN CAST(ROUND(`0420_fv_amnt_scrty`, 4) AS STRING) = CAST(`0420_fv_amnt_scrty` AS STRING) and cast(`0420_fv_amnt_scrty`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FRMT_0420_fv_amnt_scrty</v>
      </c>
      <c r="N65" t="str">
        <f t="shared" si="10"/>
        <v>SUM(FRMT_0420_fv_amnt_scrty) AS `FRMT_0420_fv_amnt_scrty`,</v>
      </c>
    </row>
    <row r="66" spans="1:14" ht="14.4" customHeight="1" x14ac:dyDescent="0.3">
      <c r="A66" s="7" t="str">
        <f t="shared" si="8"/>
        <v>B02.00_Principal amount of the global note in EUR</v>
      </c>
      <c r="B66" t="s">
        <v>66</v>
      </c>
      <c r="C66" t="str">
        <f t="shared" si="11"/>
        <v>B02.00;c0430</v>
      </c>
      <c r="D66" t="s">
        <v>183</v>
      </c>
      <c r="E66" t="s">
        <v>182</v>
      </c>
      <c r="F66" t="str">
        <f t="shared" si="9"/>
        <v>Numeric: 2 decimals</v>
      </c>
      <c r="G66" t="s">
        <v>241</v>
      </c>
      <c r="H66" t="s">
        <v>259</v>
      </c>
      <c r="I66" t="s">
        <v>322</v>
      </c>
      <c r="J66" s="15"/>
      <c r="K66" s="50" t="str">
        <f t="shared" si="18"/>
        <v>FRMT_0430_prncpl_amnt_glbl_nt_eur</v>
      </c>
      <c r="L66" s="50" t="str">
        <f>+VLOOKUP(D66,'B02_Mapping fields'!B:C,2,FALSE)</f>
        <v>0430_prncpl_amnt_glbl_nt_eur</v>
      </c>
      <c r="M66" s="50" t="str">
        <f t="shared" ref="M66:M67" si="19">+",CASE WHEN (CAST(ROUND(`"&amp;L66&amp;"`, 2) AS STRING) = CAST(`"&amp;L66&amp;"` AS STRING) AND CAST(`"&amp;L66&amp;"` AS STRING) NOT IN ('N/A','11111111111','11111111111.00','11111111111.000000','1111-11-11','0000-00-00','0001-01-01','9999-12-31','MISS','00000','99999999999','99999999999.00','99999999999.000000','-9999.9999','','Not applicable','XXX')) OR `"&amp;L66&amp;"`= 999999999999999.00 THEN 0 ELSE 1 END AS "&amp;K66</f>
        <v>,CASE WHEN (CAST(ROUND(`0430_prncpl_amnt_glbl_nt_eur`, 2) AS STRING) = CAST(`0430_prncpl_amnt_glbl_nt_eur` AS STRING) AND CAST(`0430_prncpl_amnt_glbl_nt_eur` AS STRING) NOT IN ('N/A','11111111111','11111111111.00','11111111111.000000','1111-11-11','0000-00-00','0001-01-01','9999-12-31','MISS','00000','99999999999','99999999999.00','99999999999.000000','-9999.9999','','Not applicable','XXX')) OR `0430_prncpl_amnt_glbl_nt_eur`= 999999999999999.00 THEN 0 ELSE 1 END AS FRMT_0430_prncpl_amnt_glbl_nt_eur</v>
      </c>
      <c r="N66" t="str">
        <f t="shared" si="10"/>
        <v>SUM(FRMT_0430_prncpl_amnt_glbl_nt_eur) AS `FRMT_0430_prncpl_amnt_glbl_nt_eur`,</v>
      </c>
    </row>
    <row r="67" spans="1:14" ht="14.4" customHeight="1" x14ac:dyDescent="0.3">
      <c r="A67" s="7" t="str">
        <f t="shared" si="8"/>
        <v>B02.00_Principal amount of the global note in original currency</v>
      </c>
      <c r="B67" t="s">
        <v>66</v>
      </c>
      <c r="C67" t="str">
        <f t="shared" si="11"/>
        <v>B02.00;c0431</v>
      </c>
      <c r="D67" t="s">
        <v>285</v>
      </c>
      <c r="E67" t="s">
        <v>301</v>
      </c>
      <c r="F67" t="str">
        <f t="shared" si="9"/>
        <v>Numeric: 2 decimals</v>
      </c>
      <c r="G67" t="s">
        <v>241</v>
      </c>
      <c r="H67" t="s">
        <v>259</v>
      </c>
      <c r="I67" t="s">
        <v>322</v>
      </c>
      <c r="J67" s="15"/>
      <c r="K67" s="50" t="str">
        <f t="shared" si="18"/>
        <v>FRMT_0431_prncpl_amnt_glbl_nt_fx</v>
      </c>
      <c r="L67" s="50" t="str">
        <f>+VLOOKUP(D67,'B02_Mapping fields'!B:C,2,FALSE)</f>
        <v>0431_prncpl_amnt_glbl_nt_fx</v>
      </c>
      <c r="M67" s="50" t="str">
        <f t="shared" si="19"/>
        <v>,CASE WHEN (CAST(ROUND(`0431_prncpl_amnt_glbl_nt_fx`, 2) AS STRING) = CAST(`0431_prncpl_amnt_glbl_nt_fx` AS STRING) AND CAST(`0431_prncpl_amnt_glbl_nt_fx` AS STRING) NOT IN ('N/A','11111111111','11111111111.00','11111111111.000000','1111-11-11','0000-00-00','0001-01-01','9999-12-31','MISS','00000','99999999999','99999999999.00','99999999999.000000','-9999.9999','','Not applicable','XXX')) OR `0431_prncpl_amnt_glbl_nt_fx`= 999999999999999.00 THEN 0 ELSE 1 END AS FRMT_0431_prncpl_amnt_glbl_nt_fx</v>
      </c>
      <c r="N67" t="str">
        <f t="shared" si="10"/>
        <v>SUM(FRMT_0431_prncpl_amnt_glbl_nt_fx) AS `FRMT_0431_prncpl_amnt_glbl_nt_fx`,</v>
      </c>
    </row>
    <row r="68" spans="1:14" ht="14.4" customHeight="1" x14ac:dyDescent="0.3">
      <c r="A68" s="7" t="str">
        <f t="shared" si="8"/>
        <v>B02.00_Nature of the global note</v>
      </c>
      <c r="B68" t="s">
        <v>66</v>
      </c>
      <c r="C68" t="str">
        <f t="shared" si="11"/>
        <v>B02.00;c0440</v>
      </c>
      <c r="D68" t="s">
        <v>184</v>
      </c>
      <c r="E68" t="s">
        <v>110</v>
      </c>
      <c r="F68" t="str">
        <f t="shared" si="9"/>
        <v>String: Drop-down</v>
      </c>
      <c r="G68" s="59" t="s">
        <v>242</v>
      </c>
      <c r="H68" t="s">
        <v>258</v>
      </c>
      <c r="I68" t="s">
        <v>323</v>
      </c>
      <c r="J68" s="15"/>
      <c r="K68" s="50" t="str">
        <f t="shared" si="18"/>
        <v>FRMT_0440_ntr_glbl_nt</v>
      </c>
      <c r="L68" s="50" t="str">
        <f>+VLOOKUP(D68,'B02_Mapping fields'!B:C,2,FALSE)</f>
        <v>0440_ntr_glbl_nt</v>
      </c>
      <c r="M68" t="str">
        <f>+",CASE WHEN `"&amp;L68&amp;"` IN ('NGN', 'CGN', 'Not applicable') THEN 0 ELSE 1 END AS "&amp;K68</f>
        <v>,CASE WHEN `0440_ntr_glbl_nt` IN ('NGN', 'CGN', 'Not applicable') THEN 0 ELSE 1 END AS FRMT_0440_ntr_glbl_nt</v>
      </c>
      <c r="N68" t="str">
        <f t="shared" si="10"/>
        <v>SUM(FRMT_0440_ntr_glbl_nt) AS `FRMT_0440_ntr_glbl_nt`,</v>
      </c>
    </row>
    <row r="69" spans="1:14" ht="14.4" customHeight="1" x14ac:dyDescent="0.3">
      <c r="A69" s="7" t="str">
        <f t="shared" si="8"/>
        <v>B02.00_Current pool factor</v>
      </c>
      <c r="B69" t="s">
        <v>66</v>
      </c>
      <c r="C69" t="str">
        <f t="shared" si="11"/>
        <v>B02.00;c0450</v>
      </c>
      <c r="D69" t="s">
        <v>185</v>
      </c>
      <c r="E69" t="s">
        <v>277</v>
      </c>
      <c r="F69" t="str">
        <f t="shared" si="9"/>
        <v>Numeric: Values between 0 and 1, with 9 decimals</v>
      </c>
      <c r="G69" t="s">
        <v>241</v>
      </c>
      <c r="H69" t="s">
        <v>330</v>
      </c>
      <c r="I69" t="s">
        <v>331</v>
      </c>
      <c r="J69" s="15"/>
      <c r="K69" s="50" t="str">
        <f t="shared" si="18"/>
        <v>FRMT_0450_crrnt_pool_fctr</v>
      </c>
      <c r="L69" s="50" t="str">
        <f>+VLOOKUP(D69,'B02_Mapping fields'!B:C,2,FALSE)</f>
        <v>0450_crrnt_pool_fctr</v>
      </c>
      <c r="M69" s="50" t="str">
        <f>+",CASE WHEN (CAST(`"&amp;L69&amp;"` AS STRING) RLIKE '^0\\.[0-9]{1,9}$' AND (`"&amp;L69&amp;"` &gt;=0 AND `"&amp;L69&amp;"`&lt;=1) and cast(`"&amp;L69&amp;_xlfn._LONGTEXT("`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applicable','XXX')",") OR `")&amp;L69&amp;"`=-9999.999999999 THEN 0 ELSE 1 END AS "&amp;K69</f>
        <v>,CASE WHEN (CAST(`0450_crrnt_pool_fctr` AS STRING) RLIKE '^0\\.[0-9]{1,9}$' AND (`0450_crrnt_pool_fctr` &gt;=0 AND `0450_crrnt_pool_fctr`&lt;=1) and cast(`0450_crrnt_pool_fctr` as string) NOT IN ('N/A','11111111111','11111111111.00','11111111111.000000','1111-11-11','0000-00-00','0001-01-01','9999-12-31','MISS','00000','99999999999','999999999999999','99999999999.00','99999999999.000000','-9999.9999','','Not applicable','XXX')) OR `0450_crrnt_pool_fctr`=-9999.999999999 THEN 0 ELSE 1 END AS FRMT_0450_crrnt_pool_fctr</v>
      </c>
      <c r="N69" t="str">
        <f t="shared" si="10"/>
        <v>SUM(FRMT_0450_crrnt_pool_fctr) AS `FRMT_0450_crrnt_pool_fctr`,</v>
      </c>
    </row>
    <row r="70" spans="1:14" ht="14.4" customHeight="1" x14ac:dyDescent="0.3">
      <c r="A70" s="7" t="str">
        <f t="shared" si="8"/>
        <v xml:space="preserve">B02.00_Central securities depository </v>
      </c>
      <c r="B70" t="s">
        <v>66</v>
      </c>
      <c r="C70" t="str">
        <f t="shared" si="11"/>
        <v>B02.00;c0460</v>
      </c>
      <c r="D70" t="s">
        <v>186</v>
      </c>
      <c r="E70" t="s">
        <v>187</v>
      </c>
      <c r="F70" t="str">
        <f t="shared" si="9"/>
        <v>String: Fixed values</v>
      </c>
      <c r="G70" s="59" t="s">
        <v>242</v>
      </c>
      <c r="H70" t="s">
        <v>261</v>
      </c>
      <c r="I70" s="15"/>
      <c r="J70" s="15"/>
      <c r="K70" s="50" t="str">
        <f t="shared" si="18"/>
        <v>FRMT_0460_csd</v>
      </c>
      <c r="L70" s="50" t="str">
        <f>+VLOOKUP(D70,'B02_Mapping fields'!B:C,2,FALSE)</f>
        <v>0460_csd</v>
      </c>
      <c r="M70" s="50" t="str">
        <f>+",CASE WHEN `"&amp;L70&amp;"` = 'INTERBOLSA_PT' THEN 0 ELSE 1 END AS "&amp;K70</f>
        <v>,CASE WHEN `0460_csd` = 'INTERBOLSA_PT' THEN 0 ELSE 1 END AS FRMT_0460_csd</v>
      </c>
      <c r="N70" t="str">
        <f t="shared" si="10"/>
        <v>SUM(FRMT_0460_csd) AS `FRMT_0460_csd`,</v>
      </c>
    </row>
    <row r="71" spans="1:14" ht="14.4" customHeight="1" x14ac:dyDescent="0.3">
      <c r="A71" s="7" t="str">
        <f t="shared" si="8"/>
        <v>B02.00_Central securities depository (LEI)</v>
      </c>
      <c r="B71" t="s">
        <v>66</v>
      </c>
      <c r="C71" t="str">
        <f t="shared" si="11"/>
        <v>B02.00;c0461</v>
      </c>
      <c r="D71" t="s">
        <v>188</v>
      </c>
      <c r="E71" t="s">
        <v>189</v>
      </c>
      <c r="F71" t="str">
        <f t="shared" si="9"/>
        <v>String: Free text</v>
      </c>
      <c r="G71" t="s">
        <v>242</v>
      </c>
      <c r="H71" t="s">
        <v>257</v>
      </c>
      <c r="I71" s="15"/>
      <c r="J71" s="15"/>
      <c r="K71" s="50" t="str">
        <f t="shared" si="18"/>
        <v>FRMT_0461_csd_lei</v>
      </c>
      <c r="L71" s="50" t="str">
        <f>+VLOOKUP(D71,'B02_Mapping fields'!B:C,2,FALSE)</f>
        <v>0461_csd_lei</v>
      </c>
      <c r="M71" s="50" t="str">
        <f>+",CASE WHEN `"&amp;L71&amp;"` RLIKE '[A-Za-z]' and `"&amp;L71&amp;_xlfn._LONGTEXT("`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")&amp;K71</f>
        <v>,CASE WHEN `0461_csd_lei` RLIKE '[A-Za-z]' and `0461_csd_lei` NOT IN ('N/A','11111111111','11111111111.00','11111111111.000000','1111-11-11','0000-00-00','0001-01-01','9999-12-31','MISS','00000','99999999999','999999999999999','99999999999.00','99999999999.000000','-9999.9999','','Not applicable','XXX') THEN 0 ELSE 1 END AS FRMT_0461_csd_lei</v>
      </c>
      <c r="N71" t="str">
        <f t="shared" si="10"/>
        <v>SUM(FRMT_0461_csd_lei) AS `FRMT_0461_csd_lei`,</v>
      </c>
    </row>
    <row r="72" spans="1:14" ht="14.4" customHeight="1" x14ac:dyDescent="0.3">
      <c r="A72" s="7" t="str">
        <f t="shared" ref="A72" si="20">CONCATENATE(B72,"_",E72)</f>
        <v>B02.00_Central securities depository name (if other)</v>
      </c>
      <c r="B72" t="s">
        <v>66</v>
      </c>
      <c r="C72" t="str">
        <f t="shared" ref="C72" si="21">CONCATENATE(B72,";c",D72)</f>
        <v>B02.00;c0462</v>
      </c>
      <c r="D72" s="9" t="s">
        <v>309</v>
      </c>
      <c r="E72" t="s">
        <v>310</v>
      </c>
      <c r="F72" t="str">
        <f t="shared" ref="F72" si="22">CONCATENATE(G72,": ",H72)</f>
        <v>String: Free text</v>
      </c>
      <c r="G72" t="s">
        <v>242</v>
      </c>
      <c r="H72" t="s">
        <v>257</v>
      </c>
      <c r="I72" s="15"/>
      <c r="J72" s="15"/>
      <c r="K72" s="50" t="str">
        <f t="shared" si="18"/>
        <v>FRMT_0462_csd_othr</v>
      </c>
      <c r="L72" s="50" t="str">
        <f>+VLOOKUP(D72,'B02_Mapping fields'!B:C,2,FALSE)</f>
        <v>0462_csd_othr</v>
      </c>
      <c r="M72" s="50" t="str">
        <f>+",CASE WHEN `"&amp;L72&amp;"` RLIKE '[A-Za-z]' and `"&amp;L72&amp;_xlfn._LONGTEXT("`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")&amp;K72</f>
        <v>,CASE WHEN `0462_csd_othr` RLIKE '[A-Za-z]' and `0462_csd_othr` NOT IN ('N/A','11111111111','11111111111.00','11111111111.000000','1111-11-11','0000-00-00','0001-01-01','9999-12-31','MISS','00000','99999999999','999999999999999','99999999999.00','99999999999.000000','-9999.9999','','Not applicable','XXX') THEN 0 ELSE 1 END AS FRMT_0462_csd_othr</v>
      </c>
      <c r="N72" t="str">
        <f t="shared" si="10"/>
        <v>SUM(FRMT_0462_csd_othr) AS `FRMT_0462_csd_othr`,</v>
      </c>
    </row>
    <row r="73" spans="1:14" ht="14.4" customHeight="1" x14ac:dyDescent="0.3">
      <c r="A73" s="7" t="str">
        <f t="shared" si="8"/>
        <v>B02.00_(Mandated) paying agent</v>
      </c>
      <c r="B73" t="s">
        <v>66</v>
      </c>
      <c r="C73" t="str">
        <f t="shared" si="11"/>
        <v>B02.00;c0470</v>
      </c>
      <c r="D73" t="s">
        <v>190</v>
      </c>
      <c r="E73" t="s">
        <v>307</v>
      </c>
      <c r="F73" t="str">
        <f t="shared" si="9"/>
        <v>String: Free text</v>
      </c>
      <c r="G73" t="s">
        <v>242</v>
      </c>
      <c r="H73" t="s">
        <v>257</v>
      </c>
      <c r="I73" t="s">
        <v>323</v>
      </c>
      <c r="J73" s="15"/>
      <c r="K73" s="50" t="str">
        <f t="shared" si="18"/>
        <v>FRMT_0470_pyng_agnt</v>
      </c>
      <c r="L73" s="50" t="str">
        <f>+VLOOKUP(D73,'B02_Mapping fields'!B:C,2,FALSE)</f>
        <v>0470_pyng_agnt</v>
      </c>
      <c r="M73" s="50" t="str">
        <f>+",CASE WHEN (`"&amp;L73&amp;"` RLIKE '[A-Za-z]' and `"&amp;L73&amp;"` NOT IN ('N/A','11111111111','11111111111.00','11111111111.000000','1111-11-11','0000-00-00','0001-01-01','9999-12-31','MISS','00000','99999999999','999999999999999','99999999999.00','99999999999.000000','-9999.9999','','XXX')) OR `"&amp;L73&amp;"` = 'Not applicable' THEN 0 ELSE 1 END AS "&amp;K73</f>
        <v>,CASE WHEN (`0470_pyng_agnt` RLIKE '[A-Za-z]' and `0470_pyng_agnt` NOT IN ('N/A','11111111111','11111111111.00','11111111111.000000','1111-11-11','0000-00-00','0001-01-01','9999-12-31','MISS','00000','99999999999','999999999999999','99999999999.00','99999999999.000000','-9999.9999','','XXX')) OR `0470_pyng_agnt` = 'Not applicable' THEN 0 ELSE 1 END AS FRMT_0470_pyng_agnt</v>
      </c>
      <c r="N73" t="str">
        <f t="shared" si="10"/>
        <v>SUM(FRMT_0470_pyng_agnt) AS `FRMT_0470_pyng_agnt`,</v>
      </c>
    </row>
    <row r="74" spans="1:14" ht="14.4" customHeight="1" x14ac:dyDescent="0.3">
      <c r="A74" s="7" t="str">
        <f t="shared" si="8"/>
        <v>B02.00_(Mandated) paying agent (LEI)</v>
      </c>
      <c r="B74" t="s">
        <v>66</v>
      </c>
      <c r="C74" t="str">
        <f t="shared" si="11"/>
        <v>B02.00;c0471</v>
      </c>
      <c r="D74" t="s">
        <v>191</v>
      </c>
      <c r="E74" t="s">
        <v>308</v>
      </c>
      <c r="F74" t="str">
        <f t="shared" si="9"/>
        <v>String: Free text</v>
      </c>
      <c r="G74" t="s">
        <v>242</v>
      </c>
      <c r="H74" t="s">
        <v>257</v>
      </c>
      <c r="I74" t="s">
        <v>323</v>
      </c>
      <c r="J74" s="15"/>
      <c r="K74" s="50" t="str">
        <f t="shared" si="18"/>
        <v>FRMT_0471_pyng_agnt_lei</v>
      </c>
      <c r="L74" s="50" t="str">
        <f>+VLOOKUP(D74,'B02_Mapping fields'!B:C,2,FALSE)</f>
        <v>0471_pyng_agnt_lei</v>
      </c>
      <c r="M74" s="50" t="str">
        <f t="shared" ref="M74:M84" si="23">+",CASE WHEN (`"&amp;L74&amp;"` RLIKE '[A-Za-z]' and `"&amp;L74&amp;"` NOT IN ('N/A','11111111111','11111111111.00','11111111111.000000','1111-11-11','0000-00-00','0001-01-01','9999-12-31','MISS','00000','99999999999','999999999999999','99999999999.00','99999999999.000000','-9999.9999','','XXX')) OR `"&amp;L74&amp;"` = 'Not applicable' THEN 0 ELSE 1 END AS "&amp;K74</f>
        <v>,CASE WHEN (`0471_pyng_agnt_lei` RLIKE '[A-Za-z]' and `0471_pyng_agnt_lei` NOT IN ('N/A','11111111111','11111111111.00','11111111111.000000','1111-11-11','0000-00-00','0001-01-01','9999-12-31','MISS','00000','99999999999','999999999999999','99999999999.00','99999999999.000000','-9999.9999','','XXX')) OR `0471_pyng_agnt_lei` = 'Not applicable' THEN 0 ELSE 1 END AS FRMT_0471_pyng_agnt_lei</v>
      </c>
      <c r="N74" t="str">
        <f t="shared" si="10"/>
        <v>SUM(FRMT_0471_pyng_agnt_lei) AS `FRMT_0471_pyng_agnt_lei`,</v>
      </c>
    </row>
    <row r="75" spans="1:14" ht="14.4" customHeight="1" x14ac:dyDescent="0.3">
      <c r="A75" s="7" t="str">
        <f t="shared" si="8"/>
        <v>B02.00_Trading venue</v>
      </c>
      <c r="B75" t="s">
        <v>66</v>
      </c>
      <c r="C75" t="str">
        <f t="shared" si="11"/>
        <v>B02.00;c0480</v>
      </c>
      <c r="D75" t="s">
        <v>192</v>
      </c>
      <c r="E75" t="s">
        <v>278</v>
      </c>
      <c r="F75" t="str">
        <f t="shared" si="9"/>
        <v>String: Free text</v>
      </c>
      <c r="G75" t="s">
        <v>242</v>
      </c>
      <c r="H75" t="s">
        <v>257</v>
      </c>
      <c r="I75" t="s">
        <v>323</v>
      </c>
      <c r="J75" s="15"/>
      <c r="K75" s="50" t="str">
        <f t="shared" si="18"/>
        <v>FRMT_0480_trdng_vn</v>
      </c>
      <c r="L75" s="50" t="str">
        <f>+VLOOKUP(D75,'B02_Mapping fields'!B:C,2,FALSE)</f>
        <v>0480_trdng_vn</v>
      </c>
      <c r="M75" s="50" t="str">
        <f t="shared" si="23"/>
        <v>,CASE WHEN (`0480_trdng_vn` RLIKE '[A-Za-z]' and `0480_trdng_vn` NOT IN ('N/A','11111111111','11111111111.00','11111111111.000000','1111-11-11','0000-00-00','0001-01-01','9999-12-31','MISS','00000','99999999999','999999999999999','99999999999.00','99999999999.000000','-9999.9999','','XXX')) OR `0480_trdng_vn` = 'Not applicable' THEN 0 ELSE 1 END AS FRMT_0480_trdng_vn</v>
      </c>
      <c r="N75" t="str">
        <f t="shared" si="10"/>
        <v>SUM(FRMT_0480_trdng_vn) AS `FRMT_0480_trdng_vn`,</v>
      </c>
    </row>
    <row r="76" spans="1:14" ht="14.4" customHeight="1" x14ac:dyDescent="0.3">
      <c r="A76" s="7" t="str">
        <f t="shared" si="8"/>
        <v>B02.00_Trading venue (LEI)</v>
      </c>
      <c r="B76" t="s">
        <v>66</v>
      </c>
      <c r="C76" t="str">
        <f t="shared" si="11"/>
        <v>B02.00;c0481</v>
      </c>
      <c r="D76" t="s">
        <v>193</v>
      </c>
      <c r="E76" t="s">
        <v>279</v>
      </c>
      <c r="F76" t="str">
        <f t="shared" si="9"/>
        <v>String: Free text</v>
      </c>
      <c r="G76" t="s">
        <v>242</v>
      </c>
      <c r="H76" t="s">
        <v>257</v>
      </c>
      <c r="I76" t="s">
        <v>323</v>
      </c>
      <c r="J76" s="15"/>
      <c r="K76" s="50" t="str">
        <f t="shared" si="18"/>
        <v>FRMT_0481_trdng_vn_lei</v>
      </c>
      <c r="L76" s="50" t="str">
        <f>+VLOOKUP(D76,'B02_Mapping fields'!B:C,2,FALSE)</f>
        <v>0481_trdng_vn_lei</v>
      </c>
      <c r="M76" s="50" t="str">
        <f t="shared" si="23"/>
        <v>,CASE WHEN (`0481_trdng_vn_lei` RLIKE '[A-Za-z]' and `0481_trdng_vn_lei` NOT IN ('N/A','11111111111','11111111111.00','11111111111.000000','1111-11-11','0000-00-00','0001-01-01','9999-12-31','MISS','00000','99999999999','999999999999999','99999999999.00','99999999999.000000','-9999.9999','','XXX')) OR `0481_trdng_vn_lei` = 'Not applicable' THEN 0 ELSE 1 END AS FRMT_0481_trdng_vn_lei</v>
      </c>
      <c r="N76" t="str">
        <f t="shared" si="10"/>
        <v>SUM(FRMT_0481_trdng_vn_lei) AS `FRMT_0481_trdng_vn_lei`,</v>
      </c>
    </row>
    <row r="77" spans="1:14" ht="14.4" customHeight="1" x14ac:dyDescent="0.3">
      <c r="A77" s="7" t="str">
        <f t="shared" si="8"/>
        <v>B02.00_Registrar for information about creditors/holders</v>
      </c>
      <c r="B77" t="s">
        <v>66</v>
      </c>
      <c r="C77" t="str">
        <f t="shared" si="11"/>
        <v>B02.00;c0490</v>
      </c>
      <c r="D77" t="s">
        <v>194</v>
      </c>
      <c r="E77" t="s">
        <v>195</v>
      </c>
      <c r="F77" t="str">
        <f t="shared" si="9"/>
        <v>String: Free text</v>
      </c>
      <c r="G77" t="s">
        <v>242</v>
      </c>
      <c r="H77" t="s">
        <v>257</v>
      </c>
      <c r="I77" t="s">
        <v>323</v>
      </c>
      <c r="J77" s="15"/>
      <c r="K77" s="50" t="str">
        <f t="shared" si="18"/>
        <v>FRMT_0490_rgstrr</v>
      </c>
      <c r="L77" s="50" t="str">
        <f>+VLOOKUP(D77,'B02_Mapping fields'!B:C,2,FALSE)</f>
        <v>0490_rgstrr</v>
      </c>
      <c r="M77" s="50" t="str">
        <f t="shared" si="23"/>
        <v>,CASE WHEN (`0490_rgstrr` RLIKE '[A-Za-z]' and `0490_rgstrr` NOT IN ('N/A','11111111111','11111111111.00','11111111111.000000','1111-11-11','0000-00-00','0001-01-01','9999-12-31','MISS','00000','99999999999','999999999999999','99999999999.00','99999999999.000000','-9999.9999','','XXX')) OR `0490_rgstrr` = 'Not applicable' THEN 0 ELSE 1 END AS FRMT_0490_rgstrr</v>
      </c>
      <c r="N77" t="str">
        <f t="shared" si="10"/>
        <v>SUM(FRMT_0490_rgstrr) AS `FRMT_0490_rgstrr`,</v>
      </c>
    </row>
    <row r="78" spans="1:14" ht="14.4" customHeight="1" x14ac:dyDescent="0.3">
      <c r="A78" s="7" t="str">
        <f t="shared" si="8"/>
        <v>B02.00_Registrar for information about creditors/holders (LEI)</v>
      </c>
      <c r="B78" t="s">
        <v>66</v>
      </c>
      <c r="C78" t="str">
        <f t="shared" si="11"/>
        <v>B02.00;c0491</v>
      </c>
      <c r="D78" t="s">
        <v>196</v>
      </c>
      <c r="E78" t="s">
        <v>197</v>
      </c>
      <c r="F78" t="str">
        <f t="shared" si="9"/>
        <v>String: Free text</v>
      </c>
      <c r="G78" t="s">
        <v>242</v>
      </c>
      <c r="H78" t="s">
        <v>257</v>
      </c>
      <c r="I78" t="s">
        <v>323</v>
      </c>
      <c r="J78" s="15"/>
      <c r="K78" s="50" t="str">
        <f t="shared" si="18"/>
        <v>FRMT_0491_rgstrr_lei</v>
      </c>
      <c r="L78" s="50" t="str">
        <f>+VLOOKUP(D78,'B02_Mapping fields'!B:C,2,FALSE)</f>
        <v>0491_rgstrr_lei</v>
      </c>
      <c r="M78" s="50" t="str">
        <f t="shared" si="23"/>
        <v>,CASE WHEN (`0491_rgstrr_lei` RLIKE '[A-Za-z]' and `0491_rgstrr_lei` NOT IN ('N/A','11111111111','11111111111.00','11111111111.000000','1111-11-11','0000-00-00','0001-01-01','9999-12-31','MISS','00000','99999999999','999999999999999','99999999999.00','99999999999.000000','-9999.9999','','XXX')) OR `0491_rgstrr_lei` = 'Not applicable' THEN 0 ELSE 1 END AS FRMT_0491_rgstrr_lei</v>
      </c>
      <c r="N78" t="str">
        <f t="shared" si="10"/>
        <v>SUM(FRMT_0491_rgstrr_lei) AS `FRMT_0491_rgstrr_lei`,</v>
      </c>
    </row>
    <row r="79" spans="1:14" ht="14.4" customHeight="1" x14ac:dyDescent="0.3">
      <c r="A79" s="7" t="str">
        <f t="shared" si="8"/>
        <v>B02.00_National Numbering Agency</v>
      </c>
      <c r="B79" t="s">
        <v>66</v>
      </c>
      <c r="C79" t="str">
        <f t="shared" si="11"/>
        <v>B02.00;c0500</v>
      </c>
      <c r="D79" t="s">
        <v>198</v>
      </c>
      <c r="E79" t="s">
        <v>199</v>
      </c>
      <c r="F79" t="str">
        <f t="shared" si="9"/>
        <v>String: Free text</v>
      </c>
      <c r="G79" t="s">
        <v>242</v>
      </c>
      <c r="H79" t="s">
        <v>257</v>
      </c>
      <c r="I79" t="s">
        <v>323</v>
      </c>
      <c r="J79" s="15"/>
      <c r="K79" s="50" t="str">
        <f t="shared" si="18"/>
        <v>FRMT_0500_nna</v>
      </c>
      <c r="L79" s="50" t="str">
        <f>+VLOOKUP(D79,'B02_Mapping fields'!B:C,2,FALSE)</f>
        <v>0500_nna</v>
      </c>
      <c r="M79" s="50" t="str">
        <f t="shared" si="23"/>
        <v>,CASE WHEN (`0500_nna` RLIKE '[A-Za-z]' and `0500_nna` NOT IN ('N/A','11111111111','11111111111.00','11111111111.000000','1111-11-11','0000-00-00','0001-01-01','9999-12-31','MISS','00000','99999999999','999999999999999','99999999999.00','99999999999.000000','-9999.9999','','XXX')) OR `0500_nna` = 'Not applicable' THEN 0 ELSE 1 END AS FRMT_0500_nna</v>
      </c>
      <c r="N79" t="str">
        <f t="shared" si="10"/>
        <v>SUM(FRMT_0500_nna) AS `FRMT_0500_nna`,</v>
      </c>
    </row>
    <row r="80" spans="1:14" ht="14.4" customHeight="1" x14ac:dyDescent="0.3">
      <c r="A80" s="7" t="str">
        <f t="shared" si="8"/>
        <v>B02.00_National Numbering Agency (LEI)</v>
      </c>
      <c r="B80" t="s">
        <v>66</v>
      </c>
      <c r="C80" t="str">
        <f t="shared" si="11"/>
        <v>B02.00;c0501</v>
      </c>
      <c r="D80" t="s">
        <v>200</v>
      </c>
      <c r="E80" t="s">
        <v>201</v>
      </c>
      <c r="F80" t="str">
        <f t="shared" si="9"/>
        <v>String: Free text</v>
      </c>
      <c r="G80" t="s">
        <v>242</v>
      </c>
      <c r="H80" t="s">
        <v>257</v>
      </c>
      <c r="I80" t="s">
        <v>323</v>
      </c>
      <c r="J80" s="15"/>
      <c r="K80" s="50" t="str">
        <f t="shared" si="18"/>
        <v>FRMT_0501_nna_lei</v>
      </c>
      <c r="L80" s="50" t="str">
        <f>+VLOOKUP(D80,'B02_Mapping fields'!B:C,2,FALSE)</f>
        <v>0501_nna_lei</v>
      </c>
      <c r="M80" s="50" t="str">
        <f t="shared" si="23"/>
        <v>,CASE WHEN (`0501_nna_lei` RLIKE '[A-Za-z]' and `0501_nna_lei` NOT IN ('N/A','11111111111','11111111111.00','11111111111.000000','1111-11-11','0000-00-00','0001-01-01','9999-12-31','MISS','00000','99999999999','999999999999999','99999999999.00','99999999999.000000','-9999.9999','','XXX')) OR `0501_nna_lei` = 'Not applicable' THEN 0 ELSE 1 END AS FRMT_0501_nna_lei</v>
      </c>
      <c r="N80" t="str">
        <f t="shared" si="10"/>
        <v>SUM(FRMT_0501_nna_lei) AS `FRMT_0501_nna_lei`,</v>
      </c>
    </row>
    <row r="81" spans="1:14" ht="14.4" customHeight="1" x14ac:dyDescent="0.3">
      <c r="A81" s="7" t="str">
        <f t="shared" si="8"/>
        <v>B02.00_Common Depository</v>
      </c>
      <c r="B81" t="s">
        <v>66</v>
      </c>
      <c r="C81" t="str">
        <f t="shared" si="11"/>
        <v>B02.00;c0510</v>
      </c>
      <c r="D81" t="s">
        <v>202</v>
      </c>
      <c r="E81" t="s">
        <v>203</v>
      </c>
      <c r="F81" t="str">
        <f t="shared" si="9"/>
        <v>String: Free text</v>
      </c>
      <c r="G81" t="s">
        <v>242</v>
      </c>
      <c r="H81" t="s">
        <v>257</v>
      </c>
      <c r="I81" t="s">
        <v>323</v>
      </c>
      <c r="J81" s="15"/>
      <c r="K81" s="50" t="str">
        <f t="shared" si="18"/>
        <v>FRMT_0510_cmmn_dpstry</v>
      </c>
      <c r="L81" s="50" t="str">
        <f>+VLOOKUP(D81,'B02_Mapping fields'!B:C,2,FALSE)</f>
        <v>0510_cmmn_dpstry</v>
      </c>
      <c r="M81" s="50" t="str">
        <f t="shared" si="23"/>
        <v>,CASE WHEN (`0510_cmmn_dpstry` RLIKE '[A-Za-z]' and `0510_cmmn_dpstry` NOT IN ('N/A','11111111111','11111111111.00','11111111111.000000','1111-11-11','0000-00-00','0001-01-01','9999-12-31','MISS','00000','99999999999','999999999999999','99999999999.00','99999999999.000000','-9999.9999','','XXX')) OR `0510_cmmn_dpstry` = 'Not applicable' THEN 0 ELSE 1 END AS FRMT_0510_cmmn_dpstry</v>
      </c>
      <c r="N81" t="str">
        <f t="shared" si="10"/>
        <v>SUM(FRMT_0510_cmmn_dpstry) AS `FRMT_0510_cmmn_dpstry`,</v>
      </c>
    </row>
    <row r="82" spans="1:14" ht="14.4" customHeight="1" x14ac:dyDescent="0.3">
      <c r="A82" s="7" t="str">
        <f t="shared" si="8"/>
        <v>B02.00_Common Depository (LEI)</v>
      </c>
      <c r="B82" t="s">
        <v>66</v>
      </c>
      <c r="C82" t="str">
        <f t="shared" si="11"/>
        <v>B02.00;c0511</v>
      </c>
      <c r="D82" t="s">
        <v>204</v>
      </c>
      <c r="E82" t="s">
        <v>205</v>
      </c>
      <c r="F82" t="str">
        <f t="shared" si="9"/>
        <v>String: Free text</v>
      </c>
      <c r="G82" t="s">
        <v>242</v>
      </c>
      <c r="H82" t="s">
        <v>257</v>
      </c>
      <c r="I82" t="s">
        <v>323</v>
      </c>
      <c r="J82" s="15"/>
      <c r="K82" s="50" t="str">
        <f t="shared" si="18"/>
        <v>FRMT_0511_cmmn_dpstry_lei</v>
      </c>
      <c r="L82" s="50" t="str">
        <f>+VLOOKUP(D82,'B02_Mapping fields'!B:C,2,FALSE)</f>
        <v>0511_cmmn_dpstry_lei</v>
      </c>
      <c r="M82" s="50" t="str">
        <f t="shared" si="23"/>
        <v>,CASE WHEN (`0511_cmmn_dpstry_lei` RLIKE '[A-Za-z]' and `0511_cmmn_dpstry_lei` NOT IN ('N/A','11111111111','11111111111.00','11111111111.000000','1111-11-11','0000-00-00','0001-01-01','9999-12-31','MISS','00000','99999999999','999999999999999','99999999999.00','99999999999.000000','-9999.9999','','XXX')) OR `0511_cmmn_dpstry_lei` = 'Not applicable' THEN 0 ELSE 1 END AS FRMT_0511_cmmn_dpstry_lei</v>
      </c>
      <c r="N82" t="str">
        <f t="shared" si="10"/>
        <v>SUM(FRMT_0511_cmmn_dpstry_lei) AS `FRMT_0511_cmmn_dpstry_lei`,</v>
      </c>
    </row>
    <row r="83" spans="1:14" ht="14.4" customHeight="1" x14ac:dyDescent="0.3">
      <c r="A83" s="7" t="str">
        <f t="shared" ref="A83" si="24">CONCATENATE(B83,"_",E83)</f>
        <v>B02.00_Common Service Provider</v>
      </c>
      <c r="B83" t="s">
        <v>66</v>
      </c>
      <c r="C83" t="str">
        <f t="shared" ref="C83" si="25">CONCATENATE(B83,";c",D83)</f>
        <v>B02.00;c0520</v>
      </c>
      <c r="D83" s="9" t="s">
        <v>206</v>
      </c>
      <c r="E83" t="s">
        <v>207</v>
      </c>
      <c r="F83" t="str">
        <f t="shared" ref="F83:F124" si="26">CONCATENATE(G83,": ",H83)</f>
        <v>String: Free text</v>
      </c>
      <c r="G83" t="s">
        <v>242</v>
      </c>
      <c r="H83" t="s">
        <v>257</v>
      </c>
      <c r="I83" t="s">
        <v>323</v>
      </c>
      <c r="J83" s="15"/>
      <c r="K83" s="50" t="str">
        <f t="shared" si="18"/>
        <v>FRMT_0520_cmmn_srvc_prvdr</v>
      </c>
      <c r="L83" s="50" t="str">
        <f>+VLOOKUP(D83,'B02_Mapping fields'!B:C,2,FALSE)</f>
        <v>0520_cmmn_srvc_prvdr</v>
      </c>
      <c r="M83" s="50" t="str">
        <f t="shared" si="23"/>
        <v>,CASE WHEN (`0520_cmmn_srvc_prvdr` RLIKE '[A-Za-z]' and `0520_cmmn_srvc_prvdr` NOT IN ('N/A','11111111111','11111111111.00','11111111111.000000','1111-11-11','0000-00-00','0001-01-01','9999-12-31','MISS','00000','99999999999','999999999999999','99999999999.00','99999999999.000000','-9999.9999','','XXX')) OR `0520_cmmn_srvc_prvdr` = 'Not applicable' THEN 0 ELSE 1 END AS FRMT_0520_cmmn_srvc_prvdr</v>
      </c>
      <c r="N83" t="str">
        <f t="shared" si="10"/>
        <v>SUM(FRMT_0520_cmmn_srvc_prvdr) AS `FRMT_0520_cmmn_srvc_prvdr`,</v>
      </c>
    </row>
    <row r="84" spans="1:14" ht="14.4" customHeight="1" x14ac:dyDescent="0.3">
      <c r="A84" s="7" t="str">
        <f t="shared" si="8"/>
        <v>B02.00_Common Service Provider (LEI)</v>
      </c>
      <c r="B84" t="s">
        <v>66</v>
      </c>
      <c r="C84" t="str">
        <f t="shared" si="11"/>
        <v>B02.00;c0521</v>
      </c>
      <c r="D84" s="9" t="s">
        <v>208</v>
      </c>
      <c r="E84" t="s">
        <v>209</v>
      </c>
      <c r="F84" t="str">
        <f t="shared" si="26"/>
        <v>String: Free text</v>
      </c>
      <c r="G84" t="s">
        <v>242</v>
      </c>
      <c r="H84" t="s">
        <v>257</v>
      </c>
      <c r="I84" t="s">
        <v>323</v>
      </c>
      <c r="J84" s="15"/>
      <c r="K84" s="50" t="str">
        <f t="shared" si="18"/>
        <v>FRMT_0521_cmmn_srvc_prvdr_lei</v>
      </c>
      <c r="L84" s="50" t="str">
        <f>+VLOOKUP(D84,'B02_Mapping fields'!B:C,2,FALSE)</f>
        <v>0521_cmmn_srvc_prvdr_lei</v>
      </c>
      <c r="M84" s="50" t="str">
        <f t="shared" si="23"/>
        <v>,CASE WHEN (`0521_cmmn_srvc_prvdr_lei` RLIKE '[A-Za-z]' and `0521_cmmn_srvc_prvdr_lei` NOT IN ('N/A','11111111111','11111111111.00','11111111111.000000','1111-11-11','0000-00-00','0001-01-01','9999-12-31','MISS','00000','99999999999','999999999999999','99999999999.00','99999999999.000000','-9999.9999','','XXX')) OR `0521_cmmn_srvc_prvdr_lei` = 'Not applicable' THEN 0 ELSE 1 END AS FRMT_0521_cmmn_srvc_prvdr_lei</v>
      </c>
      <c r="N84" t="str">
        <f t="shared" ref="N84:N99" si="27">+"SUM("&amp;K84&amp;") AS `"&amp;K84&amp;"`,"</f>
        <v>SUM(FRMT_0521_cmmn_srvc_prvdr_lei) AS `FRMT_0521_cmmn_srvc_prvdr_lei`,</v>
      </c>
    </row>
    <row r="85" spans="1:14" ht="14.4" customHeight="1" x14ac:dyDescent="0.3">
      <c r="A85" s="7" t="str">
        <f t="shared" ref="A85:A136" si="28">CONCATENATE(B85,"_",E85)</f>
        <v>B02.00_Type of own funds at individual level</v>
      </c>
      <c r="B85" t="s">
        <v>66</v>
      </c>
      <c r="C85" t="str">
        <f t="shared" ref="C85:C111" si="29">CONCATENATE(B85,";c",D85)</f>
        <v>B02.00;c0530</v>
      </c>
      <c r="D85" s="9" t="s">
        <v>210</v>
      </c>
      <c r="E85" t="s">
        <v>332</v>
      </c>
      <c r="F85" t="str">
        <f t="shared" si="26"/>
        <v>String: Drop-down</v>
      </c>
      <c r="G85" s="59" t="s">
        <v>242</v>
      </c>
      <c r="H85" t="s">
        <v>258</v>
      </c>
      <c r="I85" t="s">
        <v>323</v>
      </c>
      <c r="J85" s="15"/>
      <c r="K85" s="50" t="str">
        <f t="shared" si="18"/>
        <v>FRMT_0530_typ_own_fnds_ind_lvl</v>
      </c>
      <c r="L85" s="50" t="str">
        <f>+VLOOKUP(D85,'B02_Mapping fields'!B:C,2,FALSE)</f>
        <v>0530_typ_own_fnds_ind_lvl</v>
      </c>
      <c r="M85" t="str">
        <f>+",CASE WHEN `"&amp;L85&amp;"` IN ('T2 in phase-out', 'Grandfathered T2', 'Fully Compliant T2', 'Partially (A)T1 and T2', 'Grandfathered AT1', 'Fully Compliant AT1', 'CET1', 'No', 'Not applicable') THEN 0 ELSE 1 END AS "&amp;K85</f>
        <v>,CASE WHEN `0530_typ_own_fnds_ind_lvl` IN ('T2 in phase-out', 'Grandfathered T2', 'Fully Compliant T2', 'Partially (A)T1 and T2', 'Grandfathered AT1', 'Fully Compliant AT1', 'CET1', 'No', 'Not applicable') THEN 0 ELSE 1 END AS FRMT_0530_typ_own_fnds_ind_lvl</v>
      </c>
      <c r="N85" t="str">
        <f t="shared" si="27"/>
        <v>SUM(FRMT_0530_typ_own_fnds_ind_lvl) AS `FRMT_0530_typ_own_fnds_ind_lvl`,</v>
      </c>
    </row>
    <row r="86" spans="1:14" ht="14.4" customHeight="1" x14ac:dyDescent="0.3">
      <c r="A86" s="7" t="str">
        <f t="shared" si="28"/>
        <v>B02.00_Eligible amount for own funds at individual level</v>
      </c>
      <c r="B86" t="s">
        <v>66</v>
      </c>
      <c r="C86" t="str">
        <f t="shared" si="29"/>
        <v>B02.00;c0540</v>
      </c>
      <c r="D86" s="9" t="s">
        <v>213</v>
      </c>
      <c r="E86" t="s">
        <v>333</v>
      </c>
      <c r="F86" t="str">
        <f t="shared" si="26"/>
        <v>Numeric: 2 decimals</v>
      </c>
      <c r="G86" t="s">
        <v>241</v>
      </c>
      <c r="H86" t="s">
        <v>259</v>
      </c>
      <c r="I86" t="s">
        <v>322</v>
      </c>
      <c r="J86" s="15"/>
      <c r="K86" s="50" t="str">
        <f t="shared" si="18"/>
        <v>FRMT_0540_elgbl_amnt_own_fnds_ind_lvl</v>
      </c>
      <c r="L86" s="50" t="str">
        <f>+VLOOKUP(D86,'B02_Mapping fields'!B:C,2,FALSE)</f>
        <v>0540_elgbl_amnt_own_fnds_ind_lvl</v>
      </c>
      <c r="M86" s="50" t="str">
        <f>+",CASE WHEN (CAST(ROUND(`"&amp;L86&amp;"`, 2) AS STRING) = CAST(`"&amp;L86&amp;"` AS STRING) AND CAST(`"&amp;L86&amp;"` AS STRING) NOT IN ('N/A','11111111111','11111111111.00','11111111111.000000','1111-11-11','0000-00-00','0001-01-01','9999-12-31','MISS','00000','99999999999','99999999999.00','99999999999.000000','-9999.9999','','Not applicable','XXX')) OR `"&amp;L86&amp;"`= 999999999999999.00 THEN 0 ELSE 1 END AS "&amp;K86</f>
        <v>,CASE WHEN (CAST(ROUND(`0540_elgbl_amnt_own_fnds_ind_lvl`, 2) AS STRING) = CAST(`0540_elgbl_amnt_own_fnds_ind_lvl` AS STRING) AND CAST(`0540_elgbl_amnt_own_fnds_ind_lvl` AS STRING) NOT IN ('N/A','11111111111','11111111111.00','11111111111.000000','1111-11-11','0000-00-00','0001-01-01','9999-12-31','MISS','00000','99999999999','99999999999.00','99999999999.000000','-9999.9999','','Not applicable','XXX')) OR `0540_elgbl_amnt_own_fnds_ind_lvl`= 999999999999999.00 THEN 0 ELSE 1 END AS FRMT_0540_elgbl_amnt_own_fnds_ind_lvl</v>
      </c>
      <c r="N86" t="str">
        <f t="shared" si="27"/>
        <v>SUM(FRMT_0540_elgbl_amnt_own_fnds_ind_lvl) AS `FRMT_0540_elgbl_amnt_own_fnds_ind_lvl`,</v>
      </c>
    </row>
    <row r="87" spans="1:14" ht="14.4" customHeight="1" x14ac:dyDescent="0.3">
      <c r="A87" s="7" t="str">
        <f t="shared" si="28"/>
        <v>B02.00_Type of own funds at consolidated level</v>
      </c>
      <c r="B87" t="s">
        <v>66</v>
      </c>
      <c r="C87" t="str">
        <f t="shared" si="29"/>
        <v>B02.00;c0550</v>
      </c>
      <c r="D87" s="9" t="s">
        <v>214</v>
      </c>
      <c r="E87" t="s">
        <v>334</v>
      </c>
      <c r="F87" t="str">
        <f t="shared" si="26"/>
        <v>String: Drop-down</v>
      </c>
      <c r="G87" s="59" t="s">
        <v>242</v>
      </c>
      <c r="H87" t="s">
        <v>258</v>
      </c>
      <c r="I87" t="s">
        <v>323</v>
      </c>
      <c r="J87" s="15"/>
      <c r="K87" s="50" t="str">
        <f t="shared" si="18"/>
        <v>FRMT_0550_typ_own_fnds_cnsldtd_lvl</v>
      </c>
      <c r="L87" s="50" t="str">
        <f>+VLOOKUP(D87,'B02_Mapping fields'!B:C,2,FALSE)</f>
        <v>0550_typ_own_fnds_cnsldtd_lvl</v>
      </c>
      <c r="M87" t="str">
        <f>+",CASE WHEN `"&amp;L87&amp;"` IN ('T2 in phase-out', 'Grandfathered T2', 'Fully Compliant T2', 'Partially (A)T1 and T2', 'Grandfathered AT1', 'Fully Compliant AT1', 'CET1', 'No', 'Not applicable') THEN 0 ELSE 1 END AS "&amp;K87</f>
        <v>,CASE WHEN `0550_typ_own_fnds_cnsldtd_lvl` IN ('T2 in phase-out', 'Grandfathered T2', 'Fully Compliant T2', 'Partially (A)T1 and T2', 'Grandfathered AT1', 'Fully Compliant AT1', 'CET1', 'No', 'Not applicable') THEN 0 ELSE 1 END AS FRMT_0550_typ_own_fnds_cnsldtd_lvl</v>
      </c>
      <c r="N87" t="str">
        <f t="shared" si="27"/>
        <v>SUM(FRMT_0550_typ_own_fnds_cnsldtd_lvl) AS `FRMT_0550_typ_own_fnds_cnsldtd_lvl`,</v>
      </c>
    </row>
    <row r="88" spans="1:14" ht="14.4" customHeight="1" x14ac:dyDescent="0.3">
      <c r="A88" s="7" t="str">
        <f t="shared" si="28"/>
        <v xml:space="preserve">B02.00_Eligible amount for own funds at consolidated level </v>
      </c>
      <c r="B88" t="s">
        <v>66</v>
      </c>
      <c r="C88" t="str">
        <f t="shared" si="29"/>
        <v>B02.00;c0560</v>
      </c>
      <c r="D88" s="9" t="s">
        <v>215</v>
      </c>
      <c r="E88" t="s">
        <v>335</v>
      </c>
      <c r="F88" t="str">
        <f t="shared" si="26"/>
        <v>Numeric: 2 decimals</v>
      </c>
      <c r="G88" t="s">
        <v>241</v>
      </c>
      <c r="H88" t="s">
        <v>259</v>
      </c>
      <c r="I88" t="s">
        <v>322</v>
      </c>
      <c r="J88" s="15"/>
      <c r="K88" s="50" t="str">
        <f t="shared" si="18"/>
        <v>FRMT_0560_elgbl_amnt_own_fnds_cnsldtd_lvl</v>
      </c>
      <c r="L88" s="50" t="str">
        <f>+VLOOKUP(D88,'B02_Mapping fields'!B:C,2,FALSE)</f>
        <v>0560_elgbl_amnt_own_fnds_cnsldtd_lvl</v>
      </c>
      <c r="M88" s="50" t="str">
        <f>+",CASE WHEN (CAST(ROUND(`"&amp;L88&amp;"`, 2) AS STRING) = CAST(`"&amp;L88&amp;"` AS STRING) AND CAST(`"&amp;L88&amp;"` AS STRING) NOT IN ('N/A','11111111111','11111111111.00','11111111111.000000','1111-11-11','0000-00-00','0001-01-01','9999-12-31','MISS','00000','99999999999','99999999999.00','99999999999.000000','-9999.9999','','Not applicable','XXX')) OR `"&amp;L88&amp;"`= 999999999999999.00 THEN 0 ELSE 1 END AS "&amp;K88</f>
        <v>,CASE WHEN (CAST(ROUND(`0560_elgbl_amnt_own_fnds_cnsldtd_lvl`, 2) AS STRING) = CAST(`0560_elgbl_amnt_own_fnds_cnsldtd_lvl` AS STRING) AND CAST(`0560_elgbl_amnt_own_fnds_cnsldtd_lvl` AS STRING) NOT IN ('N/A','11111111111','11111111111.00','11111111111.000000','1111-11-11','0000-00-00','0001-01-01','9999-12-31','MISS','00000','99999999999','99999999999.00','99999999999.000000','-9999.9999','','Not applicable','XXX')) OR `0560_elgbl_amnt_own_fnds_cnsldtd_lvl`= 999999999999999.00 THEN 0 ELSE 1 END AS FRMT_0560_elgbl_amnt_own_fnds_cnsldtd_lvl</v>
      </c>
      <c r="N88" t="str">
        <f t="shared" si="27"/>
        <v>SUM(FRMT_0560_elgbl_amnt_own_fnds_cnsldtd_lvl) AS `FRMT_0560_elgbl_amnt_own_fnds_cnsldtd_lvl`,</v>
      </c>
    </row>
    <row r="89" spans="1:14" ht="14.4" customHeight="1" x14ac:dyDescent="0.3">
      <c r="A89" s="7" t="str">
        <f t="shared" si="28"/>
        <v>B02.00_Amount of the security interest provided</v>
      </c>
      <c r="B89" t="s">
        <v>66</v>
      </c>
      <c r="C89" t="str">
        <f t="shared" si="29"/>
        <v>B02.00;c0570</v>
      </c>
      <c r="D89" s="9" t="s">
        <v>216</v>
      </c>
      <c r="E89" t="s">
        <v>118</v>
      </c>
      <c r="F89" t="str">
        <f t="shared" si="26"/>
        <v>Numeric: 2 decimals</v>
      </c>
      <c r="G89" t="s">
        <v>241</v>
      </c>
      <c r="H89" t="s">
        <v>259</v>
      </c>
      <c r="I89" s="15"/>
      <c r="J89" s="15"/>
      <c r="K89" s="50" t="str">
        <f t="shared" si="18"/>
        <v>FRMT_0570_amnt_scrty_intrst_prvdd</v>
      </c>
      <c r="L89" s="50" t="str">
        <f>+VLOOKUP(D89,'B02_Mapping fields'!B:C,2,FALSE)</f>
        <v>0570_amnt_scrty_intrst_prvdd</v>
      </c>
      <c r="M89" s="50" t="str">
        <f>+",CASE WHEN CAST(ROUND(`"&amp;L89&amp;"`, 2) AS STRING) = CAST(`"&amp;L89&amp;"` AS STRING) AND CAST(`"&amp;L89&amp;_xlfn._LONGTEXT("`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")&amp;K89</f>
        <v>,CASE WHEN CAST(ROUND(`0570_amnt_scrty_intrst_prvdd`, 2) AS STRING) = CAST(`0570_amnt_scrty_intrst_prvdd` AS STRING) AND CAST(`0570_amnt_scrty_intrst_prvdd` AS STRING) NOT IN ('N/A','11111111111','11111111111.00','11111111111.000000','1111-11-11','0000-00-00','0001-01-01','9999-12-31','MISS','00000','99999999999','99999999999.00','99999999999.000000','-9999.9999','','Not applicable','XXX') THEN 0 ELSE 1 END AS FRMT_0570_amnt_scrty_intrst_prvdd</v>
      </c>
      <c r="N89" t="str">
        <f t="shared" si="27"/>
        <v>SUM(FRMT_0570_amnt_scrty_intrst_prvdd) AS `FRMT_0570_amnt_scrty_intrst_prvdd`,</v>
      </c>
    </row>
    <row r="90" spans="1:14" ht="14.4" customHeight="1" x14ac:dyDescent="0.3">
      <c r="A90" s="7" t="str">
        <f t="shared" si="28"/>
        <v>B02.00_Security interest provider (Name)</v>
      </c>
      <c r="B90" t="s">
        <v>66</v>
      </c>
      <c r="C90" t="str">
        <f t="shared" si="29"/>
        <v>B02.00;c0580</v>
      </c>
      <c r="D90" s="9" t="s">
        <v>217</v>
      </c>
      <c r="E90" t="s">
        <v>222</v>
      </c>
      <c r="F90" t="str">
        <f t="shared" si="26"/>
        <v>String: Free text</v>
      </c>
      <c r="G90" t="s">
        <v>242</v>
      </c>
      <c r="H90" t="s">
        <v>257</v>
      </c>
      <c r="I90" t="s">
        <v>323</v>
      </c>
      <c r="J90" s="15"/>
      <c r="K90" s="50" t="str">
        <f t="shared" si="18"/>
        <v>FRMT_0580_scrty_intrst_prvdr</v>
      </c>
      <c r="L90" s="50" t="str">
        <f>+VLOOKUP(D90,'B02_Mapping fields'!B:C,2,FALSE)</f>
        <v>0580_scrty_intrst_prvdr</v>
      </c>
      <c r="M90" s="50" t="str">
        <f t="shared" ref="M90:M91" si="30">+",CASE WHEN (`"&amp;L90&amp;"` RLIKE '[A-Za-z]' and `"&amp;L90&amp;"` NOT IN ('N/A','11111111111','11111111111.00','11111111111.000000','1111-11-11','0000-00-00','0001-01-01','9999-12-31','MISS','00000','99999999999','999999999999999','99999999999.00','99999999999.000000','-9999.9999','','XXX')) OR `"&amp;L90&amp;"` = 'Not applicable' THEN 0 ELSE 1 END AS "&amp;K90</f>
        <v>,CASE WHEN (`0580_scrty_intrst_prvdr` RLIKE '[A-Za-z]' and `0580_scrty_intrst_prvdr` NOT IN ('N/A','11111111111','11111111111.00','11111111111.000000','1111-11-11','0000-00-00','0001-01-01','9999-12-31','MISS','00000','99999999999','999999999999999','99999999999.00','99999999999.000000','-9999.9999','','XXX')) OR `0580_scrty_intrst_prvdr` = 'Not applicable' THEN 0 ELSE 1 END AS FRMT_0580_scrty_intrst_prvdr</v>
      </c>
      <c r="N90" t="str">
        <f t="shared" si="27"/>
        <v>SUM(FRMT_0580_scrty_intrst_prvdr) AS `FRMT_0580_scrty_intrst_prvdr`,</v>
      </c>
    </row>
    <row r="91" spans="1:14" ht="14.4" customHeight="1" x14ac:dyDescent="0.3">
      <c r="A91" s="7" t="str">
        <f t="shared" si="28"/>
        <v>B02.00_Security interest provider (LEI)</v>
      </c>
      <c r="B91" t="s">
        <v>66</v>
      </c>
      <c r="C91" t="str">
        <f t="shared" si="29"/>
        <v>B02.00;c0581</v>
      </c>
      <c r="D91" s="9" t="s">
        <v>346</v>
      </c>
      <c r="E91" t="s">
        <v>223</v>
      </c>
      <c r="F91" t="str">
        <f t="shared" si="26"/>
        <v>String: Free text</v>
      </c>
      <c r="G91" t="s">
        <v>242</v>
      </c>
      <c r="H91" t="s">
        <v>257</v>
      </c>
      <c r="I91" t="s">
        <v>323</v>
      </c>
      <c r="J91" s="15"/>
      <c r="K91" s="50" t="str">
        <f t="shared" si="18"/>
        <v>FRMT_0581_scrty_intrst_prvdr_lei</v>
      </c>
      <c r="L91" s="50" t="str">
        <f>+VLOOKUP(D91,'B02_Mapping fields'!B:C,2,FALSE)</f>
        <v>0581_scrty_intrst_prvdr_lei</v>
      </c>
      <c r="M91" s="50" t="str">
        <f t="shared" si="30"/>
        <v>,CASE WHEN (`0581_scrty_intrst_prvdr_lei` RLIKE '[A-Za-z]' and `0581_scrty_intrst_prvdr_lei` NOT IN ('N/A','11111111111','11111111111.00','11111111111.000000','1111-11-11','0000-00-00','0001-01-01','9999-12-31','MISS','00000','99999999999','999999999999999','99999999999.00','99999999999.000000','-9999.9999','','XXX')) OR `0581_scrty_intrst_prvdr_lei` = 'Not applicable' THEN 0 ELSE 1 END AS FRMT_0581_scrty_intrst_prvdr_lei</v>
      </c>
      <c r="N91" t="str">
        <f t="shared" si="27"/>
        <v>SUM(FRMT_0581_scrty_intrst_prvdr_lei) AS `FRMT_0581_scrty_intrst_prvdr_lei`,</v>
      </c>
    </row>
    <row r="92" spans="1:14" ht="14.4" customHeight="1" x14ac:dyDescent="0.3">
      <c r="A92" s="7" t="str">
        <f t="shared" si="28"/>
        <v xml:space="preserve">B02.00_Type of security interest provided by a third party </v>
      </c>
      <c r="B92" t="s">
        <v>66</v>
      </c>
      <c r="C92" t="str">
        <f t="shared" si="29"/>
        <v>B02.00;c0590</v>
      </c>
      <c r="D92" s="9" t="s">
        <v>218</v>
      </c>
      <c r="E92" t="s">
        <v>119</v>
      </c>
      <c r="F92" t="str">
        <f t="shared" si="26"/>
        <v>String: Drop-down</v>
      </c>
      <c r="G92" s="59" t="s">
        <v>242</v>
      </c>
      <c r="H92" t="s">
        <v>258</v>
      </c>
      <c r="I92" t="s">
        <v>323</v>
      </c>
      <c r="J92" s="15"/>
      <c r="K92" s="50" t="str">
        <f t="shared" si="18"/>
        <v>FRMT_0590_typ_scrty_intrst_prvdd</v>
      </c>
      <c r="L92" s="50" t="str">
        <f>+VLOOKUP(D92,'B02_Mapping fields'!B:C,2,FALSE)</f>
        <v>0590_typ_scrty_intrst_prvdd</v>
      </c>
      <c r="M92" t="str">
        <f>+",CASE WHEN `"&amp;L92&amp;"` IN ('Lien', 'Guarantee', 'Surety', 'Guarantee obligation', 'Other', 'Not applicable', 'Aggregated') THEN 0 ELSE 1 END AS "&amp;K92</f>
        <v>,CASE WHEN `0590_typ_scrty_intrst_prvdd` IN ('Lien', 'Guarantee', 'Surety', 'Guarantee obligation', 'Other', 'Not applicable', 'Aggregated') THEN 0 ELSE 1 END AS FRMT_0590_typ_scrty_intrst_prvdd</v>
      </c>
      <c r="N92" t="str">
        <f t="shared" si="27"/>
        <v>SUM(FRMT_0590_typ_scrty_intrst_prvdd) AS `FRMT_0590_typ_scrty_intrst_prvdd`,</v>
      </c>
    </row>
    <row r="93" spans="1:14" ht="14.4" customHeight="1" x14ac:dyDescent="0.3">
      <c r="A93" s="7" t="str">
        <f t="shared" si="28"/>
        <v>B02.00_Collateral for an asset position</v>
      </c>
      <c r="B93" t="s">
        <v>66</v>
      </c>
      <c r="C93" t="str">
        <f t="shared" si="29"/>
        <v>B02.00;c0600</v>
      </c>
      <c r="D93" s="9" t="s">
        <v>219</v>
      </c>
      <c r="E93" t="s">
        <v>120</v>
      </c>
      <c r="F93" t="str">
        <f t="shared" si="26"/>
        <v>String: TRUE / FALSE boolean</v>
      </c>
      <c r="G93" s="59" t="s">
        <v>242</v>
      </c>
      <c r="H93" t="s">
        <v>263</v>
      </c>
      <c r="I93" t="s">
        <v>323</v>
      </c>
      <c r="J93" s="15"/>
      <c r="K93" s="50" t="str">
        <f t="shared" si="18"/>
        <v>FRMT_0600_flg_clltrl_asst_pstn</v>
      </c>
      <c r="L93" s="50" t="str">
        <f>+VLOOKUP(D93,'B02_Mapping fields'!B:C,2,FALSE)</f>
        <v>0600_flg_clltrl_asst_pstn</v>
      </c>
      <c r="M93" s="50" t="str">
        <f>+",CASE WHEN `"&amp;L93&amp;"` IN ('TRUE', 'FALSE', 'Not applicable')  THEN 0 ELSE 1 END AS "&amp;K93</f>
        <v>,CASE WHEN `0600_flg_clltrl_asst_pstn` IN ('TRUE', 'FALSE', 'Not applicable')  THEN 0 ELSE 1 END AS FRMT_0600_flg_clltrl_asst_pstn</v>
      </c>
      <c r="N93" t="str">
        <f t="shared" si="27"/>
        <v>SUM(FRMT_0600_flg_clltrl_asst_pstn) AS `FRMT_0600_flg_clltrl_asst_pstn`,</v>
      </c>
    </row>
    <row r="94" spans="1:14" ht="14.4" customHeight="1" x14ac:dyDescent="0.3">
      <c r="A94" s="7" t="str">
        <f t="shared" si="28"/>
        <v>B02.00_Carrying amount IFRS</v>
      </c>
      <c r="B94" t="s">
        <v>66</v>
      </c>
      <c r="C94" t="str">
        <f t="shared" si="29"/>
        <v>B02.00;c0610</v>
      </c>
      <c r="D94" s="9" t="s">
        <v>220</v>
      </c>
      <c r="E94" t="s">
        <v>64</v>
      </c>
      <c r="F94" t="str">
        <f t="shared" si="26"/>
        <v>Numeric: 2 decimals</v>
      </c>
      <c r="G94" t="s">
        <v>241</v>
      </c>
      <c r="H94" t="s">
        <v>259</v>
      </c>
      <c r="I94" s="15"/>
      <c r="J94" s="15"/>
      <c r="K94" s="50" t="str">
        <f t="shared" si="18"/>
        <v>FRMT_0610_crryng_amnt_ifrs</v>
      </c>
      <c r="L94" s="50" t="str">
        <f>+VLOOKUP(D94,'B02_Mapping fields'!B:C,2,FALSE)</f>
        <v>0610_crryng_amnt_ifrs</v>
      </c>
      <c r="M94" s="50" t="str">
        <f>+",CASE WHEN CAST(ROUND(`"&amp;L94&amp;"`, 2) AS STRING) = CAST(`"&amp;L94&amp;"` AS STRING) AND CAST(`"&amp;L94&amp;_xlfn._LONGTEXT("`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")&amp;K94</f>
        <v>,CASE WHEN CAST(ROUND(`0610_crryng_amnt_ifrs`, 2) AS STRING) = CAST(`0610_crryng_amnt_ifrs` AS STRING) AND CAST(`0610_crryng_amnt_ifrs` AS STRING) NOT IN ('N/A','11111111111','11111111111.00','11111111111.000000','1111-11-11','0000-00-00','0001-01-01','9999-12-31','MISS','00000','99999999999','99999999999.00','99999999999.000000','-9999.9999','','Not applicable','XXX') THEN 0 ELSE 1 END AS FRMT_0610_crryng_amnt_ifrs</v>
      </c>
      <c r="N94" t="str">
        <f t="shared" si="27"/>
        <v>SUM(FRMT_0610_crryng_amnt_ifrs) AS `FRMT_0610_crryng_amnt_ifrs`,</v>
      </c>
    </row>
    <row r="95" spans="1:14" ht="14.4" customHeight="1" x14ac:dyDescent="0.3">
      <c r="A95" s="7" t="str">
        <f t="shared" si="28"/>
        <v>B02.00_Balance sheet item according to IFRS</v>
      </c>
      <c r="B95" t="s">
        <v>66</v>
      </c>
      <c r="C95" t="str">
        <f t="shared" si="29"/>
        <v>B02.00;c0620</v>
      </c>
      <c r="D95" s="9" t="s">
        <v>221</v>
      </c>
      <c r="E95" t="s">
        <v>239</v>
      </c>
      <c r="F95" t="str">
        <f t="shared" si="26"/>
        <v>String: Drop-down</v>
      </c>
      <c r="G95" s="59" t="s">
        <v>242</v>
      </c>
      <c r="H95" t="s">
        <v>258</v>
      </c>
      <c r="I95" s="15"/>
      <c r="J95" s="15"/>
      <c r="K95" s="50" t="str">
        <f t="shared" si="18"/>
        <v>FRMT_0620_blnc_sht_ifrs</v>
      </c>
      <c r="L95" s="50" t="str">
        <f>+VLOOKUP(D95,'B02_Mapping fields'!B:C,2,FALSE)</f>
        <v>0620_blnc_sht_ifrs</v>
      </c>
      <c r="M95" t="str">
        <f>+",CASE WHEN `"&amp;L95&amp;"` IN ('010 Financial liabilities held for trading', '070 Financial liabilities at fair value through profit or loss', '110 Financial liabilities at amortized cost', '280 Other liabilities', '300 Total equity') THEN 0 ELSE 1 END AS "&amp;K95</f>
        <v>,CASE WHEN `0620_blnc_sht_ifrs` IN ('010 Financial liabilities held for trading', '070 Financial liabilities at fair value through profit or loss', '110 Financial liabilities at amortized cost', '280 Other liabilities', '300 Total equity') THEN 0 ELSE 1 END AS FRMT_0620_blnc_sht_ifrs</v>
      </c>
      <c r="N95" t="str">
        <f t="shared" si="27"/>
        <v>SUM(FRMT_0620_blnc_sht_ifrs) AS `FRMT_0620_blnc_sht_ifrs`,</v>
      </c>
    </row>
    <row r="96" spans="1:14" ht="14.4" customHeight="1" x14ac:dyDescent="0.3">
      <c r="A96" s="7" t="str">
        <f t="shared" si="28"/>
        <v>B02.00_Carrying amount national GAAP</v>
      </c>
      <c r="B96" t="s">
        <v>66</v>
      </c>
      <c r="C96" t="str">
        <f t="shared" ref="C96:C99" si="31">CONCATENATE(B96,";c",D96)</f>
        <v>B02.00;c0630</v>
      </c>
      <c r="D96" s="9" t="s">
        <v>224</v>
      </c>
      <c r="E96" t="s">
        <v>226</v>
      </c>
      <c r="F96" t="str">
        <f t="shared" si="26"/>
        <v>Numeric: 2 decimals</v>
      </c>
      <c r="G96" t="s">
        <v>241</v>
      </c>
      <c r="H96" t="s">
        <v>259</v>
      </c>
      <c r="I96" s="15"/>
      <c r="J96" s="15"/>
      <c r="K96" s="50" t="str">
        <f t="shared" si="18"/>
        <v>FRMT_0630_crrying_amnt_ngaap</v>
      </c>
      <c r="L96" s="50" t="str">
        <f>+VLOOKUP(D96,'B02_Mapping fields'!B:C,2,FALSE)</f>
        <v>0630_crrying_amnt_ngaap</v>
      </c>
      <c r="M96" s="50" t="str">
        <f>+",CASE WHEN CAST(ROUND(`"&amp;L96&amp;"`, 2) AS STRING) = CAST(`"&amp;L96&amp;"` AS STRING) AND CAST(`"&amp;L96&amp;_xlfn._LONGTEXT("`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")&amp;K96</f>
        <v>,CASE WHEN CAST(ROUND(`0630_crrying_amnt_ngaap`, 2) AS STRING) = CAST(`0630_crrying_amnt_ngaap` AS STRING) AND CAST(`0630_crrying_amnt_ngaap` AS STRING) NOT IN ('N/A','11111111111','11111111111.00','11111111111.000000','1111-11-11','0000-00-00','0001-01-01','9999-12-31','MISS','00000','99999999999','99999999999.00','99999999999.000000','-9999.9999','','Not applicable','XXX') THEN 0 ELSE 1 END AS FRMT_0630_crrying_amnt_ngaap</v>
      </c>
      <c r="N96" t="str">
        <f t="shared" si="27"/>
        <v>SUM(FRMT_0630_crrying_amnt_ngaap) AS `FRMT_0630_crrying_amnt_ngaap`,</v>
      </c>
    </row>
    <row r="97" spans="1:14" ht="14.4" customHeight="1" x14ac:dyDescent="0.3">
      <c r="A97" s="7" t="str">
        <f>CONCATENATE(B97,"_",E97)</f>
        <v>B02.00_Balance sheet item according to national GAAP</v>
      </c>
      <c r="B97" t="s">
        <v>66</v>
      </c>
      <c r="C97" t="str">
        <f t="shared" si="31"/>
        <v>B02.00;c0640</v>
      </c>
      <c r="D97" s="9" t="s">
        <v>225</v>
      </c>
      <c r="E97" t="s">
        <v>299</v>
      </c>
      <c r="F97" t="str">
        <f t="shared" si="26"/>
        <v>String: Free text</v>
      </c>
      <c r="G97" t="s">
        <v>242</v>
      </c>
      <c r="H97" t="s">
        <v>257</v>
      </c>
      <c r="I97" s="15"/>
      <c r="J97" s="15"/>
      <c r="K97" s="50" t="str">
        <f t="shared" si="18"/>
        <v>FRMT_0640_blnc_sht_ngaap</v>
      </c>
      <c r="L97" s="50" t="str">
        <f>+VLOOKUP(D97,'B02_Mapping fields'!B:C,2,FALSE)</f>
        <v>0640_blnc_sht_ngaap</v>
      </c>
      <c r="M97" s="50" t="str">
        <f>+",CASE WHEN `"&amp;L97&amp;"` RLIKE '[A-Za-z]' and `"&amp;L90&amp;_xlfn._LONGTEXT("`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")&amp;K97</f>
        <v>,CASE WHEN `0640_blnc_sht_ngaap` RLIKE '[A-Za-z]' and `0580_scrty_intrst_prvdr` NOT IN ('N/A','11111111111','11111111111.00','11111111111.000000','1111-11-11','0000-00-00','0001-01-01','9999-12-31','MISS','00000','99999999999','999999999999999','99999999999.00','99999999999.000000','-9999.9999','','Not applicable','XXX') THEN 0 ELSE 1 END AS FRMT_0640_blnc_sht_ngaap</v>
      </c>
      <c r="N97" t="str">
        <f t="shared" si="27"/>
        <v>SUM(FRMT_0640_blnc_sht_ngaap) AS `FRMT_0640_blnc_sht_ngaap`,</v>
      </c>
    </row>
    <row r="98" spans="1:14" ht="14.4" customHeight="1" x14ac:dyDescent="0.3">
      <c r="A98" s="7" t="str">
        <f t="shared" si="28"/>
        <v>B02.00_Instrument/liability is issued to or bought by an existing shareholder that is not part of the same resolution group</v>
      </c>
      <c r="B98" t="s">
        <v>66</v>
      </c>
      <c r="C98" t="str">
        <f t="shared" si="31"/>
        <v>B02.00;c5000</v>
      </c>
      <c r="D98" s="9" t="s">
        <v>227</v>
      </c>
      <c r="E98" t="s">
        <v>121</v>
      </c>
      <c r="F98" t="str">
        <f t="shared" si="26"/>
        <v>String: TRUE / FALSE boolean</v>
      </c>
      <c r="G98" s="59" t="s">
        <v>242</v>
      </c>
      <c r="H98" t="s">
        <v>263</v>
      </c>
      <c r="I98" s="15"/>
      <c r="J98" s="15"/>
      <c r="K98" s="50" t="str">
        <f t="shared" si="18"/>
        <v>FRMT_5000_flg_shrhldr_not_rsltn_grp</v>
      </c>
      <c r="L98" s="50" t="str">
        <f>+VLOOKUP(D98,'B02_Mapping fields'!B:C,2,FALSE)</f>
        <v>5000_flg_shrhldr_not_rsltn_grp</v>
      </c>
      <c r="M98" s="50" t="str">
        <f t="shared" ref="M98:M99" si="32">+",CASE WHEN `"&amp;L98&amp;"` IN ('TRUE', 'FALSE')  THEN 0 ELSE 1 END AS "&amp;K98</f>
        <v>,CASE WHEN `5000_flg_shrhldr_not_rsltn_grp` IN ('TRUE', 'FALSE')  THEN 0 ELSE 1 END AS FRMT_5000_flg_shrhldr_not_rsltn_grp</v>
      </c>
      <c r="N98" t="str">
        <f t="shared" si="27"/>
        <v>SUM(FRMT_5000_flg_shrhldr_not_rsltn_grp) AS `FRMT_5000_flg_shrhldr_not_rsltn_grp`,</v>
      </c>
    </row>
    <row r="99" spans="1:14" ht="14.4" customHeight="1" x14ac:dyDescent="0.3">
      <c r="A99" s="7" t="str">
        <f t="shared" si="28"/>
        <v>B02.00_Instrument/liability meets the requirements of Art. 21(7a) SRMR</v>
      </c>
      <c r="B99" t="s">
        <v>66</v>
      </c>
      <c r="C99" t="str">
        <f t="shared" si="31"/>
        <v>B02.00;c5010</v>
      </c>
      <c r="D99" s="9" t="s">
        <v>228</v>
      </c>
      <c r="E99" t="s">
        <v>122</v>
      </c>
      <c r="F99" t="str">
        <f t="shared" si="26"/>
        <v>String: TRUE / FALSE boolean</v>
      </c>
      <c r="G99" s="59" t="s">
        <v>242</v>
      </c>
      <c r="H99" t="s">
        <v>263</v>
      </c>
      <c r="I99" s="15"/>
      <c r="J99" s="15"/>
      <c r="K99" s="50" t="str">
        <f t="shared" si="18"/>
        <v>FRMT_5010_flg_art21_7a_srmr</v>
      </c>
      <c r="L99" s="50" t="str">
        <f>+VLOOKUP(D99,'B02_Mapping fields'!B:C,2,FALSE)</f>
        <v>5010_flg_art21_7a_srmr</v>
      </c>
      <c r="M99" s="50" t="str">
        <f t="shared" si="32"/>
        <v>,CASE WHEN `5010_flg_art21_7a_srmr` IN ('TRUE', 'FALSE')  THEN 0 ELSE 1 END AS FRMT_5010_flg_art21_7a_srmr</v>
      </c>
      <c r="N99" t="str">
        <f t="shared" si="27"/>
        <v>SUM(FRMT_5010_flg_art21_7a_srmr) AS `FRMT_5010_flg_art21_7a_srmr`,</v>
      </c>
    </row>
    <row r="100" spans="1:14" hidden="1" x14ac:dyDescent="0.3">
      <c r="A100" s="39" t="str">
        <f t="shared" si="28"/>
        <v>B03.00_Row number</v>
      </c>
      <c r="B100" s="40" t="s">
        <v>82</v>
      </c>
      <c r="C100" s="40" t="str">
        <f t="shared" si="29"/>
        <v>B03.00;c0010</v>
      </c>
      <c r="D100" s="41" t="s">
        <v>20</v>
      </c>
      <c r="E100" s="40" t="s">
        <v>6</v>
      </c>
      <c r="F100" s="40" t="str">
        <f t="shared" si="26"/>
        <v>Numeric: Integer</v>
      </c>
      <c r="G100" s="40" t="s">
        <v>241</v>
      </c>
      <c r="H100" s="40" t="s">
        <v>256</v>
      </c>
      <c r="I100" s="15"/>
      <c r="J100" s="15"/>
    </row>
    <row r="101" spans="1:14" hidden="1" x14ac:dyDescent="0.3">
      <c r="A101" s="39" t="str">
        <f t="shared" si="28"/>
        <v>B03.00_Unique identification number of the netting set known to the counterparty</v>
      </c>
      <c r="B101" s="40" t="s">
        <v>82</v>
      </c>
      <c r="C101" s="40" t="str">
        <f t="shared" si="29"/>
        <v>B03.00;c0020</v>
      </c>
      <c r="D101" s="41" t="s">
        <v>38</v>
      </c>
      <c r="E101" s="40" t="s">
        <v>69</v>
      </c>
      <c r="F101" s="40" t="str">
        <f t="shared" si="26"/>
        <v>String: Free text</v>
      </c>
      <c r="G101" s="40" t="s">
        <v>242</v>
      </c>
      <c r="H101" s="40" t="s">
        <v>257</v>
      </c>
      <c r="I101" s="15"/>
      <c r="J101" s="15"/>
    </row>
    <row r="102" spans="1:14" hidden="1" x14ac:dyDescent="0.3">
      <c r="A102" s="39" t="str">
        <f t="shared" si="28"/>
        <v>B03.00_Insolvency ranking</v>
      </c>
      <c r="B102" s="40" t="s">
        <v>82</v>
      </c>
      <c r="C102" s="40" t="str">
        <f t="shared" si="29"/>
        <v>B03.00;c0030</v>
      </c>
      <c r="D102" s="40" t="s">
        <v>54</v>
      </c>
      <c r="E102" s="40" t="s">
        <v>71</v>
      </c>
      <c r="F102" s="40" t="str">
        <f t="shared" si="26"/>
        <v>Numeric: Integer</v>
      </c>
      <c r="G102" s="40" t="s">
        <v>241</v>
      </c>
      <c r="H102" s="40" t="s">
        <v>256</v>
      </c>
      <c r="I102" s="15"/>
      <c r="J102" s="15"/>
    </row>
    <row r="103" spans="1:14" hidden="1" x14ac:dyDescent="0.3">
      <c r="A103" s="39" t="str">
        <f t="shared" ref="A103" si="33">CONCATENATE(B103,"_",E103)</f>
        <v>B03.00_Bail-in cascade</v>
      </c>
      <c r="B103" s="40" t="s">
        <v>82</v>
      </c>
      <c r="C103" s="40" t="str">
        <f t="shared" ref="C103" si="34">CONCATENATE(B103,";c",D103)</f>
        <v>B03.00;c0031</v>
      </c>
      <c r="D103" s="40" t="s">
        <v>55</v>
      </c>
      <c r="E103" s="40" t="s">
        <v>253</v>
      </c>
      <c r="F103" s="40" t="str">
        <f t="shared" si="26"/>
        <v>String: Free text</v>
      </c>
      <c r="G103" s="40" t="s">
        <v>242</v>
      </c>
      <c r="H103" s="40" t="s">
        <v>257</v>
      </c>
      <c r="I103" s="15"/>
      <c r="J103" s="15"/>
    </row>
    <row r="104" spans="1:14" hidden="1" x14ac:dyDescent="0.3">
      <c r="A104" s="39" t="str">
        <f t="shared" si="28"/>
        <v>B03.00_ISDA Protocol Resolution Stay of the reporting entity</v>
      </c>
      <c r="B104" s="40" t="s">
        <v>82</v>
      </c>
      <c r="C104" s="40" t="str">
        <f t="shared" si="29"/>
        <v>B03.00;c0040</v>
      </c>
      <c r="D104" s="40" t="s">
        <v>68</v>
      </c>
      <c r="E104" s="40" t="s">
        <v>312</v>
      </c>
      <c r="F104" s="40" t="str">
        <f t="shared" si="26"/>
        <v>String: Drop down</v>
      </c>
      <c r="G104" s="40" t="s">
        <v>242</v>
      </c>
      <c r="H104" s="40" t="s">
        <v>91</v>
      </c>
      <c r="I104" s="15"/>
      <c r="J104" s="15"/>
    </row>
    <row r="105" spans="1:14" hidden="1" x14ac:dyDescent="0.3">
      <c r="A105" s="39" t="str">
        <f t="shared" si="28"/>
        <v>B03.00_Recognition Resolution Stay of counterparty</v>
      </c>
      <c r="B105" s="40" t="s">
        <v>82</v>
      </c>
      <c r="C105" s="40" t="str">
        <f t="shared" si="29"/>
        <v>B03.00;c0050</v>
      </c>
      <c r="D105" s="40" t="s">
        <v>85</v>
      </c>
      <c r="E105" s="40" t="s">
        <v>337</v>
      </c>
      <c r="F105" s="40" t="str">
        <f t="shared" si="26"/>
        <v>String: Drop down</v>
      </c>
      <c r="G105" s="40" t="s">
        <v>242</v>
      </c>
      <c r="H105" s="40" t="s">
        <v>91</v>
      </c>
      <c r="I105" s="15"/>
      <c r="J105" s="15"/>
    </row>
    <row r="106" spans="1:14" hidden="1" x14ac:dyDescent="0.3">
      <c r="A106" s="39" t="str">
        <f t="shared" si="28"/>
        <v>B03.00_Master agreement ID</v>
      </c>
      <c r="B106" s="40" t="s">
        <v>82</v>
      </c>
      <c r="C106" s="40" t="str">
        <f t="shared" si="29"/>
        <v>B03.00;c0060</v>
      </c>
      <c r="D106" s="40" t="s">
        <v>117</v>
      </c>
      <c r="E106" s="40" t="s">
        <v>73</v>
      </c>
      <c r="F106" s="40" t="str">
        <f t="shared" si="26"/>
        <v>String: Free text</v>
      </c>
      <c r="G106" s="40" t="s">
        <v>242</v>
      </c>
      <c r="H106" s="40" t="s">
        <v>257</v>
      </c>
      <c r="I106" s="15"/>
      <c r="J106" s="15"/>
    </row>
    <row r="107" spans="1:14" hidden="1" x14ac:dyDescent="0.3">
      <c r="A107" s="39" t="str">
        <f t="shared" si="28"/>
        <v>B03.00_Governing law of the Master Agreement</v>
      </c>
      <c r="B107" s="40" t="s">
        <v>82</v>
      </c>
      <c r="C107" s="40" t="str">
        <f t="shared" si="29"/>
        <v>B03.00;c0070</v>
      </c>
      <c r="D107" s="40" t="s">
        <v>123</v>
      </c>
      <c r="E107" s="40" t="s">
        <v>287</v>
      </c>
      <c r="F107" s="40" t="str">
        <f t="shared" si="26"/>
        <v>String: ISO 3166-1 alpha 2 / ISO 3166-2</v>
      </c>
      <c r="G107" s="40" t="s">
        <v>242</v>
      </c>
      <c r="H107" s="40" t="s">
        <v>262</v>
      </c>
      <c r="I107" s="15"/>
      <c r="J107" s="15"/>
    </row>
    <row r="108" spans="1:14" hidden="1" x14ac:dyDescent="0.3">
      <c r="A108" s="39" t="str">
        <f t="shared" si="28"/>
        <v xml:space="preserve">B03.00_Net mark-to-market value </v>
      </c>
      <c r="B108" s="40" t="s">
        <v>82</v>
      </c>
      <c r="C108" s="40" t="str">
        <f t="shared" si="29"/>
        <v>B03.00;c0080</v>
      </c>
      <c r="D108" s="40" t="s">
        <v>126</v>
      </c>
      <c r="E108" s="40" t="s">
        <v>77</v>
      </c>
      <c r="F108" s="40" t="str">
        <f t="shared" si="26"/>
        <v>Numeric: 2 decimals</v>
      </c>
      <c r="G108" s="40" t="s">
        <v>241</v>
      </c>
      <c r="H108" s="40" t="s">
        <v>259</v>
      </c>
      <c r="I108" s="15"/>
      <c r="J108" s="15"/>
    </row>
    <row r="109" spans="1:14" hidden="1" x14ac:dyDescent="0.3">
      <c r="A109" s="39" t="str">
        <f t="shared" si="28"/>
        <v xml:space="preserve">B03.00_Net value of collateral posted </v>
      </c>
      <c r="B109" s="40" t="s">
        <v>82</v>
      </c>
      <c r="C109" s="40" t="str">
        <f t="shared" si="29"/>
        <v>B03.00;c0090</v>
      </c>
      <c r="D109" s="40" t="s">
        <v>128</v>
      </c>
      <c r="E109" s="40" t="s">
        <v>124</v>
      </c>
      <c r="F109" s="40" t="str">
        <f t="shared" si="26"/>
        <v>Numeric: 2 decimals</v>
      </c>
      <c r="G109" s="40" t="s">
        <v>241</v>
      </c>
      <c r="H109" s="40" t="s">
        <v>259</v>
      </c>
      <c r="I109" s="15"/>
      <c r="J109" s="15"/>
    </row>
    <row r="110" spans="1:14" hidden="1" x14ac:dyDescent="0.3">
      <c r="A110" s="39" t="str">
        <f t="shared" si="28"/>
        <v xml:space="preserve">B03.00_Estimated close-out amount </v>
      </c>
      <c r="B110" s="40" t="s">
        <v>82</v>
      </c>
      <c r="C110" s="40" t="str">
        <f t="shared" si="29"/>
        <v>B03.00;c0100</v>
      </c>
      <c r="D110" s="40" t="s">
        <v>136</v>
      </c>
      <c r="E110" s="40" t="s">
        <v>125</v>
      </c>
      <c r="F110" s="40" t="str">
        <f t="shared" si="26"/>
        <v>Numeric: 2 decimals</v>
      </c>
      <c r="G110" s="40" t="s">
        <v>241</v>
      </c>
      <c r="H110" s="40" t="s">
        <v>259</v>
      </c>
      <c r="I110" s="15"/>
      <c r="J110" s="15"/>
      <c r="K110" s="15"/>
      <c r="L110" s="15"/>
      <c r="M110" s="15"/>
    </row>
    <row r="111" spans="1:14" hidden="1" x14ac:dyDescent="0.3">
      <c r="A111" s="39" t="str">
        <f t="shared" si="28"/>
        <v xml:space="preserve">B03.00_Estimated early termination amount </v>
      </c>
      <c r="B111" s="40" t="s">
        <v>82</v>
      </c>
      <c r="C111" s="40" t="str">
        <f t="shared" si="29"/>
        <v>B03.00;c0110</v>
      </c>
      <c r="D111" s="40" t="s">
        <v>144</v>
      </c>
      <c r="E111" s="40" t="s">
        <v>79</v>
      </c>
      <c r="F111" s="40" t="str">
        <f t="shared" si="26"/>
        <v>Numeric: 2 decimals</v>
      </c>
      <c r="G111" s="40" t="s">
        <v>241</v>
      </c>
      <c r="H111" s="40" t="s">
        <v>259</v>
      </c>
      <c r="I111" s="15"/>
      <c r="J111" s="15"/>
      <c r="K111" s="15"/>
      <c r="L111" s="15"/>
      <c r="M111" s="15"/>
    </row>
    <row r="112" spans="1:14" hidden="1" x14ac:dyDescent="0.3">
      <c r="A112" s="39" t="str">
        <f t="shared" si="28"/>
        <v>B03.00_CCP cleared</v>
      </c>
      <c r="B112" s="40" t="s">
        <v>82</v>
      </c>
      <c r="C112" s="40" t="str">
        <f t="shared" ref="C112:C118" si="35">CONCATENATE(B112,";c",D112)</f>
        <v>B03.00;c0120</v>
      </c>
      <c r="D112" s="41" t="s">
        <v>145</v>
      </c>
      <c r="E112" s="40" t="s">
        <v>162</v>
      </c>
      <c r="F112" s="40" t="str">
        <f t="shared" si="26"/>
        <v>String: TRUE / FALSE boolean</v>
      </c>
      <c r="G112" s="40" t="s">
        <v>242</v>
      </c>
      <c r="H112" s="40" t="s">
        <v>263</v>
      </c>
      <c r="I112" s="15"/>
      <c r="J112" s="15"/>
      <c r="K112" s="15"/>
      <c r="L112" s="15"/>
      <c r="M112" s="15"/>
    </row>
    <row r="113" spans="1:14" hidden="1" x14ac:dyDescent="0.3">
      <c r="A113" s="39" t="str">
        <f t="shared" si="28"/>
        <v>B04.00_Row number</v>
      </c>
      <c r="B113" s="40" t="s">
        <v>129</v>
      </c>
      <c r="C113" s="40" t="str">
        <f t="shared" si="35"/>
        <v>B04.00;c0010</v>
      </c>
      <c r="D113" s="41" t="s">
        <v>20</v>
      </c>
      <c r="E113" s="40" t="s">
        <v>6</v>
      </c>
      <c r="F113" s="40" t="str">
        <f t="shared" si="26"/>
        <v>Numeric: Integer</v>
      </c>
      <c r="G113" s="40" t="s">
        <v>241</v>
      </c>
      <c r="H113" s="40" t="s">
        <v>256</v>
      </c>
      <c r="I113" s="15"/>
      <c r="J113" s="15"/>
      <c r="K113" s="15"/>
      <c r="L113" s="15"/>
      <c r="M113" s="15"/>
    </row>
    <row r="114" spans="1:14" hidden="1" x14ac:dyDescent="0.3">
      <c r="A114" s="39" t="str">
        <f t="shared" si="28"/>
        <v>B04.00_Unique identification number of the netting set known to the counterparty</v>
      </c>
      <c r="B114" s="40" t="s">
        <v>129</v>
      </c>
      <c r="C114" s="40" t="str">
        <f t="shared" si="35"/>
        <v>B04.00;c0020</v>
      </c>
      <c r="D114" s="41" t="s">
        <v>38</v>
      </c>
      <c r="E114" s="40" t="s">
        <v>69</v>
      </c>
      <c r="F114" s="40" t="str">
        <f t="shared" si="26"/>
        <v>String: Free text</v>
      </c>
      <c r="G114" s="40" t="s">
        <v>242</v>
      </c>
      <c r="H114" s="40" t="s">
        <v>257</v>
      </c>
      <c r="I114" s="15"/>
      <c r="J114" s="15"/>
      <c r="K114" s="15"/>
      <c r="L114" s="15"/>
      <c r="M114" s="15"/>
    </row>
    <row r="115" spans="1:14" hidden="1" x14ac:dyDescent="0.3">
      <c r="A115" s="39" t="str">
        <f t="shared" si="28"/>
        <v>B04.00_Insolvency ranking</v>
      </c>
      <c r="B115" s="40" t="s">
        <v>129</v>
      </c>
      <c r="C115" s="40" t="str">
        <f t="shared" si="35"/>
        <v>B04.00;c0030</v>
      </c>
      <c r="D115" s="40" t="s">
        <v>54</v>
      </c>
      <c r="E115" s="40" t="s">
        <v>71</v>
      </c>
      <c r="F115" s="40" t="str">
        <f t="shared" si="26"/>
        <v>Numeric: Integer</v>
      </c>
      <c r="G115" s="40" t="s">
        <v>241</v>
      </c>
      <c r="H115" s="40" t="s">
        <v>256</v>
      </c>
      <c r="I115" s="15"/>
      <c r="J115" s="15"/>
      <c r="K115" s="15"/>
      <c r="L115" s="15"/>
      <c r="M115" s="15"/>
    </row>
    <row r="116" spans="1:14" hidden="1" x14ac:dyDescent="0.3">
      <c r="A116" s="39" t="str">
        <f t="shared" si="28"/>
        <v>B04.00_Bail-in cascade</v>
      </c>
      <c r="B116" s="40" t="s">
        <v>129</v>
      </c>
      <c r="C116" s="40" t="str">
        <f t="shared" si="35"/>
        <v>B04.00;c0031</v>
      </c>
      <c r="D116" s="40" t="s">
        <v>55</v>
      </c>
      <c r="E116" s="40" t="s">
        <v>253</v>
      </c>
      <c r="F116" s="40" t="str">
        <f t="shared" si="26"/>
        <v>String: Free text</v>
      </c>
      <c r="G116" s="40" t="s">
        <v>242</v>
      </c>
      <c r="H116" s="40" t="s">
        <v>257</v>
      </c>
      <c r="I116" s="15"/>
      <c r="J116" s="15"/>
      <c r="K116" s="15"/>
      <c r="L116" s="15"/>
      <c r="M116" s="15"/>
    </row>
    <row r="117" spans="1:14" hidden="1" x14ac:dyDescent="0.3">
      <c r="A117" s="39" t="str">
        <f t="shared" si="28"/>
        <v>B04.00_Master agreement ID</v>
      </c>
      <c r="B117" s="40" t="s">
        <v>129</v>
      </c>
      <c r="C117" s="40" t="str">
        <f t="shared" ref="C117" si="36">CONCATENATE(B117,";c",D117)</f>
        <v>B04.00;c0040</v>
      </c>
      <c r="D117" s="40" t="s">
        <v>68</v>
      </c>
      <c r="E117" s="40" t="s">
        <v>73</v>
      </c>
      <c r="F117" s="40" t="str">
        <f t="shared" si="26"/>
        <v>String: Free text</v>
      </c>
      <c r="G117" s="40" t="s">
        <v>242</v>
      </c>
      <c r="H117" s="40" t="s">
        <v>257</v>
      </c>
      <c r="I117" s="15"/>
      <c r="J117" s="15"/>
      <c r="K117" s="15"/>
      <c r="L117" s="15"/>
      <c r="M117" s="15"/>
    </row>
    <row r="118" spans="1:14" hidden="1" x14ac:dyDescent="0.3">
      <c r="A118" s="39" t="str">
        <f t="shared" si="28"/>
        <v>B04.00_Governing law of the Master Agreement</v>
      </c>
      <c r="B118" s="40" t="s">
        <v>129</v>
      </c>
      <c r="C118" s="40" t="str">
        <f t="shared" si="35"/>
        <v>B04.00;c0050</v>
      </c>
      <c r="D118" s="40" t="s">
        <v>85</v>
      </c>
      <c r="E118" s="40" t="s">
        <v>287</v>
      </c>
      <c r="F118" s="40" t="str">
        <f t="shared" si="26"/>
        <v>String: ISO 3166-1 alpha 2 / ISO 3166-2</v>
      </c>
      <c r="G118" s="40" t="s">
        <v>242</v>
      </c>
      <c r="H118" s="40" t="s">
        <v>262</v>
      </c>
      <c r="I118" s="15"/>
      <c r="J118" s="15"/>
      <c r="K118" s="15"/>
      <c r="L118" s="15"/>
      <c r="M118" s="15"/>
    </row>
    <row r="119" spans="1:14" hidden="1" x14ac:dyDescent="0.3">
      <c r="A119" s="39" t="str">
        <f t="shared" si="28"/>
        <v>B04.00_Net mark-to-market value</v>
      </c>
      <c r="B119" s="40" t="s">
        <v>129</v>
      </c>
      <c r="C119" s="40" t="str">
        <f t="shared" ref="C119:C127" si="37">CONCATENATE(B119,";c",D119)</f>
        <v>B04.00;c0060</v>
      </c>
      <c r="D119" s="40" t="s">
        <v>117</v>
      </c>
      <c r="E119" s="40" t="s">
        <v>255</v>
      </c>
      <c r="F119" s="40" t="str">
        <f t="shared" si="26"/>
        <v>Numeric: 2 decimals</v>
      </c>
      <c r="G119" s="40" t="s">
        <v>241</v>
      </c>
      <c r="H119" s="40" t="s">
        <v>259</v>
      </c>
      <c r="I119" s="15"/>
      <c r="J119" s="15"/>
      <c r="K119" s="15"/>
      <c r="L119" s="15"/>
      <c r="M119" s="15"/>
    </row>
    <row r="120" spans="1:14" hidden="1" x14ac:dyDescent="0.3">
      <c r="A120" s="39" t="str">
        <f t="shared" si="28"/>
        <v>B04.00_Estimated close-out amount</v>
      </c>
      <c r="B120" s="40" t="s">
        <v>129</v>
      </c>
      <c r="C120" s="40" t="str">
        <f t="shared" si="37"/>
        <v>B04.00;c0070</v>
      </c>
      <c r="D120" s="40" t="s">
        <v>123</v>
      </c>
      <c r="E120" s="40" t="s">
        <v>250</v>
      </c>
      <c r="F120" s="40" t="str">
        <f t="shared" si="26"/>
        <v>Numeric: 2 decimals</v>
      </c>
      <c r="G120" s="40" t="s">
        <v>241</v>
      </c>
      <c r="H120" s="40" t="s">
        <v>259</v>
      </c>
      <c r="I120" s="15"/>
      <c r="J120" s="15"/>
      <c r="K120" s="15"/>
      <c r="L120" s="15"/>
      <c r="M120" s="15"/>
    </row>
    <row r="121" spans="1:14" hidden="1" x14ac:dyDescent="0.3">
      <c r="A121" s="39" t="str">
        <f t="shared" si="28"/>
        <v>B04.00_Estimated early termination amount</v>
      </c>
      <c r="B121" s="40" t="s">
        <v>129</v>
      </c>
      <c r="C121" s="40" t="str">
        <f t="shared" si="37"/>
        <v>B04.00;c0080</v>
      </c>
      <c r="D121" s="40" t="s">
        <v>126</v>
      </c>
      <c r="E121" s="40" t="s">
        <v>251</v>
      </c>
      <c r="F121" s="40" t="str">
        <f t="shared" si="26"/>
        <v>Numeric: 2 decimals</v>
      </c>
      <c r="G121" s="40" t="s">
        <v>241</v>
      </c>
      <c r="H121" s="40" t="s">
        <v>259</v>
      </c>
      <c r="I121" s="15"/>
      <c r="J121" s="15"/>
      <c r="K121" s="15"/>
      <c r="L121" s="15"/>
      <c r="M121" s="15"/>
    </row>
    <row r="122" spans="1:14" ht="14.4" customHeight="1" x14ac:dyDescent="0.3">
      <c r="A122" s="7" t="str">
        <f t="shared" si="28"/>
        <v>B05.00_Row number</v>
      </c>
      <c r="B122" t="s">
        <v>138</v>
      </c>
      <c r="C122" t="str">
        <f t="shared" si="37"/>
        <v>B05.00;c0010</v>
      </c>
      <c r="D122" s="9" t="s">
        <v>20</v>
      </c>
      <c r="E122" t="s">
        <v>6</v>
      </c>
      <c r="F122" t="str">
        <f t="shared" si="26"/>
        <v>Numeric: Integer</v>
      </c>
      <c r="G122" t="s">
        <v>241</v>
      </c>
      <c r="H122" t="s">
        <v>256</v>
      </c>
      <c r="I122" s="15"/>
      <c r="J122" s="15"/>
      <c r="K122" s="50" t="str">
        <f t="shared" ref="K122:K137" si="38">+"FRMT_"&amp;L122</f>
        <v>FRMT_0010_row_nmbr</v>
      </c>
      <c r="L122" s="50" t="str">
        <f>+VLOOKUP(D122,'B05_Mapping fields'!B:C,2,FALSE)</f>
        <v>0010_row_nmbr</v>
      </c>
      <c r="M122" s="50" t="str">
        <f>+",CASE WHEN cast(`"&amp;L122&amp;"` as string) RLIKE '^[0-9]+$' AND CAST("&amp;L122&amp;_xlfn._LONGTEXT("` AS STRING) NOT IN ('N/A','11111111111','11111111111.00','11111111111.000000','1111-11-11','0000-00-00','0001-01-01','9999-12-31','MISS','00000','99999999999','999999999999999','99999999999.00','99999999999.000000','-9999.9999','','Not applicable','XXX')"," THEN 0 ELSE 1 END AS ")&amp;K122</f>
        <v>,CASE WHEN cast(`0010_row_nmbr` as string) RLIKE '^[0-9]+$' AND CAST(0010_row_nmbr` AS STRING) NOT IN ('N/A','11111111111','11111111111.00','11111111111.000000','1111-11-11','0000-00-00','0001-01-01','9999-12-31','MISS','00000','99999999999','999999999999999','99999999999.00','99999999999.000000','-9999.9999','','Not applicable','XXX') THEN 0 ELSE 1 END AS FRMT_0010_row_nmbr</v>
      </c>
      <c r="N122" t="str">
        <f t="shared" ref="N122:N137" si="39">+"SUM("&amp;K122&amp;") AS `"&amp;K122&amp;"`,"</f>
        <v>SUM(FRMT_0010_row_nmbr) AS `FRMT_0010_row_nmbr`,</v>
      </c>
    </row>
    <row r="123" spans="1:14" ht="14.4" customHeight="1" x14ac:dyDescent="0.3">
      <c r="A123" s="7" t="str">
        <f t="shared" ref="A123" si="40">CONCATENATE(B123,"_",E123)</f>
        <v>B05.00_Unique (internal) identifier of the guarantee provided to the Non-Resolution Entity</v>
      </c>
      <c r="B123" t="s">
        <v>138</v>
      </c>
      <c r="C123" t="str">
        <f t="shared" ref="C123" si="41">CONCATENATE(B123,";c",D123)</f>
        <v>B05.00;c0020</v>
      </c>
      <c r="D123" s="9" t="s">
        <v>38</v>
      </c>
      <c r="E123" t="s">
        <v>329</v>
      </c>
      <c r="F123" t="str">
        <f t="shared" si="26"/>
        <v>String: Free text</v>
      </c>
      <c r="G123" t="s">
        <v>242</v>
      </c>
      <c r="H123" t="s">
        <v>257</v>
      </c>
      <c r="I123" s="15"/>
      <c r="J123" s="15"/>
      <c r="K123" s="50" t="str">
        <f t="shared" si="38"/>
        <v>FRMT_0020_uniq_id_guarantee</v>
      </c>
      <c r="L123" s="50" t="str">
        <f>+VLOOKUP(D123,'B05_Mapping fields'!B:C,2,FALSE)</f>
        <v>0020_uniq_id_guarantee</v>
      </c>
      <c r="M123" s="50" t="str">
        <f>+",CASE WHEN `"&amp;L123&amp;"` RLIKE '[A-Za-z]' and `"&amp;L123&amp;_xlfn._LONGTEXT("`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")&amp;K123</f>
        <v>,CASE WHEN `0020_uniq_id_guarantee` RLIKE '[A-Za-z]' and `0020_uniq_id_guarantee` NOT IN ('N/A','11111111111','11111111111.00','11111111111.000000','1111-11-11','0000-00-00','0001-01-01','9999-12-31','MISS','00000','99999999999','999999999999999','99999999999.00','99999999999.000000','-9999.9999','','Not applicable','XXX') THEN 0 ELSE 1 END AS FRMT_0020_uniq_id_guarantee</v>
      </c>
      <c r="N123" t="str">
        <f t="shared" si="39"/>
        <v>SUM(FRMT_0020_uniq_id_guarantee) AS `FRMT_0020_uniq_id_guarantee`,</v>
      </c>
    </row>
    <row r="124" spans="1:14" ht="14.4" customHeight="1" x14ac:dyDescent="0.3">
      <c r="A124" s="7" t="str">
        <f t="shared" si="28"/>
        <v>B05.00_Governing law</v>
      </c>
      <c r="B124" t="s">
        <v>138</v>
      </c>
      <c r="C124" t="str">
        <f t="shared" si="37"/>
        <v>B05.00;c0030</v>
      </c>
      <c r="D124" s="9" t="s">
        <v>54</v>
      </c>
      <c r="E124" t="s">
        <v>36</v>
      </c>
      <c r="F124" t="str">
        <f t="shared" si="26"/>
        <v>String: ISO 3166-1 alpha 2 / ISO 3166-2</v>
      </c>
      <c r="G124" s="59" t="s">
        <v>242</v>
      </c>
      <c r="H124" t="s">
        <v>262</v>
      </c>
      <c r="I124" s="15"/>
      <c r="J124" s="15"/>
      <c r="K124" s="50" t="str">
        <f t="shared" si="38"/>
        <v>FRMT_0030_governing_law</v>
      </c>
      <c r="L124" s="50" t="str">
        <f>+VLOOKUP(D124,'B05_Mapping fields'!B:C,2,FALSE)</f>
        <v>0030_governing_law</v>
      </c>
      <c r="M124" s="50" t="str">
        <f t="shared" ref="M124:M125" si="42">+",CASE WHEN `"&amp;L124&amp;"` IN ('TRUE', 'FALSE')  THEN 0 ELSE 1 END AS "&amp;K124</f>
        <v>,CASE WHEN `0030_governing_law` IN ('TRUE', 'FALSE')  THEN 0 ELSE 1 END AS FRMT_0030_governing_law</v>
      </c>
      <c r="N124" t="str">
        <f t="shared" si="39"/>
        <v>SUM(FRMT_0030_governing_law) AS `FRMT_0030_governing_law`,</v>
      </c>
    </row>
    <row r="125" spans="1:14" ht="14.4" customHeight="1" x14ac:dyDescent="0.3">
      <c r="A125" s="7" t="str">
        <f t="shared" si="28"/>
        <v>B05.00_Guarantee fulfils the requirements pursuant to Art. 12g (3) SRMR</v>
      </c>
      <c r="B125" t="s">
        <v>138</v>
      </c>
      <c r="C125" t="str">
        <f t="shared" si="37"/>
        <v>B05.00;c0040</v>
      </c>
      <c r="D125" t="s">
        <v>68</v>
      </c>
      <c r="E125" t="s">
        <v>130</v>
      </c>
      <c r="F125" t="str">
        <f t="shared" ref="F125:F153" si="43">CONCATENATE(G125,": ",H125)</f>
        <v>String: TRUE / FALSE boolean</v>
      </c>
      <c r="G125" s="59" t="s">
        <v>242</v>
      </c>
      <c r="H125" t="s">
        <v>263</v>
      </c>
      <c r="I125" s="15"/>
      <c r="J125" s="15"/>
      <c r="K125" s="50" t="str">
        <f t="shared" si="38"/>
        <v>FRMT_0040_flg_art12g_3_srmr</v>
      </c>
      <c r="L125" s="50" t="str">
        <f>+VLOOKUP(D125,'B05_Mapping fields'!B:C,2,FALSE)</f>
        <v>0040_flg_art12g_3_srmr</v>
      </c>
      <c r="M125" s="50" t="str">
        <f t="shared" si="42"/>
        <v>,CASE WHEN `0040_flg_art12g_3_srmr` IN ('TRUE', 'FALSE')  THEN 0 ELSE 1 END AS FRMT_0040_flg_art12g_3_srmr</v>
      </c>
      <c r="N125" t="str">
        <f t="shared" si="39"/>
        <v>SUM(FRMT_0040_flg_art12g_3_srmr) AS `FRMT_0040_flg_art12g_3_srmr`,</v>
      </c>
    </row>
    <row r="126" spans="1:14" ht="14.4" customHeight="1" x14ac:dyDescent="0.3">
      <c r="A126" s="7" t="str">
        <f t="shared" si="28"/>
        <v>B05.00_Type of guarantee</v>
      </c>
      <c r="B126" t="s">
        <v>138</v>
      </c>
      <c r="C126" t="str">
        <f t="shared" ref="C126" si="44">CONCATENATE(B126,";c",D126)</f>
        <v>B05.00;c0050</v>
      </c>
      <c r="D126" t="s">
        <v>85</v>
      </c>
      <c r="E126" t="s">
        <v>131</v>
      </c>
      <c r="F126" t="str">
        <f t="shared" si="43"/>
        <v>String: Drop down</v>
      </c>
      <c r="G126" s="59" t="s">
        <v>242</v>
      </c>
      <c r="H126" t="s">
        <v>91</v>
      </c>
      <c r="I126" s="15"/>
      <c r="J126" s="15"/>
      <c r="K126" s="50" t="str">
        <f t="shared" si="38"/>
        <v>FRMT_0050_typ_guarantee</v>
      </c>
      <c r="L126" s="50" t="str">
        <f>+VLOOKUP(D126,'B05_Mapping fields'!B:C,2,FALSE)</f>
        <v>0050_typ_guarantee</v>
      </c>
      <c r="M126" t="str">
        <f>+",CASE WHEN `"&amp;L126&amp;"` IN ('Issuance', 'Counterparty', 'Unlimited', 'Other types of guarantee than issuance guarantees, counterparty guarantees and unlimited guarantees') THEN 0 ELSE 1 END AS "&amp;K126</f>
        <v>,CASE WHEN `0050_typ_guarantee` IN ('Issuance', 'Counterparty', 'Unlimited', 'Other types of guarantee than issuance guarantees, counterparty guarantees and unlimited guarantees') THEN 0 ELSE 1 END AS FRMT_0050_typ_guarantee</v>
      </c>
      <c r="N126" t="str">
        <f t="shared" si="39"/>
        <v>SUM(FRMT_0050_typ_guarantee) AS `FRMT_0050_typ_guarantee`,</v>
      </c>
    </row>
    <row r="127" spans="1:14" ht="14.4" customHeight="1" x14ac:dyDescent="0.3">
      <c r="A127" s="7" t="str">
        <f t="shared" si="28"/>
        <v xml:space="preserve">B05.00_Maximum amount of the guarantee </v>
      </c>
      <c r="B127" t="s">
        <v>138</v>
      </c>
      <c r="C127" t="str">
        <f t="shared" si="37"/>
        <v>B05.00;c0060</v>
      </c>
      <c r="D127" t="s">
        <v>117</v>
      </c>
      <c r="E127" t="s">
        <v>132</v>
      </c>
      <c r="F127" t="str">
        <f t="shared" si="43"/>
        <v>Numeric: 2 decimals</v>
      </c>
      <c r="G127" t="s">
        <v>241</v>
      </c>
      <c r="H127" t="s">
        <v>259</v>
      </c>
      <c r="I127" s="15"/>
      <c r="J127" s="15"/>
      <c r="K127" s="50" t="str">
        <f t="shared" si="38"/>
        <v>FRMT_0060_max_amnt_guarantee</v>
      </c>
      <c r="L127" s="50" t="str">
        <f>+VLOOKUP(D127,'B05_Mapping fields'!B:C,2,FALSE)</f>
        <v>0060_max_amnt_guarantee</v>
      </c>
      <c r="M127" s="50" t="str">
        <f>+",CASE WHEN CAST(ROUND(`"&amp;L127&amp;"`, 2) AS STRING) = CAST(`"&amp;L127&amp;"` AS STRING) AND CAST(`"&amp;L127&amp;_xlfn._LONGTEXT("`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")&amp;K127</f>
        <v>,CASE WHEN CAST(ROUND(`0060_max_amnt_guarantee`, 2) AS STRING) = CAST(`0060_max_amnt_guarantee` AS STRING) AND CAST(`0060_max_amnt_guarantee` AS STRING) NOT IN ('N/A','11111111111','11111111111.00','11111111111.000000','1111-11-11','0000-00-00','0001-01-01','9999-12-31','MISS','00000','99999999999','99999999999.00','99999999999.000000','-9999.9999','','Not applicable','XXX') THEN 0 ELSE 1 END AS FRMT_0060_max_amnt_guarantee</v>
      </c>
      <c r="N127" t="str">
        <f t="shared" si="39"/>
        <v>SUM(FRMT_0060_max_amnt_guarantee) AS `FRMT_0060_max_amnt_guarantee`,</v>
      </c>
    </row>
    <row r="128" spans="1:14" ht="14.4" customHeight="1" x14ac:dyDescent="0.3">
      <c r="A128" s="7" t="str">
        <f t="shared" si="28"/>
        <v>B05.00_Guarantee is secured</v>
      </c>
      <c r="B128" t="s">
        <v>138</v>
      </c>
      <c r="C128" t="str">
        <f t="shared" ref="C128:C145" si="45">CONCATENATE(B128,";c",D128)</f>
        <v>B05.00;c0070</v>
      </c>
      <c r="D128" t="s">
        <v>123</v>
      </c>
      <c r="E128" t="s">
        <v>133</v>
      </c>
      <c r="F128" t="str">
        <f t="shared" si="43"/>
        <v>String: Drop down</v>
      </c>
      <c r="G128" s="59" t="s">
        <v>242</v>
      </c>
      <c r="H128" t="s">
        <v>91</v>
      </c>
      <c r="I128" s="15"/>
      <c r="J128" s="15"/>
      <c r="K128" s="50" t="str">
        <f t="shared" si="38"/>
        <v>FRMT_0070_flg_scrd</v>
      </c>
      <c r="L128" s="50" t="str">
        <f>+VLOOKUP(D128,'B05_Mapping fields'!B:C,2,FALSE)</f>
        <v>0070_flg_scrd</v>
      </c>
      <c r="M128" t="str">
        <f>+",CASE WHEN `"&amp;L128&amp;"` IN ('Secured', 'Unsecured') THEN 0 ELSE 1 END AS "&amp;K128</f>
        <v>,CASE WHEN `0070_flg_scrd` IN ('Secured', 'Unsecured') THEN 0 ELSE 1 END AS FRMT_0070_flg_scrd</v>
      </c>
      <c r="N128" t="str">
        <f t="shared" si="39"/>
        <v>SUM(FRMT_0070_flg_scrd) AS `FRMT_0070_flg_scrd`,</v>
      </c>
    </row>
    <row r="129" spans="1:14" ht="14.4" customHeight="1" x14ac:dyDescent="0.3">
      <c r="A129" s="7" t="str">
        <f t="shared" si="28"/>
        <v>B05.00_Current value of the collateral</v>
      </c>
      <c r="B129" t="s">
        <v>138</v>
      </c>
      <c r="C129" t="str">
        <f t="shared" si="45"/>
        <v>B05.00;c0080</v>
      </c>
      <c r="D129" t="s">
        <v>126</v>
      </c>
      <c r="E129" t="s">
        <v>134</v>
      </c>
      <c r="F129" t="str">
        <f t="shared" si="43"/>
        <v>Numeric: 2 decimals</v>
      </c>
      <c r="G129" t="s">
        <v>241</v>
      </c>
      <c r="H129" t="s">
        <v>259</v>
      </c>
      <c r="I129" s="15"/>
      <c r="J129" s="15"/>
      <c r="K129" s="50" t="str">
        <f t="shared" si="38"/>
        <v>FRMT_0080_amnt_clltrl</v>
      </c>
      <c r="L129" s="50" t="str">
        <f>+VLOOKUP(D129,'B05_Mapping fields'!B:C,2,FALSE)</f>
        <v>0080_amnt_clltrl</v>
      </c>
      <c r="M129" s="50" t="str">
        <f>+",CASE WHEN CAST(ROUND(`"&amp;L129&amp;"`, 2) AS STRING) = CAST(`"&amp;L129&amp;"` AS STRING) AND CAST(`"&amp;L129&amp;_xlfn._LONGTEXT("`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")&amp;K129</f>
        <v>,CASE WHEN CAST(ROUND(`0080_amnt_clltrl`, 2) AS STRING) = CAST(`0080_amnt_clltrl` AS STRING) AND CAST(`0080_amnt_clltrl` AS STRING) NOT IN ('N/A','11111111111','11111111111.00','11111111111.000000','1111-11-11','0000-00-00','0001-01-01','9999-12-31','MISS','00000','99999999999','99999999999.00','99999999999.000000','-9999.9999','','Not applicable','XXX') THEN 0 ELSE 1 END AS FRMT_0080_amnt_clltrl</v>
      </c>
      <c r="N129" t="str">
        <f t="shared" si="39"/>
        <v>SUM(FRMT_0080_amnt_clltrl) AS `FRMT_0080_amnt_clltrl`,</v>
      </c>
    </row>
    <row r="130" spans="1:14" ht="14.4" customHeight="1" x14ac:dyDescent="0.3">
      <c r="A130" s="7" t="str">
        <f t="shared" si="28"/>
        <v>B05.00_Guarantee trigger</v>
      </c>
      <c r="B130" t="s">
        <v>138</v>
      </c>
      <c r="C130" t="str">
        <f t="shared" si="45"/>
        <v>B05.00;c0090</v>
      </c>
      <c r="D130" t="s">
        <v>128</v>
      </c>
      <c r="E130" t="s">
        <v>137</v>
      </c>
      <c r="F130" t="str">
        <f t="shared" si="43"/>
        <v>String: Fixed values</v>
      </c>
      <c r="G130" t="s">
        <v>242</v>
      </c>
      <c r="H130" t="s">
        <v>261</v>
      </c>
      <c r="I130" s="15"/>
      <c r="J130" s="15"/>
      <c r="K130" s="50" t="str">
        <f t="shared" si="38"/>
        <v>FRMT_0090_guarantee_trggr</v>
      </c>
      <c r="L130" s="50" t="str">
        <f>+VLOOKUP(D130,'B05_Mapping fields'!B:C,2,FALSE)</f>
        <v>0090_guarantee_trggr</v>
      </c>
      <c r="M130" s="50" t="str">
        <f>+",CASE WHEN `"&amp;L130&amp;"` = 'DEFAULT' THEN 0 ELSE 1 END AS "&amp;K130</f>
        <v>,CASE WHEN `0090_guarantee_trggr` = 'DEFAULT' THEN 0 ELSE 1 END AS FRMT_0090_guarantee_trggr</v>
      </c>
      <c r="N130" t="str">
        <f t="shared" si="39"/>
        <v>SUM(FRMT_0090_guarantee_trggr) AS `FRMT_0090_guarantee_trggr`,</v>
      </c>
    </row>
    <row r="131" spans="1:14" ht="14.4" customHeight="1" x14ac:dyDescent="0.3">
      <c r="A131" s="7" t="str">
        <f t="shared" si="28"/>
        <v>B05.00_Legal maturity date of the collateral</v>
      </c>
      <c r="B131" t="s">
        <v>138</v>
      </c>
      <c r="C131" t="str">
        <f t="shared" si="45"/>
        <v>B05.00;c0100</v>
      </c>
      <c r="D131" t="s">
        <v>136</v>
      </c>
      <c r="E131" t="s">
        <v>288</v>
      </c>
      <c r="F131" t="str">
        <f t="shared" si="43"/>
        <v>Date: yyyy-mm-dd</v>
      </c>
      <c r="G131" t="s">
        <v>243</v>
      </c>
      <c r="H131" t="s">
        <v>247</v>
      </c>
      <c r="I131" s="15"/>
      <c r="J131" s="15"/>
      <c r="K131" s="50" t="str">
        <f t="shared" si="38"/>
        <v>FRMT_0100_dt_mtrty_clltrl</v>
      </c>
      <c r="L131" s="50" t="str">
        <f>+VLOOKUP(D131,'B05_Mapping fields'!B:C,2,FALSE)</f>
        <v>0100_dt_mtrty_clltrl</v>
      </c>
      <c r="M131" s="50" t="str">
        <f>+",CASE WHEN `"&amp;L131&amp;"` REGEXP '^[0-9]{4}-[0-9]{2}-[0-9]{2}$' and `"&amp;L131&amp;_xlfn._LONGTEXT("`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")&amp;K131</f>
        <v>,CASE WHEN `0100_dt_mtrty_clltrl` REGEXP '^[0-9]{4}-[0-9]{2}-[0-9]{2}$' and `0100_dt_mtrty_clltrl` NOT IN ('N/A','11111111111','11111111111.00','11111111111.000000','1111-11-11','0000-00-00','0001-01-01','9999-12-31','MISS','00000','99999999999','999999999999999','99999999999.00','99999999999.000000','-9999.9999','','Not applicable','XXX') THEN 0 ELSE 1 END AS FRMT_0100_dt_mtrty_clltrl</v>
      </c>
      <c r="N131" t="str">
        <f t="shared" si="39"/>
        <v>SUM(FRMT_0100_dt_mtrty_clltrl) AS `FRMT_0100_dt_mtrty_clltrl`,</v>
      </c>
    </row>
    <row r="132" spans="1:14" ht="14.4" customHeight="1" x14ac:dyDescent="0.3">
      <c r="A132" s="7" t="str">
        <f t="shared" si="28"/>
        <v>B05.00_Identifier of the securities used as a collateral for the guarantee</v>
      </c>
      <c r="B132" t="s">
        <v>138</v>
      </c>
      <c r="C132" t="str">
        <f t="shared" si="45"/>
        <v>B05.00;c0110</v>
      </c>
      <c r="D132" t="s">
        <v>144</v>
      </c>
      <c r="E132" t="s">
        <v>229</v>
      </c>
      <c r="F132" t="str">
        <f t="shared" si="43"/>
        <v>String: Free text</v>
      </c>
      <c r="G132" t="s">
        <v>242</v>
      </c>
      <c r="H132" t="s">
        <v>257</v>
      </c>
      <c r="I132" s="15"/>
      <c r="J132" s="15"/>
      <c r="K132" s="50" t="str">
        <f t="shared" si="38"/>
        <v>FRMT_0110_scrts_clltrl_id</v>
      </c>
      <c r="L132" s="50" t="str">
        <f>+VLOOKUP(D132,'B05_Mapping fields'!B:C,2,FALSE)</f>
        <v>0110_scrts_clltrl_id</v>
      </c>
      <c r="M132" s="50" t="str">
        <f t="shared" ref="M132:M133" si="46">+",CASE WHEN `"&amp;L132&amp;"` RLIKE '[A-Za-z]' and `"&amp;L125&amp;_xlfn._LONGTEXT("`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")&amp;K132</f>
        <v>,CASE WHEN `0110_scrts_clltrl_id` RLIKE '[A-Za-z]' and `0040_flg_art12g_3_srmr` NOT IN ('N/A','11111111111','11111111111.00','11111111111.000000','1111-11-11','0000-00-00','0001-01-01','9999-12-31','MISS','00000','99999999999','999999999999999','99999999999.00','99999999999.000000','-9999.9999','','Not applicable','XXX') THEN 0 ELSE 1 END AS FRMT_0110_scrts_clltrl_id</v>
      </c>
      <c r="N132" t="str">
        <f t="shared" si="39"/>
        <v>SUM(FRMT_0110_scrts_clltrl_id) AS `FRMT_0110_scrts_clltrl_id`,</v>
      </c>
    </row>
    <row r="133" spans="1:14" ht="14.4" customHeight="1" x14ac:dyDescent="0.3">
      <c r="A133" s="7" t="str">
        <f t="shared" si="28"/>
        <v>B05.00_Type of collateralization</v>
      </c>
      <c r="B133" t="s">
        <v>138</v>
      </c>
      <c r="C133" t="str">
        <f t="shared" si="45"/>
        <v>B05.00;c0120</v>
      </c>
      <c r="D133" t="s">
        <v>145</v>
      </c>
      <c r="E133" t="s">
        <v>230</v>
      </c>
      <c r="F133" t="str">
        <f t="shared" si="43"/>
        <v>String: Free text</v>
      </c>
      <c r="G133" t="s">
        <v>242</v>
      </c>
      <c r="H133" t="s">
        <v>257</v>
      </c>
      <c r="I133" s="15"/>
      <c r="J133" s="15"/>
      <c r="K133" s="50" t="str">
        <f t="shared" si="38"/>
        <v>FRMT_0120_typ_clltrlztn</v>
      </c>
      <c r="L133" s="50" t="str">
        <f>+VLOOKUP(D133,'B05_Mapping fields'!B:C,2,FALSE)</f>
        <v>0120_typ_clltrlztn</v>
      </c>
      <c r="M133" s="50" t="str">
        <f t="shared" si="46"/>
        <v>,CASE WHEN `0120_typ_clltrlztn` RLIKE '[A-Za-z]' and `0050_typ_guarantee` NOT IN ('N/A','11111111111','11111111111.00','11111111111.000000','1111-11-11','0000-00-00','0001-01-01','9999-12-31','MISS','00000','99999999999','999999999999999','99999999999.00','99999999999.000000','-9999.9999','','Not applicable','XXX') THEN 0 ELSE 1 END AS FRMT_0120_typ_clltrlztn</v>
      </c>
      <c r="N133" t="str">
        <f t="shared" si="39"/>
        <v>SUM(FRMT_0120_typ_clltrlztn) AS `FRMT_0120_typ_clltrlztn`,</v>
      </c>
    </row>
    <row r="134" spans="1:14" ht="14.4" customHeight="1" x14ac:dyDescent="0.3">
      <c r="A134" s="7" t="str">
        <f t="shared" si="28"/>
        <v>B05.00_Value of collateral</v>
      </c>
      <c r="B134" t="s">
        <v>138</v>
      </c>
      <c r="C134" t="str">
        <f t="shared" si="45"/>
        <v>B05.00;c0130</v>
      </c>
      <c r="D134" s="57" t="s">
        <v>146</v>
      </c>
      <c r="E134" t="s">
        <v>231</v>
      </c>
      <c r="F134" t="str">
        <f t="shared" si="43"/>
        <v>Numeric: 2 decimals</v>
      </c>
      <c r="G134" t="s">
        <v>241</v>
      </c>
      <c r="H134" t="s">
        <v>259</v>
      </c>
      <c r="I134" s="15"/>
      <c r="J134" s="15"/>
      <c r="K134" s="50" t="str">
        <f t="shared" si="38"/>
        <v>FRMT_0130_typ_prtctn_vl</v>
      </c>
      <c r="L134" s="50" t="str">
        <f>+VLOOKUP(D134,'B05_Mapping fields'!B:C,2,FALSE)</f>
        <v>0130_typ_prtctn_vl</v>
      </c>
      <c r="M134" s="50" t="str">
        <f>+",CASE WHEN CAST(ROUND(`"&amp;L134&amp;"`, 2) AS STRING) = CAST(`"&amp;L134&amp;"` AS STRING) AND CAST(`"&amp;L134&amp;_xlfn._LONGTEXT("` AS STRING) NOT IN ('N/A','11111111111','11111111111.00','11111111111.000000','1111-11-11','0000-00-00','0001-01-01','9999-12-31','MISS','00000','99999999999','99999999999.00','99999999999.000000','-9999.9999','','Not applicable','XXX') THEN 0 ELSE 1 END"," AS ")&amp;K134</f>
        <v>,CASE WHEN CAST(ROUND(`0130_typ_prtctn_vl`, 2) AS STRING) = CAST(`0130_typ_prtctn_vl` AS STRING) AND CAST(`0130_typ_prtctn_vl` AS STRING) NOT IN ('N/A','11111111111','11111111111.00','11111111111.000000','1111-11-11','0000-00-00','0001-01-01','9999-12-31','MISS','00000','99999999999','99999999999.00','99999999999.000000','-9999.9999','','Not applicable','XXX') THEN 0 ELSE 1 END AS FRMT_0130_typ_prtctn_vl</v>
      </c>
      <c r="N134" t="str">
        <f t="shared" si="39"/>
        <v>SUM(FRMT_0130_typ_prtctn_vl) AS `FRMT_0130_typ_prtctn_vl`,</v>
      </c>
    </row>
    <row r="135" spans="1:14" ht="14.4" customHeight="1" x14ac:dyDescent="0.3">
      <c r="A135" s="54" t="str">
        <f t="shared" si="28"/>
        <v xml:space="preserve">B05.00_Type of protection value </v>
      </c>
      <c r="B135" s="55" t="s">
        <v>138</v>
      </c>
      <c r="C135" s="55" t="str">
        <f t="shared" si="45"/>
        <v>B05.00;c0130</v>
      </c>
      <c r="D135" s="57" t="s">
        <v>146</v>
      </c>
      <c r="E135" s="55" t="s">
        <v>232</v>
      </c>
      <c r="F135" s="55" t="str">
        <f t="shared" si="43"/>
        <v>String: Drop down</v>
      </c>
      <c r="G135" s="59" t="s">
        <v>242</v>
      </c>
      <c r="H135" s="55" t="s">
        <v>91</v>
      </c>
      <c r="I135" s="55"/>
      <c r="J135" s="55"/>
      <c r="K135" s="56" t="str">
        <f t="shared" si="38"/>
        <v>FRMT_0130_typ_prtctn_vl</v>
      </c>
      <c r="L135" s="56" t="str">
        <f>+VLOOKUP(D135,'B05_Mapping fields'!B:C,2,FALSE)</f>
        <v>0130_typ_prtctn_vl</v>
      </c>
      <c r="M135" t="str">
        <f>+",CASE WHEN `"&amp;L135&amp;"` IN ('Notional amount', 'Fair value','Market value','Long-term sustainable value','Other protection value') THEN 0 ELSE 1 END AS "&amp;K135</f>
        <v>,CASE WHEN `0130_typ_prtctn_vl` IN ('Notional amount', 'Fair value','Market value','Long-term sustainable value','Other protection value') THEN 0 ELSE 1 END AS FRMT_0130_typ_prtctn_vl</v>
      </c>
      <c r="N135" t="str">
        <f t="shared" si="39"/>
        <v>SUM(FRMT_0130_typ_prtctn_vl) AS `FRMT_0130_typ_prtctn_vl`,</v>
      </c>
    </row>
    <row r="136" spans="1:14" ht="14.4" customHeight="1" x14ac:dyDescent="0.3">
      <c r="A136" s="7" t="str">
        <f t="shared" si="28"/>
        <v>B05.00_Date of the valuation of the security</v>
      </c>
      <c r="B136" t="s">
        <v>138</v>
      </c>
      <c r="C136" t="str">
        <f t="shared" si="45"/>
        <v>B05.00;c0140</v>
      </c>
      <c r="D136" s="57" t="s">
        <v>147</v>
      </c>
      <c r="E136" t="s">
        <v>233</v>
      </c>
      <c r="F136" t="str">
        <f t="shared" si="43"/>
        <v>Date: yyyy-mm-dd</v>
      </c>
      <c r="G136" t="s">
        <v>243</v>
      </c>
      <c r="H136" t="s">
        <v>247</v>
      </c>
      <c r="I136" s="15"/>
      <c r="J136" s="15"/>
      <c r="K136" s="50" t="str">
        <f t="shared" si="38"/>
        <v>FRMT_0140_dt_vltn_scrty</v>
      </c>
      <c r="L136" s="50" t="str">
        <f>+VLOOKUP(D136,'B05_Mapping fields'!B:C,2,FALSE)</f>
        <v>0140_dt_vltn_scrty</v>
      </c>
      <c r="M136" s="50" t="str">
        <f>+",CASE WHEN `"&amp;L136&amp;"` REGEXP '^[0-9]{4}-[0-9]{2}-[0-9]{2}$' and `"&amp;L136&amp;_xlfn._LONGTEXT("` NOT IN ('N/A','11111111111','11111111111.00','11111111111.000000','1111-11-11','0000-00-00','0001-01-01','9999-12-31','MISS','00000','99999999999','999999999999999','99999999999.00','99999999999.000000','-9999.9999','','Not applicable','XXX') THEN 0 ELS","E 1 END AS ")&amp;K136</f>
        <v>,CASE WHEN `0140_dt_vltn_scrty` REGEXP '^[0-9]{4}-[0-9]{2}-[0-9]{2}$' and `0140_dt_vltn_scrty` NOT IN ('N/A','11111111111','11111111111.00','11111111111.000000','1111-11-11','0000-00-00','0001-01-01','9999-12-31','MISS','00000','99999999999','999999999999999','99999999999.00','99999999999.000000','-9999.9999','','Not applicable','XXX') THEN 0 ELSE 1 END AS FRMT_0140_dt_vltn_scrty</v>
      </c>
      <c r="N136" t="str">
        <f t="shared" si="39"/>
        <v>SUM(FRMT_0140_dt_vltn_scrty) AS `FRMT_0140_dt_vltn_scrty`,</v>
      </c>
    </row>
    <row r="137" spans="1:14" ht="14.4" customHeight="1" x14ac:dyDescent="0.3">
      <c r="A137" s="54" t="str">
        <f t="shared" ref="A137:A152" si="47">CONCATENATE(B137,"_",E137)</f>
        <v>B05.00_Protection valuation approach</v>
      </c>
      <c r="B137" s="55" t="s">
        <v>138</v>
      </c>
      <c r="C137" s="55" t="str">
        <f t="shared" si="45"/>
        <v>B05.00;c0150</v>
      </c>
      <c r="D137" s="57" t="s">
        <v>149</v>
      </c>
      <c r="E137" s="55" t="s">
        <v>234</v>
      </c>
      <c r="F137" s="55" t="str">
        <f t="shared" si="43"/>
        <v>String: Drop down</v>
      </c>
      <c r="G137" s="59" t="s">
        <v>242</v>
      </c>
      <c r="H137" s="55" t="s">
        <v>91</v>
      </c>
      <c r="I137" s="55"/>
      <c r="J137" s="55"/>
      <c r="K137" s="56" t="str">
        <f t="shared" si="38"/>
        <v>FRMT_0150_prtctn_vltn_apprch</v>
      </c>
      <c r="L137" s="56" t="str">
        <f>+VLOOKUP(D137,'B05_Mapping fields'!B:C,2,FALSE)</f>
        <v>0150_prtctn_vltn_apprch</v>
      </c>
      <c r="M137" t="str">
        <f>+",CASE WHEN `"&amp;L137&amp;"` IN ('Mark-to-market valuation', 'Counterparty estimation','Creditor valuation','Third party valuation') THEN 0 ELSE 1 END AS "&amp;K137</f>
        <v>,CASE WHEN `0150_prtctn_vltn_apprch` IN ('Mark-to-market valuation', 'Counterparty estimation','Creditor valuation','Third party valuation') THEN 0 ELSE 1 END AS FRMT_0150_prtctn_vltn_apprch</v>
      </c>
      <c r="N137" t="str">
        <f t="shared" si="39"/>
        <v>SUM(FRMT_0150_prtctn_vltn_apprch) AS `FRMT_0150_prtctn_vltn_apprch`,</v>
      </c>
    </row>
    <row r="138" spans="1:14" hidden="1" x14ac:dyDescent="0.3">
      <c r="A138" s="39" t="str">
        <f t="shared" si="47"/>
        <v>B06.00_Row number</v>
      </c>
      <c r="B138" s="40" t="s">
        <v>266</v>
      </c>
      <c r="C138" s="40" t="str">
        <f t="shared" si="45"/>
        <v>B06.00;c0010</v>
      </c>
      <c r="D138" s="40" t="s">
        <v>20</v>
      </c>
      <c r="E138" s="40" t="s">
        <v>6</v>
      </c>
      <c r="F138" s="40" t="str">
        <f t="shared" si="43"/>
        <v>Numeric: Integer</v>
      </c>
      <c r="G138" s="40" t="s">
        <v>241</v>
      </c>
      <c r="H138" s="40" t="s">
        <v>256</v>
      </c>
      <c r="I138" s="15"/>
      <c r="J138" s="15"/>
      <c r="K138" s="15"/>
      <c r="L138" s="15"/>
      <c r="M138" s="15"/>
    </row>
    <row r="139" spans="1:14" hidden="1" x14ac:dyDescent="0.3">
      <c r="A139" s="39" t="str">
        <f t="shared" si="47"/>
        <v>B06.00_Identifier of the guarantee</v>
      </c>
      <c r="B139" s="40" t="s">
        <v>266</v>
      </c>
      <c r="C139" s="40" t="str">
        <f t="shared" si="45"/>
        <v>B06.00;c0020</v>
      </c>
      <c r="D139" s="40" t="s">
        <v>38</v>
      </c>
      <c r="E139" s="40" t="s">
        <v>235</v>
      </c>
      <c r="F139" s="40" t="str">
        <f t="shared" si="43"/>
        <v>String: Free text</v>
      </c>
      <c r="G139" s="40" t="s">
        <v>242</v>
      </c>
      <c r="H139" s="40" t="s">
        <v>257</v>
      </c>
      <c r="I139" s="15"/>
      <c r="J139" s="15"/>
      <c r="K139" s="15"/>
      <c r="L139" s="15"/>
      <c r="M139" s="15"/>
    </row>
    <row r="140" spans="1:14" hidden="1" x14ac:dyDescent="0.3">
      <c r="A140" s="39" t="str">
        <f t="shared" si="47"/>
        <v>B06.00_Amount of guarantee provided by the Resolution Entity</v>
      </c>
      <c r="B140" s="40" t="s">
        <v>266</v>
      </c>
      <c r="C140" s="40" t="str">
        <f t="shared" si="45"/>
        <v>B06.00;c0030</v>
      </c>
      <c r="D140" s="40" t="s">
        <v>54</v>
      </c>
      <c r="E140" s="40" t="s">
        <v>328</v>
      </c>
      <c r="F140" s="40" t="str">
        <f t="shared" si="43"/>
        <v>Numeric: 2 decimals</v>
      </c>
      <c r="G140" s="40" t="s">
        <v>241</v>
      </c>
      <c r="H140" s="40" t="s">
        <v>259</v>
      </c>
      <c r="I140" s="15"/>
      <c r="J140" s="15"/>
      <c r="K140" s="15"/>
      <c r="L140" s="15"/>
      <c r="M140" s="15"/>
    </row>
    <row r="141" spans="1:14" hidden="1" x14ac:dyDescent="0.3">
      <c r="A141" s="39" t="str">
        <f t="shared" si="47"/>
        <v>B06.00_Amount of the external liabilities</v>
      </c>
      <c r="B141" s="40" t="s">
        <v>266</v>
      </c>
      <c r="C141" s="40" t="str">
        <f t="shared" si="45"/>
        <v>B06.00;c0040</v>
      </c>
      <c r="D141" s="40" t="s">
        <v>68</v>
      </c>
      <c r="E141" s="40" t="s">
        <v>236</v>
      </c>
      <c r="F141" s="40" t="str">
        <f t="shared" si="43"/>
        <v>Numeric: 2 decimals</v>
      </c>
      <c r="G141" s="40" t="s">
        <v>241</v>
      </c>
      <c r="H141" s="40" t="s">
        <v>259</v>
      </c>
      <c r="I141" s="15"/>
      <c r="J141" s="15"/>
      <c r="K141" s="15"/>
      <c r="L141" s="15"/>
      <c r="M141" s="15"/>
    </row>
    <row r="142" spans="1:14" hidden="1" x14ac:dyDescent="0.3">
      <c r="A142" s="39" t="str">
        <f t="shared" si="47"/>
        <v>B06.00_Identifier of the intragroup liability subscribed by the SPV</v>
      </c>
      <c r="B142" s="40" t="s">
        <v>266</v>
      </c>
      <c r="C142" s="40" t="str">
        <f t="shared" si="45"/>
        <v>B06.00;c0050</v>
      </c>
      <c r="D142" s="41" t="s">
        <v>85</v>
      </c>
      <c r="E142" s="40" t="s">
        <v>289</v>
      </c>
      <c r="F142" s="40" t="str">
        <f t="shared" si="43"/>
        <v>String: Free text</v>
      </c>
      <c r="G142" s="40" t="s">
        <v>242</v>
      </c>
      <c r="H142" s="40" t="s">
        <v>257</v>
      </c>
      <c r="I142" s="15"/>
      <c r="J142" s="15"/>
      <c r="K142" s="15"/>
      <c r="L142" s="15"/>
      <c r="M142" s="15"/>
    </row>
    <row r="143" spans="1:14" ht="14.4" customHeight="1" x14ac:dyDescent="0.3">
      <c r="A143" s="7" t="str">
        <f t="shared" si="47"/>
        <v>B90.00_Row number</v>
      </c>
      <c r="B143" t="s">
        <v>344</v>
      </c>
      <c r="C143" t="str">
        <f t="shared" si="45"/>
        <v>B90.00;c0010</v>
      </c>
      <c r="D143" t="s">
        <v>20</v>
      </c>
      <c r="E143" t="s">
        <v>6</v>
      </c>
      <c r="F143" t="str">
        <f t="shared" ref="F143:F146" si="48">CONCATENATE(G143,": ",H143)</f>
        <v>Numeric: Integer</v>
      </c>
      <c r="G143" s="59" t="s">
        <v>241</v>
      </c>
      <c r="H143" t="s">
        <v>256</v>
      </c>
      <c r="I143" s="15"/>
      <c r="J143" s="15"/>
      <c r="K143" s="50" t="str">
        <f t="shared" ref="K143:K153" si="49">+"FRMT_"&amp;L143</f>
        <v>FRMT_0010_row_nmbr</v>
      </c>
      <c r="L143" s="50" t="str">
        <f>+VLOOKUP(D143,'B90_Maping fields'!B:C,2,FALSE)</f>
        <v>0010_row_nmbr</v>
      </c>
      <c r="M143" s="50" t="str">
        <f>+",CASE WHEN cast(`"&amp;L143&amp;"` as string) RLIKE '^[0-9]+$' AND CAST(`"&amp;L143&amp;_xlfn._LONGTEXT("` AS STRING) NOT IN ('N/A','11111111111','11111111111.00','11111111111.000000','1111-11-11','0000-00-00','0001-01-01','9999-12-31','MISS','00000','99999999999','99999999999.00','99999999999.000000','-9999.9999','Not applicable','XXX') THEN 0 ELSE 1 END AS"," ")&amp;K143</f>
        <v>,CASE WHEN cast(`0010_row_nmbr` as string) RLIKE '^[0-9]+$' AND CAST(`0010_row_nmbr` AS STRING) NOT IN ('N/A','11111111111','11111111111.00','11111111111.000000','1111-11-11','0000-00-00','0001-01-01','9999-12-31','MISS','00000','99999999999','99999999999.00','99999999999.000000','-9999.9999','Not applicable','XXX') THEN 0 ELSE 1 END AS FRMT_0010_row_nmbr</v>
      </c>
      <c r="N143" t="str">
        <f t="shared" ref="N143:N153" si="50">+"SUM("&amp;K143&amp;") AS `"&amp;K143&amp;"`,"</f>
        <v>SUM(FRMT_0010_row_nmbr) AS `FRMT_0010_row_nmbr`,</v>
      </c>
    </row>
    <row r="144" spans="1:14" ht="14.4" customHeight="1" x14ac:dyDescent="0.3">
      <c r="A144" s="7" t="str">
        <f t="shared" si="47"/>
        <v>B90.00_Tab of origin</v>
      </c>
      <c r="B144" t="s">
        <v>344</v>
      </c>
      <c r="C144" t="str">
        <f t="shared" si="45"/>
        <v>B90.00;c0011</v>
      </c>
      <c r="D144" s="9" t="s">
        <v>22</v>
      </c>
      <c r="E144" t="s">
        <v>345</v>
      </c>
      <c r="F144" t="str">
        <f t="shared" si="48"/>
        <v>String: Drop down</v>
      </c>
      <c r="G144" s="59" t="s">
        <v>242</v>
      </c>
      <c r="H144" t="s">
        <v>91</v>
      </c>
      <c r="I144" s="15"/>
      <c r="J144" s="15"/>
      <c r="K144" s="50" t="str">
        <f t="shared" si="49"/>
        <v>FRMT_0011_tab_origin</v>
      </c>
      <c r="L144" s="50" t="str">
        <f>+VLOOKUP(D144,'B90_Maping fields'!B:C,2,FALSE)</f>
        <v>0011_tab_origin</v>
      </c>
      <c r="M144" t="str">
        <f>+",CASE WHEN `"&amp;L144&amp;"` IN ('B0200','B0300','B0400','B0500','Not applicable') THEN 0 ELSE 1 END AS "&amp;K144</f>
        <v>,CASE WHEN `0011_tab_origin` IN ('B0200','B0300','B0400','B0500','Not applicable') THEN 0 ELSE 1 END AS FRMT_0011_tab_origin</v>
      </c>
      <c r="N144" t="str">
        <f t="shared" si="50"/>
        <v>SUM(FRMT_0011_tab_origin) AS `FRMT_0011_tab_origin`,</v>
      </c>
    </row>
    <row r="145" spans="1:14" ht="14.4" customHeight="1" x14ac:dyDescent="0.3">
      <c r="A145" s="7" t="str">
        <f t="shared" si="47"/>
        <v>B90.00_Unique identification number (known to the counterparty)</v>
      </c>
      <c r="B145" t="s">
        <v>344</v>
      </c>
      <c r="C145" t="str">
        <f t="shared" si="45"/>
        <v>B90.00;c0020</v>
      </c>
      <c r="D145" t="s">
        <v>38</v>
      </c>
      <c r="E145" t="s">
        <v>9</v>
      </c>
      <c r="F145" t="str">
        <f t="shared" si="48"/>
        <v>String: Free text</v>
      </c>
      <c r="G145" t="s">
        <v>242</v>
      </c>
      <c r="H145" t="s">
        <v>257</v>
      </c>
      <c r="I145" s="15"/>
      <c r="J145" s="15"/>
      <c r="K145" s="50" t="str">
        <f t="shared" si="49"/>
        <v>FRMT_0020_uniq_id_knwn_cntrprty</v>
      </c>
      <c r="L145" s="50" t="str">
        <f>+VLOOKUP(D145,'B90_Maping fields'!B:C,2,FALSE)</f>
        <v>0020_uniq_id_knwn_cntrprty</v>
      </c>
      <c r="M145" s="50" t="str">
        <f>+",CASE WHEN `"&amp;L145&amp;"` RLIKE '[A-Za-z]' and `"&amp;L145&amp;"` NOT IN ('N/A','11111111111','11111111111.00','11111111111.000000','1111-11-11','0000-00-00','0001-01-01','9999-12-31','MISS','00000','99999999999','999999999999999','99999999999.00','99999999999.000000','-9999.9999','','XXX') THEN 0 ELSE 1 END AS "&amp;K145</f>
        <v>,CASE WHEN `0020_uniq_id_knwn_cntrprty` RLIKE '[A-Za-z]' and `0020_uniq_id_knwn_cntrprty` NOT IN ('N/A','11111111111','11111111111.00','11111111111.000000','1111-11-11','0000-00-00','0001-01-01','9999-12-31','MISS','00000','99999999999','999999999999999','99999999999.00','99999999999.000000','-9999.9999','','XXX') THEN 0 ELSE 1 END AS FRMT_0020_uniq_id_knwn_cntrprty</v>
      </c>
      <c r="N145" t="str">
        <f t="shared" si="50"/>
        <v>SUM(FRMT_0020_uniq_id_knwn_cntrprty) AS `FRMT_0020_uniq_id_knwn_cntrprty`,</v>
      </c>
    </row>
    <row r="146" spans="1:14" ht="14.4" customHeight="1" x14ac:dyDescent="0.3">
      <c r="A146" s="7" t="str">
        <f t="shared" ref="A146" si="51">CONCATENATE(B146,"_",E146)</f>
        <v xml:space="preserve">B90.00_Counterparty within the resolution group </v>
      </c>
      <c r="B146" t="s">
        <v>344</v>
      </c>
      <c r="C146" t="str">
        <f t="shared" ref="C146:C152" si="52">CONCATENATE(B146,";c",D146)</f>
        <v>B90.00;c0030</v>
      </c>
      <c r="D146" t="s">
        <v>54</v>
      </c>
      <c r="E146" t="s">
        <v>393</v>
      </c>
      <c r="F146" t="str">
        <f t="shared" si="48"/>
        <v>String: Drop-down</v>
      </c>
      <c r="G146" s="59" t="s">
        <v>242</v>
      </c>
      <c r="H146" t="s">
        <v>258</v>
      </c>
      <c r="I146" s="15"/>
      <c r="J146" s="15"/>
      <c r="K146" s="50" t="str">
        <f t="shared" si="49"/>
        <v>FRMT_0030_cntrprty_rsltn_grp</v>
      </c>
      <c r="L146" s="50" t="str">
        <f>+VLOOKUP(D146,'B90_Maping fields'!B:C,2,FALSE)</f>
        <v>0030_cntrprty_rsltn_grp</v>
      </c>
      <c r="M146" t="str">
        <f>+",CASE WHEN `"&amp;L146&amp;"` IN ('Intragroup and intra-resolution group', 'Intragroup but not intra-resolution group', 'No', 'Not applicable') THEN 0 ELSE 1 END AS "&amp;K146</f>
        <v>,CASE WHEN `0030_cntrprty_rsltn_grp` IN ('Intragroup and intra-resolution group', 'Intragroup but not intra-resolution group', 'No', 'Not applicable') THEN 0 ELSE 1 END AS FRMT_0030_cntrprty_rsltn_grp</v>
      </c>
      <c r="N146" t="str">
        <f t="shared" si="50"/>
        <v>SUM(FRMT_0030_cntrprty_rsltn_grp) AS `FRMT_0030_cntrprty_rsltn_grp`,</v>
      </c>
    </row>
    <row r="147" spans="1:14" ht="14.4" customHeight="1" x14ac:dyDescent="0.3">
      <c r="A147" s="7" t="str">
        <f t="shared" si="47"/>
        <v>B90.00_Counterparty name</v>
      </c>
      <c r="B147" t="s">
        <v>344</v>
      </c>
      <c r="C147" t="str">
        <f t="shared" si="52"/>
        <v>B90.00;c0040</v>
      </c>
      <c r="D147" t="s">
        <v>68</v>
      </c>
      <c r="E147" t="s">
        <v>280</v>
      </c>
      <c r="F147" t="str">
        <f t="shared" si="43"/>
        <v>String: Free text</v>
      </c>
      <c r="G147" t="s">
        <v>242</v>
      </c>
      <c r="H147" t="s">
        <v>257</v>
      </c>
      <c r="I147" t="s">
        <v>323</v>
      </c>
      <c r="J147" s="15"/>
      <c r="K147" s="50" t="str">
        <f t="shared" si="49"/>
        <v>FRMT_0040_cntrprty_nm</v>
      </c>
      <c r="L147" s="50" t="str">
        <f>+VLOOKUP(D147,'B90_Maping fields'!B:C,2,FALSE)</f>
        <v>0040_cntrprty_nm</v>
      </c>
      <c r="M147" s="50" t="str">
        <f t="shared" ref="M147" si="53">+",CASE WHEN (`"&amp;L147&amp;"` RLIKE '[A-Za-z]' and `"&amp;L147&amp;"` NOT IN ('N/A','11111111111','11111111111.00','11111111111.000000','1111-11-11','0000-00-00','0001-01-01','9999-12-31','MISS','00000','99999999999','999999999999999','99999999999.00','99999999999.000000','-9999.9999','','XXX')) OR `"&amp;L147&amp;"` = 'Not applicable' THEN 0 ELSE 1 END AS "&amp;K147</f>
        <v>,CASE WHEN (`0040_cntrprty_nm` RLIKE '[A-Za-z]' and `0040_cntrprty_nm` NOT IN ('N/A','11111111111','11111111111.00','11111111111.000000','1111-11-11','0000-00-00','0001-01-01','9999-12-31','MISS','00000','99999999999','999999999999999','99999999999.00','99999999999.000000','-9999.9999','','XXX')) OR `0040_cntrprty_nm` = 'Not applicable' THEN 0 ELSE 1 END AS FRMT_0040_cntrprty_nm</v>
      </c>
      <c r="N147" t="str">
        <f t="shared" si="50"/>
        <v>SUM(FRMT_0040_cntrprty_nm) AS `FRMT_0040_cntrprty_nm`,</v>
      </c>
    </row>
    <row r="148" spans="1:14" ht="14.4" customHeight="1" x14ac:dyDescent="0.3">
      <c r="A148" s="7" t="str">
        <f t="shared" si="47"/>
        <v>B90.00_Counterparty identifier (preferably LEI)</v>
      </c>
      <c r="B148" t="s">
        <v>344</v>
      </c>
      <c r="C148" t="str">
        <f t="shared" si="52"/>
        <v>B90.00;c0050</v>
      </c>
      <c r="D148" t="s">
        <v>85</v>
      </c>
      <c r="E148" t="s">
        <v>211</v>
      </c>
      <c r="F148" t="str">
        <f t="shared" si="43"/>
        <v>String: Free text</v>
      </c>
      <c r="G148" t="s">
        <v>242</v>
      </c>
      <c r="H148" t="s">
        <v>257</v>
      </c>
      <c r="I148" t="s">
        <v>323</v>
      </c>
      <c r="J148" s="15"/>
      <c r="K148" s="50" t="str">
        <f t="shared" si="49"/>
        <v>FRMT_0050_cntrprty_lei</v>
      </c>
      <c r="L148" s="50" t="str">
        <f>+VLOOKUP(D148,'B90_Maping fields'!B:C,2,FALSE)</f>
        <v>0050_cntrprty_lei</v>
      </c>
      <c r="M148" s="50" t="str">
        <f>+",CASE WHEN (`"&amp;L148&amp;"` RLIKE '[A-Za-z]' and `"&amp;L148&amp;"` NOT IN ('N/A','11111111111','11111111111.00','11111111111.000000','1111-11-11','0000-00-00','0001-01-01','9999-12-31','MISS','00000','99999999999','999999999999999','99999999999.00','99999999999.000000','-9999.9999','','XXX')) OR `"&amp;L148&amp;"` = 'Not applicable' THEN 0 ELSE 1 END AS "&amp;K148</f>
        <v>,CASE WHEN (`0050_cntrprty_lei` RLIKE '[A-Za-z]' and `0050_cntrprty_lei` NOT IN ('N/A','11111111111','11111111111.00','11111111111.000000','1111-11-11','0000-00-00','0001-01-01','9999-12-31','MISS','00000','99999999999','999999999999999','99999999999.00','99999999999.000000','-9999.9999','','XXX')) OR `0050_cntrprty_lei` = 'Not applicable' THEN 0 ELSE 1 END AS FRMT_0050_cntrprty_lei</v>
      </c>
      <c r="N148" t="str">
        <f t="shared" si="50"/>
        <v>SUM(FRMT_0050_cntrprty_lei) AS `FRMT_0050_cntrprty_lei`,</v>
      </c>
    </row>
    <row r="149" spans="1:14" ht="14.4" customHeight="1" x14ac:dyDescent="0.3">
      <c r="A149" s="7" t="str">
        <f t="shared" si="47"/>
        <v>B90.00_Type of counterparty identifier</v>
      </c>
      <c r="B149" t="s">
        <v>344</v>
      </c>
      <c r="C149" t="str">
        <f t="shared" si="52"/>
        <v>B90.00;c0060</v>
      </c>
      <c r="D149" t="s">
        <v>117</v>
      </c>
      <c r="E149" t="s">
        <v>249</v>
      </c>
      <c r="F149" t="str">
        <f t="shared" si="43"/>
        <v>String: Free text, but fixed values for specific items</v>
      </c>
      <c r="G149" t="s">
        <v>242</v>
      </c>
      <c r="H149" t="s">
        <v>286</v>
      </c>
      <c r="I149" t="s">
        <v>323</v>
      </c>
      <c r="J149" s="15"/>
      <c r="K149" s="50" t="str">
        <f t="shared" si="49"/>
        <v>FRMT_0060_typ_cntrprty_id</v>
      </c>
      <c r="L149" s="50" t="str">
        <f>+VLOOKUP(D149,'B90_Maping fields'!B:C,2,FALSE)</f>
        <v>0060_typ_cntrprty_id</v>
      </c>
      <c r="M149" s="50" t="str">
        <f>+",CASE WHEN (`"&amp;L149&amp;"` RLIKE '[A-Za-z]' and `"&amp;L149&amp;"` NOT IN ('N/A','11111111111','11111111111.00','11111111111.000000','1111-11-11','0000-00-00','0001-01-01','9999-12-31','MISS','00000','99999999999','999999999999999','99999999999.00','99999999999.000000','-9999.9999','','XXX')) or `"&amp;L149&amp;"`='Not applicable' THEN 0 ELSE 1 END AS "&amp;K149</f>
        <v>,CASE WHEN (`0060_typ_cntrprty_id` RLIKE '[A-Za-z]' and `0060_typ_cntrprty_id` NOT IN ('N/A','11111111111','11111111111.00','11111111111.000000','1111-11-11','0000-00-00','0001-01-01','9999-12-31','MISS','00000','99999999999','999999999999999','99999999999.00','99999999999.000000','-9999.9999','','XXX')) or `0060_typ_cntrprty_id`='Not applicable' THEN 0 ELSE 1 END AS FRMT_0060_typ_cntrprty_id</v>
      </c>
      <c r="N149" t="str">
        <f t="shared" si="50"/>
        <v>SUM(FRMT_0060_typ_cntrprty_id) AS `FRMT_0060_typ_cntrprty_id`,</v>
      </c>
    </row>
    <row r="150" spans="1:14" ht="14.4" customHeight="1" x14ac:dyDescent="0.3">
      <c r="A150" s="7" t="str">
        <f t="shared" si="47"/>
        <v>B90.00_Internal identifier of the counterparty</v>
      </c>
      <c r="B150" t="s">
        <v>344</v>
      </c>
      <c r="C150" t="str">
        <f t="shared" si="52"/>
        <v>B90.00;c0070</v>
      </c>
      <c r="D150" t="s">
        <v>123</v>
      </c>
      <c r="E150" t="s">
        <v>212</v>
      </c>
      <c r="F150" t="str">
        <f t="shared" si="43"/>
        <v>String: Free text</v>
      </c>
      <c r="G150" t="s">
        <v>242</v>
      </c>
      <c r="H150" t="s">
        <v>257</v>
      </c>
      <c r="I150" t="s">
        <v>323</v>
      </c>
      <c r="J150" s="15"/>
      <c r="K150" s="50" t="str">
        <f t="shared" si="49"/>
        <v>FRMT_0070_cntrprty_id</v>
      </c>
      <c r="L150" s="50" t="str">
        <f>+VLOOKUP(D150,'B90_Maping fields'!B:C,2,FALSE)</f>
        <v>0070_cntrprty_id</v>
      </c>
      <c r="M150" s="50" t="str">
        <f t="shared" ref="M150" si="54">+",CASE WHEN (`"&amp;L150&amp;"` RLIKE '[A-Za-z]' and `"&amp;L150&amp;"` NOT IN ('N/A','11111111111','11111111111.00','11111111111.000000','1111-11-11','0000-00-00','0001-01-01','9999-12-31','MISS','00000','99999999999','999999999999999','99999999999.00','99999999999.000000','-9999.9999','','XXX')) OR `"&amp;L150&amp;"` = 'Not applicable' THEN 0 ELSE 1 END AS "&amp;K150</f>
        <v>,CASE WHEN (`0070_cntrprty_id` RLIKE '[A-Za-z]' and `0070_cntrprty_id` NOT IN ('N/A','11111111111','11111111111.00','11111111111.000000','1111-11-11','0000-00-00','0001-01-01','9999-12-31','MISS','00000','99999999999','999999999999999','99999999999.00','99999999999.000000','-9999.9999','','XXX')) OR `0070_cntrprty_id` = 'Not applicable' THEN 0 ELSE 1 END AS FRMT_0070_cntrprty_id</v>
      </c>
      <c r="N150" t="str">
        <f t="shared" si="50"/>
        <v>SUM(FRMT_0070_cntrprty_id) AS `FRMT_0070_cntrprty_id`,</v>
      </c>
    </row>
    <row r="151" spans="1:14" ht="14.4" customHeight="1" x14ac:dyDescent="0.3">
      <c r="A151" s="7" t="str">
        <f t="shared" si="47"/>
        <v>B90.00_Counterparty type</v>
      </c>
      <c r="B151" t="s">
        <v>344</v>
      </c>
      <c r="C151" t="str">
        <f t="shared" si="52"/>
        <v>B90.00;c0080</v>
      </c>
      <c r="D151" t="s">
        <v>126</v>
      </c>
      <c r="E151" t="s">
        <v>281</v>
      </c>
      <c r="F151" t="str">
        <f t="shared" si="43"/>
        <v>String: Drop-down</v>
      </c>
      <c r="G151" s="59" t="s">
        <v>242</v>
      </c>
      <c r="H151" t="s">
        <v>258</v>
      </c>
      <c r="I151" t="s">
        <v>323</v>
      </c>
      <c r="J151" s="15"/>
      <c r="K151" s="50" t="str">
        <f t="shared" si="49"/>
        <v>FRMT_0080_cntrprty_typ</v>
      </c>
      <c r="L151" s="50" t="str">
        <f>+VLOOKUP(D151,'B90_Maping fields'!B:C,2,FALSE)</f>
        <v>0080_cntrprty_typ</v>
      </c>
      <c r="M151" s="58" t="str">
        <f>+",CASE WHEN `"&amp;L151&amp;"` RLIKE '[A-Za-z]' or `"&amp;L151&amp;"`='Not applicable' THEN 0 ELSE 1 END AS "&amp;K151</f>
        <v>,CASE WHEN `0080_cntrprty_typ` RLIKE '[A-Za-z]' or `0080_cntrprty_typ`='Not applicable' THEN 0 ELSE 1 END AS FRMT_0080_cntrprty_typ</v>
      </c>
      <c r="N151" t="str">
        <f t="shared" si="50"/>
        <v>SUM(FRMT_0080_cntrprty_typ) AS `FRMT_0080_cntrprty_typ`,</v>
      </c>
    </row>
    <row r="152" spans="1:14" ht="14.4" customHeight="1" x14ac:dyDescent="0.3">
      <c r="A152" s="7" t="str">
        <f t="shared" si="47"/>
        <v>B90.00_Country of the counterparty</v>
      </c>
      <c r="B152" t="s">
        <v>344</v>
      </c>
      <c r="C152" t="str">
        <f t="shared" si="52"/>
        <v>B90.00;c0090</v>
      </c>
      <c r="D152" t="s">
        <v>128</v>
      </c>
      <c r="E152" t="s">
        <v>282</v>
      </c>
      <c r="F152" t="str">
        <f t="shared" si="43"/>
        <v xml:space="preserve">String: ISO 3166-1 </v>
      </c>
      <c r="G152" s="59" t="s">
        <v>242</v>
      </c>
      <c r="H152" t="s">
        <v>265</v>
      </c>
      <c r="I152" t="s">
        <v>324</v>
      </c>
      <c r="J152" s="15"/>
      <c r="K152" s="50" t="str">
        <f t="shared" si="49"/>
        <v>FRMT_0090_cntry_cntrprty</v>
      </c>
      <c r="L152" s="50" t="str">
        <f>+VLOOKUP(D152,'B90_Maping fields'!B:C,2,FALSE)</f>
        <v>0090_cntry_cntrprty</v>
      </c>
      <c r="M152" s="50" t="str">
        <f>+",CASE WHEN LENGTH(`"&amp;L152&amp;"`) = 2 OR `"&amp;L152&amp;"` = '99' THEN 0 ELSE 1 END AS "&amp;K152</f>
        <v>,CASE WHEN LENGTH(`0090_cntry_cntrprty`) = 2 OR `0090_cntry_cntrprty` = '99' THEN 0 ELSE 1 END AS FRMT_0090_cntry_cntrprty</v>
      </c>
      <c r="N152" t="str">
        <f t="shared" si="50"/>
        <v>SUM(FRMT_0090_cntry_cntrprty) AS `FRMT_0090_cntry_cntrprty`,</v>
      </c>
    </row>
    <row r="153" spans="1:14" ht="14.4" customHeight="1" x14ac:dyDescent="0.3">
      <c r="A153" s="7" t="str">
        <f t="shared" ref="A153" si="55">CONCATENATE(B153,"_",E153)</f>
        <v>B90.00_Relevant amount for Bail-in/WDC</v>
      </c>
      <c r="B153" t="s">
        <v>344</v>
      </c>
      <c r="C153" t="str">
        <f t="shared" ref="C153" si="56">CONCATENATE(B153,";c",D153)</f>
        <v>B90.00;c0100</v>
      </c>
      <c r="D153" s="9" t="s">
        <v>136</v>
      </c>
      <c r="E153" t="s">
        <v>248</v>
      </c>
      <c r="F153" t="str">
        <f t="shared" si="43"/>
        <v>Numeric: 2 decimals</v>
      </c>
      <c r="G153" t="s">
        <v>241</v>
      </c>
      <c r="H153" s="59" t="s">
        <v>259</v>
      </c>
      <c r="I153" s="15"/>
      <c r="J153" s="15"/>
      <c r="K153" s="50" t="str">
        <f t="shared" si="49"/>
        <v>FRMT_0100_rlvnt_amnt_wdc</v>
      </c>
      <c r="L153" s="50" t="str">
        <f>+VLOOKUP(D153,'B90_Maping fields'!B:C,2,FALSE)</f>
        <v>0100_rlvnt_amnt_wdc</v>
      </c>
      <c r="M153" s="50" t="str">
        <f>+",CASE WHEN CAST(ROUND(`"&amp;L153&amp;"`, 2) AS STRING) = CAST(`"&amp;L153&amp;"` AS STRING) AND CAST(`"&amp;L153&amp;_xlfn._LONGTEXT("` AS STRING) NOT IN ('N/A','11111111111','11111111111.00','11111111111.000000','1111-11-11','0000-00-00','0001-01-01','9999-12-31','MISS','00000','99999999999','99999999999.00','99999999999.000000','-9999.9999','Not applicable','XXX') THEN 0 ELSE 1 END AS"," ")&amp;K153</f>
        <v>,CASE WHEN CAST(ROUND(`0100_rlvnt_amnt_wdc`, 2) AS STRING) = CAST(`0100_rlvnt_amnt_wdc` AS STRING) AND CAST(`0100_rlvnt_amnt_wdc` AS STRING) NOT IN ('N/A','11111111111','11111111111.00','11111111111.000000','1111-11-11','0000-00-00','0001-01-01','9999-12-31','MISS','00000','99999999999','99999999999.00','99999999999.000000','-9999.9999','Not applicable','XXX') THEN 0 ELSE 1 END AS FRMT_0100_rlvnt_amnt_wdc</v>
      </c>
      <c r="N153" t="str">
        <f t="shared" si="50"/>
        <v>SUM(FRMT_0100_rlvnt_amnt_wdc) AS `FRMT_0100_rlvnt_amnt_wdc`,</v>
      </c>
    </row>
    <row r="154" spans="1:14" x14ac:dyDescent="0.3">
      <c r="M154" s="43"/>
    </row>
    <row r="155" spans="1:14" x14ac:dyDescent="0.3">
      <c r="M155" t="s">
        <v>696</v>
      </c>
    </row>
  </sheetData>
  <autoFilter ref="A1:N153" xr:uid="{00000000-0001-0000-0300-000000000000}">
    <filterColumn colId="1">
      <filters>
        <filter val="B02.00"/>
        <filter val="B05.00"/>
        <filter val="B90.00"/>
      </filters>
    </filterColumn>
  </autoFilter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FC75-4E88-4568-9896-D5B6F4BB2763}">
  <dimension ref="A1:B9"/>
  <sheetViews>
    <sheetView showGridLines="0" workbookViewId="0">
      <selection activeCell="A10" sqref="A10"/>
    </sheetView>
  </sheetViews>
  <sheetFormatPr defaultRowHeight="14.4" x14ac:dyDescent="0.3"/>
  <cols>
    <col min="1" max="2" width="29.77734375" customWidth="1"/>
  </cols>
  <sheetData>
    <row r="1" spans="1:2" ht="43.2" x14ac:dyDescent="0.3">
      <c r="A1" s="14" t="s">
        <v>325</v>
      </c>
      <c r="B1" s="14" t="s">
        <v>326</v>
      </c>
    </row>
    <row r="2" spans="1:2" x14ac:dyDescent="0.3">
      <c r="A2" t="s">
        <v>320</v>
      </c>
      <c r="B2" t="s">
        <v>99</v>
      </c>
    </row>
    <row r="3" spans="1:2" x14ac:dyDescent="0.3">
      <c r="A3" t="s">
        <v>324</v>
      </c>
    </row>
    <row r="4" spans="1:2" x14ac:dyDescent="0.3">
      <c r="A4" t="s">
        <v>323</v>
      </c>
    </row>
    <row r="5" spans="1:2" x14ac:dyDescent="0.3">
      <c r="A5" t="s">
        <v>380</v>
      </c>
    </row>
    <row r="6" spans="1:2" x14ac:dyDescent="0.3">
      <c r="A6" t="s">
        <v>245</v>
      </c>
    </row>
    <row r="7" spans="1:2" x14ac:dyDescent="0.3">
      <c r="A7" t="s">
        <v>331</v>
      </c>
    </row>
    <row r="8" spans="1:2" x14ac:dyDescent="0.3">
      <c r="A8" t="s">
        <v>322</v>
      </c>
    </row>
    <row r="9" spans="1:2" x14ac:dyDescent="0.3">
      <c r="A9" t="s">
        <v>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F968-7503-47D4-93CF-F677D7F4FB27}">
  <sheetPr>
    <tabColor theme="4"/>
  </sheetPr>
  <dimension ref="B2:G113"/>
  <sheetViews>
    <sheetView showGridLines="0" zoomScale="90" zoomScaleNormal="90" workbookViewId="0">
      <selection activeCell="G3" sqref="G3"/>
    </sheetView>
  </sheetViews>
  <sheetFormatPr defaultRowHeight="14.4" x14ac:dyDescent="0.3"/>
  <cols>
    <col min="2" max="3" width="15.77734375" customWidth="1"/>
    <col min="6" max="7" width="15.77734375" customWidth="1"/>
  </cols>
  <sheetData>
    <row r="2" spans="2:7" x14ac:dyDescent="0.3">
      <c r="B2" t="s">
        <v>558</v>
      </c>
      <c r="G2" s="44">
        <f>+G4+G7+G8</f>
        <v>85</v>
      </c>
    </row>
    <row r="3" spans="2:7" x14ac:dyDescent="0.3">
      <c r="B3" s="2" t="s">
        <v>66</v>
      </c>
      <c r="C3" s="2" t="s">
        <v>443</v>
      </c>
      <c r="F3" s="23" t="s">
        <v>441</v>
      </c>
      <c r="G3" s="23" t="s">
        <v>574</v>
      </c>
    </row>
    <row r="4" spans="2:7" x14ac:dyDescent="0.3">
      <c r="B4" s="2" t="s">
        <v>66</v>
      </c>
      <c r="C4" s="2" t="s">
        <v>445</v>
      </c>
      <c r="E4">
        <v>8</v>
      </c>
      <c r="F4" s="24" t="s">
        <v>66</v>
      </c>
      <c r="G4" s="24">
        <f>+COUNTIFS(B:B,F4)</f>
        <v>75</v>
      </c>
    </row>
    <row r="5" spans="2:7" x14ac:dyDescent="0.3">
      <c r="B5" s="2" t="s">
        <v>66</v>
      </c>
      <c r="C5" s="2" t="s">
        <v>446</v>
      </c>
      <c r="F5" s="18" t="s">
        <v>82</v>
      </c>
      <c r="G5" s="18">
        <f>+COUNTIFS(B:B,F5)</f>
        <v>17</v>
      </c>
    </row>
    <row r="6" spans="2:7" x14ac:dyDescent="0.3">
      <c r="B6" s="2" t="s">
        <v>66</v>
      </c>
      <c r="C6" s="2" t="s">
        <v>447</v>
      </c>
      <c r="F6" s="18" t="s">
        <v>129</v>
      </c>
      <c r="G6" s="18">
        <f>+COUNTIFS(B:B,F6)</f>
        <v>9</v>
      </c>
    </row>
    <row r="7" spans="2:7" x14ac:dyDescent="0.3">
      <c r="B7" s="2" t="s">
        <v>66</v>
      </c>
      <c r="C7" s="2" t="s">
        <v>448</v>
      </c>
      <c r="E7">
        <v>11000</v>
      </c>
      <c r="F7" s="24" t="s">
        <v>138</v>
      </c>
      <c r="G7" s="24">
        <f>+COUNTIFS(B:B,F7)</f>
        <v>5</v>
      </c>
    </row>
    <row r="8" spans="2:7" x14ac:dyDescent="0.3">
      <c r="B8" s="2" t="s">
        <v>66</v>
      </c>
      <c r="C8" s="2" t="s">
        <v>449</v>
      </c>
      <c r="E8">
        <v>11712</v>
      </c>
      <c r="F8" s="24" t="s">
        <v>344</v>
      </c>
      <c r="G8" s="24">
        <f>+COUNTIFS(B:B,F8)</f>
        <v>5</v>
      </c>
    </row>
    <row r="9" spans="2:7" x14ac:dyDescent="0.3">
      <c r="B9" s="2" t="s">
        <v>66</v>
      </c>
      <c r="C9" s="2" t="s">
        <v>457</v>
      </c>
      <c r="G9" s="18"/>
    </row>
    <row r="10" spans="2:7" x14ac:dyDescent="0.3">
      <c r="B10" s="2" t="s">
        <v>66</v>
      </c>
      <c r="C10" s="2" t="s">
        <v>458</v>
      </c>
    </row>
    <row r="11" spans="2:7" x14ac:dyDescent="0.3">
      <c r="B11" s="2" t="s">
        <v>66</v>
      </c>
      <c r="C11" s="2" t="s">
        <v>459</v>
      </c>
    </row>
    <row r="12" spans="2:7" x14ac:dyDescent="0.3">
      <c r="B12" s="2" t="s">
        <v>66</v>
      </c>
      <c r="C12" s="2" t="s">
        <v>460</v>
      </c>
    </row>
    <row r="13" spans="2:7" x14ac:dyDescent="0.3">
      <c r="B13" s="2" t="s">
        <v>66</v>
      </c>
      <c r="C13" s="2" t="s">
        <v>461</v>
      </c>
    </row>
    <row r="14" spans="2:7" x14ac:dyDescent="0.3">
      <c r="B14" s="2" t="s">
        <v>66</v>
      </c>
      <c r="C14" s="2" t="s">
        <v>462</v>
      </c>
    </row>
    <row r="15" spans="2:7" x14ac:dyDescent="0.3">
      <c r="B15" s="2" t="s">
        <v>66</v>
      </c>
      <c r="C15" s="2" t="s">
        <v>463</v>
      </c>
    </row>
    <row r="16" spans="2:7" x14ac:dyDescent="0.3">
      <c r="B16" s="2" t="s">
        <v>66</v>
      </c>
      <c r="C16" s="2" t="s">
        <v>464</v>
      </c>
    </row>
    <row r="17" spans="2:3" x14ac:dyDescent="0.3">
      <c r="B17" s="2" t="s">
        <v>66</v>
      </c>
      <c r="C17" s="2" t="s">
        <v>465</v>
      </c>
    </row>
    <row r="18" spans="2:3" x14ac:dyDescent="0.3">
      <c r="B18" s="2" t="s">
        <v>66</v>
      </c>
      <c r="C18" s="2" t="s">
        <v>466</v>
      </c>
    </row>
    <row r="19" spans="2:3" x14ac:dyDescent="0.3">
      <c r="B19" s="2" t="s">
        <v>66</v>
      </c>
      <c r="C19" s="2" t="s">
        <v>467</v>
      </c>
    </row>
    <row r="20" spans="2:3" x14ac:dyDescent="0.3">
      <c r="B20" s="2" t="s">
        <v>66</v>
      </c>
      <c r="C20" s="2" t="s">
        <v>468</v>
      </c>
    </row>
    <row r="21" spans="2:3" x14ac:dyDescent="0.3">
      <c r="B21" s="2" t="s">
        <v>66</v>
      </c>
      <c r="C21" s="2" t="s">
        <v>469</v>
      </c>
    </row>
    <row r="22" spans="2:3" x14ac:dyDescent="0.3">
      <c r="B22" s="2" t="s">
        <v>66</v>
      </c>
      <c r="C22" s="2" t="s">
        <v>470</v>
      </c>
    </row>
    <row r="23" spans="2:3" x14ac:dyDescent="0.3">
      <c r="B23" s="2" t="s">
        <v>66</v>
      </c>
      <c r="C23" s="2" t="s">
        <v>471</v>
      </c>
    </row>
    <row r="24" spans="2:3" x14ac:dyDescent="0.3">
      <c r="B24" s="2" t="s">
        <v>66</v>
      </c>
      <c r="C24" s="2" t="s">
        <v>472</v>
      </c>
    </row>
    <row r="25" spans="2:3" x14ac:dyDescent="0.3">
      <c r="B25" s="2" t="s">
        <v>66</v>
      </c>
      <c r="C25" s="2" t="s">
        <v>473</v>
      </c>
    </row>
    <row r="26" spans="2:3" x14ac:dyDescent="0.3">
      <c r="B26" s="2" t="s">
        <v>66</v>
      </c>
      <c r="C26" s="2" t="s">
        <v>474</v>
      </c>
    </row>
    <row r="27" spans="2:3" x14ac:dyDescent="0.3">
      <c r="B27" s="2" t="s">
        <v>66</v>
      </c>
      <c r="C27" s="2" t="s">
        <v>475</v>
      </c>
    </row>
    <row r="28" spans="2:3" x14ac:dyDescent="0.3">
      <c r="B28" s="2" t="s">
        <v>66</v>
      </c>
      <c r="C28" s="2" t="s">
        <v>476</v>
      </c>
    </row>
    <row r="29" spans="2:3" x14ac:dyDescent="0.3">
      <c r="B29" s="2" t="s">
        <v>66</v>
      </c>
      <c r="C29" s="2" t="s">
        <v>477</v>
      </c>
    </row>
    <row r="30" spans="2:3" x14ac:dyDescent="0.3">
      <c r="B30" s="2" t="s">
        <v>66</v>
      </c>
      <c r="C30" s="2" t="s">
        <v>478</v>
      </c>
    </row>
    <row r="31" spans="2:3" x14ac:dyDescent="0.3">
      <c r="B31" s="2" t="s">
        <v>66</v>
      </c>
      <c r="C31" s="2" t="s">
        <v>479</v>
      </c>
    </row>
    <row r="32" spans="2:3" x14ac:dyDescent="0.3">
      <c r="B32" s="2" t="s">
        <v>66</v>
      </c>
      <c r="C32" s="2" t="s">
        <v>480</v>
      </c>
    </row>
    <row r="33" spans="2:3" x14ac:dyDescent="0.3">
      <c r="B33" s="2" t="s">
        <v>66</v>
      </c>
      <c r="C33" s="2" t="s">
        <v>481</v>
      </c>
    </row>
    <row r="34" spans="2:3" x14ac:dyDescent="0.3">
      <c r="B34" s="2" t="s">
        <v>66</v>
      </c>
      <c r="C34" s="2" t="s">
        <v>482</v>
      </c>
    </row>
    <row r="35" spans="2:3" x14ac:dyDescent="0.3">
      <c r="B35" s="2" t="s">
        <v>66</v>
      </c>
      <c r="C35" s="2" t="s">
        <v>483</v>
      </c>
    </row>
    <row r="36" spans="2:3" x14ac:dyDescent="0.3">
      <c r="B36" s="2" t="s">
        <v>66</v>
      </c>
      <c r="C36" s="2" t="s">
        <v>484</v>
      </c>
    </row>
    <row r="37" spans="2:3" x14ac:dyDescent="0.3">
      <c r="B37" s="2" t="s">
        <v>66</v>
      </c>
      <c r="C37" s="2" t="s">
        <v>485</v>
      </c>
    </row>
    <row r="38" spans="2:3" x14ac:dyDescent="0.3">
      <c r="B38" s="2" t="s">
        <v>66</v>
      </c>
      <c r="C38" s="2" t="s">
        <v>486</v>
      </c>
    </row>
    <row r="39" spans="2:3" x14ac:dyDescent="0.3">
      <c r="B39" s="2" t="s">
        <v>66</v>
      </c>
      <c r="C39" s="2" t="s">
        <v>487</v>
      </c>
    </row>
    <row r="40" spans="2:3" x14ac:dyDescent="0.3">
      <c r="B40" s="2" t="s">
        <v>66</v>
      </c>
      <c r="C40" s="2" t="s">
        <v>488</v>
      </c>
    </row>
    <row r="41" spans="2:3" x14ac:dyDescent="0.3">
      <c r="B41" s="2" t="s">
        <v>66</v>
      </c>
      <c r="C41" s="2" t="s">
        <v>489</v>
      </c>
    </row>
    <row r="42" spans="2:3" x14ac:dyDescent="0.3">
      <c r="B42" s="2" t="s">
        <v>82</v>
      </c>
      <c r="C42" s="2" t="s">
        <v>490</v>
      </c>
    </row>
    <row r="43" spans="2:3" x14ac:dyDescent="0.3">
      <c r="B43" s="2" t="s">
        <v>82</v>
      </c>
      <c r="C43" s="2" t="s">
        <v>491</v>
      </c>
    </row>
    <row r="44" spans="2:3" x14ac:dyDescent="0.3">
      <c r="B44" s="2" t="s">
        <v>82</v>
      </c>
      <c r="C44" s="2" t="s">
        <v>492</v>
      </c>
    </row>
    <row r="45" spans="2:3" x14ac:dyDescent="0.3">
      <c r="B45" s="2" t="s">
        <v>82</v>
      </c>
      <c r="C45" s="2" t="s">
        <v>493</v>
      </c>
    </row>
    <row r="46" spans="2:3" x14ac:dyDescent="0.3">
      <c r="B46" s="2" t="s">
        <v>82</v>
      </c>
      <c r="C46" s="2" t="s">
        <v>494</v>
      </c>
    </row>
    <row r="47" spans="2:3" x14ac:dyDescent="0.3">
      <c r="B47" s="2" t="s">
        <v>82</v>
      </c>
      <c r="C47" s="2" t="s">
        <v>495</v>
      </c>
    </row>
    <row r="48" spans="2:3" x14ac:dyDescent="0.3">
      <c r="B48" s="2" t="s">
        <v>82</v>
      </c>
      <c r="C48" s="2" t="s">
        <v>496</v>
      </c>
    </row>
    <row r="49" spans="2:3" x14ac:dyDescent="0.3">
      <c r="B49" s="2" t="s">
        <v>82</v>
      </c>
      <c r="C49" s="2" t="s">
        <v>497</v>
      </c>
    </row>
    <row r="50" spans="2:3" x14ac:dyDescent="0.3">
      <c r="B50" s="2" t="s">
        <v>129</v>
      </c>
      <c r="C50" s="2" t="s">
        <v>498</v>
      </c>
    </row>
    <row r="51" spans="2:3" x14ac:dyDescent="0.3">
      <c r="B51" s="2" t="s">
        <v>129</v>
      </c>
      <c r="C51" s="2" t="s">
        <v>499</v>
      </c>
    </row>
    <row r="52" spans="2:3" x14ac:dyDescent="0.3">
      <c r="B52" s="2" t="s">
        <v>129</v>
      </c>
      <c r="C52" s="2" t="s">
        <v>500</v>
      </c>
    </row>
    <row r="53" spans="2:3" x14ac:dyDescent="0.3">
      <c r="B53" s="2" t="s">
        <v>129</v>
      </c>
      <c r="C53" s="2" t="s">
        <v>501</v>
      </c>
    </row>
    <row r="54" spans="2:3" x14ac:dyDescent="0.3">
      <c r="B54" s="2" t="s">
        <v>129</v>
      </c>
      <c r="C54" s="2" t="s">
        <v>502</v>
      </c>
    </row>
    <row r="55" spans="2:3" x14ac:dyDescent="0.3">
      <c r="B55" s="2" t="s">
        <v>129</v>
      </c>
      <c r="C55" s="2" t="s">
        <v>503</v>
      </c>
    </row>
    <row r="56" spans="2:3" x14ac:dyDescent="0.3">
      <c r="B56" s="2" t="s">
        <v>344</v>
      </c>
      <c r="C56" s="2" t="s">
        <v>456</v>
      </c>
    </row>
    <row r="57" spans="2:3" x14ac:dyDescent="0.3">
      <c r="B57" s="2" t="s">
        <v>66</v>
      </c>
      <c r="C57" s="8" t="s">
        <v>453</v>
      </c>
    </row>
    <row r="58" spans="2:3" x14ac:dyDescent="0.3">
      <c r="B58" s="2" t="s">
        <v>66</v>
      </c>
      <c r="C58" s="2" t="s">
        <v>454</v>
      </c>
    </row>
    <row r="59" spans="2:3" x14ac:dyDescent="0.3">
      <c r="B59" s="2" t="s">
        <v>66</v>
      </c>
      <c r="C59" s="2" t="s">
        <v>455</v>
      </c>
    </row>
    <row r="60" spans="2:3" x14ac:dyDescent="0.3">
      <c r="B60" s="2" t="s">
        <v>66</v>
      </c>
      <c r="C60" s="2" t="s">
        <v>504</v>
      </c>
    </row>
    <row r="61" spans="2:3" x14ac:dyDescent="0.3">
      <c r="B61" s="2" t="s">
        <v>66</v>
      </c>
      <c r="C61" s="2" t="s">
        <v>505</v>
      </c>
    </row>
    <row r="62" spans="2:3" x14ac:dyDescent="0.3">
      <c r="B62" s="2" t="s">
        <v>66</v>
      </c>
      <c r="C62" s="2" t="s">
        <v>506</v>
      </c>
    </row>
    <row r="63" spans="2:3" x14ac:dyDescent="0.3">
      <c r="B63" s="2" t="s">
        <v>66</v>
      </c>
      <c r="C63" s="2" t="s">
        <v>507</v>
      </c>
    </row>
    <row r="64" spans="2:3" x14ac:dyDescent="0.3">
      <c r="B64" s="2" t="s">
        <v>66</v>
      </c>
      <c r="C64" s="2" t="s">
        <v>508</v>
      </c>
    </row>
    <row r="65" spans="2:3" x14ac:dyDescent="0.3">
      <c r="B65" s="2" t="s">
        <v>66</v>
      </c>
      <c r="C65" s="2" t="s">
        <v>509</v>
      </c>
    </row>
    <row r="66" spans="2:3" x14ac:dyDescent="0.3">
      <c r="B66" s="2" t="s">
        <v>66</v>
      </c>
      <c r="C66" s="2" t="s">
        <v>510</v>
      </c>
    </row>
    <row r="67" spans="2:3" x14ac:dyDescent="0.3">
      <c r="B67" s="2" t="s">
        <v>66</v>
      </c>
      <c r="C67" s="2" t="s">
        <v>511</v>
      </c>
    </row>
    <row r="68" spans="2:3" x14ac:dyDescent="0.3">
      <c r="B68" s="2" t="s">
        <v>66</v>
      </c>
      <c r="C68" s="2" t="s">
        <v>512</v>
      </c>
    </row>
    <row r="69" spans="2:3" x14ac:dyDescent="0.3">
      <c r="B69" s="2" t="s">
        <v>66</v>
      </c>
      <c r="C69" s="2" t="s">
        <v>513</v>
      </c>
    </row>
    <row r="70" spans="2:3" x14ac:dyDescent="0.3">
      <c r="B70" s="2" t="s">
        <v>66</v>
      </c>
      <c r="C70" s="2" t="s">
        <v>514</v>
      </c>
    </row>
    <row r="71" spans="2:3" x14ac:dyDescent="0.3">
      <c r="B71" s="2" t="s">
        <v>66</v>
      </c>
      <c r="C71" s="2" t="s">
        <v>515</v>
      </c>
    </row>
    <row r="72" spans="2:3" x14ac:dyDescent="0.3">
      <c r="B72" s="2" t="s">
        <v>66</v>
      </c>
      <c r="C72" s="2" t="s">
        <v>516</v>
      </c>
    </row>
    <row r="73" spans="2:3" x14ac:dyDescent="0.3">
      <c r="B73" s="2" t="s">
        <v>66</v>
      </c>
      <c r="C73" s="2" t="s">
        <v>517</v>
      </c>
    </row>
    <row r="74" spans="2:3" x14ac:dyDescent="0.3">
      <c r="B74" s="2" t="s">
        <v>66</v>
      </c>
      <c r="C74" s="2" t="s">
        <v>518</v>
      </c>
    </row>
    <row r="75" spans="2:3" x14ac:dyDescent="0.3">
      <c r="B75" s="2" t="s">
        <v>66</v>
      </c>
      <c r="C75" s="2" t="s">
        <v>519</v>
      </c>
    </row>
    <row r="76" spans="2:3" x14ac:dyDescent="0.3">
      <c r="B76" s="2" t="s">
        <v>66</v>
      </c>
      <c r="C76" s="2" t="s">
        <v>520</v>
      </c>
    </row>
    <row r="77" spans="2:3" x14ac:dyDescent="0.3">
      <c r="B77" s="2" t="s">
        <v>66</v>
      </c>
      <c r="C77" s="2" t="s">
        <v>521</v>
      </c>
    </row>
    <row r="78" spans="2:3" x14ac:dyDescent="0.3">
      <c r="B78" s="2" t="s">
        <v>66</v>
      </c>
      <c r="C78" s="2" t="s">
        <v>522</v>
      </c>
    </row>
    <row r="79" spans="2:3" x14ac:dyDescent="0.3">
      <c r="B79" s="2" t="s">
        <v>66</v>
      </c>
      <c r="C79" s="2" t="s">
        <v>523</v>
      </c>
    </row>
    <row r="80" spans="2:3" x14ac:dyDescent="0.3">
      <c r="B80" s="2" t="s">
        <v>66</v>
      </c>
      <c r="C80" s="2" t="s">
        <v>524</v>
      </c>
    </row>
    <row r="81" spans="2:3" x14ac:dyDescent="0.3">
      <c r="B81" s="2" t="s">
        <v>66</v>
      </c>
      <c r="C81" s="2" t="s">
        <v>525</v>
      </c>
    </row>
    <row r="82" spans="2:3" x14ac:dyDescent="0.3">
      <c r="B82" s="2" t="s">
        <v>66</v>
      </c>
      <c r="C82" s="2" t="s">
        <v>526</v>
      </c>
    </row>
    <row r="83" spans="2:3" x14ac:dyDescent="0.3">
      <c r="B83" s="2" t="s">
        <v>66</v>
      </c>
      <c r="C83" s="2" t="s">
        <v>527</v>
      </c>
    </row>
    <row r="84" spans="2:3" x14ac:dyDescent="0.3">
      <c r="B84" s="2" t="s">
        <v>66</v>
      </c>
      <c r="C84" s="2" t="s">
        <v>528</v>
      </c>
    </row>
    <row r="85" spans="2:3" x14ac:dyDescent="0.3">
      <c r="B85" s="2" t="s">
        <v>66</v>
      </c>
      <c r="C85" s="2" t="s">
        <v>529</v>
      </c>
    </row>
    <row r="86" spans="2:3" x14ac:dyDescent="0.3">
      <c r="B86" s="2" t="s">
        <v>66</v>
      </c>
      <c r="C86" s="2" t="s">
        <v>530</v>
      </c>
    </row>
    <row r="87" spans="2:3" x14ac:dyDescent="0.3">
      <c r="B87" s="2" t="s">
        <v>66</v>
      </c>
      <c r="C87" s="2" t="s">
        <v>531</v>
      </c>
    </row>
    <row r="88" spans="2:3" x14ac:dyDescent="0.3">
      <c r="B88" s="2" t="s">
        <v>66</v>
      </c>
      <c r="C88" s="2" t="s">
        <v>532</v>
      </c>
    </row>
    <row r="89" spans="2:3" x14ac:dyDescent="0.3">
      <c r="B89" s="2" t="s">
        <v>66</v>
      </c>
      <c r="C89" s="2" t="s">
        <v>533</v>
      </c>
    </row>
    <row r="90" spans="2:3" x14ac:dyDescent="0.3">
      <c r="B90" s="2" t="s">
        <v>66</v>
      </c>
      <c r="C90" s="2" t="s">
        <v>534</v>
      </c>
    </row>
    <row r="91" spans="2:3" x14ac:dyDescent="0.3">
      <c r="B91" s="2" t="s">
        <v>66</v>
      </c>
      <c r="C91" s="2" t="s">
        <v>535</v>
      </c>
    </row>
    <row r="92" spans="2:3" x14ac:dyDescent="0.3">
      <c r="B92" s="2" t="s">
        <v>66</v>
      </c>
      <c r="C92" s="2" t="s">
        <v>536</v>
      </c>
    </row>
    <row r="93" spans="2:3" x14ac:dyDescent="0.3">
      <c r="B93" s="2" t="s">
        <v>82</v>
      </c>
      <c r="C93" s="2" t="s">
        <v>537</v>
      </c>
    </row>
    <row r="94" spans="2:3" x14ac:dyDescent="0.3">
      <c r="B94" s="2" t="s">
        <v>82</v>
      </c>
      <c r="C94" s="2" t="s">
        <v>538</v>
      </c>
    </row>
    <row r="95" spans="2:3" x14ac:dyDescent="0.3">
      <c r="B95" s="2" t="s">
        <v>82</v>
      </c>
      <c r="C95" s="2" t="s">
        <v>539</v>
      </c>
    </row>
    <row r="96" spans="2:3" x14ac:dyDescent="0.3">
      <c r="B96" s="2" t="s">
        <v>82</v>
      </c>
      <c r="C96" s="2" t="s">
        <v>540</v>
      </c>
    </row>
    <row r="97" spans="2:3" x14ac:dyDescent="0.3">
      <c r="B97" s="2" t="s">
        <v>82</v>
      </c>
      <c r="C97" s="2" t="s">
        <v>541</v>
      </c>
    </row>
    <row r="98" spans="2:3" x14ac:dyDescent="0.3">
      <c r="B98" s="2" t="s">
        <v>82</v>
      </c>
      <c r="C98" s="2" t="s">
        <v>542</v>
      </c>
    </row>
    <row r="99" spans="2:3" x14ac:dyDescent="0.3">
      <c r="B99" s="2" t="s">
        <v>82</v>
      </c>
      <c r="C99" s="2" t="s">
        <v>543</v>
      </c>
    </row>
    <row r="100" spans="2:3" x14ac:dyDescent="0.3">
      <c r="B100" s="2" t="s">
        <v>82</v>
      </c>
      <c r="C100" s="2" t="s">
        <v>544</v>
      </c>
    </row>
    <row r="101" spans="2:3" x14ac:dyDescent="0.3">
      <c r="B101" s="2" t="s">
        <v>82</v>
      </c>
      <c r="C101" s="2" t="s">
        <v>545</v>
      </c>
    </row>
    <row r="102" spans="2:3" x14ac:dyDescent="0.3">
      <c r="B102" s="2" t="s">
        <v>129</v>
      </c>
      <c r="C102" s="2" t="s">
        <v>546</v>
      </c>
    </row>
    <row r="103" spans="2:3" x14ac:dyDescent="0.3">
      <c r="B103" s="2" t="s">
        <v>129</v>
      </c>
      <c r="C103" s="2" t="s">
        <v>547</v>
      </c>
    </row>
    <row r="104" spans="2:3" x14ac:dyDescent="0.3">
      <c r="B104" s="2" t="s">
        <v>129</v>
      </c>
      <c r="C104" s="2" t="s">
        <v>548</v>
      </c>
    </row>
    <row r="105" spans="2:3" x14ac:dyDescent="0.3">
      <c r="B105" s="2" t="s">
        <v>138</v>
      </c>
      <c r="C105" s="2" t="s">
        <v>549</v>
      </c>
    </row>
    <row r="106" spans="2:3" x14ac:dyDescent="0.3">
      <c r="B106" s="2" t="s">
        <v>138</v>
      </c>
      <c r="C106" s="2" t="s">
        <v>550</v>
      </c>
    </row>
    <row r="107" spans="2:3" x14ac:dyDescent="0.3">
      <c r="B107" s="2" t="s">
        <v>138</v>
      </c>
      <c r="C107" s="2" t="s">
        <v>551</v>
      </c>
    </row>
    <row r="108" spans="2:3" x14ac:dyDescent="0.3">
      <c r="B108" s="2" t="s">
        <v>138</v>
      </c>
      <c r="C108" s="2" t="s">
        <v>552</v>
      </c>
    </row>
    <row r="109" spans="2:3" x14ac:dyDescent="0.3">
      <c r="B109" s="2" t="s">
        <v>138</v>
      </c>
      <c r="C109" s="2" t="s">
        <v>553</v>
      </c>
    </row>
    <row r="110" spans="2:3" x14ac:dyDescent="0.3">
      <c r="B110" s="2" t="s">
        <v>344</v>
      </c>
      <c r="C110" s="2" t="s">
        <v>554</v>
      </c>
    </row>
    <row r="111" spans="2:3" x14ac:dyDescent="0.3">
      <c r="B111" s="2" t="s">
        <v>344</v>
      </c>
      <c r="C111" s="2" t="s">
        <v>555</v>
      </c>
    </row>
    <row r="112" spans="2:3" x14ac:dyDescent="0.3">
      <c r="B112" s="2" t="s">
        <v>344</v>
      </c>
      <c r="C112" s="2" t="s">
        <v>556</v>
      </c>
    </row>
    <row r="113" spans="2:3" x14ac:dyDescent="0.3">
      <c r="B113" s="2" t="s">
        <v>344</v>
      </c>
      <c r="C113" s="2" t="s">
        <v>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2D0D-4F4B-4277-B831-CB0BABA8D5FB}">
  <sheetPr>
    <tabColor theme="4"/>
  </sheetPr>
  <dimension ref="B2:O18"/>
  <sheetViews>
    <sheetView showGridLines="0" zoomScale="90" zoomScaleNormal="90" workbookViewId="0">
      <selection activeCell="G4" sqref="G4"/>
    </sheetView>
  </sheetViews>
  <sheetFormatPr defaultRowHeight="14.4" x14ac:dyDescent="0.3"/>
  <cols>
    <col min="1" max="1" width="3.77734375" customWidth="1"/>
    <col min="2" max="6" width="15.77734375" customWidth="1"/>
    <col min="7" max="7" width="3.77734375" customWidth="1"/>
    <col min="8" max="15" width="15.77734375" customWidth="1"/>
  </cols>
  <sheetData>
    <row r="2" spans="2:15" x14ac:dyDescent="0.3">
      <c r="B2" s="27" t="s">
        <v>564</v>
      </c>
      <c r="H2" s="38" t="s">
        <v>565</v>
      </c>
      <c r="O2" s="18" t="s">
        <v>567</v>
      </c>
    </row>
    <row r="3" spans="2:15" x14ac:dyDescent="0.3">
      <c r="B3" s="23" t="s">
        <v>441</v>
      </c>
      <c r="C3" s="23" t="s">
        <v>442</v>
      </c>
      <c r="D3" s="23" t="s">
        <v>440</v>
      </c>
      <c r="E3" s="23" t="s">
        <v>560</v>
      </c>
      <c r="F3" s="23" t="s">
        <v>451</v>
      </c>
      <c r="H3" s="23" t="s">
        <v>441</v>
      </c>
      <c r="I3" s="23" t="s">
        <v>560</v>
      </c>
      <c r="J3" s="23" t="s">
        <v>443</v>
      </c>
      <c r="K3" s="23" t="s">
        <v>445</v>
      </c>
      <c r="L3" s="23" t="s">
        <v>446</v>
      </c>
      <c r="M3" s="23" t="s">
        <v>452</v>
      </c>
      <c r="N3" s="23" t="s">
        <v>453</v>
      </c>
      <c r="O3" s="26" t="s">
        <v>566</v>
      </c>
    </row>
    <row r="4" spans="2:15" x14ac:dyDescent="0.3">
      <c r="B4" s="18" t="s">
        <v>66</v>
      </c>
      <c r="C4" s="18" t="s">
        <v>444</v>
      </c>
      <c r="D4" s="18" t="s">
        <v>443</v>
      </c>
      <c r="E4" s="18">
        <v>1</v>
      </c>
      <c r="F4" s="18">
        <v>0</v>
      </c>
      <c r="H4" s="18" t="s">
        <v>66</v>
      </c>
      <c r="I4" s="18">
        <v>1</v>
      </c>
      <c r="J4" s="18">
        <v>0</v>
      </c>
      <c r="K4" s="18">
        <v>0</v>
      </c>
      <c r="L4" s="18">
        <v>0</v>
      </c>
      <c r="M4" s="18" t="s">
        <v>452</v>
      </c>
      <c r="N4" s="18">
        <v>1</v>
      </c>
      <c r="O4" s="18">
        <f>+SUM(J4:N4)</f>
        <v>1</v>
      </c>
    </row>
    <row r="5" spans="2:15" x14ac:dyDescent="0.3">
      <c r="B5" s="18" t="s">
        <v>66</v>
      </c>
      <c r="C5" s="18" t="s">
        <v>444</v>
      </c>
      <c r="D5" s="18" t="s">
        <v>445</v>
      </c>
      <c r="E5" s="18">
        <v>1</v>
      </c>
      <c r="F5" s="18">
        <v>0</v>
      </c>
    </row>
    <row r="6" spans="2:15" x14ac:dyDescent="0.3">
      <c r="B6" s="18" t="s">
        <v>66</v>
      </c>
      <c r="C6" s="18" t="s">
        <v>444</v>
      </c>
      <c r="D6" s="18" t="s">
        <v>446</v>
      </c>
      <c r="E6" s="18">
        <v>1</v>
      </c>
      <c r="F6" s="18">
        <v>0</v>
      </c>
    </row>
    <row r="7" spans="2:15" x14ac:dyDescent="0.3">
      <c r="B7" s="18" t="s">
        <v>66</v>
      </c>
      <c r="C7" s="18" t="s">
        <v>444</v>
      </c>
      <c r="D7" s="18" t="s">
        <v>447</v>
      </c>
      <c r="E7" s="18">
        <v>1</v>
      </c>
      <c r="F7" s="18">
        <v>0</v>
      </c>
    </row>
    <row r="8" spans="2:15" x14ac:dyDescent="0.3">
      <c r="B8" s="18" t="s">
        <v>66</v>
      </c>
      <c r="C8" s="18" t="s">
        <v>444</v>
      </c>
      <c r="D8" s="18" t="s">
        <v>448</v>
      </c>
      <c r="E8" s="18">
        <v>1</v>
      </c>
      <c r="F8" s="18">
        <v>0</v>
      </c>
    </row>
    <row r="9" spans="2:15" x14ac:dyDescent="0.3">
      <c r="B9" s="18" t="s">
        <v>66</v>
      </c>
      <c r="C9" s="18" t="s">
        <v>450</v>
      </c>
      <c r="D9" s="18" t="s">
        <v>449</v>
      </c>
      <c r="E9" s="18">
        <v>1</v>
      </c>
      <c r="F9" s="18">
        <v>1</v>
      </c>
    </row>
    <row r="10" spans="2:15" x14ac:dyDescent="0.3">
      <c r="B10" s="18" t="s">
        <v>452</v>
      </c>
      <c r="C10" s="18" t="s">
        <v>452</v>
      </c>
      <c r="D10" s="18" t="s">
        <v>452</v>
      </c>
      <c r="E10" s="18" t="s">
        <v>452</v>
      </c>
      <c r="F10" s="18" t="s">
        <v>452</v>
      </c>
    </row>
    <row r="11" spans="2:15" x14ac:dyDescent="0.3">
      <c r="B11" s="18" t="s">
        <v>66</v>
      </c>
      <c r="C11" s="18" t="s">
        <v>444</v>
      </c>
      <c r="D11" s="18" t="s">
        <v>453</v>
      </c>
      <c r="E11" s="18">
        <v>1</v>
      </c>
      <c r="F11" s="18">
        <v>0</v>
      </c>
    </row>
    <row r="12" spans="2:15" x14ac:dyDescent="0.3">
      <c r="B12" s="18" t="s">
        <v>66</v>
      </c>
      <c r="C12" s="18" t="s">
        <v>444</v>
      </c>
      <c r="D12" s="18" t="s">
        <v>454</v>
      </c>
      <c r="E12" s="18">
        <v>1</v>
      </c>
      <c r="F12" s="18">
        <v>0</v>
      </c>
    </row>
    <row r="13" spans="2:15" x14ac:dyDescent="0.3">
      <c r="B13" s="18" t="s">
        <v>66</v>
      </c>
      <c r="C13" s="18" t="s">
        <v>450</v>
      </c>
      <c r="D13" s="18" t="s">
        <v>455</v>
      </c>
      <c r="E13" s="18">
        <v>1</v>
      </c>
      <c r="F13" s="18">
        <v>0</v>
      </c>
    </row>
    <row r="14" spans="2:15" x14ac:dyDescent="0.3">
      <c r="B14" s="18" t="s">
        <v>452</v>
      </c>
      <c r="C14" s="18" t="s">
        <v>452</v>
      </c>
      <c r="D14" s="18" t="s">
        <v>452</v>
      </c>
      <c r="E14" s="18" t="s">
        <v>452</v>
      </c>
      <c r="F14" s="18" t="s">
        <v>452</v>
      </c>
    </row>
    <row r="15" spans="2:15" x14ac:dyDescent="0.3">
      <c r="B15" s="18" t="s">
        <v>344</v>
      </c>
      <c r="C15" s="18" t="s">
        <v>444</v>
      </c>
      <c r="D15" s="18" t="s">
        <v>456</v>
      </c>
      <c r="E15" s="18">
        <v>1</v>
      </c>
      <c r="F15" s="18">
        <v>0</v>
      </c>
    </row>
    <row r="16" spans="2:15" x14ac:dyDescent="0.3">
      <c r="B16" s="18" t="s">
        <v>452</v>
      </c>
      <c r="C16" s="18" t="s">
        <v>452</v>
      </c>
      <c r="D16" s="18" t="s">
        <v>452</v>
      </c>
      <c r="E16" s="18" t="s">
        <v>452</v>
      </c>
      <c r="F16" s="18" t="s">
        <v>452</v>
      </c>
    </row>
    <row r="18" spans="2:2" x14ac:dyDescent="0.3">
      <c r="B18" s="37" t="s">
        <v>571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158B-18D1-40AA-B929-D5529DF5084E}">
  <sheetPr>
    <tabColor theme="4"/>
  </sheetPr>
  <dimension ref="B2:C83"/>
  <sheetViews>
    <sheetView showGridLines="0" workbookViewId="0">
      <selection activeCell="B2" sqref="B2"/>
    </sheetView>
  </sheetViews>
  <sheetFormatPr defaultRowHeight="14.4" x14ac:dyDescent="0.3"/>
  <cols>
    <col min="1" max="1" width="3.77734375" customWidth="1"/>
    <col min="2" max="2" width="10.77734375" customWidth="1"/>
    <col min="3" max="3" width="34.21875" bestFit="1" customWidth="1"/>
  </cols>
  <sheetData>
    <row r="2" spans="2:3" x14ac:dyDescent="0.3">
      <c r="B2" s="44" t="s">
        <v>575</v>
      </c>
      <c r="C2" s="27" t="s">
        <v>576</v>
      </c>
    </row>
    <row r="3" spans="2:3" x14ac:dyDescent="0.3">
      <c r="B3" s="18" t="s">
        <v>20</v>
      </c>
      <c r="C3" t="s">
        <v>577</v>
      </c>
    </row>
    <row r="4" spans="2:3" x14ac:dyDescent="0.3">
      <c r="B4" s="18" t="s">
        <v>38</v>
      </c>
      <c r="C4" t="s">
        <v>578</v>
      </c>
    </row>
    <row r="5" spans="2:3" x14ac:dyDescent="0.3">
      <c r="B5" s="18" t="s">
        <v>54</v>
      </c>
      <c r="C5" t="s">
        <v>579</v>
      </c>
    </row>
    <row r="6" spans="2:3" x14ac:dyDescent="0.3">
      <c r="B6" s="18" t="s">
        <v>68</v>
      </c>
      <c r="C6" t="s">
        <v>580</v>
      </c>
    </row>
    <row r="7" spans="2:3" x14ac:dyDescent="0.3">
      <c r="B7" s="18" t="s">
        <v>85</v>
      </c>
      <c r="C7" t="s">
        <v>581</v>
      </c>
    </row>
    <row r="8" spans="2:3" x14ac:dyDescent="0.3">
      <c r="B8" s="18" t="s">
        <v>117</v>
      </c>
      <c r="C8" t="s">
        <v>582</v>
      </c>
    </row>
    <row r="9" spans="2:3" x14ac:dyDescent="0.3">
      <c r="B9" s="18" t="s">
        <v>123</v>
      </c>
      <c r="C9" t="s">
        <v>583</v>
      </c>
    </row>
    <row r="10" spans="2:3" x14ac:dyDescent="0.3">
      <c r="B10" s="18" t="s">
        <v>126</v>
      </c>
      <c r="C10" t="s">
        <v>584</v>
      </c>
    </row>
    <row r="11" spans="2:3" x14ac:dyDescent="0.3">
      <c r="B11" s="18" t="s">
        <v>128</v>
      </c>
      <c r="C11" t="s">
        <v>585</v>
      </c>
    </row>
    <row r="12" spans="2:3" x14ac:dyDescent="0.3">
      <c r="B12" s="18" t="s">
        <v>136</v>
      </c>
      <c r="C12" t="s">
        <v>586</v>
      </c>
    </row>
    <row r="13" spans="2:3" x14ac:dyDescent="0.3">
      <c r="B13" s="18" t="s">
        <v>144</v>
      </c>
      <c r="C13" t="s">
        <v>587</v>
      </c>
    </row>
    <row r="14" spans="2:3" x14ac:dyDescent="0.3">
      <c r="B14" s="18" t="s">
        <v>145</v>
      </c>
      <c r="C14" t="s">
        <v>588</v>
      </c>
    </row>
    <row r="15" spans="2:3" x14ac:dyDescent="0.3">
      <c r="B15" s="18" t="s">
        <v>146</v>
      </c>
      <c r="C15" t="s">
        <v>589</v>
      </c>
    </row>
    <row r="16" spans="2:3" x14ac:dyDescent="0.3">
      <c r="B16" s="18" t="s">
        <v>147</v>
      </c>
      <c r="C16" t="s">
        <v>590</v>
      </c>
    </row>
    <row r="17" spans="2:3" x14ac:dyDescent="0.3">
      <c r="B17" s="18" t="s">
        <v>148</v>
      </c>
      <c r="C17" t="s">
        <v>591</v>
      </c>
    </row>
    <row r="18" spans="2:3" x14ac:dyDescent="0.3">
      <c r="B18" s="18" t="s">
        <v>149</v>
      </c>
      <c r="C18" t="s">
        <v>592</v>
      </c>
    </row>
    <row r="19" spans="2:3" x14ac:dyDescent="0.3">
      <c r="B19" s="18" t="s">
        <v>150</v>
      </c>
      <c r="C19" t="s">
        <v>593</v>
      </c>
    </row>
    <row r="20" spans="2:3" x14ac:dyDescent="0.3">
      <c r="B20" s="18" t="s">
        <v>254</v>
      </c>
      <c r="C20" t="s">
        <v>594</v>
      </c>
    </row>
    <row r="21" spans="2:3" x14ac:dyDescent="0.3">
      <c r="B21" s="18" t="s">
        <v>283</v>
      </c>
      <c r="C21" t="s">
        <v>595</v>
      </c>
    </row>
    <row r="22" spans="2:3" x14ac:dyDescent="0.3">
      <c r="B22" s="18" t="s">
        <v>151</v>
      </c>
      <c r="C22" t="s">
        <v>596</v>
      </c>
    </row>
    <row r="23" spans="2:3" x14ac:dyDescent="0.3">
      <c r="B23" s="18" t="s">
        <v>152</v>
      </c>
      <c r="C23" t="s">
        <v>597</v>
      </c>
    </row>
    <row r="24" spans="2:3" x14ac:dyDescent="0.3">
      <c r="B24" s="18" t="s">
        <v>153</v>
      </c>
      <c r="C24" t="s">
        <v>598</v>
      </c>
    </row>
    <row r="25" spans="2:3" x14ac:dyDescent="0.3">
      <c r="B25" s="18" t="s">
        <v>154</v>
      </c>
      <c r="C25" t="s">
        <v>599</v>
      </c>
    </row>
    <row r="26" spans="2:3" x14ac:dyDescent="0.3">
      <c r="B26" s="18" t="s">
        <v>155</v>
      </c>
      <c r="C26" t="s">
        <v>600</v>
      </c>
    </row>
    <row r="27" spans="2:3" x14ac:dyDescent="0.3">
      <c r="B27" s="18" t="s">
        <v>156</v>
      </c>
      <c r="C27" t="s">
        <v>601</v>
      </c>
    </row>
    <row r="28" spans="2:3" x14ac:dyDescent="0.3">
      <c r="B28" s="18" t="s">
        <v>157</v>
      </c>
      <c r="C28" t="s">
        <v>602</v>
      </c>
    </row>
    <row r="29" spans="2:3" x14ac:dyDescent="0.3">
      <c r="B29" s="18" t="s">
        <v>158</v>
      </c>
      <c r="C29" t="s">
        <v>603</v>
      </c>
    </row>
    <row r="30" spans="2:3" x14ac:dyDescent="0.3">
      <c r="B30" s="18" t="s">
        <v>159</v>
      </c>
      <c r="C30" t="s">
        <v>604</v>
      </c>
    </row>
    <row r="31" spans="2:3" x14ac:dyDescent="0.3">
      <c r="B31" s="18" t="s">
        <v>160</v>
      </c>
      <c r="C31" t="s">
        <v>605</v>
      </c>
    </row>
    <row r="32" spans="2:3" x14ac:dyDescent="0.3">
      <c r="B32" s="18" t="s">
        <v>161</v>
      </c>
      <c r="C32" t="s">
        <v>606</v>
      </c>
    </row>
    <row r="33" spans="2:3" x14ac:dyDescent="0.3">
      <c r="B33" s="18" t="s">
        <v>163</v>
      </c>
      <c r="C33" t="s">
        <v>607</v>
      </c>
    </row>
    <row r="34" spans="2:3" x14ac:dyDescent="0.3">
      <c r="B34" s="18" t="s">
        <v>165</v>
      </c>
      <c r="C34" t="s">
        <v>608</v>
      </c>
    </row>
    <row r="35" spans="2:3" x14ac:dyDescent="0.3">
      <c r="B35" s="18" t="s">
        <v>167</v>
      </c>
      <c r="C35" t="s">
        <v>609</v>
      </c>
    </row>
    <row r="36" spans="2:3" x14ac:dyDescent="0.3">
      <c r="B36" s="18" t="s">
        <v>168</v>
      </c>
      <c r="C36" t="s">
        <v>610</v>
      </c>
    </row>
    <row r="37" spans="2:3" x14ac:dyDescent="0.3">
      <c r="B37" s="18" t="s">
        <v>169</v>
      </c>
      <c r="C37" t="s">
        <v>611</v>
      </c>
    </row>
    <row r="38" spans="2:3" x14ac:dyDescent="0.3">
      <c r="B38" s="18" t="s">
        <v>170</v>
      </c>
      <c r="C38" t="s">
        <v>612</v>
      </c>
    </row>
    <row r="39" spans="2:3" x14ac:dyDescent="0.3">
      <c r="B39" s="18" t="s">
        <v>171</v>
      </c>
      <c r="C39" t="s">
        <v>613</v>
      </c>
    </row>
    <row r="40" spans="2:3" x14ac:dyDescent="0.3">
      <c r="B40" s="18" t="s">
        <v>173</v>
      </c>
      <c r="C40" t="s">
        <v>614</v>
      </c>
    </row>
    <row r="41" spans="2:3" x14ac:dyDescent="0.3">
      <c r="B41" s="18" t="s">
        <v>284</v>
      </c>
      <c r="C41" t="s">
        <v>615</v>
      </c>
    </row>
    <row r="42" spans="2:3" x14ac:dyDescent="0.3">
      <c r="B42" s="18" t="s">
        <v>174</v>
      </c>
      <c r="C42" t="s">
        <v>616</v>
      </c>
    </row>
    <row r="43" spans="2:3" x14ac:dyDescent="0.3">
      <c r="B43" s="18" t="s">
        <v>175</v>
      </c>
      <c r="C43" t="s">
        <v>617</v>
      </c>
    </row>
    <row r="44" spans="2:3" x14ac:dyDescent="0.3">
      <c r="B44" s="18" t="s">
        <v>176</v>
      </c>
      <c r="C44" t="s">
        <v>618</v>
      </c>
    </row>
    <row r="45" spans="2:3" x14ac:dyDescent="0.3">
      <c r="B45" s="18" t="s">
        <v>177</v>
      </c>
      <c r="C45" t="s">
        <v>619</v>
      </c>
    </row>
    <row r="46" spans="2:3" x14ac:dyDescent="0.3">
      <c r="B46" s="18" t="s">
        <v>178</v>
      </c>
      <c r="C46" t="s">
        <v>620</v>
      </c>
    </row>
    <row r="47" spans="2:3" x14ac:dyDescent="0.3">
      <c r="B47" s="18" t="s">
        <v>179</v>
      </c>
      <c r="C47" t="s">
        <v>621</v>
      </c>
    </row>
    <row r="48" spans="2:3" x14ac:dyDescent="0.3">
      <c r="B48" s="18" t="s">
        <v>180</v>
      </c>
      <c r="C48" t="s">
        <v>622</v>
      </c>
    </row>
    <row r="49" spans="2:3" x14ac:dyDescent="0.3">
      <c r="B49" s="18" t="s">
        <v>181</v>
      </c>
      <c r="C49" t="s">
        <v>623</v>
      </c>
    </row>
    <row r="50" spans="2:3" x14ac:dyDescent="0.3">
      <c r="B50" s="18" t="s">
        <v>183</v>
      </c>
      <c r="C50" t="s">
        <v>624</v>
      </c>
    </row>
    <row r="51" spans="2:3" x14ac:dyDescent="0.3">
      <c r="B51" s="18" t="s">
        <v>285</v>
      </c>
      <c r="C51" t="s">
        <v>625</v>
      </c>
    </row>
    <row r="52" spans="2:3" x14ac:dyDescent="0.3">
      <c r="B52" s="18" t="s">
        <v>184</v>
      </c>
      <c r="C52" t="s">
        <v>626</v>
      </c>
    </row>
    <row r="53" spans="2:3" x14ac:dyDescent="0.3">
      <c r="B53" s="18" t="s">
        <v>185</v>
      </c>
      <c r="C53" t="s">
        <v>627</v>
      </c>
    </row>
    <row r="54" spans="2:3" x14ac:dyDescent="0.3">
      <c r="B54" s="18" t="s">
        <v>186</v>
      </c>
      <c r="C54" t="s">
        <v>628</v>
      </c>
    </row>
    <row r="55" spans="2:3" x14ac:dyDescent="0.3">
      <c r="B55" s="18" t="s">
        <v>188</v>
      </c>
      <c r="C55" t="s">
        <v>629</v>
      </c>
    </row>
    <row r="56" spans="2:3" x14ac:dyDescent="0.3">
      <c r="B56" s="18" t="s">
        <v>309</v>
      </c>
      <c r="C56" t="s">
        <v>630</v>
      </c>
    </row>
    <row r="57" spans="2:3" x14ac:dyDescent="0.3">
      <c r="B57" s="18" t="s">
        <v>190</v>
      </c>
      <c r="C57" t="s">
        <v>631</v>
      </c>
    </row>
    <row r="58" spans="2:3" x14ac:dyDescent="0.3">
      <c r="B58" s="18" t="s">
        <v>191</v>
      </c>
      <c r="C58" t="s">
        <v>632</v>
      </c>
    </row>
    <row r="59" spans="2:3" x14ac:dyDescent="0.3">
      <c r="B59" s="18" t="s">
        <v>192</v>
      </c>
      <c r="C59" t="s">
        <v>633</v>
      </c>
    </row>
    <row r="60" spans="2:3" x14ac:dyDescent="0.3">
      <c r="B60" s="18" t="s">
        <v>193</v>
      </c>
      <c r="C60" t="s">
        <v>634</v>
      </c>
    </row>
    <row r="61" spans="2:3" x14ac:dyDescent="0.3">
      <c r="B61" s="18" t="s">
        <v>194</v>
      </c>
      <c r="C61" t="s">
        <v>635</v>
      </c>
    </row>
    <row r="62" spans="2:3" x14ac:dyDescent="0.3">
      <c r="B62" s="18" t="s">
        <v>196</v>
      </c>
      <c r="C62" t="s">
        <v>636</v>
      </c>
    </row>
    <row r="63" spans="2:3" x14ac:dyDescent="0.3">
      <c r="B63" s="18" t="s">
        <v>198</v>
      </c>
      <c r="C63" t="s">
        <v>637</v>
      </c>
    </row>
    <row r="64" spans="2:3" x14ac:dyDescent="0.3">
      <c r="B64" s="18" t="s">
        <v>200</v>
      </c>
      <c r="C64" t="s">
        <v>638</v>
      </c>
    </row>
    <row r="65" spans="2:3" x14ac:dyDescent="0.3">
      <c r="B65" s="18" t="s">
        <v>202</v>
      </c>
      <c r="C65" t="s">
        <v>639</v>
      </c>
    </row>
    <row r="66" spans="2:3" x14ac:dyDescent="0.3">
      <c r="B66" s="18" t="s">
        <v>204</v>
      </c>
      <c r="C66" t="s">
        <v>640</v>
      </c>
    </row>
    <row r="67" spans="2:3" x14ac:dyDescent="0.3">
      <c r="B67" s="18" t="s">
        <v>206</v>
      </c>
      <c r="C67" t="s">
        <v>641</v>
      </c>
    </row>
    <row r="68" spans="2:3" x14ac:dyDescent="0.3">
      <c r="B68" s="18" t="s">
        <v>208</v>
      </c>
      <c r="C68" t="s">
        <v>642</v>
      </c>
    </row>
    <row r="69" spans="2:3" x14ac:dyDescent="0.3">
      <c r="B69" s="18" t="s">
        <v>210</v>
      </c>
      <c r="C69" t="s">
        <v>643</v>
      </c>
    </row>
    <row r="70" spans="2:3" x14ac:dyDescent="0.3">
      <c r="B70" s="18" t="s">
        <v>213</v>
      </c>
      <c r="C70" t="s">
        <v>644</v>
      </c>
    </row>
    <row r="71" spans="2:3" x14ac:dyDescent="0.3">
      <c r="B71" s="18" t="s">
        <v>214</v>
      </c>
      <c r="C71" t="s">
        <v>645</v>
      </c>
    </row>
    <row r="72" spans="2:3" x14ac:dyDescent="0.3">
      <c r="B72" s="18" t="s">
        <v>215</v>
      </c>
      <c r="C72" t="s">
        <v>646</v>
      </c>
    </row>
    <row r="73" spans="2:3" x14ac:dyDescent="0.3">
      <c r="B73" s="18" t="s">
        <v>216</v>
      </c>
      <c r="C73" t="s">
        <v>647</v>
      </c>
    </row>
    <row r="74" spans="2:3" x14ac:dyDescent="0.3">
      <c r="B74" s="18" t="s">
        <v>217</v>
      </c>
      <c r="C74" t="s">
        <v>648</v>
      </c>
    </row>
    <row r="75" spans="2:3" x14ac:dyDescent="0.3">
      <c r="B75" s="18" t="s">
        <v>346</v>
      </c>
      <c r="C75" t="s">
        <v>649</v>
      </c>
    </row>
    <row r="76" spans="2:3" x14ac:dyDescent="0.3">
      <c r="B76" s="18" t="s">
        <v>218</v>
      </c>
      <c r="C76" t="s">
        <v>650</v>
      </c>
    </row>
    <row r="77" spans="2:3" x14ac:dyDescent="0.3">
      <c r="B77" s="18" t="s">
        <v>219</v>
      </c>
      <c r="C77" t="s">
        <v>651</v>
      </c>
    </row>
    <row r="78" spans="2:3" x14ac:dyDescent="0.3">
      <c r="B78" s="18" t="s">
        <v>220</v>
      </c>
      <c r="C78" t="s">
        <v>652</v>
      </c>
    </row>
    <row r="79" spans="2:3" x14ac:dyDescent="0.3">
      <c r="B79" s="18" t="s">
        <v>221</v>
      </c>
      <c r="C79" t="s">
        <v>653</v>
      </c>
    </row>
    <row r="80" spans="2:3" x14ac:dyDescent="0.3">
      <c r="B80" s="18" t="s">
        <v>224</v>
      </c>
      <c r="C80" t="s">
        <v>654</v>
      </c>
    </row>
    <row r="81" spans="2:3" x14ac:dyDescent="0.3">
      <c r="B81" s="18" t="s">
        <v>225</v>
      </c>
      <c r="C81" t="s">
        <v>655</v>
      </c>
    </row>
    <row r="82" spans="2:3" x14ac:dyDescent="0.3">
      <c r="B82" s="18" t="s">
        <v>227</v>
      </c>
      <c r="C82" t="s">
        <v>656</v>
      </c>
    </row>
    <row r="83" spans="2:3" x14ac:dyDescent="0.3">
      <c r="B83" s="18" t="s">
        <v>228</v>
      </c>
      <c r="C83" t="s">
        <v>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78CA-618E-4490-8F88-40650D0941A3}">
  <sheetPr>
    <tabColor theme="4"/>
  </sheetPr>
  <dimension ref="B2:C82"/>
  <sheetViews>
    <sheetView showGridLines="0" workbookViewId="0">
      <selection activeCell="C1" sqref="C1"/>
    </sheetView>
  </sheetViews>
  <sheetFormatPr defaultRowHeight="14.4" x14ac:dyDescent="0.3"/>
  <cols>
    <col min="1" max="1" width="3.77734375" customWidth="1"/>
    <col min="2" max="2" width="10.77734375" customWidth="1"/>
    <col min="3" max="3" width="34.21875" bestFit="1" customWidth="1"/>
  </cols>
  <sheetData>
    <row r="2" spans="2:3" x14ac:dyDescent="0.3">
      <c r="B2" s="44" t="s">
        <v>575</v>
      </c>
      <c r="C2" s="27" t="s">
        <v>576</v>
      </c>
    </row>
    <row r="3" spans="2:3" x14ac:dyDescent="0.3">
      <c r="B3" s="18" t="s">
        <v>20</v>
      </c>
      <c r="C3" s="51" t="s">
        <v>577</v>
      </c>
    </row>
    <row r="4" spans="2:3" x14ac:dyDescent="0.3">
      <c r="B4" s="18" t="s">
        <v>38</v>
      </c>
      <c r="C4" s="51" t="s">
        <v>669</v>
      </c>
    </row>
    <row r="5" spans="2:3" x14ac:dyDescent="0.3">
      <c r="B5" s="18" t="s">
        <v>54</v>
      </c>
      <c r="C5" s="51" t="s">
        <v>670</v>
      </c>
    </row>
    <row r="6" spans="2:3" x14ac:dyDescent="0.3">
      <c r="B6" s="18" t="s">
        <v>68</v>
      </c>
      <c r="C6" s="51" t="s">
        <v>671</v>
      </c>
    </row>
    <row r="7" spans="2:3" x14ac:dyDescent="0.3">
      <c r="B7" s="18" t="s">
        <v>85</v>
      </c>
      <c r="C7" s="51" t="s">
        <v>672</v>
      </c>
    </row>
    <row r="8" spans="2:3" x14ac:dyDescent="0.3">
      <c r="B8" s="18" t="s">
        <v>117</v>
      </c>
      <c r="C8" s="51" t="s">
        <v>673</v>
      </c>
    </row>
    <row r="9" spans="2:3" x14ac:dyDescent="0.3">
      <c r="B9" s="18" t="s">
        <v>123</v>
      </c>
      <c r="C9" s="51" t="s">
        <v>674</v>
      </c>
    </row>
    <row r="10" spans="2:3" x14ac:dyDescent="0.3">
      <c r="B10" s="18" t="s">
        <v>126</v>
      </c>
      <c r="C10" s="51" t="s">
        <v>675</v>
      </c>
    </row>
    <row r="11" spans="2:3" x14ac:dyDescent="0.3">
      <c r="B11" s="18" t="s">
        <v>128</v>
      </c>
      <c r="C11" s="51" t="s">
        <v>676</v>
      </c>
    </row>
    <row r="12" spans="2:3" x14ac:dyDescent="0.3">
      <c r="B12" s="18" t="s">
        <v>136</v>
      </c>
      <c r="C12" s="51" t="s">
        <v>677</v>
      </c>
    </row>
    <row r="13" spans="2:3" x14ac:dyDescent="0.3">
      <c r="B13" s="18" t="s">
        <v>144</v>
      </c>
      <c r="C13" s="51" t="s">
        <v>678</v>
      </c>
    </row>
    <row r="14" spans="2:3" x14ac:dyDescent="0.3">
      <c r="B14" s="18" t="s">
        <v>145</v>
      </c>
      <c r="C14" s="51" t="s">
        <v>679</v>
      </c>
    </row>
    <row r="15" spans="2:3" x14ac:dyDescent="0.3">
      <c r="B15" s="18" t="s">
        <v>146</v>
      </c>
      <c r="C15" s="51" t="s">
        <v>680</v>
      </c>
    </row>
    <row r="16" spans="2:3" x14ac:dyDescent="0.3">
      <c r="B16" s="18" t="s">
        <v>147</v>
      </c>
      <c r="C16" s="51" t="s">
        <v>681</v>
      </c>
    </row>
    <row r="17" spans="2:3" x14ac:dyDescent="0.3">
      <c r="B17" s="18" t="s">
        <v>149</v>
      </c>
      <c r="C17" s="51" t="s">
        <v>682</v>
      </c>
    </row>
    <row r="18" spans="2:3" x14ac:dyDescent="0.3">
      <c r="B18" s="18"/>
      <c r="C18" s="51"/>
    </row>
    <row r="19" spans="2:3" x14ac:dyDescent="0.3">
      <c r="B19" s="18"/>
      <c r="C19" s="51"/>
    </row>
    <row r="20" spans="2:3" x14ac:dyDescent="0.3">
      <c r="B20" s="18"/>
      <c r="C20" s="51"/>
    </row>
    <row r="21" spans="2:3" x14ac:dyDescent="0.3">
      <c r="B21" s="18"/>
      <c r="C21" s="51"/>
    </row>
    <row r="22" spans="2:3" x14ac:dyDescent="0.3">
      <c r="B22" s="18"/>
    </row>
    <row r="23" spans="2:3" x14ac:dyDescent="0.3">
      <c r="B23" s="18"/>
    </row>
    <row r="24" spans="2:3" x14ac:dyDescent="0.3">
      <c r="B24" s="18"/>
    </row>
    <row r="25" spans="2:3" x14ac:dyDescent="0.3">
      <c r="B25" s="18"/>
    </row>
    <row r="26" spans="2:3" x14ac:dyDescent="0.3">
      <c r="B26" s="18"/>
    </row>
    <row r="27" spans="2:3" x14ac:dyDescent="0.3">
      <c r="B27" s="18"/>
    </row>
    <row r="28" spans="2:3" x14ac:dyDescent="0.3">
      <c r="B28" s="18"/>
    </row>
    <row r="29" spans="2:3" x14ac:dyDescent="0.3">
      <c r="B29" s="18"/>
    </row>
    <row r="30" spans="2:3" x14ac:dyDescent="0.3">
      <c r="B30" s="18"/>
    </row>
    <row r="31" spans="2:3" x14ac:dyDescent="0.3">
      <c r="B31" s="18"/>
    </row>
    <row r="32" spans="2:3" x14ac:dyDescent="0.3">
      <c r="B32" s="18"/>
    </row>
    <row r="33" spans="2:2" x14ac:dyDescent="0.3">
      <c r="B33" s="18"/>
    </row>
    <row r="34" spans="2:2" x14ac:dyDescent="0.3">
      <c r="B34" s="18"/>
    </row>
    <row r="35" spans="2:2" x14ac:dyDescent="0.3">
      <c r="B35" s="18"/>
    </row>
    <row r="36" spans="2:2" x14ac:dyDescent="0.3">
      <c r="B36" s="18"/>
    </row>
    <row r="37" spans="2:2" x14ac:dyDescent="0.3">
      <c r="B37" s="18"/>
    </row>
    <row r="38" spans="2:2" x14ac:dyDescent="0.3">
      <c r="B38" s="18"/>
    </row>
    <row r="39" spans="2:2" x14ac:dyDescent="0.3">
      <c r="B39" s="18"/>
    </row>
    <row r="40" spans="2:2" x14ac:dyDescent="0.3">
      <c r="B40" s="18"/>
    </row>
    <row r="41" spans="2:2" x14ac:dyDescent="0.3">
      <c r="B41" s="18"/>
    </row>
    <row r="42" spans="2:2" x14ac:dyDescent="0.3">
      <c r="B42" s="18"/>
    </row>
    <row r="43" spans="2:2" x14ac:dyDescent="0.3">
      <c r="B43" s="18"/>
    </row>
    <row r="44" spans="2:2" x14ac:dyDescent="0.3">
      <c r="B44" s="18"/>
    </row>
    <row r="45" spans="2:2" x14ac:dyDescent="0.3">
      <c r="B45" s="18"/>
    </row>
    <row r="46" spans="2:2" x14ac:dyDescent="0.3">
      <c r="B46" s="18"/>
    </row>
    <row r="47" spans="2:2" x14ac:dyDescent="0.3">
      <c r="B47" s="18"/>
    </row>
    <row r="48" spans="2:2" x14ac:dyDescent="0.3">
      <c r="B48" s="18"/>
    </row>
    <row r="49" spans="2:2" x14ac:dyDescent="0.3">
      <c r="B49" s="18"/>
    </row>
    <row r="50" spans="2:2" x14ac:dyDescent="0.3">
      <c r="B50" s="18"/>
    </row>
    <row r="51" spans="2:2" x14ac:dyDescent="0.3">
      <c r="B51" s="18"/>
    </row>
    <row r="52" spans="2:2" x14ac:dyDescent="0.3">
      <c r="B52" s="18"/>
    </row>
    <row r="53" spans="2:2" x14ac:dyDescent="0.3">
      <c r="B53" s="18"/>
    </row>
    <row r="54" spans="2:2" x14ac:dyDescent="0.3">
      <c r="B54" s="18"/>
    </row>
    <row r="55" spans="2:2" x14ac:dyDescent="0.3">
      <c r="B55" s="18"/>
    </row>
    <row r="56" spans="2:2" x14ac:dyDescent="0.3">
      <c r="B56" s="18"/>
    </row>
    <row r="57" spans="2:2" x14ac:dyDescent="0.3">
      <c r="B57" s="18"/>
    </row>
    <row r="58" spans="2:2" x14ac:dyDescent="0.3">
      <c r="B58" s="18"/>
    </row>
    <row r="59" spans="2:2" x14ac:dyDescent="0.3">
      <c r="B59" s="18"/>
    </row>
    <row r="60" spans="2:2" x14ac:dyDescent="0.3">
      <c r="B60" s="18"/>
    </row>
    <row r="61" spans="2:2" x14ac:dyDescent="0.3">
      <c r="B61" s="18"/>
    </row>
    <row r="62" spans="2:2" x14ac:dyDescent="0.3">
      <c r="B62" s="18"/>
    </row>
    <row r="63" spans="2:2" x14ac:dyDescent="0.3">
      <c r="B63" s="18"/>
    </row>
    <row r="64" spans="2:2" x14ac:dyDescent="0.3">
      <c r="B64" s="18"/>
    </row>
    <row r="65" spans="2:2" x14ac:dyDescent="0.3">
      <c r="B65" s="18"/>
    </row>
    <row r="66" spans="2:2" x14ac:dyDescent="0.3">
      <c r="B66" s="18"/>
    </row>
    <row r="67" spans="2:2" x14ac:dyDescent="0.3">
      <c r="B67" s="18"/>
    </row>
    <row r="68" spans="2:2" x14ac:dyDescent="0.3">
      <c r="B68" s="18"/>
    </row>
    <row r="69" spans="2:2" x14ac:dyDescent="0.3">
      <c r="B69" s="18"/>
    </row>
    <row r="70" spans="2:2" x14ac:dyDescent="0.3">
      <c r="B70" s="18"/>
    </row>
    <row r="71" spans="2:2" x14ac:dyDescent="0.3">
      <c r="B71" s="18"/>
    </row>
    <row r="72" spans="2:2" x14ac:dyDescent="0.3">
      <c r="B72" s="18"/>
    </row>
    <row r="73" spans="2:2" x14ac:dyDescent="0.3">
      <c r="B73" s="18"/>
    </row>
    <row r="74" spans="2:2" x14ac:dyDescent="0.3">
      <c r="B74" s="18"/>
    </row>
    <row r="75" spans="2:2" x14ac:dyDescent="0.3">
      <c r="B75" s="18"/>
    </row>
    <row r="76" spans="2:2" x14ac:dyDescent="0.3">
      <c r="B76" s="18"/>
    </row>
    <row r="77" spans="2:2" x14ac:dyDescent="0.3">
      <c r="B77" s="18"/>
    </row>
    <row r="78" spans="2:2" x14ac:dyDescent="0.3">
      <c r="B78" s="18"/>
    </row>
    <row r="79" spans="2:2" x14ac:dyDescent="0.3">
      <c r="B79" s="18"/>
    </row>
    <row r="80" spans="2:2" x14ac:dyDescent="0.3">
      <c r="B80" s="18"/>
    </row>
    <row r="81" spans="2:2" x14ac:dyDescent="0.3">
      <c r="B81" s="18"/>
    </row>
    <row r="82" spans="2:2" x14ac:dyDescent="0.3">
      <c r="B82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CF60-862E-4212-AD6B-991CDAFB9EEB}">
  <sheetPr>
    <tabColor theme="4"/>
  </sheetPr>
  <dimension ref="B2:C83"/>
  <sheetViews>
    <sheetView showGridLines="0" workbookViewId="0"/>
  </sheetViews>
  <sheetFormatPr defaultRowHeight="14.4" x14ac:dyDescent="0.3"/>
  <cols>
    <col min="1" max="1" width="3.77734375" customWidth="1"/>
    <col min="2" max="2" width="10.77734375" customWidth="1"/>
    <col min="3" max="3" width="34.21875" bestFit="1" customWidth="1"/>
  </cols>
  <sheetData>
    <row r="2" spans="2:3" x14ac:dyDescent="0.3">
      <c r="B2" s="44" t="s">
        <v>575</v>
      </c>
      <c r="C2" s="27" t="s">
        <v>576</v>
      </c>
    </row>
    <row r="3" spans="2:3" x14ac:dyDescent="0.3">
      <c r="B3" t="s">
        <v>20</v>
      </c>
      <c r="C3" s="43" t="s">
        <v>577</v>
      </c>
    </row>
    <row r="4" spans="2:3" x14ac:dyDescent="0.3">
      <c r="B4" t="s">
        <v>22</v>
      </c>
      <c r="C4" s="43" t="s">
        <v>683</v>
      </c>
    </row>
    <row r="5" spans="2:3" x14ac:dyDescent="0.3">
      <c r="B5" t="s">
        <v>38</v>
      </c>
      <c r="C5" s="43" t="s">
        <v>684</v>
      </c>
    </row>
    <row r="6" spans="2:3" x14ac:dyDescent="0.3">
      <c r="B6" t="s">
        <v>54</v>
      </c>
      <c r="C6" s="43" t="s">
        <v>685</v>
      </c>
    </row>
    <row r="7" spans="2:3" x14ac:dyDescent="0.3">
      <c r="B7" t="s">
        <v>68</v>
      </c>
      <c r="C7" s="43" t="s">
        <v>686</v>
      </c>
    </row>
    <row r="8" spans="2:3" x14ac:dyDescent="0.3">
      <c r="B8" t="s">
        <v>85</v>
      </c>
      <c r="C8" s="43" t="s">
        <v>687</v>
      </c>
    </row>
    <row r="9" spans="2:3" x14ac:dyDescent="0.3">
      <c r="B9" t="s">
        <v>117</v>
      </c>
      <c r="C9" s="43" t="s">
        <v>688</v>
      </c>
    </row>
    <row r="10" spans="2:3" x14ac:dyDescent="0.3">
      <c r="B10" t="s">
        <v>123</v>
      </c>
      <c r="C10" s="43" t="s">
        <v>689</v>
      </c>
    </row>
    <row r="11" spans="2:3" x14ac:dyDescent="0.3">
      <c r="B11" t="s">
        <v>126</v>
      </c>
      <c r="C11" s="43" t="s">
        <v>690</v>
      </c>
    </row>
    <row r="12" spans="2:3" x14ac:dyDescent="0.3">
      <c r="B12" t="s">
        <v>128</v>
      </c>
      <c r="C12" s="43" t="s">
        <v>691</v>
      </c>
    </row>
    <row r="13" spans="2:3" x14ac:dyDescent="0.3">
      <c r="B13" t="s">
        <v>136</v>
      </c>
      <c r="C13" s="43" t="s">
        <v>692</v>
      </c>
    </row>
    <row r="14" spans="2:3" x14ac:dyDescent="0.3">
      <c r="B14" s="18"/>
      <c r="C14" s="43"/>
    </row>
    <row r="15" spans="2:3" x14ac:dyDescent="0.3">
      <c r="B15" s="18"/>
      <c r="C15" s="43"/>
    </row>
    <row r="16" spans="2:3" x14ac:dyDescent="0.3">
      <c r="B16" s="18"/>
      <c r="C16" s="43"/>
    </row>
    <row r="17" spans="2:3" x14ac:dyDescent="0.3">
      <c r="B17" s="18"/>
      <c r="C17" s="43"/>
    </row>
    <row r="18" spans="2:3" x14ac:dyDescent="0.3">
      <c r="B18" s="18"/>
    </row>
    <row r="19" spans="2:3" x14ac:dyDescent="0.3">
      <c r="B19" s="18"/>
    </row>
    <row r="20" spans="2:3" x14ac:dyDescent="0.3">
      <c r="B20" s="18"/>
    </row>
    <row r="21" spans="2:3" x14ac:dyDescent="0.3">
      <c r="B21" s="18"/>
    </row>
    <row r="22" spans="2:3" x14ac:dyDescent="0.3">
      <c r="B22" s="18"/>
    </row>
    <row r="23" spans="2:3" x14ac:dyDescent="0.3">
      <c r="B23" s="18"/>
    </row>
    <row r="24" spans="2:3" x14ac:dyDescent="0.3">
      <c r="B24" s="18"/>
    </row>
    <row r="25" spans="2:3" x14ac:dyDescent="0.3">
      <c r="B25" s="18"/>
    </row>
    <row r="26" spans="2:3" x14ac:dyDescent="0.3">
      <c r="B26" s="18"/>
    </row>
    <row r="27" spans="2:3" x14ac:dyDescent="0.3">
      <c r="B27" s="18"/>
    </row>
    <row r="28" spans="2:3" x14ac:dyDescent="0.3">
      <c r="B28" s="18"/>
    </row>
    <row r="29" spans="2:3" x14ac:dyDescent="0.3">
      <c r="B29" s="18"/>
    </row>
    <row r="30" spans="2:3" x14ac:dyDescent="0.3">
      <c r="B30" s="18"/>
    </row>
    <row r="31" spans="2:3" x14ac:dyDescent="0.3">
      <c r="B31" s="18"/>
    </row>
    <row r="32" spans="2:3" x14ac:dyDescent="0.3">
      <c r="B32" s="18"/>
    </row>
    <row r="33" spans="2:2" x14ac:dyDescent="0.3">
      <c r="B33" s="18"/>
    </row>
    <row r="34" spans="2:2" x14ac:dyDescent="0.3">
      <c r="B34" s="18"/>
    </row>
    <row r="35" spans="2:2" x14ac:dyDescent="0.3">
      <c r="B35" s="18"/>
    </row>
    <row r="36" spans="2:2" x14ac:dyDescent="0.3">
      <c r="B36" s="18"/>
    </row>
    <row r="37" spans="2:2" x14ac:dyDescent="0.3">
      <c r="B37" s="18"/>
    </row>
    <row r="38" spans="2:2" x14ac:dyDescent="0.3">
      <c r="B38" s="18"/>
    </row>
    <row r="39" spans="2:2" x14ac:dyDescent="0.3">
      <c r="B39" s="18"/>
    </row>
    <row r="40" spans="2:2" x14ac:dyDescent="0.3">
      <c r="B40" s="18"/>
    </row>
    <row r="41" spans="2:2" x14ac:dyDescent="0.3">
      <c r="B41" s="18"/>
    </row>
    <row r="42" spans="2:2" x14ac:dyDescent="0.3">
      <c r="B42" s="18"/>
    </row>
    <row r="43" spans="2:2" x14ac:dyDescent="0.3">
      <c r="B43" s="18"/>
    </row>
    <row r="44" spans="2:2" x14ac:dyDescent="0.3">
      <c r="B44" s="18"/>
    </row>
    <row r="45" spans="2:2" x14ac:dyDescent="0.3">
      <c r="B45" s="18"/>
    </row>
    <row r="46" spans="2:2" x14ac:dyDescent="0.3">
      <c r="B46" s="18"/>
    </row>
    <row r="47" spans="2:2" x14ac:dyDescent="0.3">
      <c r="B47" s="18"/>
    </row>
    <row r="48" spans="2:2" x14ac:dyDescent="0.3">
      <c r="B48" s="18"/>
    </row>
    <row r="49" spans="2:2" x14ac:dyDescent="0.3">
      <c r="B49" s="18"/>
    </row>
    <row r="50" spans="2:2" x14ac:dyDescent="0.3">
      <c r="B50" s="18"/>
    </row>
    <row r="51" spans="2:2" x14ac:dyDescent="0.3">
      <c r="B51" s="18"/>
    </row>
    <row r="52" spans="2:2" x14ac:dyDescent="0.3">
      <c r="B52" s="18"/>
    </row>
    <row r="53" spans="2:2" x14ac:dyDescent="0.3">
      <c r="B53" s="18"/>
    </row>
    <row r="54" spans="2:2" x14ac:dyDescent="0.3">
      <c r="B54" s="18"/>
    </row>
    <row r="55" spans="2:2" x14ac:dyDescent="0.3">
      <c r="B55" s="18"/>
    </row>
    <row r="56" spans="2:2" x14ac:dyDescent="0.3">
      <c r="B56" s="18"/>
    </row>
    <row r="57" spans="2:2" x14ac:dyDescent="0.3">
      <c r="B57" s="18"/>
    </row>
    <row r="58" spans="2:2" x14ac:dyDescent="0.3">
      <c r="B58" s="18"/>
    </row>
    <row r="59" spans="2:2" x14ac:dyDescent="0.3">
      <c r="B59" s="18"/>
    </row>
    <row r="60" spans="2:2" x14ac:dyDescent="0.3">
      <c r="B60" s="18"/>
    </row>
    <row r="61" spans="2:2" x14ac:dyDescent="0.3">
      <c r="B61" s="18"/>
    </row>
    <row r="62" spans="2:2" x14ac:dyDescent="0.3">
      <c r="B62" s="18"/>
    </row>
    <row r="63" spans="2:2" x14ac:dyDescent="0.3">
      <c r="B63" s="18"/>
    </row>
    <row r="64" spans="2:2" x14ac:dyDescent="0.3">
      <c r="B64" s="18"/>
    </row>
    <row r="65" spans="2:2" x14ac:dyDescent="0.3">
      <c r="B65" s="18"/>
    </row>
    <row r="66" spans="2:2" x14ac:dyDescent="0.3">
      <c r="B66" s="18"/>
    </row>
    <row r="67" spans="2:2" x14ac:dyDescent="0.3">
      <c r="B67" s="18"/>
    </row>
    <row r="68" spans="2:2" x14ac:dyDescent="0.3">
      <c r="B68" s="18"/>
    </row>
    <row r="69" spans="2:2" x14ac:dyDescent="0.3">
      <c r="B69" s="18"/>
    </row>
    <row r="70" spans="2:2" x14ac:dyDescent="0.3">
      <c r="B70" s="18"/>
    </row>
    <row r="71" spans="2:2" x14ac:dyDescent="0.3">
      <c r="B71" s="18"/>
    </row>
    <row r="72" spans="2:2" x14ac:dyDescent="0.3">
      <c r="B72" s="18"/>
    </row>
    <row r="73" spans="2:2" x14ac:dyDescent="0.3">
      <c r="B73" s="18"/>
    </row>
    <row r="74" spans="2:2" x14ac:dyDescent="0.3">
      <c r="B74" s="18"/>
    </row>
    <row r="75" spans="2:2" x14ac:dyDescent="0.3">
      <c r="B75" s="18"/>
    </row>
    <row r="76" spans="2:2" x14ac:dyDescent="0.3">
      <c r="B76" s="18"/>
    </row>
    <row r="77" spans="2:2" x14ac:dyDescent="0.3">
      <c r="B77" s="18"/>
    </row>
    <row r="78" spans="2:2" x14ac:dyDescent="0.3">
      <c r="B78" s="18"/>
    </row>
    <row r="79" spans="2:2" x14ac:dyDescent="0.3">
      <c r="B79" s="18"/>
    </row>
    <row r="80" spans="2:2" x14ac:dyDescent="0.3">
      <c r="B80" s="18"/>
    </row>
    <row r="81" spans="2:2" x14ac:dyDescent="0.3">
      <c r="B81" s="18"/>
    </row>
    <row r="82" spans="2:2" x14ac:dyDescent="0.3">
      <c r="B82" s="18"/>
    </row>
    <row r="83" spans="2:2" x14ac:dyDescent="0.3">
      <c r="B83" s="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0E0EFF-6762-47B5-ACCB-BECF58C00BB8}"/>
</file>

<file path=customXml/itemProps2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c92d7944-8772-4222-a8b1-d5982a63086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9f405a0-40eb-4538-a020-8d736e3d7623"/>
    <ds:schemaRef ds:uri="http://purl.org/dc/elements/1.1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Level 1</vt:lpstr>
      <vt:lpstr>Level 2</vt:lpstr>
      <vt:lpstr>Data types</vt:lpstr>
      <vt:lpstr>Sheet1</vt:lpstr>
      <vt:lpstr>NumControlos</vt:lpstr>
      <vt:lpstr>OUTPUT (Proposta)</vt:lpstr>
      <vt:lpstr>B02_Mapping fields</vt:lpstr>
      <vt:lpstr>B05_Mapping fields</vt:lpstr>
      <vt:lpstr>B90_Maping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CASULA Giovanni</dc:creator>
  <cp:lastModifiedBy>João Guilherme Beno Jardim</cp:lastModifiedBy>
  <cp:lastPrinted>2024-06-26T15:11:28Z</cp:lastPrinted>
  <dcterms:created xsi:type="dcterms:W3CDTF">2021-09-22T07:24:40Z</dcterms:created>
  <dcterms:modified xsi:type="dcterms:W3CDTF">2026-01-20T16:15:31Z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{A44787D4-0540-4523-9961-78E4036D8C6D}">
    <vt:lpwstr>{F45B6D8B-8A18-4086-8B85-B5B884B8DA1A}</vt:lpwstr>
  </property>
  <property fmtid="{D5CDD505-2E9C-101B-9397-08002B2CF9AE}" pid="6" name="fbdfbe0deb37414e8af32f3ab34e1d60">
    <vt:lpwstr>11.01.005.140.010 Planning Cycle Implementation Steering Committee|105569ca-ba87-4031-b9d0-280c64d9dfab</vt:lpwstr>
  </property>
  <property fmtid="{D5CDD505-2E9C-101B-9397-08002B2CF9AE}" pid="7" name="MSIP_Label_41b88ec2-a72b-4523-9e84-0458a1764731_Enabled">
    <vt:lpwstr>true</vt:lpwstr>
  </property>
  <property fmtid="{D5CDD505-2E9C-101B-9397-08002B2CF9AE}" pid="8" name="MSIP_Label_41b88ec2-a72b-4523-9e84-0458a1764731_SetDate">
    <vt:lpwstr>2025-11-06T16:12:45Z</vt:lpwstr>
  </property>
  <property fmtid="{D5CDD505-2E9C-101B-9397-08002B2CF9AE}" pid="9" name="MSIP_Label_41b88ec2-a72b-4523-9e84-0458a1764731_Method">
    <vt:lpwstr>Privileged</vt:lpwstr>
  </property>
  <property fmtid="{D5CDD505-2E9C-101B-9397-08002B2CF9AE}" pid="10" name="MSIP_Label_41b88ec2-a72b-4523-9e84-0458a1764731_Name">
    <vt:lpwstr>Public O365</vt:lpwstr>
  </property>
  <property fmtid="{D5CDD505-2E9C-101B-9397-08002B2CF9AE}" pid="11" name="MSIP_Label_41b88ec2-a72b-4523-9e84-0458a1764731_SiteId">
    <vt:lpwstr>35595a02-4d6d-44ac-99e1-f9ab4cd872db</vt:lpwstr>
  </property>
  <property fmtid="{D5CDD505-2E9C-101B-9397-08002B2CF9AE}" pid="12" name="MSIP_Label_41b88ec2-a72b-4523-9e84-0458a1764731_ActionId">
    <vt:lpwstr>8502fc86-aa45-41ad-b80e-ee93bca1bd56</vt:lpwstr>
  </property>
  <property fmtid="{D5CDD505-2E9C-101B-9397-08002B2CF9AE}" pid="13" name="MSIP_Label_41b88ec2-a72b-4523-9e84-0458a1764731_ContentBits">
    <vt:lpwstr>0</vt:lpwstr>
  </property>
  <property fmtid="{D5CDD505-2E9C-101B-9397-08002B2CF9AE}" pid="14" name="MSIP_Label_41b88ec2-a72b-4523-9e84-0458a1764731_Tag">
    <vt:lpwstr>10, 0, 1, 1</vt:lpwstr>
  </property>
</Properties>
</file>