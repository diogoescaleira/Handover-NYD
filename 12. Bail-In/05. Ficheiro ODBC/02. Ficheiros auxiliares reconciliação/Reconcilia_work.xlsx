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5. Ficheiro ODBC/02. Ficheiros auxiliares reconciliação/"/>
    </mc:Choice>
  </mc:AlternateContent>
  <xr:revisionPtr revIDLastSave="326" documentId="8_{A6BCC47D-BA39-41FD-836A-8E562C2C63EA}" xr6:coauthVersionLast="47" xr6:coauthVersionMax="47" xr10:uidLastSave="{546DCA3C-C757-4B1C-BE69-A65FA17A0E79}"/>
  <bookViews>
    <workbookView minimized="1" xWindow="3936" yWindow="696" windowWidth="17280" windowHeight="8880" tabRatio="780" activeTab="2" xr2:uid="{12A09AE2-E3E4-4F68-91DA-E5BECA86005C}"/>
  </bookViews>
  <sheets>
    <sheet name="Reconciliação" sheetId="1" r:id="rId1"/>
    <sheet name="B0200 (Nov25)" sheetId="4" r:id="rId2"/>
    <sheet name="b0500" sheetId="11" r:id="rId3"/>
    <sheet name="B0200 (Set25)" sheetId="10" r:id="rId4"/>
    <sheet name="Balancete" sheetId="3" r:id="rId5"/>
    <sheet name="F 01.02" sheetId="6" r:id="rId6"/>
    <sheet name="F 01.03" sheetId="7" r:id="rId7"/>
    <sheet name="F 08.01.a" sheetId="8" r:id="rId8"/>
    <sheet name="F 08.02" sheetId="9" r:id="rId9"/>
  </sheets>
  <definedNames>
    <definedName name="_xlnm._FilterDatabase" localSheetId="3" hidden="1">'B0200 (Set25)'!$A$11:$A$98</definedName>
    <definedName name="_xlnm._FilterDatabase" localSheetId="4" hidden="1">Balancete!$A$1:$B$1331</definedName>
    <definedName name="_xlnm._FilterDatabase" localSheetId="0" hidden="1">Reconciliação!$B$3:$J$11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1" l="1"/>
  <c r="E1" i="11" s="1"/>
  <c r="F1" i="11" s="1"/>
  <c r="C11" i="11"/>
  <c r="E11" i="11" s="1"/>
  <c r="C10" i="11"/>
  <c r="E10" i="11" s="1"/>
  <c r="C9" i="11"/>
  <c r="E9" i="11" s="1"/>
  <c r="C8" i="11"/>
  <c r="E8" i="11" s="1"/>
  <c r="C7" i="11"/>
  <c r="E7" i="11" s="1"/>
  <c r="C6" i="11"/>
  <c r="E6" i="11" s="1"/>
  <c r="C5" i="11"/>
  <c r="E5" i="11" s="1"/>
  <c r="C4" i="11"/>
  <c r="E4" i="11" s="1"/>
  <c r="C3" i="11"/>
  <c r="E3" i="11" s="1"/>
  <c r="C2" i="11"/>
  <c r="E2" i="11" s="1"/>
  <c r="F15" i="4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14" i="4"/>
  <c r="F13" i="4"/>
  <c r="C97" i="4"/>
  <c r="E97" i="4" s="1"/>
  <c r="C96" i="4"/>
  <c r="E96" i="4" s="1"/>
  <c r="E95" i="4"/>
  <c r="C95" i="4"/>
  <c r="C94" i="4"/>
  <c r="E94" i="4" s="1"/>
  <c r="C93" i="4"/>
  <c r="E93" i="4" s="1"/>
  <c r="C92" i="4"/>
  <c r="E92" i="4" s="1"/>
  <c r="E91" i="4"/>
  <c r="C91" i="4"/>
  <c r="C90" i="4"/>
  <c r="E90" i="4" s="1"/>
  <c r="C89" i="4"/>
  <c r="E89" i="4" s="1"/>
  <c r="C88" i="4"/>
  <c r="E88" i="4" s="1"/>
  <c r="E87" i="4"/>
  <c r="C87" i="4"/>
  <c r="C86" i="4"/>
  <c r="E86" i="4" s="1"/>
  <c r="C85" i="4"/>
  <c r="E85" i="4" s="1"/>
  <c r="C84" i="4"/>
  <c r="E84" i="4" s="1"/>
  <c r="E83" i="4"/>
  <c r="C83" i="4"/>
  <c r="C82" i="4"/>
  <c r="E82" i="4" s="1"/>
  <c r="C81" i="4"/>
  <c r="E81" i="4" s="1"/>
  <c r="C80" i="4"/>
  <c r="E80" i="4" s="1"/>
  <c r="E79" i="4"/>
  <c r="C79" i="4"/>
  <c r="C78" i="4"/>
  <c r="E78" i="4" s="1"/>
  <c r="C77" i="4"/>
  <c r="E77" i="4" s="1"/>
  <c r="C76" i="4"/>
  <c r="E76" i="4" s="1"/>
  <c r="E75" i="4"/>
  <c r="C75" i="4"/>
  <c r="C74" i="4"/>
  <c r="E74" i="4" s="1"/>
  <c r="C73" i="4"/>
  <c r="E73" i="4" s="1"/>
  <c r="C72" i="4"/>
  <c r="E72" i="4" s="1"/>
  <c r="E71" i="4"/>
  <c r="C71" i="4"/>
  <c r="C70" i="4"/>
  <c r="E70" i="4" s="1"/>
  <c r="C69" i="4"/>
  <c r="E69" i="4" s="1"/>
  <c r="C68" i="4"/>
  <c r="E68" i="4" s="1"/>
  <c r="E67" i="4"/>
  <c r="C67" i="4"/>
  <c r="C66" i="4"/>
  <c r="E66" i="4" s="1"/>
  <c r="C65" i="4"/>
  <c r="E65" i="4" s="1"/>
  <c r="C64" i="4"/>
  <c r="E64" i="4" s="1"/>
  <c r="E63" i="4"/>
  <c r="C63" i="4"/>
  <c r="C62" i="4"/>
  <c r="E62" i="4" s="1"/>
  <c r="C61" i="4"/>
  <c r="E61" i="4" s="1"/>
  <c r="C60" i="4"/>
  <c r="E60" i="4" s="1"/>
  <c r="E59" i="4"/>
  <c r="C59" i="4"/>
  <c r="C58" i="4"/>
  <c r="E58" i="4" s="1"/>
  <c r="C57" i="4"/>
  <c r="E57" i="4" s="1"/>
  <c r="C56" i="4"/>
  <c r="E56" i="4" s="1"/>
  <c r="E55" i="4"/>
  <c r="C55" i="4"/>
  <c r="C54" i="4"/>
  <c r="E54" i="4" s="1"/>
  <c r="C53" i="4"/>
  <c r="E53" i="4" s="1"/>
  <c r="C52" i="4"/>
  <c r="E52" i="4" s="1"/>
  <c r="E51" i="4"/>
  <c r="C51" i="4"/>
  <c r="C50" i="4"/>
  <c r="E50" i="4" s="1"/>
  <c r="C49" i="4"/>
  <c r="E49" i="4" s="1"/>
  <c r="C48" i="4"/>
  <c r="E48" i="4" s="1"/>
  <c r="E47" i="4"/>
  <c r="C47" i="4"/>
  <c r="C46" i="4"/>
  <c r="E46" i="4" s="1"/>
  <c r="C45" i="4"/>
  <c r="E45" i="4" s="1"/>
  <c r="C44" i="4"/>
  <c r="E44" i="4" s="1"/>
  <c r="E43" i="4"/>
  <c r="C43" i="4"/>
  <c r="C42" i="4"/>
  <c r="E42" i="4" s="1"/>
  <c r="C41" i="4"/>
  <c r="E41" i="4" s="1"/>
  <c r="C40" i="4"/>
  <c r="E40" i="4" s="1"/>
  <c r="E39" i="4"/>
  <c r="C39" i="4"/>
  <c r="C38" i="4"/>
  <c r="E38" i="4" s="1"/>
  <c r="C37" i="4"/>
  <c r="E37" i="4" s="1"/>
  <c r="C36" i="4"/>
  <c r="E36" i="4" s="1"/>
  <c r="E35" i="4"/>
  <c r="C35" i="4"/>
  <c r="C34" i="4"/>
  <c r="E34" i="4" s="1"/>
  <c r="C33" i="4"/>
  <c r="E33" i="4" s="1"/>
  <c r="C32" i="4"/>
  <c r="E32" i="4" s="1"/>
  <c r="E31" i="4"/>
  <c r="C31" i="4"/>
  <c r="C30" i="4"/>
  <c r="E30" i="4" s="1"/>
  <c r="C29" i="4"/>
  <c r="E29" i="4" s="1"/>
  <c r="C28" i="4"/>
  <c r="E28" i="4" s="1"/>
  <c r="E27" i="4"/>
  <c r="C27" i="4"/>
  <c r="C26" i="4"/>
  <c r="E26" i="4" s="1"/>
  <c r="C25" i="4"/>
  <c r="E25" i="4" s="1"/>
  <c r="C24" i="4"/>
  <c r="E24" i="4" s="1"/>
  <c r="E23" i="4"/>
  <c r="C23" i="4"/>
  <c r="C22" i="4"/>
  <c r="E22" i="4" s="1"/>
  <c r="C21" i="4"/>
  <c r="E21" i="4" s="1"/>
  <c r="C20" i="4"/>
  <c r="E20" i="4" s="1"/>
  <c r="E19" i="4"/>
  <c r="C19" i="4"/>
  <c r="C18" i="4"/>
  <c r="E18" i="4" s="1"/>
  <c r="C17" i="4"/>
  <c r="E17" i="4" s="1"/>
  <c r="C16" i="4"/>
  <c r="E16" i="4" s="1"/>
  <c r="E15" i="4"/>
  <c r="C15" i="4"/>
  <c r="C14" i="4"/>
  <c r="E14" i="4" s="1"/>
  <c r="E13" i="4"/>
  <c r="C13" i="4"/>
  <c r="F2" i="11" l="1"/>
  <c r="F3" i="11" s="1"/>
  <c r="F4" i="11" s="1"/>
  <c r="F5" i="11" s="1"/>
  <c r="F6" i="11" s="1"/>
  <c r="F7" i="11" s="1"/>
  <c r="F8" i="11" s="1"/>
  <c r="F9" i="11" s="1"/>
  <c r="F10" i="11" s="1"/>
  <c r="F11" i="11" s="1"/>
  <c r="Q4" i="1" l="1"/>
  <c r="U4" i="1" l="1"/>
  <c r="Q9" i="1" l="1"/>
  <c r="Q5" i="1"/>
  <c r="Q10" i="1"/>
  <c r="Q8" i="1"/>
  <c r="Q7" i="1"/>
  <c r="Q6" i="1"/>
  <c r="F11" i="1"/>
  <c r="F10" i="1"/>
  <c r="F9" i="1"/>
  <c r="F5" i="1"/>
  <c r="F4" i="1"/>
  <c r="F8" i="1"/>
  <c r="F7" i="1"/>
  <c r="F6" i="1"/>
  <c r="O4" i="1" l="1"/>
  <c r="H8" i="1"/>
  <c r="U7" i="1"/>
  <c r="U6" i="1"/>
  <c r="J10" i="1"/>
  <c r="J9" i="1"/>
  <c r="S10" i="1"/>
  <c r="T10" i="1" s="1"/>
  <c r="U10" i="1" s="1"/>
  <c r="S9" i="1"/>
  <c r="T9" i="1" s="1"/>
  <c r="U9" i="1" s="1"/>
  <c r="S8" i="1"/>
  <c r="T8" i="1" s="1"/>
  <c r="U8" i="1" s="1"/>
  <c r="S5" i="1"/>
  <c r="T5" i="1" s="1"/>
  <c r="U5" i="1" s="1"/>
  <c r="S4" i="1"/>
  <c r="O7" i="1"/>
  <c r="O10" i="1"/>
  <c r="O9" i="1"/>
  <c r="O8" i="1"/>
  <c r="O6" i="1"/>
  <c r="O5" i="1"/>
  <c r="D11" i="1"/>
  <c r="D10" i="1"/>
  <c r="D9" i="1"/>
  <c r="D8" i="1"/>
  <c r="D7" i="1"/>
  <c r="D6" i="1"/>
  <c r="D5" i="1"/>
  <c r="D4" i="1"/>
  <c r="H7" i="1"/>
  <c r="H5" i="1"/>
  <c r="H6" i="1"/>
  <c r="H4" i="1"/>
  <c r="H11" i="1"/>
  <c r="C4" i="1"/>
  <c r="C11" i="1"/>
  <c r="C10" i="1"/>
  <c r="C9" i="1"/>
  <c r="C8" i="1"/>
  <c r="C7" i="1"/>
  <c r="C6" i="1"/>
  <c r="C5" i="1"/>
  <c r="I8" i="1" l="1"/>
  <c r="J8" i="1" s="1"/>
  <c r="T4" i="1"/>
  <c r="I11" i="1"/>
  <c r="J11" i="1" s="1"/>
  <c r="I5" i="1"/>
  <c r="J5" i="1" s="1"/>
  <c r="I6" i="1"/>
  <c r="J6" i="1" s="1"/>
  <c r="I7" i="1"/>
  <c r="J7" i="1" s="1"/>
  <c r="I4" i="1"/>
  <c r="J4" i="1" s="1"/>
</calcChain>
</file>

<file path=xl/sharedStrings.xml><?xml version="1.0" encoding="utf-8"?>
<sst xmlns="http://schemas.openxmlformats.org/spreadsheetml/2006/main" count="4466" uniqueCount="2100">
  <si>
    <t>31641600000000000PTBSREOM0028000</t>
  </si>
  <si>
    <t>PTBSREOM0028</t>
  </si>
  <si>
    <t>ISIN</t>
  </si>
  <si>
    <t>EUR</t>
  </si>
  <si>
    <t>Registered Bond</t>
  </si>
  <si>
    <t>Not applicable</t>
  </si>
  <si>
    <t>PT</t>
  </si>
  <si>
    <t>Yes, supported by Legal Opinion</t>
  </si>
  <si>
    <t>No ZCB</t>
  </si>
  <si>
    <t>Non-structured/Vanilla</t>
  </si>
  <si>
    <t>Unsecured</t>
  </si>
  <si>
    <t>Nominal</t>
  </si>
  <si>
    <t>INTERBOLSA_PT</t>
  </si>
  <si>
    <t>529900LG70TCAGWCXT47</t>
  </si>
  <si>
    <t>BANCO SANTANDER TOTTA S,A,</t>
  </si>
  <si>
    <t>549300URJH9VSI58CS32</t>
  </si>
  <si>
    <t>Fully Compliant T2</t>
  </si>
  <si>
    <t>110 Financial liabilities at amortized cost</t>
  </si>
  <si>
    <t>31641600000000000PTSTOEOM0021000</t>
  </si>
  <si>
    <t>PTSTOEOM0021</t>
  </si>
  <si>
    <t>No</t>
  </si>
  <si>
    <t>31641600000000000PTSTOFOM0004000</t>
  </si>
  <si>
    <t>PTSTOFOM0004</t>
  </si>
  <si>
    <t>31641600000000000PTSTOGOM0003000</t>
  </si>
  <si>
    <t>PTSTOGOM0003</t>
  </si>
  <si>
    <t>Title of ownership</t>
  </si>
  <si>
    <t>0001-01-01</t>
  </si>
  <si>
    <t>Fully Compliant AT1</t>
  </si>
  <si>
    <t>300 Total equity</t>
  </si>
  <si>
    <t>31641600000000000PTSTOHOM0002000</t>
  </si>
  <si>
    <t>PTSTOHOM0002</t>
  </si>
  <si>
    <t>31641600005800007PTBSRDOM0037000</t>
  </si>
  <si>
    <t>PTBSRDOM0037</t>
  </si>
  <si>
    <t>31641600005800007PTCPP0AM0007000</t>
  </si>
  <si>
    <t>PTCPP0AM0007</t>
  </si>
  <si>
    <t>Unit</t>
  </si>
  <si>
    <t>CET1</t>
  </si>
  <si>
    <t>31641600005800007PTSTOCOM0007000</t>
  </si>
  <si>
    <t>PTSTOCOM0007</t>
  </si>
  <si>
    <t>diff</t>
  </si>
  <si>
    <t>Descritivo</t>
  </si>
  <si>
    <t>Conta IFRS</t>
  </si>
  <si>
    <t>Descritivo Conta IFRS</t>
  </si>
  <si>
    <t>Filtros adicionais</t>
  </si>
  <si>
    <t>Status</t>
  </si>
  <si>
    <t>f01.02</t>
  </si>
  <si>
    <t>f01.03</t>
  </si>
  <si>
    <t>f08.01.A</t>
  </si>
  <si>
    <t>f08.02</t>
  </si>
  <si>
    <t>Rank Insolvência</t>
  </si>
  <si>
    <t>Mapa</t>
  </si>
  <si>
    <t>Rubrica</t>
  </si>
  <si>
    <t>Debt securities issued</t>
  </si>
  <si>
    <t>Paid up capital</t>
  </si>
  <si>
    <t>Share premium</t>
  </si>
  <si>
    <t>0130</t>
  </si>
  <si>
    <t>0020</t>
  </si>
  <si>
    <t>0040</t>
  </si>
  <si>
    <t>0070</t>
  </si>
  <si>
    <t>Other equity instruments issued</t>
  </si>
  <si>
    <t>0240</t>
  </si>
  <si>
    <t>(-) Treasury shares</t>
  </si>
  <si>
    <t>0430</t>
  </si>
  <si>
    <t>Other debt securities issued (non convertible)</t>
  </si>
  <si>
    <t>0030</t>
  </si>
  <si>
    <t>Subordinated financial liabilities</t>
  </si>
  <si>
    <t>CONTA_IFRS</t>
  </si>
  <si>
    <t>Debito</t>
  </si>
  <si>
    <t>Credito</t>
  </si>
  <si>
    <t>100</t>
  </si>
  <si>
    <t>Caixa</t>
  </si>
  <si>
    <t>1010100</t>
  </si>
  <si>
    <t>Capital/ Nocional/ Custo de aquisição</t>
  </si>
  <si>
    <t>1010102</t>
  </si>
  <si>
    <t>Juros/rendimentos a receber</t>
  </si>
  <si>
    <t>11100</t>
  </si>
  <si>
    <t>1200012</t>
  </si>
  <si>
    <t>OTC swaps</t>
  </si>
  <si>
    <t>1201010</t>
  </si>
  <si>
    <t>OTC opções</t>
  </si>
  <si>
    <t>1201012</t>
  </si>
  <si>
    <t>1201016</t>
  </si>
  <si>
    <t>OTC outros</t>
  </si>
  <si>
    <t>1201022</t>
  </si>
  <si>
    <t>1201032</t>
  </si>
  <si>
    <t>1201040</t>
  </si>
  <si>
    <t>1201042</t>
  </si>
  <si>
    <t>1201110</t>
  </si>
  <si>
    <t>1201112</t>
  </si>
  <si>
    <t>1201210</t>
  </si>
  <si>
    <t>1201211</t>
  </si>
  <si>
    <t>OTC futuros</t>
  </si>
  <si>
    <t>1201212</t>
  </si>
  <si>
    <t>1201240</t>
  </si>
  <si>
    <t>1201241</t>
  </si>
  <si>
    <t>1201251</t>
  </si>
  <si>
    <t>1201510</t>
  </si>
  <si>
    <t>130130</t>
  </si>
  <si>
    <t>130137</t>
  </si>
  <si>
    <t>Valias e correcções de valor - outras</t>
  </si>
  <si>
    <t>130230</t>
  </si>
  <si>
    <t>130232</t>
  </si>
  <si>
    <t>130237</t>
  </si>
  <si>
    <t>14130</t>
  </si>
  <si>
    <t>14137</t>
  </si>
  <si>
    <t>14140</t>
  </si>
  <si>
    <t>14147</t>
  </si>
  <si>
    <t>1421020</t>
  </si>
  <si>
    <t>1421022</t>
  </si>
  <si>
    <t>1421027</t>
  </si>
  <si>
    <t>1421028</t>
  </si>
  <si>
    <t>Coberturas OCI-SPA</t>
  </si>
  <si>
    <t>1421030</t>
  </si>
  <si>
    <t>14310270</t>
  </si>
  <si>
    <t>14310272</t>
  </si>
  <si>
    <t>14310277</t>
  </si>
  <si>
    <t>14310278</t>
  </si>
  <si>
    <t>Valia coberturas</t>
  </si>
  <si>
    <t>1521020</t>
  </si>
  <si>
    <t>1521022</t>
  </si>
  <si>
    <t>1521030</t>
  </si>
  <si>
    <t>1521032</t>
  </si>
  <si>
    <t>1521037</t>
  </si>
  <si>
    <t>1521040</t>
  </si>
  <si>
    <t>1521042</t>
  </si>
  <si>
    <t>1521045</t>
  </si>
  <si>
    <t>Receitas/comissões com rendimento diferido associadas ao custo amortizado</t>
  </si>
  <si>
    <t>1521047</t>
  </si>
  <si>
    <t>152112</t>
  </si>
  <si>
    <t>Setor público</t>
  </si>
  <si>
    <t>152113</t>
  </si>
  <si>
    <t>Outras instituições financeiras</t>
  </si>
  <si>
    <t>152114</t>
  </si>
  <si>
    <t>Outras empresas não financeiras</t>
  </si>
  <si>
    <t>1522040</t>
  </si>
  <si>
    <t>1522042</t>
  </si>
  <si>
    <t>152214</t>
  </si>
  <si>
    <t>1523030</t>
  </si>
  <si>
    <t>1523032</t>
  </si>
  <si>
    <t>1523040</t>
  </si>
  <si>
    <t>1523042</t>
  </si>
  <si>
    <t>1523104</t>
  </si>
  <si>
    <t>1523114</t>
  </si>
  <si>
    <t>153101190</t>
  </si>
  <si>
    <t>153101490</t>
  </si>
  <si>
    <t>153101492</t>
  </si>
  <si>
    <t>153101790</t>
  </si>
  <si>
    <t>153101792</t>
  </si>
  <si>
    <t>153101898</t>
  </si>
  <si>
    <t>Cheques a cobrar</t>
  </si>
  <si>
    <t>1531018993</t>
  </si>
  <si>
    <t>Outras verbas a receber</t>
  </si>
  <si>
    <t>1531018995</t>
  </si>
  <si>
    <t>Conta caução</t>
  </si>
  <si>
    <t>153102090</t>
  </si>
  <si>
    <t>153102092</t>
  </si>
  <si>
    <t>153102190</t>
  </si>
  <si>
    <t>153102290</t>
  </si>
  <si>
    <t>153102295</t>
  </si>
  <si>
    <t>Rendimentos diferidos</t>
  </si>
  <si>
    <t>153102790</t>
  </si>
  <si>
    <t>153102792</t>
  </si>
  <si>
    <t>153102797</t>
  </si>
  <si>
    <t>153102890</t>
  </si>
  <si>
    <t>1531028990</t>
  </si>
  <si>
    <t>Bonificações a receber do estado</t>
  </si>
  <si>
    <t>1531028991</t>
  </si>
  <si>
    <t>IVA a recuperar</t>
  </si>
  <si>
    <t>1531028992</t>
  </si>
  <si>
    <t>Reembolsos de impostos pedidos e/ou outros impostos a receber</t>
  </si>
  <si>
    <t>1531028993</t>
  </si>
  <si>
    <t>153103090</t>
  </si>
  <si>
    <t>153103092</t>
  </si>
  <si>
    <t>153103190</t>
  </si>
  <si>
    <t>153103290</t>
  </si>
  <si>
    <t>153103295</t>
  </si>
  <si>
    <t>153103790</t>
  </si>
  <si>
    <t>153103792</t>
  </si>
  <si>
    <t>153103795</t>
  </si>
  <si>
    <t>153103797</t>
  </si>
  <si>
    <t>153103890</t>
  </si>
  <si>
    <t>153103898</t>
  </si>
  <si>
    <t>Operações bolsa a regularizar</t>
  </si>
  <si>
    <t>1531038995</t>
  </si>
  <si>
    <t>153104090</t>
  </si>
  <si>
    <t>153104092</t>
  </si>
  <si>
    <t>153104097</t>
  </si>
  <si>
    <t>153104190</t>
  </si>
  <si>
    <t>153104290</t>
  </si>
  <si>
    <t>153104295</t>
  </si>
  <si>
    <t>153104390</t>
  </si>
  <si>
    <t>153104392</t>
  </si>
  <si>
    <t>153104395</t>
  </si>
  <si>
    <t>153104397</t>
  </si>
  <si>
    <t>153104490</t>
  </si>
  <si>
    <t>153104492</t>
  </si>
  <si>
    <t>153104497</t>
  </si>
  <si>
    <t>153104597</t>
  </si>
  <si>
    <t>153104790</t>
  </si>
  <si>
    <t>153104792</t>
  </si>
  <si>
    <t>153104795</t>
  </si>
  <si>
    <t>153104797</t>
  </si>
  <si>
    <t>153104890</t>
  </si>
  <si>
    <t>1531048993</t>
  </si>
  <si>
    <t>153105090</t>
  </si>
  <si>
    <t>153105092</t>
  </si>
  <si>
    <t>153105190</t>
  </si>
  <si>
    <t>153105192</t>
  </si>
  <si>
    <t>153105290</t>
  </si>
  <si>
    <t>153105295</t>
  </si>
  <si>
    <t>153105390</t>
  </si>
  <si>
    <t>153105392</t>
  </si>
  <si>
    <t>153105395</t>
  </si>
  <si>
    <t>153105790</t>
  </si>
  <si>
    <t>153105792</t>
  </si>
  <si>
    <t>153105795</t>
  </si>
  <si>
    <t>153105797</t>
  </si>
  <si>
    <t>153105890</t>
  </si>
  <si>
    <t>1531058993</t>
  </si>
  <si>
    <t>15311119</t>
  </si>
  <si>
    <t>Resto empréstimos</t>
  </si>
  <si>
    <t>15311149</t>
  </si>
  <si>
    <t>15311179</t>
  </si>
  <si>
    <t>15311209</t>
  </si>
  <si>
    <t>15311219</t>
  </si>
  <si>
    <t>15311229</t>
  </si>
  <si>
    <t>15311279</t>
  </si>
  <si>
    <t>153112899</t>
  </si>
  <si>
    <t>Impar. outros devedores</t>
  </si>
  <si>
    <t>15311309</t>
  </si>
  <si>
    <t>15311319</t>
  </si>
  <si>
    <t>15311329</t>
  </si>
  <si>
    <t>15311379</t>
  </si>
  <si>
    <t>15311409</t>
  </si>
  <si>
    <t>15311419</t>
  </si>
  <si>
    <t>15311429</t>
  </si>
  <si>
    <t>15311439</t>
  </si>
  <si>
    <t>15311449</t>
  </si>
  <si>
    <t>15311479</t>
  </si>
  <si>
    <t>153114899</t>
  </si>
  <si>
    <t>15311509</t>
  </si>
  <si>
    <t>15311519</t>
  </si>
  <si>
    <t>15311529</t>
  </si>
  <si>
    <t>15311539</t>
  </si>
  <si>
    <t>15311579</t>
  </si>
  <si>
    <t>153201490</t>
  </si>
  <si>
    <t>153201492</t>
  </si>
  <si>
    <t>153202090</t>
  </si>
  <si>
    <t>153202092</t>
  </si>
  <si>
    <t>153202190</t>
  </si>
  <si>
    <t>153202390</t>
  </si>
  <si>
    <t>153202392</t>
  </si>
  <si>
    <t>153202790</t>
  </si>
  <si>
    <t>153202792</t>
  </si>
  <si>
    <t>153203090</t>
  </si>
  <si>
    <t>153203092</t>
  </si>
  <si>
    <t>153203190</t>
  </si>
  <si>
    <t>153203790</t>
  </si>
  <si>
    <t>153203792</t>
  </si>
  <si>
    <t>153204050</t>
  </si>
  <si>
    <t>153204052</t>
  </si>
  <si>
    <t>153204090</t>
  </si>
  <si>
    <t>153204092</t>
  </si>
  <si>
    <t>153204190</t>
  </si>
  <si>
    <t>153204290</t>
  </si>
  <si>
    <t>153204295</t>
  </si>
  <si>
    <t>153204390</t>
  </si>
  <si>
    <t>153204392</t>
  </si>
  <si>
    <t>153204395</t>
  </si>
  <si>
    <t>153204490</t>
  </si>
  <si>
    <t>153204492</t>
  </si>
  <si>
    <t>153204750</t>
  </si>
  <si>
    <t>153204752</t>
  </si>
  <si>
    <t>153204790</t>
  </si>
  <si>
    <t>153204792</t>
  </si>
  <si>
    <t>153204795</t>
  </si>
  <si>
    <t>153204797</t>
  </si>
  <si>
    <t>153205090</t>
  </si>
  <si>
    <t>153205092</t>
  </si>
  <si>
    <t>153205190</t>
  </si>
  <si>
    <t>153205750</t>
  </si>
  <si>
    <t>153205752</t>
  </si>
  <si>
    <t>153205790</t>
  </si>
  <si>
    <t>153205792</t>
  </si>
  <si>
    <t>15321149</t>
  </si>
  <si>
    <t>15321209</t>
  </si>
  <si>
    <t>15321219</t>
  </si>
  <si>
    <t>15321279</t>
  </si>
  <si>
    <t>15321309</t>
  </si>
  <si>
    <t>15321319</t>
  </si>
  <si>
    <t>15321379</t>
  </si>
  <si>
    <t>15321405</t>
  </si>
  <si>
    <t>POCI</t>
  </si>
  <si>
    <t>15321409</t>
  </si>
  <si>
    <t>15321419</t>
  </si>
  <si>
    <t>15321429</t>
  </si>
  <si>
    <t>15321439</t>
  </si>
  <si>
    <t>15321449</t>
  </si>
  <si>
    <t>15321475</t>
  </si>
  <si>
    <t>15321479</t>
  </si>
  <si>
    <t>15321509</t>
  </si>
  <si>
    <t>15321519</t>
  </si>
  <si>
    <t>15321575</t>
  </si>
  <si>
    <t>15321579</t>
  </si>
  <si>
    <t>153302090</t>
  </si>
  <si>
    <t>153302092</t>
  </si>
  <si>
    <t>153302790</t>
  </si>
  <si>
    <t>153302792</t>
  </si>
  <si>
    <t>153303090</t>
  </si>
  <si>
    <t>153303092</t>
  </si>
  <si>
    <t>153303190</t>
  </si>
  <si>
    <t>153303750</t>
  </si>
  <si>
    <t>153303752</t>
  </si>
  <si>
    <t>153303790</t>
  </si>
  <si>
    <t>153303792</t>
  </si>
  <si>
    <t>153304050</t>
  </si>
  <si>
    <t>153304052</t>
  </si>
  <si>
    <t>153304090</t>
  </si>
  <si>
    <t>153304092</t>
  </si>
  <si>
    <t>153304190</t>
  </si>
  <si>
    <t>153304290</t>
  </si>
  <si>
    <t>153304295</t>
  </si>
  <si>
    <t>153304390</t>
  </si>
  <si>
    <t>153304392</t>
  </si>
  <si>
    <t>153304750</t>
  </si>
  <si>
    <t>153304752</t>
  </si>
  <si>
    <t>153304790</t>
  </si>
  <si>
    <t>153304792</t>
  </si>
  <si>
    <t>153305090</t>
  </si>
  <si>
    <t>153305092</t>
  </si>
  <si>
    <t>153305190</t>
  </si>
  <si>
    <t>153305290</t>
  </si>
  <si>
    <t>153305390</t>
  </si>
  <si>
    <t>153305750</t>
  </si>
  <si>
    <t>153305752</t>
  </si>
  <si>
    <t>153305790</t>
  </si>
  <si>
    <t>153305792</t>
  </si>
  <si>
    <t>153310209</t>
  </si>
  <si>
    <t>153310279</t>
  </si>
  <si>
    <t>153310309</t>
  </si>
  <si>
    <t>153310319</t>
  </si>
  <si>
    <t>153310379</t>
  </si>
  <si>
    <t>153310405</t>
  </si>
  <si>
    <t>153310409</t>
  </si>
  <si>
    <t>153310419</t>
  </si>
  <si>
    <t>153310429</t>
  </si>
  <si>
    <t>153310439</t>
  </si>
  <si>
    <t>153310459</t>
  </si>
  <si>
    <t>153310475</t>
  </si>
  <si>
    <t>153310479</t>
  </si>
  <si>
    <t>153310509</t>
  </si>
  <si>
    <t>153310575</t>
  </si>
  <si>
    <t>153310579</t>
  </si>
  <si>
    <t>153311209</t>
  </si>
  <si>
    <t>153311309</t>
  </si>
  <si>
    <t>153311319</t>
  </si>
  <si>
    <t>153311379</t>
  </si>
  <si>
    <t>153311405</t>
  </si>
  <si>
    <t>153311409</t>
  </si>
  <si>
    <t>153311419</t>
  </si>
  <si>
    <t>153311429</t>
  </si>
  <si>
    <t>153311439</t>
  </si>
  <si>
    <t>153311475</t>
  </si>
  <si>
    <t>153311479</t>
  </si>
  <si>
    <t>153311509</t>
  </si>
  <si>
    <t>153311519</t>
  </si>
  <si>
    <t>153311529</t>
  </si>
  <si>
    <t>153311539</t>
  </si>
  <si>
    <t>153311575</t>
  </si>
  <si>
    <t>153311579</t>
  </si>
  <si>
    <t>161100</t>
  </si>
  <si>
    <t>161108</t>
  </si>
  <si>
    <t>Imparidade acumulada</t>
  </si>
  <si>
    <t>161110</t>
  </si>
  <si>
    <t>161118</t>
  </si>
  <si>
    <t>1700012</t>
  </si>
  <si>
    <t>1700032</t>
  </si>
  <si>
    <t>1700112</t>
  </si>
  <si>
    <t>1701016</t>
  </si>
  <si>
    <t>1701032</t>
  </si>
  <si>
    <t>181120010</t>
  </si>
  <si>
    <t>Valor bruto</t>
  </si>
  <si>
    <t>181120019</t>
  </si>
  <si>
    <t>Amortizações</t>
  </si>
  <si>
    <t>181190000</t>
  </si>
  <si>
    <t>181190010</t>
  </si>
  <si>
    <t>181190018</t>
  </si>
  <si>
    <t>Imparidade</t>
  </si>
  <si>
    <t>181190019</t>
  </si>
  <si>
    <t>181190020</t>
  </si>
  <si>
    <t>181190029</t>
  </si>
  <si>
    <t>18119010</t>
  </si>
  <si>
    <t>18119019</t>
  </si>
  <si>
    <t>18119090</t>
  </si>
  <si>
    <t>18119099</t>
  </si>
  <si>
    <t>18119100</t>
  </si>
  <si>
    <t>18119109</t>
  </si>
  <si>
    <t>18119110</t>
  </si>
  <si>
    <t>18119119</t>
  </si>
  <si>
    <t>18119120</t>
  </si>
  <si>
    <t>18119129</t>
  </si>
  <si>
    <t>18119130</t>
  </si>
  <si>
    <t>18119139</t>
  </si>
  <si>
    <t>18119140</t>
  </si>
  <si>
    <t>18119149</t>
  </si>
  <si>
    <t>18119150</t>
  </si>
  <si>
    <t>18119159</t>
  </si>
  <si>
    <t>18119190</t>
  </si>
  <si>
    <t>18119199</t>
  </si>
  <si>
    <t>1811940</t>
  </si>
  <si>
    <t>1811950</t>
  </si>
  <si>
    <t>1811959</t>
  </si>
  <si>
    <t>182119000</t>
  </si>
  <si>
    <t>182119009</t>
  </si>
  <si>
    <t>182119010</t>
  </si>
  <si>
    <t>18211910</t>
  </si>
  <si>
    <t>18211919</t>
  </si>
  <si>
    <t>19001</t>
  </si>
  <si>
    <t>Anos anteriores</t>
  </si>
  <si>
    <t>19003</t>
  </si>
  <si>
    <t>IRC a Receber da SGPS</t>
  </si>
  <si>
    <t>190101</t>
  </si>
  <si>
    <t>Impostos diferidos não monetizáveis</t>
  </si>
  <si>
    <t>19011</t>
  </si>
  <si>
    <t>Por contrapartida de outro rendimento integral</t>
  </si>
  <si>
    <t>1910000</t>
  </si>
  <si>
    <t>1910008</t>
  </si>
  <si>
    <t>1919110</t>
  </si>
  <si>
    <t>1919131480</t>
  </si>
  <si>
    <t>19900</t>
  </si>
  <si>
    <t>19910000</t>
  </si>
  <si>
    <t>19910001</t>
  </si>
  <si>
    <t>19910010</t>
  </si>
  <si>
    <t>19910011</t>
  </si>
  <si>
    <t>199100200</t>
  </si>
  <si>
    <t>Valor Bruto</t>
  </si>
  <si>
    <t>199100201</t>
  </si>
  <si>
    <t>199100210</t>
  </si>
  <si>
    <t>199100211</t>
  </si>
  <si>
    <t>199100220</t>
  </si>
  <si>
    <t>199100221</t>
  </si>
  <si>
    <t>199100230</t>
  </si>
  <si>
    <t>199100231</t>
  </si>
  <si>
    <t>19911000</t>
  </si>
  <si>
    <t>19911001</t>
  </si>
  <si>
    <t>199212009</t>
  </si>
  <si>
    <t>Outros compromissos irrevogáveis</t>
  </si>
  <si>
    <t>19921400</t>
  </si>
  <si>
    <t>Emissões</t>
  </si>
  <si>
    <t>19921509</t>
  </si>
  <si>
    <t>Resto de comissões de serviços de custodia</t>
  </si>
  <si>
    <t>199215282</t>
  </si>
  <si>
    <t>Produtos de seguros</t>
  </si>
  <si>
    <t>199215283</t>
  </si>
  <si>
    <t>Carteiras de clientes sob gestão descricionária</t>
  </si>
  <si>
    <t>19921939</t>
  </si>
  <si>
    <t>Outras operações de crédito concedido</t>
  </si>
  <si>
    <t>1992199</t>
  </si>
  <si>
    <t>Outros serviços prestados-resto</t>
  </si>
  <si>
    <t>199272009</t>
  </si>
  <si>
    <t>199272010</t>
  </si>
  <si>
    <t>Linhas de crédito revogáveis</t>
  </si>
  <si>
    <t>19931</t>
  </si>
  <si>
    <t>Seguros</t>
  </si>
  <si>
    <t>19933</t>
  </si>
  <si>
    <t>Outras rendas</t>
  </si>
  <si>
    <t>19939</t>
  </si>
  <si>
    <t>Outros</t>
  </si>
  <si>
    <t>199401</t>
  </si>
  <si>
    <t>Posição cambial a prazo</t>
  </si>
  <si>
    <t>199410</t>
  </si>
  <si>
    <t>Operações cambiais à vista</t>
  </si>
  <si>
    <t>199411</t>
  </si>
  <si>
    <t>Operações cambiais a prazo</t>
  </si>
  <si>
    <t>19950</t>
  </si>
  <si>
    <t>Responsabilidades totais</t>
  </si>
  <si>
    <t>19951</t>
  </si>
  <si>
    <t>Valor patrimonial do fundo de pensões (-)</t>
  </si>
  <si>
    <t>1999</t>
  </si>
  <si>
    <t>Outros ativos-outros</t>
  </si>
  <si>
    <t>2200012</t>
  </si>
  <si>
    <t>2201010</t>
  </si>
  <si>
    <t>2201012</t>
  </si>
  <si>
    <t>2201016</t>
  </si>
  <si>
    <t>2201030</t>
  </si>
  <si>
    <t>2201032</t>
  </si>
  <si>
    <t>2201040</t>
  </si>
  <si>
    <t>2201042</t>
  </si>
  <si>
    <t>2201110</t>
  </si>
  <si>
    <t>2201112</t>
  </si>
  <si>
    <t>2201132</t>
  </si>
  <si>
    <t>2201210</t>
  </si>
  <si>
    <t>2201211</t>
  </si>
  <si>
    <t>2201212</t>
  </si>
  <si>
    <t>2201240</t>
  </si>
  <si>
    <t>2201241</t>
  </si>
  <si>
    <t>2201251</t>
  </si>
  <si>
    <t>240</t>
  </si>
  <si>
    <t>241</t>
  </si>
  <si>
    <t>Juros/encargos a pagar</t>
  </si>
  <si>
    <t>250100</t>
  </si>
  <si>
    <t>250104</t>
  </si>
  <si>
    <t>250110</t>
  </si>
  <si>
    <t>250114</t>
  </si>
  <si>
    <t>250130</t>
  </si>
  <si>
    <t>250134</t>
  </si>
  <si>
    <t>250135</t>
  </si>
  <si>
    <t>Despesas/comissões com encargo diferido associadas ao custo amortizado</t>
  </si>
  <si>
    <t>250200</t>
  </si>
  <si>
    <t>250204</t>
  </si>
  <si>
    <t>250210</t>
  </si>
  <si>
    <t>250214</t>
  </si>
  <si>
    <t>250260</t>
  </si>
  <si>
    <t>250300</t>
  </si>
  <si>
    <t>250303</t>
  </si>
  <si>
    <t>250304</t>
  </si>
  <si>
    <t>250310</t>
  </si>
  <si>
    <t>250313</t>
  </si>
  <si>
    <t>250314</t>
  </si>
  <si>
    <t>250320</t>
  </si>
  <si>
    <t>250340</t>
  </si>
  <si>
    <t>250344</t>
  </si>
  <si>
    <t>250360</t>
  </si>
  <si>
    <t>250400</t>
  </si>
  <si>
    <t>250404</t>
  </si>
  <si>
    <t>250410</t>
  </si>
  <si>
    <t>250414</t>
  </si>
  <si>
    <t>250440</t>
  </si>
  <si>
    <t>250444</t>
  </si>
  <si>
    <t>250460</t>
  </si>
  <si>
    <t>250500</t>
  </si>
  <si>
    <t>250504</t>
  </si>
  <si>
    <t>250505</t>
  </si>
  <si>
    <t>250510</t>
  </si>
  <si>
    <t>250514</t>
  </si>
  <si>
    <t>250518</t>
  </si>
  <si>
    <t>Coberturas DP-PAR</t>
  </si>
  <si>
    <t>250540</t>
  </si>
  <si>
    <t>250544</t>
  </si>
  <si>
    <t>250545</t>
  </si>
  <si>
    <t>250550</t>
  </si>
  <si>
    <t>250554</t>
  </si>
  <si>
    <t>250560</t>
  </si>
  <si>
    <t>25101110</t>
  </si>
  <si>
    <t>25101111</t>
  </si>
  <si>
    <t>25101112</t>
  </si>
  <si>
    <t>Despesas/com. diferidas</t>
  </si>
  <si>
    <t>25101113</t>
  </si>
  <si>
    <t>Valias co op.microcob.TP1</t>
  </si>
  <si>
    <t>251019210</t>
  </si>
  <si>
    <t>251019211</t>
  </si>
  <si>
    <t>251019900</t>
  </si>
  <si>
    <t>251019901</t>
  </si>
  <si>
    <t>251019910</t>
  </si>
  <si>
    <t>251019911</t>
  </si>
  <si>
    <t>25111110</t>
  </si>
  <si>
    <t>251119900</t>
  </si>
  <si>
    <t>25310</t>
  </si>
  <si>
    <t>Cheques a pagar</t>
  </si>
  <si>
    <t>25320</t>
  </si>
  <si>
    <t>25330</t>
  </si>
  <si>
    <t>25331</t>
  </si>
  <si>
    <t>Ordens a pagar</t>
  </si>
  <si>
    <t>25340</t>
  </si>
  <si>
    <t>25350</t>
  </si>
  <si>
    <t>25351</t>
  </si>
  <si>
    <t>25911</t>
  </si>
  <si>
    <t>Instituições de crédito</t>
  </si>
  <si>
    <t>25914</t>
  </si>
  <si>
    <t>25915</t>
  </si>
  <si>
    <t>Particulares</t>
  </si>
  <si>
    <t>25922</t>
  </si>
  <si>
    <t>25923</t>
  </si>
  <si>
    <t>25924</t>
  </si>
  <si>
    <t>25925</t>
  </si>
  <si>
    <t>25932</t>
  </si>
  <si>
    <t>25933</t>
  </si>
  <si>
    <t>25934</t>
  </si>
  <si>
    <t>25935</t>
  </si>
  <si>
    <t>25941</t>
  </si>
  <si>
    <t>259420</t>
  </si>
  <si>
    <t>Bonificações a devolver</t>
  </si>
  <si>
    <t>259421</t>
  </si>
  <si>
    <t>Imposto sobre valor acrescentado</t>
  </si>
  <si>
    <t>259422</t>
  </si>
  <si>
    <t>Retenção de impostos na fonte</t>
  </si>
  <si>
    <t>259423</t>
  </si>
  <si>
    <t>Imposto do selo</t>
  </si>
  <si>
    <t>259424</t>
  </si>
  <si>
    <t>Contribuições para a segurança social</t>
  </si>
  <si>
    <t>259429</t>
  </si>
  <si>
    <t>25944</t>
  </si>
  <si>
    <t>25991</t>
  </si>
  <si>
    <t>Contribuições para outros</t>
  </si>
  <si>
    <t>25992</t>
  </si>
  <si>
    <t>Credores por fornecimento</t>
  </si>
  <si>
    <t>25993</t>
  </si>
  <si>
    <t>Credores por operações s/ val.mobiliários</t>
  </si>
  <si>
    <t>259940</t>
  </si>
  <si>
    <t>Dividendos a pagar</t>
  </si>
  <si>
    <t>259941</t>
  </si>
  <si>
    <t>Out.remun.capital a pagar</t>
  </si>
  <si>
    <t>25995</t>
  </si>
  <si>
    <t>Cr.op.s/futuros/opções</t>
  </si>
  <si>
    <t>25996</t>
  </si>
  <si>
    <t>25999</t>
  </si>
  <si>
    <t>2700010</t>
  </si>
  <si>
    <t>2700012</t>
  </si>
  <si>
    <t>2700032</t>
  </si>
  <si>
    <t>2700112</t>
  </si>
  <si>
    <t>2701012</t>
  </si>
  <si>
    <t>2810</t>
  </si>
  <si>
    <t>Pensões e out pos-emprego</t>
  </si>
  <si>
    <t>2821</t>
  </si>
  <si>
    <t>Plano de reestruturação emprega</t>
  </si>
  <si>
    <t>283</t>
  </si>
  <si>
    <t>Contingências legais</t>
  </si>
  <si>
    <t>284</t>
  </si>
  <si>
    <t>Contingências fiscais</t>
  </si>
  <si>
    <t>2860</t>
  </si>
  <si>
    <t>Fraude interna</t>
  </si>
  <si>
    <t>2861</t>
  </si>
  <si>
    <t>Fraude externa</t>
  </si>
  <si>
    <t>2862</t>
  </si>
  <si>
    <t>Práticas emprego saúde e seg. no trabalho</t>
  </si>
  <si>
    <t>2863</t>
  </si>
  <si>
    <t>Práticas com clientes produtos e de negócios</t>
  </si>
  <si>
    <t>2864</t>
  </si>
  <si>
    <t>Prejuizos em ativos físicos</t>
  </si>
  <si>
    <t>2865</t>
  </si>
  <si>
    <t>Interrupção do negócio e falhas nos sistemas</t>
  </si>
  <si>
    <t>2866</t>
  </si>
  <si>
    <t>Execução entrega e gestão processo</t>
  </si>
  <si>
    <t>288</t>
  </si>
  <si>
    <t>Outras provisões</t>
  </si>
  <si>
    <t>28900119</t>
  </si>
  <si>
    <t>Resto</t>
  </si>
  <si>
    <t>28900129</t>
  </si>
  <si>
    <t>28900139</t>
  </si>
  <si>
    <t>28900149</t>
  </si>
  <si>
    <t>28900159</t>
  </si>
  <si>
    <t>28900229</t>
  </si>
  <si>
    <t>28900239</t>
  </si>
  <si>
    <t>28900245</t>
  </si>
  <si>
    <t>28900249</t>
  </si>
  <si>
    <t>28900259</t>
  </si>
  <si>
    <t>289003049</t>
  </si>
  <si>
    <t>289003145</t>
  </si>
  <si>
    <t>289003149</t>
  </si>
  <si>
    <t>289003159</t>
  </si>
  <si>
    <t>289091109</t>
  </si>
  <si>
    <t>289091119</t>
  </si>
  <si>
    <t>289091209</t>
  </si>
  <si>
    <t>289091309</t>
  </si>
  <si>
    <t>289091409</t>
  </si>
  <si>
    <t>289091419</t>
  </si>
  <si>
    <t>289091509</t>
  </si>
  <si>
    <t>289092109</t>
  </si>
  <si>
    <t>289092209</t>
  </si>
  <si>
    <t>289092309</t>
  </si>
  <si>
    <t>289092405</t>
  </si>
  <si>
    <t>289092409</t>
  </si>
  <si>
    <t>289092419</t>
  </si>
  <si>
    <t>289092509</t>
  </si>
  <si>
    <t>2890930405</t>
  </si>
  <si>
    <t>2890930409</t>
  </si>
  <si>
    <t>2890931209</t>
  </si>
  <si>
    <t>2890931309</t>
  </si>
  <si>
    <t>2890931405</t>
  </si>
  <si>
    <t>2890931409</t>
  </si>
  <si>
    <t>2890931419</t>
  </si>
  <si>
    <t>2890931509</t>
  </si>
  <si>
    <t>2892011109</t>
  </si>
  <si>
    <t>2892012109</t>
  </si>
  <si>
    <t>2892013009</t>
  </si>
  <si>
    <t>2892013109</t>
  </si>
  <si>
    <t>2892014009</t>
  </si>
  <si>
    <t>2892014109</t>
  </si>
  <si>
    <t>2892015109</t>
  </si>
  <si>
    <t>2892022109</t>
  </si>
  <si>
    <t>2892023109</t>
  </si>
  <si>
    <t>2892024009</t>
  </si>
  <si>
    <t>2892024105</t>
  </si>
  <si>
    <t>2892024109</t>
  </si>
  <si>
    <t>2892025109</t>
  </si>
  <si>
    <t>28920304109</t>
  </si>
  <si>
    <t>28920314109</t>
  </si>
  <si>
    <t>28920315109</t>
  </si>
  <si>
    <t>2892913199</t>
  </si>
  <si>
    <t>29003</t>
  </si>
  <si>
    <t>IRC a pagar SGPS</t>
  </si>
  <si>
    <t>290081</t>
  </si>
  <si>
    <t>Outros-exercício anterior</t>
  </si>
  <si>
    <t>290100</t>
  </si>
  <si>
    <t>Em ativos</t>
  </si>
  <si>
    <t>29011</t>
  </si>
  <si>
    <t>299230</t>
  </si>
  <si>
    <t>Por gastos com o pessoal</t>
  </si>
  <si>
    <t>299231</t>
  </si>
  <si>
    <t>Por gastos gerais administrativos</t>
  </si>
  <si>
    <t>299272009</t>
  </si>
  <si>
    <t>299272010</t>
  </si>
  <si>
    <t>29927290</t>
  </si>
  <si>
    <t>29929</t>
  </si>
  <si>
    <t>Outros encargos a pagar</t>
  </si>
  <si>
    <t>29939</t>
  </si>
  <si>
    <t>299401</t>
  </si>
  <si>
    <t>299410</t>
  </si>
  <si>
    <t>299411</t>
  </si>
  <si>
    <t>29950</t>
  </si>
  <si>
    <t>29951</t>
  </si>
  <si>
    <t>2999</t>
  </si>
  <si>
    <t>Outros passivos-outros</t>
  </si>
  <si>
    <t>402200012</t>
  </si>
  <si>
    <t>402200212</t>
  </si>
  <si>
    <t>402201212</t>
  </si>
  <si>
    <t>402201242</t>
  </si>
  <si>
    <t>40250101</t>
  </si>
  <si>
    <t>40250111</t>
  </si>
  <si>
    <t>40250131</t>
  </si>
  <si>
    <t>40250161</t>
  </si>
  <si>
    <t>40250201</t>
  </si>
  <si>
    <t>40250211</t>
  </si>
  <si>
    <t>40250301</t>
  </si>
  <si>
    <t>40250311</t>
  </si>
  <si>
    <t>40250341</t>
  </si>
  <si>
    <t>40250351</t>
  </si>
  <si>
    <t>40250401</t>
  </si>
  <si>
    <t>40250411</t>
  </si>
  <si>
    <t>40250441</t>
  </si>
  <si>
    <t>40250451</t>
  </si>
  <si>
    <t>40250501</t>
  </si>
  <si>
    <t>40250511</t>
  </si>
  <si>
    <t>40250541</t>
  </si>
  <si>
    <t>40250551</t>
  </si>
  <si>
    <t>402510111</t>
  </si>
  <si>
    <t>Ob. hipotecárias-covered bonds</t>
  </si>
  <si>
    <t>4025101921</t>
  </si>
  <si>
    <t>Outras obrigações-obrigações indexadas a eventos de crédito (CLN)</t>
  </si>
  <si>
    <t>4025101990</t>
  </si>
  <si>
    <t>Subordinadas</t>
  </si>
  <si>
    <t>4025101991</t>
  </si>
  <si>
    <t>Não subordinadas</t>
  </si>
  <si>
    <t>4025932</t>
  </si>
  <si>
    <t>4025933</t>
  </si>
  <si>
    <t>4025934</t>
  </si>
  <si>
    <t>4025935</t>
  </si>
  <si>
    <t>402599</t>
  </si>
  <si>
    <t>Outros passivos financeiros</t>
  </si>
  <si>
    <t>402700012</t>
  </si>
  <si>
    <t>402700032</t>
  </si>
  <si>
    <t>402700042</t>
  </si>
  <si>
    <t>402700112</t>
  </si>
  <si>
    <t>402700142</t>
  </si>
  <si>
    <t>40284</t>
  </si>
  <si>
    <t>40285</t>
  </si>
  <si>
    <t>403031017</t>
  </si>
  <si>
    <t>Outros empréstimos a prazo</t>
  </si>
  <si>
    <t>403031047</t>
  </si>
  <si>
    <t>4030310570</t>
  </si>
  <si>
    <t>Habitação</t>
  </si>
  <si>
    <t>403031347</t>
  </si>
  <si>
    <t>403031354</t>
  </si>
  <si>
    <t>Leasing imobiliário</t>
  </si>
  <si>
    <t>403031355</t>
  </si>
  <si>
    <t>Leasing mobiliário</t>
  </si>
  <si>
    <t>403031357</t>
  </si>
  <si>
    <t>4031050</t>
  </si>
  <si>
    <t>Depósitos à ordem, overnights</t>
  </si>
  <si>
    <t>4032510111</t>
  </si>
  <si>
    <t>40325101921</t>
  </si>
  <si>
    <t>41100</t>
  </si>
  <si>
    <t>Garantias e avales</t>
  </si>
  <si>
    <t>41401</t>
  </si>
  <si>
    <t>Ordens</t>
  </si>
  <si>
    <t>41499</t>
  </si>
  <si>
    <t>Outras comissões em op realizadas por conta da entidade</t>
  </si>
  <si>
    <t>41610</t>
  </si>
  <si>
    <t>Efeitos</t>
  </si>
  <si>
    <t>4161599</t>
  </si>
  <si>
    <t>Outras comissões relacionadas com cartões</t>
  </si>
  <si>
    <t>416179</t>
  </si>
  <si>
    <t>Out.com.s/dep.ordem</t>
  </si>
  <si>
    <t>416190</t>
  </si>
  <si>
    <t>Outras de cobrança de valores e serviços de pagamento</t>
  </si>
  <si>
    <t>4198</t>
  </si>
  <si>
    <t>Angariação de negócio</t>
  </si>
  <si>
    <t>41999</t>
  </si>
  <si>
    <t>Outras comissões pagas</t>
  </si>
  <si>
    <t>42081</t>
  </si>
  <si>
    <t>42088</t>
  </si>
  <si>
    <t>421045</t>
  </si>
  <si>
    <t xml:space="preserve">POCI          </t>
  </si>
  <si>
    <t>421049</t>
  </si>
  <si>
    <t xml:space="preserve">RESTO                    </t>
  </si>
  <si>
    <t>421059</t>
  </si>
  <si>
    <t>42200012</t>
  </si>
  <si>
    <t>42201012</t>
  </si>
  <si>
    <t>42201016</t>
  </si>
  <si>
    <t>42201022</t>
  </si>
  <si>
    <t>42201026</t>
  </si>
  <si>
    <t>42201032</t>
  </si>
  <si>
    <t>42201036</t>
  </si>
  <si>
    <t>42201042</t>
  </si>
  <si>
    <t>42201046</t>
  </si>
  <si>
    <t>42201052</t>
  </si>
  <si>
    <t>42201056</t>
  </si>
  <si>
    <t>42201110</t>
  </si>
  <si>
    <t>42201112</t>
  </si>
  <si>
    <t>42201130</t>
  </si>
  <si>
    <t>42201132</t>
  </si>
  <si>
    <t>42201140</t>
  </si>
  <si>
    <t>42201142</t>
  </si>
  <si>
    <t>42201210</t>
  </si>
  <si>
    <t>42201212</t>
  </si>
  <si>
    <t>42201240</t>
  </si>
  <si>
    <t>423013</t>
  </si>
  <si>
    <t>423023</t>
  </si>
  <si>
    <t>4251213</t>
  </si>
  <si>
    <t>4251214</t>
  </si>
  <si>
    <t>42700012</t>
  </si>
  <si>
    <t>42700032</t>
  </si>
  <si>
    <t>42700112</t>
  </si>
  <si>
    <t>4271153</t>
  </si>
  <si>
    <t>Crédito concedido e outros ativos financeiros</t>
  </si>
  <si>
    <t>4271259</t>
  </si>
  <si>
    <t>42981</t>
  </si>
  <si>
    <t>ATIVOS FIXOS TANGIVEIS</t>
  </si>
  <si>
    <t>430000</t>
  </si>
  <si>
    <t>Remunerações fixas dos orgãos de gestão</t>
  </si>
  <si>
    <t>4301000</t>
  </si>
  <si>
    <t>Salário base</t>
  </si>
  <si>
    <t>4301001</t>
  </si>
  <si>
    <t>Complementos</t>
  </si>
  <si>
    <t>4301002</t>
  </si>
  <si>
    <t>Promoções + Actv</t>
  </si>
  <si>
    <t>4301003</t>
  </si>
  <si>
    <t>Rem. mês férias-empregados</t>
  </si>
  <si>
    <t>4301004</t>
  </si>
  <si>
    <t>Remuneração pessoal cedido</t>
  </si>
  <si>
    <t>4301006</t>
  </si>
  <si>
    <t>Diuturnidades</t>
  </si>
  <si>
    <t>4301007</t>
  </si>
  <si>
    <t>Isenção de horário</t>
  </si>
  <si>
    <t>4301008</t>
  </si>
  <si>
    <t>Acr.-tit.falhas cobrança</t>
  </si>
  <si>
    <t>4301009</t>
  </si>
  <si>
    <t>Outras remunerações</t>
  </si>
  <si>
    <t>4301010</t>
  </si>
  <si>
    <t>Trabalho nocturno</t>
  </si>
  <si>
    <t>4301011</t>
  </si>
  <si>
    <t>Trabalho extraordinário</t>
  </si>
  <si>
    <t>4301013</t>
  </si>
  <si>
    <t>Subsídio de férias</t>
  </si>
  <si>
    <t>4301014</t>
  </si>
  <si>
    <t>Subsídio de natal</t>
  </si>
  <si>
    <t>4301015</t>
  </si>
  <si>
    <t>Subsídios de almoço</t>
  </si>
  <si>
    <t>4301016</t>
  </si>
  <si>
    <t>Subs.estudo empregados</t>
  </si>
  <si>
    <t>43010170</t>
  </si>
  <si>
    <t>Subs.infantil e de estudo</t>
  </si>
  <si>
    <t>43010171</t>
  </si>
  <si>
    <t>Subs.Infantil-vale social</t>
  </si>
  <si>
    <t>43010180</t>
  </si>
  <si>
    <t>Prémio antiguidade-pagamento</t>
  </si>
  <si>
    <t>4301019</t>
  </si>
  <si>
    <t>Outras remunerações adicionais</t>
  </si>
  <si>
    <t>430111</t>
  </si>
  <si>
    <t>Bónus e incentivos</t>
  </si>
  <si>
    <t>43012</t>
  </si>
  <si>
    <t>Expatriados</t>
  </si>
  <si>
    <t>430200</t>
  </si>
  <si>
    <t>Encargos sociais relativos a remuneracões dos orgãos de gestão</t>
  </si>
  <si>
    <t>430210</t>
  </si>
  <si>
    <t>Encargos relativos a remunerações</t>
  </si>
  <si>
    <t>43021120</t>
  </si>
  <si>
    <t>Fundo pensões de contribuição definida</t>
  </si>
  <si>
    <t>430211210</t>
  </si>
  <si>
    <t>Service cost</t>
  </si>
  <si>
    <t>430211211</t>
  </si>
  <si>
    <t>Custos dos juros</t>
  </si>
  <si>
    <t>430211212</t>
  </si>
  <si>
    <t>Rendimento esperado</t>
  </si>
  <si>
    <t>4302113</t>
  </si>
  <si>
    <t>Reformas antecipadas</t>
  </si>
  <si>
    <t>4302114</t>
  </si>
  <si>
    <t>Indemnização por reformas antecipadas</t>
  </si>
  <si>
    <t>430218</t>
  </si>
  <si>
    <t>Outros encargos sociais obrigatórios</t>
  </si>
  <si>
    <t>430810</t>
  </si>
  <si>
    <t>Indemnizações contratuais</t>
  </si>
  <si>
    <t>430811</t>
  </si>
  <si>
    <t>Transferências de pessoal</t>
  </si>
  <si>
    <t>4308180</t>
  </si>
  <si>
    <t>Encargos sociais facultativos</t>
  </si>
  <si>
    <t>4308182</t>
  </si>
  <si>
    <t>Formação de pessoal</t>
  </si>
  <si>
    <t>4308183</t>
  </si>
  <si>
    <t>Recrutamento de pessoal</t>
  </si>
  <si>
    <t>4308189</t>
  </si>
  <si>
    <t>Outros custos com pessoal-outros</t>
  </si>
  <si>
    <t>431000</t>
  </si>
  <si>
    <t>Água</t>
  </si>
  <si>
    <t>4310011</t>
  </si>
  <si>
    <t>Electricidade-Sepa</t>
  </si>
  <si>
    <t>4310012</t>
  </si>
  <si>
    <t>Gás e electricidade-Sdd</t>
  </si>
  <si>
    <t>431002</t>
  </si>
  <si>
    <t>Combustíveis</t>
  </si>
  <si>
    <t>431010</t>
  </si>
  <si>
    <t>Material escritório e consumo</t>
  </si>
  <si>
    <t>431011</t>
  </si>
  <si>
    <t>Papel. clientes e sup. op</t>
  </si>
  <si>
    <t>43102</t>
  </si>
  <si>
    <t>Publicações</t>
  </si>
  <si>
    <t>431083</t>
  </si>
  <si>
    <t>Manutenção de refeitórios</t>
  </si>
  <si>
    <t>4310850</t>
  </si>
  <si>
    <t>Equipamento informático</t>
  </si>
  <si>
    <t>4310851</t>
  </si>
  <si>
    <t>Mobiliário e decoração</t>
  </si>
  <si>
    <t>431089</t>
  </si>
  <si>
    <t>Outros fornecimentos de terceiros</t>
  </si>
  <si>
    <t>431100</t>
  </si>
  <si>
    <t>Rendas de instalações</t>
  </si>
  <si>
    <t>431110</t>
  </si>
  <si>
    <t>Correio</t>
  </si>
  <si>
    <t>431111</t>
  </si>
  <si>
    <t>Telefone</t>
  </si>
  <si>
    <t>431112</t>
  </si>
  <si>
    <t>Linhas de teletransmissão</t>
  </si>
  <si>
    <t>431113</t>
  </si>
  <si>
    <t>Transporte de malas</t>
  </si>
  <si>
    <t>431114</t>
  </si>
  <si>
    <t>Swift</t>
  </si>
  <si>
    <t>431115</t>
  </si>
  <si>
    <t>Despesas de expedição</t>
  </si>
  <si>
    <t>4311200</t>
  </si>
  <si>
    <t>Transportes</t>
  </si>
  <si>
    <t>4311202</t>
  </si>
  <si>
    <t>Ajudas de custo</t>
  </si>
  <si>
    <t>4311203</t>
  </si>
  <si>
    <t>Despesas de alojamento</t>
  </si>
  <si>
    <t>4311209</t>
  </si>
  <si>
    <t>Outras despesas</t>
  </si>
  <si>
    <t>4311210</t>
  </si>
  <si>
    <t>4311212</t>
  </si>
  <si>
    <t>4311213</t>
  </si>
  <si>
    <t>4311219</t>
  </si>
  <si>
    <t>431122</t>
  </si>
  <si>
    <t>Deslocações locais</t>
  </si>
  <si>
    <t>431123</t>
  </si>
  <si>
    <t>Despesas de representação</t>
  </si>
  <si>
    <t>431131</t>
  </si>
  <si>
    <t>Brindes</t>
  </si>
  <si>
    <t>431132</t>
  </si>
  <si>
    <t>Publicidade-compra espaço</t>
  </si>
  <si>
    <t>431133</t>
  </si>
  <si>
    <t>Publicidade-remuner.agências</t>
  </si>
  <si>
    <t>4311380</t>
  </si>
  <si>
    <t>Patrocínios</t>
  </si>
  <si>
    <t>4311381</t>
  </si>
  <si>
    <t>Rel.públicas e eventos</t>
  </si>
  <si>
    <t>4311382</t>
  </si>
  <si>
    <t>Estudos de mercado</t>
  </si>
  <si>
    <t>4311390</t>
  </si>
  <si>
    <t>Publicidade-promoc.audiovisual</t>
  </si>
  <si>
    <t>4311391</t>
  </si>
  <si>
    <t>Publicidade-material publicitário</t>
  </si>
  <si>
    <t>4311393</t>
  </si>
  <si>
    <t>Publicidade-publicações</t>
  </si>
  <si>
    <t>4311394</t>
  </si>
  <si>
    <t>Publicidade-brindes</t>
  </si>
  <si>
    <t>431140</t>
  </si>
  <si>
    <t>Equipamento serviço próprio</t>
  </si>
  <si>
    <t>431141</t>
  </si>
  <si>
    <t>Instalações</t>
  </si>
  <si>
    <t>431142</t>
  </si>
  <si>
    <t>Material de transporte</t>
  </si>
  <si>
    <t>431143</t>
  </si>
  <si>
    <t>Equipamento de segurança</t>
  </si>
  <si>
    <t>431144</t>
  </si>
  <si>
    <t>Imóveis</t>
  </si>
  <si>
    <t>4311450</t>
  </si>
  <si>
    <t>Manutenção de hardware</t>
  </si>
  <si>
    <t>4311451</t>
  </si>
  <si>
    <t>Hardware custo emp. grupo</t>
  </si>
  <si>
    <t>4311460</t>
  </si>
  <si>
    <t>Manutenção de software</t>
  </si>
  <si>
    <t>4311463</t>
  </si>
  <si>
    <t>Software diverso</t>
  </si>
  <si>
    <t>4311467</t>
  </si>
  <si>
    <t>Software-licenças (manut)</t>
  </si>
  <si>
    <t>4311468</t>
  </si>
  <si>
    <t>Outsourcing produção</t>
  </si>
  <si>
    <t>431152</t>
  </si>
  <si>
    <t>Transportes de equipamento e outros materiais</t>
  </si>
  <si>
    <t>431170</t>
  </si>
  <si>
    <t>Seguros de instalações</t>
  </si>
  <si>
    <t>431171</t>
  </si>
  <si>
    <t>Seguros aciden.inst.instituic</t>
  </si>
  <si>
    <t>431172</t>
  </si>
  <si>
    <t>Seguros material transporte</t>
  </si>
  <si>
    <t>431173</t>
  </si>
  <si>
    <t>Seguros de valores</t>
  </si>
  <si>
    <t>431179</t>
  </si>
  <si>
    <t>Outros seguros</t>
  </si>
  <si>
    <t>431180</t>
  </si>
  <si>
    <t>Avenças e honorários</t>
  </si>
  <si>
    <t>4311810</t>
  </si>
  <si>
    <t>Serviços judiciais</t>
  </si>
  <si>
    <t>4311811</t>
  </si>
  <si>
    <t>Serviços contencioso e notariado</t>
  </si>
  <si>
    <t>4311820</t>
  </si>
  <si>
    <t>Software</t>
  </si>
  <si>
    <t>4311821</t>
  </si>
  <si>
    <t>Software custo empresas grupo</t>
  </si>
  <si>
    <t>431183</t>
  </si>
  <si>
    <t>Segurança e vigilância</t>
  </si>
  <si>
    <t>431184</t>
  </si>
  <si>
    <t>Limpeza</t>
  </si>
  <si>
    <t>431185</t>
  </si>
  <si>
    <t>Informações</t>
  </si>
  <si>
    <t>431186</t>
  </si>
  <si>
    <t>Bancos de dados</t>
  </si>
  <si>
    <t>4311870</t>
  </si>
  <si>
    <t>Extraquadros</t>
  </si>
  <si>
    <t>4311871</t>
  </si>
  <si>
    <t>Prest. eventual tarefas</t>
  </si>
  <si>
    <t>4311872</t>
  </si>
  <si>
    <t>Call center-superlinha</t>
  </si>
  <si>
    <t>4311873</t>
  </si>
  <si>
    <t>Serviços telefónicos cobrança</t>
  </si>
  <si>
    <t>43118810</t>
  </si>
  <si>
    <t>Auditores</t>
  </si>
  <si>
    <t>43118811</t>
  </si>
  <si>
    <t>Fiscais</t>
  </si>
  <si>
    <t>43118812</t>
  </si>
  <si>
    <t>Jurídicos</t>
  </si>
  <si>
    <t>43118813</t>
  </si>
  <si>
    <t>43118814</t>
  </si>
  <si>
    <t>Agências de rating</t>
  </si>
  <si>
    <t>43118819</t>
  </si>
  <si>
    <t>43118821</t>
  </si>
  <si>
    <t>Outsourcing-serv.back office</t>
  </si>
  <si>
    <t>4311884</t>
  </si>
  <si>
    <t>Avaliadores externos</t>
  </si>
  <si>
    <t>4311885</t>
  </si>
  <si>
    <t>Outsourcing-serviços gestão administrativa, contabilistico-fiscal</t>
  </si>
  <si>
    <t>431191</t>
  </si>
  <si>
    <t>Outsourcing-serv.gest.arq</t>
  </si>
  <si>
    <t>431193</t>
  </si>
  <si>
    <t>Outsourcing-impress.massiva</t>
  </si>
  <si>
    <t>431195</t>
  </si>
  <si>
    <t>Despesas condomínio</t>
  </si>
  <si>
    <t>431198</t>
  </si>
  <si>
    <t>Convenções ev.org.governo</t>
  </si>
  <si>
    <t>431199</t>
  </si>
  <si>
    <t>Diversos</t>
  </si>
  <si>
    <t>431201</t>
  </si>
  <si>
    <t>Impostos indiretos - outros</t>
  </si>
  <si>
    <t>431210</t>
  </si>
  <si>
    <t>Impostos diretos sobre im</t>
  </si>
  <si>
    <t>431229</t>
  </si>
  <si>
    <t>Outras taxas</t>
  </si>
  <si>
    <t>431301</t>
  </si>
  <si>
    <t>Outras quotizações</t>
  </si>
  <si>
    <t>43131</t>
  </si>
  <si>
    <t>Donativos</t>
  </si>
  <si>
    <t>4351</t>
  </si>
  <si>
    <t>Contribuições para o FGD</t>
  </si>
  <si>
    <t>4352</t>
  </si>
  <si>
    <t>Fundo resolução</t>
  </si>
  <si>
    <t>438119001</t>
  </si>
  <si>
    <t>Edifícios</t>
  </si>
  <si>
    <t>438119002</t>
  </si>
  <si>
    <t>43811901</t>
  </si>
  <si>
    <t>Obras em imóveis arrendados</t>
  </si>
  <si>
    <t>43811909</t>
  </si>
  <si>
    <t>Outros imóveis</t>
  </si>
  <si>
    <t>43811910</t>
  </si>
  <si>
    <t>Mobiliário e material</t>
  </si>
  <si>
    <t>43811911</t>
  </si>
  <si>
    <t>Máquinas e ferramentas</t>
  </si>
  <si>
    <t>43811912</t>
  </si>
  <si>
    <t>43811913</t>
  </si>
  <si>
    <t>Instalações interiores</t>
  </si>
  <si>
    <t>43811914</t>
  </si>
  <si>
    <t>43811915</t>
  </si>
  <si>
    <t>43811919</t>
  </si>
  <si>
    <t>Outro equipamento</t>
  </si>
  <si>
    <t>43812001</t>
  </si>
  <si>
    <t>438211909</t>
  </si>
  <si>
    <t>Software-outros</t>
  </si>
  <si>
    <t>45082</t>
  </si>
  <si>
    <t>Falhas na gestão e execução de procedimentos</t>
  </si>
  <si>
    <t>450880910</t>
  </si>
  <si>
    <t>4508809110</t>
  </si>
  <si>
    <t>4508809111</t>
  </si>
  <si>
    <t>4508809112</t>
  </si>
  <si>
    <t>4508809113</t>
  </si>
  <si>
    <t>4508809115</t>
  </si>
  <si>
    <t>4508809116</t>
  </si>
  <si>
    <t>4711</t>
  </si>
  <si>
    <t>Stage 1</t>
  </si>
  <si>
    <t>475212</t>
  </si>
  <si>
    <t>475214</t>
  </si>
  <si>
    <t>475224</t>
  </si>
  <si>
    <t>4752304</t>
  </si>
  <si>
    <t>4752314</t>
  </si>
  <si>
    <t>47531129</t>
  </si>
  <si>
    <t>47531179</t>
  </si>
  <si>
    <t>47531209</t>
  </si>
  <si>
    <t>47531219</t>
  </si>
  <si>
    <t>47531229</t>
  </si>
  <si>
    <t>47531259</t>
  </si>
  <si>
    <t>47531279</t>
  </si>
  <si>
    <t>47531319</t>
  </si>
  <si>
    <t>47531349</t>
  </si>
  <si>
    <t>47531379</t>
  </si>
  <si>
    <t>47531479</t>
  </si>
  <si>
    <t>47531539</t>
  </si>
  <si>
    <t>47532219</t>
  </si>
  <si>
    <t>47532229</t>
  </si>
  <si>
    <t>47532279</t>
  </si>
  <si>
    <t>47532309</t>
  </si>
  <si>
    <t>47532319</t>
  </si>
  <si>
    <t>47532349</t>
  </si>
  <si>
    <t>47532379</t>
  </si>
  <si>
    <t>47532405</t>
  </si>
  <si>
    <t>47532419</t>
  </si>
  <si>
    <t>47532429</t>
  </si>
  <si>
    <t>47532509</t>
  </si>
  <si>
    <t>47532519</t>
  </si>
  <si>
    <t>47532529</t>
  </si>
  <si>
    <t>47532575</t>
  </si>
  <si>
    <t>475330209</t>
  </si>
  <si>
    <t>475330279</t>
  </si>
  <si>
    <t>475330289</t>
  </si>
  <si>
    <t>475330409</t>
  </si>
  <si>
    <t>475330419</t>
  </si>
  <si>
    <t>475330429</t>
  </si>
  <si>
    <t>475330439</t>
  </si>
  <si>
    <t>475330449</t>
  </si>
  <si>
    <t>475330459</t>
  </si>
  <si>
    <t>475330479</t>
  </si>
  <si>
    <t>475331209</t>
  </si>
  <si>
    <t>475331229</t>
  </si>
  <si>
    <t>475331309</t>
  </si>
  <si>
    <t>475331319</t>
  </si>
  <si>
    <t>475331349</t>
  </si>
  <si>
    <t>475331359</t>
  </si>
  <si>
    <t>475331405</t>
  </si>
  <si>
    <t>475331409</t>
  </si>
  <si>
    <t>475331419</t>
  </si>
  <si>
    <t>475331429</t>
  </si>
  <si>
    <t>475331439</t>
  </si>
  <si>
    <t>475331445</t>
  </si>
  <si>
    <t>475331455</t>
  </si>
  <si>
    <t>475331459</t>
  </si>
  <si>
    <t>475331479</t>
  </si>
  <si>
    <t>475331489</t>
  </si>
  <si>
    <t>475331509</t>
  </si>
  <si>
    <t>475331519</t>
  </si>
  <si>
    <t>475331529</t>
  </si>
  <si>
    <t>475331539</t>
  </si>
  <si>
    <t>475331559</t>
  </si>
  <si>
    <t>475331575</t>
  </si>
  <si>
    <t>475331579</t>
  </si>
  <si>
    <t>475331589</t>
  </si>
  <si>
    <t>4753945</t>
  </si>
  <si>
    <t>4753949</t>
  </si>
  <si>
    <t>4753959</t>
  </si>
  <si>
    <t>47991000</t>
  </si>
  <si>
    <t>479910022</t>
  </si>
  <si>
    <t>Massa falida</t>
  </si>
  <si>
    <t>47991100</t>
  </si>
  <si>
    <t>484</t>
  </si>
  <si>
    <t>485</t>
  </si>
  <si>
    <t>P/contrib.setor bancário</t>
  </si>
  <si>
    <t>4861</t>
  </si>
  <si>
    <t>Fraude externo</t>
  </si>
  <si>
    <t>4862</t>
  </si>
  <si>
    <t>4863</t>
  </si>
  <si>
    <t>4865</t>
  </si>
  <si>
    <t>4866</t>
  </si>
  <si>
    <t>Execução entrega e gestão</t>
  </si>
  <si>
    <t>488</t>
  </si>
  <si>
    <t>48900119</t>
  </si>
  <si>
    <t>48900139</t>
  </si>
  <si>
    <t>48900159</t>
  </si>
  <si>
    <t>48900229</t>
  </si>
  <si>
    <t>48900239</t>
  </si>
  <si>
    <t>489003049</t>
  </si>
  <si>
    <t>489003145</t>
  </si>
  <si>
    <t>489091119</t>
  </si>
  <si>
    <t>489092109</t>
  </si>
  <si>
    <t>489092209</t>
  </si>
  <si>
    <t>489092309</t>
  </si>
  <si>
    <t>4890930409</t>
  </si>
  <si>
    <t>4890931209</t>
  </si>
  <si>
    <t>4890931405</t>
  </si>
  <si>
    <t>4892011109</t>
  </si>
  <si>
    <t>4892012109</t>
  </si>
  <si>
    <t>4892013109</t>
  </si>
  <si>
    <t>4892014109</t>
  </si>
  <si>
    <t>4892022109</t>
  </si>
  <si>
    <t>4892023109</t>
  </si>
  <si>
    <t>48920304109</t>
  </si>
  <si>
    <t>48920314109</t>
  </si>
  <si>
    <t>4892913199</t>
  </si>
  <si>
    <t>4912000</t>
  </si>
  <si>
    <t>4912100</t>
  </si>
  <si>
    <t>4912919</t>
  </si>
  <si>
    <t>4916000</t>
  </si>
  <si>
    <t>501000</t>
  </si>
  <si>
    <t>50110</t>
  </si>
  <si>
    <t>501200012</t>
  </si>
  <si>
    <t>501200212</t>
  </si>
  <si>
    <t>501201212</t>
  </si>
  <si>
    <t>5013023</t>
  </si>
  <si>
    <t>5014220</t>
  </si>
  <si>
    <t>5014240</t>
  </si>
  <si>
    <t>50143270</t>
  </si>
  <si>
    <t>5015220</t>
  </si>
  <si>
    <t>5015230</t>
  </si>
  <si>
    <t>5015231</t>
  </si>
  <si>
    <t>5015240</t>
  </si>
  <si>
    <t>5015241</t>
  </si>
  <si>
    <t>501530120</t>
  </si>
  <si>
    <t>501530170</t>
  </si>
  <si>
    <t>501530200</t>
  </si>
  <si>
    <t>501530210</t>
  </si>
  <si>
    <t>501530220</t>
  </si>
  <si>
    <t>501530230</t>
  </si>
  <si>
    <t>501530270</t>
  </si>
  <si>
    <t>501530300</t>
  </si>
  <si>
    <t>501530310</t>
  </si>
  <si>
    <t>501530320</t>
  </si>
  <si>
    <t>501530330</t>
  </si>
  <si>
    <t>501530370</t>
  </si>
  <si>
    <t>501530371</t>
  </si>
  <si>
    <t>501530400</t>
  </si>
  <si>
    <t>501530410</t>
  </si>
  <si>
    <t>501530420</t>
  </si>
  <si>
    <t>501530430</t>
  </si>
  <si>
    <t>501530470</t>
  </si>
  <si>
    <t>501530500</t>
  </si>
  <si>
    <t>501530510</t>
  </si>
  <si>
    <t>501530520</t>
  </si>
  <si>
    <t>501530530</t>
  </si>
  <si>
    <t>5015305700</t>
  </si>
  <si>
    <t>5015305701</t>
  </si>
  <si>
    <t>Consumo</t>
  </si>
  <si>
    <t>5015305702</t>
  </si>
  <si>
    <t>Outras finalidades</t>
  </si>
  <si>
    <t>5015305710</t>
  </si>
  <si>
    <t>501700012</t>
  </si>
  <si>
    <t>501700022</t>
  </si>
  <si>
    <t>501700032</t>
  </si>
  <si>
    <t>501700112</t>
  </si>
  <si>
    <t>501700142</t>
  </si>
  <si>
    <t>502031010</t>
  </si>
  <si>
    <t>À vista, descobertos e contas correntes</t>
  </si>
  <si>
    <t>502031012</t>
  </si>
  <si>
    <t>Carteira comercial - factoring</t>
  </si>
  <si>
    <t>502031020</t>
  </si>
  <si>
    <t>502031022</t>
  </si>
  <si>
    <t>502031027</t>
  </si>
  <si>
    <t>502031030</t>
  </si>
  <si>
    <t>502031032</t>
  </si>
  <si>
    <t>502031033</t>
  </si>
  <si>
    <t>Carteira comercial - outros</t>
  </si>
  <si>
    <t>502031037</t>
  </si>
  <si>
    <t>502031040</t>
  </si>
  <si>
    <t>502031042</t>
  </si>
  <si>
    <t>502031043</t>
  </si>
  <si>
    <t>502031047</t>
  </si>
  <si>
    <t>502031050</t>
  </si>
  <si>
    <t>502031052</t>
  </si>
  <si>
    <t>502031053</t>
  </si>
  <si>
    <t>5020310570</t>
  </si>
  <si>
    <t>5020310572</t>
  </si>
  <si>
    <t>5100</t>
  </si>
  <si>
    <t>Garantias financeiras concedidas</t>
  </si>
  <si>
    <t>51090</t>
  </si>
  <si>
    <t>Garantias técnicas</t>
  </si>
  <si>
    <t>51091</t>
  </si>
  <si>
    <t>Créditos documentários abertos</t>
  </si>
  <si>
    <t>512010</t>
  </si>
  <si>
    <t>512018</t>
  </si>
  <si>
    <t>De imobilização sobre compromissos revogáveis</t>
  </si>
  <si>
    <t>51400</t>
  </si>
  <si>
    <t>51401</t>
  </si>
  <si>
    <t>51409</t>
  </si>
  <si>
    <t>5148</t>
  </si>
  <si>
    <t>Comissão de compra/venda de moeda</t>
  </si>
  <si>
    <t>51509</t>
  </si>
  <si>
    <t>51510</t>
  </si>
  <si>
    <t>51511</t>
  </si>
  <si>
    <t>Cash letter</t>
  </si>
  <si>
    <t>5151200</t>
  </si>
  <si>
    <t>Remessas documentárias</t>
  </si>
  <si>
    <t>5151202</t>
  </si>
  <si>
    <t>Ordens de pagamento recebidas</t>
  </si>
  <si>
    <t>5151203</t>
  </si>
  <si>
    <t>Ibos</t>
  </si>
  <si>
    <t>5151204</t>
  </si>
  <si>
    <t>Cheques emitidos</t>
  </si>
  <si>
    <t>51512100</t>
  </si>
  <si>
    <t>Sdd-interbancário</t>
  </si>
  <si>
    <t>5151212</t>
  </si>
  <si>
    <t>Transferência de contas</t>
  </si>
  <si>
    <t>5151216</t>
  </si>
  <si>
    <t>Servico gestão de faturas factoring/confirming</t>
  </si>
  <si>
    <t>5151219</t>
  </si>
  <si>
    <t>Pagam.serviços-taxa adesão</t>
  </si>
  <si>
    <t>5151506</t>
  </si>
  <si>
    <t>Anuidades cartões de crédito</t>
  </si>
  <si>
    <t>5151509</t>
  </si>
  <si>
    <t>Outras comissões cartões</t>
  </si>
  <si>
    <t>5151511</t>
  </si>
  <si>
    <t>Comissoes de transacção - interbancárias</t>
  </si>
  <si>
    <t>5151512</t>
  </si>
  <si>
    <t>Comissoes de transacção - clientes</t>
  </si>
  <si>
    <t>5151516</t>
  </si>
  <si>
    <t>Anuidades cartões de débito</t>
  </si>
  <si>
    <t>5151519</t>
  </si>
  <si>
    <t>5151594</t>
  </si>
  <si>
    <t>Outras comissões por POS/ATMS</t>
  </si>
  <si>
    <t>51516</t>
  </si>
  <si>
    <t>Transferência de valores</t>
  </si>
  <si>
    <t>515190</t>
  </si>
  <si>
    <t>515283</t>
  </si>
  <si>
    <t>51580</t>
  </si>
  <si>
    <t>Fundos de Investimento comercializados mas não geridos</t>
  </si>
  <si>
    <t>51581</t>
  </si>
  <si>
    <t>Fundos de pensões comercializados mas não geridos</t>
  </si>
  <si>
    <t>51582</t>
  </si>
  <si>
    <t>Produtos de seguros comercializados mas não geridos</t>
  </si>
  <si>
    <t>51900</t>
  </si>
  <si>
    <t>Acessoria M&amp;A GCB</t>
  </si>
  <si>
    <t>5192</t>
  </si>
  <si>
    <t>Instrumentos financeiros estruturados</t>
  </si>
  <si>
    <t>51931</t>
  </si>
  <si>
    <t>Por entrada em descoberto</t>
  </si>
  <si>
    <t>519399</t>
  </si>
  <si>
    <t>Outras operações de crédito</t>
  </si>
  <si>
    <t>5194</t>
  </si>
  <si>
    <t>Outras comissões sobre cheques</t>
  </si>
  <si>
    <t>51950</t>
  </si>
  <si>
    <t>De manutenção</t>
  </si>
  <si>
    <t>51959</t>
  </si>
  <si>
    <t>51989</t>
  </si>
  <si>
    <t>Angariação de negócio-resto</t>
  </si>
  <si>
    <t>51999</t>
  </si>
  <si>
    <t>52081</t>
  </si>
  <si>
    <t>52088</t>
  </si>
  <si>
    <t>521045</t>
  </si>
  <si>
    <t>521049</t>
  </si>
  <si>
    <t>521059</t>
  </si>
  <si>
    <t>52200012</t>
  </si>
  <si>
    <t>52201012</t>
  </si>
  <si>
    <t>52201016</t>
  </si>
  <si>
    <t>52201022</t>
  </si>
  <si>
    <t>52201026</t>
  </si>
  <si>
    <t>52201032</t>
  </si>
  <si>
    <t>52201036</t>
  </si>
  <si>
    <t>52201042</t>
  </si>
  <si>
    <t>52201046</t>
  </si>
  <si>
    <t>52201052</t>
  </si>
  <si>
    <t>52201056</t>
  </si>
  <si>
    <t>52201110</t>
  </si>
  <si>
    <t>52201112</t>
  </si>
  <si>
    <t>52201130</t>
  </si>
  <si>
    <t>52201132</t>
  </si>
  <si>
    <t>52201140</t>
  </si>
  <si>
    <t>52201142</t>
  </si>
  <si>
    <t>52201210</t>
  </si>
  <si>
    <t>52201212</t>
  </si>
  <si>
    <t>52201240</t>
  </si>
  <si>
    <t>52201242</t>
  </si>
  <si>
    <t>523013</t>
  </si>
  <si>
    <t>523023</t>
  </si>
  <si>
    <t>52700012</t>
  </si>
  <si>
    <t>52700032</t>
  </si>
  <si>
    <t>52700112</t>
  </si>
  <si>
    <t>5271153</t>
  </si>
  <si>
    <t>5271259</t>
  </si>
  <si>
    <t>52981</t>
  </si>
  <si>
    <t>5319</t>
  </si>
  <si>
    <t>Outros instrumentos de capital</t>
  </si>
  <si>
    <t>534</t>
  </si>
  <si>
    <t>Outros ativos financeiros</t>
  </si>
  <si>
    <t>55000</t>
  </si>
  <si>
    <t>55083</t>
  </si>
  <si>
    <t>Prestação de informações</t>
  </si>
  <si>
    <t>55088090</t>
  </si>
  <si>
    <t>Resultados extraordinário</t>
  </si>
  <si>
    <t>55088091</t>
  </si>
  <si>
    <t>550880921</t>
  </si>
  <si>
    <t>550880925</t>
  </si>
  <si>
    <t>550880926</t>
  </si>
  <si>
    <t>5711</t>
  </si>
  <si>
    <t>575213</t>
  </si>
  <si>
    <t>575214</t>
  </si>
  <si>
    <t>575223</t>
  </si>
  <si>
    <t>57531119</t>
  </si>
  <si>
    <t>57531149</t>
  </si>
  <si>
    <t>57531249</t>
  </si>
  <si>
    <t>57531289</t>
  </si>
  <si>
    <t>57531309</t>
  </si>
  <si>
    <t>57531329</t>
  </si>
  <si>
    <t>57531339</t>
  </si>
  <si>
    <t>57531359</t>
  </si>
  <si>
    <t>57531409</t>
  </si>
  <si>
    <t>57531419</t>
  </si>
  <si>
    <t>57531429</t>
  </si>
  <si>
    <t>57531439</t>
  </si>
  <si>
    <t>57531449</t>
  </si>
  <si>
    <t>57531459</t>
  </si>
  <si>
    <t>57531479</t>
  </si>
  <si>
    <t>57531509</t>
  </si>
  <si>
    <t>57531519</t>
  </si>
  <si>
    <t>57531529</t>
  </si>
  <si>
    <t>57531549</t>
  </si>
  <si>
    <t>57531559</t>
  </si>
  <si>
    <t>57531579</t>
  </si>
  <si>
    <t>57532149</t>
  </si>
  <si>
    <t>57532209</t>
  </si>
  <si>
    <t>57532259</t>
  </si>
  <si>
    <t>57532339</t>
  </si>
  <si>
    <t>57532359</t>
  </si>
  <si>
    <t>57532409</t>
  </si>
  <si>
    <t>57532415</t>
  </si>
  <si>
    <t>57532439</t>
  </si>
  <si>
    <t>57532445</t>
  </si>
  <si>
    <t>57532449</t>
  </si>
  <si>
    <t>57532455</t>
  </si>
  <si>
    <t>57532459</t>
  </si>
  <si>
    <t>57532475</t>
  </si>
  <si>
    <t>57532479</t>
  </si>
  <si>
    <t>57532549</t>
  </si>
  <si>
    <t>57532559</t>
  </si>
  <si>
    <t>57532579</t>
  </si>
  <si>
    <t>575330309</t>
  </si>
  <si>
    <t>575330319</t>
  </si>
  <si>
    <t>575330379</t>
  </si>
  <si>
    <t>575330475</t>
  </si>
  <si>
    <t>575330509</t>
  </si>
  <si>
    <t>575330575</t>
  </si>
  <si>
    <t>575330579</t>
  </si>
  <si>
    <t>575331129</t>
  </si>
  <si>
    <t>575331149</t>
  </si>
  <si>
    <t>575331259</t>
  </si>
  <si>
    <t>575331379</t>
  </si>
  <si>
    <t>575331449</t>
  </si>
  <si>
    <t>575331475</t>
  </si>
  <si>
    <t>575331549</t>
  </si>
  <si>
    <t>5753939</t>
  </si>
  <si>
    <t>5753949</t>
  </si>
  <si>
    <t>5753959</t>
  </si>
  <si>
    <t>578119001</t>
  </si>
  <si>
    <t>5781195</t>
  </si>
  <si>
    <t>Outros ativos tangíveis</t>
  </si>
  <si>
    <t>57991000</t>
  </si>
  <si>
    <t>579910021</t>
  </si>
  <si>
    <t>Arrematações judiciais</t>
  </si>
  <si>
    <t>579910023</t>
  </si>
  <si>
    <t>Resto ativos tangíveis</t>
  </si>
  <si>
    <t>57991100</t>
  </si>
  <si>
    <t>583</t>
  </si>
  <si>
    <t>585</t>
  </si>
  <si>
    <t>5861</t>
  </si>
  <si>
    <t>5862</t>
  </si>
  <si>
    <t>5863</t>
  </si>
  <si>
    <t>5864</t>
  </si>
  <si>
    <t>5865</t>
  </si>
  <si>
    <t>5866</t>
  </si>
  <si>
    <t>588</t>
  </si>
  <si>
    <t>58900129</t>
  </si>
  <si>
    <t>58900149</t>
  </si>
  <si>
    <t>58900245</t>
  </si>
  <si>
    <t>58900249</t>
  </si>
  <si>
    <t>58900259</t>
  </si>
  <si>
    <t>589003045</t>
  </si>
  <si>
    <t>589003149</t>
  </si>
  <si>
    <t>589003159</t>
  </si>
  <si>
    <t>589091109</t>
  </si>
  <si>
    <t>589091209</t>
  </si>
  <si>
    <t>589091309</t>
  </si>
  <si>
    <t>589091319</t>
  </si>
  <si>
    <t>589091409</t>
  </si>
  <si>
    <t>589091419</t>
  </si>
  <si>
    <t>589091509</t>
  </si>
  <si>
    <t>589091519</t>
  </si>
  <si>
    <t>589092405</t>
  </si>
  <si>
    <t>589092409</t>
  </si>
  <si>
    <t>589092419</t>
  </si>
  <si>
    <t>589092509</t>
  </si>
  <si>
    <t>5890930405</t>
  </si>
  <si>
    <t>5890931409</t>
  </si>
  <si>
    <t>5890931419</t>
  </si>
  <si>
    <t>5890931509</t>
  </si>
  <si>
    <t>5892013009</t>
  </si>
  <si>
    <t>5892013109</t>
  </si>
  <si>
    <t>5892014009</t>
  </si>
  <si>
    <t>5892014109</t>
  </si>
  <si>
    <t>5892015109</t>
  </si>
  <si>
    <t>5892021109</t>
  </si>
  <si>
    <t>5892023009</t>
  </si>
  <si>
    <t>5892024009</t>
  </si>
  <si>
    <t>5892024105</t>
  </si>
  <si>
    <t>5892024109</t>
  </si>
  <si>
    <t>5892025109</t>
  </si>
  <si>
    <t>58920313109</t>
  </si>
  <si>
    <t>58920315109</t>
  </si>
  <si>
    <t>5912000</t>
  </si>
  <si>
    <t>5912005</t>
  </si>
  <si>
    <t>Outros activos tangíveis</t>
  </si>
  <si>
    <t>5912100</t>
  </si>
  <si>
    <t>5916000</t>
  </si>
  <si>
    <t>6000</t>
  </si>
  <si>
    <t>Acções ordinárias</t>
  </si>
  <si>
    <t>610</t>
  </si>
  <si>
    <t>De instrumentos de capital</t>
  </si>
  <si>
    <t>6205</t>
  </si>
  <si>
    <t>Instrumentos AT1</t>
  </si>
  <si>
    <t>63002</t>
  </si>
  <si>
    <t>Ganhos ou perdas (-) atuariais com planos de pensões de benefício definido</t>
  </si>
  <si>
    <t>63003</t>
  </si>
  <si>
    <t>Variação do justo valor dos instrumentos de capital próprio mensurados pelo justo valor através de outro rendimento integral</t>
  </si>
  <si>
    <t>63012</t>
  </si>
  <si>
    <t>Reserva para coberturas de fluxos de caixa [parte efetiva]</t>
  </si>
  <si>
    <t>630132</t>
  </si>
  <si>
    <t>Var tít.div.j.v.ren.integ</t>
  </si>
  <si>
    <t>630133</t>
  </si>
  <si>
    <t>Var.credi.jv ren.integral</t>
  </si>
  <si>
    <t>63102</t>
  </si>
  <si>
    <t>63103</t>
  </si>
  <si>
    <t>63112</t>
  </si>
  <si>
    <t>631132</t>
  </si>
  <si>
    <t>Var.tít.di.jv re.integral</t>
  </si>
  <si>
    <t>631133</t>
  </si>
  <si>
    <t>Var.cr.men.jv re.integral</t>
  </si>
  <si>
    <t>640</t>
  </si>
  <si>
    <t>Aprovados</t>
  </si>
  <si>
    <t>650</t>
  </si>
  <si>
    <t>Reserva legal</t>
  </si>
  <si>
    <t>6581</t>
  </si>
  <si>
    <t>Reservas de reavaliação legais</t>
  </si>
  <si>
    <t>6582</t>
  </si>
  <si>
    <t>Outras reservas de reavaliação</t>
  </si>
  <si>
    <t>6591</t>
  </si>
  <si>
    <t>Reservas de fusão</t>
  </si>
  <si>
    <t>65920</t>
  </si>
  <si>
    <t>Reserva diferenças resultantes da alteração de políticas contabilísticas</t>
  </si>
  <si>
    <t>65991</t>
  </si>
  <si>
    <t>Impostos diferidos por prejuizos ou créditos fiscais utilizáveis</t>
  </si>
  <si>
    <t>659950</t>
  </si>
  <si>
    <t>Materializacao de rendimento integral por vendas de instrumentos de capital VB</t>
  </si>
  <si>
    <t>659951</t>
  </si>
  <si>
    <t>Materializacao de rendimento integral por vendas de instrumentos de capital TAX</t>
  </si>
  <si>
    <t>65998</t>
  </si>
  <si>
    <t>Res.rel.emiss.tier1 cocos</t>
  </si>
  <si>
    <t>65999</t>
  </si>
  <si>
    <t>Outras reservas</t>
  </si>
  <si>
    <t>660</t>
  </si>
  <si>
    <t>68</t>
  </si>
  <si>
    <t>Dividendos antecipados</t>
  </si>
  <si>
    <t>79000</t>
  </si>
  <si>
    <t>IRC</t>
  </si>
  <si>
    <t>7901</t>
  </si>
  <si>
    <t>Correções de imposto sobre lucros relativas a ex anteriores</t>
  </si>
  <si>
    <t>79101</t>
  </si>
  <si>
    <t>900119</t>
  </si>
  <si>
    <t>900129</t>
  </si>
  <si>
    <t>900139</t>
  </si>
  <si>
    <t>900149</t>
  </si>
  <si>
    <t>900159</t>
  </si>
  <si>
    <t>900229</t>
  </si>
  <si>
    <t>900239</t>
  </si>
  <si>
    <t>900245</t>
  </si>
  <si>
    <t>900249</t>
  </si>
  <si>
    <t>900259</t>
  </si>
  <si>
    <t>900345</t>
  </si>
  <si>
    <t>900349</t>
  </si>
  <si>
    <t>900359</t>
  </si>
  <si>
    <t>9091109</t>
  </si>
  <si>
    <t>9091119</t>
  </si>
  <si>
    <t>9091209</t>
  </si>
  <si>
    <t>9091309</t>
  </si>
  <si>
    <t>9091409</t>
  </si>
  <si>
    <t>9091419</t>
  </si>
  <si>
    <t>9091509</t>
  </si>
  <si>
    <t>9092109</t>
  </si>
  <si>
    <t>9092209</t>
  </si>
  <si>
    <t>9092309</t>
  </si>
  <si>
    <t>9092405</t>
  </si>
  <si>
    <t>9092409</t>
  </si>
  <si>
    <t>9092419</t>
  </si>
  <si>
    <t>9092509</t>
  </si>
  <si>
    <t>9093209</t>
  </si>
  <si>
    <t>9093309</t>
  </si>
  <si>
    <t>9093405</t>
  </si>
  <si>
    <t>9093409</t>
  </si>
  <si>
    <t>9093419</t>
  </si>
  <si>
    <t>9093509</t>
  </si>
  <si>
    <t>91010</t>
  </si>
  <si>
    <t>91020</t>
  </si>
  <si>
    <t>91025</t>
  </si>
  <si>
    <t>Por fianças e indemnizações</t>
  </si>
  <si>
    <t>91030</t>
  </si>
  <si>
    <t>91035</t>
  </si>
  <si>
    <t>91040</t>
  </si>
  <si>
    <t>91045</t>
  </si>
  <si>
    <t>91049</t>
  </si>
  <si>
    <t>Outras garantias recebidas</t>
  </si>
  <si>
    <t>91050</t>
  </si>
  <si>
    <t>91055</t>
  </si>
  <si>
    <t>91058</t>
  </si>
  <si>
    <t>92011109</t>
  </si>
  <si>
    <t>92012109</t>
  </si>
  <si>
    <t>92013009</t>
  </si>
  <si>
    <t>92013109</t>
  </si>
  <si>
    <t>92014009</t>
  </si>
  <si>
    <t>92014109</t>
  </si>
  <si>
    <t>92015109</t>
  </si>
  <si>
    <t>92022109</t>
  </si>
  <si>
    <t>92023109</t>
  </si>
  <si>
    <t>92024009</t>
  </si>
  <si>
    <t>92024105</t>
  </si>
  <si>
    <t>92024109</t>
  </si>
  <si>
    <t>92025109</t>
  </si>
  <si>
    <t>92033109</t>
  </si>
  <si>
    <t>92034009</t>
  </si>
  <si>
    <t>92034109</t>
  </si>
  <si>
    <t>92035109</t>
  </si>
  <si>
    <t>9289296</t>
  </si>
  <si>
    <t>FUNDOS DE RESOLUCAO</t>
  </si>
  <si>
    <t>9289297</t>
  </si>
  <si>
    <t>SII-RESP.POTEN.PA.COM SII</t>
  </si>
  <si>
    <t>92913099</t>
  </si>
  <si>
    <t>93010</t>
  </si>
  <si>
    <t>Bancos centrais</t>
  </si>
  <si>
    <t>93033</t>
  </si>
  <si>
    <t>93041</t>
  </si>
  <si>
    <t>Instituições de crédito (bancos)</t>
  </si>
  <si>
    <t>93123</t>
  </si>
  <si>
    <t>93124</t>
  </si>
  <si>
    <t>94010</t>
  </si>
  <si>
    <t>Compra</t>
  </si>
  <si>
    <t>94011</t>
  </si>
  <si>
    <t>Venda</t>
  </si>
  <si>
    <t>94040</t>
  </si>
  <si>
    <t>94041</t>
  </si>
  <si>
    <t>94050</t>
  </si>
  <si>
    <t>94051</t>
  </si>
  <si>
    <t>942010</t>
  </si>
  <si>
    <t>942011</t>
  </si>
  <si>
    <t>942040</t>
  </si>
  <si>
    <t>942041</t>
  </si>
  <si>
    <t>942050</t>
  </si>
  <si>
    <t>942051</t>
  </si>
  <si>
    <t>942200120</t>
  </si>
  <si>
    <t>Compradas</t>
  </si>
  <si>
    <t>942210100</t>
  </si>
  <si>
    <t>942210101</t>
  </si>
  <si>
    <t>Vendidas</t>
  </si>
  <si>
    <t>942210120</t>
  </si>
  <si>
    <t>942210220</t>
  </si>
  <si>
    <t>942210300</t>
  </si>
  <si>
    <t>942210320</t>
  </si>
  <si>
    <t>942210400</t>
  </si>
  <si>
    <t>942210401</t>
  </si>
  <si>
    <t>942210420</t>
  </si>
  <si>
    <t>942211120</t>
  </si>
  <si>
    <t>942211320</t>
  </si>
  <si>
    <t>942212100</t>
  </si>
  <si>
    <t>942212101</t>
  </si>
  <si>
    <t>942212120</t>
  </si>
  <si>
    <t>942212121</t>
  </si>
  <si>
    <t>942212400</t>
  </si>
  <si>
    <t>942212401</t>
  </si>
  <si>
    <t>94700120</t>
  </si>
  <si>
    <t>94700320</t>
  </si>
  <si>
    <t>94710320</t>
  </si>
  <si>
    <t>950000</t>
  </si>
  <si>
    <t>De sociedade investimento</t>
  </si>
  <si>
    <t>950001</t>
  </si>
  <si>
    <t>950010</t>
  </si>
  <si>
    <t>950011</t>
  </si>
  <si>
    <t>9501</t>
  </si>
  <si>
    <t>Outros valores depositados</t>
  </si>
  <si>
    <t>9510</t>
  </si>
  <si>
    <t>Em posse da entidade</t>
  </si>
  <si>
    <t>95283</t>
  </si>
  <si>
    <t>95285</t>
  </si>
  <si>
    <t>Outros valores-Ifrru</t>
  </si>
  <si>
    <t>9700</t>
  </si>
  <si>
    <t>Créditos</t>
  </si>
  <si>
    <t>9701</t>
  </si>
  <si>
    <t>Títulos</t>
  </si>
  <si>
    <t>97112</t>
  </si>
  <si>
    <t>Valores imobiliários</t>
  </si>
  <si>
    <t>97122</t>
  </si>
  <si>
    <t>97131</t>
  </si>
  <si>
    <t>97132</t>
  </si>
  <si>
    <t>97141</t>
  </si>
  <si>
    <t>97142</t>
  </si>
  <si>
    <t>97151</t>
  </si>
  <si>
    <t>97152</t>
  </si>
  <si>
    <t>98700</t>
  </si>
  <si>
    <t>Compromissos perante terceiros</t>
  </si>
  <si>
    <t>98701</t>
  </si>
  <si>
    <t>Compromissos de terceiros</t>
  </si>
  <si>
    <t>9915339</t>
  </si>
  <si>
    <t>9915345</t>
  </si>
  <si>
    <t>9915349</t>
  </si>
  <si>
    <t>9915355</t>
  </si>
  <si>
    <t>9915359</t>
  </si>
  <si>
    <t>993</t>
  </si>
  <si>
    <t>Juros vencidos</t>
  </si>
  <si>
    <t>994</t>
  </si>
  <si>
    <t>Despesas de crédito vencido</t>
  </si>
  <si>
    <t>9990</t>
  </si>
  <si>
    <t>Obrigações hipotecárias emitidas</t>
  </si>
  <si>
    <t>9991</t>
  </si>
  <si>
    <t>Obrigações de caixa emitidas</t>
  </si>
  <si>
    <t>9994</t>
  </si>
  <si>
    <t>Empréstimos subordinados</t>
  </si>
  <si>
    <t>99980</t>
  </si>
  <si>
    <t>Outras contas diversas</t>
  </si>
  <si>
    <t>999810</t>
  </si>
  <si>
    <t>Moratória desemprego-capital</t>
  </si>
  <si>
    <t>999811</t>
  </si>
  <si>
    <t>Moratória desemprego-capital vencido</t>
  </si>
  <si>
    <t>999812</t>
  </si>
  <si>
    <t>Moratória desemprego-juros</t>
  </si>
  <si>
    <t>999813</t>
  </si>
  <si>
    <t>Moratória desemprego-juros vencidos</t>
  </si>
  <si>
    <t>999830</t>
  </si>
  <si>
    <t>Carteira seguros</t>
  </si>
  <si>
    <t>999831</t>
  </si>
  <si>
    <t>Carteira fundos</t>
  </si>
  <si>
    <t>0010_row_nmbr</t>
  </si>
  <si>
    <t>0020_uniq_id</t>
  </si>
  <si>
    <t>0030_uniq_id_knwn_cntrprty</t>
  </si>
  <si>
    <t>0040_typ_uniq_id_knwn_cntrprty</t>
  </si>
  <si>
    <t>0050_orgnl_amnt_eur</t>
  </si>
  <si>
    <t>0060_orgnl_amnt_fx</t>
  </si>
  <si>
    <t>0070_cntrct_crrncy</t>
  </si>
  <si>
    <t>0080_otstndng_prncpl_amnt</t>
  </si>
  <si>
    <t>0090_prtn_amnt_rprtng_entty</t>
  </si>
  <si>
    <t>0100_accrd_intrst_instrmnt</t>
  </si>
  <si>
    <t>0110_applcbl_fees_charges</t>
  </si>
  <si>
    <t>0120_otstndng_amnt</t>
  </si>
  <si>
    <t>0130_rlvnt_amnt_wdc</t>
  </si>
  <si>
    <t>0140_ntr_lblty</t>
  </si>
  <si>
    <t>0141_ntr_lblty_othr</t>
  </si>
  <si>
    <t>0150_flg_strctrlly_sbrdntd</t>
  </si>
  <si>
    <t>0160_rank_insolv</t>
  </si>
  <si>
    <t>0161_cntrctl_sbrdntn</t>
  </si>
  <si>
    <t>0162_bail_in_cascade</t>
  </si>
  <si>
    <t>0170_dt_incptn</t>
  </si>
  <si>
    <t>0180_dt_nxt_intrst_pymnt</t>
  </si>
  <si>
    <t>0190_dt_nxt_rdmptn_pymnt</t>
  </si>
  <si>
    <t>0200_dt_erlst_rdmptn</t>
  </si>
  <si>
    <t>0210_dt_lgl_fnl_mtrty</t>
  </si>
  <si>
    <t>0220_governing_law</t>
  </si>
  <si>
    <t>0230_bail_in_rcgntn_cls</t>
  </si>
  <si>
    <t>0240_zero_coupon</t>
  </si>
  <si>
    <t>0250_strctrd_prdct</t>
  </si>
  <si>
    <t>0260_grntd_min_amnt_strctrd_prdct</t>
  </si>
  <si>
    <t>0270_fv_amnt_strctrd_prdct</t>
  </si>
  <si>
    <t>0280_flg_ncnp_dpsts</t>
  </si>
  <si>
    <t>0290_flg_ncbp_dpsts</t>
  </si>
  <si>
    <t>0300_amnt_cvrd_elgbl_dpsts</t>
  </si>
  <si>
    <t>0310_flg_clltrl_agrmnts</t>
  </si>
  <si>
    <t>0320_amnt_clltrl</t>
  </si>
  <si>
    <t>0330_amnt_unclltrlzd</t>
  </si>
  <si>
    <t>0340_id_clltrl</t>
  </si>
  <si>
    <t>0350_typ_clltrl</t>
  </si>
  <si>
    <t>0351_typ_clltrl_othr</t>
  </si>
  <si>
    <t>0360_trdng_mthd</t>
  </si>
  <si>
    <t>0370_amnt_scrty_eur</t>
  </si>
  <si>
    <t>0380_amnt_scrty_fx</t>
  </si>
  <si>
    <t>0390_nmbr_scrts_not_rprtng_entty</t>
  </si>
  <si>
    <t>0391_nmbr_scrts_rprtng_entty</t>
  </si>
  <si>
    <t>0400_accrd_intrst_scrty</t>
  </si>
  <si>
    <t>0410_fees_charges_scrty</t>
  </si>
  <si>
    <t>0420_fv_amnt_scrty</t>
  </si>
  <si>
    <t>0430_prncpl_amnt_glbl_nt_eur</t>
  </si>
  <si>
    <t>0431_prncpl_amnt_glbl_nt_fx</t>
  </si>
  <si>
    <t>0440_ntr_glbl_nt</t>
  </si>
  <si>
    <t>0450_crrnt_pool_fctr</t>
  </si>
  <si>
    <t>0460_csd</t>
  </si>
  <si>
    <t>0461_csd_lei</t>
  </si>
  <si>
    <t>0462_csd_othr</t>
  </si>
  <si>
    <t>0470_pyng_agnt</t>
  </si>
  <si>
    <t>0471_pyng_agnt_lei</t>
  </si>
  <si>
    <t>0480_trdng_vn</t>
  </si>
  <si>
    <t>0481_trdng_vn_lei</t>
  </si>
  <si>
    <t>0490_rgstrr</t>
  </si>
  <si>
    <t>0491_rgstrr_lei</t>
  </si>
  <si>
    <t>0500_nna</t>
  </si>
  <si>
    <t>0501_nna_lei</t>
  </si>
  <si>
    <t>0510_cmmn_dpstry</t>
  </si>
  <si>
    <t>0511_cmmn_dpstry_lei</t>
  </si>
  <si>
    <t>0520_cmmn_srvc_prvdr</t>
  </si>
  <si>
    <t>0521_cmmn_srvc_prvdr_lei</t>
  </si>
  <si>
    <t>0530_typ_own_fnds_ind_lvl</t>
  </si>
  <si>
    <t>0540_elgbl_amnt_own_fnds_ind_lvl</t>
  </si>
  <si>
    <t>0550_typ_own_fnds_cnsldtd_lvl</t>
  </si>
  <si>
    <t>0560_elgbl_amnt_own_fnds_cnsldtd_lvl</t>
  </si>
  <si>
    <t>0570_amnt_scrty_intrst_prvdd</t>
  </si>
  <si>
    <t>0580_scrty_intrst_prvdr</t>
  </si>
  <si>
    <t>0581_scrty_intrst_prvdr_lei</t>
  </si>
  <si>
    <t>0590_typ_scrty_intrst_prvdd</t>
  </si>
  <si>
    <t>0600_flg_clltrl_asst_pstn</t>
  </si>
  <si>
    <t>0610_crryng_amnt_ifrs</t>
  </si>
  <si>
    <t>0620_blnc_sht_ifrs</t>
  </si>
  <si>
    <t>0630_crrying_amnt_ngaap</t>
  </si>
  <si>
    <t>0640_blnc_sht_ngaap</t>
  </si>
  <si>
    <t>5000_flg_shrhldr_not_rsltn_grp</t>
  </si>
  <si>
    <t>5010_flg_art21_7a_srmr</t>
  </si>
  <si>
    <t>ckutulmo</t>
  </si>
  <si>
    <t>htimest</t>
  </si>
  <si>
    <t>ref_date</t>
  </si>
  <si>
    <t>cod_visao</t>
  </si>
  <si>
    <t>3</t>
  </si>
  <si>
    <t>2016-09-28</t>
  </si>
  <si>
    <t>2026-10-06</t>
  </si>
  <si>
    <t>FALSE</t>
  </si>
  <si>
    <t>TRUE</t>
  </si>
  <si>
    <t>servdlakep</t>
  </si>
  <si>
    <t>2025-11-30</t>
  </si>
  <si>
    <t>8</t>
  </si>
  <si>
    <t>2022-06-01</t>
  </si>
  <si>
    <t>2026-06-03</t>
  </si>
  <si>
    <t>2027-06-03</t>
  </si>
  <si>
    <t>2022-06-07</t>
  </si>
  <si>
    <t>2026-06-09</t>
  </si>
  <si>
    <t>2027-06-09</t>
  </si>
  <si>
    <t>2</t>
  </si>
  <si>
    <t>2024-02-22</t>
  </si>
  <si>
    <t>2099-01-31</t>
  </si>
  <si>
    <t>2024-07-30</t>
  </si>
  <si>
    <t>2026-07-30</t>
  </si>
  <si>
    <t>2030-07-30</t>
  </si>
  <si>
    <t>2025-05-29</t>
  </si>
  <si>
    <t>1</t>
  </si>
  <si>
    <t>1992-01-05</t>
  </si>
  <si>
    <t>2021-01-14</t>
  </si>
  <si>
    <t>CT610.RANK_INSOLV = 8</t>
  </si>
  <si>
    <t>Valor Original</t>
  </si>
  <si>
    <t>Valor Final</t>
  </si>
  <si>
    <t>conta</t>
  </si>
  <si>
    <t>valor_final</t>
  </si>
  <si>
    <t>Valor final</t>
  </si>
  <si>
    <t>F 01.02 - Balance Sheet Statement [Statement of Financial Position]: Liabilities</t>
  </si>
  <si>
    <t>Columns</t>
  </si>
  <si>
    <t>Carrying amount</t>
  </si>
  <si>
    <t>Ranking</t>
  </si>
  <si>
    <t>0010</t>
  </si>
  <si>
    <t>Financial liabilities held for trading</t>
  </si>
  <si>
    <t>Derivatives</t>
  </si>
  <si>
    <t>Short positions</t>
  </si>
  <si>
    <t>Deposits</t>
  </si>
  <si>
    <t>0050</t>
  </si>
  <si>
    <t>Other financial liabilities</t>
  </si>
  <si>
    <t>0060</t>
  </si>
  <si>
    <t>Trading financial liabilities</t>
  </si>
  <si>
    <t>0061</t>
  </si>
  <si>
    <t>0062</t>
  </si>
  <si>
    <t>0063</t>
  </si>
  <si>
    <t>0064</t>
  </si>
  <si>
    <t>0065</t>
  </si>
  <si>
    <t>0066</t>
  </si>
  <si>
    <t>Financial liabilities designated at fair value through profit or loss</t>
  </si>
  <si>
    <t>0080</t>
  </si>
  <si>
    <t>0090</t>
  </si>
  <si>
    <t>0100</t>
  </si>
  <si>
    <t>Financial liabilities measured at amortised cost</t>
  </si>
  <si>
    <t>0110</t>
  </si>
  <si>
    <t>0120</t>
  </si>
  <si>
    <t>3 e 8</t>
  </si>
  <si>
    <t>0140</t>
  </si>
  <si>
    <t>Non-trading non-derivative financial liabilities measured at a cost-based method</t>
  </si>
  <si>
    <t>0141</t>
  </si>
  <si>
    <t>0142</t>
  </si>
  <si>
    <t>0143</t>
  </si>
  <si>
    <t>0144</t>
  </si>
  <si>
    <t>Derivatives – Hedge accounting</t>
  </si>
  <si>
    <t>0150</t>
  </si>
  <si>
    <t>Fair value changes of the hedged items in portfolio hedge of interest rate risk</t>
  </si>
  <si>
    <t>0160</t>
  </si>
  <si>
    <t>Provisions</t>
  </si>
  <si>
    <t>0170</t>
  </si>
  <si>
    <t>Funds for general banking risks [if presented within liabilities]</t>
  </si>
  <si>
    <t>0175</t>
  </si>
  <si>
    <t>Pension and other post employment defined benefit obligations</t>
  </si>
  <si>
    <t>0180</t>
  </si>
  <si>
    <t>Other long term employee benefits</t>
  </si>
  <si>
    <t>0190</t>
  </si>
  <si>
    <t>Restructuring</t>
  </si>
  <si>
    <t>0200</t>
  </si>
  <si>
    <t>Pending legal issues and tax litigation</t>
  </si>
  <si>
    <t>0210</t>
  </si>
  <si>
    <t>Commitments and guarantees given</t>
  </si>
  <si>
    <t>0220</t>
  </si>
  <si>
    <t>Other provisions</t>
  </si>
  <si>
    <t>0230</t>
  </si>
  <si>
    <t>Tax liabilities</t>
  </si>
  <si>
    <t>Current tax liabilities</t>
  </si>
  <si>
    <t>0250</t>
  </si>
  <si>
    <t>Deferred tax liabilities</t>
  </si>
  <si>
    <t>0260</t>
  </si>
  <si>
    <t>Share capital repayable on demand</t>
  </si>
  <si>
    <t>0270</t>
  </si>
  <si>
    <t>Other liabilities</t>
  </si>
  <si>
    <t>0280</t>
  </si>
  <si>
    <t>Liabilities included in disposal groups classified as held for sale</t>
  </si>
  <si>
    <t>0290</t>
  </si>
  <si>
    <t>Haircuts for trading liabilities at fair value</t>
  </si>
  <si>
    <t>0295</t>
  </si>
  <si>
    <t>Total liabilities</t>
  </si>
  <si>
    <t>0300</t>
  </si>
  <si>
    <t>F 01.03 - Balance Sheet Statement [Statement of Financial Position]: Equity</t>
  </si>
  <si>
    <t>Capital</t>
  </si>
  <si>
    <t>Unpaid capital which has been called up</t>
  </si>
  <si>
    <t>Equity instruments issued other than capital</t>
  </si>
  <si>
    <t>Equity component of compound financial instruments</t>
  </si>
  <si>
    <t>Other equity</t>
  </si>
  <si>
    <t>Accumulated other comprehensive income</t>
  </si>
  <si>
    <t>Items that will not be reclassified to profit and loss</t>
  </si>
  <si>
    <t>0095</t>
  </si>
  <si>
    <t>Tangible assets</t>
  </si>
  <si>
    <t>Intangible assets</t>
  </si>
  <si>
    <t>Actuarial gains or loss on defined benefit pension plans</t>
  </si>
  <si>
    <t>Non-current assets and disposal groups classified as held for sale</t>
  </si>
  <si>
    <t>0122</t>
  </si>
  <si>
    <t>Share of other recognised income and expense of investments in subsidiaries, joint ventures and associates</t>
  </si>
  <si>
    <t>0124</t>
  </si>
  <si>
    <t>Changes in fair value of equity instruments measured at fair value through other comprehensive income</t>
  </si>
  <si>
    <t>0320</t>
  </si>
  <si>
    <t>Hedge ineffectiveness of fair value hedges for equity instruments measured at fair value through other comprehensive income</t>
  </si>
  <si>
    <t>0330</t>
  </si>
  <si>
    <t>Fair value changes of equity instruments measured at fair value through other comprehensive income [hedged item]</t>
  </si>
  <si>
    <t>0340</t>
  </si>
  <si>
    <t>Fair value changes of equity instruments measured at fair value through other comprehensive income [hedging instrument]</t>
  </si>
  <si>
    <t>0350</t>
  </si>
  <si>
    <t>Change in fair value of a financial liability at fair value through profit or loss that is attributable to changes in the credit risk of that liability</t>
  </si>
  <si>
    <t>0360</t>
  </si>
  <si>
    <t>Items that may be reclassified to profit and loss</t>
  </si>
  <si>
    <t>0128</t>
  </si>
  <si>
    <t>Hedges of net investments in foreign operations [effective portion]</t>
  </si>
  <si>
    <t>Foreign currency translation</t>
  </si>
  <si>
    <t>Hedging derivatives. Cash flow hedges reserve (effective portion)</t>
  </si>
  <si>
    <t>Fair value changes of debt instruments measured at fair value through other comprehensive income</t>
  </si>
  <si>
    <t>0155</t>
  </si>
  <si>
    <t>Hedging instruments [not designated elements]</t>
  </si>
  <si>
    <t>0165</t>
  </si>
  <si>
    <t>Retained earnings</t>
  </si>
  <si>
    <t>Revaluation reserves</t>
  </si>
  <si>
    <t>0201</t>
  </si>
  <si>
    <t>Equity instruments</t>
  </si>
  <si>
    <t>0202</t>
  </si>
  <si>
    <t>Debt securities</t>
  </si>
  <si>
    <t>0203</t>
  </si>
  <si>
    <t>Other</t>
  </si>
  <si>
    <t>0204</t>
  </si>
  <si>
    <t>Fair value reserves</t>
  </si>
  <si>
    <t>0205</t>
  </si>
  <si>
    <t>Hedges of net investments in foreign operations</t>
  </si>
  <si>
    <t>0206</t>
  </si>
  <si>
    <t>Hedging derivatives. Cash flow hedges</t>
  </si>
  <si>
    <t>0207</t>
  </si>
  <si>
    <t>Hedging derivatives. Other hedges</t>
  </si>
  <si>
    <t>0208</t>
  </si>
  <si>
    <t>Non-trading non-derivative financial assets measured at fair value to equity</t>
  </si>
  <si>
    <t>0209</t>
  </si>
  <si>
    <t>Other reserves</t>
  </si>
  <si>
    <t>Funds for general banking risks [if presented within equity]</t>
  </si>
  <si>
    <t>0215</t>
  </si>
  <si>
    <t>Reserves or accumulated losses of investments in subsidaries, joint ventures and associates accounted for using the equity method</t>
  </si>
  <si>
    <t>First consolidation differences</t>
  </si>
  <si>
    <t>0235</t>
  </si>
  <si>
    <t>Profit or loss attributable to Owners of the parent</t>
  </si>
  <si>
    <t>(-) Interim dividends</t>
  </si>
  <si>
    <t>Minority interests [Non-controlling interests]</t>
  </si>
  <si>
    <t>Accumulated Other Comprehensive Income</t>
  </si>
  <si>
    <t>Other items</t>
  </si>
  <si>
    <t>Total equity</t>
  </si>
  <si>
    <t>Total equity and total liabilities</t>
  </si>
  <si>
    <t>0310</t>
  </si>
  <si>
    <t>F 08.01.a - Breakdown of financial liabilities by product and by counterparty (a)</t>
  </si>
  <si>
    <t>Accumulated changes in fair value due to credit risk</t>
  </si>
  <si>
    <t>Held for trading</t>
  </si>
  <si>
    <t>Designated at fair value through profit or loss</t>
  </si>
  <si>
    <t>Amortised cost</t>
  </si>
  <si>
    <t>Trading</t>
  </si>
  <si>
    <t>At a cost-based method</t>
  </si>
  <si>
    <t>Hedge accounting</t>
  </si>
  <si>
    <t>0034</t>
  </si>
  <si>
    <t>0035</t>
  </si>
  <si>
    <t>0037</t>
  </si>
  <si>
    <t>Central banks</t>
  </si>
  <si>
    <t>Current accounts / overnight deposits</t>
  </si>
  <si>
    <t>Deposits with agreed maturity</t>
  </si>
  <si>
    <t>Deposits redeemable at notice</t>
  </si>
  <si>
    <t>Repurchase agreements</t>
  </si>
  <si>
    <t>General governments</t>
  </si>
  <si>
    <t>Credit institutions</t>
  </si>
  <si>
    <t>Other financial corporations</t>
  </si>
  <si>
    <t>Non-financial corporations</t>
  </si>
  <si>
    <t>Households</t>
  </si>
  <si>
    <t>Certificates of deposits</t>
  </si>
  <si>
    <t>0370</t>
  </si>
  <si>
    <t>Asset-backed securities</t>
  </si>
  <si>
    <t>0380</t>
  </si>
  <si>
    <t>Covered bonds</t>
  </si>
  <si>
    <t>0390</t>
  </si>
  <si>
    <t>Hybrid contracts</t>
  </si>
  <si>
    <t>0400</t>
  </si>
  <si>
    <t>Other debt securities issued</t>
  </si>
  <si>
    <t>0410</t>
  </si>
  <si>
    <t>Convertible compound financial instruments</t>
  </si>
  <si>
    <t>0420</t>
  </si>
  <si>
    <t>Non-convertible</t>
  </si>
  <si>
    <t>0440</t>
  </si>
  <si>
    <t>of which: lease liabilities</t>
  </si>
  <si>
    <t>0445</t>
  </si>
  <si>
    <t>F 08.02 - Subordinated liabilities</t>
  </si>
  <si>
    <t>At amortized cost</t>
  </si>
  <si>
    <t>ranking 3</t>
  </si>
  <si>
    <t>BALANCETE (Nov25)</t>
  </si>
  <si>
    <t>FINREP (Set25)</t>
  </si>
  <si>
    <t>B0200 (Nov25)</t>
  </si>
  <si>
    <t>crryng_amnt_instrmnt</t>
  </si>
  <si>
    <t>prtn_amnt_rprtng_entty</t>
  </si>
  <si>
    <t>otstndng_prncpl_amnt</t>
  </si>
  <si>
    <t>accrd_intrst_instrmnt</t>
  </si>
  <si>
    <t>id_corrida</t>
  </si>
  <si>
    <t>2025-10-06</t>
  </si>
  <si>
    <t>2025-09-30</t>
  </si>
  <si>
    <t>B0200 (Set25)</t>
  </si>
  <si>
    <t>msaldo_final</t>
  </si>
  <si>
    <t>200000000.000000</t>
  </si>
  <si>
    <t>0.000000</t>
  </si>
  <si>
    <t>7599000.000000</t>
  </si>
  <si>
    <t>500000000.000000</t>
  </si>
  <si>
    <t>600000000.000000</t>
  </si>
  <si>
    <t>1762761.000000</t>
  </si>
  <si>
    <t>1383690177.000000</t>
  </si>
  <si>
    <t>6326736.000000</t>
  </si>
  <si>
    <t>9158104.110000</t>
  </si>
  <si>
    <t>6901534.250000</t>
  </si>
  <si>
    <t>rank_insolv</t>
  </si>
  <si>
    <t>query de extração:</t>
  </si>
  <si>
    <t>Retirar o montante detido pela reporting entity (5100011001), uma vez que o montante será reportado no campo c0090.</t>
  </si>
  <si>
    <t>Valor (c0080, c0100)</t>
  </si>
  <si>
    <t>CT610.RANK_INSOLV IN ('3','8') AND FR001.CCONTAB_FINAL_IFRS IN ('25101110','25101111','25101112','25101113','251019210','251019211','251019900','251019901','251019910','251019911','25111110')</t>
  </si>
  <si>
    <t>f0102_valor_final</t>
  </si>
  <si>
    <t>f0801a_valor_final</t>
  </si>
  <si>
    <t>zcliente</t>
  </si>
  <si>
    <t>chave_fr001</t>
  </si>
  <si>
    <t>ccontab_final_ifrs</t>
  </si>
  <si>
    <t>saldo</t>
  </si>
  <si>
    <t>chave_master</t>
  </si>
  <si>
    <t>chave_finrep</t>
  </si>
  <si>
    <t>chave</t>
  </si>
  <si>
    <t>zcliente_emitente</t>
  </si>
  <si>
    <t>zcliente_investidor</t>
  </si>
  <si>
    <t>nom_tot_ini_investe</t>
  </si>
  <si>
    <t>racio</t>
  </si>
  <si>
    <t>1.000000</t>
  </si>
  <si>
    <t>6326736.000000000000</t>
  </si>
  <si>
    <t>1383690177.000000000000</t>
  </si>
  <si>
    <t>1762761.000000000000</t>
  </si>
  <si>
    <t>200000000.000000000000</t>
  </si>
  <si>
    <t>7599000.000000000000</t>
  </si>
  <si>
    <t>500000000.000000000000</t>
  </si>
  <si>
    <t>600000000.000000000000</t>
  </si>
  <si>
    <t>f0103_valor_final</t>
  </si>
  <si>
    <t>CAST(</t>
  </si>
  <si>
    <t xml:space="preserve">AS STRING) </t>
  </si>
  <si>
    <t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CAST(`0540_elgbl_amnt_own_fnds_ind_lvl`AS STRING)  AS `0540_elgbl_amnt_own_fnds_ind_lvl`, CAST(`0550_typ_own_fnds_cnsldtd_lvl`AS STRING)  AS `0550_typ_own_fnds_cnsldtd_lvl`, CAST(`0560_elgbl_amnt_own_fnds_cnsldtd_lvl`AS STRING)  AS `0560_elgbl_amnt_own_fnds_cnsldtd_lvl`, CAST(`0570_amnt_scrty_intrst_prvdd`AS STRING)  AS `0570_amnt_scrty_intrst_prvdd`, CAST(`0580_scrty_intrst_prvdr`AS STRING)  AS `0580_scrty_intrst_prvdr`, CAST(`0581_scrty_intrst_prvdr_lei`AS STRING)  AS `0581_scrty_intrst_prvdr_lei`, CAST(`0590_typ_scrty_intrst_prvdd`AS STRING)  AS `0590_typ_scrty_intrst_prvdd`, CAST(`0600_flg_clltrl_asst_pstn`AS STRING)  AS `0600_flg_clltrl_asst_pstn`, CAST(`0610_crryng_amnt_ifrs`AS STRING)  AS `0610_crryng_amnt_ifrs`, CAST(`0620_blnc_sht_ifrs`AS STRING)  AS `0620_blnc_sht_ifrs`, CAST(`0630_crrying_amnt_ngaap`AS STRING)  AS `0630_crrying_amnt_ngaap`, CAST(`0640_blnc_sht_ngaap`AS STRING)  AS `0640_blnc_sht_ngaap`, CAST(`5000_flg_shrhldr_not_rsltn_grp`AS STRING)  AS `5000_flg_shrhldr_not_rsltn_grp`, CAST(`5010_flg_art21_7a_srmr`AS STRING)  AS `5010_flg_art21_7a_srmr`</t>
  </si>
  <si>
    <t>0011_tab_origin</t>
  </si>
  <si>
    <t>0020_uniq_id_knwn_cntrprty</t>
  </si>
  <si>
    <t>0030_cntrprty_rsltn_grp</t>
  </si>
  <si>
    <t>0040_cntrprty_nm</t>
  </si>
  <si>
    <t>0050_cntrprty_lei</t>
  </si>
  <si>
    <t>0060_typ_cntrprty_id</t>
  </si>
  <si>
    <t>0070_cntrprty_id</t>
  </si>
  <si>
    <t>0080_cntrprty_typ</t>
  </si>
  <si>
    <t>0090_cntry_cntrprty</t>
  </si>
  <si>
    <t>0100_rlvnt_amnt_wdc</t>
  </si>
  <si>
    <t xml:space="preserve">CAST(`0010_row_nmbr`AS STRING)  AS `0010_row_nmbr`, CAST(`0011_tab_origin`AS STRING)  AS `0011_tab_origin`, CAST(`0020_uniq_id_knwn_cntrprty`AS STRING)  AS `0020_uniq_id_knwn_cntrprty`, CAST(`0030_cntrprty_rsltn_grp`AS STRING)  AS `0030_cntrprty_rsltn_grp`, CAST(`0040_cntrprty_nm`AS STRING)  AS `0040_cntrprty_nm`, CAST(`0050_cntrprty_lei`AS STRING)  AS `0050_cntrprty_lei`, CAST(`0060_typ_cntrprty_id`AS STRING)  AS `0060_typ_cntrprty_id`, CAST(`0070_cntrprty_id`AS STRING)  AS `0070_cntrprty_id`, CAST(`0080_cntrprty_typ`AS STRING)  AS `0080_cntrprty_typ`, CAST(`0090_cntry_cntrprty`AS STRING)  AS `0090_cntry_cntrprty`, CAST(`0100_rlvnt_amnt_wdc`AS STRING)  AS `0100_rlvnt_amnt_wdc`,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</si>
</sst>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9"/>
      <color indexed="16"/>
      <name val="Aptos Narrow"/>
      <family val="2"/>
      <scheme val="minor"/>
    </font>
    <font>
      <sz val="9"/>
      <color indexed="17"/>
      <name val="Aptos Narrow"/>
      <family val="2"/>
      <scheme val="minor"/>
    </font>
    <font>
      <sz val="9"/>
      <color indexed="18"/>
      <name val="Aptos Narrow"/>
      <family val="2"/>
      <scheme val="minor"/>
    </font>
    <font>
      <sz val="9"/>
      <color indexed="20"/>
      <name val="Aptos Narrow"/>
      <family val="2"/>
      <scheme val="minor"/>
    </font>
    <font>
      <sz val="9"/>
      <color indexed="21"/>
      <name val="Aptos Narrow"/>
      <family val="2"/>
      <scheme val="minor"/>
    </font>
    <font>
      <sz val="9"/>
      <color indexed="12"/>
      <name val="Aptos Narrow"/>
      <family val="2"/>
      <scheme val="minor"/>
    </font>
    <font>
      <sz val="9"/>
      <color indexed="24"/>
      <name val="Aptos Narrow"/>
      <family val="2"/>
      <scheme val="minor"/>
    </font>
    <font>
      <sz val="9"/>
      <color indexed="19"/>
      <name val="Aptos Narrow"/>
      <family val="2"/>
      <scheme val="minor"/>
    </font>
    <font>
      <sz val="9"/>
      <color indexed="25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indexed="57"/>
      <name val="Aptos Narrow"/>
      <family val="2"/>
      <scheme val="minor"/>
    </font>
    <font>
      <sz val="9"/>
      <color indexed="14"/>
      <name val="Aptos Narrow"/>
      <family val="2"/>
      <scheme val="minor"/>
    </font>
    <font>
      <sz val="9"/>
      <color indexed="11"/>
      <name val="Aptos Narrow"/>
      <family val="2"/>
      <scheme val="minor"/>
    </font>
    <font>
      <sz val="9"/>
      <color indexed="3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  <border>
      <left/>
      <right style="thin">
        <color indexed="64"/>
      </right>
      <top/>
      <bottom style="hair">
        <color theme="0" tint="-0.24994659260841701"/>
      </bottom>
      <diagonal/>
    </border>
    <border>
      <left style="thin">
        <color indexed="64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/>
      <top style="hair">
        <color theme="0" tint="-0.24994659260841701"/>
      </top>
      <bottom style="thin">
        <color indexed="64"/>
      </bottom>
      <diagonal/>
    </border>
    <border>
      <left/>
      <right/>
      <top style="hair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24994659260841701"/>
      </bottom>
      <diagonal/>
    </border>
    <border>
      <left/>
      <right/>
      <top style="thin">
        <color indexed="64"/>
      </top>
      <bottom style="hair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theme="0" tint="-0.24994659260841701"/>
      </top>
      <bottom/>
      <diagonal/>
    </border>
    <border>
      <left/>
      <right style="thin">
        <color indexed="64"/>
      </right>
      <top style="hair">
        <color theme="0" tint="-0.24994659260841701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NumberFormat="1"/>
    <xf numFmtId="4" fontId="0" fillId="0" borderId="0" xfId="0" applyNumberFormat="1"/>
    <xf numFmtId="0" fontId="3" fillId="0" borderId="0" xfId="0" applyFont="1"/>
    <xf numFmtId="4" fontId="3" fillId="0" borderId="0" xfId="0" applyNumberFormat="1" applyFont="1" applyAlignment="1">
      <alignment horizontal="center"/>
    </xf>
    <xf numFmtId="4" fontId="3" fillId="0" borderId="0" xfId="0" applyNumberFormat="1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7" fontId="0" fillId="0" borderId="0" xfId="0" applyNumberFormat="1"/>
    <xf numFmtId="0" fontId="1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1" fillId="2" borderId="4" xfId="0" applyFont="1" applyFill="1" applyBorder="1" applyAlignment="1">
      <alignment horizontal="centerContinuous"/>
    </xf>
    <xf numFmtId="0" fontId="0" fillId="0" borderId="5" xfId="0" applyBorder="1" applyAlignment="1">
      <alignment horizontal="center" vertical="center"/>
    </xf>
    <xf numFmtId="4" fontId="0" fillId="0" borderId="5" xfId="0" applyNumberFormat="1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/>
    <xf numFmtId="4" fontId="0" fillId="0" borderId="10" xfId="0" applyNumberFormat="1" applyBorder="1"/>
    <xf numFmtId="4" fontId="0" fillId="0" borderId="11" xfId="0" applyNumberFormat="1" applyBorder="1"/>
    <xf numFmtId="4" fontId="0" fillId="0" borderId="9" xfId="0" applyNumberFormat="1" applyBorder="1"/>
    <xf numFmtId="0" fontId="0" fillId="0" borderId="11" xfId="0" applyBorder="1" applyAlignment="1">
      <alignment horizontal="center"/>
    </xf>
    <xf numFmtId="49" fontId="0" fillId="0" borderId="12" xfId="0" applyNumberFormat="1" applyBorder="1" applyAlignment="1">
      <alignment horizontal="left"/>
    </xf>
    <xf numFmtId="0" fontId="0" fillId="0" borderId="13" xfId="0" applyBorder="1"/>
    <xf numFmtId="4" fontId="0" fillId="0" borderId="13" xfId="0" applyNumberFormat="1" applyBorder="1"/>
    <xf numFmtId="4" fontId="0" fillId="0" borderId="14" xfId="0" applyNumberFormat="1" applyBorder="1"/>
    <xf numFmtId="0" fontId="0" fillId="0" borderId="12" xfId="0" applyBorder="1" applyAlignment="1">
      <alignment horizontal="center"/>
    </xf>
    <xf numFmtId="4" fontId="0" fillId="0" borderId="12" xfId="0" applyNumberFormat="1" applyBorder="1"/>
    <xf numFmtId="0" fontId="0" fillId="0" borderId="14" xfId="0" applyBorder="1" applyAlignment="1">
      <alignment horizontal="center"/>
    </xf>
    <xf numFmtId="4" fontId="0" fillId="0" borderId="13" xfId="0" applyNumberFormat="1" applyBorder="1" applyAlignment="1">
      <alignment horizontal="right" vertical="center"/>
    </xf>
    <xf numFmtId="4" fontId="0" fillId="0" borderId="12" xfId="0" applyNumberFormat="1" applyBorder="1" applyAlignment="1">
      <alignment horizontal="right" vertical="center"/>
    </xf>
    <xf numFmtId="0" fontId="0" fillId="0" borderId="14" xfId="0" applyBorder="1" applyAlignment="1">
      <alignment horizontal="center" vertical="center"/>
    </xf>
    <xf numFmtId="49" fontId="0" fillId="0" borderId="15" xfId="0" applyNumberFormat="1" applyBorder="1" applyAlignment="1">
      <alignment horizontal="left"/>
    </xf>
    <xf numFmtId="0" fontId="0" fillId="0" borderId="16" xfId="0" applyBorder="1"/>
    <xf numFmtId="4" fontId="0" fillId="0" borderId="16" xfId="0" applyNumberFormat="1" applyBorder="1"/>
    <xf numFmtId="4" fontId="0" fillId="0" borderId="17" xfId="0" applyNumberFormat="1" applyBorder="1"/>
    <xf numFmtId="0" fontId="0" fillId="0" borderId="15" xfId="0" applyBorder="1" applyAlignment="1">
      <alignment horizontal="center"/>
    </xf>
    <xf numFmtId="4" fontId="0" fillId="0" borderId="15" xfId="0" applyNumberFormat="1" applyBorder="1"/>
    <xf numFmtId="0" fontId="0" fillId="0" borderId="17" xfId="0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1" fillId="2" borderId="23" xfId="0" applyFont="1" applyFill="1" applyBorder="1" applyAlignment="1">
      <alignment horizontal="centerContinuous"/>
    </xf>
    <xf numFmtId="0" fontId="1" fillId="2" borderId="24" xfId="0" applyFont="1" applyFill="1" applyBorder="1" applyAlignment="1">
      <alignment horizontal="centerContinuous"/>
    </xf>
    <xf numFmtId="0" fontId="1" fillId="2" borderId="25" xfId="0" applyFont="1" applyFill="1" applyBorder="1" applyAlignment="1">
      <alignment horizontal="centerContinuous"/>
    </xf>
    <xf numFmtId="0" fontId="4" fillId="2" borderId="25" xfId="0" applyFont="1" applyFill="1" applyBorder="1" applyAlignment="1">
      <alignment horizontal="centerContinuous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0" fillId="0" borderId="26" xfId="0" applyBorder="1"/>
    <xf numFmtId="0" fontId="0" fillId="0" borderId="27" xfId="0" quotePrefix="1" applyBorder="1"/>
    <xf numFmtId="0" fontId="0" fillId="0" borderId="27" xfId="0" applyBorder="1"/>
    <xf numFmtId="0" fontId="0" fillId="0" borderId="13" xfId="0" quotePrefix="1" applyBorder="1"/>
    <xf numFmtId="0" fontId="0" fillId="0" borderId="12" xfId="0" applyBorder="1"/>
    <xf numFmtId="0" fontId="0" fillId="0" borderId="15" xfId="0" applyBorder="1"/>
    <xf numFmtId="0" fontId="0" fillId="0" borderId="16" xfId="0" quotePrefix="1" applyBorder="1"/>
    <xf numFmtId="0" fontId="0" fillId="0" borderId="28" xfId="0" applyBorder="1" applyAlignment="1">
      <alignment horizontal="center"/>
    </xf>
    <xf numFmtId="4" fontId="0" fillId="0" borderId="26" xfId="0" applyNumberFormat="1" applyBorder="1"/>
    <xf numFmtId="0" fontId="3" fillId="4" borderId="5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3" fillId="4" borderId="29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top" wrapText="1"/>
    </xf>
    <xf numFmtId="0" fontId="0" fillId="4" borderId="1" xfId="0" quotePrefix="1" applyFill="1" applyBorder="1" applyAlignment="1">
      <alignment horizontal="left" vertical="top" wrapText="1"/>
    </xf>
    <xf numFmtId="0" fontId="0" fillId="4" borderId="25" xfId="0" applyFill="1" applyBorder="1" applyAlignment="1">
      <alignment horizontal="left" vertical="center" wrapText="1" indent="2"/>
    </xf>
    <xf numFmtId="0" fontId="0" fillId="4" borderId="1" xfId="0" quotePrefix="1" applyFill="1" applyBorder="1" applyAlignment="1">
      <alignment horizontal="left" vertical="center"/>
    </xf>
    <xf numFmtId="4" fontId="0" fillId="0" borderId="1" xfId="0" applyNumberFormat="1" applyBorder="1"/>
    <xf numFmtId="0" fontId="6" fillId="0" borderId="0" xfId="0" applyFont="1" applyAlignment="1">
      <alignment horizontal="left" vertical="top" wrapText="1"/>
    </xf>
    <xf numFmtId="0" fontId="0" fillId="4" borderId="25" xfId="0" applyFill="1" applyBorder="1" applyAlignment="1">
      <alignment horizontal="left" vertical="center" wrapText="1" indent="4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0" fillId="4" borderId="25" xfId="0" applyFill="1" applyBorder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4" borderId="25" xfId="0" applyFill="1" applyBorder="1" applyAlignment="1">
      <alignment horizontal="left" vertical="center" wrapText="1" indent="6"/>
    </xf>
    <xf numFmtId="0" fontId="0" fillId="4" borderId="25" xfId="0" applyFill="1" applyBorder="1" applyAlignment="1">
      <alignment horizontal="left" vertical="center" wrapText="1" indent="8"/>
    </xf>
    <xf numFmtId="0" fontId="3" fillId="4" borderId="29" xfId="0" applyFont="1" applyFill="1" applyBorder="1" applyAlignment="1">
      <alignment horizontal="center" vertical="center"/>
    </xf>
    <xf numFmtId="0" fontId="0" fillId="4" borderId="23" xfId="0" applyFill="1" applyBorder="1" applyAlignment="1">
      <alignment horizontal="left" vertical="top" wrapText="1"/>
    </xf>
    <xf numFmtId="0" fontId="0" fillId="4" borderId="24" xfId="0" applyFill="1" applyBorder="1" applyAlignment="1">
      <alignment horizontal="left" vertical="top" wrapText="1"/>
    </xf>
    <xf numFmtId="0" fontId="0" fillId="4" borderId="25" xfId="0" applyFill="1" applyBorder="1" applyAlignment="1">
      <alignment horizontal="left" vertical="top" wrapText="1"/>
    </xf>
    <xf numFmtId="0" fontId="0" fillId="4" borderId="29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4" fontId="15" fillId="5" borderId="30" xfId="0" applyNumberFormat="1" applyFont="1" applyFill="1" applyBorder="1" applyAlignment="1">
      <alignment horizontal="center" vertical="center" wrapText="1"/>
    </xf>
    <xf numFmtId="4" fontId="15" fillId="5" borderId="0" xfId="0" applyNumberFormat="1" applyFont="1" applyFill="1" applyAlignment="1">
      <alignment horizontal="center" vertical="center" wrapText="1"/>
    </xf>
    <xf numFmtId="4" fontId="15" fillId="5" borderId="3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4" fontId="2" fillId="0" borderId="1" xfId="0" applyNumberFormat="1" applyFont="1" applyBorder="1"/>
    <xf numFmtId="4" fontId="15" fillId="5" borderId="32" xfId="0" applyNumberFormat="1" applyFont="1" applyFill="1" applyBorder="1" applyAlignment="1">
      <alignment horizontal="center" vertical="center" wrapText="1"/>
    </xf>
    <xf numFmtId="4" fontId="15" fillId="5" borderId="33" xfId="0" applyNumberFormat="1" applyFont="1" applyFill="1" applyBorder="1" applyAlignment="1">
      <alignment horizontal="center" vertical="center" wrapText="1"/>
    </xf>
    <xf numFmtId="4" fontId="15" fillId="5" borderId="34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4" fontId="0" fillId="0" borderId="27" xfId="0" applyNumberFormat="1" applyBorder="1"/>
    <xf numFmtId="0" fontId="0" fillId="0" borderId="26" xfId="0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0" fillId="0" borderId="35" xfId="0" applyNumberFormat="1" applyBorder="1" applyAlignment="1">
      <alignment horizontal="right" vertical="center"/>
    </xf>
    <xf numFmtId="4" fontId="0" fillId="0" borderId="9" xfId="0" applyNumberFormat="1" applyBorder="1" applyAlignment="1">
      <alignment horizontal="right" vertical="center"/>
    </xf>
    <xf numFmtId="4" fontId="0" fillId="0" borderId="13" xfId="0" applyNumberFormat="1" applyBorder="1" applyAlignment="1"/>
    <xf numFmtId="4" fontId="0" fillId="6" borderId="28" xfId="0" applyNumberFormat="1" applyFill="1" applyBorder="1"/>
    <xf numFmtId="0" fontId="0" fillId="0" borderId="13" xfId="0" applyBorder="1" applyAlignment="1"/>
    <xf numFmtId="4" fontId="20" fillId="0" borderId="0" xfId="0" applyNumberFormat="1" applyFont="1"/>
    <xf numFmtId="4" fontId="0" fillId="0" borderId="28" xfId="0" applyNumberFormat="1" applyFill="1" applyBorder="1"/>
    <xf numFmtId="4" fontId="0" fillId="0" borderId="36" xfId="0" applyNumberFormat="1" applyFill="1" applyBorder="1" applyAlignment="1">
      <alignment horizontal="right" vertical="center"/>
    </xf>
    <xf numFmtId="4" fontId="0" fillId="0" borderId="6" xfId="0" applyNumberFormat="1" applyFill="1" applyBorder="1" applyAlignment="1">
      <alignment horizontal="right" vertical="center"/>
    </xf>
    <xf numFmtId="4" fontId="0" fillId="0" borderId="11" xfId="0" applyNumberFormat="1" applyFill="1" applyBorder="1" applyAlignment="1">
      <alignment horizontal="right" vertical="center"/>
    </xf>
    <xf numFmtId="4" fontId="0" fillId="0" borderId="14" xfId="0" applyNumberFormat="1" applyFill="1" applyBorder="1"/>
    <xf numFmtId="4" fontId="0" fillId="0" borderId="17" xfId="0" applyNumberFormat="1" applyFill="1" applyBorder="1"/>
    <xf numFmtId="0" fontId="0" fillId="0" borderId="3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4" fontId="0" fillId="6" borderId="14" xfId="0" applyNumberFormat="1" applyFill="1" applyBorder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784860</xdr:colOff>
      <xdr:row>11</xdr:row>
      <xdr:rowOff>152400</xdr:rowOff>
    </xdr:from>
    <xdr:to>
      <xdr:col>5</xdr:col>
      <xdr:colOff>624840</xdr:colOff>
      <xdr:row>13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3BD8E7-0037-C2D9-7124-69BAECD3A3D5}"/>
            </a:ext>
          </a:extLst>
        </xdr:cNvPr>
        <xdr:cNvSpPr txBox="1"/>
      </xdr:nvSpPr>
      <xdr:spPr>
        <a:xfrm>
          <a:off x="1729740" y="2164080"/>
          <a:ext cx="445008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SELECT conta, RANK_INSOLV, MSALDO_FINAL, ZCLIENTE, PRTN_AMNT_RPRTNG_ENTTY, (MSALDO_FINAL-isnull(PRTN_AMNT_RPRTNG_ENTTY, 0)) as valor_finalFROM (    SELECT CONTA, DESCRITIVO, CARTEIRA_CONTABILISTICA, INSTRUMENTO_FINANCEIRO    FROM CD_CAPTOOLS.FR802_PL_CONTAS     WHERE REF_DATE='${REF_DATE}'        AND COD_PLANO='BST_IND'    ) FR802    INNER JOIN (    SELECT CONCAT(cempresa, CBALCAO, CNUMECTA, ZDEPOSIT) AS CHAVE, ZCLIENTE, CCONTAB_FINAL_IFRS, DESCRITIVO, MSALDO_FINAL    FROM CD_CAPTOOLS.CT001_UNIV_SALDO    WHERE REF_DATE='${REF_DATE}'        AND FLAG_ATIVO= 1        AND TRIM(DESCRITIVO)&lt;&gt;''        AND CCONTAB_FINAL_IFRS IN ('251019900',                                    '251019901',                                    '251019910',                                    '251019911',                                    '6000',                                    '610',                                    '6205',                                    '660','6205')        AND MSALDO_FINAL &lt;&gt; 0    ) CT001ON FR802.CONTA=CT001.CCONTAB_FINAL_IFRSLEFT JOIN (    SELECT CONCAT(CEMPRESA, CBALCAO, CNUMECTA, ZDEPOSIT) AS CHAVE, ISIN, RANK_INSOLV, ZCLIENTE_EMITENTE    FROM CD_CAPTOOLS.CT610_TITULOS    WHERE REF_DATE='${REF_DATE}'    ) CT610    ON CT001.CHAVE=CT610.CHAVELEFT JOIN	(	-- CONVERSÃO CAMBIOS	SELECT CEMPRESA, CBALCAO, CNUMECTA, ZDEPOSIT, CHAVE, ZCLIENTE_EMITENTE, ZCLIENTE_INVESTIDOR, NOM_TOT_INI_INVESTE, RACIO,			(OTSTNDNG_PRNCPL_AMNT_AUX/TCMBME) AS OTSTNDNG_PRNCPL_AMNT,			(PRTN_AMNT_RPRTNG_ENTTY_AUX/TCMBME) AS PRTN_AMNT_RPRTNG_ENTTY	FROM (		-- CALCULOS DOS AMOUNTS (AUX - ANTES DA APLICAÇÃO DA TX DE CAMBIO)		SELECT CEMPRESA, CBALCAO, CNUMECTA, ZDEPOSIT, CHAVE, ZCLIENTE_EMITENTE, ZCLIENTE_INVESTIDOR, NOM_TOT_INI_INVESTE, RACIO, CMOEDA,			(NOM_TOT_INI_INVESTE*RACIO) AS OTSTNDNG_PRNCPL_AMNT_AUX,			CASE 				WHEN ZCLIENTE_EMITENTE=ZCLIENTE_INVESTIDOR THEN NOM_TOT_INI_INVESTE 				ELSE 0 			END AS PRTN_AMNT_RPRTNG_ENTTY_AUX		-- TRATAMENTO APURAR O MONTANTE INVESTIDO DE CADA ENTIDADE INVESTIDORA (VETORES)		FROM (			-- PRIMEIRA PARTE DO VECTOR			SELECT  				CEMPRESA, CBALCAO, CNUMECTA, ZDEPOSIT, CHAVE, ZCLIENTE_EMITENTE, SPLIT_PART(ZCLIENTE_INVESTIDOR,';',1) AS ZCLIENTE_INVESTIDOR, CAST(SPLIT_PART(NOM_TOT_INI_INVESTE,';',1) AS DECIMAL(21,6)) AS NOM_TOT_INI_INVESTE, CAST(NOM_TOT_INIC AS DECIMAL(21,6)) AS NOM_TOT_INIC, CAST(NOM_TOT_ATUAL AS DECIMAL(21,6)) AS NOM_TOT_ATUAL, CAST(NOM_TOT_ATUAL AS DECIMAL(21,6))/CAST(NOM_TOT_INIC AS DECIMAL(21,6)) AS RACIO, CMOEDA			FROM (				SELECT 				CEMPRESA, CBALCAO, CNUMECTA, ZDEPOSIT, ZCLIENTE_EMITENTE, CMOEDA,				CONCAT(CEMPRESA,CBALCAO,CNUMECTA,ZDEPOSIT) AS CHAVE,				ZCLIENTE_INVESTIDOR,				INSTR(ZCLIENTE_INVESTIDOR,';') AS CLI_POS,				NOM_TOT_INI_INVESTE,				NOM_TOT_INIC,				NOM_TOT_ATUAL				FROM CD_CAPTOOLS.CT610_TITULOS 				HAVING REF_DATE = '${REF_DATE}' AND CLI_POS&gt;0) AS AUX			-- having CHAVE='${CTO}'							UNION ALL						-- SEGUNDA PARTE DO VECTOR			SELECT  				CEMPRESA, CBALCAO, CNUMECTA, ZDEPOSIT, CHAVE, ZCLIENTE_EMITENTE, SPLIT_PART(ZCLIENTE_INVESTIDOR,';',2) AS ZCLIENTE_INVESTIDOR, CAST(SPLIT_PART(NOM_TOT_INI_INVESTE,';',2) AS DECIMAL(21,6)) AS NOM_TOT_INI_INVESTE, CAST(NOM_TOT_INIC AS DECIMAL(21,6)) AS NOM_TOT_INIC, CAST(NOM_TOT_ATUAL AS DECIMAL(21,6)) AS NOM_TOT_ATUAL, CAST(NOM_TOT_ATUAL AS DECIMAL(21,6))/CAST(NOM_TOT_INIC AS DECIMAL(21,6)) AS RACIO, CMOEDA			FROM (				SELECT				CEMPRESA, CBALCAO, CNUMECTA, ZDEPOSIT, ZCLIENTE_EMITENTE, CMOEDA,				CONCAT(CEMPRESA,CBALCAO,CNUMECTA,ZDEPOSIT) AS CHAVE,				ZCLIENTE_INVESTIDOR,				INSTR(ZCLIENTE_INVESTIDOR,';') AS CLI_POS,				NOM_TOT_INI_INVESTE,				NOM_TOT_INIC,				NOM_TOT_ATUAL				FROM CD_CAPTOOLS.CT610_TITULOS 				HAVING REF_DATE = '${REF_DATE}' AND CLI_POS&gt;0) AS AUX			-- having CHAVE='${CTO}'		  			UNION ALL						-- SEM VECTOR			SELECT 				CEMPRESA, CBALCAO, CNUMECTA, ZDEPOSIT, CHAVE, ZCLIENTE_EMITENTE, ZCLIENTE_INVESTIDOR, CAST(NOM_TOT_INI_INVESTE AS DECIMAL(21,6)) AS NOM_TOT_INI_INVESTE, CAST(NOM_TOT_INIC AS DECIMAL(21,6)) AS NOM_TOT_INIC, CAST(NOM_TOT_ATUAL AS DECIMAL(21,6)) AS NOM_TOT_ATUAL, CAST(NOM_TOT_ATUAL AS DECIMAL(21,6))/CAST(NOM_TOT_INIC AS DECIMAL(21,6)) AS RACIO, CMOEDA			FROM (				SELECT 				CEMPRESA, CBALCAO, CNUMECTA, ZDEPOSIT, ZCLIENTE_EMITENTE, CMOEDA,				CONCAT(CEMPRESA,CBALCAO,CNUMECTA,ZDEPOSIT) AS CHAVE,				ZCLIENTE_INVESTIDOR,				INSTR(ZCLIENTE_INVESTIDOR,';') AS CLI_POS,				NOM_TOT_INI_INVESTE,				NOM_TOT_INIC,				NOM_TOT_ATUAL				FROM CD_CAPTOOLS.CT610_TITULOS 				HAVING REF_DATE = '${REF_DATE}' AND CLI_POS=0) AS AUX			-- having CHAVE='${CTO}'    		) AS VECTOR				UNION ALL				-- TRATAMENTO APURAR O MONTANTE INVESTIDO QUE NECESSITA DE AJUSTES (ENTIDADE '0000000000')		SELECT CEMPRESA, CBALCAO, CNUMECTA, ZDEPOSIT, CHAVE, ZCLIENTE_EMITENTE, ZCLIENTE_INVESTIDOR, NOM_TOT_INI_INVESTE, RACIO, CMOEDA,			(NOM_TOT_INI_INVESTE*RACIO) AS OTSTNDNG_PRNCPL_AMNT_AUX,			CASE WHEN ZCLIENTE_EMITENTE=ZCLIENTE_INVESTIDOR THEN NOM_TOT_INI_INVESTE ELSE 0 END AS PRTN_AMNT_RPRTNG_ENTTY_AUX		FROM(			SELECT 				CEMPRESA, CBALCAO, CNUMECTA, ZDEPOSIT, CHAVE, ZCLIENTE_EMITENTE,  '0000000000' AS  ZCLIENTE_INVESTIDOR, NOM_TOT_INIC-SUM(NOM_TOT_INI_INVESTE) AS NOM_TOT_INI_INVESTE, RACIO, CMOEDA			FROM 				(				-- PRIMEIRA PARTE DO VECTOR				SELECT  				CEMPRESA, CBALCAO, CNUMECTA, ZDEPOSIT, CHAVE, ZCLIENTE_EMITENTE, SPLIT_PART(ZCLIENTE_INVESTIDOR,';',1) AS ZCLIENTE_INVESTIDOR, CAST(SPLIT_PART(NOM_TOT_INI_INVESTE,';',1) AS DECIMAL(21,6)) AS NOM_TOT_INI_INVESTE, NOM_TOT_INIC AS NOM_TOT_INIC, NOM_TOT_ATUAL, NOM_TOT_ATUAL/NOM_TOT_INIC AS RACIO, CMOEDA				FROM (					SELECT 					CEMPRESA, CBALCAO, CNUMECTA, ZDEPOSIT, ZCLIENTE_EMITENTE, CMOEDA,					CONCAT(CEMPRESA,CBALCAO,CNUMECTA,ZDEPOSIT) AS CHAVE,					ZCLIENTE_INVESTIDOR,					INSTR(ZCLIENTE_INVESTIDOR,';') AS CLI_POS,					NOM_TOT_INI_INVESTE,					NOM_TOT_INIC,					NOM_TOT_ATUAL					FROM CD_CAPTOOLS.CT610_TITULOS 					HAVING REF_DATE = '${REF_DATE}' AND CLI_POS&gt;0) AS AUX				-- having CHAVE='${CTO}'									UNION ALL								-- SEGUNDA PARTE DO VECTOR				SELECT  				CEMPRESA, CBALCAO, CNUMECTA, ZDEPOSIT, CHAVE, ZCLIENTE_EMITENTE, SPLIT_PART(ZCLIENTE_INVESTIDOR,';',2) AS ZCLIENTE_INVESTIDOR, CAST(SPLIT_PART(NOM_TOT_INI_INVESTE,';',2) AS DECIMAL(21,6)) AS NOM_TOT_INI_INVESTE, NOM_TOT_INIC AS NOM_TOT_INIC, NOM_TOT_ATUAL, NOM_TOT_ATUAL/NOM_TOT_INIC AS RACIO, CMOEDA				FROM (					SELECT					CEMPRESA, CBALCAO, CNUMECTA, ZDEPOSIT, ZCLIENTE_EMITENTE, CMOEDA,					CONCAT(CEMPRESA,CBALCAO,CNUMECTA,ZDEPOSIT) AS CHAVE,					ZCLIENTE_INVESTIDOR,					INSTR(ZCLIENTE_INVESTIDOR,';') AS CLI_POS,					NOM_TOT_INI_INVESTE,					NOM_TOT_INIC,					NOM_TOT_ATUAL					FROM CD_CAPTOOLS.CT610_TITULOS 					HAVING REF_DATE = '${REF_DATE}' AND CLI_POS&gt;0) AS AUX				-- having CHAVE='${CTO}'			  				UNION ALL								-- SEM VECTOR				SELECT  				CEMPRESA, CBALCAO, CNUMECTA, ZDEPOSIT, CHAVE, ZCLIENTE_EMITENTE, ZCLIENTE_INVESTIDOR, CAST(NOM_TOT_INI_INVESTE AS DECIMAL(21,6)), NOM_TOT_INIC, NOM_TOT_ATUAL, NOM_TOT_ATUAL/NOM_TOT_INIC AS RACIO, CMOEDA				FROM (					SELECT 					CEMPRESA, CBALCAO, CNUMECTA, ZDEPOSIT, ZCLIENTE_EMITENTE, CMOEDA,					CONCAT(CEMPRESA,CBALCAO,CNUMECTA,ZDEPOSIT) AS CHAVE,					ZCLIENTE_INVESTIDOR,					INSTR(ZCLIENTE_INVESTIDOR,';') AS CLI_POS,					NOM_TOT_INI_INVESTE,					NOM_TOT_INIC,					NOM_TOT_ATUAL					FROM CD_CAPTOOLS.CT610_TITULOS 					HAVING REF_DATE = '${REF_DATE}' AND CLI_POS=0) AS AUX					-- having CHAVE='${CTO}'    				) SOMA0				GROUP BY CEMPRESA, CBALCAO, CNUMECTA, ZDEPOSIT, ZCLIENTE_EMITENTE, CHAVE, NOM_TOT_INIC, RACIO, CMOEDA			) DIF		)VAL		LEFT JOIN			(			SELECT CMOEDA, TCMBME			FROM CD_CAPTOOLS.CAMBIOS			WHERE DATA_DATE_PART in (SELECT MAX(DATA_DATE_PART) FROM CD_CAPTOOLS.CAMBIOS WHERE DATA_DATE_PART &lt;= '${REF_DATE}')				AND DCAMBIO IN (SELECT MAX(DCAMBIO) FROM CD_CAPTOOLS.CAMBIOS WHERE DCAMBIO &lt;= '${REF_DATE}')				AND ZSEQCAMB = 99				AND CTBCAMB = 'F'				AND CMARCA = 'BT'			) CAMBIOS 			ON CAMBIOS.CMOEDA = VAL.CMOEDA			WHERE OTSTNDNG_PRNCPL_AMNT_AUX &gt;0			 --   AND CHAVE='31641600005800007PTCPP0AM0007000'	) AS MONTANTE	ON CT001.CHAVE=MONTANTE.CHAVE AND CT001.ZCLIENTE=MONTANTE.ZCLIENTE_INVESTIDORWHERE (RANK_INSOLV IN ('1','2','3','8') OR RANK_INSOLV IS NULL) AND CONTA IN ('251019910','251019911','6000')ORDER BY 1;</a:t>
          </a:r>
        </a:p>
      </xdr:txBody>
    </xdr:sp>
    <xdr:clientData/>
  </xdr:twoCellAnchor>
  <xdr:twoCellAnchor>
    <xdr:from>
      <xdr:col>12</xdr:col>
      <xdr:colOff>784860</xdr:colOff>
      <xdr:row>11</xdr:row>
      <xdr:rowOff>152400</xdr:rowOff>
    </xdr:from>
    <xdr:to>
      <xdr:col>15</xdr:col>
      <xdr:colOff>624840</xdr:colOff>
      <xdr:row>13</xdr:row>
      <xdr:rowOff>91440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D67281-AD76-4C7D-A0F7-080A1F37C2C3}"/>
            </a:ext>
          </a:extLst>
        </xdr:cNvPr>
        <xdr:cNvSpPr txBox="1"/>
      </xdr:nvSpPr>
      <xdr:spPr>
        <a:xfrm>
          <a:off x="1729740" y="2164080"/>
          <a:ext cx="445008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-- FINREP F1.02 select 'f01.02' as mapa, sum(saldo) as valor_final from     (    select        concat(cempresa, cbalcao, cnumecta, zdeposit) as chave_fr001,        sum(msaldo_final) as saldo    from cd_captools.fr001_univ_saldo    where ref_date = '${REF_DATE}'     and CCONTAB_FINAL_IFRS IN ('25101110','25101111','25101112','25101113','251019210','251019211','251019900','251019901','251019910','251019911','25111110')    GROUP BY 1    )FR001left join    (SELECT     CONCAT(CEMPRESA,CBALCAO,CNUMECTA,ZDEPOSIT) AS CHAVE_MASTER,    CONCAT(CEMPRESA_FR,CBALCAO_FR,CNUMECTA_FR,ZDEPOSIT_FR) AS CHAVE_FINREP    FROM CD_CAPTOOLS.KT_CHAVES_FINREP    WHERE REF_DATE = '${REF_DATE}'    )TRADUTOR ON CHAVE_FR001 = CHAVE_FINREPLEFT JOIN    (    SELECT CONCAT(CEMPRESA,CBALCAO, CNUMECTA, ZDEPOSIT) AS CHAVE, rank_insolv    FROM CD_CAPTOOLS.CT610_TITULOS    WHERE REF_DATE='${REF_DATE}'     )ct610ON CHAVE_MASTER = CHAVEWHERE RANK_INSOLV IN ('3','8');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9B5B-67CE-4A20-88AE-0B5A12C3D48B}">
  <sheetPr>
    <tabColor rgb="FFFF0000"/>
  </sheetPr>
  <dimension ref="A2:AA43"/>
  <sheetViews>
    <sheetView showGridLines="0" workbookViewId="0">
      <selection activeCell="H15" sqref="H15"/>
    </sheetView>
  </sheetViews>
  <sheetFormatPr defaultRowHeight="14.4" x14ac:dyDescent="0.3"/>
  <cols>
    <col min="1" max="1" width="3.77734375" customWidth="1"/>
    <col min="2" max="2" width="10" bestFit="1" customWidth="1"/>
    <col min="3" max="3" width="31.5546875" bestFit="1" customWidth="1"/>
    <col min="4" max="4" width="14.6640625" bestFit="1" customWidth="1"/>
    <col min="5" max="5" width="21" bestFit="1" customWidth="1"/>
    <col min="6" max="6" width="21" customWidth="1"/>
    <col min="7" max="7" width="14.6640625" bestFit="1" customWidth="1"/>
    <col min="8" max="8" width="20" bestFit="1" customWidth="1"/>
    <col min="9" max="9" width="14.6640625" customWidth="1"/>
    <col min="10" max="10" width="12.6640625" bestFit="1" customWidth="1"/>
    <col min="13" max="13" width="14.6640625" bestFit="1" customWidth="1"/>
    <col min="14" max="14" width="37.5546875" bestFit="1" customWidth="1"/>
    <col min="15" max="15" width="14.6640625" bestFit="1" customWidth="1"/>
    <col min="16" max="16" width="26" bestFit="1" customWidth="1"/>
    <col min="17" max="17" width="14.6640625" bestFit="1" customWidth="1"/>
    <col min="18" max="18" width="15" bestFit="1" customWidth="1"/>
    <col min="19" max="19" width="17" bestFit="1" customWidth="1"/>
    <col min="20" max="20" width="15.33203125" bestFit="1" customWidth="1"/>
  </cols>
  <sheetData>
    <row r="2" spans="1:21" x14ac:dyDescent="0.3">
      <c r="B2" s="9" t="s">
        <v>2037</v>
      </c>
      <c r="C2" s="10"/>
      <c r="D2" s="10"/>
      <c r="E2" s="10"/>
      <c r="F2" s="11"/>
      <c r="G2" s="10" t="s">
        <v>2039</v>
      </c>
      <c r="H2" s="11"/>
      <c r="K2" s="3"/>
      <c r="L2" s="50" t="s">
        <v>2038</v>
      </c>
      <c r="M2" s="51"/>
      <c r="N2" s="51"/>
      <c r="O2" s="51"/>
      <c r="P2" s="51"/>
      <c r="Q2" s="52"/>
      <c r="R2" s="50" t="s">
        <v>2047</v>
      </c>
      <c r="S2" s="53"/>
    </row>
    <row r="3" spans="1:21" x14ac:dyDescent="0.3">
      <c r="B3" s="39" t="s">
        <v>41</v>
      </c>
      <c r="C3" s="40" t="s">
        <v>42</v>
      </c>
      <c r="D3" s="40" t="s">
        <v>1856</v>
      </c>
      <c r="E3" s="40" t="s">
        <v>43</v>
      </c>
      <c r="F3" s="48" t="s">
        <v>1857</v>
      </c>
      <c r="G3" s="43" t="s">
        <v>49</v>
      </c>
      <c r="H3" s="41" t="s">
        <v>2062</v>
      </c>
      <c r="I3" s="39" t="s">
        <v>39</v>
      </c>
      <c r="J3" s="42" t="s">
        <v>44</v>
      </c>
      <c r="K3" s="3"/>
      <c r="L3" s="54" t="s">
        <v>50</v>
      </c>
      <c r="M3" s="55" t="s">
        <v>51</v>
      </c>
      <c r="N3" s="55" t="s">
        <v>42</v>
      </c>
      <c r="O3" s="55" t="s">
        <v>1856</v>
      </c>
      <c r="P3" s="55" t="s">
        <v>43</v>
      </c>
      <c r="Q3" s="56" t="s">
        <v>1860</v>
      </c>
      <c r="R3" s="54" t="s">
        <v>49</v>
      </c>
      <c r="S3" s="41" t="s">
        <v>2062</v>
      </c>
      <c r="T3" s="54" t="s">
        <v>39</v>
      </c>
      <c r="U3" s="56" t="s">
        <v>44</v>
      </c>
    </row>
    <row r="4" spans="1:21" x14ac:dyDescent="0.3">
      <c r="B4" s="16" t="s">
        <v>551</v>
      </c>
      <c r="C4" s="17" t="str">
        <f>+VLOOKUP(B4,Balancete!A:F,2,FALSE)</f>
        <v>Capital/ Nocional/ Custo de aquisição</v>
      </c>
      <c r="D4" s="18">
        <f>-VLOOKUP(B4,Balancete!A:F,5,FALSE)+VLOOKUP(B4,Balancete!A:F,6,FALSE)</f>
        <v>207599000</v>
      </c>
      <c r="E4" s="18"/>
      <c r="F4" s="19">
        <f>+D4</f>
        <v>207599000</v>
      </c>
      <c r="G4" s="44">
        <v>3</v>
      </c>
      <c r="H4" s="18">
        <f>+SUMIFS('B0200 (Nov25)'!H:H,'B0200 (Nov25)'!Q:Q,Reconciliação!G4)</f>
        <v>207599000</v>
      </c>
      <c r="I4" s="20">
        <f>+H4-F4</f>
        <v>0</v>
      </c>
      <c r="J4" s="21" t="str">
        <f>+IF(ABS(I4)&lt;1,"OK","NOK")</f>
        <v>OK</v>
      </c>
      <c r="L4" s="57" t="s">
        <v>45</v>
      </c>
      <c r="M4" s="58" t="s">
        <v>55</v>
      </c>
      <c r="N4" s="59" t="s">
        <v>52</v>
      </c>
      <c r="O4" s="105">
        <f>+VLOOKUP(M4,'F 01.02'!C:D,2,FALSE)</f>
        <v>6788545206</v>
      </c>
      <c r="P4" s="113" t="s">
        <v>2063</v>
      </c>
      <c r="Q4" s="114">
        <f>+$M$16</f>
        <v>1320683849.3199999</v>
      </c>
      <c r="R4" s="106" t="s">
        <v>1887</v>
      </c>
      <c r="S4" s="117">
        <f>+SUMIFS('B0200 (Set25)'!H:H,'B0200 (Set25)'!Q:Q,3)+SUMIFS('B0200 (Set25)'!J:J,'B0200 (Set25)'!Q:Q,3)
+SUMIFS('B0200 (Set25)'!H:H,'B0200 (Set25)'!Q:Q,8)+SUMIFS('B0200 (Set25)'!J:J,'B0200 (Set25)'!Q:Q,8)</f>
        <v>1320683849.3200002</v>
      </c>
      <c r="T4" s="65">
        <f>+S4-Q4</f>
        <v>0</v>
      </c>
      <c r="U4" s="64" t="str">
        <f>+IF(ABS(T4)&lt;1,"OK","NOK")</f>
        <v>OK</v>
      </c>
    </row>
    <row r="5" spans="1:21" x14ac:dyDescent="0.3">
      <c r="A5" s="7"/>
      <c r="B5" s="22" t="s">
        <v>552</v>
      </c>
      <c r="C5" s="23" t="str">
        <f>+VLOOKUP(B5,Balancete!A:F,2,FALSE)</f>
        <v>Juros/encargos a pagar</v>
      </c>
      <c r="D5" s="24">
        <f>-VLOOKUP(B5,Balancete!A:F,5,FALSE)+VLOOKUP(B5,Balancete!A:F,6,FALSE)</f>
        <v>4607714.5199999996</v>
      </c>
      <c r="E5" s="24"/>
      <c r="F5" s="19">
        <f>+D5</f>
        <v>4607714.5199999996</v>
      </c>
      <c r="G5" s="45">
        <v>3</v>
      </c>
      <c r="H5" s="24">
        <f>+SUMIFS('B0200 (Nov25)'!J:J,'B0200 (Nov25)'!Q:Q,Reconciliação!G5)</f>
        <v>4607714.5199999996</v>
      </c>
      <c r="I5" s="27">
        <f t="shared" ref="I5:I7" si="0">+H5-F5</f>
        <v>0</v>
      </c>
      <c r="J5" s="28" t="str">
        <f t="shared" ref="J5:J11" si="1">+IF(ABS(I5)&lt;1,"OK","NOK")</f>
        <v>OK</v>
      </c>
      <c r="L5" s="123" t="s">
        <v>46</v>
      </c>
      <c r="M5" s="60" t="s">
        <v>56</v>
      </c>
      <c r="N5" s="23" t="s">
        <v>53</v>
      </c>
      <c r="O5" s="24">
        <f>+VLOOKUP(M5,'F 01.03'!C:D,2,FALSE)</f>
        <v>1391779674</v>
      </c>
      <c r="P5" s="23" t="s">
        <v>2061</v>
      </c>
      <c r="Q5" s="125">
        <f>+$N$16</f>
        <v>1385452938</v>
      </c>
      <c r="R5" s="107">
        <v>1</v>
      </c>
      <c r="S5" s="118">
        <f>+SUMIFS('B0200 (Set25)'!H:H,'B0200 (Set25)'!Q:Q,R5)</f>
        <v>1385452938</v>
      </c>
      <c r="T5" s="111">
        <f>+S5-SUM(Q5,Q6,Q7)</f>
        <v>-174242988</v>
      </c>
      <c r="U5" s="109" t="str">
        <f t="shared" ref="U5:U10" si="2">+IF(ABS(T5)&lt;1,"OK","NOK")</f>
        <v>NOK</v>
      </c>
    </row>
    <row r="6" spans="1:21" x14ac:dyDescent="0.3">
      <c r="A6" s="7"/>
      <c r="B6" s="22" t="s">
        <v>553</v>
      </c>
      <c r="C6" s="23" t="str">
        <f>+VLOOKUP(B6,Balancete!A:F,2,FALSE)</f>
        <v>Capital/ Nocional/ Custo de aquisição</v>
      </c>
      <c r="D6" s="24">
        <f>-VLOOKUP(B6,Balancete!A:F,5,FALSE)+VLOOKUP(B6,Balancete!A:F,6,FALSE)</f>
        <v>1600000000</v>
      </c>
      <c r="E6" s="24" t="s">
        <v>1855</v>
      </c>
      <c r="F6" s="19">
        <f t="shared" ref="F5:F11" si="3">+SUMIFS($G$16:$G$31,$B$16:$B$31,B6)</f>
        <v>1100000000</v>
      </c>
      <c r="G6" s="45">
        <v>8</v>
      </c>
      <c r="H6" s="24">
        <f>+SUMIFS('B0200 (Nov25)'!H:H,'B0200 (Nov25)'!Q:Q,Reconciliação!G6)</f>
        <v>1100000000</v>
      </c>
      <c r="I6" s="27">
        <f t="shared" si="0"/>
        <v>0</v>
      </c>
      <c r="J6" s="28" t="str">
        <f t="shared" si="1"/>
        <v>OK</v>
      </c>
      <c r="L6" s="49"/>
      <c r="M6" s="60" t="s">
        <v>57</v>
      </c>
      <c r="N6" s="23" t="s">
        <v>54</v>
      </c>
      <c r="O6" s="24">
        <f>+VLOOKUP(M6,'F 01.03'!C:D,2,FALSE)</f>
        <v>193389954</v>
      </c>
      <c r="P6" s="23"/>
      <c r="Q6" s="25">
        <f>+O6</f>
        <v>193389954</v>
      </c>
      <c r="R6" s="12"/>
      <c r="S6" s="119"/>
      <c r="T6" s="13"/>
      <c r="U6" s="14" t="str">
        <f t="shared" si="2"/>
        <v>OK</v>
      </c>
    </row>
    <row r="7" spans="1:21" x14ac:dyDescent="0.3">
      <c r="A7" s="7"/>
      <c r="B7" s="22" t="s">
        <v>554</v>
      </c>
      <c r="C7" s="23" t="str">
        <f>+VLOOKUP(B7,Balancete!A:F,2,FALSE)</f>
        <v>Juros/encargos a pagar</v>
      </c>
      <c r="D7" s="24">
        <f>-VLOOKUP(B7,Balancete!A:F,5,FALSE)+VLOOKUP(B7,Balancete!A:F,6,FALSE)</f>
        <v>17603816.440000001</v>
      </c>
      <c r="E7" s="24" t="s">
        <v>1855</v>
      </c>
      <c r="F7" s="19">
        <f t="shared" si="3"/>
        <v>16059638.359999999</v>
      </c>
      <c r="G7" s="45">
        <v>8</v>
      </c>
      <c r="H7" s="24">
        <f>+SUMIFS('B0200 (Nov25)'!J:J,'B0200 (Nov25)'!Q:Q,Reconciliação!G7)</f>
        <v>16059638.359999999</v>
      </c>
      <c r="I7" s="27">
        <f t="shared" si="0"/>
        <v>0</v>
      </c>
      <c r="J7" s="28" t="str">
        <f t="shared" si="1"/>
        <v>OK</v>
      </c>
      <c r="L7" s="49"/>
      <c r="M7" s="60" t="s">
        <v>60</v>
      </c>
      <c r="N7" s="23" t="s">
        <v>61</v>
      </c>
      <c r="O7" s="24">
        <f>+VLOOKUP(M7,'F 01.03'!C:D,2,FALSE)</f>
        <v>-19146966</v>
      </c>
      <c r="P7" s="23"/>
      <c r="Q7" s="25">
        <f t="shared" ref="Q7:Q8" si="4">+O7</f>
        <v>-19146966</v>
      </c>
      <c r="R7" s="108"/>
      <c r="S7" s="120"/>
      <c r="T7" s="112"/>
      <c r="U7" s="110" t="str">
        <f t="shared" si="2"/>
        <v>OK</v>
      </c>
    </row>
    <row r="8" spans="1:21" x14ac:dyDescent="0.3">
      <c r="A8" s="7"/>
      <c r="B8" s="22" t="s">
        <v>1523</v>
      </c>
      <c r="C8" s="23" t="str">
        <f>+VLOOKUP(B8,Balancete!A:F,2,FALSE)</f>
        <v>Acções ordinárias</v>
      </c>
      <c r="D8" s="24">
        <f>-VLOOKUP(B8,Balancete!A:F,5,FALSE)+VLOOKUP(B8,Balancete!A:F,6,FALSE)</f>
        <v>1391779674</v>
      </c>
      <c r="E8" s="24" t="s">
        <v>2061</v>
      </c>
      <c r="F8" s="19">
        <f t="shared" si="3"/>
        <v>1385452938</v>
      </c>
      <c r="G8" s="46">
        <v>1</v>
      </c>
      <c r="H8" s="29">
        <f>+SUMIFS('B0200 (Nov25)'!H:H,'B0200 (Nov25)'!Q:Q,Reconciliação!G8)</f>
        <v>1385452938</v>
      </c>
      <c r="I8" s="30">
        <f>+H8-SUM($F$8:$F$10)</f>
        <v>-174242987.26999998</v>
      </c>
      <c r="J8" s="31" t="str">
        <f t="shared" si="1"/>
        <v>NOK</v>
      </c>
      <c r="L8" s="124"/>
      <c r="M8" s="60" t="s">
        <v>58</v>
      </c>
      <c r="N8" s="23" t="s">
        <v>59</v>
      </c>
      <c r="O8" s="24">
        <f>+VLOOKUP(M8,'F 01.03'!C:D,2,FALSE)</f>
        <v>1200000000</v>
      </c>
      <c r="P8" s="23"/>
      <c r="Q8" s="25">
        <f t="shared" si="4"/>
        <v>1200000000</v>
      </c>
      <c r="R8" s="26">
        <v>2</v>
      </c>
      <c r="S8" s="121">
        <f>+SUMIFS('B0200 (Set25)'!H:H,'B0200 (Set25)'!Q:Q,R8)</f>
        <v>1200000000</v>
      </c>
      <c r="T8" s="27">
        <f t="shared" ref="T8:T10" si="5">+S8-Q8</f>
        <v>0</v>
      </c>
      <c r="U8" s="21" t="str">
        <f t="shared" si="2"/>
        <v>OK</v>
      </c>
    </row>
    <row r="9" spans="1:21" x14ac:dyDescent="0.3">
      <c r="A9" s="7"/>
      <c r="B9" s="22" t="s">
        <v>1525</v>
      </c>
      <c r="C9" s="23" t="str">
        <f>+VLOOKUP(B9,Balancete!A:F,2,FALSE)</f>
        <v>De instrumentos de capital</v>
      </c>
      <c r="D9" s="24">
        <f>-VLOOKUP(B9,Balancete!A:F,5,FALSE)+VLOOKUP(B9,Balancete!A:F,6,FALSE)</f>
        <v>193389953.68000001</v>
      </c>
      <c r="E9" s="24"/>
      <c r="F9" s="19">
        <f t="shared" ref="F9:F11" si="6">+D9</f>
        <v>193389953.68000001</v>
      </c>
      <c r="G9" s="46"/>
      <c r="H9" s="29"/>
      <c r="I9" s="30"/>
      <c r="J9" s="31" t="str">
        <f t="shared" si="1"/>
        <v>OK</v>
      </c>
      <c r="L9" s="61" t="s">
        <v>47</v>
      </c>
      <c r="M9" s="23" t="s">
        <v>62</v>
      </c>
      <c r="N9" s="23" t="s">
        <v>63</v>
      </c>
      <c r="O9" s="24">
        <f>+VLOOKUP(M9,'F 08.01.a'!C:F,4,FALSE)</f>
        <v>1821663986</v>
      </c>
      <c r="P9" s="115" t="s">
        <v>2063</v>
      </c>
      <c r="Q9" s="125">
        <f>+$O$16</f>
        <v>1320683849.3199999</v>
      </c>
      <c r="R9" s="26" t="s">
        <v>1887</v>
      </c>
      <c r="S9" s="121">
        <f>+SUMIFS('B0200 (Set25)'!H:H,'B0200 (Set25)'!Q:Q,3)+SUMIFS('B0200 (Set25)'!J:J,'B0200 (Set25)'!Q:Q,3)
+SUMIFS('B0200 (Set25)'!H:H,'B0200 (Set25)'!Q:Q,8)+SUMIFS('B0200 (Set25)'!J:J,'B0200 (Set25)'!Q:Q,8)</f>
        <v>1320683849.3200002</v>
      </c>
      <c r="T9" s="27">
        <f t="shared" si="5"/>
        <v>0</v>
      </c>
      <c r="U9" s="21" t="str">
        <f t="shared" si="2"/>
        <v>OK</v>
      </c>
    </row>
    <row r="10" spans="1:21" x14ac:dyDescent="0.3">
      <c r="A10" s="7"/>
      <c r="B10" s="22" t="s">
        <v>1568</v>
      </c>
      <c r="C10" s="23" t="str">
        <f>+VLOOKUP(B10,Balancete!A:F,2,FALSE)</f>
        <v>Acções ordinárias</v>
      </c>
      <c r="D10" s="24">
        <f>-VLOOKUP(B10,Balancete!A:F,5,FALSE)+VLOOKUP(B10,Balancete!A:F,6,FALSE)</f>
        <v>-19146966.41</v>
      </c>
      <c r="E10" s="24"/>
      <c r="F10" s="19">
        <f t="shared" si="6"/>
        <v>-19146966.41</v>
      </c>
      <c r="G10" s="46"/>
      <c r="H10" s="29"/>
      <c r="I10" s="30"/>
      <c r="J10" s="31" t="str">
        <f t="shared" si="1"/>
        <v>OK</v>
      </c>
      <c r="L10" s="62" t="s">
        <v>48</v>
      </c>
      <c r="M10" s="63" t="s">
        <v>64</v>
      </c>
      <c r="N10" s="33" t="s">
        <v>65</v>
      </c>
      <c r="O10" s="34">
        <f>+VLOOKUP(M10,'F 08.02'!C:E,3,FALSE)</f>
        <v>211105753</v>
      </c>
      <c r="P10" s="33"/>
      <c r="Q10" s="122">
        <f>+O10</f>
        <v>211105753</v>
      </c>
      <c r="R10" s="36">
        <v>3</v>
      </c>
      <c r="S10" s="122">
        <f>+SUMIFS('B0200 (Set25)'!H:H,'B0200 (Set25)'!Q:Q,3)+SUMIFS('B0200 (Set25)'!J:J,'B0200 (Set25)'!Q:Q,3)</f>
        <v>211105753.43000001</v>
      </c>
      <c r="T10" s="37">
        <f t="shared" si="5"/>
        <v>0.43000000715255737</v>
      </c>
      <c r="U10" s="15" t="str">
        <f t="shared" si="2"/>
        <v>OK</v>
      </c>
    </row>
    <row r="11" spans="1:21" x14ac:dyDescent="0.3">
      <c r="A11" s="7"/>
      <c r="B11" s="32" t="s">
        <v>1527</v>
      </c>
      <c r="C11" s="33" t="str">
        <f>+VLOOKUP(B11,Balancete!A:F,2,FALSE)</f>
        <v>Instrumentos AT1</v>
      </c>
      <c r="D11" s="34">
        <f>-VLOOKUP(B11,Balancete!A:F,5,FALSE)+VLOOKUP(B11,Balancete!A:F,6,FALSE)</f>
        <v>1200000000</v>
      </c>
      <c r="E11" s="34"/>
      <c r="F11" s="35">
        <f t="shared" si="6"/>
        <v>1200000000</v>
      </c>
      <c r="G11" s="47">
        <v>2</v>
      </c>
      <c r="H11" s="34">
        <f>+SUMIFS('B0200 (Nov25)'!H:H,'B0200 (Nov25)'!Q:Q,Reconciliação!G11)</f>
        <v>1200000000</v>
      </c>
      <c r="I11" s="37">
        <f t="shared" ref="I11" si="7">+H11-F11</f>
        <v>0</v>
      </c>
      <c r="J11" s="38" t="str">
        <f t="shared" si="1"/>
        <v>OK</v>
      </c>
    </row>
    <row r="13" spans="1:21" x14ac:dyDescent="0.3">
      <c r="B13" s="116" t="s">
        <v>2060</v>
      </c>
      <c r="D13" s="2"/>
      <c r="E13" s="2"/>
      <c r="L13" s="116" t="s">
        <v>2060</v>
      </c>
      <c r="N13" s="2"/>
      <c r="O13" s="2"/>
      <c r="Q13" s="2"/>
    </row>
    <row r="14" spans="1:21" x14ac:dyDescent="0.3">
      <c r="D14" s="2"/>
      <c r="E14" s="2"/>
      <c r="N14" s="2"/>
      <c r="O14" s="2"/>
    </row>
    <row r="15" spans="1:21" x14ac:dyDescent="0.3">
      <c r="B15" s="3" t="s">
        <v>1858</v>
      </c>
      <c r="C15" s="5" t="s">
        <v>2059</v>
      </c>
      <c r="D15" s="3" t="s">
        <v>2048</v>
      </c>
      <c r="E15" s="3" t="s">
        <v>2066</v>
      </c>
      <c r="F15" s="3" t="s">
        <v>2041</v>
      </c>
      <c r="G15" s="3" t="s">
        <v>1859</v>
      </c>
      <c r="M15" s="126" t="s">
        <v>2064</v>
      </c>
      <c r="N15" s="127" t="s">
        <v>2085</v>
      </c>
      <c r="O15" s="3" t="s">
        <v>2065</v>
      </c>
      <c r="P15" s="3"/>
      <c r="Q15" s="2"/>
    </row>
    <row r="16" spans="1:21" x14ac:dyDescent="0.3">
      <c r="B16">
        <v>251019910</v>
      </c>
      <c r="C16" s="2">
        <v>8</v>
      </c>
      <c r="D16" t="s">
        <v>2053</v>
      </c>
      <c r="E16" s="1">
        <v>3686</v>
      </c>
      <c r="F16" s="2" t="s">
        <v>2050</v>
      </c>
      <c r="G16" s="2">
        <v>600000000</v>
      </c>
      <c r="M16" s="128">
        <v>1320683849.3199999</v>
      </c>
      <c r="N16" s="128">
        <v>1385452938</v>
      </c>
      <c r="O16" s="2">
        <v>1320683849.3199999</v>
      </c>
      <c r="P16" s="2"/>
    </row>
    <row r="17" spans="2:27" x14ac:dyDescent="0.3">
      <c r="B17">
        <v>251019910</v>
      </c>
      <c r="C17" s="2">
        <v>8</v>
      </c>
      <c r="D17" t="s">
        <v>2052</v>
      </c>
      <c r="E17" s="1">
        <v>3686</v>
      </c>
      <c r="F17" s="2" t="s">
        <v>2050</v>
      </c>
      <c r="G17" s="2">
        <v>500000000</v>
      </c>
    </row>
    <row r="18" spans="2:27" x14ac:dyDescent="0.3">
      <c r="B18">
        <v>251019911</v>
      </c>
      <c r="C18" s="2">
        <v>8</v>
      </c>
      <c r="D18" t="s">
        <v>2058</v>
      </c>
      <c r="E18" s="1">
        <v>3686</v>
      </c>
      <c r="F18" s="2" t="s">
        <v>2050</v>
      </c>
      <c r="G18" s="2">
        <v>6901534.25</v>
      </c>
    </row>
    <row r="19" spans="2:27" x14ac:dyDescent="0.3">
      <c r="B19">
        <v>251019911</v>
      </c>
      <c r="C19" s="2">
        <v>8</v>
      </c>
      <c r="D19" t="s">
        <v>2057</v>
      </c>
      <c r="E19" s="1">
        <v>3686</v>
      </c>
      <c r="F19" s="2" t="s">
        <v>2050</v>
      </c>
      <c r="G19" s="2">
        <v>9158104.1099999994</v>
      </c>
    </row>
    <row r="20" spans="2:27" x14ac:dyDescent="0.3">
      <c r="B20">
        <v>6000</v>
      </c>
      <c r="C20" s="2">
        <v>1</v>
      </c>
      <c r="D20" t="s">
        <v>2054</v>
      </c>
      <c r="E20" s="1">
        <v>0</v>
      </c>
      <c r="F20" s="2" t="s">
        <v>2050</v>
      </c>
      <c r="G20" s="2">
        <v>1762761</v>
      </c>
      <c r="M20" t="s">
        <v>2066</v>
      </c>
      <c r="N20" t="s">
        <v>2067</v>
      </c>
      <c r="O20" t="s">
        <v>2068</v>
      </c>
      <c r="P20" t="s">
        <v>2069</v>
      </c>
      <c r="Q20" t="s">
        <v>2070</v>
      </c>
      <c r="R20" t="s">
        <v>2071</v>
      </c>
      <c r="S20" t="s">
        <v>2072</v>
      </c>
      <c r="T20" t="s">
        <v>2059</v>
      </c>
      <c r="U20" t="s">
        <v>2072</v>
      </c>
      <c r="V20" t="s">
        <v>2073</v>
      </c>
      <c r="W20" t="s">
        <v>2074</v>
      </c>
      <c r="X20" t="s">
        <v>2075</v>
      </c>
      <c r="Y20" t="s">
        <v>2076</v>
      </c>
      <c r="Z20" t="s">
        <v>2042</v>
      </c>
      <c r="AA20" t="s">
        <v>2041</v>
      </c>
    </row>
    <row r="21" spans="2:27" x14ac:dyDescent="0.3">
      <c r="B21">
        <v>6000</v>
      </c>
      <c r="C21" s="2">
        <v>1</v>
      </c>
      <c r="D21" t="s">
        <v>2056</v>
      </c>
      <c r="E21" s="1">
        <v>5100011001</v>
      </c>
      <c r="F21" s="2" t="s">
        <v>2056</v>
      </c>
      <c r="G21" s="2">
        <v>0</v>
      </c>
      <c r="M21">
        <v>5100011001</v>
      </c>
      <c r="N21" t="s">
        <v>33</v>
      </c>
      <c r="O21">
        <v>6000</v>
      </c>
      <c r="P21" s="2">
        <v>6326736</v>
      </c>
      <c r="Q21" t="s">
        <v>33</v>
      </c>
      <c r="R21" t="s">
        <v>33</v>
      </c>
      <c r="S21" t="s">
        <v>33</v>
      </c>
      <c r="T21">
        <v>1</v>
      </c>
      <c r="U21" t="s">
        <v>33</v>
      </c>
      <c r="V21">
        <v>5100011001</v>
      </c>
      <c r="W21">
        <v>5100011001</v>
      </c>
      <c r="X21" t="s">
        <v>2056</v>
      </c>
      <c r="Y21" t="s">
        <v>2077</v>
      </c>
      <c r="Z21" t="s">
        <v>2078</v>
      </c>
      <c r="AA21" t="s">
        <v>2056</v>
      </c>
    </row>
    <row r="22" spans="2:27" x14ac:dyDescent="0.3">
      <c r="B22">
        <v>6000</v>
      </c>
      <c r="C22">
        <v>1</v>
      </c>
      <c r="D22" t="s">
        <v>2055</v>
      </c>
      <c r="E22" s="1">
        <v>3686</v>
      </c>
      <c r="F22" s="2" t="s">
        <v>2050</v>
      </c>
      <c r="G22" s="2">
        <v>1383690177</v>
      </c>
      <c r="M22">
        <v>3686</v>
      </c>
      <c r="N22" t="s">
        <v>33</v>
      </c>
      <c r="O22">
        <v>6000</v>
      </c>
      <c r="P22" s="2">
        <v>1383690177</v>
      </c>
      <c r="Q22" t="s">
        <v>33</v>
      </c>
      <c r="R22" t="s">
        <v>33</v>
      </c>
      <c r="S22" t="s">
        <v>33</v>
      </c>
      <c r="T22">
        <v>1</v>
      </c>
      <c r="U22" t="s">
        <v>33</v>
      </c>
      <c r="V22">
        <v>5100011001</v>
      </c>
      <c r="W22">
        <v>3686</v>
      </c>
      <c r="X22" t="s">
        <v>2055</v>
      </c>
      <c r="Y22" t="s">
        <v>2077</v>
      </c>
      <c r="Z22" t="s">
        <v>2079</v>
      </c>
      <c r="AA22" t="s">
        <v>2050</v>
      </c>
    </row>
    <row r="23" spans="2:27" x14ac:dyDescent="0.3">
      <c r="M23">
        <v>0</v>
      </c>
      <c r="N23" t="s">
        <v>33</v>
      </c>
      <c r="O23">
        <v>6000</v>
      </c>
      <c r="P23" s="2">
        <v>1762761</v>
      </c>
      <c r="Q23" t="s">
        <v>33</v>
      </c>
      <c r="R23" t="s">
        <v>33</v>
      </c>
      <c r="S23" t="s">
        <v>33</v>
      </c>
      <c r="T23">
        <v>1</v>
      </c>
      <c r="U23" t="s">
        <v>33</v>
      </c>
      <c r="V23">
        <v>5100011001</v>
      </c>
      <c r="W23">
        <v>0</v>
      </c>
      <c r="X23" t="s">
        <v>2054</v>
      </c>
      <c r="Y23" t="s">
        <v>2077</v>
      </c>
      <c r="Z23" t="s">
        <v>2080</v>
      </c>
      <c r="AA23" t="s">
        <v>2050</v>
      </c>
    </row>
    <row r="24" spans="2:27" x14ac:dyDescent="0.3">
      <c r="M24">
        <v>3686</v>
      </c>
      <c r="N24" t="s">
        <v>21</v>
      </c>
      <c r="O24">
        <v>251019900</v>
      </c>
      <c r="P24" s="2">
        <v>200000000</v>
      </c>
      <c r="Q24" t="s">
        <v>21</v>
      </c>
      <c r="R24" t="s">
        <v>21</v>
      </c>
      <c r="S24" t="s">
        <v>21</v>
      </c>
      <c r="T24">
        <v>3</v>
      </c>
      <c r="U24" t="s">
        <v>21</v>
      </c>
      <c r="V24">
        <v>5100011001</v>
      </c>
      <c r="W24">
        <v>3686</v>
      </c>
      <c r="X24" t="s">
        <v>2049</v>
      </c>
      <c r="Y24" t="s">
        <v>2077</v>
      </c>
      <c r="Z24" t="s">
        <v>2081</v>
      </c>
      <c r="AA24" t="s">
        <v>2050</v>
      </c>
    </row>
    <row r="25" spans="2:27" x14ac:dyDescent="0.3">
      <c r="M25">
        <v>3686</v>
      </c>
      <c r="N25" t="s">
        <v>21</v>
      </c>
      <c r="O25">
        <v>251019901</v>
      </c>
      <c r="P25" s="2">
        <v>4520273.97</v>
      </c>
      <c r="Q25" t="s">
        <v>21</v>
      </c>
      <c r="R25" t="s">
        <v>21</v>
      </c>
      <c r="S25" t="s">
        <v>21</v>
      </c>
      <c r="T25">
        <v>3</v>
      </c>
      <c r="U25" t="s">
        <v>21</v>
      </c>
      <c r="V25">
        <v>5100011001</v>
      </c>
      <c r="W25">
        <v>3686</v>
      </c>
      <c r="X25" t="s">
        <v>2049</v>
      </c>
      <c r="Y25" t="s">
        <v>2077</v>
      </c>
      <c r="Z25" t="s">
        <v>2081</v>
      </c>
      <c r="AA25" t="s">
        <v>2050</v>
      </c>
    </row>
    <row r="26" spans="2:27" x14ac:dyDescent="0.3">
      <c r="M26">
        <v>0</v>
      </c>
      <c r="N26" t="s">
        <v>0</v>
      </c>
      <c r="O26">
        <v>251019900</v>
      </c>
      <c r="P26" s="2">
        <v>7599000</v>
      </c>
      <c r="Q26" t="s">
        <v>0</v>
      </c>
      <c r="R26" t="s">
        <v>0</v>
      </c>
      <c r="S26" t="s">
        <v>0</v>
      </c>
      <c r="T26">
        <v>3</v>
      </c>
      <c r="U26" t="s">
        <v>0</v>
      </c>
      <c r="V26">
        <v>5100011001</v>
      </c>
      <c r="W26">
        <v>0</v>
      </c>
      <c r="X26" t="s">
        <v>2051</v>
      </c>
      <c r="Y26" t="s">
        <v>2077</v>
      </c>
      <c r="Z26" t="s">
        <v>2082</v>
      </c>
      <c r="AA26" t="s">
        <v>2050</v>
      </c>
    </row>
    <row r="27" spans="2:27" x14ac:dyDescent="0.3">
      <c r="M27">
        <v>0</v>
      </c>
      <c r="N27" t="s">
        <v>0</v>
      </c>
      <c r="O27">
        <v>251019901</v>
      </c>
      <c r="P27" s="2">
        <v>87440.55</v>
      </c>
      <c r="Q27" t="s">
        <v>0</v>
      </c>
      <c r="R27" t="s">
        <v>0</v>
      </c>
      <c r="S27" t="s">
        <v>0</v>
      </c>
      <c r="T27">
        <v>3</v>
      </c>
      <c r="U27" t="s">
        <v>0</v>
      </c>
      <c r="V27">
        <v>5100011001</v>
      </c>
      <c r="W27">
        <v>0</v>
      </c>
      <c r="X27" t="s">
        <v>2051</v>
      </c>
      <c r="Y27" t="s">
        <v>2077</v>
      </c>
      <c r="Z27" t="s">
        <v>2082</v>
      </c>
      <c r="AA27" t="s">
        <v>2050</v>
      </c>
    </row>
    <row r="28" spans="2:27" x14ac:dyDescent="0.3">
      <c r="M28">
        <v>3686</v>
      </c>
      <c r="N28" t="s">
        <v>29</v>
      </c>
      <c r="O28">
        <v>251019910</v>
      </c>
      <c r="P28" s="2">
        <v>500000000</v>
      </c>
      <c r="Q28" t="s">
        <v>29</v>
      </c>
      <c r="R28" t="s">
        <v>29</v>
      </c>
      <c r="S28" t="s">
        <v>29</v>
      </c>
      <c r="T28">
        <v>8</v>
      </c>
      <c r="U28" t="s">
        <v>29</v>
      </c>
      <c r="V28">
        <v>5100011001</v>
      </c>
      <c r="W28">
        <v>3686</v>
      </c>
      <c r="X28" t="s">
        <v>2052</v>
      </c>
      <c r="Y28" t="s">
        <v>2077</v>
      </c>
      <c r="Z28" t="s">
        <v>2083</v>
      </c>
      <c r="AA28" t="s">
        <v>2050</v>
      </c>
    </row>
    <row r="29" spans="2:27" x14ac:dyDescent="0.3">
      <c r="M29">
        <v>3686</v>
      </c>
      <c r="N29" t="s">
        <v>29</v>
      </c>
      <c r="O29">
        <v>251019911</v>
      </c>
      <c r="P29" s="2">
        <v>6901534.25</v>
      </c>
      <c r="Q29" t="s">
        <v>29</v>
      </c>
      <c r="R29" t="s">
        <v>29</v>
      </c>
      <c r="S29" t="s">
        <v>29</v>
      </c>
      <c r="T29">
        <v>8</v>
      </c>
      <c r="U29" t="s">
        <v>29</v>
      </c>
      <c r="V29">
        <v>5100011001</v>
      </c>
      <c r="W29">
        <v>3686</v>
      </c>
      <c r="X29" t="s">
        <v>2052</v>
      </c>
      <c r="Y29" t="s">
        <v>2077</v>
      </c>
      <c r="Z29" t="s">
        <v>2083</v>
      </c>
      <c r="AA29" t="s">
        <v>2050</v>
      </c>
    </row>
    <row r="30" spans="2:27" x14ac:dyDescent="0.3">
      <c r="M30">
        <v>3686</v>
      </c>
      <c r="N30" t="s">
        <v>18</v>
      </c>
      <c r="O30">
        <v>251019911</v>
      </c>
      <c r="P30" s="2">
        <v>9158104.1099999994</v>
      </c>
      <c r="Q30" t="s">
        <v>18</v>
      </c>
      <c r="R30" t="s">
        <v>18</v>
      </c>
      <c r="S30" t="s">
        <v>18</v>
      </c>
      <c r="T30">
        <v>8</v>
      </c>
      <c r="U30" t="s">
        <v>18</v>
      </c>
      <c r="V30">
        <v>5100011001</v>
      </c>
      <c r="W30">
        <v>3686</v>
      </c>
      <c r="X30" t="s">
        <v>2053</v>
      </c>
      <c r="Y30" t="s">
        <v>2077</v>
      </c>
      <c r="Z30" t="s">
        <v>2084</v>
      </c>
      <c r="AA30" t="s">
        <v>2050</v>
      </c>
    </row>
    <row r="31" spans="2:27" x14ac:dyDescent="0.3">
      <c r="M31">
        <v>3686</v>
      </c>
      <c r="N31" t="s">
        <v>18</v>
      </c>
      <c r="O31">
        <v>251019910</v>
      </c>
      <c r="P31" s="2">
        <v>600000000</v>
      </c>
      <c r="Q31" t="s">
        <v>18</v>
      </c>
      <c r="R31" t="s">
        <v>18</v>
      </c>
      <c r="S31" t="s">
        <v>18</v>
      </c>
      <c r="T31">
        <v>8</v>
      </c>
      <c r="U31" t="s">
        <v>18</v>
      </c>
      <c r="V31">
        <v>5100011001</v>
      </c>
      <c r="W31">
        <v>3686</v>
      </c>
      <c r="X31" t="s">
        <v>2053</v>
      </c>
      <c r="Y31" t="s">
        <v>2077</v>
      </c>
      <c r="Z31" t="s">
        <v>2084</v>
      </c>
      <c r="AA31" t="s">
        <v>2050</v>
      </c>
    </row>
    <row r="34" spans="16:16" x14ac:dyDescent="0.3">
      <c r="P34" s="2"/>
    </row>
    <row r="35" spans="16:16" x14ac:dyDescent="0.3">
      <c r="P35" s="2"/>
    </row>
    <row r="36" spans="16:16" x14ac:dyDescent="0.3">
      <c r="P36" s="2"/>
    </row>
    <row r="37" spans="16:16" x14ac:dyDescent="0.3">
      <c r="P37" s="2"/>
    </row>
    <row r="38" spans="16:16" x14ac:dyDescent="0.3">
      <c r="P38" s="2"/>
    </row>
    <row r="39" spans="16:16" x14ac:dyDescent="0.3">
      <c r="P39" s="2"/>
    </row>
    <row r="40" spans="16:16" x14ac:dyDescent="0.3">
      <c r="P40" s="2"/>
    </row>
    <row r="41" spans="16:16" x14ac:dyDescent="0.3">
      <c r="P41" s="2"/>
    </row>
    <row r="42" spans="16:16" x14ac:dyDescent="0.3">
      <c r="P42" s="2"/>
    </row>
    <row r="43" spans="16:16" x14ac:dyDescent="0.3">
      <c r="P43" s="2"/>
    </row>
  </sheetData>
  <mergeCells count="9">
    <mergeCell ref="R5:R7"/>
    <mergeCell ref="S5:S7"/>
    <mergeCell ref="T5:T7"/>
    <mergeCell ref="U5:U7"/>
    <mergeCell ref="L5:L8"/>
    <mergeCell ref="G8:G10"/>
    <mergeCell ref="H8:H10"/>
    <mergeCell ref="I8:I10"/>
    <mergeCell ref="J8:J10"/>
  </mergeCells>
  <conditionalFormatting sqref="J4:J11 U4:U5 U8:U10">
    <cfRule type="cellIs" dxfId="1" priority="3" operator="equal">
      <formula>"NOK"</formula>
    </cfRule>
    <cfRule type="cellIs" dxfId="0" priority="4" operator="equal">
      <formula>"OK"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6DA5-96E8-49ED-8415-94051ED11C45}">
  <dimension ref="A2:CG99"/>
  <sheetViews>
    <sheetView workbookViewId="0">
      <selection activeCell="B13" sqref="B13:F15"/>
    </sheetView>
  </sheetViews>
  <sheetFormatPr defaultRowHeight="14.4" x14ac:dyDescent="0.3"/>
  <cols>
    <col min="1" max="1" width="32.44140625" bestFit="1" customWidth="1"/>
    <col min="5" max="5" width="18.44140625" bestFit="1" customWidth="1"/>
    <col min="6" max="6" width="20.109375" bestFit="1" customWidth="1"/>
    <col min="7" max="7" width="16.5546875" bestFit="1" customWidth="1"/>
    <col min="8" max="8" width="23.88671875" bestFit="1" customWidth="1"/>
    <col min="9" max="9" width="24.5546875" bestFit="1" customWidth="1"/>
    <col min="10" max="10" width="23.21875" bestFit="1" customWidth="1"/>
    <col min="11" max="11" width="23.5546875" bestFit="1" customWidth="1"/>
    <col min="12" max="12" width="17.77734375" bestFit="1" customWidth="1"/>
    <col min="13" max="13" width="18.44140625" bestFit="1" customWidth="1"/>
    <col min="14" max="14" width="15" bestFit="1" customWidth="1"/>
    <col min="15" max="15" width="16.109375" bestFit="1" customWidth="1"/>
    <col min="16" max="16" width="21.6640625" bestFit="1" customWidth="1"/>
    <col min="17" max="17" width="14.77734375" bestFit="1" customWidth="1"/>
    <col min="18" max="18" width="18.109375" bestFit="1" customWidth="1"/>
    <col min="19" max="19" width="18.77734375" bestFit="1" customWidth="1"/>
    <col min="20" max="20" width="13.21875" bestFit="1" customWidth="1"/>
    <col min="21" max="21" width="21.33203125" bestFit="1" customWidth="1"/>
    <col min="22" max="22" width="23" bestFit="1" customWidth="1"/>
    <col min="23" max="23" width="18.44140625" bestFit="1" customWidth="1"/>
    <col min="24" max="24" width="17.77734375" bestFit="1" customWidth="1"/>
    <col min="25" max="25" width="17.21875" bestFit="1" customWidth="1"/>
    <col min="26" max="26" width="26.5546875" bestFit="1" customWidth="1"/>
    <col min="27" max="27" width="16.109375" bestFit="1" customWidth="1"/>
    <col min="28" max="28" width="19.6640625" bestFit="1" customWidth="1"/>
    <col min="29" max="29" width="30.21875" bestFit="1" customWidth="1"/>
    <col min="30" max="30" width="23.44140625" bestFit="1" customWidth="1"/>
    <col min="31" max="32" width="17.77734375" bestFit="1" customWidth="1"/>
    <col min="33" max="33" width="24.109375" bestFit="1" customWidth="1"/>
    <col min="34" max="34" width="19.5546875" bestFit="1" customWidth="1"/>
    <col min="35" max="35" width="14.33203125" bestFit="1" customWidth="1"/>
    <col min="36" max="36" width="18.21875" bestFit="1" customWidth="1"/>
    <col min="37" max="38" width="12.5546875" bestFit="1" customWidth="1"/>
    <col min="39" max="39" width="16.5546875" bestFit="1" customWidth="1"/>
    <col min="40" max="40" width="14.88671875" bestFit="1" customWidth="1"/>
    <col min="41" max="41" width="18.21875" bestFit="1" customWidth="1"/>
    <col min="42" max="42" width="16.77734375" bestFit="1" customWidth="1"/>
    <col min="43" max="43" width="28.77734375" bestFit="1" customWidth="1"/>
    <col min="44" max="44" width="25.44140625" bestFit="1" customWidth="1"/>
    <col min="45" max="45" width="20.21875" bestFit="1" customWidth="1"/>
    <col min="46" max="46" width="21.44140625" bestFit="1" customWidth="1"/>
    <col min="47" max="47" width="16.77734375" bestFit="1" customWidth="1"/>
    <col min="48" max="48" width="25.5546875" bestFit="1" customWidth="1"/>
    <col min="49" max="49" width="24.109375" bestFit="1" customWidth="1"/>
    <col min="50" max="50" width="14" bestFit="1" customWidth="1"/>
    <col min="51" max="51" width="17.6640625" bestFit="1" customWidth="1"/>
    <col min="52" max="52" width="14.109375" bestFit="1" customWidth="1"/>
    <col min="53" max="53" width="22.88671875" bestFit="1" customWidth="1"/>
    <col min="54" max="54" width="12.6640625" bestFit="1" customWidth="1"/>
    <col min="55" max="55" width="27" bestFit="1" customWidth="1"/>
    <col min="56" max="56" width="21.44140625" bestFit="1" customWidth="1"/>
    <col min="57" max="57" width="12.5546875" bestFit="1" customWidth="1"/>
    <col min="58" max="58" width="15.21875" bestFit="1" customWidth="1"/>
    <col min="59" max="59" width="14.109375" bestFit="1" customWidth="1"/>
    <col min="60" max="60" width="22.88671875" bestFit="1" customWidth="1"/>
    <col min="61" max="61" width="14.109375" bestFit="1" customWidth="1"/>
    <col min="62" max="62" width="22.88671875" bestFit="1" customWidth="1"/>
    <col min="63" max="63" width="16.6640625" bestFit="1" customWidth="1"/>
    <col min="64" max="64" width="19.44140625" bestFit="1" customWidth="1"/>
    <col min="65" max="65" width="20.109375" bestFit="1" customWidth="1"/>
    <col min="66" max="66" width="22.88671875" bestFit="1" customWidth="1"/>
    <col min="67" max="67" width="22.44140625" bestFit="1" customWidth="1"/>
    <col min="68" max="68" width="28.88671875" bestFit="1" customWidth="1"/>
    <col min="69" max="69" width="26" bestFit="1" customWidth="1"/>
    <col min="70" max="70" width="32.44140625" bestFit="1" customWidth="1"/>
    <col min="71" max="71" width="25" bestFit="1" customWidth="1"/>
    <col min="72" max="72" width="19.6640625" bestFit="1" customWidth="1"/>
    <col min="73" max="73" width="22.44140625" bestFit="1" customWidth="1"/>
    <col min="74" max="74" width="23.21875" bestFit="1" customWidth="1"/>
    <col min="75" max="75" width="20.5546875" bestFit="1" customWidth="1"/>
    <col min="76" max="76" width="19.21875" bestFit="1" customWidth="1"/>
    <col min="77" max="77" width="33.77734375" bestFit="1" customWidth="1"/>
    <col min="78" max="78" width="22.109375" bestFit="1" customWidth="1"/>
    <col min="79" max="79" width="18.33203125" bestFit="1" customWidth="1"/>
    <col min="80" max="80" width="25.5546875" bestFit="1" customWidth="1"/>
    <col min="81" max="81" width="20.21875" bestFit="1" customWidth="1"/>
    <col min="82" max="82" width="9.6640625" bestFit="1" customWidth="1"/>
    <col min="83" max="83" width="7.109375" bestFit="1" customWidth="1"/>
    <col min="84" max="84" width="10.33203125" bestFit="1" customWidth="1"/>
  </cols>
  <sheetData>
    <row r="2" spans="1:85" x14ac:dyDescent="0.3">
      <c r="A2" t="s">
        <v>1746</v>
      </c>
      <c r="B2" t="s">
        <v>1747</v>
      </c>
      <c r="C2" t="s">
        <v>1748</v>
      </c>
      <c r="D2" t="s">
        <v>1749</v>
      </c>
      <c r="E2" t="s">
        <v>1750</v>
      </c>
      <c r="F2" t="s">
        <v>1751</v>
      </c>
      <c r="G2" t="s">
        <v>1752</v>
      </c>
      <c r="H2" t="s">
        <v>1753</v>
      </c>
      <c r="I2" t="s">
        <v>1754</v>
      </c>
      <c r="J2" t="s">
        <v>1755</v>
      </c>
      <c r="K2" t="s">
        <v>1756</v>
      </c>
      <c r="L2" t="s">
        <v>1757</v>
      </c>
      <c r="M2" t="s">
        <v>1758</v>
      </c>
      <c r="N2" t="s">
        <v>1759</v>
      </c>
      <c r="O2" t="s">
        <v>1760</v>
      </c>
      <c r="P2" t="s">
        <v>1761</v>
      </c>
      <c r="Q2" t="s">
        <v>1762</v>
      </c>
      <c r="R2" t="s">
        <v>1763</v>
      </c>
      <c r="S2" t="s">
        <v>1764</v>
      </c>
      <c r="T2" t="s">
        <v>1765</v>
      </c>
      <c r="U2" t="s">
        <v>1766</v>
      </c>
      <c r="V2" t="s">
        <v>1767</v>
      </c>
      <c r="W2" t="s">
        <v>1768</v>
      </c>
      <c r="X2" t="s">
        <v>1769</v>
      </c>
      <c r="Y2" t="s">
        <v>1770</v>
      </c>
      <c r="Z2" t="s">
        <v>1771</v>
      </c>
      <c r="AA2" t="s">
        <v>1772</v>
      </c>
      <c r="AB2" t="s">
        <v>1773</v>
      </c>
      <c r="AC2" t="s">
        <v>1774</v>
      </c>
      <c r="AD2" t="s">
        <v>1775</v>
      </c>
      <c r="AE2" t="s">
        <v>1776</v>
      </c>
      <c r="AF2" t="s">
        <v>1777</v>
      </c>
      <c r="AG2" t="s">
        <v>1778</v>
      </c>
      <c r="AH2" t="s">
        <v>1779</v>
      </c>
      <c r="AI2" t="s">
        <v>1780</v>
      </c>
      <c r="AJ2" t="s">
        <v>1781</v>
      </c>
      <c r="AK2" t="s">
        <v>1782</v>
      </c>
      <c r="AL2" t="s">
        <v>1783</v>
      </c>
      <c r="AM2" t="s">
        <v>1784</v>
      </c>
      <c r="AN2" t="s">
        <v>1785</v>
      </c>
      <c r="AO2" t="s">
        <v>1786</v>
      </c>
      <c r="AP2" t="s">
        <v>1787</v>
      </c>
      <c r="AQ2" t="s">
        <v>1788</v>
      </c>
      <c r="AR2" t="s">
        <v>1789</v>
      </c>
      <c r="AS2" t="s">
        <v>1790</v>
      </c>
      <c r="AT2" t="s">
        <v>1791</v>
      </c>
      <c r="AU2" t="s">
        <v>1792</v>
      </c>
      <c r="AV2" t="s">
        <v>1793</v>
      </c>
      <c r="AW2" t="s">
        <v>1794</v>
      </c>
      <c r="AX2" t="s">
        <v>1795</v>
      </c>
      <c r="AY2" t="s">
        <v>1796</v>
      </c>
      <c r="AZ2" t="s">
        <v>1797</v>
      </c>
      <c r="BA2" t="s">
        <v>1798</v>
      </c>
      <c r="BB2" t="s">
        <v>1799</v>
      </c>
      <c r="BC2" t="s">
        <v>1800</v>
      </c>
      <c r="BD2" t="s">
        <v>1801</v>
      </c>
      <c r="BE2" t="s">
        <v>1802</v>
      </c>
      <c r="BF2" t="s">
        <v>1803</v>
      </c>
      <c r="BG2" t="s">
        <v>1804</v>
      </c>
      <c r="BH2" t="s">
        <v>1805</v>
      </c>
      <c r="BI2" t="s">
        <v>1806</v>
      </c>
      <c r="BJ2" t="s">
        <v>1807</v>
      </c>
      <c r="BK2" t="s">
        <v>1808</v>
      </c>
      <c r="BL2" t="s">
        <v>1809</v>
      </c>
      <c r="BM2" t="s">
        <v>1810</v>
      </c>
      <c r="BN2" t="s">
        <v>1811</v>
      </c>
      <c r="BO2" t="s">
        <v>1812</v>
      </c>
      <c r="BP2" t="s">
        <v>1813</v>
      </c>
      <c r="BQ2" t="s">
        <v>1814</v>
      </c>
      <c r="BR2" t="s">
        <v>1815</v>
      </c>
      <c r="BS2" t="s">
        <v>1816</v>
      </c>
      <c r="BT2" t="s">
        <v>1817</v>
      </c>
      <c r="BU2" t="s">
        <v>1818</v>
      </c>
      <c r="BV2" t="s">
        <v>1819</v>
      </c>
      <c r="BW2" t="s">
        <v>1820</v>
      </c>
      <c r="BX2" t="s">
        <v>1821</v>
      </c>
      <c r="BY2" t="s">
        <v>1822</v>
      </c>
      <c r="BZ2" t="s">
        <v>1823</v>
      </c>
      <c r="CA2" t="s">
        <v>1824</v>
      </c>
      <c r="CB2" t="s">
        <v>1825</v>
      </c>
      <c r="CC2" t="s">
        <v>1826</v>
      </c>
      <c r="CD2" t="s">
        <v>1827</v>
      </c>
      <c r="CE2" t="s">
        <v>1828</v>
      </c>
      <c r="CF2" t="s">
        <v>1829</v>
      </c>
      <c r="CG2" t="s">
        <v>1830</v>
      </c>
    </row>
    <row r="3" spans="1:85" x14ac:dyDescent="0.3">
      <c r="A3">
        <v>1</v>
      </c>
      <c r="B3" t="s">
        <v>0</v>
      </c>
      <c r="C3" t="s">
        <v>1</v>
      </c>
      <c r="D3" t="s">
        <v>2</v>
      </c>
      <c r="E3" s="2">
        <v>7599000</v>
      </c>
      <c r="F3" s="2">
        <v>999999999999999</v>
      </c>
      <c r="G3" s="2" t="s">
        <v>3</v>
      </c>
      <c r="H3" s="2">
        <v>7599000</v>
      </c>
      <c r="I3" s="2">
        <v>0</v>
      </c>
      <c r="J3" s="2">
        <v>87440.55</v>
      </c>
      <c r="K3" s="2">
        <v>0</v>
      </c>
      <c r="L3" s="2">
        <v>7686440.5499999998</v>
      </c>
      <c r="M3" s="2">
        <v>7686440.5499999998</v>
      </c>
      <c r="N3" t="s">
        <v>4</v>
      </c>
      <c r="O3" t="s">
        <v>5</v>
      </c>
      <c r="P3" t="s">
        <v>5</v>
      </c>
      <c r="Q3">
        <v>3</v>
      </c>
      <c r="R3">
        <v>999999999999999</v>
      </c>
      <c r="S3" t="s">
        <v>1831</v>
      </c>
      <c r="T3" t="s">
        <v>1832</v>
      </c>
      <c r="U3" t="s">
        <v>1833</v>
      </c>
      <c r="V3" t="s">
        <v>1833</v>
      </c>
      <c r="W3" t="s">
        <v>26</v>
      </c>
      <c r="X3" t="s">
        <v>1833</v>
      </c>
      <c r="Y3" t="s">
        <v>6</v>
      </c>
      <c r="Z3" t="s">
        <v>7</v>
      </c>
      <c r="AA3" t="s">
        <v>8</v>
      </c>
      <c r="AB3" t="s">
        <v>9</v>
      </c>
      <c r="AC3">
        <v>999999999999999</v>
      </c>
      <c r="AD3">
        <v>999999999999999</v>
      </c>
      <c r="AE3" t="s">
        <v>1834</v>
      </c>
      <c r="AF3" t="s">
        <v>1834</v>
      </c>
      <c r="AG3">
        <v>999999999999999</v>
      </c>
      <c r="AH3" t="s">
        <v>10</v>
      </c>
      <c r="AI3">
        <v>999999999999999</v>
      </c>
      <c r="AJ3">
        <v>999999999999999</v>
      </c>
      <c r="AK3" t="s">
        <v>5</v>
      </c>
      <c r="AL3" t="s">
        <v>5</v>
      </c>
      <c r="AM3" t="s">
        <v>5</v>
      </c>
      <c r="AN3" t="s">
        <v>11</v>
      </c>
      <c r="AO3">
        <v>1000</v>
      </c>
      <c r="AP3">
        <v>1000</v>
      </c>
      <c r="AQ3">
        <v>7599</v>
      </c>
      <c r="AR3">
        <v>0</v>
      </c>
      <c r="AS3">
        <v>11.5069</v>
      </c>
      <c r="AT3">
        <v>0</v>
      </c>
      <c r="AU3">
        <v>999999999999999</v>
      </c>
      <c r="AV3">
        <v>999999999999999</v>
      </c>
      <c r="AW3">
        <v>999999999999999</v>
      </c>
      <c r="AX3" t="s">
        <v>5</v>
      </c>
      <c r="AY3">
        <v>-9999.9999999989996</v>
      </c>
      <c r="AZ3" t="s">
        <v>12</v>
      </c>
      <c r="BA3" t="s">
        <v>13</v>
      </c>
      <c r="BB3" t="s">
        <v>5</v>
      </c>
      <c r="BC3" t="s">
        <v>14</v>
      </c>
      <c r="BD3" t="s">
        <v>15</v>
      </c>
      <c r="BE3" t="s">
        <v>5</v>
      </c>
      <c r="BF3" t="s">
        <v>5</v>
      </c>
      <c r="BG3" t="s">
        <v>12</v>
      </c>
      <c r="BH3" t="s">
        <v>13</v>
      </c>
      <c r="BI3" t="s">
        <v>12</v>
      </c>
      <c r="BJ3" t="s">
        <v>13</v>
      </c>
      <c r="BK3" t="s">
        <v>5</v>
      </c>
      <c r="BL3" t="s">
        <v>5</v>
      </c>
      <c r="BM3" t="s">
        <v>5</v>
      </c>
      <c r="BN3" t="s">
        <v>5</v>
      </c>
      <c r="BO3" t="s">
        <v>16</v>
      </c>
      <c r="BP3">
        <v>7599000</v>
      </c>
      <c r="BQ3" t="s">
        <v>16</v>
      </c>
      <c r="BR3">
        <v>7599000</v>
      </c>
      <c r="BS3">
        <v>0</v>
      </c>
      <c r="BT3" t="s">
        <v>5</v>
      </c>
      <c r="BU3" t="s">
        <v>5</v>
      </c>
      <c r="BV3" t="s">
        <v>5</v>
      </c>
      <c r="BW3" t="s">
        <v>1834</v>
      </c>
      <c r="BX3">
        <v>7686440.5499999998</v>
      </c>
      <c r="BY3" t="s">
        <v>17</v>
      </c>
      <c r="BZ3">
        <v>999999999999999</v>
      </c>
      <c r="CA3" t="s">
        <v>5</v>
      </c>
      <c r="CB3" t="s">
        <v>1834</v>
      </c>
      <c r="CC3" t="s">
        <v>1835</v>
      </c>
      <c r="CD3" t="s">
        <v>1836</v>
      </c>
      <c r="CE3" s="8">
        <v>46027.476904953706</v>
      </c>
      <c r="CF3" t="s">
        <v>1837</v>
      </c>
      <c r="CG3">
        <v>1</v>
      </c>
    </row>
    <row r="4" spans="1:85" x14ac:dyDescent="0.3">
      <c r="A4">
        <v>2</v>
      </c>
      <c r="B4" t="s">
        <v>18</v>
      </c>
      <c r="C4" t="s">
        <v>19</v>
      </c>
      <c r="D4" t="s">
        <v>2</v>
      </c>
      <c r="E4" s="2">
        <v>600000000</v>
      </c>
      <c r="F4" s="2">
        <v>999999999999999</v>
      </c>
      <c r="G4" s="2" t="s">
        <v>3</v>
      </c>
      <c r="H4" s="2">
        <v>600000000</v>
      </c>
      <c r="I4" s="2">
        <v>0</v>
      </c>
      <c r="J4" s="2">
        <v>9158104.1099999994</v>
      </c>
      <c r="K4" s="2">
        <v>0</v>
      </c>
      <c r="L4" s="2">
        <v>609158104.11000001</v>
      </c>
      <c r="M4" s="2">
        <v>609158104.11000001</v>
      </c>
      <c r="N4" t="s">
        <v>4</v>
      </c>
      <c r="O4" t="s">
        <v>5</v>
      </c>
      <c r="P4" t="s">
        <v>5</v>
      </c>
      <c r="Q4">
        <v>8</v>
      </c>
      <c r="R4">
        <v>999999999999999</v>
      </c>
      <c r="S4" t="s">
        <v>1838</v>
      </c>
      <c r="T4" t="s">
        <v>1839</v>
      </c>
      <c r="U4" t="s">
        <v>1840</v>
      </c>
      <c r="V4" t="s">
        <v>1841</v>
      </c>
      <c r="W4" t="s">
        <v>26</v>
      </c>
      <c r="X4" t="s">
        <v>1841</v>
      </c>
      <c r="Y4" t="s">
        <v>6</v>
      </c>
      <c r="Z4" t="s">
        <v>7</v>
      </c>
      <c r="AA4" t="s">
        <v>8</v>
      </c>
      <c r="AB4" t="s">
        <v>9</v>
      </c>
      <c r="AC4">
        <v>999999999999999</v>
      </c>
      <c r="AD4">
        <v>999999999999999</v>
      </c>
      <c r="AE4" t="s">
        <v>1834</v>
      </c>
      <c r="AF4" t="s">
        <v>1834</v>
      </c>
      <c r="AG4">
        <v>999999999999999</v>
      </c>
      <c r="AH4" t="s">
        <v>10</v>
      </c>
      <c r="AI4">
        <v>999999999999999</v>
      </c>
      <c r="AJ4">
        <v>999999999999999</v>
      </c>
      <c r="AK4" t="s">
        <v>5</v>
      </c>
      <c r="AL4" t="s">
        <v>5</v>
      </c>
      <c r="AM4" t="s">
        <v>5</v>
      </c>
      <c r="AN4" t="s">
        <v>11</v>
      </c>
      <c r="AO4">
        <v>100000</v>
      </c>
      <c r="AP4">
        <v>100000</v>
      </c>
      <c r="AQ4">
        <v>6000</v>
      </c>
      <c r="AR4">
        <v>0</v>
      </c>
      <c r="AS4">
        <v>1526.3507</v>
      </c>
      <c r="AT4">
        <v>0</v>
      </c>
      <c r="AU4">
        <v>999999999999999</v>
      </c>
      <c r="AV4">
        <v>999999999999999</v>
      </c>
      <c r="AW4">
        <v>999999999999999</v>
      </c>
      <c r="AX4" t="s">
        <v>5</v>
      </c>
      <c r="AY4">
        <v>-9999.9999999989996</v>
      </c>
      <c r="AZ4" t="s">
        <v>12</v>
      </c>
      <c r="BA4" t="s">
        <v>13</v>
      </c>
      <c r="BB4" t="s">
        <v>5</v>
      </c>
      <c r="BC4" t="s">
        <v>14</v>
      </c>
      <c r="BD4" t="s">
        <v>15</v>
      </c>
      <c r="BE4" t="s">
        <v>5</v>
      </c>
      <c r="BF4" t="s">
        <v>5</v>
      </c>
      <c r="BG4" t="s">
        <v>12</v>
      </c>
      <c r="BH4" t="s">
        <v>13</v>
      </c>
      <c r="BI4" t="s">
        <v>12</v>
      </c>
      <c r="BJ4" t="s">
        <v>13</v>
      </c>
      <c r="BK4" t="s">
        <v>5</v>
      </c>
      <c r="BL4" t="s">
        <v>5</v>
      </c>
      <c r="BM4" t="s">
        <v>5</v>
      </c>
      <c r="BN4" t="s">
        <v>5</v>
      </c>
      <c r="BO4" t="s">
        <v>20</v>
      </c>
      <c r="BP4">
        <v>0</v>
      </c>
      <c r="BQ4" t="s">
        <v>20</v>
      </c>
      <c r="BR4">
        <v>0</v>
      </c>
      <c r="BS4">
        <v>0</v>
      </c>
      <c r="BT4" t="s">
        <v>5</v>
      </c>
      <c r="BU4" t="s">
        <v>5</v>
      </c>
      <c r="BV4" t="s">
        <v>5</v>
      </c>
      <c r="BW4" t="s">
        <v>1834</v>
      </c>
      <c r="BX4">
        <v>609158104.11000001</v>
      </c>
      <c r="BY4" t="s">
        <v>17</v>
      </c>
      <c r="BZ4">
        <v>999999999999999</v>
      </c>
      <c r="CA4" t="s">
        <v>5</v>
      </c>
      <c r="CB4" t="s">
        <v>1834</v>
      </c>
      <c r="CC4" t="s">
        <v>1835</v>
      </c>
      <c r="CD4" t="s">
        <v>1836</v>
      </c>
      <c r="CE4" s="8">
        <v>46027.476904953706</v>
      </c>
      <c r="CF4" t="s">
        <v>1837</v>
      </c>
      <c r="CG4">
        <v>1</v>
      </c>
    </row>
    <row r="5" spans="1:85" x14ac:dyDescent="0.3">
      <c r="A5">
        <v>3</v>
      </c>
      <c r="B5" t="s">
        <v>21</v>
      </c>
      <c r="C5" t="s">
        <v>22</v>
      </c>
      <c r="D5" t="s">
        <v>2</v>
      </c>
      <c r="E5" s="2">
        <v>200000000</v>
      </c>
      <c r="F5" s="2">
        <v>999999999999999</v>
      </c>
      <c r="G5" s="2" t="s">
        <v>3</v>
      </c>
      <c r="H5" s="2">
        <v>200000000</v>
      </c>
      <c r="I5" s="2">
        <v>0</v>
      </c>
      <c r="J5" s="2">
        <v>4520273.97</v>
      </c>
      <c r="K5" s="2">
        <v>0</v>
      </c>
      <c r="L5" s="2">
        <v>204520273.97</v>
      </c>
      <c r="M5" s="2">
        <v>204520273.97</v>
      </c>
      <c r="N5" t="s">
        <v>4</v>
      </c>
      <c r="O5" t="s">
        <v>5</v>
      </c>
      <c r="P5" t="s">
        <v>5</v>
      </c>
      <c r="Q5">
        <v>3</v>
      </c>
      <c r="R5">
        <v>999999999999999</v>
      </c>
      <c r="S5" t="s">
        <v>1831</v>
      </c>
      <c r="T5" t="s">
        <v>1842</v>
      </c>
      <c r="U5" t="s">
        <v>1843</v>
      </c>
      <c r="V5" t="s">
        <v>1844</v>
      </c>
      <c r="W5" t="s">
        <v>26</v>
      </c>
      <c r="X5" t="s">
        <v>1844</v>
      </c>
      <c r="Y5" t="s">
        <v>6</v>
      </c>
      <c r="Z5" t="s">
        <v>7</v>
      </c>
      <c r="AA5" t="s">
        <v>8</v>
      </c>
      <c r="AB5" t="s">
        <v>9</v>
      </c>
      <c r="AC5">
        <v>999999999999999</v>
      </c>
      <c r="AD5">
        <v>999999999999999</v>
      </c>
      <c r="AE5" t="s">
        <v>1834</v>
      </c>
      <c r="AF5" t="s">
        <v>1834</v>
      </c>
      <c r="AG5">
        <v>999999999999999</v>
      </c>
      <c r="AH5" t="s">
        <v>10</v>
      </c>
      <c r="AI5">
        <v>999999999999999</v>
      </c>
      <c r="AJ5">
        <v>999999999999999</v>
      </c>
      <c r="AK5" t="s">
        <v>5</v>
      </c>
      <c r="AL5" t="s">
        <v>5</v>
      </c>
      <c r="AM5" t="s">
        <v>5</v>
      </c>
      <c r="AN5" t="s">
        <v>11</v>
      </c>
      <c r="AO5">
        <v>100000</v>
      </c>
      <c r="AP5">
        <v>100000</v>
      </c>
      <c r="AQ5">
        <v>2000</v>
      </c>
      <c r="AR5">
        <v>0</v>
      </c>
      <c r="AS5">
        <v>2260.1370000000002</v>
      </c>
      <c r="AT5">
        <v>0</v>
      </c>
      <c r="AU5">
        <v>999999999999999</v>
      </c>
      <c r="AV5">
        <v>999999999999999</v>
      </c>
      <c r="AW5">
        <v>999999999999999</v>
      </c>
      <c r="AX5" t="s">
        <v>5</v>
      </c>
      <c r="AY5">
        <v>-9999.9999999989996</v>
      </c>
      <c r="AZ5" t="s">
        <v>12</v>
      </c>
      <c r="BA5" t="s">
        <v>13</v>
      </c>
      <c r="BB5" t="s">
        <v>5</v>
      </c>
      <c r="BC5" t="s">
        <v>14</v>
      </c>
      <c r="BD5" t="s">
        <v>15</v>
      </c>
      <c r="BE5" t="s">
        <v>5</v>
      </c>
      <c r="BF5" t="s">
        <v>5</v>
      </c>
      <c r="BG5" t="s">
        <v>12</v>
      </c>
      <c r="BH5" t="s">
        <v>13</v>
      </c>
      <c r="BI5" t="s">
        <v>12</v>
      </c>
      <c r="BJ5" t="s">
        <v>13</v>
      </c>
      <c r="BK5" t="s">
        <v>5</v>
      </c>
      <c r="BL5" t="s">
        <v>5</v>
      </c>
      <c r="BM5" t="s">
        <v>5</v>
      </c>
      <c r="BN5" t="s">
        <v>5</v>
      </c>
      <c r="BO5" t="s">
        <v>16</v>
      </c>
      <c r="BP5">
        <v>200000000</v>
      </c>
      <c r="BQ5" t="s">
        <v>16</v>
      </c>
      <c r="BR5">
        <v>200000000</v>
      </c>
      <c r="BS5">
        <v>0</v>
      </c>
      <c r="BT5" t="s">
        <v>5</v>
      </c>
      <c r="BU5" t="s">
        <v>5</v>
      </c>
      <c r="BV5" t="s">
        <v>5</v>
      </c>
      <c r="BW5" t="s">
        <v>1834</v>
      </c>
      <c r="BX5">
        <v>204520273.97</v>
      </c>
      <c r="BY5" t="s">
        <v>17</v>
      </c>
      <c r="BZ5">
        <v>999999999999999</v>
      </c>
      <c r="CA5" t="s">
        <v>5</v>
      </c>
      <c r="CB5" t="s">
        <v>1834</v>
      </c>
      <c r="CC5" t="s">
        <v>1835</v>
      </c>
      <c r="CD5" t="s">
        <v>1836</v>
      </c>
      <c r="CE5" s="8">
        <v>46027.476904953706</v>
      </c>
      <c r="CF5" t="s">
        <v>1837</v>
      </c>
      <c r="CG5">
        <v>1</v>
      </c>
    </row>
    <row r="6" spans="1:85" x14ac:dyDescent="0.3">
      <c r="A6">
        <v>4</v>
      </c>
      <c r="B6" t="s">
        <v>23</v>
      </c>
      <c r="C6" t="s">
        <v>24</v>
      </c>
      <c r="D6" t="s">
        <v>2</v>
      </c>
      <c r="E6" s="2">
        <v>300000000</v>
      </c>
      <c r="F6" s="2">
        <v>999999999999999</v>
      </c>
      <c r="G6" s="2" t="s">
        <v>3</v>
      </c>
      <c r="H6" s="2">
        <v>300000000</v>
      </c>
      <c r="I6" s="2">
        <v>0</v>
      </c>
      <c r="J6" s="2">
        <v>0</v>
      </c>
      <c r="K6" s="2">
        <v>0</v>
      </c>
      <c r="L6" s="2">
        <v>300000000</v>
      </c>
      <c r="M6" s="2">
        <v>300000000</v>
      </c>
      <c r="N6" t="s">
        <v>25</v>
      </c>
      <c r="O6" t="s">
        <v>5</v>
      </c>
      <c r="P6" t="s">
        <v>5</v>
      </c>
      <c r="Q6">
        <v>2</v>
      </c>
      <c r="R6">
        <v>999999999999999</v>
      </c>
      <c r="S6" t="s">
        <v>1845</v>
      </c>
      <c r="T6" t="s">
        <v>1846</v>
      </c>
      <c r="U6" t="s">
        <v>26</v>
      </c>
      <c r="V6" t="s">
        <v>1847</v>
      </c>
      <c r="W6" t="s">
        <v>26</v>
      </c>
      <c r="X6" t="s">
        <v>1847</v>
      </c>
      <c r="Y6" t="s">
        <v>6</v>
      </c>
      <c r="Z6" t="s">
        <v>7</v>
      </c>
      <c r="AA6" t="s">
        <v>8</v>
      </c>
      <c r="AB6" t="s">
        <v>9</v>
      </c>
      <c r="AC6">
        <v>999999999999999</v>
      </c>
      <c r="AD6">
        <v>999999999999999</v>
      </c>
      <c r="AE6" t="s">
        <v>1834</v>
      </c>
      <c r="AF6" t="s">
        <v>1834</v>
      </c>
      <c r="AG6">
        <v>999999999999999</v>
      </c>
      <c r="AH6" t="s">
        <v>10</v>
      </c>
      <c r="AI6">
        <v>999999999999999</v>
      </c>
      <c r="AJ6">
        <v>999999999999999</v>
      </c>
      <c r="AK6" t="s">
        <v>5</v>
      </c>
      <c r="AL6" t="s">
        <v>5</v>
      </c>
      <c r="AM6" t="s">
        <v>5</v>
      </c>
      <c r="AN6" t="s">
        <v>11</v>
      </c>
      <c r="AO6">
        <v>100000</v>
      </c>
      <c r="AP6">
        <v>100000</v>
      </c>
      <c r="AQ6">
        <v>3000</v>
      </c>
      <c r="AR6">
        <v>0</v>
      </c>
      <c r="AS6">
        <v>0</v>
      </c>
      <c r="AT6">
        <v>0</v>
      </c>
      <c r="AU6">
        <v>999999999999999</v>
      </c>
      <c r="AV6">
        <v>999999999999999</v>
      </c>
      <c r="AW6">
        <v>999999999999999</v>
      </c>
      <c r="AX6" t="s">
        <v>5</v>
      </c>
      <c r="AY6">
        <v>-9999.9999999989996</v>
      </c>
      <c r="AZ6" t="s">
        <v>12</v>
      </c>
      <c r="BA6" t="s">
        <v>13</v>
      </c>
      <c r="BB6" t="s">
        <v>5</v>
      </c>
      <c r="BC6" t="s">
        <v>14</v>
      </c>
      <c r="BD6" t="s">
        <v>15</v>
      </c>
      <c r="BE6" t="s">
        <v>5</v>
      </c>
      <c r="BF6" t="s">
        <v>5</v>
      </c>
      <c r="BG6" t="s">
        <v>12</v>
      </c>
      <c r="BH6" t="s">
        <v>13</v>
      </c>
      <c r="BI6" t="s">
        <v>12</v>
      </c>
      <c r="BJ6" t="s">
        <v>13</v>
      </c>
      <c r="BK6" t="s">
        <v>5</v>
      </c>
      <c r="BL6" t="s">
        <v>5</v>
      </c>
      <c r="BM6" t="s">
        <v>5</v>
      </c>
      <c r="BN6" t="s">
        <v>5</v>
      </c>
      <c r="BO6" t="s">
        <v>27</v>
      </c>
      <c r="BP6">
        <v>300000000</v>
      </c>
      <c r="BQ6" t="s">
        <v>27</v>
      </c>
      <c r="BR6">
        <v>300000000</v>
      </c>
      <c r="BS6">
        <v>0</v>
      </c>
      <c r="BT6" t="s">
        <v>5</v>
      </c>
      <c r="BU6" t="s">
        <v>5</v>
      </c>
      <c r="BV6" t="s">
        <v>5</v>
      </c>
      <c r="BW6" t="s">
        <v>1834</v>
      </c>
      <c r="BX6">
        <v>300000000</v>
      </c>
      <c r="BY6" t="s">
        <v>28</v>
      </c>
      <c r="BZ6">
        <v>999999999999999</v>
      </c>
      <c r="CA6" t="s">
        <v>5</v>
      </c>
      <c r="CB6" t="s">
        <v>1834</v>
      </c>
      <c r="CC6" t="s">
        <v>1835</v>
      </c>
      <c r="CD6" t="s">
        <v>1836</v>
      </c>
      <c r="CE6" s="8">
        <v>46027.476904953706</v>
      </c>
      <c r="CF6" t="s">
        <v>1837</v>
      </c>
      <c r="CG6">
        <v>1</v>
      </c>
    </row>
    <row r="7" spans="1:85" x14ac:dyDescent="0.3">
      <c r="A7">
        <v>5</v>
      </c>
      <c r="B7" t="s">
        <v>29</v>
      </c>
      <c r="C7" t="s">
        <v>30</v>
      </c>
      <c r="D7" t="s">
        <v>2</v>
      </c>
      <c r="E7" s="2">
        <v>500000000</v>
      </c>
      <c r="F7" s="2">
        <v>999999999999999</v>
      </c>
      <c r="G7" s="2" t="s">
        <v>3</v>
      </c>
      <c r="H7" s="2">
        <v>500000000</v>
      </c>
      <c r="I7" s="2">
        <v>0</v>
      </c>
      <c r="J7" s="2">
        <v>6901534.25</v>
      </c>
      <c r="K7" s="2">
        <v>0</v>
      </c>
      <c r="L7" s="2">
        <v>506901534.25</v>
      </c>
      <c r="M7" s="2">
        <v>506901534.25</v>
      </c>
      <c r="N7" t="s">
        <v>4</v>
      </c>
      <c r="O7" t="s">
        <v>5</v>
      </c>
      <c r="P7" t="s">
        <v>5</v>
      </c>
      <c r="Q7">
        <v>8</v>
      </c>
      <c r="R7">
        <v>999999999999999</v>
      </c>
      <c r="S7" t="s">
        <v>1838</v>
      </c>
      <c r="T7" t="s">
        <v>1848</v>
      </c>
      <c r="U7" t="s">
        <v>1849</v>
      </c>
      <c r="V7" t="s">
        <v>1850</v>
      </c>
      <c r="W7" t="s">
        <v>26</v>
      </c>
      <c r="X7" t="s">
        <v>1850</v>
      </c>
      <c r="Y7" t="s">
        <v>6</v>
      </c>
      <c r="Z7" t="s">
        <v>7</v>
      </c>
      <c r="AA7" t="s">
        <v>8</v>
      </c>
      <c r="AB7" t="s">
        <v>9</v>
      </c>
      <c r="AC7">
        <v>999999999999999</v>
      </c>
      <c r="AD7">
        <v>999999999999999</v>
      </c>
      <c r="AE7" t="s">
        <v>1834</v>
      </c>
      <c r="AF7" t="s">
        <v>1834</v>
      </c>
      <c r="AG7">
        <v>999999999999999</v>
      </c>
      <c r="AH7" t="s">
        <v>10</v>
      </c>
      <c r="AI7">
        <v>999999999999999</v>
      </c>
      <c r="AJ7">
        <v>999999999999999</v>
      </c>
      <c r="AK7" t="s">
        <v>5</v>
      </c>
      <c r="AL7" t="s">
        <v>5</v>
      </c>
      <c r="AM7" t="s">
        <v>5</v>
      </c>
      <c r="AN7" t="s">
        <v>11</v>
      </c>
      <c r="AO7">
        <v>100000</v>
      </c>
      <c r="AP7">
        <v>100000</v>
      </c>
      <c r="AQ7">
        <v>5000</v>
      </c>
      <c r="AR7">
        <v>0</v>
      </c>
      <c r="AS7">
        <v>1380.3069</v>
      </c>
      <c r="AT7">
        <v>0</v>
      </c>
      <c r="AU7">
        <v>999999999999999</v>
      </c>
      <c r="AV7">
        <v>999999999999999</v>
      </c>
      <c r="AW7">
        <v>999999999999999</v>
      </c>
      <c r="AX7" t="s">
        <v>5</v>
      </c>
      <c r="AY7">
        <v>-9999.9999999989996</v>
      </c>
      <c r="AZ7" t="s">
        <v>12</v>
      </c>
      <c r="BA7" t="s">
        <v>13</v>
      </c>
      <c r="BB7" t="s">
        <v>5</v>
      </c>
      <c r="BC7" t="s">
        <v>14</v>
      </c>
      <c r="BD7" t="s">
        <v>15</v>
      </c>
      <c r="BE7" t="s">
        <v>5</v>
      </c>
      <c r="BF7" t="s">
        <v>5</v>
      </c>
      <c r="BG7" t="s">
        <v>12</v>
      </c>
      <c r="BH7" t="s">
        <v>13</v>
      </c>
      <c r="BI7" t="s">
        <v>12</v>
      </c>
      <c r="BJ7" t="s">
        <v>13</v>
      </c>
      <c r="BK7" t="s">
        <v>5</v>
      </c>
      <c r="BL7" t="s">
        <v>5</v>
      </c>
      <c r="BM7" t="s">
        <v>5</v>
      </c>
      <c r="BN7" t="s">
        <v>5</v>
      </c>
      <c r="BO7" t="s">
        <v>20</v>
      </c>
      <c r="BP7">
        <v>0</v>
      </c>
      <c r="BQ7" t="s">
        <v>20</v>
      </c>
      <c r="BR7">
        <v>0</v>
      </c>
      <c r="BS7">
        <v>0</v>
      </c>
      <c r="BT7" t="s">
        <v>5</v>
      </c>
      <c r="BU7" t="s">
        <v>5</v>
      </c>
      <c r="BV7" t="s">
        <v>5</v>
      </c>
      <c r="BW7" t="s">
        <v>1834</v>
      </c>
      <c r="BX7">
        <v>506901534.25</v>
      </c>
      <c r="BY7" t="s">
        <v>17</v>
      </c>
      <c r="BZ7">
        <v>999999999999999</v>
      </c>
      <c r="CA7" t="s">
        <v>5</v>
      </c>
      <c r="CB7" t="s">
        <v>1834</v>
      </c>
      <c r="CC7" t="s">
        <v>1835</v>
      </c>
      <c r="CD7" t="s">
        <v>1836</v>
      </c>
      <c r="CE7" s="8">
        <v>46027.476904953706</v>
      </c>
      <c r="CF7" t="s">
        <v>1837</v>
      </c>
      <c r="CG7">
        <v>1</v>
      </c>
    </row>
    <row r="8" spans="1:85" x14ac:dyDescent="0.3">
      <c r="A8">
        <v>6</v>
      </c>
      <c r="B8" t="s">
        <v>31</v>
      </c>
      <c r="C8" t="s">
        <v>32</v>
      </c>
      <c r="D8" t="s">
        <v>2</v>
      </c>
      <c r="E8" s="2">
        <v>500000000</v>
      </c>
      <c r="F8" s="2">
        <v>999999999999999</v>
      </c>
      <c r="G8" s="2" t="s">
        <v>3</v>
      </c>
      <c r="H8" s="2">
        <v>500000000</v>
      </c>
      <c r="I8" s="2">
        <v>0</v>
      </c>
      <c r="J8" s="2">
        <v>0</v>
      </c>
      <c r="K8" s="2">
        <v>0</v>
      </c>
      <c r="L8" s="2">
        <v>500000000</v>
      </c>
      <c r="M8" s="2">
        <v>500000000</v>
      </c>
      <c r="N8" t="s">
        <v>25</v>
      </c>
      <c r="O8" t="s">
        <v>5</v>
      </c>
      <c r="P8" t="s">
        <v>5</v>
      </c>
      <c r="Q8">
        <v>2</v>
      </c>
      <c r="R8">
        <v>999999999999999</v>
      </c>
      <c r="S8" t="s">
        <v>1845</v>
      </c>
      <c r="T8" t="s">
        <v>1851</v>
      </c>
      <c r="U8" t="s">
        <v>26</v>
      </c>
      <c r="V8" t="s">
        <v>1847</v>
      </c>
      <c r="W8" t="s">
        <v>26</v>
      </c>
      <c r="X8" t="s">
        <v>1847</v>
      </c>
      <c r="Y8" t="s">
        <v>6</v>
      </c>
      <c r="Z8" t="s">
        <v>7</v>
      </c>
      <c r="AA8" t="s">
        <v>8</v>
      </c>
      <c r="AB8" t="s">
        <v>9</v>
      </c>
      <c r="AC8">
        <v>999999999999999</v>
      </c>
      <c r="AD8">
        <v>999999999999999</v>
      </c>
      <c r="AE8" t="s">
        <v>1834</v>
      </c>
      <c r="AF8" t="s">
        <v>1834</v>
      </c>
      <c r="AG8">
        <v>999999999999999</v>
      </c>
      <c r="AH8" t="s">
        <v>10</v>
      </c>
      <c r="AI8">
        <v>999999999999999</v>
      </c>
      <c r="AJ8">
        <v>999999999999999</v>
      </c>
      <c r="AK8" t="s">
        <v>5</v>
      </c>
      <c r="AL8" t="s">
        <v>5</v>
      </c>
      <c r="AM8" t="s">
        <v>5</v>
      </c>
      <c r="AN8" t="s">
        <v>11</v>
      </c>
      <c r="AO8">
        <v>100000</v>
      </c>
      <c r="AP8">
        <v>100000</v>
      </c>
      <c r="AQ8">
        <v>5000</v>
      </c>
      <c r="AR8">
        <v>0</v>
      </c>
      <c r="AS8">
        <v>0</v>
      </c>
      <c r="AT8">
        <v>0</v>
      </c>
      <c r="AU8">
        <v>999999999999999</v>
      </c>
      <c r="AV8">
        <v>999999999999999</v>
      </c>
      <c r="AW8">
        <v>999999999999999</v>
      </c>
      <c r="AX8" t="s">
        <v>5</v>
      </c>
      <c r="AY8">
        <v>-9999.9999999989996</v>
      </c>
      <c r="AZ8" t="s">
        <v>12</v>
      </c>
      <c r="BA8" t="s">
        <v>13</v>
      </c>
      <c r="BB8" t="s">
        <v>5</v>
      </c>
      <c r="BC8" t="s">
        <v>14</v>
      </c>
      <c r="BD8" t="s">
        <v>15</v>
      </c>
      <c r="BE8" t="s">
        <v>5</v>
      </c>
      <c r="BF8" t="s">
        <v>5</v>
      </c>
      <c r="BG8" t="s">
        <v>12</v>
      </c>
      <c r="BH8" t="s">
        <v>13</v>
      </c>
      <c r="BI8" t="s">
        <v>12</v>
      </c>
      <c r="BJ8" t="s">
        <v>13</v>
      </c>
      <c r="BK8" t="s">
        <v>5</v>
      </c>
      <c r="BL8" t="s">
        <v>5</v>
      </c>
      <c r="BM8" t="s">
        <v>5</v>
      </c>
      <c r="BN8" t="s">
        <v>5</v>
      </c>
      <c r="BO8" t="s">
        <v>27</v>
      </c>
      <c r="BP8">
        <v>500000000</v>
      </c>
      <c r="BQ8" t="s">
        <v>27</v>
      </c>
      <c r="BR8">
        <v>500000000</v>
      </c>
      <c r="BS8">
        <v>0</v>
      </c>
      <c r="BT8" t="s">
        <v>5</v>
      </c>
      <c r="BU8" t="s">
        <v>5</v>
      </c>
      <c r="BV8" t="s">
        <v>5</v>
      </c>
      <c r="BW8" t="s">
        <v>1834</v>
      </c>
      <c r="BX8">
        <v>500000000</v>
      </c>
      <c r="BY8" t="s">
        <v>28</v>
      </c>
      <c r="BZ8">
        <v>999999999999999</v>
      </c>
      <c r="CA8" t="s">
        <v>5</v>
      </c>
      <c r="CB8" t="s">
        <v>1834</v>
      </c>
      <c r="CC8" t="s">
        <v>1835</v>
      </c>
      <c r="CD8" t="s">
        <v>1836</v>
      </c>
      <c r="CE8" s="8">
        <v>46027.476904953706</v>
      </c>
      <c r="CF8" t="s">
        <v>1837</v>
      </c>
      <c r="CG8">
        <v>1</v>
      </c>
    </row>
    <row r="9" spans="1:85" x14ac:dyDescent="0.3">
      <c r="A9">
        <v>7</v>
      </c>
      <c r="B9" t="s">
        <v>33</v>
      </c>
      <c r="C9" t="s">
        <v>34</v>
      </c>
      <c r="D9" t="s">
        <v>2</v>
      </c>
      <c r="E9" s="2">
        <v>1391779674</v>
      </c>
      <c r="F9" s="2">
        <v>999999999999999</v>
      </c>
      <c r="G9" s="2" t="s">
        <v>3</v>
      </c>
      <c r="H9" s="2">
        <v>1385452938</v>
      </c>
      <c r="I9" s="2">
        <v>6326736</v>
      </c>
      <c r="J9" s="2">
        <v>0</v>
      </c>
      <c r="K9" s="2">
        <v>0</v>
      </c>
      <c r="L9" s="2">
        <v>1385452938</v>
      </c>
      <c r="M9" s="2">
        <v>1385452938</v>
      </c>
      <c r="N9" t="s">
        <v>25</v>
      </c>
      <c r="O9" t="s">
        <v>5</v>
      </c>
      <c r="P9" t="s">
        <v>5</v>
      </c>
      <c r="Q9">
        <v>1</v>
      </c>
      <c r="R9">
        <v>999999999999999</v>
      </c>
      <c r="S9" t="s">
        <v>1852</v>
      </c>
      <c r="T9" t="s">
        <v>1853</v>
      </c>
      <c r="U9" t="s">
        <v>26</v>
      </c>
      <c r="V9" t="s">
        <v>1847</v>
      </c>
      <c r="W9" t="s">
        <v>26</v>
      </c>
      <c r="X9" t="s">
        <v>1847</v>
      </c>
      <c r="Y9" t="s">
        <v>6</v>
      </c>
      <c r="Z9" t="s">
        <v>7</v>
      </c>
      <c r="AA9" t="s">
        <v>8</v>
      </c>
      <c r="AB9" t="s">
        <v>9</v>
      </c>
      <c r="AC9">
        <v>999999999999999</v>
      </c>
      <c r="AD9">
        <v>999999999999999</v>
      </c>
      <c r="AE9" t="s">
        <v>1834</v>
      </c>
      <c r="AF9" t="s">
        <v>1834</v>
      </c>
      <c r="AG9">
        <v>999999999999999</v>
      </c>
      <c r="AH9" t="s">
        <v>10</v>
      </c>
      <c r="AI9">
        <v>999999999999999</v>
      </c>
      <c r="AJ9">
        <v>999999999999999</v>
      </c>
      <c r="AK9" t="s">
        <v>5</v>
      </c>
      <c r="AL9" t="s">
        <v>5</v>
      </c>
      <c r="AM9" t="s">
        <v>5</v>
      </c>
      <c r="AN9" t="s">
        <v>35</v>
      </c>
      <c r="AO9">
        <v>1</v>
      </c>
      <c r="AP9">
        <v>1</v>
      </c>
      <c r="AQ9">
        <v>1385452938</v>
      </c>
      <c r="AR9">
        <v>6326736</v>
      </c>
      <c r="AS9">
        <v>0</v>
      </c>
      <c r="AT9">
        <v>0</v>
      </c>
      <c r="AU9">
        <v>999999999999999</v>
      </c>
      <c r="AV9">
        <v>999999999999999</v>
      </c>
      <c r="AW9">
        <v>999999999999999</v>
      </c>
      <c r="AX9" t="s">
        <v>5</v>
      </c>
      <c r="AY9">
        <v>-9999.9999999989996</v>
      </c>
      <c r="AZ9" t="s">
        <v>12</v>
      </c>
      <c r="BA9" t="s">
        <v>13</v>
      </c>
      <c r="BB9" t="s">
        <v>5</v>
      </c>
      <c r="BC9" t="s">
        <v>14</v>
      </c>
      <c r="BD9" t="s">
        <v>15</v>
      </c>
      <c r="BE9" t="s">
        <v>5</v>
      </c>
      <c r="BF9" t="s">
        <v>5</v>
      </c>
      <c r="BG9" t="s">
        <v>12</v>
      </c>
      <c r="BH9" t="s">
        <v>13</v>
      </c>
      <c r="BI9" t="s">
        <v>12</v>
      </c>
      <c r="BJ9" t="s">
        <v>13</v>
      </c>
      <c r="BK9" t="s">
        <v>5</v>
      </c>
      <c r="BL9" t="s">
        <v>5</v>
      </c>
      <c r="BM9" t="s">
        <v>5</v>
      </c>
      <c r="BN9" t="s">
        <v>5</v>
      </c>
      <c r="BO9" t="s">
        <v>36</v>
      </c>
      <c r="BP9">
        <v>1256723284</v>
      </c>
      <c r="BQ9" t="s">
        <v>36</v>
      </c>
      <c r="BR9">
        <v>1256723284</v>
      </c>
      <c r="BS9">
        <v>0</v>
      </c>
      <c r="BT9" t="s">
        <v>5</v>
      </c>
      <c r="BU9" t="s">
        <v>5</v>
      </c>
      <c r="BV9" t="s">
        <v>5</v>
      </c>
      <c r="BW9" t="s">
        <v>1834</v>
      </c>
      <c r="BX9">
        <v>1372632707.5899999</v>
      </c>
      <c r="BY9" t="s">
        <v>28</v>
      </c>
      <c r="BZ9">
        <v>999999999999999</v>
      </c>
      <c r="CA9" t="s">
        <v>5</v>
      </c>
      <c r="CB9" t="s">
        <v>1834</v>
      </c>
      <c r="CC9" t="s">
        <v>1835</v>
      </c>
      <c r="CD9" t="s">
        <v>1836</v>
      </c>
      <c r="CE9" s="8">
        <v>46027.476904953706</v>
      </c>
      <c r="CF9" t="s">
        <v>1837</v>
      </c>
      <c r="CG9">
        <v>1</v>
      </c>
    </row>
    <row r="10" spans="1:85" x14ac:dyDescent="0.3">
      <c r="A10">
        <v>9</v>
      </c>
      <c r="B10" t="s">
        <v>37</v>
      </c>
      <c r="C10" t="s">
        <v>38</v>
      </c>
      <c r="D10" t="s">
        <v>2</v>
      </c>
      <c r="E10" s="2">
        <v>400000000</v>
      </c>
      <c r="F10" s="2">
        <v>999999999999999</v>
      </c>
      <c r="G10" s="2" t="s">
        <v>3</v>
      </c>
      <c r="H10" s="2">
        <v>400000000</v>
      </c>
      <c r="I10" s="2">
        <v>0</v>
      </c>
      <c r="J10" s="2">
        <v>0</v>
      </c>
      <c r="K10" s="2">
        <v>0</v>
      </c>
      <c r="L10" s="2">
        <v>400000000</v>
      </c>
      <c r="M10" s="2">
        <v>400000000</v>
      </c>
      <c r="N10" t="s">
        <v>25</v>
      </c>
      <c r="O10" t="s">
        <v>5</v>
      </c>
      <c r="P10" t="s">
        <v>5</v>
      </c>
      <c r="Q10">
        <v>2</v>
      </c>
      <c r="R10">
        <v>999999999999999</v>
      </c>
      <c r="S10" t="s">
        <v>1845</v>
      </c>
      <c r="T10" t="s">
        <v>1854</v>
      </c>
      <c r="U10" t="s">
        <v>26</v>
      </c>
      <c r="V10" t="s">
        <v>1847</v>
      </c>
      <c r="W10" t="s">
        <v>26</v>
      </c>
      <c r="X10" t="s">
        <v>1847</v>
      </c>
      <c r="Y10" t="s">
        <v>6</v>
      </c>
      <c r="Z10" t="s">
        <v>7</v>
      </c>
      <c r="AA10" t="s">
        <v>8</v>
      </c>
      <c r="AB10" t="s">
        <v>9</v>
      </c>
      <c r="AC10">
        <v>999999999999999</v>
      </c>
      <c r="AD10">
        <v>999999999999999</v>
      </c>
      <c r="AE10" t="s">
        <v>1834</v>
      </c>
      <c r="AF10" t="s">
        <v>1834</v>
      </c>
      <c r="AG10">
        <v>999999999999999</v>
      </c>
      <c r="AH10" t="s">
        <v>10</v>
      </c>
      <c r="AI10">
        <v>999999999999999</v>
      </c>
      <c r="AJ10">
        <v>999999999999999</v>
      </c>
      <c r="AK10" t="s">
        <v>5</v>
      </c>
      <c r="AL10" t="s">
        <v>5</v>
      </c>
      <c r="AM10" t="s">
        <v>5</v>
      </c>
      <c r="AN10" t="s">
        <v>11</v>
      </c>
      <c r="AO10">
        <v>100000</v>
      </c>
      <c r="AP10">
        <v>100000</v>
      </c>
      <c r="AQ10">
        <v>4000</v>
      </c>
      <c r="AR10">
        <v>0</v>
      </c>
      <c r="AS10">
        <v>0</v>
      </c>
      <c r="AT10">
        <v>0</v>
      </c>
      <c r="AU10">
        <v>999999999999999</v>
      </c>
      <c r="AV10">
        <v>999999999999999</v>
      </c>
      <c r="AW10">
        <v>999999999999999</v>
      </c>
      <c r="AX10" t="s">
        <v>5</v>
      </c>
      <c r="AY10">
        <v>-9999.9999999989996</v>
      </c>
      <c r="AZ10" t="s">
        <v>12</v>
      </c>
      <c r="BA10" t="s">
        <v>13</v>
      </c>
      <c r="BB10" t="s">
        <v>5</v>
      </c>
      <c r="BC10" t="s">
        <v>14</v>
      </c>
      <c r="BD10" t="s">
        <v>15</v>
      </c>
      <c r="BE10" t="s">
        <v>5</v>
      </c>
      <c r="BF10" t="s">
        <v>5</v>
      </c>
      <c r="BG10" t="s">
        <v>12</v>
      </c>
      <c r="BH10" t="s">
        <v>13</v>
      </c>
      <c r="BI10" t="s">
        <v>12</v>
      </c>
      <c r="BJ10" t="s">
        <v>13</v>
      </c>
      <c r="BK10" t="s">
        <v>5</v>
      </c>
      <c r="BL10" t="s">
        <v>5</v>
      </c>
      <c r="BM10" t="s">
        <v>5</v>
      </c>
      <c r="BN10" t="s">
        <v>5</v>
      </c>
      <c r="BO10" t="s">
        <v>27</v>
      </c>
      <c r="BP10">
        <v>400000000</v>
      </c>
      <c r="BQ10" t="s">
        <v>27</v>
      </c>
      <c r="BR10">
        <v>400000000</v>
      </c>
      <c r="BS10">
        <v>0</v>
      </c>
      <c r="BT10" t="s">
        <v>5</v>
      </c>
      <c r="BU10" t="s">
        <v>5</v>
      </c>
      <c r="BV10" t="s">
        <v>5</v>
      </c>
      <c r="BW10" t="s">
        <v>1834</v>
      </c>
      <c r="BX10">
        <v>400000000</v>
      </c>
      <c r="BY10" t="s">
        <v>28</v>
      </c>
      <c r="BZ10">
        <v>999999999999999</v>
      </c>
      <c r="CA10" t="s">
        <v>5</v>
      </c>
      <c r="CB10" t="s">
        <v>1834</v>
      </c>
      <c r="CC10" t="s">
        <v>1835</v>
      </c>
      <c r="CD10" t="s">
        <v>1836</v>
      </c>
      <c r="CE10" s="8">
        <v>46027.476904953706</v>
      </c>
      <c r="CF10" t="s">
        <v>1837</v>
      </c>
      <c r="CG10">
        <v>1</v>
      </c>
    </row>
    <row r="13" spans="1:85" x14ac:dyDescent="0.3">
      <c r="A13" t="s">
        <v>1746</v>
      </c>
      <c r="B13" t="s">
        <v>2086</v>
      </c>
      <c r="C13" t="str">
        <f>+"`"&amp;A13&amp;"`"</f>
        <v>`0010_row_nmbr`</v>
      </c>
      <c r="D13" t="s">
        <v>2087</v>
      </c>
      <c r="E13" t="str">
        <f>+B13&amp;C13&amp;D13&amp;" AS "&amp;C13&amp;", "</f>
        <v xml:space="preserve">CAST(`0010_row_nmbr`AS STRING)  AS `0010_row_nmbr`, </v>
      </c>
      <c r="F13" t="str">
        <f>+E13</f>
        <v xml:space="preserve">CAST(`0010_row_nmbr`AS STRING)  AS `0010_row_nmbr`, </v>
      </c>
    </row>
    <row r="14" spans="1:85" x14ac:dyDescent="0.3">
      <c r="A14" t="s">
        <v>1747</v>
      </c>
      <c r="B14" t="s">
        <v>2086</v>
      </c>
      <c r="C14" t="str">
        <f t="shared" ref="C14:C77" si="0">+"`"&amp;A14&amp;"`"</f>
        <v>`0020_uniq_id`</v>
      </c>
      <c r="D14" t="s">
        <v>2087</v>
      </c>
      <c r="E14" t="str">
        <f t="shared" ref="E14:E77" si="1">+B14&amp;C14&amp;D14&amp;" AS "&amp;C14&amp;", "</f>
        <v xml:space="preserve">CAST(`0020_uniq_id`AS STRING)  AS `0020_uniq_id`, </v>
      </c>
      <c r="F14" t="str">
        <f>+F13&amp;E14</f>
        <v xml:space="preserve">CAST(`0010_row_nmbr`AS STRING)  AS `0010_row_nmbr`, CAST(`0020_uniq_id`AS STRING)  AS `0020_uniq_id`, </v>
      </c>
    </row>
    <row r="15" spans="1:85" x14ac:dyDescent="0.3">
      <c r="A15" t="s">
        <v>1748</v>
      </c>
      <c r="B15" t="s">
        <v>2086</v>
      </c>
      <c r="C15" t="str">
        <f t="shared" si="0"/>
        <v>`0030_uniq_id_knwn_cntrprty`</v>
      </c>
      <c r="D15" t="s">
        <v>2087</v>
      </c>
      <c r="E15" t="str">
        <f t="shared" si="1"/>
        <v xml:space="preserve">CAST(`0030_uniq_id_knwn_cntrprty`AS STRING)  AS `0030_uniq_id_knwn_cntrprty`, </v>
      </c>
      <c r="F15" t="str">
        <f t="shared" ref="F15:F78" si="2">+F14&amp;E15</f>
        <v xml:space="preserve">CAST(`0010_row_nmbr`AS STRING)  AS `0010_row_nmbr`, CAST(`0020_uniq_id`AS STRING)  AS `0020_uniq_id`, CAST(`0030_uniq_id_knwn_cntrprty`AS STRING)  AS `0030_uniq_id_knwn_cntrprty`, </v>
      </c>
    </row>
    <row r="16" spans="1:85" x14ac:dyDescent="0.3">
      <c r="A16" t="s">
        <v>1749</v>
      </c>
      <c r="B16" t="s">
        <v>2086</v>
      </c>
      <c r="C16" t="str">
        <f t="shared" si="0"/>
        <v>`0040_typ_uniq_id_knwn_cntrprty`</v>
      </c>
      <c r="D16" t="s">
        <v>2087</v>
      </c>
      <c r="E16" t="str">
        <f t="shared" si="1"/>
        <v xml:space="preserve">CAST(`0040_typ_uniq_id_knwn_cntrprty`AS STRING)  AS `0040_typ_uniq_id_knwn_cntrprty`, </v>
      </c>
      <c r="F16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</v>
      </c>
    </row>
    <row r="17" spans="1:6" x14ac:dyDescent="0.3">
      <c r="A17" t="s">
        <v>1750</v>
      </c>
      <c r="B17" t="s">
        <v>2086</v>
      </c>
      <c r="C17" t="str">
        <f t="shared" si="0"/>
        <v>`0050_orgnl_amnt_eur`</v>
      </c>
      <c r="D17" t="s">
        <v>2087</v>
      </c>
      <c r="E17" t="str">
        <f t="shared" si="1"/>
        <v xml:space="preserve">CAST(`0050_orgnl_amnt_eur`AS STRING)  AS `0050_orgnl_amnt_eur`, </v>
      </c>
      <c r="F17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</v>
      </c>
    </row>
    <row r="18" spans="1:6" x14ac:dyDescent="0.3">
      <c r="A18" t="s">
        <v>1751</v>
      </c>
      <c r="B18" t="s">
        <v>2086</v>
      </c>
      <c r="C18" t="str">
        <f t="shared" si="0"/>
        <v>`0060_orgnl_amnt_fx`</v>
      </c>
      <c r="D18" t="s">
        <v>2087</v>
      </c>
      <c r="E18" t="str">
        <f t="shared" si="1"/>
        <v xml:space="preserve">CAST(`0060_orgnl_amnt_fx`AS STRING)  AS `0060_orgnl_amnt_fx`, </v>
      </c>
      <c r="F18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</v>
      </c>
    </row>
    <row r="19" spans="1:6" x14ac:dyDescent="0.3">
      <c r="A19" t="s">
        <v>1752</v>
      </c>
      <c r="B19" t="s">
        <v>2086</v>
      </c>
      <c r="C19" t="str">
        <f t="shared" si="0"/>
        <v>`0070_cntrct_crrncy`</v>
      </c>
      <c r="D19" t="s">
        <v>2087</v>
      </c>
      <c r="E19" t="str">
        <f t="shared" si="1"/>
        <v xml:space="preserve">CAST(`0070_cntrct_crrncy`AS STRING)  AS `0070_cntrct_crrncy`, </v>
      </c>
      <c r="F19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</v>
      </c>
    </row>
    <row r="20" spans="1:6" x14ac:dyDescent="0.3">
      <c r="A20" t="s">
        <v>1753</v>
      </c>
      <c r="B20" t="s">
        <v>2086</v>
      </c>
      <c r="C20" t="str">
        <f t="shared" si="0"/>
        <v>`0080_otstndng_prncpl_amnt`</v>
      </c>
      <c r="D20" t="s">
        <v>2087</v>
      </c>
      <c r="E20" t="str">
        <f t="shared" si="1"/>
        <v xml:space="preserve">CAST(`0080_otstndng_prncpl_amnt`AS STRING)  AS `0080_otstndng_prncpl_amnt`, </v>
      </c>
      <c r="F20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</v>
      </c>
    </row>
    <row r="21" spans="1:6" x14ac:dyDescent="0.3">
      <c r="A21" t="s">
        <v>1754</v>
      </c>
      <c r="B21" t="s">
        <v>2086</v>
      </c>
      <c r="C21" t="str">
        <f t="shared" si="0"/>
        <v>`0090_prtn_amnt_rprtng_entty`</v>
      </c>
      <c r="D21" t="s">
        <v>2087</v>
      </c>
      <c r="E21" t="str">
        <f t="shared" si="1"/>
        <v xml:space="preserve">CAST(`0090_prtn_amnt_rprtng_entty`AS STRING)  AS `0090_prtn_amnt_rprtng_entty`, </v>
      </c>
      <c r="F21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</v>
      </c>
    </row>
    <row r="22" spans="1:6" x14ac:dyDescent="0.3">
      <c r="A22" t="s">
        <v>1755</v>
      </c>
      <c r="B22" t="s">
        <v>2086</v>
      </c>
      <c r="C22" t="str">
        <f t="shared" si="0"/>
        <v>`0100_accrd_intrst_instrmnt`</v>
      </c>
      <c r="D22" t="s">
        <v>2087</v>
      </c>
      <c r="E22" t="str">
        <f t="shared" si="1"/>
        <v xml:space="preserve">CAST(`0100_accrd_intrst_instrmnt`AS STRING)  AS `0100_accrd_intrst_instrmnt`, </v>
      </c>
      <c r="F22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</v>
      </c>
    </row>
    <row r="23" spans="1:6" x14ac:dyDescent="0.3">
      <c r="A23" t="s">
        <v>1756</v>
      </c>
      <c r="B23" t="s">
        <v>2086</v>
      </c>
      <c r="C23" t="str">
        <f t="shared" si="0"/>
        <v>`0110_applcbl_fees_charges`</v>
      </c>
      <c r="D23" t="s">
        <v>2087</v>
      </c>
      <c r="E23" t="str">
        <f t="shared" si="1"/>
        <v xml:space="preserve">CAST(`0110_applcbl_fees_charges`AS STRING)  AS `0110_applcbl_fees_charges`, </v>
      </c>
      <c r="F23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</v>
      </c>
    </row>
    <row r="24" spans="1:6" x14ac:dyDescent="0.3">
      <c r="A24" t="s">
        <v>1757</v>
      </c>
      <c r="B24" t="s">
        <v>2086</v>
      </c>
      <c r="C24" t="str">
        <f t="shared" si="0"/>
        <v>`0120_otstndng_amnt`</v>
      </c>
      <c r="D24" t="s">
        <v>2087</v>
      </c>
      <c r="E24" t="str">
        <f t="shared" si="1"/>
        <v xml:space="preserve">CAST(`0120_otstndng_amnt`AS STRING)  AS `0120_otstndng_amnt`, </v>
      </c>
      <c r="F24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</v>
      </c>
    </row>
    <row r="25" spans="1:6" x14ac:dyDescent="0.3">
      <c r="A25" t="s">
        <v>1758</v>
      </c>
      <c r="B25" t="s">
        <v>2086</v>
      </c>
      <c r="C25" t="str">
        <f t="shared" si="0"/>
        <v>`0130_rlvnt_amnt_wdc`</v>
      </c>
      <c r="D25" t="s">
        <v>2087</v>
      </c>
      <c r="E25" t="str">
        <f t="shared" si="1"/>
        <v xml:space="preserve">CAST(`0130_rlvnt_amnt_wdc`AS STRING)  AS `0130_rlvnt_amnt_wdc`, </v>
      </c>
      <c r="F25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</v>
      </c>
    </row>
    <row r="26" spans="1:6" x14ac:dyDescent="0.3">
      <c r="A26" t="s">
        <v>1759</v>
      </c>
      <c r="B26" t="s">
        <v>2086</v>
      </c>
      <c r="C26" t="str">
        <f t="shared" si="0"/>
        <v>`0140_ntr_lblty`</v>
      </c>
      <c r="D26" t="s">
        <v>2087</v>
      </c>
      <c r="E26" t="str">
        <f t="shared" si="1"/>
        <v xml:space="preserve">CAST(`0140_ntr_lblty`AS STRING)  AS `0140_ntr_lblty`, </v>
      </c>
      <c r="F26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</v>
      </c>
    </row>
    <row r="27" spans="1:6" x14ac:dyDescent="0.3">
      <c r="A27" t="s">
        <v>1760</v>
      </c>
      <c r="B27" t="s">
        <v>2086</v>
      </c>
      <c r="C27" t="str">
        <f t="shared" si="0"/>
        <v>`0141_ntr_lblty_othr`</v>
      </c>
      <c r="D27" t="s">
        <v>2087</v>
      </c>
      <c r="E27" t="str">
        <f t="shared" si="1"/>
        <v xml:space="preserve">CAST(`0141_ntr_lblty_othr`AS STRING)  AS `0141_ntr_lblty_othr`, </v>
      </c>
      <c r="F27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</v>
      </c>
    </row>
    <row r="28" spans="1:6" x14ac:dyDescent="0.3">
      <c r="A28" t="s">
        <v>1761</v>
      </c>
      <c r="B28" t="s">
        <v>2086</v>
      </c>
      <c r="C28" t="str">
        <f t="shared" si="0"/>
        <v>`0150_flg_strctrlly_sbrdntd`</v>
      </c>
      <c r="D28" t="s">
        <v>2087</v>
      </c>
      <c r="E28" t="str">
        <f t="shared" si="1"/>
        <v xml:space="preserve">CAST(`0150_flg_strctrlly_sbrdntd`AS STRING)  AS `0150_flg_strctrlly_sbrdntd`, </v>
      </c>
      <c r="F28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</v>
      </c>
    </row>
    <row r="29" spans="1:6" x14ac:dyDescent="0.3">
      <c r="A29" t="s">
        <v>1762</v>
      </c>
      <c r="B29" t="s">
        <v>2086</v>
      </c>
      <c r="C29" t="str">
        <f t="shared" si="0"/>
        <v>`0160_rank_insolv`</v>
      </c>
      <c r="D29" t="s">
        <v>2087</v>
      </c>
      <c r="E29" t="str">
        <f t="shared" si="1"/>
        <v xml:space="preserve">CAST(`0160_rank_insolv`AS STRING)  AS `0160_rank_insolv`, </v>
      </c>
      <c r="F29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</v>
      </c>
    </row>
    <row r="30" spans="1:6" x14ac:dyDescent="0.3">
      <c r="A30" t="s">
        <v>1763</v>
      </c>
      <c r="B30" t="s">
        <v>2086</v>
      </c>
      <c r="C30" t="str">
        <f t="shared" si="0"/>
        <v>`0161_cntrctl_sbrdntn`</v>
      </c>
      <c r="D30" t="s">
        <v>2087</v>
      </c>
      <c r="E30" t="str">
        <f t="shared" si="1"/>
        <v xml:space="preserve">CAST(`0161_cntrctl_sbrdntn`AS STRING)  AS `0161_cntrctl_sbrdntn`, </v>
      </c>
      <c r="F30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</v>
      </c>
    </row>
    <row r="31" spans="1:6" x14ac:dyDescent="0.3">
      <c r="A31" t="s">
        <v>1764</v>
      </c>
      <c r="B31" t="s">
        <v>2086</v>
      </c>
      <c r="C31" t="str">
        <f t="shared" si="0"/>
        <v>`0162_bail_in_cascade`</v>
      </c>
      <c r="D31" t="s">
        <v>2087</v>
      </c>
      <c r="E31" t="str">
        <f t="shared" si="1"/>
        <v xml:space="preserve">CAST(`0162_bail_in_cascade`AS STRING)  AS `0162_bail_in_cascade`, </v>
      </c>
      <c r="F31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</v>
      </c>
    </row>
    <row r="32" spans="1:6" x14ac:dyDescent="0.3">
      <c r="A32" t="s">
        <v>1765</v>
      </c>
      <c r="B32" t="s">
        <v>2086</v>
      </c>
      <c r="C32" t="str">
        <f t="shared" si="0"/>
        <v>`0170_dt_incptn`</v>
      </c>
      <c r="D32" t="s">
        <v>2087</v>
      </c>
      <c r="E32" t="str">
        <f t="shared" si="1"/>
        <v xml:space="preserve">CAST(`0170_dt_incptn`AS STRING)  AS `0170_dt_incptn`, </v>
      </c>
      <c r="F32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</v>
      </c>
    </row>
    <row r="33" spans="1:6" x14ac:dyDescent="0.3">
      <c r="A33" t="s">
        <v>1766</v>
      </c>
      <c r="B33" t="s">
        <v>2086</v>
      </c>
      <c r="C33" t="str">
        <f t="shared" si="0"/>
        <v>`0180_dt_nxt_intrst_pymnt`</v>
      </c>
      <c r="D33" t="s">
        <v>2087</v>
      </c>
      <c r="E33" t="str">
        <f t="shared" si="1"/>
        <v xml:space="preserve">CAST(`0180_dt_nxt_intrst_pymnt`AS STRING)  AS `0180_dt_nxt_intrst_pymnt`, </v>
      </c>
      <c r="F33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</v>
      </c>
    </row>
    <row r="34" spans="1:6" x14ac:dyDescent="0.3">
      <c r="A34" t="s">
        <v>1767</v>
      </c>
      <c r="B34" t="s">
        <v>2086</v>
      </c>
      <c r="C34" t="str">
        <f t="shared" si="0"/>
        <v>`0190_dt_nxt_rdmptn_pymnt`</v>
      </c>
      <c r="D34" t="s">
        <v>2087</v>
      </c>
      <c r="E34" t="str">
        <f t="shared" si="1"/>
        <v xml:space="preserve">CAST(`0190_dt_nxt_rdmptn_pymnt`AS STRING)  AS `0190_dt_nxt_rdmptn_pymnt`, </v>
      </c>
      <c r="F34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</v>
      </c>
    </row>
    <row r="35" spans="1:6" x14ac:dyDescent="0.3">
      <c r="A35" t="s">
        <v>1768</v>
      </c>
      <c r="B35" t="s">
        <v>2086</v>
      </c>
      <c r="C35" t="str">
        <f t="shared" si="0"/>
        <v>`0200_dt_erlst_rdmptn`</v>
      </c>
      <c r="D35" t="s">
        <v>2087</v>
      </c>
      <c r="E35" t="str">
        <f t="shared" si="1"/>
        <v xml:space="preserve">CAST(`0200_dt_erlst_rdmptn`AS STRING)  AS `0200_dt_erlst_rdmptn`, </v>
      </c>
      <c r="F35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</v>
      </c>
    </row>
    <row r="36" spans="1:6" x14ac:dyDescent="0.3">
      <c r="A36" t="s">
        <v>1769</v>
      </c>
      <c r="B36" t="s">
        <v>2086</v>
      </c>
      <c r="C36" t="str">
        <f t="shared" si="0"/>
        <v>`0210_dt_lgl_fnl_mtrty`</v>
      </c>
      <c r="D36" t="s">
        <v>2087</v>
      </c>
      <c r="E36" t="str">
        <f t="shared" si="1"/>
        <v xml:space="preserve">CAST(`0210_dt_lgl_fnl_mtrty`AS STRING)  AS `0210_dt_lgl_fnl_mtrty`, </v>
      </c>
      <c r="F36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</v>
      </c>
    </row>
    <row r="37" spans="1:6" x14ac:dyDescent="0.3">
      <c r="A37" t="s">
        <v>1770</v>
      </c>
      <c r="B37" t="s">
        <v>2086</v>
      </c>
      <c r="C37" t="str">
        <f t="shared" si="0"/>
        <v>`0220_governing_law`</v>
      </c>
      <c r="D37" t="s">
        <v>2087</v>
      </c>
      <c r="E37" t="str">
        <f t="shared" si="1"/>
        <v xml:space="preserve">CAST(`0220_governing_law`AS STRING)  AS `0220_governing_law`, </v>
      </c>
      <c r="F37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</v>
      </c>
    </row>
    <row r="38" spans="1:6" x14ac:dyDescent="0.3">
      <c r="A38" t="s">
        <v>1771</v>
      </c>
      <c r="B38" t="s">
        <v>2086</v>
      </c>
      <c r="C38" t="str">
        <f t="shared" si="0"/>
        <v>`0230_bail_in_rcgntn_cls`</v>
      </c>
      <c r="D38" t="s">
        <v>2087</v>
      </c>
      <c r="E38" t="str">
        <f t="shared" si="1"/>
        <v xml:space="preserve">CAST(`0230_bail_in_rcgntn_cls`AS STRING)  AS `0230_bail_in_rcgntn_cls`, </v>
      </c>
      <c r="F38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</v>
      </c>
    </row>
    <row r="39" spans="1:6" x14ac:dyDescent="0.3">
      <c r="A39" t="s">
        <v>1772</v>
      </c>
      <c r="B39" t="s">
        <v>2086</v>
      </c>
      <c r="C39" t="str">
        <f t="shared" si="0"/>
        <v>`0240_zero_coupon`</v>
      </c>
      <c r="D39" t="s">
        <v>2087</v>
      </c>
      <c r="E39" t="str">
        <f t="shared" si="1"/>
        <v xml:space="preserve">CAST(`0240_zero_coupon`AS STRING)  AS `0240_zero_coupon`, </v>
      </c>
      <c r="F39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</v>
      </c>
    </row>
    <row r="40" spans="1:6" x14ac:dyDescent="0.3">
      <c r="A40" t="s">
        <v>1773</v>
      </c>
      <c r="B40" t="s">
        <v>2086</v>
      </c>
      <c r="C40" t="str">
        <f t="shared" si="0"/>
        <v>`0250_strctrd_prdct`</v>
      </c>
      <c r="D40" t="s">
        <v>2087</v>
      </c>
      <c r="E40" t="str">
        <f t="shared" si="1"/>
        <v xml:space="preserve">CAST(`0250_strctrd_prdct`AS STRING)  AS `0250_strctrd_prdct`, </v>
      </c>
      <c r="F40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</v>
      </c>
    </row>
    <row r="41" spans="1:6" x14ac:dyDescent="0.3">
      <c r="A41" t="s">
        <v>1774</v>
      </c>
      <c r="B41" t="s">
        <v>2086</v>
      </c>
      <c r="C41" t="str">
        <f t="shared" si="0"/>
        <v>`0260_grntd_min_amnt_strctrd_prdct`</v>
      </c>
      <c r="D41" t="s">
        <v>2087</v>
      </c>
      <c r="E41" t="str">
        <f t="shared" si="1"/>
        <v xml:space="preserve">CAST(`0260_grntd_min_amnt_strctrd_prdct`AS STRING)  AS `0260_grntd_min_amnt_strctrd_prdct`, </v>
      </c>
      <c r="F41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</v>
      </c>
    </row>
    <row r="42" spans="1:6" x14ac:dyDescent="0.3">
      <c r="A42" t="s">
        <v>1775</v>
      </c>
      <c r="B42" t="s">
        <v>2086</v>
      </c>
      <c r="C42" t="str">
        <f t="shared" si="0"/>
        <v>`0270_fv_amnt_strctrd_prdct`</v>
      </c>
      <c r="D42" t="s">
        <v>2087</v>
      </c>
      <c r="E42" t="str">
        <f t="shared" si="1"/>
        <v xml:space="preserve">CAST(`0270_fv_amnt_strctrd_prdct`AS STRING)  AS `0270_fv_amnt_strctrd_prdct`, </v>
      </c>
      <c r="F42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</v>
      </c>
    </row>
    <row r="43" spans="1:6" x14ac:dyDescent="0.3">
      <c r="A43" t="s">
        <v>1776</v>
      </c>
      <c r="B43" t="s">
        <v>2086</v>
      </c>
      <c r="C43" t="str">
        <f t="shared" si="0"/>
        <v>`0280_flg_ncnp_dpsts`</v>
      </c>
      <c r="D43" t="s">
        <v>2087</v>
      </c>
      <c r="E43" t="str">
        <f t="shared" si="1"/>
        <v xml:space="preserve">CAST(`0280_flg_ncnp_dpsts`AS STRING)  AS `0280_flg_ncnp_dpsts`, </v>
      </c>
      <c r="F43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</v>
      </c>
    </row>
    <row r="44" spans="1:6" x14ac:dyDescent="0.3">
      <c r="A44" t="s">
        <v>1777</v>
      </c>
      <c r="B44" t="s">
        <v>2086</v>
      </c>
      <c r="C44" t="str">
        <f t="shared" si="0"/>
        <v>`0290_flg_ncbp_dpsts`</v>
      </c>
      <c r="D44" t="s">
        <v>2087</v>
      </c>
      <c r="E44" t="str">
        <f t="shared" si="1"/>
        <v xml:space="preserve">CAST(`0290_flg_ncbp_dpsts`AS STRING)  AS `0290_flg_ncbp_dpsts`, </v>
      </c>
      <c r="F44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</v>
      </c>
    </row>
    <row r="45" spans="1:6" x14ac:dyDescent="0.3">
      <c r="A45" t="s">
        <v>1778</v>
      </c>
      <c r="B45" t="s">
        <v>2086</v>
      </c>
      <c r="C45" t="str">
        <f t="shared" si="0"/>
        <v>`0300_amnt_cvrd_elgbl_dpsts`</v>
      </c>
      <c r="D45" t="s">
        <v>2087</v>
      </c>
      <c r="E45" t="str">
        <f t="shared" si="1"/>
        <v xml:space="preserve">CAST(`0300_amnt_cvrd_elgbl_dpsts`AS STRING)  AS `0300_amnt_cvrd_elgbl_dpsts`, </v>
      </c>
      <c r="F45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</v>
      </c>
    </row>
    <row r="46" spans="1:6" x14ac:dyDescent="0.3">
      <c r="A46" t="s">
        <v>1779</v>
      </c>
      <c r="B46" t="s">
        <v>2086</v>
      </c>
      <c r="C46" t="str">
        <f t="shared" si="0"/>
        <v>`0310_flg_clltrl_agrmnts`</v>
      </c>
      <c r="D46" t="s">
        <v>2087</v>
      </c>
      <c r="E46" t="str">
        <f t="shared" si="1"/>
        <v xml:space="preserve">CAST(`0310_flg_clltrl_agrmnts`AS STRING)  AS `0310_flg_clltrl_agrmnts`, </v>
      </c>
      <c r="F46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</v>
      </c>
    </row>
    <row r="47" spans="1:6" x14ac:dyDescent="0.3">
      <c r="A47" t="s">
        <v>1780</v>
      </c>
      <c r="B47" t="s">
        <v>2086</v>
      </c>
      <c r="C47" t="str">
        <f t="shared" si="0"/>
        <v>`0320_amnt_clltrl`</v>
      </c>
      <c r="D47" t="s">
        <v>2087</v>
      </c>
      <c r="E47" t="str">
        <f t="shared" si="1"/>
        <v xml:space="preserve">CAST(`0320_amnt_clltrl`AS STRING)  AS `0320_amnt_clltrl`, </v>
      </c>
      <c r="F47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</v>
      </c>
    </row>
    <row r="48" spans="1:6" x14ac:dyDescent="0.3">
      <c r="A48" t="s">
        <v>1781</v>
      </c>
      <c r="B48" t="s">
        <v>2086</v>
      </c>
      <c r="C48" t="str">
        <f t="shared" si="0"/>
        <v>`0330_amnt_unclltrlzd`</v>
      </c>
      <c r="D48" t="s">
        <v>2087</v>
      </c>
      <c r="E48" t="str">
        <f t="shared" si="1"/>
        <v xml:space="preserve">CAST(`0330_amnt_unclltrlzd`AS STRING)  AS `0330_amnt_unclltrlzd`, </v>
      </c>
      <c r="F48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</v>
      </c>
    </row>
    <row r="49" spans="1:6" x14ac:dyDescent="0.3">
      <c r="A49" t="s">
        <v>1782</v>
      </c>
      <c r="B49" t="s">
        <v>2086</v>
      </c>
      <c r="C49" t="str">
        <f t="shared" si="0"/>
        <v>`0340_id_clltrl`</v>
      </c>
      <c r="D49" t="s">
        <v>2087</v>
      </c>
      <c r="E49" t="str">
        <f t="shared" si="1"/>
        <v xml:space="preserve">CAST(`0340_id_clltrl`AS STRING)  AS `0340_id_clltrl`, </v>
      </c>
      <c r="F49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</v>
      </c>
    </row>
    <row r="50" spans="1:6" x14ac:dyDescent="0.3">
      <c r="A50" t="s">
        <v>1783</v>
      </c>
      <c r="B50" t="s">
        <v>2086</v>
      </c>
      <c r="C50" t="str">
        <f t="shared" si="0"/>
        <v>`0350_typ_clltrl`</v>
      </c>
      <c r="D50" t="s">
        <v>2087</v>
      </c>
      <c r="E50" t="str">
        <f t="shared" si="1"/>
        <v xml:space="preserve">CAST(`0350_typ_clltrl`AS STRING)  AS `0350_typ_clltrl`, </v>
      </c>
      <c r="F50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</v>
      </c>
    </row>
    <row r="51" spans="1:6" x14ac:dyDescent="0.3">
      <c r="A51" t="s">
        <v>1784</v>
      </c>
      <c r="B51" t="s">
        <v>2086</v>
      </c>
      <c r="C51" t="str">
        <f t="shared" si="0"/>
        <v>`0351_typ_clltrl_othr`</v>
      </c>
      <c r="D51" t="s">
        <v>2087</v>
      </c>
      <c r="E51" t="str">
        <f t="shared" si="1"/>
        <v xml:space="preserve">CAST(`0351_typ_clltrl_othr`AS STRING)  AS `0351_typ_clltrl_othr`, </v>
      </c>
      <c r="F51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</v>
      </c>
    </row>
    <row r="52" spans="1:6" x14ac:dyDescent="0.3">
      <c r="A52" t="s">
        <v>1785</v>
      </c>
      <c r="B52" t="s">
        <v>2086</v>
      </c>
      <c r="C52" t="str">
        <f t="shared" si="0"/>
        <v>`0360_trdng_mthd`</v>
      </c>
      <c r="D52" t="s">
        <v>2087</v>
      </c>
      <c r="E52" t="str">
        <f t="shared" si="1"/>
        <v xml:space="preserve">CAST(`0360_trdng_mthd`AS STRING)  AS `0360_trdng_mthd`, </v>
      </c>
      <c r="F52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</v>
      </c>
    </row>
    <row r="53" spans="1:6" x14ac:dyDescent="0.3">
      <c r="A53" t="s">
        <v>1786</v>
      </c>
      <c r="B53" t="s">
        <v>2086</v>
      </c>
      <c r="C53" t="str">
        <f t="shared" si="0"/>
        <v>`0370_amnt_scrty_eur`</v>
      </c>
      <c r="D53" t="s">
        <v>2087</v>
      </c>
      <c r="E53" t="str">
        <f t="shared" si="1"/>
        <v xml:space="preserve">CAST(`0370_amnt_scrty_eur`AS STRING)  AS `0370_amnt_scrty_eur`, </v>
      </c>
      <c r="F53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</v>
      </c>
    </row>
    <row r="54" spans="1:6" x14ac:dyDescent="0.3">
      <c r="A54" t="s">
        <v>1787</v>
      </c>
      <c r="B54" t="s">
        <v>2086</v>
      </c>
      <c r="C54" t="str">
        <f t="shared" si="0"/>
        <v>`0380_amnt_scrty_fx`</v>
      </c>
      <c r="D54" t="s">
        <v>2087</v>
      </c>
      <c r="E54" t="str">
        <f t="shared" si="1"/>
        <v xml:space="preserve">CAST(`0380_amnt_scrty_fx`AS STRING)  AS `0380_amnt_scrty_fx`, </v>
      </c>
      <c r="F54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</v>
      </c>
    </row>
    <row r="55" spans="1:6" x14ac:dyDescent="0.3">
      <c r="A55" t="s">
        <v>1788</v>
      </c>
      <c r="B55" t="s">
        <v>2086</v>
      </c>
      <c r="C55" t="str">
        <f t="shared" si="0"/>
        <v>`0390_nmbr_scrts_not_rprtng_entty`</v>
      </c>
      <c r="D55" t="s">
        <v>2087</v>
      </c>
      <c r="E55" t="str">
        <f t="shared" si="1"/>
        <v xml:space="preserve">CAST(`0390_nmbr_scrts_not_rprtng_entty`AS STRING)  AS `0390_nmbr_scrts_not_rprtng_entty`, </v>
      </c>
      <c r="F55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</v>
      </c>
    </row>
    <row r="56" spans="1:6" x14ac:dyDescent="0.3">
      <c r="A56" t="s">
        <v>1789</v>
      </c>
      <c r="B56" t="s">
        <v>2086</v>
      </c>
      <c r="C56" t="str">
        <f t="shared" si="0"/>
        <v>`0391_nmbr_scrts_rprtng_entty`</v>
      </c>
      <c r="D56" t="s">
        <v>2087</v>
      </c>
      <c r="E56" t="str">
        <f t="shared" si="1"/>
        <v xml:space="preserve">CAST(`0391_nmbr_scrts_rprtng_entty`AS STRING)  AS `0391_nmbr_scrts_rprtng_entty`, </v>
      </c>
      <c r="F56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</v>
      </c>
    </row>
    <row r="57" spans="1:6" x14ac:dyDescent="0.3">
      <c r="A57" t="s">
        <v>1790</v>
      </c>
      <c r="B57" t="s">
        <v>2086</v>
      </c>
      <c r="C57" t="str">
        <f t="shared" si="0"/>
        <v>`0400_accrd_intrst_scrty`</v>
      </c>
      <c r="D57" t="s">
        <v>2087</v>
      </c>
      <c r="E57" t="str">
        <f t="shared" si="1"/>
        <v xml:space="preserve">CAST(`0400_accrd_intrst_scrty`AS STRING)  AS `0400_accrd_intrst_scrty`, </v>
      </c>
      <c r="F57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</v>
      </c>
    </row>
    <row r="58" spans="1:6" x14ac:dyDescent="0.3">
      <c r="A58" t="s">
        <v>1791</v>
      </c>
      <c r="B58" t="s">
        <v>2086</v>
      </c>
      <c r="C58" t="str">
        <f t="shared" si="0"/>
        <v>`0410_fees_charges_scrty`</v>
      </c>
      <c r="D58" t="s">
        <v>2087</v>
      </c>
      <c r="E58" t="str">
        <f t="shared" si="1"/>
        <v xml:space="preserve">CAST(`0410_fees_charges_scrty`AS STRING)  AS `0410_fees_charges_scrty`, </v>
      </c>
      <c r="F58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</v>
      </c>
    </row>
    <row r="59" spans="1:6" x14ac:dyDescent="0.3">
      <c r="A59" t="s">
        <v>1792</v>
      </c>
      <c r="B59" t="s">
        <v>2086</v>
      </c>
      <c r="C59" t="str">
        <f t="shared" si="0"/>
        <v>`0420_fv_amnt_scrty`</v>
      </c>
      <c r="D59" t="s">
        <v>2087</v>
      </c>
      <c r="E59" t="str">
        <f t="shared" si="1"/>
        <v xml:space="preserve">CAST(`0420_fv_amnt_scrty`AS STRING)  AS `0420_fv_amnt_scrty`, </v>
      </c>
      <c r="F59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</v>
      </c>
    </row>
    <row r="60" spans="1:6" x14ac:dyDescent="0.3">
      <c r="A60" t="s">
        <v>1793</v>
      </c>
      <c r="B60" t="s">
        <v>2086</v>
      </c>
      <c r="C60" t="str">
        <f t="shared" si="0"/>
        <v>`0430_prncpl_amnt_glbl_nt_eur`</v>
      </c>
      <c r="D60" t="s">
        <v>2087</v>
      </c>
      <c r="E60" t="str">
        <f t="shared" si="1"/>
        <v xml:space="preserve">CAST(`0430_prncpl_amnt_glbl_nt_eur`AS STRING)  AS `0430_prncpl_amnt_glbl_nt_eur`, </v>
      </c>
      <c r="F60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</v>
      </c>
    </row>
    <row r="61" spans="1:6" x14ac:dyDescent="0.3">
      <c r="A61" t="s">
        <v>1794</v>
      </c>
      <c r="B61" t="s">
        <v>2086</v>
      </c>
      <c r="C61" t="str">
        <f t="shared" si="0"/>
        <v>`0431_prncpl_amnt_glbl_nt_fx`</v>
      </c>
      <c r="D61" t="s">
        <v>2087</v>
      </c>
      <c r="E61" t="str">
        <f t="shared" si="1"/>
        <v xml:space="preserve">CAST(`0431_prncpl_amnt_glbl_nt_fx`AS STRING)  AS `0431_prncpl_amnt_glbl_nt_fx`, </v>
      </c>
      <c r="F61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</v>
      </c>
    </row>
    <row r="62" spans="1:6" x14ac:dyDescent="0.3">
      <c r="A62" t="s">
        <v>1795</v>
      </c>
      <c r="B62" t="s">
        <v>2086</v>
      </c>
      <c r="C62" t="str">
        <f t="shared" si="0"/>
        <v>`0440_ntr_glbl_nt`</v>
      </c>
      <c r="D62" t="s">
        <v>2087</v>
      </c>
      <c r="E62" t="str">
        <f t="shared" si="1"/>
        <v xml:space="preserve">CAST(`0440_ntr_glbl_nt`AS STRING)  AS `0440_ntr_glbl_nt`, </v>
      </c>
      <c r="F62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</v>
      </c>
    </row>
    <row r="63" spans="1:6" x14ac:dyDescent="0.3">
      <c r="A63" t="s">
        <v>1796</v>
      </c>
      <c r="B63" t="s">
        <v>2086</v>
      </c>
      <c r="C63" t="str">
        <f t="shared" si="0"/>
        <v>`0450_crrnt_pool_fctr`</v>
      </c>
      <c r="D63" t="s">
        <v>2087</v>
      </c>
      <c r="E63" t="str">
        <f t="shared" si="1"/>
        <v xml:space="preserve">CAST(`0450_crrnt_pool_fctr`AS STRING)  AS `0450_crrnt_pool_fctr`, </v>
      </c>
      <c r="F63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</v>
      </c>
    </row>
    <row r="64" spans="1:6" x14ac:dyDescent="0.3">
      <c r="A64" t="s">
        <v>1797</v>
      </c>
      <c r="B64" t="s">
        <v>2086</v>
      </c>
      <c r="C64" t="str">
        <f t="shared" si="0"/>
        <v>`0460_csd`</v>
      </c>
      <c r="D64" t="s">
        <v>2087</v>
      </c>
      <c r="E64" t="str">
        <f t="shared" si="1"/>
        <v xml:space="preserve">CAST(`0460_csd`AS STRING)  AS `0460_csd`, </v>
      </c>
      <c r="F64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</v>
      </c>
    </row>
    <row r="65" spans="1:6" x14ac:dyDescent="0.3">
      <c r="A65" t="s">
        <v>1798</v>
      </c>
      <c r="B65" t="s">
        <v>2086</v>
      </c>
      <c r="C65" t="str">
        <f t="shared" si="0"/>
        <v>`0461_csd_lei`</v>
      </c>
      <c r="D65" t="s">
        <v>2087</v>
      </c>
      <c r="E65" t="str">
        <f t="shared" si="1"/>
        <v xml:space="preserve">CAST(`0461_csd_lei`AS STRING)  AS `0461_csd_lei`, </v>
      </c>
      <c r="F65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</v>
      </c>
    </row>
    <row r="66" spans="1:6" x14ac:dyDescent="0.3">
      <c r="A66" t="s">
        <v>1799</v>
      </c>
      <c r="B66" t="s">
        <v>2086</v>
      </c>
      <c r="C66" t="str">
        <f t="shared" si="0"/>
        <v>`0462_csd_othr`</v>
      </c>
      <c r="D66" t="s">
        <v>2087</v>
      </c>
      <c r="E66" t="str">
        <f t="shared" si="1"/>
        <v xml:space="preserve">CAST(`0462_csd_othr`AS STRING)  AS `0462_csd_othr`, </v>
      </c>
      <c r="F66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</v>
      </c>
    </row>
    <row r="67" spans="1:6" x14ac:dyDescent="0.3">
      <c r="A67" t="s">
        <v>1800</v>
      </c>
      <c r="B67" t="s">
        <v>2086</v>
      </c>
      <c r="C67" t="str">
        <f t="shared" si="0"/>
        <v>`0470_pyng_agnt`</v>
      </c>
      <c r="D67" t="s">
        <v>2087</v>
      </c>
      <c r="E67" t="str">
        <f t="shared" si="1"/>
        <v xml:space="preserve">CAST(`0470_pyng_agnt`AS STRING)  AS `0470_pyng_agnt`, </v>
      </c>
      <c r="F67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</v>
      </c>
    </row>
    <row r="68" spans="1:6" x14ac:dyDescent="0.3">
      <c r="A68" t="s">
        <v>1801</v>
      </c>
      <c r="B68" t="s">
        <v>2086</v>
      </c>
      <c r="C68" t="str">
        <f t="shared" si="0"/>
        <v>`0471_pyng_agnt_lei`</v>
      </c>
      <c r="D68" t="s">
        <v>2087</v>
      </c>
      <c r="E68" t="str">
        <f t="shared" si="1"/>
        <v xml:space="preserve">CAST(`0471_pyng_agnt_lei`AS STRING)  AS `0471_pyng_agnt_lei`, </v>
      </c>
      <c r="F68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</v>
      </c>
    </row>
    <row r="69" spans="1:6" x14ac:dyDescent="0.3">
      <c r="A69" t="s">
        <v>1802</v>
      </c>
      <c r="B69" t="s">
        <v>2086</v>
      </c>
      <c r="C69" t="str">
        <f t="shared" si="0"/>
        <v>`0480_trdng_vn`</v>
      </c>
      <c r="D69" t="s">
        <v>2087</v>
      </c>
      <c r="E69" t="str">
        <f t="shared" si="1"/>
        <v xml:space="preserve">CAST(`0480_trdng_vn`AS STRING)  AS `0480_trdng_vn`, </v>
      </c>
      <c r="F69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</v>
      </c>
    </row>
    <row r="70" spans="1:6" x14ac:dyDescent="0.3">
      <c r="A70" t="s">
        <v>1803</v>
      </c>
      <c r="B70" t="s">
        <v>2086</v>
      </c>
      <c r="C70" t="str">
        <f t="shared" si="0"/>
        <v>`0481_trdng_vn_lei`</v>
      </c>
      <c r="D70" t="s">
        <v>2087</v>
      </c>
      <c r="E70" t="str">
        <f t="shared" si="1"/>
        <v xml:space="preserve">CAST(`0481_trdng_vn_lei`AS STRING)  AS `0481_trdng_vn_lei`, </v>
      </c>
      <c r="F70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</v>
      </c>
    </row>
    <row r="71" spans="1:6" x14ac:dyDescent="0.3">
      <c r="A71" t="s">
        <v>1804</v>
      </c>
      <c r="B71" t="s">
        <v>2086</v>
      </c>
      <c r="C71" t="str">
        <f t="shared" si="0"/>
        <v>`0490_rgstrr`</v>
      </c>
      <c r="D71" t="s">
        <v>2087</v>
      </c>
      <c r="E71" t="str">
        <f t="shared" si="1"/>
        <v xml:space="preserve">CAST(`0490_rgstrr`AS STRING)  AS `0490_rgstrr`, </v>
      </c>
      <c r="F71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</v>
      </c>
    </row>
    <row r="72" spans="1:6" x14ac:dyDescent="0.3">
      <c r="A72" t="s">
        <v>1805</v>
      </c>
      <c r="B72" t="s">
        <v>2086</v>
      </c>
      <c r="C72" t="str">
        <f t="shared" si="0"/>
        <v>`0491_rgstrr_lei`</v>
      </c>
      <c r="D72" t="s">
        <v>2087</v>
      </c>
      <c r="E72" t="str">
        <f t="shared" si="1"/>
        <v xml:space="preserve">CAST(`0491_rgstrr_lei`AS STRING)  AS `0491_rgstrr_lei`, </v>
      </c>
      <c r="F72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</v>
      </c>
    </row>
    <row r="73" spans="1:6" x14ac:dyDescent="0.3">
      <c r="A73" t="s">
        <v>1806</v>
      </c>
      <c r="B73" t="s">
        <v>2086</v>
      </c>
      <c r="C73" t="str">
        <f t="shared" si="0"/>
        <v>`0500_nna`</v>
      </c>
      <c r="D73" t="s">
        <v>2087</v>
      </c>
      <c r="E73" t="str">
        <f t="shared" si="1"/>
        <v xml:space="preserve">CAST(`0500_nna`AS STRING)  AS `0500_nna`, </v>
      </c>
      <c r="F73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</v>
      </c>
    </row>
    <row r="74" spans="1:6" x14ac:dyDescent="0.3">
      <c r="A74" t="s">
        <v>1807</v>
      </c>
      <c r="B74" t="s">
        <v>2086</v>
      </c>
      <c r="C74" t="str">
        <f t="shared" si="0"/>
        <v>`0501_nna_lei`</v>
      </c>
      <c r="D74" t="s">
        <v>2087</v>
      </c>
      <c r="E74" t="str">
        <f t="shared" si="1"/>
        <v xml:space="preserve">CAST(`0501_nna_lei`AS STRING)  AS `0501_nna_lei`, </v>
      </c>
      <c r="F74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</v>
      </c>
    </row>
    <row r="75" spans="1:6" x14ac:dyDescent="0.3">
      <c r="A75" t="s">
        <v>1808</v>
      </c>
      <c r="B75" t="s">
        <v>2086</v>
      </c>
      <c r="C75" t="str">
        <f t="shared" si="0"/>
        <v>`0510_cmmn_dpstry`</v>
      </c>
      <c r="D75" t="s">
        <v>2087</v>
      </c>
      <c r="E75" t="str">
        <f t="shared" si="1"/>
        <v xml:space="preserve">CAST(`0510_cmmn_dpstry`AS STRING)  AS `0510_cmmn_dpstry`, </v>
      </c>
      <c r="F75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</v>
      </c>
    </row>
    <row r="76" spans="1:6" x14ac:dyDescent="0.3">
      <c r="A76" t="s">
        <v>1809</v>
      </c>
      <c r="B76" t="s">
        <v>2086</v>
      </c>
      <c r="C76" t="str">
        <f t="shared" si="0"/>
        <v>`0511_cmmn_dpstry_lei`</v>
      </c>
      <c r="D76" t="s">
        <v>2087</v>
      </c>
      <c r="E76" t="str">
        <f t="shared" si="1"/>
        <v xml:space="preserve">CAST(`0511_cmmn_dpstry_lei`AS STRING)  AS `0511_cmmn_dpstry_lei`, </v>
      </c>
      <c r="F76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</v>
      </c>
    </row>
    <row r="77" spans="1:6" x14ac:dyDescent="0.3">
      <c r="A77" t="s">
        <v>1810</v>
      </c>
      <c r="B77" t="s">
        <v>2086</v>
      </c>
      <c r="C77" t="str">
        <f t="shared" si="0"/>
        <v>`0520_cmmn_srvc_prvdr`</v>
      </c>
      <c r="D77" t="s">
        <v>2087</v>
      </c>
      <c r="E77" t="str">
        <f t="shared" si="1"/>
        <v xml:space="preserve">CAST(`0520_cmmn_srvc_prvdr`AS STRING)  AS `0520_cmmn_srvc_prvdr`, </v>
      </c>
      <c r="F77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</v>
      </c>
    </row>
    <row r="78" spans="1:6" x14ac:dyDescent="0.3">
      <c r="A78" t="s">
        <v>1811</v>
      </c>
      <c r="B78" t="s">
        <v>2086</v>
      </c>
      <c r="C78" t="str">
        <f t="shared" ref="C78:C97" si="3">+"`"&amp;A78&amp;"`"</f>
        <v>`0521_cmmn_srvc_prvdr_lei`</v>
      </c>
      <c r="D78" t="s">
        <v>2087</v>
      </c>
      <c r="E78" t="str">
        <f t="shared" ref="E78:E97" si="4">+B78&amp;C78&amp;D78&amp;" AS "&amp;C78&amp;", "</f>
        <v xml:space="preserve">CAST(`0521_cmmn_srvc_prvdr_lei`AS STRING)  AS `0521_cmmn_srvc_prvdr_lei`, </v>
      </c>
      <c r="F78" t="str">
        <f t="shared" si="2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</v>
      </c>
    </row>
    <row r="79" spans="1:6" x14ac:dyDescent="0.3">
      <c r="A79" t="s">
        <v>1812</v>
      </c>
      <c r="B79" t="s">
        <v>2086</v>
      </c>
      <c r="C79" t="str">
        <f t="shared" si="3"/>
        <v>`0530_typ_own_fnds_ind_lvl`</v>
      </c>
      <c r="D79" t="s">
        <v>2087</v>
      </c>
      <c r="E79" t="str">
        <f t="shared" si="4"/>
        <v xml:space="preserve">CAST(`0530_typ_own_fnds_ind_lvl`AS STRING)  AS `0530_typ_own_fnds_ind_lvl`, </v>
      </c>
      <c r="F79" t="str">
        <f t="shared" ref="F79:F97" si="5">+F78&amp;E79</f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</v>
      </c>
    </row>
    <row r="80" spans="1:6" x14ac:dyDescent="0.3">
      <c r="A80" t="s">
        <v>1813</v>
      </c>
      <c r="B80" t="s">
        <v>2086</v>
      </c>
      <c r="C80" t="str">
        <f t="shared" si="3"/>
        <v>`0540_elgbl_amnt_own_fnds_ind_lvl`</v>
      </c>
      <c r="D80" t="s">
        <v>2087</v>
      </c>
      <c r="E80" t="str">
        <f t="shared" si="4"/>
        <v xml:space="preserve">CAST(`0540_elgbl_amnt_own_fnds_ind_lvl`AS STRING)  AS `0540_elgbl_amnt_own_fnds_ind_lvl`, </v>
      </c>
      <c r="F80" t="str">
        <f t="shared" si="5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CAST(`0540_elgbl_amnt_own_fnds_ind_lvl`AS STRING)  AS `0540_elgbl_amnt_own_fnds_ind_lvl`, </v>
      </c>
    </row>
    <row r="81" spans="1:6" x14ac:dyDescent="0.3">
      <c r="A81" t="s">
        <v>1814</v>
      </c>
      <c r="B81" t="s">
        <v>2086</v>
      </c>
      <c r="C81" t="str">
        <f t="shared" si="3"/>
        <v>`0550_typ_own_fnds_cnsldtd_lvl`</v>
      </c>
      <c r="D81" t="s">
        <v>2087</v>
      </c>
      <c r="E81" t="str">
        <f t="shared" si="4"/>
        <v xml:space="preserve">CAST(`0550_typ_own_fnds_cnsldtd_lvl`AS STRING)  AS `0550_typ_own_fnds_cnsldtd_lvl`, </v>
      </c>
      <c r="F81" t="str">
        <f t="shared" si="5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CAST(`0540_elgbl_amnt_own_fnds_ind_lvl`AS STRING)  AS `0540_elgbl_amnt_own_fnds_ind_lvl`, CAST(`0550_typ_own_fnds_cnsldtd_lvl`AS STRING)  AS `0550_typ_own_fnds_cnsldtd_lvl`, </v>
      </c>
    </row>
    <row r="82" spans="1:6" x14ac:dyDescent="0.3">
      <c r="A82" t="s">
        <v>1815</v>
      </c>
      <c r="B82" t="s">
        <v>2086</v>
      </c>
      <c r="C82" t="str">
        <f t="shared" si="3"/>
        <v>`0560_elgbl_amnt_own_fnds_cnsldtd_lvl`</v>
      </c>
      <c r="D82" t="s">
        <v>2087</v>
      </c>
      <c r="E82" t="str">
        <f t="shared" si="4"/>
        <v xml:space="preserve">CAST(`0560_elgbl_amnt_own_fnds_cnsldtd_lvl`AS STRING)  AS `0560_elgbl_amnt_own_fnds_cnsldtd_lvl`, </v>
      </c>
      <c r="F82" t="str">
        <f t="shared" si="5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CAST(`0540_elgbl_amnt_own_fnds_ind_lvl`AS STRING)  AS `0540_elgbl_amnt_own_fnds_ind_lvl`, CAST(`0550_typ_own_fnds_cnsldtd_lvl`AS STRING)  AS `0550_typ_own_fnds_cnsldtd_lvl`, CAST(`0560_elgbl_amnt_own_fnds_cnsldtd_lvl`AS STRING)  AS `0560_elgbl_amnt_own_fnds_cnsldtd_lvl`, </v>
      </c>
    </row>
    <row r="83" spans="1:6" x14ac:dyDescent="0.3">
      <c r="A83" t="s">
        <v>1816</v>
      </c>
      <c r="B83" t="s">
        <v>2086</v>
      </c>
      <c r="C83" t="str">
        <f t="shared" si="3"/>
        <v>`0570_amnt_scrty_intrst_prvdd`</v>
      </c>
      <c r="D83" t="s">
        <v>2087</v>
      </c>
      <c r="E83" t="str">
        <f t="shared" si="4"/>
        <v xml:space="preserve">CAST(`0570_amnt_scrty_intrst_prvdd`AS STRING)  AS `0570_amnt_scrty_intrst_prvdd`, </v>
      </c>
      <c r="F83" t="str">
        <f t="shared" si="5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CAST(`0540_elgbl_amnt_own_fnds_ind_lvl`AS STRING)  AS `0540_elgbl_amnt_own_fnds_ind_lvl`, CAST(`0550_typ_own_fnds_cnsldtd_lvl`AS STRING)  AS `0550_typ_own_fnds_cnsldtd_lvl`, CAST(`0560_elgbl_amnt_own_fnds_cnsldtd_lvl`AS STRING)  AS `0560_elgbl_amnt_own_fnds_cnsldtd_lvl`, CAST(`0570_amnt_scrty_intrst_prvdd`AS STRING)  AS `0570_amnt_scrty_intrst_prvdd`, </v>
      </c>
    </row>
    <row r="84" spans="1:6" x14ac:dyDescent="0.3">
      <c r="A84" t="s">
        <v>1817</v>
      </c>
      <c r="B84" t="s">
        <v>2086</v>
      </c>
      <c r="C84" t="str">
        <f t="shared" si="3"/>
        <v>`0580_scrty_intrst_prvdr`</v>
      </c>
      <c r="D84" t="s">
        <v>2087</v>
      </c>
      <c r="E84" t="str">
        <f t="shared" si="4"/>
        <v xml:space="preserve">CAST(`0580_scrty_intrst_prvdr`AS STRING)  AS `0580_scrty_intrst_prvdr`, </v>
      </c>
      <c r="F84" t="str">
        <f t="shared" si="5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CAST(`0540_elgbl_amnt_own_fnds_ind_lvl`AS STRING)  AS `0540_elgbl_amnt_own_fnds_ind_lvl`, CAST(`0550_typ_own_fnds_cnsldtd_lvl`AS STRING)  AS `0550_typ_own_fnds_cnsldtd_lvl`, CAST(`0560_elgbl_amnt_own_fnds_cnsldtd_lvl`AS STRING)  AS `0560_elgbl_amnt_own_fnds_cnsldtd_lvl`, CAST(`0570_amnt_scrty_intrst_prvdd`AS STRING)  AS `0570_amnt_scrty_intrst_prvdd`, CAST(`0580_scrty_intrst_prvdr`AS STRING)  AS `0580_scrty_intrst_prvdr`, </v>
      </c>
    </row>
    <row r="85" spans="1:6" x14ac:dyDescent="0.3">
      <c r="A85" t="s">
        <v>1818</v>
      </c>
      <c r="B85" t="s">
        <v>2086</v>
      </c>
      <c r="C85" t="str">
        <f t="shared" si="3"/>
        <v>`0581_scrty_intrst_prvdr_lei`</v>
      </c>
      <c r="D85" t="s">
        <v>2087</v>
      </c>
      <c r="E85" t="str">
        <f t="shared" si="4"/>
        <v xml:space="preserve">CAST(`0581_scrty_intrst_prvdr_lei`AS STRING)  AS `0581_scrty_intrst_prvdr_lei`, </v>
      </c>
      <c r="F85" t="str">
        <f t="shared" si="5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CAST(`0540_elgbl_amnt_own_fnds_ind_lvl`AS STRING)  AS `0540_elgbl_amnt_own_fnds_ind_lvl`, CAST(`0550_typ_own_fnds_cnsldtd_lvl`AS STRING)  AS `0550_typ_own_fnds_cnsldtd_lvl`, CAST(`0560_elgbl_amnt_own_fnds_cnsldtd_lvl`AS STRING)  AS `0560_elgbl_amnt_own_fnds_cnsldtd_lvl`, CAST(`0570_amnt_scrty_intrst_prvdd`AS STRING)  AS `0570_amnt_scrty_intrst_prvdd`, CAST(`0580_scrty_intrst_prvdr`AS STRING)  AS `0580_scrty_intrst_prvdr`, CAST(`0581_scrty_intrst_prvdr_lei`AS STRING)  AS `0581_scrty_intrst_prvdr_lei`, </v>
      </c>
    </row>
    <row r="86" spans="1:6" x14ac:dyDescent="0.3">
      <c r="A86" t="s">
        <v>1819</v>
      </c>
      <c r="B86" t="s">
        <v>2086</v>
      </c>
      <c r="C86" t="str">
        <f t="shared" si="3"/>
        <v>`0590_typ_scrty_intrst_prvdd`</v>
      </c>
      <c r="D86" t="s">
        <v>2087</v>
      </c>
      <c r="E86" t="str">
        <f t="shared" si="4"/>
        <v xml:space="preserve">CAST(`0590_typ_scrty_intrst_prvdd`AS STRING)  AS `0590_typ_scrty_intrst_prvdd`, </v>
      </c>
      <c r="F86" t="str">
        <f t="shared" si="5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CAST(`0540_elgbl_amnt_own_fnds_ind_lvl`AS STRING)  AS `0540_elgbl_amnt_own_fnds_ind_lvl`, CAST(`0550_typ_own_fnds_cnsldtd_lvl`AS STRING)  AS `0550_typ_own_fnds_cnsldtd_lvl`, CAST(`0560_elgbl_amnt_own_fnds_cnsldtd_lvl`AS STRING)  AS `0560_elgbl_amnt_own_fnds_cnsldtd_lvl`, CAST(`0570_amnt_scrty_intrst_prvdd`AS STRING)  AS `0570_amnt_scrty_intrst_prvdd`, CAST(`0580_scrty_intrst_prvdr`AS STRING)  AS `0580_scrty_intrst_prvdr`, CAST(`0581_scrty_intrst_prvdr_lei`AS STRING)  AS `0581_scrty_intrst_prvdr_lei`, CAST(`0590_typ_scrty_intrst_prvdd`AS STRING)  AS `0590_typ_scrty_intrst_prvdd`, </v>
      </c>
    </row>
    <row r="87" spans="1:6" x14ac:dyDescent="0.3">
      <c r="A87" t="s">
        <v>1820</v>
      </c>
      <c r="B87" t="s">
        <v>2086</v>
      </c>
      <c r="C87" t="str">
        <f t="shared" si="3"/>
        <v>`0600_flg_clltrl_asst_pstn`</v>
      </c>
      <c r="D87" t="s">
        <v>2087</v>
      </c>
      <c r="E87" t="str">
        <f t="shared" si="4"/>
        <v xml:space="preserve">CAST(`0600_flg_clltrl_asst_pstn`AS STRING)  AS `0600_flg_clltrl_asst_pstn`, </v>
      </c>
      <c r="F87" t="str">
        <f t="shared" si="5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CAST(`0540_elgbl_amnt_own_fnds_ind_lvl`AS STRING)  AS `0540_elgbl_amnt_own_fnds_ind_lvl`, CAST(`0550_typ_own_fnds_cnsldtd_lvl`AS STRING)  AS `0550_typ_own_fnds_cnsldtd_lvl`, CAST(`0560_elgbl_amnt_own_fnds_cnsldtd_lvl`AS STRING)  AS `0560_elgbl_amnt_own_fnds_cnsldtd_lvl`, CAST(`0570_amnt_scrty_intrst_prvdd`AS STRING)  AS `0570_amnt_scrty_intrst_prvdd`, CAST(`0580_scrty_intrst_prvdr`AS STRING)  AS `0580_scrty_intrst_prvdr`, CAST(`0581_scrty_intrst_prvdr_lei`AS STRING)  AS `0581_scrty_intrst_prvdr_lei`, CAST(`0590_typ_scrty_intrst_prvdd`AS STRING)  AS `0590_typ_scrty_intrst_prvdd`, CAST(`0600_flg_clltrl_asst_pstn`AS STRING)  AS `0600_flg_clltrl_asst_pstn`, </v>
      </c>
    </row>
    <row r="88" spans="1:6" x14ac:dyDescent="0.3">
      <c r="A88" t="s">
        <v>1821</v>
      </c>
      <c r="B88" t="s">
        <v>2086</v>
      </c>
      <c r="C88" t="str">
        <f t="shared" si="3"/>
        <v>`0610_crryng_amnt_ifrs`</v>
      </c>
      <c r="D88" t="s">
        <v>2087</v>
      </c>
      <c r="E88" t="str">
        <f t="shared" si="4"/>
        <v xml:space="preserve">CAST(`0610_crryng_amnt_ifrs`AS STRING)  AS `0610_crryng_amnt_ifrs`, </v>
      </c>
      <c r="F88" t="str">
        <f t="shared" si="5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CAST(`0540_elgbl_amnt_own_fnds_ind_lvl`AS STRING)  AS `0540_elgbl_amnt_own_fnds_ind_lvl`, CAST(`0550_typ_own_fnds_cnsldtd_lvl`AS STRING)  AS `0550_typ_own_fnds_cnsldtd_lvl`, CAST(`0560_elgbl_amnt_own_fnds_cnsldtd_lvl`AS STRING)  AS `0560_elgbl_amnt_own_fnds_cnsldtd_lvl`, CAST(`0570_amnt_scrty_intrst_prvdd`AS STRING)  AS `0570_amnt_scrty_intrst_prvdd`, CAST(`0580_scrty_intrst_prvdr`AS STRING)  AS `0580_scrty_intrst_prvdr`, CAST(`0581_scrty_intrst_prvdr_lei`AS STRING)  AS `0581_scrty_intrst_prvdr_lei`, CAST(`0590_typ_scrty_intrst_prvdd`AS STRING)  AS `0590_typ_scrty_intrst_prvdd`, CAST(`0600_flg_clltrl_asst_pstn`AS STRING)  AS `0600_flg_clltrl_asst_pstn`, CAST(`0610_crryng_amnt_ifrs`AS STRING)  AS `0610_crryng_amnt_ifrs`, </v>
      </c>
    </row>
    <row r="89" spans="1:6" x14ac:dyDescent="0.3">
      <c r="A89" t="s">
        <v>1822</v>
      </c>
      <c r="B89" t="s">
        <v>2086</v>
      </c>
      <c r="C89" t="str">
        <f t="shared" si="3"/>
        <v>`0620_blnc_sht_ifrs`</v>
      </c>
      <c r="D89" t="s">
        <v>2087</v>
      </c>
      <c r="E89" t="str">
        <f t="shared" si="4"/>
        <v xml:space="preserve">CAST(`0620_blnc_sht_ifrs`AS STRING)  AS `0620_blnc_sht_ifrs`, </v>
      </c>
      <c r="F89" t="str">
        <f t="shared" si="5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CAST(`0540_elgbl_amnt_own_fnds_ind_lvl`AS STRING)  AS `0540_elgbl_amnt_own_fnds_ind_lvl`, CAST(`0550_typ_own_fnds_cnsldtd_lvl`AS STRING)  AS `0550_typ_own_fnds_cnsldtd_lvl`, CAST(`0560_elgbl_amnt_own_fnds_cnsldtd_lvl`AS STRING)  AS `0560_elgbl_amnt_own_fnds_cnsldtd_lvl`, CAST(`0570_amnt_scrty_intrst_prvdd`AS STRING)  AS `0570_amnt_scrty_intrst_prvdd`, CAST(`0580_scrty_intrst_prvdr`AS STRING)  AS `0580_scrty_intrst_prvdr`, CAST(`0581_scrty_intrst_prvdr_lei`AS STRING)  AS `0581_scrty_intrst_prvdr_lei`, CAST(`0590_typ_scrty_intrst_prvdd`AS STRING)  AS `0590_typ_scrty_intrst_prvdd`, CAST(`0600_flg_clltrl_asst_pstn`AS STRING)  AS `0600_flg_clltrl_asst_pstn`, CAST(`0610_crryng_amnt_ifrs`AS STRING)  AS `0610_crryng_amnt_ifrs`, CAST(`0620_blnc_sht_ifrs`AS STRING)  AS `0620_blnc_sht_ifrs`, </v>
      </c>
    </row>
    <row r="90" spans="1:6" x14ac:dyDescent="0.3">
      <c r="A90" t="s">
        <v>1823</v>
      </c>
      <c r="B90" t="s">
        <v>2086</v>
      </c>
      <c r="C90" t="str">
        <f t="shared" si="3"/>
        <v>`0630_crrying_amnt_ngaap`</v>
      </c>
      <c r="D90" t="s">
        <v>2087</v>
      </c>
      <c r="E90" t="str">
        <f t="shared" si="4"/>
        <v xml:space="preserve">CAST(`0630_crrying_amnt_ngaap`AS STRING)  AS `0630_crrying_amnt_ngaap`, </v>
      </c>
      <c r="F90" t="str">
        <f t="shared" si="5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CAST(`0540_elgbl_amnt_own_fnds_ind_lvl`AS STRING)  AS `0540_elgbl_amnt_own_fnds_ind_lvl`, CAST(`0550_typ_own_fnds_cnsldtd_lvl`AS STRING)  AS `0550_typ_own_fnds_cnsldtd_lvl`, CAST(`0560_elgbl_amnt_own_fnds_cnsldtd_lvl`AS STRING)  AS `0560_elgbl_amnt_own_fnds_cnsldtd_lvl`, CAST(`0570_amnt_scrty_intrst_prvdd`AS STRING)  AS `0570_amnt_scrty_intrst_prvdd`, CAST(`0580_scrty_intrst_prvdr`AS STRING)  AS `0580_scrty_intrst_prvdr`, CAST(`0581_scrty_intrst_prvdr_lei`AS STRING)  AS `0581_scrty_intrst_prvdr_lei`, CAST(`0590_typ_scrty_intrst_prvdd`AS STRING)  AS `0590_typ_scrty_intrst_prvdd`, CAST(`0600_flg_clltrl_asst_pstn`AS STRING)  AS `0600_flg_clltrl_asst_pstn`, CAST(`0610_crryng_amnt_ifrs`AS STRING)  AS `0610_crryng_amnt_ifrs`, CAST(`0620_blnc_sht_ifrs`AS STRING)  AS `0620_blnc_sht_ifrs`, CAST(`0630_crrying_amnt_ngaap`AS STRING)  AS `0630_crrying_amnt_ngaap`, </v>
      </c>
    </row>
    <row r="91" spans="1:6" x14ac:dyDescent="0.3">
      <c r="A91" t="s">
        <v>1824</v>
      </c>
      <c r="B91" t="s">
        <v>2086</v>
      </c>
      <c r="C91" t="str">
        <f t="shared" si="3"/>
        <v>`0640_blnc_sht_ngaap`</v>
      </c>
      <c r="D91" t="s">
        <v>2087</v>
      </c>
      <c r="E91" t="str">
        <f t="shared" si="4"/>
        <v xml:space="preserve">CAST(`0640_blnc_sht_ngaap`AS STRING)  AS `0640_blnc_sht_ngaap`, </v>
      </c>
      <c r="F91" t="str">
        <f t="shared" si="5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CAST(`0540_elgbl_amnt_own_fnds_ind_lvl`AS STRING)  AS `0540_elgbl_amnt_own_fnds_ind_lvl`, CAST(`0550_typ_own_fnds_cnsldtd_lvl`AS STRING)  AS `0550_typ_own_fnds_cnsldtd_lvl`, CAST(`0560_elgbl_amnt_own_fnds_cnsldtd_lvl`AS STRING)  AS `0560_elgbl_amnt_own_fnds_cnsldtd_lvl`, CAST(`0570_amnt_scrty_intrst_prvdd`AS STRING)  AS `0570_amnt_scrty_intrst_prvdd`, CAST(`0580_scrty_intrst_prvdr`AS STRING)  AS `0580_scrty_intrst_prvdr`, CAST(`0581_scrty_intrst_prvdr_lei`AS STRING)  AS `0581_scrty_intrst_prvdr_lei`, CAST(`0590_typ_scrty_intrst_prvdd`AS STRING)  AS `0590_typ_scrty_intrst_prvdd`, CAST(`0600_flg_clltrl_asst_pstn`AS STRING)  AS `0600_flg_clltrl_asst_pstn`, CAST(`0610_crryng_amnt_ifrs`AS STRING)  AS `0610_crryng_amnt_ifrs`, CAST(`0620_blnc_sht_ifrs`AS STRING)  AS `0620_blnc_sht_ifrs`, CAST(`0630_crrying_amnt_ngaap`AS STRING)  AS `0630_crrying_amnt_ngaap`, CAST(`0640_blnc_sht_ngaap`AS STRING)  AS `0640_blnc_sht_ngaap`, </v>
      </c>
    </row>
    <row r="92" spans="1:6" x14ac:dyDescent="0.3">
      <c r="A92" t="s">
        <v>1825</v>
      </c>
      <c r="B92" t="s">
        <v>2086</v>
      </c>
      <c r="C92" t="str">
        <f t="shared" si="3"/>
        <v>`5000_flg_shrhldr_not_rsltn_grp`</v>
      </c>
      <c r="D92" t="s">
        <v>2087</v>
      </c>
      <c r="E92" t="str">
        <f t="shared" si="4"/>
        <v xml:space="preserve">CAST(`5000_flg_shrhldr_not_rsltn_grp`AS STRING)  AS `5000_flg_shrhldr_not_rsltn_grp`, </v>
      </c>
      <c r="F92" t="str">
        <f t="shared" si="5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CAST(`0540_elgbl_amnt_own_fnds_ind_lvl`AS STRING)  AS `0540_elgbl_amnt_own_fnds_ind_lvl`, CAST(`0550_typ_own_fnds_cnsldtd_lvl`AS STRING)  AS `0550_typ_own_fnds_cnsldtd_lvl`, CAST(`0560_elgbl_amnt_own_fnds_cnsldtd_lvl`AS STRING)  AS `0560_elgbl_amnt_own_fnds_cnsldtd_lvl`, CAST(`0570_amnt_scrty_intrst_prvdd`AS STRING)  AS `0570_amnt_scrty_intrst_prvdd`, CAST(`0580_scrty_intrst_prvdr`AS STRING)  AS `0580_scrty_intrst_prvdr`, CAST(`0581_scrty_intrst_prvdr_lei`AS STRING)  AS `0581_scrty_intrst_prvdr_lei`, CAST(`0590_typ_scrty_intrst_prvdd`AS STRING)  AS `0590_typ_scrty_intrst_prvdd`, CAST(`0600_flg_clltrl_asst_pstn`AS STRING)  AS `0600_flg_clltrl_asst_pstn`, CAST(`0610_crryng_amnt_ifrs`AS STRING)  AS `0610_crryng_amnt_ifrs`, CAST(`0620_blnc_sht_ifrs`AS STRING)  AS `0620_blnc_sht_ifrs`, CAST(`0630_crrying_amnt_ngaap`AS STRING)  AS `0630_crrying_amnt_ngaap`, CAST(`0640_blnc_sht_ngaap`AS STRING)  AS `0640_blnc_sht_ngaap`, CAST(`5000_flg_shrhldr_not_rsltn_grp`AS STRING)  AS `5000_flg_shrhldr_not_rsltn_grp`, </v>
      </c>
    </row>
    <row r="93" spans="1:6" x14ac:dyDescent="0.3">
      <c r="A93" t="s">
        <v>1826</v>
      </c>
      <c r="B93" t="s">
        <v>2086</v>
      </c>
      <c r="C93" t="str">
        <f t="shared" si="3"/>
        <v>`5010_flg_art21_7a_srmr`</v>
      </c>
      <c r="D93" t="s">
        <v>2087</v>
      </c>
      <c r="E93" t="str">
        <f t="shared" si="4"/>
        <v xml:space="preserve">CAST(`5010_flg_art21_7a_srmr`AS STRING)  AS `5010_flg_art21_7a_srmr`, </v>
      </c>
      <c r="F93" t="str">
        <f t="shared" si="5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CAST(`0540_elgbl_amnt_own_fnds_ind_lvl`AS STRING)  AS `0540_elgbl_amnt_own_fnds_ind_lvl`, CAST(`0550_typ_own_fnds_cnsldtd_lvl`AS STRING)  AS `0550_typ_own_fnds_cnsldtd_lvl`, CAST(`0560_elgbl_amnt_own_fnds_cnsldtd_lvl`AS STRING)  AS `0560_elgbl_amnt_own_fnds_cnsldtd_lvl`, CAST(`0570_amnt_scrty_intrst_prvdd`AS STRING)  AS `0570_amnt_scrty_intrst_prvdd`, CAST(`0580_scrty_intrst_prvdr`AS STRING)  AS `0580_scrty_intrst_prvdr`, CAST(`0581_scrty_intrst_prvdr_lei`AS STRING)  AS `0581_scrty_intrst_prvdr_lei`, CAST(`0590_typ_scrty_intrst_prvdd`AS STRING)  AS `0590_typ_scrty_intrst_prvdd`, CAST(`0600_flg_clltrl_asst_pstn`AS STRING)  AS `0600_flg_clltrl_asst_pstn`, CAST(`0610_crryng_amnt_ifrs`AS STRING)  AS `0610_crryng_amnt_ifrs`, CAST(`0620_blnc_sht_ifrs`AS STRING)  AS `0620_blnc_sht_ifrs`, CAST(`0630_crrying_amnt_ngaap`AS STRING)  AS `0630_crrying_amnt_ngaap`, CAST(`0640_blnc_sht_ngaap`AS STRING)  AS `0640_blnc_sht_ngaap`, CAST(`5000_flg_shrhldr_not_rsltn_grp`AS STRING)  AS `5000_flg_shrhldr_not_rsltn_grp`, CAST(`5010_flg_art21_7a_srmr`AS STRING)  AS `5010_flg_art21_7a_srmr`, </v>
      </c>
    </row>
    <row r="94" spans="1:6" x14ac:dyDescent="0.3">
      <c r="A94" t="s">
        <v>1827</v>
      </c>
      <c r="B94" t="s">
        <v>2086</v>
      </c>
      <c r="C94" t="str">
        <f t="shared" si="3"/>
        <v>`ckutulmo`</v>
      </c>
      <c r="D94" t="s">
        <v>2087</v>
      </c>
      <c r="E94" t="str">
        <f t="shared" si="4"/>
        <v xml:space="preserve">CAST(`ckutulmo`AS STRING)  AS `ckutulmo`, </v>
      </c>
      <c r="F94" t="str">
        <f t="shared" si="5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CAST(`0540_elgbl_amnt_own_fnds_ind_lvl`AS STRING)  AS `0540_elgbl_amnt_own_fnds_ind_lvl`, CAST(`0550_typ_own_fnds_cnsldtd_lvl`AS STRING)  AS `0550_typ_own_fnds_cnsldtd_lvl`, CAST(`0560_elgbl_amnt_own_fnds_cnsldtd_lvl`AS STRING)  AS `0560_elgbl_amnt_own_fnds_cnsldtd_lvl`, CAST(`0570_amnt_scrty_intrst_prvdd`AS STRING)  AS `0570_amnt_scrty_intrst_prvdd`, CAST(`0580_scrty_intrst_prvdr`AS STRING)  AS `0580_scrty_intrst_prvdr`, CAST(`0581_scrty_intrst_prvdr_lei`AS STRING)  AS `0581_scrty_intrst_prvdr_lei`, CAST(`0590_typ_scrty_intrst_prvdd`AS STRING)  AS `0590_typ_scrty_intrst_prvdd`, CAST(`0600_flg_clltrl_asst_pstn`AS STRING)  AS `0600_flg_clltrl_asst_pstn`, CAST(`0610_crryng_amnt_ifrs`AS STRING)  AS `0610_crryng_amnt_ifrs`, CAST(`0620_blnc_sht_ifrs`AS STRING)  AS `0620_blnc_sht_ifrs`, CAST(`0630_crrying_amnt_ngaap`AS STRING)  AS `0630_crrying_amnt_ngaap`, CAST(`0640_blnc_sht_ngaap`AS STRING)  AS `0640_blnc_sht_ngaap`, CAST(`5000_flg_shrhldr_not_rsltn_grp`AS STRING)  AS `5000_flg_shrhldr_not_rsltn_grp`, CAST(`5010_flg_art21_7a_srmr`AS STRING)  AS `5010_flg_art21_7a_srmr`, CAST(`ckutulmo`AS STRING)  AS `ckutulmo`, </v>
      </c>
    </row>
    <row r="95" spans="1:6" x14ac:dyDescent="0.3">
      <c r="A95" t="s">
        <v>1828</v>
      </c>
      <c r="B95" t="s">
        <v>2086</v>
      </c>
      <c r="C95" t="str">
        <f t="shared" si="3"/>
        <v>`htimest`</v>
      </c>
      <c r="D95" t="s">
        <v>2087</v>
      </c>
      <c r="E95" t="str">
        <f t="shared" si="4"/>
        <v xml:space="preserve">CAST(`htimest`AS STRING)  AS `htimest`, </v>
      </c>
      <c r="F95" t="str">
        <f t="shared" si="5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CAST(`0540_elgbl_amnt_own_fnds_ind_lvl`AS STRING)  AS `0540_elgbl_amnt_own_fnds_ind_lvl`, CAST(`0550_typ_own_fnds_cnsldtd_lvl`AS STRING)  AS `0550_typ_own_fnds_cnsldtd_lvl`, CAST(`0560_elgbl_amnt_own_fnds_cnsldtd_lvl`AS STRING)  AS `0560_elgbl_amnt_own_fnds_cnsldtd_lvl`, CAST(`0570_amnt_scrty_intrst_prvdd`AS STRING)  AS `0570_amnt_scrty_intrst_prvdd`, CAST(`0580_scrty_intrst_prvdr`AS STRING)  AS `0580_scrty_intrst_prvdr`, CAST(`0581_scrty_intrst_prvdr_lei`AS STRING)  AS `0581_scrty_intrst_prvdr_lei`, CAST(`0590_typ_scrty_intrst_prvdd`AS STRING)  AS `0590_typ_scrty_intrst_prvdd`, CAST(`0600_flg_clltrl_asst_pstn`AS STRING)  AS `0600_flg_clltrl_asst_pstn`, CAST(`0610_crryng_amnt_ifrs`AS STRING)  AS `0610_crryng_amnt_ifrs`, CAST(`0620_blnc_sht_ifrs`AS STRING)  AS `0620_blnc_sht_ifrs`, CAST(`0630_crrying_amnt_ngaap`AS STRING)  AS `0630_crrying_amnt_ngaap`, CAST(`0640_blnc_sht_ngaap`AS STRING)  AS `0640_blnc_sht_ngaap`, CAST(`5000_flg_shrhldr_not_rsltn_grp`AS STRING)  AS `5000_flg_shrhldr_not_rsltn_grp`, CAST(`5010_flg_art21_7a_srmr`AS STRING)  AS `5010_flg_art21_7a_srmr`, CAST(`ckutulmo`AS STRING)  AS `ckutulmo`, CAST(`htimest`AS STRING)  AS `htimest`, </v>
      </c>
    </row>
    <row r="96" spans="1:6" x14ac:dyDescent="0.3">
      <c r="A96" t="s">
        <v>1829</v>
      </c>
      <c r="B96" t="s">
        <v>2086</v>
      </c>
      <c r="C96" t="str">
        <f t="shared" si="3"/>
        <v>`ref_date`</v>
      </c>
      <c r="D96" t="s">
        <v>2087</v>
      </c>
      <c r="E96" t="str">
        <f t="shared" si="4"/>
        <v xml:space="preserve">CAST(`ref_date`AS STRING)  AS `ref_date`, </v>
      </c>
      <c r="F96" t="str">
        <f t="shared" si="5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CAST(`0540_elgbl_amnt_own_fnds_ind_lvl`AS STRING)  AS `0540_elgbl_amnt_own_fnds_ind_lvl`, CAST(`0550_typ_own_fnds_cnsldtd_lvl`AS STRING)  AS `0550_typ_own_fnds_cnsldtd_lvl`, CAST(`0560_elgbl_amnt_own_fnds_cnsldtd_lvl`AS STRING)  AS `0560_elgbl_amnt_own_fnds_cnsldtd_lvl`, CAST(`0570_amnt_scrty_intrst_prvdd`AS STRING)  AS `0570_amnt_scrty_intrst_prvdd`, CAST(`0580_scrty_intrst_prvdr`AS STRING)  AS `0580_scrty_intrst_prvdr`, CAST(`0581_scrty_intrst_prvdr_lei`AS STRING)  AS `0581_scrty_intrst_prvdr_lei`, CAST(`0590_typ_scrty_intrst_prvdd`AS STRING)  AS `0590_typ_scrty_intrst_prvdd`, CAST(`0600_flg_clltrl_asst_pstn`AS STRING)  AS `0600_flg_clltrl_asst_pstn`, CAST(`0610_crryng_amnt_ifrs`AS STRING)  AS `0610_crryng_amnt_ifrs`, CAST(`0620_blnc_sht_ifrs`AS STRING)  AS `0620_blnc_sht_ifrs`, CAST(`0630_crrying_amnt_ngaap`AS STRING)  AS `0630_crrying_amnt_ngaap`, CAST(`0640_blnc_sht_ngaap`AS STRING)  AS `0640_blnc_sht_ngaap`, CAST(`5000_flg_shrhldr_not_rsltn_grp`AS STRING)  AS `5000_flg_shrhldr_not_rsltn_grp`, CAST(`5010_flg_art21_7a_srmr`AS STRING)  AS `5010_flg_art21_7a_srmr`, CAST(`ckutulmo`AS STRING)  AS `ckutulmo`, CAST(`htimest`AS STRING)  AS `htimest`, CAST(`ref_date`AS STRING)  AS `ref_date`, </v>
      </c>
    </row>
    <row r="97" spans="1:6" x14ac:dyDescent="0.3">
      <c r="A97" t="s">
        <v>1830</v>
      </c>
      <c r="B97" t="s">
        <v>2086</v>
      </c>
      <c r="C97" t="str">
        <f t="shared" si="3"/>
        <v>`cod_visao`</v>
      </c>
      <c r="D97" t="s">
        <v>2087</v>
      </c>
      <c r="E97" t="str">
        <f t="shared" si="4"/>
        <v xml:space="preserve">CAST(`cod_visao`AS STRING)  AS `cod_visao`, </v>
      </c>
      <c r="F97" t="str">
        <f t="shared" si="5"/>
        <v xml:space="preserve">CAST(`0010_row_nmbr`AS STRING)  AS `0010_row_nmbr`, CAST(`0020_uniq_id`AS STRING)  AS `0020_uniq_id`, CAST(`0030_uniq_id_knwn_cntrprty`AS STRING)  AS `0030_uniq_id_knwn_cntrprty`, CAST(`0040_typ_uniq_id_knwn_cntrprty`AS STRING)  AS `0040_typ_uniq_id_knwn_cntrprty`, CAST(`0050_orgnl_amnt_eur`AS STRING)  AS `0050_orgnl_amnt_eur`, CAST(`0060_orgnl_amnt_fx`AS STRING)  AS `0060_orgnl_amnt_fx`, CAST(`0070_cntrct_crrncy`AS STRING)  AS `0070_cntrct_crrncy`, CAST(`0080_otstndng_prncpl_amnt`AS STRING)  AS `0080_otstndng_prncpl_amnt`, CAST(`0090_prtn_amnt_rprtng_entty`AS STRING)  AS `0090_prtn_amnt_rprtng_entty`, CAST(`0100_accrd_intrst_instrmnt`AS STRING)  AS `0100_accrd_intrst_instrmnt`, CAST(`0110_applcbl_fees_charges`AS STRING)  AS `0110_applcbl_fees_charges`, CAST(`0120_otstndng_amnt`AS STRING)  AS `0120_otstndng_amnt`, CAST(`0130_rlvnt_amnt_wdc`AS STRING)  AS `0130_rlvnt_amnt_wdc`, CAST(`0140_ntr_lblty`AS STRING)  AS `0140_ntr_lblty`, CAST(`0141_ntr_lblty_othr`AS STRING)  AS `0141_ntr_lblty_othr`, CAST(`0150_flg_strctrlly_sbrdntd`AS STRING)  AS `0150_flg_strctrlly_sbrdntd`, CAST(`0160_rank_insolv`AS STRING)  AS `0160_rank_insolv`, CAST(`0161_cntrctl_sbrdntn`AS STRING)  AS `0161_cntrctl_sbrdntn`, CAST(`0162_bail_in_cascade`AS STRING)  AS `0162_bail_in_cascade`, CAST(`0170_dt_incptn`AS STRING)  AS `0170_dt_incptn`, CAST(`0180_dt_nxt_intrst_pymnt`AS STRING)  AS `0180_dt_nxt_intrst_pymnt`, CAST(`0190_dt_nxt_rdmptn_pymnt`AS STRING)  AS `0190_dt_nxt_rdmptn_pymnt`, CAST(`0200_dt_erlst_rdmptn`AS STRING)  AS `0200_dt_erlst_rdmptn`, CAST(`0210_dt_lgl_fnl_mtrty`AS STRING)  AS `0210_dt_lgl_fnl_mtrty`, CAST(`0220_governing_law`AS STRING)  AS `0220_governing_law`, CAST(`0230_bail_in_rcgntn_cls`AS STRING)  AS `0230_bail_in_rcgntn_cls`, CAST(`0240_zero_coupon`AS STRING)  AS `0240_zero_coupon`, CAST(`0250_strctrd_prdct`AS STRING)  AS `0250_strctrd_prdct`, CAST(`0260_grntd_min_amnt_strctrd_prdct`AS STRING)  AS `0260_grntd_min_amnt_strctrd_prdct`, CAST(`0270_fv_amnt_strctrd_prdct`AS STRING)  AS `0270_fv_amnt_strctrd_prdct`, CAST(`0280_flg_ncnp_dpsts`AS STRING)  AS `0280_flg_ncnp_dpsts`, CAST(`0290_flg_ncbp_dpsts`AS STRING)  AS `0290_flg_ncbp_dpsts`, CAST(`0300_amnt_cvrd_elgbl_dpsts`AS STRING)  AS `0300_amnt_cvrd_elgbl_dpsts`, CAST(`0310_flg_clltrl_agrmnts`AS STRING)  AS `0310_flg_clltrl_agrmnts`, CAST(`0320_amnt_clltrl`AS STRING)  AS `0320_amnt_clltrl`, CAST(`0330_amnt_unclltrlzd`AS STRING)  AS `0330_amnt_unclltrlzd`, CAST(`0340_id_clltrl`AS STRING)  AS `0340_id_clltrl`, CAST(`0350_typ_clltrl`AS STRING)  AS `0350_typ_clltrl`, CAST(`0351_typ_clltrl_othr`AS STRING)  AS `0351_typ_clltrl_othr`, CAST(`0360_trdng_mthd`AS STRING)  AS `0360_trdng_mthd`, CAST(`0370_amnt_scrty_eur`AS STRING)  AS `0370_amnt_scrty_eur`, CAST(`0380_amnt_scrty_fx`AS STRING)  AS `0380_amnt_scrty_fx`, CAST(`0390_nmbr_scrts_not_rprtng_entty`AS STRING)  AS `0390_nmbr_scrts_not_rprtng_entty`, CAST(`0391_nmbr_scrts_rprtng_entty`AS STRING)  AS `0391_nmbr_scrts_rprtng_entty`, CAST(`0400_accrd_intrst_scrty`AS STRING)  AS `0400_accrd_intrst_scrty`, CAST(`0410_fees_charges_scrty`AS STRING)  AS `0410_fees_charges_scrty`, CAST(`0420_fv_amnt_scrty`AS STRING)  AS `0420_fv_amnt_scrty`, CAST(`0430_prncpl_amnt_glbl_nt_eur`AS STRING)  AS `0430_prncpl_amnt_glbl_nt_eur`, CAST(`0431_prncpl_amnt_glbl_nt_fx`AS STRING)  AS `0431_prncpl_amnt_glbl_nt_fx`, CAST(`0440_ntr_glbl_nt`AS STRING)  AS `0440_ntr_glbl_nt`, CAST(`0450_crrnt_pool_fctr`AS STRING)  AS `0450_crrnt_pool_fctr`, CAST(`0460_csd`AS STRING)  AS `0460_csd`, CAST(`0461_csd_lei`AS STRING)  AS `0461_csd_lei`, CAST(`0462_csd_othr`AS STRING)  AS `0462_csd_othr`, CAST(`0470_pyng_agnt`AS STRING)  AS `0470_pyng_agnt`, CAST(`0471_pyng_agnt_lei`AS STRING)  AS `0471_pyng_agnt_lei`, CAST(`0480_trdng_vn`AS STRING)  AS `0480_trdng_vn`, CAST(`0481_trdng_vn_lei`AS STRING)  AS `0481_trdng_vn_lei`, CAST(`0490_rgstrr`AS STRING)  AS `0490_rgstrr`, CAST(`0491_rgstrr_lei`AS STRING)  AS `0491_rgstrr_lei`, CAST(`0500_nna`AS STRING)  AS `0500_nna`, CAST(`0501_nna_lei`AS STRING)  AS `0501_nna_lei`, CAST(`0510_cmmn_dpstry`AS STRING)  AS `0510_cmmn_dpstry`, CAST(`0511_cmmn_dpstry_lei`AS STRING)  AS `0511_cmmn_dpstry_lei`, CAST(`0520_cmmn_srvc_prvdr`AS STRING)  AS `0520_cmmn_srvc_prvdr`, CAST(`0521_cmmn_srvc_prvdr_lei`AS STRING)  AS `0521_cmmn_srvc_prvdr_lei`, CAST(`0530_typ_own_fnds_ind_lvl`AS STRING)  AS `0530_typ_own_fnds_ind_lvl`, CAST(`0540_elgbl_amnt_own_fnds_ind_lvl`AS STRING)  AS `0540_elgbl_amnt_own_fnds_ind_lvl`, CAST(`0550_typ_own_fnds_cnsldtd_lvl`AS STRING)  AS `0550_typ_own_fnds_cnsldtd_lvl`, CAST(`0560_elgbl_amnt_own_fnds_cnsldtd_lvl`AS STRING)  AS `0560_elgbl_amnt_own_fnds_cnsldtd_lvl`, CAST(`0570_amnt_scrty_intrst_prvdd`AS STRING)  AS `0570_amnt_scrty_intrst_prvdd`, CAST(`0580_scrty_intrst_prvdr`AS STRING)  AS `0580_scrty_intrst_prvdr`, CAST(`0581_scrty_intrst_prvdr_lei`AS STRING)  AS `0581_scrty_intrst_prvdr_lei`, CAST(`0590_typ_scrty_intrst_prvdd`AS STRING)  AS `0590_typ_scrty_intrst_prvdd`, CAST(`0600_flg_clltrl_asst_pstn`AS STRING)  AS `0600_flg_clltrl_asst_pstn`, CAST(`0610_crryng_amnt_ifrs`AS STRING)  AS `0610_crryng_amnt_ifrs`, CAST(`0620_blnc_sht_ifrs`AS STRING)  AS `0620_blnc_sht_ifrs`, CAST(`0630_crrying_amnt_ngaap`AS STRING)  AS `0630_crrying_amnt_ngaap`, CAST(`0640_blnc_sht_ngaap`AS STRING)  AS `0640_blnc_sht_ngaap`, CAST(`5000_flg_shrhldr_not_rsltn_grp`AS STRING)  AS `5000_flg_shrhldr_not_rsltn_grp`, CAST(`5010_flg_art21_7a_srmr`AS STRING)  AS `5010_flg_art21_7a_srmr`, CAST(`ckutulmo`AS STRING)  AS `ckutulmo`, CAST(`htimest`AS STRING)  AS `htimest`, CAST(`ref_date`AS STRING)  AS `ref_date`, CAST(`cod_visao`AS STRING)  AS `cod_visao`, </v>
      </c>
    </row>
    <row r="99" spans="1:6" x14ac:dyDescent="0.3">
      <c r="C99" t="s">
        <v>2088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459A-9611-4BB1-83E5-093567304221}">
  <dimension ref="A1:F15"/>
  <sheetViews>
    <sheetView tabSelected="1" topLeftCell="A5" workbookViewId="0">
      <selection activeCell="F15" sqref="F15"/>
    </sheetView>
  </sheetViews>
  <sheetFormatPr defaultRowHeight="14.4" x14ac:dyDescent="0.3"/>
  <cols>
    <col min="1" max="1" width="23.21875" bestFit="1" customWidth="1"/>
  </cols>
  <sheetData>
    <row r="1" spans="1:6" x14ac:dyDescent="0.3">
      <c r="A1" t="s">
        <v>1746</v>
      </c>
      <c r="B1" t="s">
        <v>2086</v>
      </c>
      <c r="C1" t="str">
        <f>+"`"&amp;A1&amp;"`"</f>
        <v>`0010_row_nmbr`</v>
      </c>
      <c r="D1" t="s">
        <v>2087</v>
      </c>
      <c r="E1" t="str">
        <f>+B1&amp;C1&amp;D1&amp;" AS "&amp;C1&amp;", "</f>
        <v xml:space="preserve">CAST(`0010_row_nmbr`AS STRING)  AS `0010_row_nmbr`, </v>
      </c>
      <c r="F1" t="str">
        <f>+E1</f>
        <v xml:space="preserve">CAST(`0010_row_nmbr`AS STRING)  AS `0010_row_nmbr`, </v>
      </c>
    </row>
    <row r="2" spans="1:6" x14ac:dyDescent="0.3">
      <c r="A2" t="s">
        <v>2089</v>
      </c>
      <c r="B2" t="s">
        <v>2086</v>
      </c>
      <c r="C2" t="str">
        <f t="shared" ref="C2:C3" si="0">+"`"&amp;A2&amp;"`"</f>
        <v>`0011_tab_origin`</v>
      </c>
      <c r="D2" t="s">
        <v>2087</v>
      </c>
      <c r="E2" t="str">
        <f t="shared" ref="E2:E3" si="1">+B2&amp;C2&amp;D2&amp;" AS "&amp;C2&amp;", "</f>
        <v xml:space="preserve">CAST(`0011_tab_origin`AS STRING)  AS `0011_tab_origin`, </v>
      </c>
      <c r="F2" t="str">
        <f>+F1&amp;E2</f>
        <v xml:space="preserve">CAST(`0010_row_nmbr`AS STRING)  AS `0010_row_nmbr`, CAST(`0011_tab_origin`AS STRING)  AS `0011_tab_origin`, </v>
      </c>
    </row>
    <row r="3" spans="1:6" x14ac:dyDescent="0.3">
      <c r="A3" t="s">
        <v>2090</v>
      </c>
      <c r="B3" t="s">
        <v>2086</v>
      </c>
      <c r="C3" t="str">
        <f t="shared" si="0"/>
        <v>`0020_uniq_id_knwn_cntrprty`</v>
      </c>
      <c r="D3" t="s">
        <v>2087</v>
      </c>
      <c r="E3" t="str">
        <f t="shared" si="1"/>
        <v xml:space="preserve">CAST(`0020_uniq_id_knwn_cntrprty`AS STRING)  AS `0020_uniq_id_knwn_cntrprty`, </v>
      </c>
      <c r="F3" t="str">
        <f t="shared" ref="F3:F11" si="2">+F2&amp;E3</f>
        <v xml:space="preserve">CAST(`0010_row_nmbr`AS STRING)  AS `0010_row_nmbr`, CAST(`0011_tab_origin`AS STRING)  AS `0011_tab_origin`, CAST(`0020_uniq_id_knwn_cntrprty`AS STRING)  AS `0020_uniq_id_knwn_cntrprty`, </v>
      </c>
    </row>
    <row r="4" spans="1:6" x14ac:dyDescent="0.3">
      <c r="A4" t="s">
        <v>2091</v>
      </c>
      <c r="B4" t="s">
        <v>2086</v>
      </c>
      <c r="C4" t="str">
        <f t="shared" ref="C4:C11" si="3">+"`"&amp;A4&amp;"`"</f>
        <v>`0030_cntrprty_rsltn_grp`</v>
      </c>
      <c r="D4" t="s">
        <v>2087</v>
      </c>
      <c r="E4" t="str">
        <f t="shared" ref="E4:E11" si="4">+B4&amp;C4&amp;D4&amp;" AS "&amp;C4&amp;", "</f>
        <v xml:space="preserve">CAST(`0030_cntrprty_rsltn_grp`AS STRING)  AS `0030_cntrprty_rsltn_grp`, </v>
      </c>
      <c r="F4" t="str">
        <f t="shared" si="2"/>
        <v xml:space="preserve">CAST(`0010_row_nmbr`AS STRING)  AS `0010_row_nmbr`, CAST(`0011_tab_origin`AS STRING)  AS `0011_tab_origin`, CAST(`0020_uniq_id_knwn_cntrprty`AS STRING)  AS `0020_uniq_id_knwn_cntrprty`, CAST(`0030_cntrprty_rsltn_grp`AS STRING)  AS `0030_cntrprty_rsltn_grp`, </v>
      </c>
    </row>
    <row r="5" spans="1:6" x14ac:dyDescent="0.3">
      <c r="A5" t="s">
        <v>2092</v>
      </c>
      <c r="B5" t="s">
        <v>2086</v>
      </c>
      <c r="C5" t="str">
        <f t="shared" si="3"/>
        <v>`0040_cntrprty_nm`</v>
      </c>
      <c r="D5" t="s">
        <v>2087</v>
      </c>
      <c r="E5" t="str">
        <f t="shared" si="4"/>
        <v xml:space="preserve">CAST(`0040_cntrprty_nm`AS STRING)  AS `0040_cntrprty_nm`, </v>
      </c>
      <c r="F5" t="str">
        <f t="shared" si="2"/>
        <v xml:space="preserve">CAST(`0010_row_nmbr`AS STRING)  AS `0010_row_nmbr`, CAST(`0011_tab_origin`AS STRING)  AS `0011_tab_origin`, CAST(`0020_uniq_id_knwn_cntrprty`AS STRING)  AS `0020_uniq_id_knwn_cntrprty`, CAST(`0030_cntrprty_rsltn_grp`AS STRING)  AS `0030_cntrprty_rsltn_grp`, CAST(`0040_cntrprty_nm`AS STRING)  AS `0040_cntrprty_nm`, </v>
      </c>
    </row>
    <row r="6" spans="1:6" x14ac:dyDescent="0.3">
      <c r="A6" t="s">
        <v>2093</v>
      </c>
      <c r="B6" t="s">
        <v>2086</v>
      </c>
      <c r="C6" t="str">
        <f t="shared" si="3"/>
        <v>`0050_cntrprty_lei`</v>
      </c>
      <c r="D6" t="s">
        <v>2087</v>
      </c>
      <c r="E6" t="str">
        <f t="shared" si="4"/>
        <v xml:space="preserve">CAST(`0050_cntrprty_lei`AS STRING)  AS `0050_cntrprty_lei`, </v>
      </c>
      <c r="F6" t="str">
        <f t="shared" si="2"/>
        <v xml:space="preserve">CAST(`0010_row_nmbr`AS STRING)  AS `0010_row_nmbr`, CAST(`0011_tab_origin`AS STRING)  AS `0011_tab_origin`, CAST(`0020_uniq_id_knwn_cntrprty`AS STRING)  AS `0020_uniq_id_knwn_cntrprty`, CAST(`0030_cntrprty_rsltn_grp`AS STRING)  AS `0030_cntrprty_rsltn_grp`, CAST(`0040_cntrprty_nm`AS STRING)  AS `0040_cntrprty_nm`, CAST(`0050_cntrprty_lei`AS STRING)  AS `0050_cntrprty_lei`, </v>
      </c>
    </row>
    <row r="7" spans="1:6" x14ac:dyDescent="0.3">
      <c r="A7" t="s">
        <v>2094</v>
      </c>
      <c r="B7" t="s">
        <v>2086</v>
      </c>
      <c r="C7" t="str">
        <f t="shared" si="3"/>
        <v>`0060_typ_cntrprty_id`</v>
      </c>
      <c r="D7" t="s">
        <v>2087</v>
      </c>
      <c r="E7" t="str">
        <f t="shared" si="4"/>
        <v xml:space="preserve">CAST(`0060_typ_cntrprty_id`AS STRING)  AS `0060_typ_cntrprty_id`, </v>
      </c>
      <c r="F7" t="str">
        <f t="shared" si="2"/>
        <v xml:space="preserve">CAST(`0010_row_nmbr`AS STRING)  AS `0010_row_nmbr`, CAST(`0011_tab_origin`AS STRING)  AS `0011_tab_origin`, CAST(`0020_uniq_id_knwn_cntrprty`AS STRING)  AS `0020_uniq_id_knwn_cntrprty`, CAST(`0030_cntrprty_rsltn_grp`AS STRING)  AS `0030_cntrprty_rsltn_grp`, CAST(`0040_cntrprty_nm`AS STRING)  AS `0040_cntrprty_nm`, CAST(`0050_cntrprty_lei`AS STRING)  AS `0050_cntrprty_lei`, CAST(`0060_typ_cntrprty_id`AS STRING)  AS `0060_typ_cntrprty_id`, </v>
      </c>
    </row>
    <row r="8" spans="1:6" x14ac:dyDescent="0.3">
      <c r="A8" t="s">
        <v>2095</v>
      </c>
      <c r="B8" t="s">
        <v>2086</v>
      </c>
      <c r="C8" t="str">
        <f t="shared" si="3"/>
        <v>`0070_cntrprty_id`</v>
      </c>
      <c r="D8" t="s">
        <v>2087</v>
      </c>
      <c r="E8" t="str">
        <f t="shared" si="4"/>
        <v xml:space="preserve">CAST(`0070_cntrprty_id`AS STRING)  AS `0070_cntrprty_id`, </v>
      </c>
      <c r="F8" t="str">
        <f t="shared" si="2"/>
        <v xml:space="preserve">CAST(`0010_row_nmbr`AS STRING)  AS `0010_row_nmbr`, CAST(`0011_tab_origin`AS STRING)  AS `0011_tab_origin`, CAST(`0020_uniq_id_knwn_cntrprty`AS STRING)  AS `0020_uniq_id_knwn_cntrprty`, CAST(`0030_cntrprty_rsltn_grp`AS STRING)  AS `0030_cntrprty_rsltn_grp`, CAST(`0040_cntrprty_nm`AS STRING)  AS `0040_cntrprty_nm`, CAST(`0050_cntrprty_lei`AS STRING)  AS `0050_cntrprty_lei`, CAST(`0060_typ_cntrprty_id`AS STRING)  AS `0060_typ_cntrprty_id`, CAST(`0070_cntrprty_id`AS STRING)  AS `0070_cntrprty_id`, </v>
      </c>
    </row>
    <row r="9" spans="1:6" x14ac:dyDescent="0.3">
      <c r="A9" t="s">
        <v>2096</v>
      </c>
      <c r="B9" t="s">
        <v>2086</v>
      </c>
      <c r="C9" t="str">
        <f t="shared" si="3"/>
        <v>`0080_cntrprty_typ`</v>
      </c>
      <c r="D9" t="s">
        <v>2087</v>
      </c>
      <c r="E9" t="str">
        <f t="shared" si="4"/>
        <v xml:space="preserve">CAST(`0080_cntrprty_typ`AS STRING)  AS `0080_cntrprty_typ`, </v>
      </c>
      <c r="F9" t="str">
        <f t="shared" si="2"/>
        <v xml:space="preserve">CAST(`0010_row_nmbr`AS STRING)  AS `0010_row_nmbr`, CAST(`0011_tab_origin`AS STRING)  AS `0011_tab_origin`, CAST(`0020_uniq_id_knwn_cntrprty`AS STRING)  AS `0020_uniq_id_knwn_cntrprty`, CAST(`0030_cntrprty_rsltn_grp`AS STRING)  AS `0030_cntrprty_rsltn_grp`, CAST(`0040_cntrprty_nm`AS STRING)  AS `0040_cntrprty_nm`, CAST(`0050_cntrprty_lei`AS STRING)  AS `0050_cntrprty_lei`, CAST(`0060_typ_cntrprty_id`AS STRING)  AS `0060_typ_cntrprty_id`, CAST(`0070_cntrprty_id`AS STRING)  AS `0070_cntrprty_id`, CAST(`0080_cntrprty_typ`AS STRING)  AS `0080_cntrprty_typ`, </v>
      </c>
    </row>
    <row r="10" spans="1:6" x14ac:dyDescent="0.3">
      <c r="A10" t="s">
        <v>2097</v>
      </c>
      <c r="B10" t="s">
        <v>2086</v>
      </c>
      <c r="C10" t="str">
        <f t="shared" si="3"/>
        <v>`0090_cntry_cntrprty`</v>
      </c>
      <c r="D10" t="s">
        <v>2087</v>
      </c>
      <c r="E10" t="str">
        <f t="shared" si="4"/>
        <v xml:space="preserve">CAST(`0090_cntry_cntrprty`AS STRING)  AS `0090_cntry_cntrprty`, </v>
      </c>
      <c r="F10" t="str">
        <f t="shared" si="2"/>
        <v xml:space="preserve">CAST(`0010_row_nmbr`AS STRING)  AS `0010_row_nmbr`, CAST(`0011_tab_origin`AS STRING)  AS `0011_tab_origin`, CAST(`0020_uniq_id_knwn_cntrprty`AS STRING)  AS `0020_uniq_id_knwn_cntrprty`, CAST(`0030_cntrprty_rsltn_grp`AS STRING)  AS `0030_cntrprty_rsltn_grp`, CAST(`0040_cntrprty_nm`AS STRING)  AS `0040_cntrprty_nm`, CAST(`0050_cntrprty_lei`AS STRING)  AS `0050_cntrprty_lei`, CAST(`0060_typ_cntrprty_id`AS STRING)  AS `0060_typ_cntrprty_id`, CAST(`0070_cntrprty_id`AS STRING)  AS `0070_cntrprty_id`, CAST(`0080_cntrprty_typ`AS STRING)  AS `0080_cntrprty_typ`, CAST(`0090_cntry_cntrprty`AS STRING)  AS `0090_cntry_cntrprty`, </v>
      </c>
    </row>
    <row r="11" spans="1:6" x14ac:dyDescent="0.3">
      <c r="A11" t="s">
        <v>2098</v>
      </c>
      <c r="B11" t="s">
        <v>2086</v>
      </c>
      <c r="C11" t="str">
        <f t="shared" si="3"/>
        <v>`0100_rlvnt_amnt_wdc`</v>
      </c>
      <c r="D11" t="s">
        <v>2087</v>
      </c>
      <c r="E11" t="str">
        <f t="shared" si="4"/>
        <v xml:space="preserve">CAST(`0100_rlvnt_amnt_wdc`AS STRING)  AS `0100_rlvnt_amnt_wdc`, </v>
      </c>
      <c r="F11" t="str">
        <f t="shared" si="2"/>
        <v xml:space="preserve">CAST(`0010_row_nmbr`AS STRING)  AS `0010_row_nmbr`, CAST(`0011_tab_origin`AS STRING)  AS `0011_tab_origin`, CAST(`0020_uniq_id_knwn_cntrprty`AS STRING)  AS `0020_uniq_id_knwn_cntrprty`, CAST(`0030_cntrprty_rsltn_grp`AS STRING)  AS `0030_cntrprty_rsltn_grp`, CAST(`0040_cntrprty_nm`AS STRING)  AS `0040_cntrprty_nm`, CAST(`0050_cntrprty_lei`AS STRING)  AS `0050_cntrprty_lei`, CAST(`0060_typ_cntrprty_id`AS STRING)  AS `0060_typ_cntrprty_id`, CAST(`0070_cntrprty_id`AS STRING)  AS `0070_cntrprty_id`, CAST(`0080_cntrprty_typ`AS STRING)  AS `0080_cntrprty_typ`, CAST(`0090_cntry_cntrprty`AS STRING)  AS `0090_cntry_cntrprty`, CAST(`0100_rlvnt_amnt_wdc`AS STRING)  AS `0100_rlvnt_amnt_wdc`, </v>
      </c>
    </row>
    <row r="15" spans="1:6" x14ac:dyDescent="0.3">
      <c r="F15" t="s">
        <v>2099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FAB8-9443-4CEF-9F1B-23B0CF346A41}">
  <dimension ref="A1:CI9"/>
  <sheetViews>
    <sheetView workbookViewId="0"/>
  </sheetViews>
  <sheetFormatPr defaultRowHeight="14.4" x14ac:dyDescent="0.3"/>
  <cols>
    <col min="1" max="1" width="5.21875" bestFit="1" customWidth="1"/>
    <col min="2" max="2" width="34.6640625" bestFit="1" customWidth="1"/>
    <col min="3" max="3" width="14.109375" bestFit="1" customWidth="1"/>
    <col min="4" max="4" width="4.21875" bestFit="1" customWidth="1"/>
    <col min="5" max="5" width="11" bestFit="1" customWidth="1"/>
    <col min="6" max="6" width="6" bestFit="1" customWidth="1"/>
    <col min="7" max="7" width="4.33203125" bestFit="1" customWidth="1"/>
    <col min="8" max="8" width="11" bestFit="1" customWidth="1"/>
    <col min="9" max="9" width="8" bestFit="1" customWidth="1"/>
    <col min="10" max="11" width="2" bestFit="1" customWidth="1"/>
    <col min="12" max="13" width="11" bestFit="1" customWidth="1"/>
    <col min="14" max="14" width="15" bestFit="1" customWidth="1"/>
    <col min="15" max="16" width="12.5546875" bestFit="1" customWidth="1"/>
    <col min="17" max="17" width="2" bestFit="1" customWidth="1"/>
    <col min="18" max="18" width="6" bestFit="1" customWidth="1"/>
    <col min="19" max="19" width="2" bestFit="1" customWidth="1"/>
    <col min="20" max="24" width="10.33203125" bestFit="1" customWidth="1"/>
    <col min="25" max="25" width="3" bestFit="1" customWidth="1"/>
    <col min="26" max="26" width="26.5546875" bestFit="1" customWidth="1"/>
    <col min="27" max="27" width="6.88671875" bestFit="1" customWidth="1"/>
    <col min="28" max="28" width="19.6640625" bestFit="1" customWidth="1"/>
    <col min="29" max="33" width="6" bestFit="1" customWidth="1"/>
    <col min="34" max="34" width="9.77734375" bestFit="1" customWidth="1"/>
    <col min="35" max="36" width="6" bestFit="1" customWidth="1"/>
    <col min="37" max="39" width="12.5546875" bestFit="1" customWidth="1"/>
    <col min="40" max="40" width="4.21875" bestFit="1" customWidth="1"/>
    <col min="41" max="42" width="2" bestFit="1" customWidth="1"/>
    <col min="43" max="43" width="11" bestFit="1" customWidth="1"/>
    <col min="44" max="44" width="8" bestFit="1" customWidth="1"/>
    <col min="45" max="46" width="2" bestFit="1" customWidth="1"/>
    <col min="47" max="49" width="6" bestFit="1" customWidth="1"/>
    <col min="50" max="50" width="12.5546875" bestFit="1" customWidth="1"/>
    <col min="51" max="51" width="6.6640625" bestFit="1" customWidth="1"/>
    <col min="52" max="52" width="14.109375" bestFit="1" customWidth="1"/>
    <col min="53" max="53" width="22.88671875" bestFit="1" customWidth="1"/>
    <col min="54" max="54" width="12.5546875" bestFit="1" customWidth="1"/>
    <col min="55" max="55" width="27" bestFit="1" customWidth="1"/>
    <col min="56" max="56" width="21.44140625" bestFit="1" customWidth="1"/>
    <col min="57" max="58" width="12.5546875" bestFit="1" customWidth="1"/>
    <col min="59" max="59" width="14.109375" bestFit="1" customWidth="1"/>
    <col min="60" max="60" width="22.88671875" bestFit="1" customWidth="1"/>
    <col min="61" max="61" width="14.109375" bestFit="1" customWidth="1"/>
    <col min="62" max="62" width="22.88671875" bestFit="1" customWidth="1"/>
    <col min="63" max="66" width="12.5546875" bestFit="1" customWidth="1"/>
    <col min="67" max="67" width="5.109375" bestFit="1" customWidth="1"/>
    <col min="68" max="68" width="11" bestFit="1" customWidth="1"/>
    <col min="69" max="69" width="5.109375" bestFit="1" customWidth="1"/>
    <col min="70" max="70" width="11" bestFit="1" customWidth="1"/>
    <col min="71" max="71" width="2" bestFit="1" customWidth="1"/>
    <col min="72" max="74" width="12.5546875" bestFit="1" customWidth="1"/>
    <col min="75" max="75" width="6" bestFit="1" customWidth="1"/>
    <col min="76" max="76" width="11" bestFit="1" customWidth="1"/>
    <col min="77" max="77" width="13.44140625" bestFit="1" customWidth="1"/>
    <col min="78" max="78" width="6" bestFit="1" customWidth="1"/>
    <col min="79" max="79" width="12.5546875" bestFit="1" customWidth="1"/>
    <col min="80" max="80" width="6" bestFit="1" customWidth="1"/>
    <col min="81" max="81" width="5.21875" bestFit="1" customWidth="1"/>
    <col min="82" max="82" width="11.6640625" bestFit="1" customWidth="1"/>
    <col min="83" max="83" width="8" bestFit="1" customWidth="1"/>
    <col min="84" max="84" width="11" bestFit="1" customWidth="1"/>
    <col min="85" max="86" width="2" bestFit="1" customWidth="1"/>
    <col min="87" max="87" width="10.33203125" bestFit="1" customWidth="1"/>
  </cols>
  <sheetData>
    <row r="1" spans="1:87" x14ac:dyDescent="0.3">
      <c r="A1" t="s">
        <v>1746</v>
      </c>
      <c r="B1" t="s">
        <v>1747</v>
      </c>
      <c r="C1" t="s">
        <v>1748</v>
      </c>
      <c r="D1" t="s">
        <v>1749</v>
      </c>
      <c r="E1" t="s">
        <v>1750</v>
      </c>
      <c r="F1" t="s">
        <v>1751</v>
      </c>
      <c r="G1" t="s">
        <v>1752</v>
      </c>
      <c r="H1" t="s">
        <v>1753</v>
      </c>
      <c r="I1" t="s">
        <v>1754</v>
      </c>
      <c r="J1" t="s">
        <v>1755</v>
      </c>
      <c r="K1" t="s">
        <v>1756</v>
      </c>
      <c r="L1" t="s">
        <v>1757</v>
      </c>
      <c r="M1" t="s">
        <v>1758</v>
      </c>
      <c r="N1" t="s">
        <v>1759</v>
      </c>
      <c r="O1" t="s">
        <v>1760</v>
      </c>
      <c r="P1" t="s">
        <v>1761</v>
      </c>
      <c r="Q1" t="s">
        <v>1762</v>
      </c>
      <c r="R1" t="s">
        <v>1763</v>
      </c>
      <c r="S1" t="s">
        <v>1764</v>
      </c>
      <c r="T1" t="s">
        <v>1765</v>
      </c>
      <c r="U1" t="s">
        <v>1766</v>
      </c>
      <c r="V1" t="s">
        <v>1767</v>
      </c>
      <c r="W1" t="s">
        <v>1768</v>
      </c>
      <c r="X1" t="s">
        <v>1769</v>
      </c>
      <c r="Y1" t="s">
        <v>1770</v>
      </c>
      <c r="Z1" t="s">
        <v>1771</v>
      </c>
      <c r="AA1" t="s">
        <v>1772</v>
      </c>
      <c r="AB1" t="s">
        <v>1773</v>
      </c>
      <c r="AC1" t="s">
        <v>1774</v>
      </c>
      <c r="AD1" t="s">
        <v>1775</v>
      </c>
      <c r="AE1" t="s">
        <v>1776</v>
      </c>
      <c r="AF1" t="s">
        <v>1777</v>
      </c>
      <c r="AG1" t="s">
        <v>1778</v>
      </c>
      <c r="AH1" t="s">
        <v>1779</v>
      </c>
      <c r="AI1" t="s">
        <v>1780</v>
      </c>
      <c r="AJ1" t="s">
        <v>1781</v>
      </c>
      <c r="AK1" t="s">
        <v>1782</v>
      </c>
      <c r="AL1" t="s">
        <v>1783</v>
      </c>
      <c r="AM1" t="s">
        <v>1784</v>
      </c>
      <c r="AN1" t="s">
        <v>1785</v>
      </c>
      <c r="AO1" t="s">
        <v>1786</v>
      </c>
      <c r="AP1" t="s">
        <v>1787</v>
      </c>
      <c r="AQ1" t="s">
        <v>1788</v>
      </c>
      <c r="AR1" t="s">
        <v>1789</v>
      </c>
      <c r="AS1" t="s">
        <v>1790</v>
      </c>
      <c r="AT1" t="s">
        <v>1791</v>
      </c>
      <c r="AU1" t="s">
        <v>1792</v>
      </c>
      <c r="AV1" t="s">
        <v>1793</v>
      </c>
      <c r="AW1" t="s">
        <v>1794</v>
      </c>
      <c r="AX1" t="s">
        <v>1795</v>
      </c>
      <c r="AY1" t="s">
        <v>1796</v>
      </c>
      <c r="AZ1" t="s">
        <v>1797</v>
      </c>
      <c r="BA1" t="s">
        <v>1798</v>
      </c>
      <c r="BB1" t="s">
        <v>1799</v>
      </c>
      <c r="BC1" t="s">
        <v>1800</v>
      </c>
      <c r="BD1" t="s">
        <v>1801</v>
      </c>
      <c r="BE1" t="s">
        <v>1802</v>
      </c>
      <c r="BF1" t="s">
        <v>1803</v>
      </c>
      <c r="BG1" t="s">
        <v>1804</v>
      </c>
      <c r="BH1" t="s">
        <v>1805</v>
      </c>
      <c r="BI1" t="s">
        <v>1806</v>
      </c>
      <c r="BJ1" t="s">
        <v>1807</v>
      </c>
      <c r="BK1" t="s">
        <v>1808</v>
      </c>
      <c r="BL1" t="s">
        <v>1809</v>
      </c>
      <c r="BM1" t="s">
        <v>1810</v>
      </c>
      <c r="BN1" t="s">
        <v>1811</v>
      </c>
      <c r="BO1" t="s">
        <v>1812</v>
      </c>
      <c r="BP1" t="s">
        <v>1813</v>
      </c>
      <c r="BQ1" t="s">
        <v>1814</v>
      </c>
      <c r="BR1" t="s">
        <v>1815</v>
      </c>
      <c r="BS1" t="s">
        <v>1816</v>
      </c>
      <c r="BT1" t="s">
        <v>1817</v>
      </c>
      <c r="BU1" t="s">
        <v>1818</v>
      </c>
      <c r="BV1" t="s">
        <v>1819</v>
      </c>
      <c r="BW1" t="s">
        <v>1820</v>
      </c>
      <c r="BX1" t="s">
        <v>1821</v>
      </c>
      <c r="BY1" t="s">
        <v>1822</v>
      </c>
      <c r="BZ1" t="s">
        <v>1823</v>
      </c>
      <c r="CA1" t="s">
        <v>1824</v>
      </c>
      <c r="CB1" t="s">
        <v>1825</v>
      </c>
      <c r="CC1" t="s">
        <v>1826</v>
      </c>
      <c r="CD1" t="s">
        <v>2040</v>
      </c>
      <c r="CE1" t="s">
        <v>2041</v>
      </c>
      <c r="CF1" t="s">
        <v>2042</v>
      </c>
      <c r="CG1" t="s">
        <v>2043</v>
      </c>
      <c r="CH1" t="s">
        <v>2044</v>
      </c>
      <c r="CI1" t="s">
        <v>1829</v>
      </c>
    </row>
    <row r="2" spans="1:87" x14ac:dyDescent="0.3">
      <c r="A2">
        <v>1</v>
      </c>
      <c r="B2" t="s">
        <v>0</v>
      </c>
      <c r="C2" t="s">
        <v>1</v>
      </c>
      <c r="D2" t="s">
        <v>2</v>
      </c>
      <c r="E2">
        <v>7599000</v>
      </c>
      <c r="F2">
        <v>999999999999999</v>
      </c>
      <c r="G2" t="s">
        <v>3</v>
      </c>
      <c r="H2">
        <v>7599000</v>
      </c>
      <c r="I2">
        <v>0</v>
      </c>
      <c r="J2">
        <v>562117.81000000006</v>
      </c>
      <c r="K2">
        <v>0</v>
      </c>
      <c r="L2">
        <v>8161117.8099999996</v>
      </c>
      <c r="M2">
        <v>8161117.8099999996</v>
      </c>
      <c r="N2" t="s">
        <v>4</v>
      </c>
      <c r="O2" t="s">
        <v>5</v>
      </c>
      <c r="P2" t="s">
        <v>5</v>
      </c>
      <c r="Q2">
        <v>3</v>
      </c>
      <c r="R2">
        <v>999999999999999</v>
      </c>
      <c r="S2" t="s">
        <v>1831</v>
      </c>
      <c r="T2" t="s">
        <v>1832</v>
      </c>
      <c r="U2" t="s">
        <v>2045</v>
      </c>
      <c r="V2" t="s">
        <v>1833</v>
      </c>
      <c r="W2" t="s">
        <v>26</v>
      </c>
      <c r="X2" t="s">
        <v>1833</v>
      </c>
      <c r="Y2" t="s">
        <v>6</v>
      </c>
      <c r="Z2" t="s">
        <v>7</v>
      </c>
      <c r="AA2" t="s">
        <v>8</v>
      </c>
      <c r="AB2" t="s">
        <v>9</v>
      </c>
      <c r="AC2">
        <v>999999999999999</v>
      </c>
      <c r="AD2">
        <v>999999999999999</v>
      </c>
      <c r="AE2" t="s">
        <v>1834</v>
      </c>
      <c r="AF2" t="s">
        <v>1834</v>
      </c>
      <c r="AG2">
        <v>999999999999999</v>
      </c>
      <c r="AH2" t="s">
        <v>10</v>
      </c>
      <c r="AI2">
        <v>999999999999999</v>
      </c>
      <c r="AJ2">
        <v>999999999999999</v>
      </c>
      <c r="AK2" t="s">
        <v>5</v>
      </c>
      <c r="AL2" t="s">
        <v>5</v>
      </c>
      <c r="AM2" t="s">
        <v>5</v>
      </c>
      <c r="AN2" t="s">
        <v>11</v>
      </c>
      <c r="AO2">
        <v>1000</v>
      </c>
      <c r="AP2">
        <v>1000</v>
      </c>
      <c r="AQ2">
        <v>7599</v>
      </c>
      <c r="AR2">
        <v>0</v>
      </c>
      <c r="AS2">
        <v>73.9726</v>
      </c>
      <c r="AT2">
        <v>0</v>
      </c>
      <c r="AU2">
        <v>999999999999999</v>
      </c>
      <c r="AV2">
        <v>999999999999999</v>
      </c>
      <c r="AW2">
        <v>999999999999999</v>
      </c>
      <c r="AX2" t="s">
        <v>5</v>
      </c>
      <c r="AY2">
        <v>-9999.9999999989996</v>
      </c>
      <c r="AZ2" t="s">
        <v>12</v>
      </c>
      <c r="BA2" t="s">
        <v>13</v>
      </c>
      <c r="BB2" t="s">
        <v>5</v>
      </c>
      <c r="BC2" t="s">
        <v>14</v>
      </c>
      <c r="BD2" t="s">
        <v>15</v>
      </c>
      <c r="BE2" t="s">
        <v>5</v>
      </c>
      <c r="BF2" t="s">
        <v>5</v>
      </c>
      <c r="BG2" t="s">
        <v>12</v>
      </c>
      <c r="BH2" t="s">
        <v>13</v>
      </c>
      <c r="BI2" t="s">
        <v>12</v>
      </c>
      <c r="BJ2" t="s">
        <v>13</v>
      </c>
      <c r="BK2" t="s">
        <v>5</v>
      </c>
      <c r="BL2" t="s">
        <v>5</v>
      </c>
      <c r="BM2" t="s">
        <v>5</v>
      </c>
      <c r="BN2" t="s">
        <v>5</v>
      </c>
      <c r="BO2" t="s">
        <v>16</v>
      </c>
      <c r="BP2">
        <v>7599000</v>
      </c>
      <c r="BQ2" t="s">
        <v>16</v>
      </c>
      <c r="BR2">
        <v>7599000</v>
      </c>
      <c r="BS2">
        <v>0</v>
      </c>
      <c r="BT2" t="s">
        <v>5</v>
      </c>
      <c r="BU2" t="s">
        <v>5</v>
      </c>
      <c r="BV2" t="s">
        <v>5</v>
      </c>
      <c r="BW2" t="s">
        <v>1834</v>
      </c>
      <c r="BX2">
        <v>8161117.8099999996</v>
      </c>
      <c r="BY2" t="s">
        <v>17</v>
      </c>
      <c r="BZ2">
        <v>999999999999999</v>
      </c>
      <c r="CA2" t="s">
        <v>5</v>
      </c>
      <c r="CB2" t="s">
        <v>1834</v>
      </c>
      <c r="CC2" t="s">
        <v>1835</v>
      </c>
      <c r="CD2">
        <v>-8161117.8099999996</v>
      </c>
      <c r="CE2">
        <v>0</v>
      </c>
      <c r="CF2">
        <v>7599000</v>
      </c>
      <c r="CG2">
        <v>-562117.81000000006</v>
      </c>
      <c r="CH2">
        <v>1</v>
      </c>
      <c r="CI2" t="s">
        <v>2046</v>
      </c>
    </row>
    <row r="3" spans="1:87" x14ac:dyDescent="0.3">
      <c r="A3">
        <v>2</v>
      </c>
      <c r="B3" t="s">
        <v>18</v>
      </c>
      <c r="C3" t="s">
        <v>19</v>
      </c>
      <c r="D3" t="s">
        <v>2</v>
      </c>
      <c r="E3">
        <v>600000000</v>
      </c>
      <c r="F3">
        <v>999999999999999</v>
      </c>
      <c r="G3" t="s">
        <v>3</v>
      </c>
      <c r="H3">
        <v>600000000</v>
      </c>
      <c r="I3">
        <v>0</v>
      </c>
      <c r="J3">
        <v>6071671.2300000004</v>
      </c>
      <c r="K3">
        <v>0</v>
      </c>
      <c r="L3">
        <v>606071671.23000002</v>
      </c>
      <c r="M3">
        <v>606071671.23000002</v>
      </c>
      <c r="N3" t="s">
        <v>4</v>
      </c>
      <c r="O3" t="s">
        <v>5</v>
      </c>
      <c r="P3" t="s">
        <v>5</v>
      </c>
      <c r="Q3">
        <v>8</v>
      </c>
      <c r="R3">
        <v>999999999999999</v>
      </c>
      <c r="S3" t="s">
        <v>1838</v>
      </c>
      <c r="T3" t="s">
        <v>1839</v>
      </c>
      <c r="U3" t="s">
        <v>1840</v>
      </c>
      <c r="V3" t="s">
        <v>1841</v>
      </c>
      <c r="W3" t="s">
        <v>26</v>
      </c>
      <c r="X3" t="s">
        <v>1841</v>
      </c>
      <c r="Y3" t="s">
        <v>6</v>
      </c>
      <c r="Z3" t="s">
        <v>7</v>
      </c>
      <c r="AA3" t="s">
        <v>8</v>
      </c>
      <c r="AB3" t="s">
        <v>9</v>
      </c>
      <c r="AC3">
        <v>999999999999999</v>
      </c>
      <c r="AD3">
        <v>999999999999999</v>
      </c>
      <c r="AE3" t="s">
        <v>1834</v>
      </c>
      <c r="AF3" t="s">
        <v>1834</v>
      </c>
      <c r="AG3">
        <v>999999999999999</v>
      </c>
      <c r="AH3" t="s">
        <v>10</v>
      </c>
      <c r="AI3">
        <v>999999999999999</v>
      </c>
      <c r="AJ3">
        <v>999999999999999</v>
      </c>
      <c r="AK3" t="s">
        <v>5</v>
      </c>
      <c r="AL3" t="s">
        <v>5</v>
      </c>
      <c r="AM3" t="s">
        <v>5</v>
      </c>
      <c r="AN3" t="s">
        <v>11</v>
      </c>
      <c r="AO3">
        <v>100000</v>
      </c>
      <c r="AP3">
        <v>100000</v>
      </c>
      <c r="AQ3">
        <v>6000</v>
      </c>
      <c r="AR3">
        <v>0</v>
      </c>
      <c r="AS3">
        <v>1011.9452</v>
      </c>
      <c r="AT3">
        <v>0</v>
      </c>
      <c r="AU3">
        <v>999999999999999</v>
      </c>
      <c r="AV3">
        <v>999999999999999</v>
      </c>
      <c r="AW3">
        <v>999999999999999</v>
      </c>
      <c r="AX3" t="s">
        <v>5</v>
      </c>
      <c r="AY3">
        <v>-9999.9999999989996</v>
      </c>
      <c r="AZ3" t="s">
        <v>12</v>
      </c>
      <c r="BA3" t="s">
        <v>13</v>
      </c>
      <c r="BB3" t="s">
        <v>5</v>
      </c>
      <c r="BC3" t="s">
        <v>14</v>
      </c>
      <c r="BD3" t="s">
        <v>15</v>
      </c>
      <c r="BE3" t="s">
        <v>5</v>
      </c>
      <c r="BF3" t="s">
        <v>5</v>
      </c>
      <c r="BG3" t="s">
        <v>12</v>
      </c>
      <c r="BH3" t="s">
        <v>13</v>
      </c>
      <c r="BI3" t="s">
        <v>12</v>
      </c>
      <c r="BJ3" t="s">
        <v>13</v>
      </c>
      <c r="BK3" t="s">
        <v>5</v>
      </c>
      <c r="BL3" t="s">
        <v>5</v>
      </c>
      <c r="BM3" t="s">
        <v>5</v>
      </c>
      <c r="BN3" t="s">
        <v>5</v>
      </c>
      <c r="BP3">
        <v>0</v>
      </c>
      <c r="BR3">
        <v>0</v>
      </c>
      <c r="BS3">
        <v>0</v>
      </c>
      <c r="BT3" t="s">
        <v>5</v>
      </c>
      <c r="BU3" t="s">
        <v>5</v>
      </c>
      <c r="BV3" t="s">
        <v>5</v>
      </c>
      <c r="BW3" t="s">
        <v>1834</v>
      </c>
      <c r="BX3">
        <v>606071671.23000002</v>
      </c>
      <c r="BY3" t="s">
        <v>17</v>
      </c>
      <c r="BZ3">
        <v>999999999999999</v>
      </c>
      <c r="CA3" t="s">
        <v>5</v>
      </c>
      <c r="CB3" t="s">
        <v>1834</v>
      </c>
      <c r="CC3" t="s">
        <v>1835</v>
      </c>
      <c r="CD3">
        <v>-606071671.23000002</v>
      </c>
      <c r="CE3">
        <v>0</v>
      </c>
      <c r="CF3">
        <v>600000000</v>
      </c>
      <c r="CG3">
        <v>-6071671.2300000004</v>
      </c>
      <c r="CH3">
        <v>1</v>
      </c>
      <c r="CI3" t="s">
        <v>2046</v>
      </c>
    </row>
    <row r="4" spans="1:87" x14ac:dyDescent="0.3">
      <c r="A4">
        <v>3</v>
      </c>
      <c r="B4" t="s">
        <v>21</v>
      </c>
      <c r="C4" t="s">
        <v>22</v>
      </c>
      <c r="D4" t="s">
        <v>2</v>
      </c>
      <c r="E4">
        <v>200000000</v>
      </c>
      <c r="F4">
        <v>999999999999999</v>
      </c>
      <c r="G4" t="s">
        <v>3</v>
      </c>
      <c r="H4">
        <v>200000000</v>
      </c>
      <c r="I4">
        <v>0</v>
      </c>
      <c r="J4">
        <v>2944635.62</v>
      </c>
      <c r="K4">
        <v>0</v>
      </c>
      <c r="L4">
        <v>202944635.62</v>
      </c>
      <c r="M4">
        <v>202944635.62</v>
      </c>
      <c r="N4" t="s">
        <v>4</v>
      </c>
      <c r="O4" t="s">
        <v>5</v>
      </c>
      <c r="P4" t="s">
        <v>5</v>
      </c>
      <c r="Q4">
        <v>3</v>
      </c>
      <c r="R4">
        <v>999999999999999</v>
      </c>
      <c r="S4" t="s">
        <v>1831</v>
      </c>
      <c r="T4" t="s">
        <v>1842</v>
      </c>
      <c r="U4" t="s">
        <v>1843</v>
      </c>
      <c r="V4" t="s">
        <v>1844</v>
      </c>
      <c r="W4" t="s">
        <v>26</v>
      </c>
      <c r="X4" t="s">
        <v>1844</v>
      </c>
      <c r="Y4" t="s">
        <v>6</v>
      </c>
      <c r="Z4" t="s">
        <v>7</v>
      </c>
      <c r="AA4" t="s">
        <v>8</v>
      </c>
      <c r="AB4" t="s">
        <v>9</v>
      </c>
      <c r="AC4">
        <v>999999999999999</v>
      </c>
      <c r="AD4">
        <v>999999999999999</v>
      </c>
      <c r="AE4" t="s">
        <v>1834</v>
      </c>
      <c r="AF4" t="s">
        <v>1834</v>
      </c>
      <c r="AG4">
        <v>999999999999999</v>
      </c>
      <c r="AH4" t="s">
        <v>10</v>
      </c>
      <c r="AI4">
        <v>999999999999999</v>
      </c>
      <c r="AJ4">
        <v>999999999999999</v>
      </c>
      <c r="AK4" t="s">
        <v>5</v>
      </c>
      <c r="AL4" t="s">
        <v>5</v>
      </c>
      <c r="AM4" t="s">
        <v>5</v>
      </c>
      <c r="AN4" t="s">
        <v>11</v>
      </c>
      <c r="AO4">
        <v>100000</v>
      </c>
      <c r="AP4">
        <v>100000</v>
      </c>
      <c r="AQ4">
        <v>2000</v>
      </c>
      <c r="AR4">
        <v>0</v>
      </c>
      <c r="AS4">
        <v>1472.3178</v>
      </c>
      <c r="AT4">
        <v>0</v>
      </c>
      <c r="AU4">
        <v>999999999999999</v>
      </c>
      <c r="AV4">
        <v>999999999999999</v>
      </c>
      <c r="AW4">
        <v>999999999999999</v>
      </c>
      <c r="AX4" t="s">
        <v>5</v>
      </c>
      <c r="AY4">
        <v>-9999.9999999989996</v>
      </c>
      <c r="AZ4" t="s">
        <v>12</v>
      </c>
      <c r="BA4" t="s">
        <v>13</v>
      </c>
      <c r="BB4" t="s">
        <v>5</v>
      </c>
      <c r="BC4" t="s">
        <v>14</v>
      </c>
      <c r="BD4" t="s">
        <v>15</v>
      </c>
      <c r="BE4" t="s">
        <v>5</v>
      </c>
      <c r="BF4" t="s">
        <v>5</v>
      </c>
      <c r="BG4" t="s">
        <v>12</v>
      </c>
      <c r="BH4" t="s">
        <v>13</v>
      </c>
      <c r="BI4" t="s">
        <v>12</v>
      </c>
      <c r="BJ4" t="s">
        <v>13</v>
      </c>
      <c r="BK4" t="s">
        <v>5</v>
      </c>
      <c r="BL4" t="s">
        <v>5</v>
      </c>
      <c r="BM4" t="s">
        <v>5</v>
      </c>
      <c r="BN4" t="s">
        <v>5</v>
      </c>
      <c r="BO4" t="s">
        <v>16</v>
      </c>
      <c r="BP4">
        <v>200000000</v>
      </c>
      <c r="BQ4" t="s">
        <v>16</v>
      </c>
      <c r="BR4">
        <v>200000000</v>
      </c>
      <c r="BS4">
        <v>0</v>
      </c>
      <c r="BT4" t="s">
        <v>5</v>
      </c>
      <c r="BU4" t="s">
        <v>5</v>
      </c>
      <c r="BV4" t="s">
        <v>5</v>
      </c>
      <c r="BW4" t="s">
        <v>1834</v>
      </c>
      <c r="BX4">
        <v>202944635.62</v>
      </c>
      <c r="BY4" t="s">
        <v>17</v>
      </c>
      <c r="BZ4">
        <v>999999999999999</v>
      </c>
      <c r="CA4" t="s">
        <v>5</v>
      </c>
      <c r="CB4" t="s">
        <v>1834</v>
      </c>
      <c r="CC4" t="s">
        <v>1835</v>
      </c>
      <c r="CD4">
        <v>-202944635.62</v>
      </c>
      <c r="CE4">
        <v>0</v>
      </c>
      <c r="CF4">
        <v>200000000</v>
      </c>
      <c r="CG4">
        <v>-2944635.62</v>
      </c>
      <c r="CH4">
        <v>1</v>
      </c>
      <c r="CI4" t="s">
        <v>2046</v>
      </c>
    </row>
    <row r="5" spans="1:87" x14ac:dyDescent="0.3">
      <c r="A5">
        <v>4</v>
      </c>
      <c r="B5" t="s">
        <v>23</v>
      </c>
      <c r="C5" t="s">
        <v>24</v>
      </c>
      <c r="D5" t="s">
        <v>2</v>
      </c>
      <c r="E5">
        <v>300000000</v>
      </c>
      <c r="F5">
        <v>999999999999999</v>
      </c>
      <c r="G5" t="s">
        <v>3</v>
      </c>
      <c r="H5">
        <v>300000000</v>
      </c>
      <c r="I5">
        <v>0</v>
      </c>
      <c r="J5">
        <v>0</v>
      </c>
      <c r="K5">
        <v>0</v>
      </c>
      <c r="L5">
        <v>300000000</v>
      </c>
      <c r="M5">
        <v>300000000</v>
      </c>
      <c r="N5" t="s">
        <v>25</v>
      </c>
      <c r="O5" t="s">
        <v>5</v>
      </c>
      <c r="P5" t="s">
        <v>5</v>
      </c>
      <c r="Q5">
        <v>2</v>
      </c>
      <c r="R5">
        <v>999999999999999</v>
      </c>
      <c r="S5" t="s">
        <v>1845</v>
      </c>
      <c r="T5" t="s">
        <v>1846</v>
      </c>
      <c r="U5" t="s">
        <v>26</v>
      </c>
      <c r="V5" t="s">
        <v>1847</v>
      </c>
      <c r="W5" t="s">
        <v>26</v>
      </c>
      <c r="X5" t="s">
        <v>1847</v>
      </c>
      <c r="Y5" t="s">
        <v>6</v>
      </c>
      <c r="Z5" t="s">
        <v>7</v>
      </c>
      <c r="AA5" t="s">
        <v>8</v>
      </c>
      <c r="AB5" t="s">
        <v>9</v>
      </c>
      <c r="AC5">
        <v>999999999999999</v>
      </c>
      <c r="AD5">
        <v>999999999999999</v>
      </c>
      <c r="AE5" t="s">
        <v>1834</v>
      </c>
      <c r="AF5" t="s">
        <v>1834</v>
      </c>
      <c r="AG5">
        <v>999999999999999</v>
      </c>
      <c r="AH5" t="s">
        <v>10</v>
      </c>
      <c r="AI5">
        <v>999999999999999</v>
      </c>
      <c r="AJ5">
        <v>999999999999999</v>
      </c>
      <c r="AK5" t="s">
        <v>5</v>
      </c>
      <c r="AL5" t="s">
        <v>5</v>
      </c>
      <c r="AM5" t="s">
        <v>5</v>
      </c>
      <c r="AN5" t="s">
        <v>11</v>
      </c>
      <c r="AO5">
        <v>100000</v>
      </c>
      <c r="AP5">
        <v>100000</v>
      </c>
      <c r="AQ5">
        <v>3000</v>
      </c>
      <c r="AR5">
        <v>0</v>
      </c>
      <c r="AS5">
        <v>0</v>
      </c>
      <c r="AT5">
        <v>0</v>
      </c>
      <c r="AU5">
        <v>999999999999999</v>
      </c>
      <c r="AV5">
        <v>999999999999999</v>
      </c>
      <c r="AW5">
        <v>999999999999999</v>
      </c>
      <c r="AX5" t="s">
        <v>5</v>
      </c>
      <c r="AY5">
        <v>-9999.9999999989996</v>
      </c>
      <c r="AZ5" t="s">
        <v>12</v>
      </c>
      <c r="BA5" t="s">
        <v>13</v>
      </c>
      <c r="BB5" t="s">
        <v>5</v>
      </c>
      <c r="BC5" t="s">
        <v>14</v>
      </c>
      <c r="BD5" t="s">
        <v>15</v>
      </c>
      <c r="BE5" t="s">
        <v>5</v>
      </c>
      <c r="BF5" t="s">
        <v>5</v>
      </c>
      <c r="BG5" t="s">
        <v>12</v>
      </c>
      <c r="BH5" t="s">
        <v>13</v>
      </c>
      <c r="BI5" t="s">
        <v>12</v>
      </c>
      <c r="BJ5" t="s">
        <v>13</v>
      </c>
      <c r="BK5" t="s">
        <v>5</v>
      </c>
      <c r="BL5" t="s">
        <v>5</v>
      </c>
      <c r="BM5" t="s">
        <v>5</v>
      </c>
      <c r="BN5" t="s">
        <v>5</v>
      </c>
      <c r="BO5" t="s">
        <v>27</v>
      </c>
      <c r="BP5">
        <v>300000000</v>
      </c>
      <c r="BQ5" t="s">
        <v>27</v>
      </c>
      <c r="BR5">
        <v>300000000</v>
      </c>
      <c r="BS5">
        <v>0</v>
      </c>
      <c r="BT5" t="s">
        <v>5</v>
      </c>
      <c r="BU5" t="s">
        <v>5</v>
      </c>
      <c r="BV5" t="s">
        <v>5</v>
      </c>
      <c r="BW5" t="s">
        <v>1834</v>
      </c>
      <c r="BX5">
        <v>300000000</v>
      </c>
      <c r="BY5" t="s">
        <v>28</v>
      </c>
      <c r="BZ5">
        <v>999999999999999</v>
      </c>
      <c r="CA5" t="s">
        <v>5</v>
      </c>
      <c r="CB5" t="s">
        <v>1834</v>
      </c>
      <c r="CC5" t="s">
        <v>1835</v>
      </c>
      <c r="CD5">
        <v>-300000000</v>
      </c>
      <c r="CE5">
        <v>0</v>
      </c>
      <c r="CF5">
        <v>300000000</v>
      </c>
      <c r="CG5">
        <v>0</v>
      </c>
      <c r="CH5">
        <v>1</v>
      </c>
      <c r="CI5" t="s">
        <v>2046</v>
      </c>
    </row>
    <row r="6" spans="1:87" x14ac:dyDescent="0.3">
      <c r="A6">
        <v>5</v>
      </c>
      <c r="B6" t="s">
        <v>29</v>
      </c>
      <c r="C6" t="s">
        <v>30</v>
      </c>
      <c r="D6" t="s">
        <v>2</v>
      </c>
      <c r="E6">
        <v>500000000</v>
      </c>
      <c r="F6">
        <v>999999999999999</v>
      </c>
      <c r="G6" t="s">
        <v>3</v>
      </c>
      <c r="H6">
        <v>500000000</v>
      </c>
      <c r="I6">
        <v>0</v>
      </c>
      <c r="J6">
        <v>3506424.66</v>
      </c>
      <c r="K6">
        <v>0</v>
      </c>
      <c r="L6">
        <v>503506424.66000003</v>
      </c>
      <c r="M6">
        <v>503506424.66000003</v>
      </c>
      <c r="N6" t="s">
        <v>4</v>
      </c>
      <c r="O6" t="s">
        <v>5</v>
      </c>
      <c r="P6" t="s">
        <v>5</v>
      </c>
      <c r="Q6">
        <v>8</v>
      </c>
      <c r="R6">
        <v>999999999999999</v>
      </c>
      <c r="S6" t="s">
        <v>1838</v>
      </c>
      <c r="T6" t="s">
        <v>1848</v>
      </c>
      <c r="U6" t="s">
        <v>1849</v>
      </c>
      <c r="V6" t="s">
        <v>1850</v>
      </c>
      <c r="W6" t="s">
        <v>26</v>
      </c>
      <c r="X6" t="s">
        <v>1850</v>
      </c>
      <c r="Y6" t="s">
        <v>6</v>
      </c>
      <c r="Z6" t="s">
        <v>7</v>
      </c>
      <c r="AA6" t="s">
        <v>8</v>
      </c>
      <c r="AB6" t="s">
        <v>9</v>
      </c>
      <c r="AC6">
        <v>999999999999999</v>
      </c>
      <c r="AD6">
        <v>999999999999999</v>
      </c>
      <c r="AE6" t="s">
        <v>1834</v>
      </c>
      <c r="AF6" t="s">
        <v>1834</v>
      </c>
      <c r="AG6">
        <v>999999999999999</v>
      </c>
      <c r="AH6" t="s">
        <v>10</v>
      </c>
      <c r="AI6">
        <v>999999999999999</v>
      </c>
      <c r="AJ6">
        <v>999999999999999</v>
      </c>
      <c r="AK6" t="s">
        <v>5</v>
      </c>
      <c r="AL6" t="s">
        <v>5</v>
      </c>
      <c r="AM6" t="s">
        <v>5</v>
      </c>
      <c r="AN6" t="s">
        <v>11</v>
      </c>
      <c r="AO6">
        <v>100000</v>
      </c>
      <c r="AP6">
        <v>100000</v>
      </c>
      <c r="AQ6">
        <v>5000</v>
      </c>
      <c r="AR6">
        <v>0</v>
      </c>
      <c r="AS6">
        <v>701.28489999999999</v>
      </c>
      <c r="AT6">
        <v>0</v>
      </c>
      <c r="AU6">
        <v>999999999999999</v>
      </c>
      <c r="AV6">
        <v>999999999999999</v>
      </c>
      <c r="AW6">
        <v>999999999999999</v>
      </c>
      <c r="AX6" t="s">
        <v>5</v>
      </c>
      <c r="AY6">
        <v>-9999.9999999989996</v>
      </c>
      <c r="AZ6" t="s">
        <v>12</v>
      </c>
      <c r="BA6" t="s">
        <v>13</v>
      </c>
      <c r="BB6" t="s">
        <v>5</v>
      </c>
      <c r="BC6" t="s">
        <v>14</v>
      </c>
      <c r="BD6" t="s">
        <v>15</v>
      </c>
      <c r="BE6" t="s">
        <v>5</v>
      </c>
      <c r="BF6" t="s">
        <v>5</v>
      </c>
      <c r="BG6" t="s">
        <v>12</v>
      </c>
      <c r="BH6" t="s">
        <v>13</v>
      </c>
      <c r="BI6" t="s">
        <v>12</v>
      </c>
      <c r="BJ6" t="s">
        <v>13</v>
      </c>
      <c r="BK6" t="s">
        <v>5</v>
      </c>
      <c r="BL6" t="s">
        <v>5</v>
      </c>
      <c r="BM6" t="s">
        <v>5</v>
      </c>
      <c r="BN6" t="s">
        <v>5</v>
      </c>
      <c r="BP6">
        <v>0</v>
      </c>
      <c r="BR6">
        <v>0</v>
      </c>
      <c r="BS6">
        <v>0</v>
      </c>
      <c r="BT6" t="s">
        <v>5</v>
      </c>
      <c r="BU6" t="s">
        <v>5</v>
      </c>
      <c r="BV6" t="s">
        <v>5</v>
      </c>
      <c r="BW6" t="s">
        <v>1834</v>
      </c>
      <c r="BX6">
        <v>503506424.66000003</v>
      </c>
      <c r="BY6" t="s">
        <v>17</v>
      </c>
      <c r="BZ6">
        <v>999999999999999</v>
      </c>
      <c r="CA6" t="s">
        <v>5</v>
      </c>
      <c r="CB6" t="s">
        <v>1834</v>
      </c>
      <c r="CC6" t="s">
        <v>1835</v>
      </c>
      <c r="CD6">
        <v>-503506424.66000003</v>
      </c>
      <c r="CE6">
        <v>0</v>
      </c>
      <c r="CF6">
        <v>500000000</v>
      </c>
      <c r="CG6">
        <v>-3506424.66</v>
      </c>
      <c r="CH6">
        <v>1</v>
      </c>
      <c r="CI6" t="s">
        <v>2046</v>
      </c>
    </row>
    <row r="7" spans="1:87" x14ac:dyDescent="0.3">
      <c r="A7">
        <v>6</v>
      </c>
      <c r="B7" t="s">
        <v>31</v>
      </c>
      <c r="C7" t="s">
        <v>32</v>
      </c>
      <c r="D7" t="s">
        <v>2</v>
      </c>
      <c r="E7">
        <v>500000000</v>
      </c>
      <c r="F7">
        <v>999999999999999</v>
      </c>
      <c r="G7" t="s">
        <v>3</v>
      </c>
      <c r="H7">
        <v>500000000</v>
      </c>
      <c r="I7">
        <v>0</v>
      </c>
      <c r="J7">
        <v>0</v>
      </c>
      <c r="K7">
        <v>0</v>
      </c>
      <c r="L7">
        <v>500000000</v>
      </c>
      <c r="M7">
        <v>500000000</v>
      </c>
      <c r="N7" t="s">
        <v>25</v>
      </c>
      <c r="O7" t="s">
        <v>5</v>
      </c>
      <c r="P7" t="s">
        <v>5</v>
      </c>
      <c r="Q7">
        <v>2</v>
      </c>
      <c r="R7">
        <v>999999999999999</v>
      </c>
      <c r="S7" t="s">
        <v>1845</v>
      </c>
      <c r="T7" t="s">
        <v>1851</v>
      </c>
      <c r="U7" t="s">
        <v>26</v>
      </c>
      <c r="V7" t="s">
        <v>1847</v>
      </c>
      <c r="W7" t="s">
        <v>26</v>
      </c>
      <c r="X7" t="s">
        <v>1847</v>
      </c>
      <c r="Y7" t="s">
        <v>6</v>
      </c>
      <c r="Z7" t="s">
        <v>7</v>
      </c>
      <c r="AA7" t="s">
        <v>8</v>
      </c>
      <c r="AB7" t="s">
        <v>9</v>
      </c>
      <c r="AC7">
        <v>999999999999999</v>
      </c>
      <c r="AD7">
        <v>999999999999999</v>
      </c>
      <c r="AE7" t="s">
        <v>1834</v>
      </c>
      <c r="AF7" t="s">
        <v>1834</v>
      </c>
      <c r="AG7">
        <v>999999999999999</v>
      </c>
      <c r="AH7" t="s">
        <v>10</v>
      </c>
      <c r="AI7">
        <v>999999999999999</v>
      </c>
      <c r="AJ7">
        <v>999999999999999</v>
      </c>
      <c r="AK7" t="s">
        <v>5</v>
      </c>
      <c r="AL7" t="s">
        <v>5</v>
      </c>
      <c r="AM7" t="s">
        <v>5</v>
      </c>
      <c r="AN7" t="s">
        <v>11</v>
      </c>
      <c r="AO7">
        <v>100000</v>
      </c>
      <c r="AP7">
        <v>100000</v>
      </c>
      <c r="AQ7">
        <v>5000</v>
      </c>
      <c r="AR7">
        <v>0</v>
      </c>
      <c r="AS7">
        <v>0</v>
      </c>
      <c r="AT7">
        <v>0</v>
      </c>
      <c r="AU7">
        <v>999999999999999</v>
      </c>
      <c r="AV7">
        <v>999999999999999</v>
      </c>
      <c r="AW7">
        <v>999999999999999</v>
      </c>
      <c r="AX7" t="s">
        <v>5</v>
      </c>
      <c r="AY7">
        <v>-9999.9999999989996</v>
      </c>
      <c r="AZ7" t="s">
        <v>12</v>
      </c>
      <c r="BA7" t="s">
        <v>13</v>
      </c>
      <c r="BB7" t="s">
        <v>5</v>
      </c>
      <c r="BC7" t="s">
        <v>14</v>
      </c>
      <c r="BD7" t="s">
        <v>15</v>
      </c>
      <c r="BE7" t="s">
        <v>5</v>
      </c>
      <c r="BF7" t="s">
        <v>5</v>
      </c>
      <c r="BG7" t="s">
        <v>12</v>
      </c>
      <c r="BH7" t="s">
        <v>13</v>
      </c>
      <c r="BI7" t="s">
        <v>12</v>
      </c>
      <c r="BJ7" t="s">
        <v>13</v>
      </c>
      <c r="BK7" t="s">
        <v>5</v>
      </c>
      <c r="BL7" t="s">
        <v>5</v>
      </c>
      <c r="BM7" t="s">
        <v>5</v>
      </c>
      <c r="BN7" t="s">
        <v>5</v>
      </c>
      <c r="BO7" t="s">
        <v>27</v>
      </c>
      <c r="BP7">
        <v>500000000</v>
      </c>
      <c r="BQ7" t="s">
        <v>27</v>
      </c>
      <c r="BR7">
        <v>500000000</v>
      </c>
      <c r="BS7">
        <v>0</v>
      </c>
      <c r="BT7" t="s">
        <v>5</v>
      </c>
      <c r="BU7" t="s">
        <v>5</v>
      </c>
      <c r="BV7" t="s">
        <v>5</v>
      </c>
      <c r="BW7" t="s">
        <v>1834</v>
      </c>
      <c r="BX7">
        <v>500000000</v>
      </c>
      <c r="BY7" t="s">
        <v>28</v>
      </c>
      <c r="BZ7">
        <v>999999999999999</v>
      </c>
      <c r="CA7" t="s">
        <v>5</v>
      </c>
      <c r="CB7" t="s">
        <v>1834</v>
      </c>
      <c r="CC7" t="s">
        <v>1835</v>
      </c>
      <c r="CD7">
        <v>-500000000</v>
      </c>
      <c r="CE7">
        <v>0</v>
      </c>
      <c r="CF7">
        <v>500000000</v>
      </c>
      <c r="CG7">
        <v>0</v>
      </c>
      <c r="CH7">
        <v>1</v>
      </c>
      <c r="CI7" t="s">
        <v>2046</v>
      </c>
    </row>
    <row r="8" spans="1:87" x14ac:dyDescent="0.3">
      <c r="A8">
        <v>7</v>
      </c>
      <c r="B8" t="s">
        <v>33</v>
      </c>
      <c r="C8" t="s">
        <v>34</v>
      </c>
      <c r="D8" t="s">
        <v>2</v>
      </c>
      <c r="E8">
        <v>1391779674</v>
      </c>
      <c r="F8">
        <v>999999999999999</v>
      </c>
      <c r="G8" t="s">
        <v>3</v>
      </c>
      <c r="H8">
        <v>1385452938</v>
      </c>
      <c r="I8">
        <v>6326736</v>
      </c>
      <c r="J8">
        <v>0</v>
      </c>
      <c r="K8">
        <v>0</v>
      </c>
      <c r="L8">
        <v>1385452938</v>
      </c>
      <c r="M8">
        <v>1385452938</v>
      </c>
      <c r="N8" t="s">
        <v>25</v>
      </c>
      <c r="O8" t="s">
        <v>5</v>
      </c>
      <c r="P8" t="s">
        <v>5</v>
      </c>
      <c r="Q8">
        <v>1</v>
      </c>
      <c r="R8">
        <v>999999999999999</v>
      </c>
      <c r="S8" t="s">
        <v>1852</v>
      </c>
      <c r="T8" t="s">
        <v>1853</v>
      </c>
      <c r="U8" t="s">
        <v>26</v>
      </c>
      <c r="V8" t="s">
        <v>1847</v>
      </c>
      <c r="W8" t="s">
        <v>26</v>
      </c>
      <c r="X8" t="s">
        <v>1847</v>
      </c>
      <c r="Y8" t="s">
        <v>6</v>
      </c>
      <c r="Z8" t="s">
        <v>7</v>
      </c>
      <c r="AA8" t="s">
        <v>8</v>
      </c>
      <c r="AB8" t="s">
        <v>9</v>
      </c>
      <c r="AC8">
        <v>999999999999999</v>
      </c>
      <c r="AD8">
        <v>999999999999999</v>
      </c>
      <c r="AE8" t="s">
        <v>1834</v>
      </c>
      <c r="AF8" t="s">
        <v>1834</v>
      </c>
      <c r="AG8">
        <v>999999999999999</v>
      </c>
      <c r="AH8" t="s">
        <v>10</v>
      </c>
      <c r="AI8">
        <v>999999999999999</v>
      </c>
      <c r="AJ8">
        <v>999999999999999</v>
      </c>
      <c r="AK8" t="s">
        <v>5</v>
      </c>
      <c r="AL8" t="s">
        <v>5</v>
      </c>
      <c r="AM8" t="s">
        <v>5</v>
      </c>
      <c r="AN8" t="s">
        <v>35</v>
      </c>
      <c r="AO8">
        <v>1</v>
      </c>
      <c r="AP8">
        <v>1</v>
      </c>
      <c r="AQ8">
        <v>1385452938</v>
      </c>
      <c r="AR8">
        <v>6326736</v>
      </c>
      <c r="AS8">
        <v>0</v>
      </c>
      <c r="AT8">
        <v>0</v>
      </c>
      <c r="AU8">
        <v>999999999999999</v>
      </c>
      <c r="AV8">
        <v>999999999999999</v>
      </c>
      <c r="AW8">
        <v>999999999999999</v>
      </c>
      <c r="AX8" t="s">
        <v>5</v>
      </c>
      <c r="AY8">
        <v>-9999.9999999989996</v>
      </c>
      <c r="AZ8" t="s">
        <v>12</v>
      </c>
      <c r="BA8" t="s">
        <v>13</v>
      </c>
      <c r="BB8" t="s">
        <v>5</v>
      </c>
      <c r="BC8" t="s">
        <v>14</v>
      </c>
      <c r="BD8" t="s">
        <v>15</v>
      </c>
      <c r="BE8" t="s">
        <v>5</v>
      </c>
      <c r="BF8" t="s">
        <v>5</v>
      </c>
      <c r="BG8" t="s">
        <v>12</v>
      </c>
      <c r="BH8" t="s">
        <v>13</v>
      </c>
      <c r="BI8" t="s">
        <v>12</v>
      </c>
      <c r="BJ8" t="s">
        <v>13</v>
      </c>
      <c r="BK8" t="s">
        <v>5</v>
      </c>
      <c r="BL8" t="s">
        <v>5</v>
      </c>
      <c r="BM8" t="s">
        <v>5</v>
      </c>
      <c r="BN8" t="s">
        <v>5</v>
      </c>
      <c r="BO8" t="s">
        <v>36</v>
      </c>
      <c r="BP8">
        <v>1256723284</v>
      </c>
      <c r="BQ8" t="s">
        <v>36</v>
      </c>
      <c r="BR8">
        <v>1256723284</v>
      </c>
      <c r="BS8">
        <v>0</v>
      </c>
      <c r="BT8" t="s">
        <v>5</v>
      </c>
      <c r="BU8" t="s">
        <v>5</v>
      </c>
      <c r="BV8" t="s">
        <v>5</v>
      </c>
      <c r="BW8" t="s">
        <v>1834</v>
      </c>
      <c r="BX8">
        <v>1372632707.5899999</v>
      </c>
      <c r="BY8" t="s">
        <v>28</v>
      </c>
      <c r="BZ8">
        <v>999999999999999</v>
      </c>
      <c r="CA8" t="s">
        <v>5</v>
      </c>
      <c r="CB8" t="s">
        <v>1834</v>
      </c>
      <c r="CC8" t="s">
        <v>1835</v>
      </c>
      <c r="CD8">
        <v>-1372632707.5899999</v>
      </c>
      <c r="CE8">
        <v>6326736</v>
      </c>
      <c r="CF8">
        <v>1391779674</v>
      </c>
      <c r="CG8">
        <v>0</v>
      </c>
      <c r="CH8">
        <v>1</v>
      </c>
      <c r="CI8" t="s">
        <v>2046</v>
      </c>
    </row>
    <row r="9" spans="1:87" x14ac:dyDescent="0.3">
      <c r="A9">
        <v>8</v>
      </c>
      <c r="B9" t="s">
        <v>37</v>
      </c>
      <c r="C9" t="s">
        <v>38</v>
      </c>
      <c r="D9" t="s">
        <v>2</v>
      </c>
      <c r="E9">
        <v>400000000</v>
      </c>
      <c r="F9">
        <v>999999999999999</v>
      </c>
      <c r="G9" t="s">
        <v>3</v>
      </c>
      <c r="H9">
        <v>400000000</v>
      </c>
      <c r="I9">
        <v>0</v>
      </c>
      <c r="J9">
        <v>0</v>
      </c>
      <c r="K9">
        <v>0</v>
      </c>
      <c r="L9">
        <v>400000000</v>
      </c>
      <c r="M9">
        <v>400000000</v>
      </c>
      <c r="N9" t="s">
        <v>25</v>
      </c>
      <c r="O9" t="s">
        <v>5</v>
      </c>
      <c r="P9" t="s">
        <v>5</v>
      </c>
      <c r="Q9">
        <v>2</v>
      </c>
      <c r="R9">
        <v>999999999999999</v>
      </c>
      <c r="S9" t="s">
        <v>1845</v>
      </c>
      <c r="T9" t="s">
        <v>1854</v>
      </c>
      <c r="U9" t="s">
        <v>26</v>
      </c>
      <c r="V9" t="s">
        <v>1847</v>
      </c>
      <c r="W9" t="s">
        <v>26</v>
      </c>
      <c r="X9" t="s">
        <v>1847</v>
      </c>
      <c r="Y9" t="s">
        <v>6</v>
      </c>
      <c r="Z9" t="s">
        <v>7</v>
      </c>
      <c r="AA9" t="s">
        <v>8</v>
      </c>
      <c r="AB9" t="s">
        <v>9</v>
      </c>
      <c r="AC9">
        <v>999999999999999</v>
      </c>
      <c r="AD9">
        <v>999999999999999</v>
      </c>
      <c r="AE9" t="s">
        <v>1834</v>
      </c>
      <c r="AF9" t="s">
        <v>1834</v>
      </c>
      <c r="AG9">
        <v>999999999999999</v>
      </c>
      <c r="AH9" t="s">
        <v>10</v>
      </c>
      <c r="AI9">
        <v>999999999999999</v>
      </c>
      <c r="AJ9">
        <v>999999999999999</v>
      </c>
      <c r="AK9" t="s">
        <v>5</v>
      </c>
      <c r="AL9" t="s">
        <v>5</v>
      </c>
      <c r="AM9" t="s">
        <v>5</v>
      </c>
      <c r="AN9" t="s">
        <v>11</v>
      </c>
      <c r="AO9">
        <v>100000</v>
      </c>
      <c r="AP9">
        <v>100000</v>
      </c>
      <c r="AQ9">
        <v>4000</v>
      </c>
      <c r="AR9">
        <v>0</v>
      </c>
      <c r="AS9">
        <v>0</v>
      </c>
      <c r="AT9">
        <v>0</v>
      </c>
      <c r="AU9">
        <v>999999999999999</v>
      </c>
      <c r="AV9">
        <v>999999999999999</v>
      </c>
      <c r="AW9">
        <v>999999999999999</v>
      </c>
      <c r="AX9" t="s">
        <v>5</v>
      </c>
      <c r="AY9">
        <v>-9999.9999999989996</v>
      </c>
      <c r="AZ9" t="s">
        <v>12</v>
      </c>
      <c r="BA9" t="s">
        <v>13</v>
      </c>
      <c r="BB9" t="s">
        <v>5</v>
      </c>
      <c r="BC9" t="s">
        <v>14</v>
      </c>
      <c r="BD9" t="s">
        <v>15</v>
      </c>
      <c r="BE9" t="s">
        <v>5</v>
      </c>
      <c r="BF9" t="s">
        <v>5</v>
      </c>
      <c r="BG9" t="s">
        <v>12</v>
      </c>
      <c r="BH9" t="s">
        <v>13</v>
      </c>
      <c r="BI9" t="s">
        <v>12</v>
      </c>
      <c r="BJ9" t="s">
        <v>13</v>
      </c>
      <c r="BK9" t="s">
        <v>5</v>
      </c>
      <c r="BL9" t="s">
        <v>5</v>
      </c>
      <c r="BM9" t="s">
        <v>5</v>
      </c>
      <c r="BN9" t="s">
        <v>5</v>
      </c>
      <c r="BO9" t="s">
        <v>27</v>
      </c>
      <c r="BP9">
        <v>400000000</v>
      </c>
      <c r="BQ9" t="s">
        <v>27</v>
      </c>
      <c r="BR9">
        <v>400000000</v>
      </c>
      <c r="BS9">
        <v>0</v>
      </c>
      <c r="BT9" t="s">
        <v>5</v>
      </c>
      <c r="BU9" t="s">
        <v>5</v>
      </c>
      <c r="BV9" t="s">
        <v>5</v>
      </c>
      <c r="BW9" t="s">
        <v>1834</v>
      </c>
      <c r="BX9">
        <v>400000000</v>
      </c>
      <c r="BY9" t="s">
        <v>28</v>
      </c>
      <c r="BZ9">
        <v>999999999999999</v>
      </c>
      <c r="CA9" t="s">
        <v>5</v>
      </c>
      <c r="CB9" t="s">
        <v>1834</v>
      </c>
      <c r="CC9" t="s">
        <v>1835</v>
      </c>
      <c r="CD9">
        <v>-400000000</v>
      </c>
      <c r="CE9">
        <v>0</v>
      </c>
      <c r="CF9">
        <v>400000000</v>
      </c>
      <c r="CG9">
        <v>0</v>
      </c>
      <c r="CH9">
        <v>1</v>
      </c>
      <c r="CI9" t="s">
        <v>2046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CD75-83F7-4017-8FC1-B332C66D4F16}">
  <dimension ref="A1:F1331"/>
  <sheetViews>
    <sheetView workbookViewId="0">
      <selection activeCell="E2" sqref="E2"/>
    </sheetView>
  </sheetViews>
  <sheetFormatPr defaultRowHeight="14.4" x14ac:dyDescent="0.3"/>
  <cols>
    <col min="1" max="1" width="12" bestFit="1" customWidth="1"/>
    <col min="2" max="2" width="101.33203125" bestFit="1" customWidth="1"/>
    <col min="5" max="5" width="15.6640625" bestFit="1" customWidth="1"/>
    <col min="6" max="6" width="16.6640625" bestFit="1" customWidth="1"/>
  </cols>
  <sheetData>
    <row r="1" spans="1:6" x14ac:dyDescent="0.3">
      <c r="A1" s="3" t="s">
        <v>66</v>
      </c>
      <c r="B1" s="4" t="s">
        <v>40</v>
      </c>
      <c r="C1" s="4"/>
      <c r="D1" s="4"/>
      <c r="E1" s="5" t="s">
        <v>67</v>
      </c>
      <c r="F1" s="5" t="s">
        <v>68</v>
      </c>
    </row>
    <row r="2" spans="1:6" x14ac:dyDescent="0.3">
      <c r="A2" s="6" t="s">
        <v>69</v>
      </c>
      <c r="B2" s="2" t="s">
        <v>70</v>
      </c>
      <c r="C2" s="2"/>
      <c r="D2" s="2"/>
      <c r="E2" s="2">
        <v>344871124.54000002</v>
      </c>
      <c r="F2" s="2">
        <v>0</v>
      </c>
    </row>
    <row r="3" spans="1:6" x14ac:dyDescent="0.3">
      <c r="A3" s="6" t="s">
        <v>71</v>
      </c>
      <c r="B3" s="2" t="s">
        <v>72</v>
      </c>
      <c r="C3" s="2"/>
      <c r="D3" s="2"/>
      <c r="E3" s="2">
        <v>2035360372.24</v>
      </c>
      <c r="F3" s="2">
        <v>0</v>
      </c>
    </row>
    <row r="4" spans="1:6" x14ac:dyDescent="0.3">
      <c r="A4" s="6" t="s">
        <v>73</v>
      </c>
      <c r="B4" s="2" t="s">
        <v>74</v>
      </c>
      <c r="C4" s="2"/>
      <c r="D4" s="2"/>
      <c r="E4" s="2">
        <v>200500.01</v>
      </c>
      <c r="F4" s="2">
        <v>0</v>
      </c>
    </row>
    <row r="5" spans="1:6" x14ac:dyDescent="0.3">
      <c r="A5" s="6" t="s">
        <v>75</v>
      </c>
      <c r="B5" s="2" t="s">
        <v>72</v>
      </c>
      <c r="C5" s="2"/>
      <c r="D5" s="2"/>
      <c r="E5" s="2">
        <v>119140018.01000001</v>
      </c>
      <c r="F5" s="2">
        <v>0</v>
      </c>
    </row>
    <row r="6" spans="1:6" x14ac:dyDescent="0.3">
      <c r="A6" s="6" t="s">
        <v>76</v>
      </c>
      <c r="B6" s="2" t="s">
        <v>77</v>
      </c>
      <c r="C6" s="2"/>
      <c r="D6" s="2"/>
      <c r="E6" s="2">
        <v>155256060.52000001</v>
      </c>
      <c r="F6" s="2">
        <v>0</v>
      </c>
    </row>
    <row r="7" spans="1:6" x14ac:dyDescent="0.3">
      <c r="A7" s="6" t="s">
        <v>78</v>
      </c>
      <c r="B7" s="2" t="s">
        <v>79</v>
      </c>
      <c r="C7" s="2"/>
      <c r="D7" s="2"/>
      <c r="E7" s="2">
        <v>1756015.97</v>
      </c>
      <c r="F7" s="2">
        <v>0</v>
      </c>
    </row>
    <row r="8" spans="1:6" x14ac:dyDescent="0.3">
      <c r="A8" s="6" t="s">
        <v>80</v>
      </c>
      <c r="B8" s="2" t="s">
        <v>77</v>
      </c>
      <c r="C8" s="2"/>
      <c r="D8" s="2"/>
      <c r="E8" s="2">
        <v>553018780.85000002</v>
      </c>
      <c r="F8" s="2">
        <v>0</v>
      </c>
    </row>
    <row r="9" spans="1:6" x14ac:dyDescent="0.3">
      <c r="A9" s="6" t="s">
        <v>81</v>
      </c>
      <c r="B9" s="2" t="s">
        <v>82</v>
      </c>
      <c r="C9" s="2"/>
      <c r="D9" s="2"/>
      <c r="E9" s="2">
        <v>0</v>
      </c>
      <c r="F9" s="2">
        <v>0</v>
      </c>
    </row>
    <row r="10" spans="1:6" x14ac:dyDescent="0.3">
      <c r="A10" s="6" t="s">
        <v>83</v>
      </c>
      <c r="B10" s="2" t="s">
        <v>77</v>
      </c>
      <c r="C10" s="2"/>
      <c r="D10" s="2"/>
      <c r="E10" s="2">
        <v>34718287.68</v>
      </c>
      <c r="F10" s="2">
        <v>0</v>
      </c>
    </row>
    <row r="11" spans="1:6" x14ac:dyDescent="0.3">
      <c r="A11" s="6" t="s">
        <v>84</v>
      </c>
      <c r="B11" s="2" t="s">
        <v>77</v>
      </c>
      <c r="C11" s="2"/>
      <c r="D11" s="2"/>
      <c r="E11" s="2">
        <v>189311.35</v>
      </c>
      <c r="F11" s="2">
        <v>0</v>
      </c>
    </row>
    <row r="12" spans="1:6" x14ac:dyDescent="0.3">
      <c r="A12" s="6" t="s">
        <v>85</v>
      </c>
      <c r="B12" s="2" t="s">
        <v>79</v>
      </c>
      <c r="C12" s="2"/>
      <c r="D12" s="2"/>
      <c r="E12" s="2">
        <v>897709.67</v>
      </c>
      <c r="F12" s="2">
        <v>0</v>
      </c>
    </row>
    <row r="13" spans="1:6" x14ac:dyDescent="0.3">
      <c r="A13" s="6" t="s">
        <v>86</v>
      </c>
      <c r="B13" s="2" t="s">
        <v>77</v>
      </c>
      <c r="C13" s="2"/>
      <c r="D13" s="2"/>
      <c r="E13" s="2">
        <v>19879741.969999999</v>
      </c>
      <c r="F13" s="2">
        <v>0</v>
      </c>
    </row>
    <row r="14" spans="1:6" x14ac:dyDescent="0.3">
      <c r="A14" s="6" t="s">
        <v>87</v>
      </c>
      <c r="B14" s="2" t="s">
        <v>79</v>
      </c>
      <c r="C14" s="2"/>
      <c r="D14" s="2"/>
      <c r="E14" s="2">
        <v>0</v>
      </c>
      <c r="F14" s="2">
        <v>0</v>
      </c>
    </row>
    <row r="15" spans="1:6" x14ac:dyDescent="0.3">
      <c r="A15" s="6" t="s">
        <v>88</v>
      </c>
      <c r="B15" s="2" t="s">
        <v>77</v>
      </c>
      <c r="C15" s="2"/>
      <c r="D15" s="2"/>
      <c r="E15" s="2">
        <v>5695859.5700000003</v>
      </c>
      <c r="F15" s="2">
        <v>0</v>
      </c>
    </row>
    <row r="16" spans="1:6" x14ac:dyDescent="0.3">
      <c r="A16" s="6" t="s">
        <v>89</v>
      </c>
      <c r="B16" s="2" t="s">
        <v>79</v>
      </c>
      <c r="C16" s="2"/>
      <c r="D16" s="2"/>
      <c r="E16" s="2">
        <v>368048.64000000001</v>
      </c>
      <c r="F16" s="2">
        <v>0</v>
      </c>
    </row>
    <row r="17" spans="1:6" x14ac:dyDescent="0.3">
      <c r="A17" s="6" t="s">
        <v>90</v>
      </c>
      <c r="B17" s="2" t="s">
        <v>91</v>
      </c>
      <c r="C17" s="2"/>
      <c r="D17" s="2"/>
      <c r="E17" s="2">
        <v>806654.8</v>
      </c>
      <c r="F17" s="2">
        <v>0</v>
      </c>
    </row>
    <row r="18" spans="1:6" x14ac:dyDescent="0.3">
      <c r="A18" s="6" t="s">
        <v>92</v>
      </c>
      <c r="B18" s="2" t="s">
        <v>77</v>
      </c>
      <c r="C18" s="2"/>
      <c r="D18" s="2"/>
      <c r="E18" s="2">
        <v>133374.70000000001</v>
      </c>
      <c r="F18" s="2">
        <v>0</v>
      </c>
    </row>
    <row r="19" spans="1:6" x14ac:dyDescent="0.3">
      <c r="A19" s="6" t="s">
        <v>93</v>
      </c>
      <c r="B19" s="2" t="s">
        <v>79</v>
      </c>
      <c r="C19" s="2"/>
      <c r="D19" s="2"/>
      <c r="E19" s="2">
        <v>310964.96999999997</v>
      </c>
      <c r="F19" s="2">
        <v>0</v>
      </c>
    </row>
    <row r="20" spans="1:6" x14ac:dyDescent="0.3">
      <c r="A20" s="6" t="s">
        <v>94</v>
      </c>
      <c r="B20" s="2" t="s">
        <v>91</v>
      </c>
      <c r="C20" s="2"/>
      <c r="D20" s="2"/>
      <c r="E20" s="2">
        <v>5608245.0700000003</v>
      </c>
      <c r="F20" s="2">
        <v>0</v>
      </c>
    </row>
    <row r="21" spans="1:6" x14ac:dyDescent="0.3">
      <c r="A21" s="6" t="s">
        <v>95</v>
      </c>
      <c r="B21" s="2" t="s">
        <v>91</v>
      </c>
      <c r="C21" s="2"/>
      <c r="D21" s="2"/>
      <c r="E21" s="2">
        <v>9341.73</v>
      </c>
      <c r="F21" s="2">
        <v>0</v>
      </c>
    </row>
    <row r="22" spans="1:6" x14ac:dyDescent="0.3">
      <c r="A22" s="6" t="s">
        <v>96</v>
      </c>
      <c r="B22" s="2" t="s">
        <v>79</v>
      </c>
      <c r="C22" s="2"/>
      <c r="D22" s="2"/>
      <c r="E22" s="2">
        <v>0</v>
      </c>
      <c r="F22" s="2">
        <v>0</v>
      </c>
    </row>
    <row r="23" spans="1:6" x14ac:dyDescent="0.3">
      <c r="A23" s="6" t="s">
        <v>97</v>
      </c>
      <c r="B23" s="2" t="s">
        <v>72</v>
      </c>
      <c r="C23" s="2"/>
      <c r="D23" s="2"/>
      <c r="E23" s="2">
        <v>87212174.560000002</v>
      </c>
      <c r="F23" s="2">
        <v>0</v>
      </c>
    </row>
    <row r="24" spans="1:6" x14ac:dyDescent="0.3">
      <c r="A24" s="6" t="s">
        <v>98</v>
      </c>
      <c r="B24" s="2" t="s">
        <v>99</v>
      </c>
      <c r="C24" s="2"/>
      <c r="D24" s="2"/>
      <c r="E24" s="2">
        <v>23371442.109999999</v>
      </c>
      <c r="F24" s="2">
        <v>0</v>
      </c>
    </row>
    <row r="25" spans="1:6" x14ac:dyDescent="0.3">
      <c r="A25" s="6" t="s">
        <v>100</v>
      </c>
      <c r="B25" s="2" t="s">
        <v>72</v>
      </c>
      <c r="C25" s="2"/>
      <c r="D25" s="2"/>
      <c r="E25" s="2">
        <v>1203597644.02</v>
      </c>
      <c r="F25" s="2">
        <v>0</v>
      </c>
    </row>
    <row r="26" spans="1:6" x14ac:dyDescent="0.3">
      <c r="A26" s="6" t="s">
        <v>101</v>
      </c>
      <c r="B26" s="2" t="s">
        <v>74</v>
      </c>
      <c r="C26" s="2"/>
      <c r="D26" s="2"/>
      <c r="E26" s="2">
        <v>3508989.83</v>
      </c>
      <c r="F26" s="2">
        <v>0</v>
      </c>
    </row>
    <row r="27" spans="1:6" x14ac:dyDescent="0.3">
      <c r="A27" s="6" t="s">
        <v>102</v>
      </c>
      <c r="B27" s="2" t="s">
        <v>99</v>
      </c>
      <c r="C27" s="2"/>
      <c r="D27" s="2"/>
      <c r="E27" s="2">
        <v>4582362.8499999996</v>
      </c>
      <c r="F27" s="2">
        <v>0</v>
      </c>
    </row>
    <row r="28" spans="1:6" x14ac:dyDescent="0.3">
      <c r="A28" s="6" t="s">
        <v>103</v>
      </c>
      <c r="B28" s="2" t="s">
        <v>72</v>
      </c>
      <c r="C28" s="2"/>
      <c r="D28" s="2"/>
      <c r="E28" s="2">
        <v>109432030.88</v>
      </c>
      <c r="F28" s="2">
        <v>0</v>
      </c>
    </row>
    <row r="29" spans="1:6" x14ac:dyDescent="0.3">
      <c r="A29" s="6" t="s">
        <v>104</v>
      </c>
      <c r="B29" s="2" t="s">
        <v>99</v>
      </c>
      <c r="C29" s="2"/>
      <c r="D29" s="2"/>
      <c r="E29" s="2">
        <v>60162356.600000001</v>
      </c>
      <c r="F29" s="2">
        <v>0</v>
      </c>
    </row>
    <row r="30" spans="1:6" x14ac:dyDescent="0.3">
      <c r="A30" s="6" t="s">
        <v>105</v>
      </c>
      <c r="B30" s="2" t="s">
        <v>72</v>
      </c>
      <c r="C30" s="2"/>
      <c r="D30" s="2"/>
      <c r="E30" s="2">
        <v>655023.6</v>
      </c>
      <c r="F30" s="2">
        <v>0</v>
      </c>
    </row>
    <row r="31" spans="1:6" x14ac:dyDescent="0.3">
      <c r="A31" s="6" t="s">
        <v>106</v>
      </c>
      <c r="B31" s="2" t="s">
        <v>99</v>
      </c>
      <c r="C31" s="2"/>
      <c r="D31" s="2"/>
      <c r="E31" s="2">
        <v>0</v>
      </c>
      <c r="F31" s="2">
        <v>332507.14</v>
      </c>
    </row>
    <row r="32" spans="1:6" x14ac:dyDescent="0.3">
      <c r="A32" s="6" t="s">
        <v>107</v>
      </c>
      <c r="B32" s="2" t="s">
        <v>72</v>
      </c>
      <c r="C32" s="2"/>
      <c r="D32" s="2"/>
      <c r="E32" s="2">
        <v>1169171647.04</v>
      </c>
      <c r="F32" s="2">
        <v>0</v>
      </c>
    </row>
    <row r="33" spans="1:6" x14ac:dyDescent="0.3">
      <c r="A33" s="6" t="s">
        <v>108</v>
      </c>
      <c r="B33" s="2" t="s">
        <v>74</v>
      </c>
      <c r="C33" s="2"/>
      <c r="D33" s="2"/>
      <c r="E33" s="2">
        <v>27255821.510000002</v>
      </c>
      <c r="F33" s="2">
        <v>0</v>
      </c>
    </row>
    <row r="34" spans="1:6" x14ac:dyDescent="0.3">
      <c r="A34" s="6" t="s">
        <v>109</v>
      </c>
      <c r="B34" s="2" t="s">
        <v>99</v>
      </c>
      <c r="C34" s="2"/>
      <c r="D34" s="2"/>
      <c r="E34" s="2">
        <v>6915465.4500000002</v>
      </c>
      <c r="F34" s="2">
        <v>0</v>
      </c>
    </row>
    <row r="35" spans="1:6" x14ac:dyDescent="0.3">
      <c r="A35" s="6" t="s">
        <v>110</v>
      </c>
      <c r="B35" s="2" t="s">
        <v>111</v>
      </c>
      <c r="C35" s="2"/>
      <c r="D35" s="2"/>
      <c r="E35" s="2">
        <v>0</v>
      </c>
      <c r="F35" s="2">
        <v>5377189.5199999996</v>
      </c>
    </row>
    <row r="36" spans="1:6" x14ac:dyDescent="0.3">
      <c r="A36" s="6" t="s">
        <v>112</v>
      </c>
      <c r="B36" s="2" t="s">
        <v>72</v>
      </c>
      <c r="C36" s="2"/>
      <c r="D36" s="2"/>
      <c r="E36" s="2">
        <v>0</v>
      </c>
      <c r="F36" s="2">
        <v>0</v>
      </c>
    </row>
    <row r="37" spans="1:6" x14ac:dyDescent="0.3">
      <c r="A37" s="6" t="s">
        <v>113</v>
      </c>
      <c r="B37" s="2" t="s">
        <v>72</v>
      </c>
      <c r="C37" s="2"/>
      <c r="D37" s="2"/>
      <c r="E37" s="2">
        <v>2300000000</v>
      </c>
      <c r="F37" s="2">
        <v>0</v>
      </c>
    </row>
    <row r="38" spans="1:6" x14ac:dyDescent="0.3">
      <c r="A38" s="6" t="s">
        <v>114</v>
      </c>
      <c r="B38" s="2" t="s">
        <v>74</v>
      </c>
      <c r="C38" s="2"/>
      <c r="D38" s="2"/>
      <c r="E38" s="2">
        <v>25044508.329999998</v>
      </c>
      <c r="F38" s="2">
        <v>0</v>
      </c>
    </row>
    <row r="39" spans="1:6" x14ac:dyDescent="0.3">
      <c r="A39" s="6" t="s">
        <v>115</v>
      </c>
      <c r="B39" s="2" t="s">
        <v>99</v>
      </c>
      <c r="C39" s="2"/>
      <c r="D39" s="2"/>
      <c r="E39" s="2">
        <v>60039884.159999996</v>
      </c>
      <c r="F39" s="2">
        <v>0</v>
      </c>
    </row>
    <row r="40" spans="1:6" x14ac:dyDescent="0.3">
      <c r="A40" s="6" t="s">
        <v>116</v>
      </c>
      <c r="B40" s="2" t="s">
        <v>117</v>
      </c>
      <c r="C40" s="2"/>
      <c r="D40" s="2"/>
      <c r="E40" s="2">
        <v>15211238.51</v>
      </c>
      <c r="F40" s="2">
        <v>0</v>
      </c>
    </row>
    <row r="41" spans="1:6" x14ac:dyDescent="0.3">
      <c r="A41" s="6" t="s">
        <v>118</v>
      </c>
      <c r="B41" s="2" t="s">
        <v>72</v>
      </c>
      <c r="C41" s="2"/>
      <c r="D41" s="2"/>
      <c r="E41" s="2">
        <v>7792320318.6899996</v>
      </c>
      <c r="F41" s="2">
        <v>0</v>
      </c>
    </row>
    <row r="42" spans="1:6" x14ac:dyDescent="0.3">
      <c r="A42" s="6" t="s">
        <v>119</v>
      </c>
      <c r="B42" s="2" t="s">
        <v>74</v>
      </c>
      <c r="C42" s="2"/>
      <c r="D42" s="2"/>
      <c r="E42" s="2">
        <v>118574856.06999999</v>
      </c>
      <c r="F42" s="2">
        <v>0</v>
      </c>
    </row>
    <row r="43" spans="1:6" x14ac:dyDescent="0.3">
      <c r="A43" s="6" t="s">
        <v>120</v>
      </c>
      <c r="B43" s="2" t="s">
        <v>72</v>
      </c>
      <c r="C43" s="2"/>
      <c r="D43" s="2"/>
      <c r="E43" s="2">
        <v>2505802329.1900001</v>
      </c>
      <c r="F43" s="2">
        <v>0</v>
      </c>
    </row>
    <row r="44" spans="1:6" x14ac:dyDescent="0.3">
      <c r="A44" s="6" t="s">
        <v>121</v>
      </c>
      <c r="B44" s="2" t="s">
        <v>74</v>
      </c>
      <c r="C44" s="2"/>
      <c r="D44" s="2"/>
      <c r="E44" s="2">
        <v>14720764.17</v>
      </c>
      <c r="F44" s="2">
        <v>0</v>
      </c>
    </row>
    <row r="45" spans="1:6" x14ac:dyDescent="0.3">
      <c r="A45" s="6" t="s">
        <v>122</v>
      </c>
      <c r="B45" s="2" t="s">
        <v>99</v>
      </c>
      <c r="C45" s="2"/>
      <c r="D45" s="2"/>
      <c r="E45" s="2">
        <v>2211423.4700000002</v>
      </c>
      <c r="F45" s="2">
        <v>0</v>
      </c>
    </row>
    <row r="46" spans="1:6" x14ac:dyDescent="0.3">
      <c r="A46" s="6" t="s">
        <v>123</v>
      </c>
      <c r="B46" s="2" t="s">
        <v>72</v>
      </c>
      <c r="C46" s="2"/>
      <c r="D46" s="2"/>
      <c r="E46" s="2">
        <v>2824663407.2800002</v>
      </c>
      <c r="F46" s="2">
        <v>0</v>
      </c>
    </row>
    <row r="47" spans="1:6" x14ac:dyDescent="0.3">
      <c r="A47" s="6" t="s">
        <v>124</v>
      </c>
      <c r="B47" s="2" t="s">
        <v>74</v>
      </c>
      <c r="C47" s="2"/>
      <c r="D47" s="2"/>
      <c r="E47" s="2">
        <v>17630653.93</v>
      </c>
      <c r="F47" s="2">
        <v>0</v>
      </c>
    </row>
    <row r="48" spans="1:6" x14ac:dyDescent="0.3">
      <c r="A48" s="6" t="s">
        <v>125</v>
      </c>
      <c r="B48" s="2" t="s">
        <v>126</v>
      </c>
      <c r="C48" s="2"/>
      <c r="D48" s="2"/>
      <c r="E48" s="2">
        <v>0</v>
      </c>
      <c r="F48" s="2">
        <v>2007194.12</v>
      </c>
    </row>
    <row r="49" spans="1:6" x14ac:dyDescent="0.3">
      <c r="A49" s="6" t="s">
        <v>127</v>
      </c>
      <c r="B49" s="2" t="s">
        <v>99</v>
      </c>
      <c r="C49" s="2"/>
      <c r="D49" s="2"/>
      <c r="E49" s="2">
        <v>0</v>
      </c>
      <c r="F49" s="2">
        <v>2723458.18</v>
      </c>
    </row>
    <row r="50" spans="1:6" x14ac:dyDescent="0.3">
      <c r="A50" s="6" t="s">
        <v>128</v>
      </c>
      <c r="B50" s="2" t="s">
        <v>129</v>
      </c>
      <c r="C50" s="2"/>
      <c r="D50" s="2"/>
      <c r="E50" s="2">
        <v>0</v>
      </c>
      <c r="F50" s="2">
        <v>106245.16</v>
      </c>
    </row>
    <row r="51" spans="1:6" x14ac:dyDescent="0.3">
      <c r="A51" s="6" t="s">
        <v>130</v>
      </c>
      <c r="B51" s="2" t="s">
        <v>131</v>
      </c>
      <c r="C51" s="2"/>
      <c r="D51" s="2"/>
      <c r="E51" s="2">
        <v>0</v>
      </c>
      <c r="F51" s="2">
        <v>240263.84</v>
      </c>
    </row>
    <row r="52" spans="1:6" x14ac:dyDescent="0.3">
      <c r="A52" s="6" t="s">
        <v>132</v>
      </c>
      <c r="B52" s="2" t="s">
        <v>133</v>
      </c>
      <c r="C52" s="2"/>
      <c r="D52" s="2"/>
      <c r="E52" s="2">
        <v>0</v>
      </c>
      <c r="F52" s="2">
        <v>2306887.63</v>
      </c>
    </row>
    <row r="53" spans="1:6" x14ac:dyDescent="0.3">
      <c r="A53" s="6" t="s">
        <v>134</v>
      </c>
      <c r="B53" s="2" t="s">
        <v>72</v>
      </c>
      <c r="C53" s="2"/>
      <c r="D53" s="2"/>
      <c r="E53" s="2">
        <v>21800000</v>
      </c>
      <c r="F53" s="2">
        <v>0</v>
      </c>
    </row>
    <row r="54" spans="1:6" x14ac:dyDescent="0.3">
      <c r="A54" s="6" t="s">
        <v>135</v>
      </c>
      <c r="B54" s="2" t="s">
        <v>74</v>
      </c>
      <c r="C54" s="2"/>
      <c r="D54" s="2"/>
      <c r="E54" s="2">
        <v>173100.33</v>
      </c>
      <c r="F54" s="2">
        <v>0</v>
      </c>
    </row>
    <row r="55" spans="1:6" x14ac:dyDescent="0.3">
      <c r="A55" s="6" t="s">
        <v>136</v>
      </c>
      <c r="B55" s="2" t="s">
        <v>133</v>
      </c>
      <c r="C55" s="2"/>
      <c r="D55" s="2"/>
      <c r="E55" s="2">
        <v>0</v>
      </c>
      <c r="F55" s="2">
        <v>605673.63</v>
      </c>
    </row>
    <row r="56" spans="1:6" x14ac:dyDescent="0.3">
      <c r="A56" s="6" t="s">
        <v>137</v>
      </c>
      <c r="B56" s="2" t="s">
        <v>72</v>
      </c>
      <c r="C56" s="2"/>
      <c r="D56" s="2"/>
      <c r="E56" s="2">
        <v>1000000</v>
      </c>
      <c r="F56" s="2">
        <v>0</v>
      </c>
    </row>
    <row r="57" spans="1:6" x14ac:dyDescent="0.3">
      <c r="A57" s="6" t="s">
        <v>138</v>
      </c>
      <c r="B57" s="2" t="s">
        <v>74</v>
      </c>
      <c r="C57" s="2"/>
      <c r="D57" s="2"/>
      <c r="E57" s="2">
        <v>12218</v>
      </c>
      <c r="F57" s="2">
        <v>0</v>
      </c>
    </row>
    <row r="58" spans="1:6" x14ac:dyDescent="0.3">
      <c r="A58" s="6" t="s">
        <v>139</v>
      </c>
      <c r="B58" s="2" t="s">
        <v>72</v>
      </c>
      <c r="C58" s="2"/>
      <c r="D58" s="2"/>
      <c r="E58" s="2">
        <v>20533053.800000001</v>
      </c>
      <c r="F58" s="2">
        <v>0</v>
      </c>
    </row>
    <row r="59" spans="1:6" x14ac:dyDescent="0.3">
      <c r="A59" s="6" t="s">
        <v>140</v>
      </c>
      <c r="B59" s="2" t="s">
        <v>74</v>
      </c>
      <c r="C59" s="2"/>
      <c r="D59" s="2"/>
      <c r="E59" s="2">
        <v>268133.28999999998</v>
      </c>
      <c r="F59" s="2">
        <v>0</v>
      </c>
    </row>
    <row r="60" spans="1:6" x14ac:dyDescent="0.3">
      <c r="A60" s="6" t="s">
        <v>141</v>
      </c>
      <c r="B60" s="2" t="s">
        <v>133</v>
      </c>
      <c r="C60" s="2"/>
      <c r="D60" s="2"/>
      <c r="E60" s="2">
        <v>0</v>
      </c>
      <c r="F60" s="2">
        <v>1275307.03</v>
      </c>
    </row>
    <row r="61" spans="1:6" x14ac:dyDescent="0.3">
      <c r="A61" s="6" t="s">
        <v>142</v>
      </c>
      <c r="B61" s="2" t="s">
        <v>133</v>
      </c>
      <c r="C61" s="2"/>
      <c r="D61" s="2"/>
      <c r="E61" s="2">
        <v>0</v>
      </c>
      <c r="F61" s="2">
        <v>551088.04</v>
      </c>
    </row>
    <row r="62" spans="1:6" x14ac:dyDescent="0.3">
      <c r="A62" s="6" t="s">
        <v>143</v>
      </c>
      <c r="B62" s="2" t="s">
        <v>72</v>
      </c>
      <c r="C62" s="2"/>
      <c r="D62" s="2"/>
      <c r="E62" s="2">
        <v>13970.6</v>
      </c>
      <c r="F62" s="2">
        <v>0</v>
      </c>
    </row>
    <row r="63" spans="1:6" x14ac:dyDescent="0.3">
      <c r="A63" s="6" t="s">
        <v>144</v>
      </c>
      <c r="B63" s="2" t="s">
        <v>72</v>
      </c>
      <c r="C63" s="2"/>
      <c r="D63" s="2"/>
      <c r="E63" s="2">
        <v>0</v>
      </c>
      <c r="F63" s="2">
        <v>412743.13</v>
      </c>
    </row>
    <row r="64" spans="1:6" x14ac:dyDescent="0.3">
      <c r="A64" s="6" t="s">
        <v>145</v>
      </c>
      <c r="B64" s="2" t="s">
        <v>74</v>
      </c>
      <c r="C64" s="2"/>
      <c r="D64" s="2"/>
      <c r="E64" s="2">
        <v>0</v>
      </c>
      <c r="F64" s="2">
        <v>1521.24</v>
      </c>
    </row>
    <row r="65" spans="1:6" x14ac:dyDescent="0.3">
      <c r="A65" s="6" t="s">
        <v>146</v>
      </c>
      <c r="B65" s="2" t="s">
        <v>72</v>
      </c>
      <c r="C65" s="2"/>
      <c r="D65" s="2"/>
      <c r="E65" s="2">
        <v>55000000</v>
      </c>
      <c r="F65" s="2">
        <v>0</v>
      </c>
    </row>
    <row r="66" spans="1:6" x14ac:dyDescent="0.3">
      <c r="A66" s="6" t="s">
        <v>147</v>
      </c>
      <c r="B66" s="2" t="s">
        <v>74</v>
      </c>
      <c r="C66" s="2"/>
      <c r="D66" s="2"/>
      <c r="E66" s="2">
        <v>182374.71</v>
      </c>
      <c r="F66" s="2">
        <v>0</v>
      </c>
    </row>
    <row r="67" spans="1:6" x14ac:dyDescent="0.3">
      <c r="A67" s="6" t="s">
        <v>148</v>
      </c>
      <c r="B67" s="2" t="s">
        <v>149</v>
      </c>
      <c r="C67" s="2"/>
      <c r="D67" s="2"/>
      <c r="E67" s="2">
        <v>47192979.450000003</v>
      </c>
      <c r="F67" s="2">
        <v>0</v>
      </c>
    </row>
    <row r="68" spans="1:6" x14ac:dyDescent="0.3">
      <c r="A68" s="6" t="s">
        <v>150</v>
      </c>
      <c r="B68" s="2" t="s">
        <v>151</v>
      </c>
      <c r="C68" s="2"/>
      <c r="D68" s="2"/>
      <c r="E68" s="2">
        <v>45703.839999999997</v>
      </c>
      <c r="F68" s="2">
        <v>0</v>
      </c>
    </row>
    <row r="69" spans="1:6" x14ac:dyDescent="0.3">
      <c r="A69" s="6" t="s">
        <v>152</v>
      </c>
      <c r="B69" s="2" t="s">
        <v>153</v>
      </c>
      <c r="C69" s="2"/>
      <c r="D69" s="2"/>
      <c r="E69" s="2">
        <v>63583346.920000002</v>
      </c>
      <c r="F69" s="2">
        <v>0</v>
      </c>
    </row>
    <row r="70" spans="1:6" x14ac:dyDescent="0.3">
      <c r="A70" s="6" t="s">
        <v>154</v>
      </c>
      <c r="B70" s="2" t="s">
        <v>72</v>
      </c>
      <c r="C70" s="2"/>
      <c r="D70" s="2"/>
      <c r="E70" s="2">
        <v>32029097.039999999</v>
      </c>
      <c r="F70" s="2">
        <v>0</v>
      </c>
    </row>
    <row r="71" spans="1:6" x14ac:dyDescent="0.3">
      <c r="A71" s="6" t="s">
        <v>155</v>
      </c>
      <c r="B71" s="2" t="s">
        <v>74</v>
      </c>
      <c r="C71" s="2"/>
      <c r="D71" s="2"/>
      <c r="E71" s="2">
        <v>1073573.1299999999</v>
      </c>
      <c r="F71" s="2">
        <v>0</v>
      </c>
    </row>
    <row r="72" spans="1:6" x14ac:dyDescent="0.3">
      <c r="A72" s="6" t="s">
        <v>156</v>
      </c>
      <c r="B72" s="2" t="s">
        <v>72</v>
      </c>
      <c r="C72" s="2"/>
      <c r="D72" s="2"/>
      <c r="E72" s="2">
        <v>38676.71</v>
      </c>
      <c r="F72" s="2">
        <v>0</v>
      </c>
    </row>
    <row r="73" spans="1:6" x14ac:dyDescent="0.3">
      <c r="A73" s="6" t="s">
        <v>157</v>
      </c>
      <c r="B73" s="2" t="s">
        <v>72</v>
      </c>
      <c r="C73" s="2"/>
      <c r="D73" s="2"/>
      <c r="E73" s="2">
        <v>660448.38</v>
      </c>
      <c r="F73" s="2">
        <v>0</v>
      </c>
    </row>
    <row r="74" spans="1:6" x14ac:dyDescent="0.3">
      <c r="A74" s="6" t="s">
        <v>158</v>
      </c>
      <c r="B74" s="2" t="s">
        <v>159</v>
      </c>
      <c r="C74" s="2"/>
      <c r="D74" s="2"/>
      <c r="E74" s="2">
        <v>0</v>
      </c>
      <c r="F74" s="2">
        <v>977.8</v>
      </c>
    </row>
    <row r="75" spans="1:6" x14ac:dyDescent="0.3">
      <c r="A75" s="6" t="s">
        <v>160</v>
      </c>
      <c r="B75" s="2" t="s">
        <v>72</v>
      </c>
      <c r="C75" s="2"/>
      <c r="D75" s="2"/>
      <c r="E75" s="2">
        <v>391299947.75999999</v>
      </c>
      <c r="F75" s="2">
        <v>0</v>
      </c>
    </row>
    <row r="76" spans="1:6" x14ac:dyDescent="0.3">
      <c r="A76" s="6" t="s">
        <v>161</v>
      </c>
      <c r="B76" s="2" t="s">
        <v>74</v>
      </c>
      <c r="C76" s="2"/>
      <c r="D76" s="2"/>
      <c r="E76" s="2">
        <v>1415850.34</v>
      </c>
      <c r="F76" s="2">
        <v>0</v>
      </c>
    </row>
    <row r="77" spans="1:6" x14ac:dyDescent="0.3">
      <c r="A77" s="6" t="s">
        <v>162</v>
      </c>
      <c r="B77" s="2" t="s">
        <v>99</v>
      </c>
      <c r="C77" s="2"/>
      <c r="D77" s="2"/>
      <c r="E77" s="2">
        <v>0</v>
      </c>
      <c r="F77" s="2">
        <v>364512.26</v>
      </c>
    </row>
    <row r="78" spans="1:6" x14ac:dyDescent="0.3">
      <c r="A78" s="6" t="s">
        <v>163</v>
      </c>
      <c r="B78" s="2" t="s">
        <v>72</v>
      </c>
      <c r="C78" s="2"/>
      <c r="D78" s="2"/>
      <c r="E78" s="2">
        <v>214436.38</v>
      </c>
      <c r="F78" s="2">
        <v>0</v>
      </c>
    </row>
    <row r="79" spans="1:6" x14ac:dyDescent="0.3">
      <c r="A79" s="6" t="s">
        <v>164</v>
      </c>
      <c r="B79" s="2" t="s">
        <v>165</v>
      </c>
      <c r="C79" s="2"/>
      <c r="D79" s="2"/>
      <c r="E79" s="2">
        <v>14963416.609999999</v>
      </c>
      <c r="F79" s="2">
        <v>0</v>
      </c>
    </row>
    <row r="80" spans="1:6" x14ac:dyDescent="0.3">
      <c r="A80" s="6" t="s">
        <v>166</v>
      </c>
      <c r="B80" s="2" t="s">
        <v>167</v>
      </c>
      <c r="C80" s="2"/>
      <c r="D80" s="2"/>
      <c r="E80" s="2">
        <v>542505.37</v>
      </c>
      <c r="F80" s="2">
        <v>0</v>
      </c>
    </row>
    <row r="81" spans="1:6" x14ac:dyDescent="0.3">
      <c r="A81" s="6" t="s">
        <v>168</v>
      </c>
      <c r="B81" s="2" t="s">
        <v>169</v>
      </c>
      <c r="C81" s="2"/>
      <c r="D81" s="2"/>
      <c r="E81" s="2">
        <v>57882904.880000003</v>
      </c>
      <c r="F81" s="2">
        <v>0</v>
      </c>
    </row>
    <row r="82" spans="1:6" x14ac:dyDescent="0.3">
      <c r="A82" s="6" t="s">
        <v>170</v>
      </c>
      <c r="B82" s="2" t="s">
        <v>151</v>
      </c>
      <c r="C82" s="2"/>
      <c r="D82" s="2"/>
      <c r="E82" s="2">
        <v>184149610.84999999</v>
      </c>
      <c r="F82" s="2">
        <v>0</v>
      </c>
    </row>
    <row r="83" spans="1:6" x14ac:dyDescent="0.3">
      <c r="A83" s="6" t="s">
        <v>171</v>
      </c>
      <c r="B83" s="2" t="s">
        <v>72</v>
      </c>
      <c r="C83" s="2"/>
      <c r="D83" s="2"/>
      <c r="E83" s="2">
        <v>70269494.420000002</v>
      </c>
      <c r="F83" s="2">
        <v>0</v>
      </c>
    </row>
    <row r="84" spans="1:6" x14ac:dyDescent="0.3">
      <c r="A84" s="6" t="s">
        <v>172</v>
      </c>
      <c r="B84" s="2" t="s">
        <v>74</v>
      </c>
      <c r="C84" s="2"/>
      <c r="D84" s="2"/>
      <c r="E84" s="2">
        <v>260649.75</v>
      </c>
      <c r="F84" s="2">
        <v>0</v>
      </c>
    </row>
    <row r="85" spans="1:6" x14ac:dyDescent="0.3">
      <c r="A85" s="6" t="s">
        <v>173</v>
      </c>
      <c r="B85" s="2" t="s">
        <v>72</v>
      </c>
      <c r="C85" s="2"/>
      <c r="D85" s="2"/>
      <c r="E85" s="2">
        <v>306796.48</v>
      </c>
      <c r="F85" s="2">
        <v>0</v>
      </c>
    </row>
    <row r="86" spans="1:6" x14ac:dyDescent="0.3">
      <c r="A86" s="6" t="s">
        <v>174</v>
      </c>
      <c r="B86" s="2" t="s">
        <v>72</v>
      </c>
      <c r="C86" s="2"/>
      <c r="D86" s="2"/>
      <c r="E86" s="2">
        <v>150028.16</v>
      </c>
      <c r="F86" s="2">
        <v>0</v>
      </c>
    </row>
    <row r="87" spans="1:6" x14ac:dyDescent="0.3">
      <c r="A87" s="6" t="s">
        <v>175</v>
      </c>
      <c r="B87" s="2" t="s">
        <v>159</v>
      </c>
      <c r="C87" s="2"/>
      <c r="D87" s="2"/>
      <c r="E87" s="2">
        <v>0</v>
      </c>
      <c r="F87" s="2">
        <v>841.17</v>
      </c>
    </row>
    <row r="88" spans="1:6" x14ac:dyDescent="0.3">
      <c r="A88" s="6" t="s">
        <v>176</v>
      </c>
      <c r="B88" s="2" t="s">
        <v>72</v>
      </c>
      <c r="C88" s="2"/>
      <c r="D88" s="2"/>
      <c r="E88" s="2">
        <v>575280560.58000004</v>
      </c>
      <c r="F88" s="2">
        <v>0</v>
      </c>
    </row>
    <row r="89" spans="1:6" x14ac:dyDescent="0.3">
      <c r="A89" s="6" t="s">
        <v>177</v>
      </c>
      <c r="B89" s="2" t="s">
        <v>74</v>
      </c>
      <c r="C89" s="2"/>
      <c r="D89" s="2"/>
      <c r="E89" s="2">
        <v>3699309.29</v>
      </c>
      <c r="F89" s="2">
        <v>0</v>
      </c>
    </row>
    <row r="90" spans="1:6" x14ac:dyDescent="0.3">
      <c r="A90" s="6" t="s">
        <v>178</v>
      </c>
      <c r="B90" s="2" t="s">
        <v>159</v>
      </c>
      <c r="C90" s="2"/>
      <c r="D90" s="2"/>
      <c r="E90" s="2">
        <v>0</v>
      </c>
      <c r="F90" s="2">
        <v>2374.19</v>
      </c>
    </row>
    <row r="91" spans="1:6" x14ac:dyDescent="0.3">
      <c r="A91" s="6" t="s">
        <v>179</v>
      </c>
      <c r="B91" s="2" t="s">
        <v>99</v>
      </c>
      <c r="C91" s="2"/>
      <c r="D91" s="2"/>
      <c r="E91" s="2">
        <v>0</v>
      </c>
      <c r="F91" s="2">
        <v>576954.16</v>
      </c>
    </row>
    <row r="92" spans="1:6" x14ac:dyDescent="0.3">
      <c r="A92" s="6" t="s">
        <v>180</v>
      </c>
      <c r="B92" s="2" t="s">
        <v>72</v>
      </c>
      <c r="C92" s="2"/>
      <c r="D92" s="2"/>
      <c r="E92" s="2">
        <v>46376673.219999999</v>
      </c>
      <c r="F92" s="2">
        <v>0</v>
      </c>
    </row>
    <row r="93" spans="1:6" x14ac:dyDescent="0.3">
      <c r="A93" s="6" t="s">
        <v>181</v>
      </c>
      <c r="B93" s="2" t="s">
        <v>182</v>
      </c>
      <c r="C93" s="2"/>
      <c r="D93" s="2"/>
      <c r="E93" s="2">
        <v>6608331.3700000001</v>
      </c>
      <c r="F93" s="2">
        <v>0</v>
      </c>
    </row>
    <row r="94" spans="1:6" x14ac:dyDescent="0.3">
      <c r="A94" s="6" t="s">
        <v>183</v>
      </c>
      <c r="B94" s="2" t="s">
        <v>153</v>
      </c>
      <c r="C94" s="2"/>
      <c r="D94" s="2"/>
      <c r="E94" s="2">
        <v>26162833.960000001</v>
      </c>
      <c r="F94" s="2">
        <v>0</v>
      </c>
    </row>
    <row r="95" spans="1:6" x14ac:dyDescent="0.3">
      <c r="A95" s="6" t="s">
        <v>184</v>
      </c>
      <c r="B95" s="2" t="s">
        <v>72</v>
      </c>
      <c r="C95" s="2"/>
      <c r="D95" s="2"/>
      <c r="E95" s="2">
        <v>768014299.50999999</v>
      </c>
      <c r="F95" s="2">
        <v>0</v>
      </c>
    </row>
    <row r="96" spans="1:6" x14ac:dyDescent="0.3">
      <c r="A96" s="6" t="s">
        <v>185</v>
      </c>
      <c r="B96" s="2" t="s">
        <v>74</v>
      </c>
      <c r="C96" s="2"/>
      <c r="D96" s="2"/>
      <c r="E96" s="2">
        <v>2944346.89</v>
      </c>
      <c r="F96" s="2">
        <v>0</v>
      </c>
    </row>
    <row r="97" spans="1:6" x14ac:dyDescent="0.3">
      <c r="A97" s="6" t="s">
        <v>186</v>
      </c>
      <c r="B97" s="2" t="s">
        <v>99</v>
      </c>
      <c r="C97" s="2"/>
      <c r="D97" s="2"/>
      <c r="E97" s="2">
        <v>252.49</v>
      </c>
      <c r="F97" s="2">
        <v>0</v>
      </c>
    </row>
    <row r="98" spans="1:6" x14ac:dyDescent="0.3">
      <c r="A98" s="6" t="s">
        <v>187</v>
      </c>
      <c r="B98" s="2" t="s">
        <v>72</v>
      </c>
      <c r="C98" s="2"/>
      <c r="D98" s="2"/>
      <c r="E98" s="2">
        <v>26799929.48</v>
      </c>
      <c r="F98" s="2">
        <v>0</v>
      </c>
    </row>
    <row r="99" spans="1:6" x14ac:dyDescent="0.3">
      <c r="A99" s="6" t="s">
        <v>188</v>
      </c>
      <c r="B99" s="2" t="s">
        <v>72</v>
      </c>
      <c r="C99" s="2"/>
      <c r="D99" s="2"/>
      <c r="E99" s="2">
        <v>745755117.98000002</v>
      </c>
      <c r="F99" s="2">
        <v>0</v>
      </c>
    </row>
    <row r="100" spans="1:6" x14ac:dyDescent="0.3">
      <c r="A100" s="6" t="s">
        <v>189</v>
      </c>
      <c r="B100" s="2" t="s">
        <v>159</v>
      </c>
      <c r="C100" s="2"/>
      <c r="D100" s="2"/>
      <c r="E100" s="2">
        <v>0</v>
      </c>
      <c r="F100" s="2">
        <v>4816505.33</v>
      </c>
    </row>
    <row r="101" spans="1:6" x14ac:dyDescent="0.3">
      <c r="A101" s="6" t="s">
        <v>190</v>
      </c>
      <c r="B101" s="2" t="s">
        <v>72</v>
      </c>
      <c r="C101" s="2"/>
      <c r="D101" s="2"/>
      <c r="E101" s="2">
        <v>120226397.8</v>
      </c>
      <c r="F101" s="2">
        <v>0</v>
      </c>
    </row>
    <row r="102" spans="1:6" x14ac:dyDescent="0.3">
      <c r="A102" s="6" t="s">
        <v>191</v>
      </c>
      <c r="B102" s="2" t="s">
        <v>74</v>
      </c>
      <c r="C102" s="2"/>
      <c r="D102" s="2"/>
      <c r="E102" s="2">
        <v>673834</v>
      </c>
      <c r="F102" s="2">
        <v>0</v>
      </c>
    </row>
    <row r="103" spans="1:6" x14ac:dyDescent="0.3">
      <c r="A103" s="6" t="s">
        <v>192</v>
      </c>
      <c r="B103" s="2" t="s">
        <v>159</v>
      </c>
      <c r="C103" s="2"/>
      <c r="D103" s="2"/>
      <c r="E103" s="2">
        <v>0</v>
      </c>
      <c r="F103" s="2">
        <v>140955.64000000001</v>
      </c>
    </row>
    <row r="104" spans="1:6" x14ac:dyDescent="0.3">
      <c r="A104" s="6" t="s">
        <v>193</v>
      </c>
      <c r="B104" s="2" t="s">
        <v>99</v>
      </c>
      <c r="C104" s="2"/>
      <c r="D104" s="2"/>
      <c r="E104" s="2">
        <v>0</v>
      </c>
      <c r="F104" s="2">
        <v>114603.47</v>
      </c>
    </row>
    <row r="105" spans="1:6" x14ac:dyDescent="0.3">
      <c r="A105" s="6" t="s">
        <v>194</v>
      </c>
      <c r="B105" s="2" t="s">
        <v>72</v>
      </c>
      <c r="C105" s="2"/>
      <c r="D105" s="2"/>
      <c r="E105" s="2">
        <v>412743.13</v>
      </c>
      <c r="F105" s="2">
        <v>0</v>
      </c>
    </row>
    <row r="106" spans="1:6" x14ac:dyDescent="0.3">
      <c r="A106" s="6" t="s">
        <v>195</v>
      </c>
      <c r="B106" s="2" t="s">
        <v>74</v>
      </c>
      <c r="C106" s="2"/>
      <c r="D106" s="2"/>
      <c r="E106" s="2">
        <v>1521.24</v>
      </c>
      <c r="F106" s="2">
        <v>0</v>
      </c>
    </row>
    <row r="107" spans="1:6" x14ac:dyDescent="0.3">
      <c r="A107" s="6" t="s">
        <v>196</v>
      </c>
      <c r="B107" s="2" t="s">
        <v>99</v>
      </c>
      <c r="C107" s="2"/>
      <c r="D107" s="2"/>
      <c r="E107" s="2">
        <v>0</v>
      </c>
      <c r="F107" s="2">
        <v>326801.46999999997</v>
      </c>
    </row>
    <row r="108" spans="1:6" x14ac:dyDescent="0.3">
      <c r="A108" s="6" t="s">
        <v>197</v>
      </c>
      <c r="B108" s="2" t="s">
        <v>99</v>
      </c>
      <c r="C108" s="2"/>
      <c r="D108" s="2"/>
      <c r="E108" s="2">
        <v>0</v>
      </c>
      <c r="F108" s="2">
        <v>2707.83</v>
      </c>
    </row>
    <row r="109" spans="1:6" x14ac:dyDescent="0.3">
      <c r="A109" s="6" t="s">
        <v>198</v>
      </c>
      <c r="B109" s="2" t="s">
        <v>72</v>
      </c>
      <c r="C109" s="2"/>
      <c r="D109" s="2"/>
      <c r="E109" s="2">
        <v>4799158573.1800003</v>
      </c>
      <c r="F109" s="2">
        <v>0</v>
      </c>
    </row>
    <row r="110" spans="1:6" x14ac:dyDescent="0.3">
      <c r="A110" s="6" t="s">
        <v>199</v>
      </c>
      <c r="B110" s="2" t="s">
        <v>74</v>
      </c>
      <c r="C110" s="2"/>
      <c r="D110" s="2"/>
      <c r="E110" s="2">
        <v>22067678.52</v>
      </c>
      <c r="F110" s="2">
        <v>0</v>
      </c>
    </row>
    <row r="111" spans="1:6" x14ac:dyDescent="0.3">
      <c r="A111" s="6" t="s">
        <v>200</v>
      </c>
      <c r="B111" s="2" t="s">
        <v>159</v>
      </c>
      <c r="C111" s="2"/>
      <c r="D111" s="2"/>
      <c r="E111" s="2">
        <v>0</v>
      </c>
      <c r="F111" s="2">
        <v>139237.68</v>
      </c>
    </row>
    <row r="112" spans="1:6" x14ac:dyDescent="0.3">
      <c r="A112" s="6" t="s">
        <v>201</v>
      </c>
      <c r="B112" s="2" t="s">
        <v>99</v>
      </c>
      <c r="C112" s="2"/>
      <c r="D112" s="2"/>
      <c r="E112" s="2">
        <v>0</v>
      </c>
      <c r="F112" s="2">
        <v>15368041.810000001</v>
      </c>
    </row>
    <row r="113" spans="1:6" x14ac:dyDescent="0.3">
      <c r="A113" s="6" t="s">
        <v>202</v>
      </c>
      <c r="B113" s="2" t="s">
        <v>72</v>
      </c>
      <c r="C113" s="2"/>
      <c r="D113" s="2"/>
      <c r="E113" s="2">
        <v>2456033.89</v>
      </c>
      <c r="F113" s="2">
        <v>0</v>
      </c>
    </row>
    <row r="114" spans="1:6" x14ac:dyDescent="0.3">
      <c r="A114" s="6" t="s">
        <v>203</v>
      </c>
      <c r="B114" s="2" t="s">
        <v>151</v>
      </c>
      <c r="C114" s="2"/>
      <c r="D114" s="2"/>
      <c r="E114" s="2">
        <v>6678.84</v>
      </c>
      <c r="F114" s="2">
        <v>0</v>
      </c>
    </row>
    <row r="115" spans="1:6" x14ac:dyDescent="0.3">
      <c r="A115" s="6" t="s">
        <v>204</v>
      </c>
      <c r="B115" s="2" t="s">
        <v>72</v>
      </c>
      <c r="C115" s="2"/>
      <c r="D115" s="2"/>
      <c r="E115" s="2">
        <v>59634639.5</v>
      </c>
      <c r="F115" s="2">
        <v>0</v>
      </c>
    </row>
    <row r="116" spans="1:6" x14ac:dyDescent="0.3">
      <c r="A116" s="6" t="s">
        <v>205</v>
      </c>
      <c r="B116" s="2" t="s">
        <v>74</v>
      </c>
      <c r="C116" s="2"/>
      <c r="D116" s="2"/>
      <c r="E116" s="2">
        <v>330145.55</v>
      </c>
      <c r="F116" s="2">
        <v>0</v>
      </c>
    </row>
    <row r="117" spans="1:6" x14ac:dyDescent="0.3">
      <c r="A117" s="6" t="s">
        <v>206</v>
      </c>
      <c r="B117" s="2" t="s">
        <v>72</v>
      </c>
      <c r="C117" s="2"/>
      <c r="D117" s="2"/>
      <c r="E117" s="2">
        <v>354158711.24000001</v>
      </c>
      <c r="F117" s="2">
        <v>0</v>
      </c>
    </row>
    <row r="118" spans="1:6" x14ac:dyDescent="0.3">
      <c r="A118" s="6" t="s">
        <v>207</v>
      </c>
      <c r="B118" s="2" t="s">
        <v>74</v>
      </c>
      <c r="C118" s="2"/>
      <c r="D118" s="2"/>
      <c r="E118" s="2">
        <v>1058936.46</v>
      </c>
      <c r="F118" s="2">
        <v>0</v>
      </c>
    </row>
    <row r="119" spans="1:6" x14ac:dyDescent="0.3">
      <c r="A119" s="6" t="s">
        <v>208</v>
      </c>
      <c r="B119" s="2" t="s">
        <v>72</v>
      </c>
      <c r="C119" s="2"/>
      <c r="D119" s="2"/>
      <c r="E119" s="2">
        <v>12788314.9</v>
      </c>
      <c r="F119" s="2">
        <v>0</v>
      </c>
    </row>
    <row r="120" spans="1:6" x14ac:dyDescent="0.3">
      <c r="A120" s="6" t="s">
        <v>209</v>
      </c>
      <c r="B120" s="2" t="s">
        <v>159</v>
      </c>
      <c r="C120" s="2"/>
      <c r="D120" s="2"/>
      <c r="E120" s="2">
        <v>0</v>
      </c>
      <c r="F120" s="2">
        <v>106197.12</v>
      </c>
    </row>
    <row r="121" spans="1:6" x14ac:dyDescent="0.3">
      <c r="A121" s="6" t="s">
        <v>210</v>
      </c>
      <c r="B121" s="2" t="s">
        <v>72</v>
      </c>
      <c r="C121" s="2"/>
      <c r="D121" s="2"/>
      <c r="E121" s="2">
        <v>122756.86</v>
      </c>
      <c r="F121" s="2">
        <v>0</v>
      </c>
    </row>
    <row r="122" spans="1:6" x14ac:dyDescent="0.3">
      <c r="A122" s="6" t="s">
        <v>211</v>
      </c>
      <c r="B122" s="2" t="s">
        <v>74</v>
      </c>
      <c r="C122" s="2"/>
      <c r="D122" s="2"/>
      <c r="E122" s="2">
        <v>263</v>
      </c>
      <c r="F122" s="2">
        <v>0</v>
      </c>
    </row>
    <row r="123" spans="1:6" x14ac:dyDescent="0.3">
      <c r="A123" s="6" t="s">
        <v>212</v>
      </c>
      <c r="B123" s="2" t="s">
        <v>159</v>
      </c>
      <c r="C123" s="2"/>
      <c r="D123" s="2"/>
      <c r="E123" s="2">
        <v>0</v>
      </c>
      <c r="F123" s="2">
        <v>618.57000000000005</v>
      </c>
    </row>
    <row r="124" spans="1:6" x14ac:dyDescent="0.3">
      <c r="A124" s="6" t="s">
        <v>213</v>
      </c>
      <c r="B124" s="2" t="s">
        <v>72</v>
      </c>
      <c r="C124" s="2"/>
      <c r="D124" s="2"/>
      <c r="E124" s="2">
        <v>24655635731.91</v>
      </c>
      <c r="F124" s="2">
        <v>0</v>
      </c>
    </row>
    <row r="125" spans="1:6" x14ac:dyDescent="0.3">
      <c r="A125" s="6" t="s">
        <v>214</v>
      </c>
      <c r="B125" s="2" t="s">
        <v>74</v>
      </c>
      <c r="C125" s="2"/>
      <c r="D125" s="2"/>
      <c r="E125" s="2">
        <v>60976385.939999998</v>
      </c>
      <c r="F125" s="2">
        <v>0</v>
      </c>
    </row>
    <row r="126" spans="1:6" x14ac:dyDescent="0.3">
      <c r="A126" s="6" t="s">
        <v>215</v>
      </c>
      <c r="B126" s="2" t="s">
        <v>159</v>
      </c>
      <c r="C126" s="2"/>
      <c r="D126" s="2"/>
      <c r="E126" s="2">
        <v>0</v>
      </c>
      <c r="F126" s="2">
        <v>9212.89</v>
      </c>
    </row>
    <row r="127" spans="1:6" x14ac:dyDescent="0.3">
      <c r="A127" s="6" t="s">
        <v>216</v>
      </c>
      <c r="B127" s="2" t="s">
        <v>99</v>
      </c>
      <c r="C127" s="2"/>
      <c r="D127" s="2"/>
      <c r="E127" s="2">
        <v>392291.63</v>
      </c>
      <c r="F127" s="2">
        <v>0</v>
      </c>
    </row>
    <row r="128" spans="1:6" x14ac:dyDescent="0.3">
      <c r="A128" s="6" t="s">
        <v>217</v>
      </c>
      <c r="B128" s="2" t="s">
        <v>72</v>
      </c>
      <c r="C128" s="2"/>
      <c r="D128" s="2"/>
      <c r="E128" s="2">
        <v>1485000</v>
      </c>
      <c r="F128" s="2">
        <v>0</v>
      </c>
    </row>
    <row r="129" spans="1:6" x14ac:dyDescent="0.3">
      <c r="A129" s="6" t="s">
        <v>218</v>
      </c>
      <c r="B129" s="2" t="s">
        <v>151</v>
      </c>
      <c r="C129" s="2"/>
      <c r="D129" s="2"/>
      <c r="E129" s="2">
        <v>1025334.87</v>
      </c>
      <c r="F129" s="2">
        <v>0</v>
      </c>
    </row>
    <row r="130" spans="1:6" x14ac:dyDescent="0.3">
      <c r="A130" s="6" t="s">
        <v>219</v>
      </c>
      <c r="B130" s="2" t="s">
        <v>220</v>
      </c>
      <c r="C130" s="2"/>
      <c r="D130" s="2"/>
      <c r="E130" s="2">
        <v>0</v>
      </c>
      <c r="F130" s="2">
        <v>1.34</v>
      </c>
    </row>
    <row r="131" spans="1:6" x14ac:dyDescent="0.3">
      <c r="A131" s="6" t="s">
        <v>221</v>
      </c>
      <c r="B131" s="2" t="s">
        <v>220</v>
      </c>
      <c r="C131" s="2"/>
      <c r="D131" s="2"/>
      <c r="E131" s="2">
        <v>73.83</v>
      </c>
      <c r="F131" s="2">
        <v>0</v>
      </c>
    </row>
    <row r="132" spans="1:6" x14ac:dyDescent="0.3">
      <c r="A132" s="6" t="s">
        <v>222</v>
      </c>
      <c r="B132" s="2" t="s">
        <v>220</v>
      </c>
      <c r="C132" s="2"/>
      <c r="D132" s="2"/>
      <c r="E132" s="2">
        <v>0</v>
      </c>
      <c r="F132" s="2">
        <v>14755.76</v>
      </c>
    </row>
    <row r="133" spans="1:6" x14ac:dyDescent="0.3">
      <c r="A133" s="6" t="s">
        <v>223</v>
      </c>
      <c r="B133" s="2" t="s">
        <v>220</v>
      </c>
      <c r="C133" s="2"/>
      <c r="D133" s="2"/>
      <c r="E133" s="2">
        <v>0</v>
      </c>
      <c r="F133" s="2">
        <v>17715.82</v>
      </c>
    </row>
    <row r="134" spans="1:6" x14ac:dyDescent="0.3">
      <c r="A134" s="6" t="s">
        <v>224</v>
      </c>
      <c r="B134" s="2" t="s">
        <v>220</v>
      </c>
      <c r="C134" s="2"/>
      <c r="D134" s="2"/>
      <c r="E134" s="2">
        <v>0</v>
      </c>
      <c r="F134" s="2">
        <v>249.38</v>
      </c>
    </row>
    <row r="135" spans="1:6" x14ac:dyDescent="0.3">
      <c r="A135" s="6" t="s">
        <v>225</v>
      </c>
      <c r="B135" s="2" t="s">
        <v>220</v>
      </c>
      <c r="C135" s="2"/>
      <c r="D135" s="2"/>
      <c r="E135" s="2">
        <v>0</v>
      </c>
      <c r="F135" s="2">
        <v>400.25</v>
      </c>
    </row>
    <row r="136" spans="1:6" x14ac:dyDescent="0.3">
      <c r="A136" s="6" t="s">
        <v>226</v>
      </c>
      <c r="B136" s="2" t="s">
        <v>220</v>
      </c>
      <c r="C136" s="2"/>
      <c r="D136" s="2"/>
      <c r="E136" s="2">
        <v>0</v>
      </c>
      <c r="F136" s="2">
        <v>126140.9</v>
      </c>
    </row>
    <row r="137" spans="1:6" x14ac:dyDescent="0.3">
      <c r="A137" s="6" t="s">
        <v>227</v>
      </c>
      <c r="B137" s="2" t="s">
        <v>228</v>
      </c>
      <c r="C137" s="2"/>
      <c r="D137" s="2"/>
      <c r="E137" s="2">
        <v>0</v>
      </c>
      <c r="F137" s="2">
        <v>5001675.1900000004</v>
      </c>
    </row>
    <row r="138" spans="1:6" x14ac:dyDescent="0.3">
      <c r="A138" s="6" t="s">
        <v>229</v>
      </c>
      <c r="B138" s="2" t="s">
        <v>220</v>
      </c>
      <c r="C138" s="2"/>
      <c r="D138" s="2"/>
      <c r="E138" s="2">
        <v>0</v>
      </c>
      <c r="F138" s="2">
        <v>55615.839999999997</v>
      </c>
    </row>
    <row r="139" spans="1:6" x14ac:dyDescent="0.3">
      <c r="A139" s="6" t="s">
        <v>230</v>
      </c>
      <c r="B139" s="2" t="s">
        <v>220</v>
      </c>
      <c r="C139" s="2"/>
      <c r="D139" s="2"/>
      <c r="E139" s="2">
        <v>0</v>
      </c>
      <c r="F139" s="2">
        <v>3046.7</v>
      </c>
    </row>
    <row r="140" spans="1:6" x14ac:dyDescent="0.3">
      <c r="A140" s="6" t="s">
        <v>231</v>
      </c>
      <c r="B140" s="2" t="s">
        <v>220</v>
      </c>
      <c r="C140" s="2"/>
      <c r="D140" s="2"/>
      <c r="E140" s="2">
        <v>0</v>
      </c>
      <c r="F140" s="2">
        <v>414.41</v>
      </c>
    </row>
    <row r="141" spans="1:6" x14ac:dyDescent="0.3">
      <c r="A141" s="6" t="s">
        <v>232</v>
      </c>
      <c r="B141" s="2" t="s">
        <v>220</v>
      </c>
      <c r="C141" s="2"/>
      <c r="D141" s="2"/>
      <c r="E141" s="2">
        <v>0</v>
      </c>
      <c r="F141" s="2">
        <v>655377.79</v>
      </c>
    </row>
    <row r="142" spans="1:6" x14ac:dyDescent="0.3">
      <c r="A142" s="6" t="s">
        <v>233</v>
      </c>
      <c r="B142" s="2" t="s">
        <v>220</v>
      </c>
      <c r="C142" s="2"/>
      <c r="D142" s="2"/>
      <c r="E142" s="2">
        <v>0</v>
      </c>
      <c r="F142" s="2">
        <v>3474457.77</v>
      </c>
    </row>
    <row r="143" spans="1:6" x14ac:dyDescent="0.3">
      <c r="A143" s="6" t="s">
        <v>234</v>
      </c>
      <c r="B143" s="2" t="s">
        <v>220</v>
      </c>
      <c r="C143" s="2"/>
      <c r="D143" s="2"/>
      <c r="E143" s="2">
        <v>0</v>
      </c>
      <c r="F143" s="2">
        <v>268747.84000000003</v>
      </c>
    </row>
    <row r="144" spans="1:6" x14ac:dyDescent="0.3">
      <c r="A144" s="6" t="s">
        <v>235</v>
      </c>
      <c r="B144" s="2" t="s">
        <v>220</v>
      </c>
      <c r="C144" s="2"/>
      <c r="D144" s="2"/>
      <c r="E144" s="2">
        <v>0</v>
      </c>
      <c r="F144" s="2">
        <v>2148232.9300000002</v>
      </c>
    </row>
    <row r="145" spans="1:6" x14ac:dyDescent="0.3">
      <c r="A145" s="6" t="s">
        <v>236</v>
      </c>
      <c r="B145" s="2" t="s">
        <v>220</v>
      </c>
      <c r="C145" s="2"/>
      <c r="D145" s="2"/>
      <c r="E145" s="2">
        <v>0</v>
      </c>
      <c r="F145" s="2">
        <v>538326</v>
      </c>
    </row>
    <row r="146" spans="1:6" x14ac:dyDescent="0.3">
      <c r="A146" s="6" t="s">
        <v>237</v>
      </c>
      <c r="B146" s="2" t="s">
        <v>220</v>
      </c>
      <c r="C146" s="2"/>
      <c r="D146" s="2"/>
      <c r="E146" s="2">
        <v>0</v>
      </c>
      <c r="F146" s="2">
        <v>73.83</v>
      </c>
    </row>
    <row r="147" spans="1:6" x14ac:dyDescent="0.3">
      <c r="A147" s="6" t="s">
        <v>238</v>
      </c>
      <c r="B147" s="2" t="s">
        <v>220</v>
      </c>
      <c r="C147" s="2"/>
      <c r="D147" s="2"/>
      <c r="E147" s="2">
        <v>0</v>
      </c>
      <c r="F147" s="2">
        <v>31363877.82</v>
      </c>
    </row>
    <row r="148" spans="1:6" x14ac:dyDescent="0.3">
      <c r="A148" s="6" t="s">
        <v>239</v>
      </c>
      <c r="B148" s="2" t="s">
        <v>228</v>
      </c>
      <c r="C148" s="2"/>
      <c r="D148" s="2"/>
      <c r="E148" s="2">
        <v>0</v>
      </c>
      <c r="F148" s="2">
        <v>1398495.08</v>
      </c>
    </row>
    <row r="149" spans="1:6" x14ac:dyDescent="0.3">
      <c r="A149" s="6" t="s">
        <v>240</v>
      </c>
      <c r="B149" s="2" t="s">
        <v>220</v>
      </c>
      <c r="C149" s="2"/>
      <c r="D149" s="2"/>
      <c r="E149" s="2">
        <v>0</v>
      </c>
      <c r="F149" s="2">
        <v>515166.3</v>
      </c>
    </row>
    <row r="150" spans="1:6" x14ac:dyDescent="0.3">
      <c r="A150" s="6" t="s">
        <v>241</v>
      </c>
      <c r="B150" s="2" t="s">
        <v>220</v>
      </c>
      <c r="C150" s="2"/>
      <c r="D150" s="2"/>
      <c r="E150" s="2">
        <v>0</v>
      </c>
      <c r="F150" s="2">
        <v>4361829.22</v>
      </c>
    </row>
    <row r="151" spans="1:6" x14ac:dyDescent="0.3">
      <c r="A151" s="6" t="s">
        <v>242</v>
      </c>
      <c r="B151" s="2" t="s">
        <v>220</v>
      </c>
      <c r="C151" s="2"/>
      <c r="D151" s="2"/>
      <c r="E151" s="2">
        <v>0</v>
      </c>
      <c r="F151" s="2">
        <v>13475</v>
      </c>
    </row>
    <row r="152" spans="1:6" x14ac:dyDescent="0.3">
      <c r="A152" s="6" t="s">
        <v>243</v>
      </c>
      <c r="B152" s="2" t="s">
        <v>220</v>
      </c>
      <c r="C152" s="2"/>
      <c r="D152" s="2"/>
      <c r="E152" s="2">
        <v>0</v>
      </c>
      <c r="F152" s="2">
        <v>445.4</v>
      </c>
    </row>
    <row r="153" spans="1:6" x14ac:dyDescent="0.3">
      <c r="A153" s="6" t="s">
        <v>244</v>
      </c>
      <c r="B153" s="2" t="s">
        <v>220</v>
      </c>
      <c r="C153" s="2"/>
      <c r="D153" s="2"/>
      <c r="E153" s="2">
        <v>0</v>
      </c>
      <c r="F153" s="2">
        <v>17964421.789999999</v>
      </c>
    </row>
    <row r="154" spans="1:6" x14ac:dyDescent="0.3">
      <c r="A154" s="6" t="s">
        <v>245</v>
      </c>
      <c r="B154" s="2" t="s">
        <v>72</v>
      </c>
      <c r="C154" s="2"/>
      <c r="D154" s="2"/>
      <c r="E154" s="2">
        <v>0</v>
      </c>
      <c r="F154" s="2">
        <v>368050.42</v>
      </c>
    </row>
    <row r="155" spans="1:6" x14ac:dyDescent="0.3">
      <c r="A155" s="6" t="s">
        <v>246</v>
      </c>
      <c r="B155" s="2" t="s">
        <v>74</v>
      </c>
      <c r="C155" s="2"/>
      <c r="D155" s="2"/>
      <c r="E155" s="2">
        <v>0</v>
      </c>
      <c r="F155" s="2">
        <v>609.76</v>
      </c>
    </row>
    <row r="156" spans="1:6" x14ac:dyDescent="0.3">
      <c r="A156" s="6" t="s">
        <v>247</v>
      </c>
      <c r="B156" s="2" t="s">
        <v>72</v>
      </c>
      <c r="C156" s="2"/>
      <c r="D156" s="2"/>
      <c r="E156" s="2">
        <v>50124.4</v>
      </c>
      <c r="F156" s="2">
        <v>0</v>
      </c>
    </row>
    <row r="157" spans="1:6" x14ac:dyDescent="0.3">
      <c r="A157" s="6" t="s">
        <v>248</v>
      </c>
      <c r="B157" s="2" t="s">
        <v>74</v>
      </c>
      <c r="C157" s="2"/>
      <c r="D157" s="2"/>
      <c r="E157" s="2">
        <v>2993.43</v>
      </c>
      <c r="F157" s="2">
        <v>0</v>
      </c>
    </row>
    <row r="158" spans="1:6" x14ac:dyDescent="0.3">
      <c r="A158" s="6" t="s">
        <v>249</v>
      </c>
      <c r="B158" s="2" t="s">
        <v>72</v>
      </c>
      <c r="C158" s="2"/>
      <c r="D158" s="2"/>
      <c r="E158" s="2">
        <v>457.49</v>
      </c>
      <c r="F158" s="2">
        <v>0</v>
      </c>
    </row>
    <row r="159" spans="1:6" x14ac:dyDescent="0.3">
      <c r="A159" s="6" t="s">
        <v>250</v>
      </c>
      <c r="B159" s="2" t="s">
        <v>72</v>
      </c>
      <c r="C159" s="2"/>
      <c r="D159" s="2"/>
      <c r="E159" s="2">
        <v>3072955.58</v>
      </c>
      <c r="F159" s="2">
        <v>0</v>
      </c>
    </row>
    <row r="160" spans="1:6" x14ac:dyDescent="0.3">
      <c r="A160" s="6" t="s">
        <v>251</v>
      </c>
      <c r="B160" s="2" t="s">
        <v>74</v>
      </c>
      <c r="C160" s="2"/>
      <c r="D160" s="2"/>
      <c r="E160" s="2">
        <v>17291.009999999998</v>
      </c>
      <c r="F160" s="2">
        <v>0</v>
      </c>
    </row>
    <row r="161" spans="1:6" x14ac:dyDescent="0.3">
      <c r="A161" s="6" t="s">
        <v>252</v>
      </c>
      <c r="B161" s="2" t="s">
        <v>72</v>
      </c>
      <c r="C161" s="2"/>
      <c r="D161" s="2"/>
      <c r="E161" s="2">
        <v>634146.56000000006</v>
      </c>
      <c r="F161" s="2">
        <v>0</v>
      </c>
    </row>
    <row r="162" spans="1:6" x14ac:dyDescent="0.3">
      <c r="A162" s="6" t="s">
        <v>253</v>
      </c>
      <c r="B162" s="2" t="s">
        <v>74</v>
      </c>
      <c r="C162" s="2"/>
      <c r="D162" s="2"/>
      <c r="E162" s="2">
        <v>3172.92</v>
      </c>
      <c r="F162" s="2">
        <v>0</v>
      </c>
    </row>
    <row r="163" spans="1:6" x14ac:dyDescent="0.3">
      <c r="A163" s="6" t="s">
        <v>254</v>
      </c>
      <c r="B163" s="2" t="s">
        <v>72</v>
      </c>
      <c r="C163" s="2"/>
      <c r="D163" s="2"/>
      <c r="E163" s="2">
        <v>1724372.97</v>
      </c>
      <c r="F163" s="2">
        <v>0</v>
      </c>
    </row>
    <row r="164" spans="1:6" x14ac:dyDescent="0.3">
      <c r="A164" s="6" t="s">
        <v>255</v>
      </c>
      <c r="B164" s="2" t="s">
        <v>74</v>
      </c>
      <c r="C164" s="2"/>
      <c r="D164" s="2"/>
      <c r="E164" s="2">
        <v>6682.37</v>
      </c>
      <c r="F164" s="2">
        <v>0</v>
      </c>
    </row>
    <row r="165" spans="1:6" x14ac:dyDescent="0.3">
      <c r="A165" s="6" t="s">
        <v>256</v>
      </c>
      <c r="B165" s="2" t="s">
        <v>72</v>
      </c>
      <c r="C165" s="2"/>
      <c r="D165" s="2"/>
      <c r="E165" s="2">
        <v>63583.11</v>
      </c>
      <c r="F165" s="2">
        <v>0</v>
      </c>
    </row>
    <row r="166" spans="1:6" x14ac:dyDescent="0.3">
      <c r="A166" s="6" t="s">
        <v>257</v>
      </c>
      <c r="B166" s="2" t="s">
        <v>72</v>
      </c>
      <c r="C166" s="2"/>
      <c r="D166" s="2"/>
      <c r="E166" s="2">
        <v>2321353.34</v>
      </c>
      <c r="F166" s="2">
        <v>0</v>
      </c>
    </row>
    <row r="167" spans="1:6" x14ac:dyDescent="0.3">
      <c r="A167" s="6" t="s">
        <v>258</v>
      </c>
      <c r="B167" s="2" t="s">
        <v>74</v>
      </c>
      <c r="C167" s="2"/>
      <c r="D167" s="2"/>
      <c r="E167" s="2">
        <v>4799.91</v>
      </c>
      <c r="F167" s="2">
        <v>0</v>
      </c>
    </row>
    <row r="168" spans="1:6" x14ac:dyDescent="0.3">
      <c r="A168" s="6" t="s">
        <v>259</v>
      </c>
      <c r="B168" s="2" t="s">
        <v>72</v>
      </c>
      <c r="C168" s="2"/>
      <c r="D168" s="2"/>
      <c r="E168" s="2">
        <v>257777.45</v>
      </c>
      <c r="F168" s="2">
        <v>0</v>
      </c>
    </row>
    <row r="169" spans="1:6" x14ac:dyDescent="0.3">
      <c r="A169" s="6" t="s">
        <v>260</v>
      </c>
      <c r="B169" s="2" t="s">
        <v>74</v>
      </c>
      <c r="C169" s="2"/>
      <c r="D169" s="2"/>
      <c r="E169" s="2">
        <v>540.85</v>
      </c>
      <c r="F169" s="2">
        <v>0</v>
      </c>
    </row>
    <row r="170" spans="1:6" x14ac:dyDescent="0.3">
      <c r="A170" s="6" t="s">
        <v>261</v>
      </c>
      <c r="B170" s="2" t="s">
        <v>72</v>
      </c>
      <c r="C170" s="2"/>
      <c r="D170" s="2"/>
      <c r="E170" s="2">
        <v>172632394.86000001</v>
      </c>
      <c r="F170" s="2">
        <v>0</v>
      </c>
    </row>
    <row r="171" spans="1:6" x14ac:dyDescent="0.3">
      <c r="A171" s="6" t="s">
        <v>262</v>
      </c>
      <c r="B171" s="2" t="s">
        <v>74</v>
      </c>
      <c r="C171" s="2"/>
      <c r="D171" s="2"/>
      <c r="E171" s="2">
        <v>542099.54</v>
      </c>
      <c r="F171" s="2">
        <v>0</v>
      </c>
    </row>
    <row r="172" spans="1:6" x14ac:dyDescent="0.3">
      <c r="A172" s="6" t="s">
        <v>263</v>
      </c>
      <c r="B172" s="2" t="s">
        <v>72</v>
      </c>
      <c r="C172" s="2"/>
      <c r="D172" s="2"/>
      <c r="E172" s="2">
        <v>7818449.3399999999</v>
      </c>
      <c r="F172" s="2">
        <v>0</v>
      </c>
    </row>
    <row r="173" spans="1:6" x14ac:dyDescent="0.3">
      <c r="A173" s="6" t="s">
        <v>264</v>
      </c>
      <c r="B173" s="2" t="s">
        <v>72</v>
      </c>
      <c r="C173" s="2"/>
      <c r="D173" s="2"/>
      <c r="E173" s="2">
        <v>14911095.710000001</v>
      </c>
      <c r="F173" s="2">
        <v>0</v>
      </c>
    </row>
    <row r="174" spans="1:6" x14ac:dyDescent="0.3">
      <c r="A174" s="6" t="s">
        <v>265</v>
      </c>
      <c r="B174" s="2" t="s">
        <v>159</v>
      </c>
      <c r="C174" s="2"/>
      <c r="D174" s="2"/>
      <c r="E174" s="2">
        <v>0</v>
      </c>
      <c r="F174" s="2">
        <v>96719.75</v>
      </c>
    </row>
    <row r="175" spans="1:6" x14ac:dyDescent="0.3">
      <c r="A175" s="6" t="s">
        <v>266</v>
      </c>
      <c r="B175" s="2" t="s">
        <v>72</v>
      </c>
      <c r="C175" s="2"/>
      <c r="D175" s="2"/>
      <c r="E175" s="2">
        <v>6192333.0999999996</v>
      </c>
      <c r="F175" s="2">
        <v>0</v>
      </c>
    </row>
    <row r="176" spans="1:6" x14ac:dyDescent="0.3">
      <c r="A176" s="6" t="s">
        <v>267</v>
      </c>
      <c r="B176" s="2" t="s">
        <v>74</v>
      </c>
      <c r="C176" s="2"/>
      <c r="D176" s="2"/>
      <c r="E176" s="2">
        <v>17943.5</v>
      </c>
      <c r="F176" s="2">
        <v>0</v>
      </c>
    </row>
    <row r="177" spans="1:6" x14ac:dyDescent="0.3">
      <c r="A177" s="6" t="s">
        <v>268</v>
      </c>
      <c r="B177" s="2" t="s">
        <v>159</v>
      </c>
      <c r="C177" s="2"/>
      <c r="D177" s="2"/>
      <c r="E177" s="2">
        <v>0</v>
      </c>
      <c r="F177" s="2">
        <v>8134.32</v>
      </c>
    </row>
    <row r="178" spans="1:6" x14ac:dyDescent="0.3">
      <c r="A178" s="6" t="s">
        <v>269</v>
      </c>
      <c r="B178" s="2" t="s">
        <v>72</v>
      </c>
      <c r="C178" s="2"/>
      <c r="D178" s="2"/>
      <c r="E178" s="2">
        <v>368050.42</v>
      </c>
      <c r="F178" s="2">
        <v>0</v>
      </c>
    </row>
    <row r="179" spans="1:6" x14ac:dyDescent="0.3">
      <c r="A179" s="6" t="s">
        <v>270</v>
      </c>
      <c r="B179" s="2" t="s">
        <v>74</v>
      </c>
      <c r="C179" s="2"/>
      <c r="D179" s="2"/>
      <c r="E179" s="2">
        <v>609.76</v>
      </c>
      <c r="F179" s="2">
        <v>0</v>
      </c>
    </row>
    <row r="180" spans="1:6" x14ac:dyDescent="0.3">
      <c r="A180" s="6" t="s">
        <v>271</v>
      </c>
      <c r="B180" s="2" t="s">
        <v>72</v>
      </c>
      <c r="C180" s="2"/>
      <c r="D180" s="2"/>
      <c r="E180" s="2">
        <v>315261.32</v>
      </c>
      <c r="F180" s="2">
        <v>0</v>
      </c>
    </row>
    <row r="181" spans="1:6" x14ac:dyDescent="0.3">
      <c r="A181" s="6" t="s">
        <v>272</v>
      </c>
      <c r="B181" s="2" t="s">
        <v>74</v>
      </c>
      <c r="C181" s="2"/>
      <c r="D181" s="2"/>
      <c r="E181" s="2">
        <v>1001.92</v>
      </c>
      <c r="F181" s="2">
        <v>0</v>
      </c>
    </row>
    <row r="182" spans="1:6" x14ac:dyDescent="0.3">
      <c r="A182" s="6" t="s">
        <v>273</v>
      </c>
      <c r="B182" s="2" t="s">
        <v>72</v>
      </c>
      <c r="C182" s="2"/>
      <c r="D182" s="2"/>
      <c r="E182" s="2">
        <v>388989634.00999999</v>
      </c>
      <c r="F182" s="2">
        <v>0</v>
      </c>
    </row>
    <row r="183" spans="1:6" x14ac:dyDescent="0.3">
      <c r="A183" s="6" t="s">
        <v>274</v>
      </c>
      <c r="B183" s="2" t="s">
        <v>74</v>
      </c>
      <c r="C183" s="2"/>
      <c r="D183" s="2"/>
      <c r="E183" s="2">
        <v>1171364.83</v>
      </c>
      <c r="F183" s="2">
        <v>0</v>
      </c>
    </row>
    <row r="184" spans="1:6" x14ac:dyDescent="0.3">
      <c r="A184" s="6" t="s">
        <v>275</v>
      </c>
      <c r="B184" s="2" t="s">
        <v>159</v>
      </c>
      <c r="C184" s="2"/>
      <c r="D184" s="2"/>
      <c r="E184" s="2">
        <v>0</v>
      </c>
      <c r="F184" s="2">
        <v>1710.92</v>
      </c>
    </row>
    <row r="185" spans="1:6" x14ac:dyDescent="0.3">
      <c r="A185" s="6" t="s">
        <v>276</v>
      </c>
      <c r="B185" s="2" t="s">
        <v>99</v>
      </c>
      <c r="C185" s="2"/>
      <c r="D185" s="2"/>
      <c r="E185" s="2">
        <v>0</v>
      </c>
      <c r="F185" s="2">
        <v>187437.93</v>
      </c>
    </row>
    <row r="186" spans="1:6" x14ac:dyDescent="0.3">
      <c r="A186" s="6" t="s">
        <v>277</v>
      </c>
      <c r="B186" s="2" t="s">
        <v>72</v>
      </c>
      <c r="C186" s="2"/>
      <c r="D186" s="2"/>
      <c r="E186" s="2">
        <v>14674728.68</v>
      </c>
      <c r="F186" s="2">
        <v>0</v>
      </c>
    </row>
    <row r="187" spans="1:6" x14ac:dyDescent="0.3">
      <c r="A187" s="6" t="s">
        <v>278</v>
      </c>
      <c r="B187" s="2" t="s">
        <v>74</v>
      </c>
      <c r="C187" s="2"/>
      <c r="D187" s="2"/>
      <c r="E187" s="2">
        <v>125418.84</v>
      </c>
      <c r="F187" s="2">
        <v>0</v>
      </c>
    </row>
    <row r="188" spans="1:6" x14ac:dyDescent="0.3">
      <c r="A188" s="6" t="s">
        <v>279</v>
      </c>
      <c r="B188" s="2" t="s">
        <v>72</v>
      </c>
      <c r="C188" s="2"/>
      <c r="D188" s="2"/>
      <c r="E188" s="2">
        <v>111760593.54000001</v>
      </c>
      <c r="F188" s="2">
        <v>0</v>
      </c>
    </row>
    <row r="189" spans="1:6" x14ac:dyDescent="0.3">
      <c r="A189" s="6" t="s">
        <v>280</v>
      </c>
      <c r="B189" s="2" t="s">
        <v>72</v>
      </c>
      <c r="C189" s="2"/>
      <c r="D189" s="2"/>
      <c r="E189" s="2">
        <v>4668493.24</v>
      </c>
      <c r="F189" s="2">
        <v>0</v>
      </c>
    </row>
    <row r="190" spans="1:6" x14ac:dyDescent="0.3">
      <c r="A190" s="6" t="s">
        <v>281</v>
      </c>
      <c r="B190" s="2" t="s">
        <v>74</v>
      </c>
      <c r="C190" s="2"/>
      <c r="D190" s="2"/>
      <c r="E190" s="2">
        <v>10719.98</v>
      </c>
      <c r="F190" s="2">
        <v>0</v>
      </c>
    </row>
    <row r="191" spans="1:6" x14ac:dyDescent="0.3">
      <c r="A191" s="6" t="s">
        <v>282</v>
      </c>
      <c r="B191" s="2" t="s">
        <v>72</v>
      </c>
      <c r="C191" s="2"/>
      <c r="D191" s="2"/>
      <c r="E191" s="2">
        <v>1906575526.25</v>
      </c>
      <c r="F191" s="2">
        <v>0</v>
      </c>
    </row>
    <row r="192" spans="1:6" x14ac:dyDescent="0.3">
      <c r="A192" s="6" t="s">
        <v>283</v>
      </c>
      <c r="B192" s="2" t="s">
        <v>74</v>
      </c>
      <c r="C192" s="2"/>
      <c r="D192" s="2"/>
      <c r="E192" s="2">
        <v>6204380.1500000004</v>
      </c>
      <c r="F192" s="2">
        <v>0</v>
      </c>
    </row>
    <row r="193" spans="1:6" x14ac:dyDescent="0.3">
      <c r="A193" s="6" t="s">
        <v>284</v>
      </c>
      <c r="B193" s="2" t="s">
        <v>220</v>
      </c>
      <c r="C193" s="2"/>
      <c r="D193" s="2"/>
      <c r="E193" s="2">
        <v>2474.4</v>
      </c>
      <c r="F193" s="2">
        <v>0</v>
      </c>
    </row>
    <row r="194" spans="1:6" x14ac:dyDescent="0.3">
      <c r="A194" s="6" t="s">
        <v>285</v>
      </c>
      <c r="B194" s="2" t="s">
        <v>220</v>
      </c>
      <c r="C194" s="2"/>
      <c r="D194" s="2"/>
      <c r="E194" s="2">
        <v>0</v>
      </c>
      <c r="F194" s="2">
        <v>384.08</v>
      </c>
    </row>
    <row r="195" spans="1:6" x14ac:dyDescent="0.3">
      <c r="A195" s="6" t="s">
        <v>286</v>
      </c>
      <c r="B195" s="2" t="s">
        <v>220</v>
      </c>
      <c r="C195" s="2"/>
      <c r="D195" s="2"/>
      <c r="E195" s="2">
        <v>0</v>
      </c>
      <c r="F195" s="2">
        <v>3.56</v>
      </c>
    </row>
    <row r="196" spans="1:6" x14ac:dyDescent="0.3">
      <c r="A196" s="6" t="s">
        <v>287</v>
      </c>
      <c r="B196" s="2" t="s">
        <v>220</v>
      </c>
      <c r="C196" s="2"/>
      <c r="D196" s="2"/>
      <c r="E196" s="2">
        <v>0</v>
      </c>
      <c r="F196" s="2">
        <v>1540.06</v>
      </c>
    </row>
    <row r="197" spans="1:6" x14ac:dyDescent="0.3">
      <c r="A197" s="6" t="s">
        <v>288</v>
      </c>
      <c r="B197" s="2" t="s">
        <v>220</v>
      </c>
      <c r="C197" s="2"/>
      <c r="D197" s="2"/>
      <c r="E197" s="2">
        <v>0</v>
      </c>
      <c r="F197" s="2">
        <v>233911.48</v>
      </c>
    </row>
    <row r="198" spans="1:6" x14ac:dyDescent="0.3">
      <c r="A198" s="6" t="s">
        <v>289</v>
      </c>
      <c r="B198" s="2" t="s">
        <v>220</v>
      </c>
      <c r="C198" s="2"/>
      <c r="D198" s="2"/>
      <c r="E198" s="2">
        <v>0</v>
      </c>
      <c r="F198" s="2">
        <v>6026.99</v>
      </c>
    </row>
    <row r="199" spans="1:6" x14ac:dyDescent="0.3">
      <c r="A199" s="6" t="s">
        <v>290</v>
      </c>
      <c r="B199" s="2" t="s">
        <v>220</v>
      </c>
      <c r="C199" s="2"/>
      <c r="D199" s="2"/>
      <c r="E199" s="2">
        <v>0</v>
      </c>
      <c r="F199" s="2">
        <v>107295.59</v>
      </c>
    </row>
    <row r="200" spans="1:6" x14ac:dyDescent="0.3">
      <c r="A200" s="6" t="s">
        <v>291</v>
      </c>
      <c r="B200" s="2" t="s">
        <v>292</v>
      </c>
      <c r="C200" s="2"/>
      <c r="D200" s="2"/>
      <c r="E200" s="2">
        <v>0</v>
      </c>
      <c r="F200" s="2">
        <v>709.46</v>
      </c>
    </row>
    <row r="201" spans="1:6" x14ac:dyDescent="0.3">
      <c r="A201" s="6" t="s">
        <v>293</v>
      </c>
      <c r="B201" s="2" t="s">
        <v>220</v>
      </c>
      <c r="C201" s="2"/>
      <c r="D201" s="2"/>
      <c r="E201" s="2">
        <v>0</v>
      </c>
      <c r="F201" s="2">
        <v>6719854.6100000003</v>
      </c>
    </row>
    <row r="202" spans="1:6" x14ac:dyDescent="0.3">
      <c r="A202" s="6" t="s">
        <v>294</v>
      </c>
      <c r="B202" s="2" t="s">
        <v>220</v>
      </c>
      <c r="C202" s="2"/>
      <c r="D202" s="2"/>
      <c r="E202" s="2">
        <v>0</v>
      </c>
      <c r="F202" s="2">
        <v>909184.33</v>
      </c>
    </row>
    <row r="203" spans="1:6" x14ac:dyDescent="0.3">
      <c r="A203" s="6" t="s">
        <v>295</v>
      </c>
      <c r="B203" s="2" t="s">
        <v>220</v>
      </c>
      <c r="C203" s="2"/>
      <c r="D203" s="2"/>
      <c r="E203" s="2">
        <v>0</v>
      </c>
      <c r="F203" s="2">
        <v>403076.21</v>
      </c>
    </row>
    <row r="204" spans="1:6" x14ac:dyDescent="0.3">
      <c r="A204" s="6" t="s">
        <v>296</v>
      </c>
      <c r="B204" s="2" t="s">
        <v>220</v>
      </c>
      <c r="C204" s="2"/>
      <c r="D204" s="2"/>
      <c r="E204" s="2">
        <v>0</v>
      </c>
      <c r="F204" s="2">
        <v>189506.32</v>
      </c>
    </row>
    <row r="205" spans="1:6" x14ac:dyDescent="0.3">
      <c r="A205" s="6" t="s">
        <v>297</v>
      </c>
      <c r="B205" s="2" t="s">
        <v>220</v>
      </c>
      <c r="C205" s="2"/>
      <c r="D205" s="2"/>
      <c r="E205" s="2">
        <v>0</v>
      </c>
      <c r="F205" s="2">
        <v>2474.4</v>
      </c>
    </row>
    <row r="206" spans="1:6" x14ac:dyDescent="0.3">
      <c r="A206" s="6" t="s">
        <v>298</v>
      </c>
      <c r="B206" s="2" t="s">
        <v>292</v>
      </c>
      <c r="C206" s="2"/>
      <c r="D206" s="2"/>
      <c r="E206" s="2">
        <v>0</v>
      </c>
      <c r="F206" s="2">
        <v>28736.52</v>
      </c>
    </row>
    <row r="207" spans="1:6" x14ac:dyDescent="0.3">
      <c r="A207" s="6" t="s">
        <v>299</v>
      </c>
      <c r="B207" s="2" t="s">
        <v>220</v>
      </c>
      <c r="C207" s="2"/>
      <c r="D207" s="2"/>
      <c r="E207" s="2">
        <v>0</v>
      </c>
      <c r="F207" s="2">
        <v>34360525.07</v>
      </c>
    </row>
    <row r="208" spans="1:6" x14ac:dyDescent="0.3">
      <c r="A208" s="6" t="s">
        <v>300</v>
      </c>
      <c r="B208" s="2" t="s">
        <v>220</v>
      </c>
      <c r="C208" s="2"/>
      <c r="D208" s="2"/>
      <c r="E208" s="2">
        <v>0</v>
      </c>
      <c r="F208" s="2">
        <v>1750799.45</v>
      </c>
    </row>
    <row r="209" spans="1:6" x14ac:dyDescent="0.3">
      <c r="A209" s="6" t="s">
        <v>301</v>
      </c>
      <c r="B209" s="2" t="s">
        <v>220</v>
      </c>
      <c r="C209" s="2"/>
      <c r="D209" s="2"/>
      <c r="E209" s="2">
        <v>0</v>
      </c>
      <c r="F209" s="2">
        <v>11688552.060000001</v>
      </c>
    </row>
    <row r="210" spans="1:6" x14ac:dyDescent="0.3">
      <c r="A210" s="6" t="s">
        <v>302</v>
      </c>
      <c r="B210" s="2" t="s">
        <v>292</v>
      </c>
      <c r="C210" s="2"/>
      <c r="D210" s="2"/>
      <c r="E210" s="2">
        <v>0</v>
      </c>
      <c r="F210" s="2">
        <v>73433.84</v>
      </c>
    </row>
    <row r="211" spans="1:6" x14ac:dyDescent="0.3">
      <c r="A211" s="6" t="s">
        <v>303</v>
      </c>
      <c r="B211" s="2" t="s">
        <v>220</v>
      </c>
      <c r="C211" s="2"/>
      <c r="D211" s="2"/>
      <c r="E211" s="2">
        <v>0</v>
      </c>
      <c r="F211" s="2">
        <v>61317051.289999999</v>
      </c>
    </row>
    <row r="212" spans="1:6" x14ac:dyDescent="0.3">
      <c r="A212" s="6" t="s">
        <v>304</v>
      </c>
      <c r="B212" s="2" t="s">
        <v>72</v>
      </c>
      <c r="C212" s="2"/>
      <c r="D212" s="2"/>
      <c r="E212" s="2">
        <v>8641.01</v>
      </c>
      <c r="F212" s="2">
        <v>0</v>
      </c>
    </row>
    <row r="213" spans="1:6" x14ac:dyDescent="0.3">
      <c r="A213" s="6" t="s">
        <v>305</v>
      </c>
      <c r="B213" s="2" t="s">
        <v>74</v>
      </c>
      <c r="C213" s="2"/>
      <c r="D213" s="2"/>
      <c r="E213" s="2">
        <v>184.24</v>
      </c>
      <c r="F213" s="2">
        <v>0</v>
      </c>
    </row>
    <row r="214" spans="1:6" x14ac:dyDescent="0.3">
      <c r="A214" s="6" t="s">
        <v>306</v>
      </c>
      <c r="B214" s="2" t="s">
        <v>72</v>
      </c>
      <c r="C214" s="2"/>
      <c r="D214" s="2"/>
      <c r="E214" s="2">
        <v>8285740.8799999999</v>
      </c>
      <c r="F214" s="2">
        <v>0</v>
      </c>
    </row>
    <row r="215" spans="1:6" x14ac:dyDescent="0.3">
      <c r="A215" s="6" t="s">
        <v>307</v>
      </c>
      <c r="B215" s="2" t="s">
        <v>74</v>
      </c>
      <c r="C215" s="2"/>
      <c r="D215" s="2"/>
      <c r="E215" s="2">
        <v>117859.58</v>
      </c>
      <c r="F215" s="2">
        <v>0</v>
      </c>
    </row>
    <row r="216" spans="1:6" x14ac:dyDescent="0.3">
      <c r="A216" s="6" t="s">
        <v>308</v>
      </c>
      <c r="B216" s="2" t="s">
        <v>72</v>
      </c>
      <c r="C216" s="2"/>
      <c r="D216" s="2"/>
      <c r="E216" s="2">
        <v>3033863.84</v>
      </c>
      <c r="F216" s="2">
        <v>0</v>
      </c>
    </row>
    <row r="217" spans="1:6" x14ac:dyDescent="0.3">
      <c r="A217" s="6" t="s">
        <v>309</v>
      </c>
      <c r="B217" s="2" t="s">
        <v>74</v>
      </c>
      <c r="C217" s="2"/>
      <c r="D217" s="2"/>
      <c r="E217" s="2">
        <v>18104.97</v>
      </c>
      <c r="F217" s="2">
        <v>0</v>
      </c>
    </row>
    <row r="218" spans="1:6" x14ac:dyDescent="0.3">
      <c r="A218" s="6" t="s">
        <v>310</v>
      </c>
      <c r="B218" s="2" t="s">
        <v>72</v>
      </c>
      <c r="C218" s="2"/>
      <c r="D218" s="2"/>
      <c r="E218" s="2">
        <v>38930.660000000003</v>
      </c>
      <c r="F218" s="2">
        <v>0</v>
      </c>
    </row>
    <row r="219" spans="1:6" x14ac:dyDescent="0.3">
      <c r="A219" s="6" t="s">
        <v>311</v>
      </c>
      <c r="B219" s="2" t="s">
        <v>72</v>
      </c>
      <c r="C219" s="2"/>
      <c r="D219" s="2"/>
      <c r="E219" s="2">
        <v>831926.06</v>
      </c>
      <c r="F219" s="2">
        <v>0</v>
      </c>
    </row>
    <row r="220" spans="1:6" x14ac:dyDescent="0.3">
      <c r="A220" s="6" t="s">
        <v>312</v>
      </c>
      <c r="B220" s="2" t="s">
        <v>74</v>
      </c>
      <c r="C220" s="2"/>
      <c r="D220" s="2"/>
      <c r="E220" s="2">
        <v>59742.83</v>
      </c>
      <c r="F220" s="2">
        <v>0</v>
      </c>
    </row>
    <row r="221" spans="1:6" x14ac:dyDescent="0.3">
      <c r="A221" s="6" t="s">
        <v>313</v>
      </c>
      <c r="B221" s="2" t="s">
        <v>72</v>
      </c>
      <c r="C221" s="2"/>
      <c r="D221" s="2"/>
      <c r="E221" s="2">
        <v>1404810.74</v>
      </c>
      <c r="F221" s="2">
        <v>0</v>
      </c>
    </row>
    <row r="222" spans="1:6" x14ac:dyDescent="0.3">
      <c r="A222" s="6" t="s">
        <v>314</v>
      </c>
      <c r="B222" s="2" t="s">
        <v>74</v>
      </c>
      <c r="C222" s="2"/>
      <c r="D222" s="2"/>
      <c r="E222" s="2">
        <v>10110.07</v>
      </c>
      <c r="F222" s="2">
        <v>0</v>
      </c>
    </row>
    <row r="223" spans="1:6" x14ac:dyDescent="0.3">
      <c r="A223" s="6" t="s">
        <v>315</v>
      </c>
      <c r="B223" s="2" t="s">
        <v>72</v>
      </c>
      <c r="C223" s="2"/>
      <c r="D223" s="2"/>
      <c r="E223" s="2">
        <v>115145.75</v>
      </c>
      <c r="F223" s="2">
        <v>0</v>
      </c>
    </row>
    <row r="224" spans="1:6" x14ac:dyDescent="0.3">
      <c r="A224" s="6" t="s">
        <v>316</v>
      </c>
      <c r="B224" s="2" t="s">
        <v>74</v>
      </c>
      <c r="C224" s="2"/>
      <c r="D224" s="2"/>
      <c r="E224" s="2">
        <v>308.31</v>
      </c>
      <c r="F224" s="2">
        <v>0</v>
      </c>
    </row>
    <row r="225" spans="1:6" x14ac:dyDescent="0.3">
      <c r="A225" s="6" t="s">
        <v>317</v>
      </c>
      <c r="B225" s="2" t="s">
        <v>72</v>
      </c>
      <c r="C225" s="2"/>
      <c r="D225" s="2"/>
      <c r="E225" s="2">
        <v>52143823.649999999</v>
      </c>
      <c r="F225" s="2">
        <v>0</v>
      </c>
    </row>
    <row r="226" spans="1:6" x14ac:dyDescent="0.3">
      <c r="A226" s="6" t="s">
        <v>318</v>
      </c>
      <c r="B226" s="2" t="s">
        <v>74</v>
      </c>
      <c r="C226" s="2"/>
      <c r="D226" s="2"/>
      <c r="E226" s="2">
        <v>238571.03</v>
      </c>
      <c r="F226" s="2">
        <v>0</v>
      </c>
    </row>
    <row r="227" spans="1:6" x14ac:dyDescent="0.3">
      <c r="A227" s="6" t="s">
        <v>319</v>
      </c>
      <c r="B227" s="2" t="s">
        <v>72</v>
      </c>
      <c r="C227" s="2"/>
      <c r="D227" s="2"/>
      <c r="E227" s="2">
        <v>6150436.6100000003</v>
      </c>
      <c r="F227" s="2">
        <v>0</v>
      </c>
    </row>
    <row r="228" spans="1:6" x14ac:dyDescent="0.3">
      <c r="A228" s="6" t="s">
        <v>320</v>
      </c>
      <c r="B228" s="2" t="s">
        <v>72</v>
      </c>
      <c r="C228" s="2"/>
      <c r="D228" s="2"/>
      <c r="E228" s="2">
        <v>21304173.760000002</v>
      </c>
      <c r="F228" s="2">
        <v>0</v>
      </c>
    </row>
    <row r="229" spans="1:6" x14ac:dyDescent="0.3">
      <c r="A229" s="6" t="s">
        <v>321</v>
      </c>
      <c r="B229" s="2" t="s">
        <v>159</v>
      </c>
      <c r="C229" s="2"/>
      <c r="D229" s="2"/>
      <c r="E229" s="2">
        <v>0</v>
      </c>
      <c r="F229" s="2">
        <v>24614.7</v>
      </c>
    </row>
    <row r="230" spans="1:6" x14ac:dyDescent="0.3">
      <c r="A230" s="6" t="s">
        <v>322</v>
      </c>
      <c r="B230" s="2" t="s">
        <v>72</v>
      </c>
      <c r="C230" s="2"/>
      <c r="D230" s="2"/>
      <c r="E230" s="2">
        <v>11227013.43</v>
      </c>
      <c r="F230" s="2">
        <v>0</v>
      </c>
    </row>
    <row r="231" spans="1:6" x14ac:dyDescent="0.3">
      <c r="A231" s="6" t="s">
        <v>323</v>
      </c>
      <c r="B231" s="2" t="s">
        <v>74</v>
      </c>
      <c r="C231" s="2"/>
      <c r="D231" s="2"/>
      <c r="E231" s="2">
        <v>30794.5</v>
      </c>
      <c r="F231" s="2">
        <v>0</v>
      </c>
    </row>
    <row r="232" spans="1:6" x14ac:dyDescent="0.3">
      <c r="A232" s="6" t="s">
        <v>324</v>
      </c>
      <c r="B232" s="2" t="s">
        <v>72</v>
      </c>
      <c r="C232" s="2"/>
      <c r="D232" s="2"/>
      <c r="E232" s="2">
        <v>8072435.1399999997</v>
      </c>
      <c r="F232" s="2">
        <v>0</v>
      </c>
    </row>
    <row r="233" spans="1:6" x14ac:dyDescent="0.3">
      <c r="A233" s="6" t="s">
        <v>325</v>
      </c>
      <c r="B233" s="2" t="s">
        <v>74</v>
      </c>
      <c r="C233" s="2"/>
      <c r="D233" s="2"/>
      <c r="E233" s="2">
        <v>144466.78</v>
      </c>
      <c r="F233" s="2">
        <v>0</v>
      </c>
    </row>
    <row r="234" spans="1:6" x14ac:dyDescent="0.3">
      <c r="A234" s="6" t="s">
        <v>326</v>
      </c>
      <c r="B234" s="2" t="s">
        <v>72</v>
      </c>
      <c r="C234" s="2"/>
      <c r="D234" s="2"/>
      <c r="E234" s="2">
        <v>261410952.91</v>
      </c>
      <c r="F234" s="2">
        <v>0</v>
      </c>
    </row>
    <row r="235" spans="1:6" x14ac:dyDescent="0.3">
      <c r="A235" s="6" t="s">
        <v>327</v>
      </c>
      <c r="B235" s="2" t="s">
        <v>74</v>
      </c>
      <c r="C235" s="2"/>
      <c r="D235" s="2"/>
      <c r="E235" s="2">
        <v>2359069.58</v>
      </c>
      <c r="F235" s="2">
        <v>0</v>
      </c>
    </row>
    <row r="236" spans="1:6" x14ac:dyDescent="0.3">
      <c r="A236" s="6" t="s">
        <v>328</v>
      </c>
      <c r="B236" s="2" t="s">
        <v>72</v>
      </c>
      <c r="C236" s="2"/>
      <c r="D236" s="2"/>
      <c r="E236" s="2">
        <v>15439626.439999999</v>
      </c>
      <c r="F236" s="2">
        <v>0</v>
      </c>
    </row>
    <row r="237" spans="1:6" x14ac:dyDescent="0.3">
      <c r="A237" s="6" t="s">
        <v>329</v>
      </c>
      <c r="B237" s="2" t="s">
        <v>74</v>
      </c>
      <c r="C237" s="2"/>
      <c r="D237" s="2"/>
      <c r="E237" s="2">
        <v>71971.92</v>
      </c>
      <c r="F237" s="2">
        <v>0</v>
      </c>
    </row>
    <row r="238" spans="1:6" x14ac:dyDescent="0.3">
      <c r="A238" s="6" t="s">
        <v>330</v>
      </c>
      <c r="B238" s="2" t="s">
        <v>72</v>
      </c>
      <c r="C238" s="2"/>
      <c r="D238" s="2"/>
      <c r="E238" s="2">
        <v>37937769.689999998</v>
      </c>
      <c r="F238" s="2">
        <v>0</v>
      </c>
    </row>
    <row r="239" spans="1:6" x14ac:dyDescent="0.3">
      <c r="A239" s="6" t="s">
        <v>331</v>
      </c>
      <c r="B239" s="2" t="s">
        <v>72</v>
      </c>
      <c r="C239" s="2"/>
      <c r="D239" s="2"/>
      <c r="E239" s="2">
        <v>113432.92</v>
      </c>
      <c r="F239" s="2">
        <v>0</v>
      </c>
    </row>
    <row r="240" spans="1:6" x14ac:dyDescent="0.3">
      <c r="A240" s="6" t="s">
        <v>332</v>
      </c>
      <c r="B240" s="2" t="s">
        <v>72</v>
      </c>
      <c r="C240" s="2"/>
      <c r="D240" s="2"/>
      <c r="E240" s="2">
        <v>6275.94</v>
      </c>
      <c r="F240" s="2">
        <v>0</v>
      </c>
    </row>
    <row r="241" spans="1:6" x14ac:dyDescent="0.3">
      <c r="A241" s="6" t="s">
        <v>333</v>
      </c>
      <c r="B241" s="2" t="s">
        <v>72</v>
      </c>
      <c r="C241" s="2"/>
      <c r="D241" s="2"/>
      <c r="E241" s="2">
        <v>2319654.6</v>
      </c>
      <c r="F241" s="2">
        <v>0</v>
      </c>
    </row>
    <row r="242" spans="1:6" x14ac:dyDescent="0.3">
      <c r="A242" s="6" t="s">
        <v>334</v>
      </c>
      <c r="B242" s="2" t="s">
        <v>74</v>
      </c>
      <c r="C242" s="2"/>
      <c r="D242" s="2"/>
      <c r="E242" s="2">
        <v>152828.31</v>
      </c>
      <c r="F242" s="2">
        <v>0</v>
      </c>
    </row>
    <row r="243" spans="1:6" x14ac:dyDescent="0.3">
      <c r="A243" s="6" t="s">
        <v>335</v>
      </c>
      <c r="B243" s="2" t="s">
        <v>72</v>
      </c>
      <c r="C243" s="2"/>
      <c r="D243" s="2"/>
      <c r="E243" s="2">
        <v>327237956.92000002</v>
      </c>
      <c r="F243" s="2">
        <v>0</v>
      </c>
    </row>
    <row r="244" spans="1:6" x14ac:dyDescent="0.3">
      <c r="A244" s="6" t="s">
        <v>336</v>
      </c>
      <c r="B244" s="2" t="s">
        <v>74</v>
      </c>
      <c r="C244" s="2"/>
      <c r="D244" s="2"/>
      <c r="E244" s="2">
        <v>2768883.32</v>
      </c>
      <c r="F244" s="2">
        <v>0</v>
      </c>
    </row>
    <row r="245" spans="1:6" x14ac:dyDescent="0.3">
      <c r="A245" s="6" t="s">
        <v>337</v>
      </c>
      <c r="B245" s="2" t="s">
        <v>220</v>
      </c>
      <c r="C245" s="2"/>
      <c r="D245" s="2"/>
      <c r="E245" s="2">
        <v>0</v>
      </c>
      <c r="F245" s="2">
        <v>4000.82</v>
      </c>
    </row>
    <row r="246" spans="1:6" x14ac:dyDescent="0.3">
      <c r="A246" s="6" t="s">
        <v>338</v>
      </c>
      <c r="B246" s="2" t="s">
        <v>220</v>
      </c>
      <c r="C246" s="2"/>
      <c r="D246" s="2"/>
      <c r="E246" s="2">
        <v>0</v>
      </c>
      <c r="F246" s="2">
        <v>7249520.3300000001</v>
      </c>
    </row>
    <row r="247" spans="1:6" x14ac:dyDescent="0.3">
      <c r="A247" s="6" t="s">
        <v>339</v>
      </c>
      <c r="B247" s="2" t="s">
        <v>220</v>
      </c>
      <c r="C247" s="2"/>
      <c r="D247" s="2"/>
      <c r="E247" s="2">
        <v>0</v>
      </c>
      <c r="F247" s="2">
        <v>2808577.81</v>
      </c>
    </row>
    <row r="248" spans="1:6" x14ac:dyDescent="0.3">
      <c r="A248" s="6" t="s">
        <v>340</v>
      </c>
      <c r="B248" s="2" t="s">
        <v>220</v>
      </c>
      <c r="C248" s="2"/>
      <c r="D248" s="2"/>
      <c r="E248" s="2">
        <v>0</v>
      </c>
      <c r="F248" s="2">
        <v>69</v>
      </c>
    </row>
    <row r="249" spans="1:6" x14ac:dyDescent="0.3">
      <c r="A249" s="6" t="s">
        <v>341</v>
      </c>
      <c r="B249" s="2" t="s">
        <v>220</v>
      </c>
      <c r="C249" s="2"/>
      <c r="D249" s="2"/>
      <c r="E249" s="2">
        <v>0</v>
      </c>
      <c r="F249" s="2">
        <v>964056.79</v>
      </c>
    </row>
    <row r="250" spans="1:6" x14ac:dyDescent="0.3">
      <c r="A250" s="6" t="s">
        <v>342</v>
      </c>
      <c r="B250" s="2" t="s">
        <v>292</v>
      </c>
      <c r="C250" s="2"/>
      <c r="D250" s="2"/>
      <c r="E250" s="2">
        <v>0</v>
      </c>
      <c r="F250" s="2">
        <v>1548.7</v>
      </c>
    </row>
    <row r="251" spans="1:6" x14ac:dyDescent="0.3">
      <c r="A251" s="6" t="s">
        <v>343</v>
      </c>
      <c r="B251" s="2" t="s">
        <v>220</v>
      </c>
      <c r="C251" s="2"/>
      <c r="D251" s="2"/>
      <c r="E251" s="2">
        <v>0</v>
      </c>
      <c r="F251" s="2">
        <v>5034813.5199999996</v>
      </c>
    </row>
    <row r="252" spans="1:6" x14ac:dyDescent="0.3">
      <c r="A252" s="6" t="s">
        <v>344</v>
      </c>
      <c r="B252" s="2" t="s">
        <v>220</v>
      </c>
      <c r="C252" s="2"/>
      <c r="D252" s="2"/>
      <c r="E252" s="2">
        <v>0</v>
      </c>
      <c r="F252" s="2">
        <v>46637.78</v>
      </c>
    </row>
    <row r="253" spans="1:6" x14ac:dyDescent="0.3">
      <c r="A253" s="6" t="s">
        <v>345</v>
      </c>
      <c r="B253" s="2" t="s">
        <v>220</v>
      </c>
      <c r="C253" s="2"/>
      <c r="D253" s="2"/>
      <c r="E253" s="2">
        <v>0</v>
      </c>
      <c r="F253" s="2">
        <v>5078370.79</v>
      </c>
    </row>
    <row r="254" spans="1:6" x14ac:dyDescent="0.3">
      <c r="A254" s="6" t="s">
        <v>346</v>
      </c>
      <c r="B254" s="2" t="s">
        <v>220</v>
      </c>
      <c r="C254" s="2"/>
      <c r="D254" s="2"/>
      <c r="E254" s="2">
        <v>0</v>
      </c>
      <c r="F254" s="2">
        <v>6038733.2599999998</v>
      </c>
    </row>
    <row r="255" spans="1:6" x14ac:dyDescent="0.3">
      <c r="A255" s="6" t="s">
        <v>347</v>
      </c>
      <c r="B255" s="2" t="s">
        <v>220</v>
      </c>
      <c r="C255" s="2"/>
      <c r="D255" s="2"/>
      <c r="E255" s="2">
        <v>0</v>
      </c>
      <c r="F255" s="2">
        <v>2000000</v>
      </c>
    </row>
    <row r="256" spans="1:6" x14ac:dyDescent="0.3">
      <c r="A256" s="6" t="s">
        <v>348</v>
      </c>
      <c r="B256" s="2" t="s">
        <v>292</v>
      </c>
      <c r="C256" s="2"/>
      <c r="D256" s="2"/>
      <c r="E256" s="2">
        <v>0</v>
      </c>
      <c r="F256" s="2">
        <v>1986373.31</v>
      </c>
    </row>
    <row r="257" spans="1:6" x14ac:dyDescent="0.3">
      <c r="A257" s="6" t="s">
        <v>349</v>
      </c>
      <c r="B257" s="2" t="s">
        <v>220</v>
      </c>
      <c r="C257" s="2"/>
      <c r="D257" s="2"/>
      <c r="E257" s="2">
        <v>0</v>
      </c>
      <c r="F257" s="2">
        <v>86564553.109999999</v>
      </c>
    </row>
    <row r="258" spans="1:6" x14ac:dyDescent="0.3">
      <c r="A258" s="6" t="s">
        <v>350</v>
      </c>
      <c r="B258" s="2" t="s">
        <v>220</v>
      </c>
      <c r="C258" s="2"/>
      <c r="D258" s="2"/>
      <c r="E258" s="2">
        <v>0</v>
      </c>
      <c r="F258" s="2">
        <v>0.91</v>
      </c>
    </row>
    <row r="259" spans="1:6" x14ac:dyDescent="0.3">
      <c r="A259" s="6" t="s">
        <v>351</v>
      </c>
      <c r="B259" s="2" t="s">
        <v>292</v>
      </c>
      <c r="C259" s="2"/>
      <c r="D259" s="2"/>
      <c r="E259" s="2">
        <v>0</v>
      </c>
      <c r="F259" s="2">
        <v>651631.63</v>
      </c>
    </row>
    <row r="260" spans="1:6" x14ac:dyDescent="0.3">
      <c r="A260" s="6" t="s">
        <v>352</v>
      </c>
      <c r="B260" s="2" t="s">
        <v>220</v>
      </c>
      <c r="C260" s="2"/>
      <c r="D260" s="2"/>
      <c r="E260" s="2">
        <v>0</v>
      </c>
      <c r="F260" s="2">
        <v>9614382.3200000003</v>
      </c>
    </row>
    <row r="261" spans="1:6" x14ac:dyDescent="0.3">
      <c r="A261" s="6" t="s">
        <v>353</v>
      </c>
      <c r="B261" s="2" t="s">
        <v>220</v>
      </c>
      <c r="C261" s="2"/>
      <c r="D261" s="2"/>
      <c r="E261" s="2">
        <v>0</v>
      </c>
      <c r="F261" s="2">
        <v>4729.45</v>
      </c>
    </row>
    <row r="262" spans="1:6" x14ac:dyDescent="0.3">
      <c r="A262" s="6" t="s">
        <v>354</v>
      </c>
      <c r="B262" s="2" t="s">
        <v>220</v>
      </c>
      <c r="C262" s="2"/>
      <c r="D262" s="2"/>
      <c r="E262" s="2">
        <v>0</v>
      </c>
      <c r="F262" s="2">
        <v>227833.22</v>
      </c>
    </row>
    <row r="263" spans="1:6" x14ac:dyDescent="0.3">
      <c r="A263" s="6" t="s">
        <v>355</v>
      </c>
      <c r="B263" s="2" t="s">
        <v>220</v>
      </c>
      <c r="C263" s="2"/>
      <c r="D263" s="2"/>
      <c r="E263" s="2">
        <v>0</v>
      </c>
      <c r="F263" s="2">
        <v>35152.910000000003</v>
      </c>
    </row>
    <row r="264" spans="1:6" x14ac:dyDescent="0.3">
      <c r="A264" s="6" t="s">
        <v>356</v>
      </c>
      <c r="B264" s="2" t="s">
        <v>220</v>
      </c>
      <c r="C264" s="2"/>
      <c r="D264" s="2"/>
      <c r="E264" s="2">
        <v>0</v>
      </c>
      <c r="F264" s="2">
        <v>335354.15000000002</v>
      </c>
    </row>
    <row r="265" spans="1:6" x14ac:dyDescent="0.3">
      <c r="A265" s="6" t="s">
        <v>357</v>
      </c>
      <c r="B265" s="2" t="s">
        <v>292</v>
      </c>
      <c r="C265" s="2"/>
      <c r="D265" s="2"/>
      <c r="E265" s="2">
        <v>0</v>
      </c>
      <c r="F265" s="2">
        <v>107987.76</v>
      </c>
    </row>
    <row r="266" spans="1:6" x14ac:dyDescent="0.3">
      <c r="A266" s="6" t="s">
        <v>358</v>
      </c>
      <c r="B266" s="2" t="s">
        <v>220</v>
      </c>
      <c r="C266" s="2"/>
      <c r="D266" s="2"/>
      <c r="E266" s="2">
        <v>0</v>
      </c>
      <c r="F266" s="2">
        <v>38737625.170000002</v>
      </c>
    </row>
    <row r="267" spans="1:6" x14ac:dyDescent="0.3">
      <c r="A267" s="6" t="s">
        <v>359</v>
      </c>
      <c r="B267" s="2" t="s">
        <v>220</v>
      </c>
      <c r="C267" s="2"/>
      <c r="D267" s="2"/>
      <c r="E267" s="2">
        <v>0</v>
      </c>
      <c r="F267" s="2">
        <v>5032069.41</v>
      </c>
    </row>
    <row r="268" spans="1:6" x14ac:dyDescent="0.3">
      <c r="A268" s="6" t="s">
        <v>360</v>
      </c>
      <c r="B268" s="2" t="s">
        <v>220</v>
      </c>
      <c r="C268" s="2"/>
      <c r="D268" s="2"/>
      <c r="E268" s="2">
        <v>0</v>
      </c>
      <c r="F268" s="2">
        <v>11716222.5</v>
      </c>
    </row>
    <row r="269" spans="1:6" x14ac:dyDescent="0.3">
      <c r="A269" s="6" t="s">
        <v>361</v>
      </c>
      <c r="B269" s="2" t="s">
        <v>220</v>
      </c>
      <c r="C269" s="2"/>
      <c r="D269" s="2"/>
      <c r="E269" s="2">
        <v>0</v>
      </c>
      <c r="F269" s="2">
        <v>2586959.7200000002</v>
      </c>
    </row>
    <row r="270" spans="1:6" x14ac:dyDescent="0.3">
      <c r="A270" s="6" t="s">
        <v>362</v>
      </c>
      <c r="B270" s="2" t="s">
        <v>292</v>
      </c>
      <c r="C270" s="2"/>
      <c r="D270" s="2"/>
      <c r="E270" s="2">
        <v>0</v>
      </c>
      <c r="F270" s="2">
        <v>1758514.9</v>
      </c>
    </row>
    <row r="271" spans="1:6" x14ac:dyDescent="0.3">
      <c r="A271" s="6" t="s">
        <v>363</v>
      </c>
      <c r="B271" s="2" t="s">
        <v>220</v>
      </c>
      <c r="C271" s="2"/>
      <c r="D271" s="2"/>
      <c r="E271" s="2">
        <v>0</v>
      </c>
      <c r="F271" s="2">
        <v>94736515.989999995</v>
      </c>
    </row>
    <row r="272" spans="1:6" x14ac:dyDescent="0.3">
      <c r="A272" s="6" t="s">
        <v>364</v>
      </c>
      <c r="B272" s="2" t="s">
        <v>220</v>
      </c>
      <c r="C272" s="2"/>
      <c r="D272" s="2"/>
      <c r="E272" s="2">
        <v>0</v>
      </c>
      <c r="F272" s="2">
        <v>14780463.189999999</v>
      </c>
    </row>
    <row r="273" spans="1:6" x14ac:dyDescent="0.3">
      <c r="A273" s="6" t="s">
        <v>365</v>
      </c>
      <c r="B273" s="2" t="s">
        <v>220</v>
      </c>
      <c r="C273" s="2"/>
      <c r="D273" s="2"/>
      <c r="E273" s="2">
        <v>0</v>
      </c>
      <c r="F273" s="2">
        <v>36219994.469999999</v>
      </c>
    </row>
    <row r="274" spans="1:6" x14ac:dyDescent="0.3">
      <c r="A274" s="6" t="s">
        <v>366</v>
      </c>
      <c r="B274" s="2" t="s">
        <v>220</v>
      </c>
      <c r="C274" s="2"/>
      <c r="D274" s="2"/>
      <c r="E274" s="2">
        <v>0</v>
      </c>
      <c r="F274" s="2">
        <v>80487.429999999993</v>
      </c>
    </row>
    <row r="275" spans="1:6" x14ac:dyDescent="0.3">
      <c r="A275" s="6" t="s">
        <v>367</v>
      </c>
      <c r="B275" s="2" t="s">
        <v>220</v>
      </c>
      <c r="C275" s="2"/>
      <c r="D275" s="2"/>
      <c r="E275" s="2">
        <v>0</v>
      </c>
      <c r="F275" s="2">
        <v>5323.34</v>
      </c>
    </row>
    <row r="276" spans="1:6" x14ac:dyDescent="0.3">
      <c r="A276" s="6" t="s">
        <v>368</v>
      </c>
      <c r="B276" s="2" t="s">
        <v>292</v>
      </c>
      <c r="C276" s="2"/>
      <c r="D276" s="2"/>
      <c r="E276" s="2">
        <v>0</v>
      </c>
      <c r="F276" s="2">
        <v>1459373.33</v>
      </c>
    </row>
    <row r="277" spans="1:6" x14ac:dyDescent="0.3">
      <c r="A277" s="6" t="s">
        <v>369</v>
      </c>
      <c r="B277" s="2" t="s">
        <v>220</v>
      </c>
      <c r="C277" s="2"/>
      <c r="D277" s="2"/>
      <c r="E277" s="2">
        <v>0</v>
      </c>
      <c r="F277" s="2">
        <v>180426526.53999999</v>
      </c>
    </row>
    <row r="278" spans="1:6" x14ac:dyDescent="0.3">
      <c r="A278" s="6" t="s">
        <v>370</v>
      </c>
      <c r="B278" s="2" t="s">
        <v>72</v>
      </c>
      <c r="C278" s="2"/>
      <c r="D278" s="2"/>
      <c r="E278" s="2">
        <v>4763464.3</v>
      </c>
      <c r="F278" s="2">
        <v>0</v>
      </c>
    </row>
    <row r="279" spans="1:6" x14ac:dyDescent="0.3">
      <c r="A279" s="6" t="s">
        <v>371</v>
      </c>
      <c r="B279" s="2" t="s">
        <v>372</v>
      </c>
      <c r="C279" s="2"/>
      <c r="D279" s="2"/>
      <c r="E279" s="2">
        <v>0</v>
      </c>
      <c r="F279" s="2">
        <v>0</v>
      </c>
    </row>
    <row r="280" spans="1:6" x14ac:dyDescent="0.3">
      <c r="A280" s="6" t="s">
        <v>373</v>
      </c>
      <c r="B280" s="2" t="s">
        <v>72</v>
      </c>
      <c r="C280" s="2"/>
      <c r="D280" s="2"/>
      <c r="E280" s="2">
        <v>553794611.42999995</v>
      </c>
      <c r="F280" s="2">
        <v>0</v>
      </c>
    </row>
    <row r="281" spans="1:6" x14ac:dyDescent="0.3">
      <c r="A281" s="6" t="s">
        <v>374</v>
      </c>
      <c r="B281" s="2" t="s">
        <v>372</v>
      </c>
      <c r="C281" s="2"/>
      <c r="D281" s="2"/>
      <c r="E281" s="2">
        <v>0</v>
      </c>
      <c r="F281" s="2">
        <v>11000000</v>
      </c>
    </row>
    <row r="282" spans="1:6" x14ac:dyDescent="0.3">
      <c r="A282" s="6" t="s">
        <v>375</v>
      </c>
      <c r="B282" s="2" t="s">
        <v>77</v>
      </c>
      <c r="C282" s="2"/>
      <c r="D282" s="2"/>
      <c r="E282" s="2">
        <v>25380604.789999999</v>
      </c>
      <c r="F282" s="2">
        <v>0</v>
      </c>
    </row>
    <row r="283" spans="1:6" x14ac:dyDescent="0.3">
      <c r="A283" s="6" t="s">
        <v>376</v>
      </c>
      <c r="B283" s="2" t="s">
        <v>77</v>
      </c>
      <c r="C283" s="2"/>
      <c r="D283" s="2"/>
      <c r="E283" s="2">
        <v>40661263.590000004</v>
      </c>
      <c r="F283" s="2">
        <v>0</v>
      </c>
    </row>
    <row r="284" spans="1:6" x14ac:dyDescent="0.3">
      <c r="A284" s="6" t="s">
        <v>377</v>
      </c>
      <c r="B284" s="2" t="s">
        <v>77</v>
      </c>
      <c r="C284" s="2"/>
      <c r="D284" s="2"/>
      <c r="E284" s="2">
        <v>0</v>
      </c>
      <c r="F284" s="2">
        <v>0</v>
      </c>
    </row>
    <row r="285" spans="1:6" x14ac:dyDescent="0.3">
      <c r="A285" s="6" t="s">
        <v>378</v>
      </c>
      <c r="B285" s="2" t="s">
        <v>82</v>
      </c>
      <c r="C285" s="2"/>
      <c r="D285" s="2"/>
      <c r="E285" s="2">
        <v>0</v>
      </c>
      <c r="F285" s="2">
        <v>0</v>
      </c>
    </row>
    <row r="286" spans="1:6" x14ac:dyDescent="0.3">
      <c r="A286" s="6" t="s">
        <v>379</v>
      </c>
      <c r="B286" s="2" t="s">
        <v>77</v>
      </c>
      <c r="C286" s="2"/>
      <c r="D286" s="2"/>
      <c r="E286" s="2">
        <v>23583279.379999999</v>
      </c>
      <c r="F286" s="2">
        <v>0</v>
      </c>
    </row>
    <row r="287" spans="1:6" x14ac:dyDescent="0.3">
      <c r="A287" s="6" t="s">
        <v>380</v>
      </c>
      <c r="B287" s="2" t="s">
        <v>381</v>
      </c>
      <c r="C287" s="2"/>
      <c r="D287" s="2"/>
      <c r="E287" s="2">
        <v>47698405.799999997</v>
      </c>
      <c r="F287" s="2">
        <v>0</v>
      </c>
    </row>
    <row r="288" spans="1:6" x14ac:dyDescent="0.3">
      <c r="A288" s="6" t="s">
        <v>382</v>
      </c>
      <c r="B288" s="2" t="s">
        <v>383</v>
      </c>
      <c r="C288" s="2"/>
      <c r="D288" s="2"/>
      <c r="E288" s="2">
        <v>0</v>
      </c>
      <c r="F288" s="2">
        <v>33970024.609999999</v>
      </c>
    </row>
    <row r="289" spans="1:6" x14ac:dyDescent="0.3">
      <c r="A289" s="6" t="s">
        <v>384</v>
      </c>
      <c r="B289" s="2" t="s">
        <v>381</v>
      </c>
      <c r="C289" s="2"/>
      <c r="D289" s="2"/>
      <c r="E289" s="2">
        <v>46763189.219999999</v>
      </c>
      <c r="F289" s="2">
        <v>0</v>
      </c>
    </row>
    <row r="290" spans="1:6" x14ac:dyDescent="0.3">
      <c r="A290" s="6" t="s">
        <v>385</v>
      </c>
      <c r="B290" s="2" t="s">
        <v>381</v>
      </c>
      <c r="C290" s="2"/>
      <c r="D290" s="2"/>
      <c r="E290" s="2">
        <v>205871560.5</v>
      </c>
      <c r="F290" s="2">
        <v>0</v>
      </c>
    </row>
    <row r="291" spans="1:6" x14ac:dyDescent="0.3">
      <c r="A291" s="6" t="s">
        <v>386</v>
      </c>
      <c r="B291" s="2" t="s">
        <v>387</v>
      </c>
      <c r="C291" s="2"/>
      <c r="D291" s="2"/>
      <c r="E291" s="2">
        <v>0</v>
      </c>
      <c r="F291" s="2">
        <v>5046609.46</v>
      </c>
    </row>
    <row r="292" spans="1:6" x14ac:dyDescent="0.3">
      <c r="A292" s="6" t="s">
        <v>388</v>
      </c>
      <c r="B292" s="2" t="s">
        <v>383</v>
      </c>
      <c r="C292" s="2"/>
      <c r="D292" s="2"/>
      <c r="E292" s="2">
        <v>0</v>
      </c>
      <c r="F292" s="2">
        <v>97537895.870000005</v>
      </c>
    </row>
    <row r="293" spans="1:6" x14ac:dyDescent="0.3">
      <c r="A293" s="6" t="s">
        <v>389</v>
      </c>
      <c r="B293" s="2" t="s">
        <v>381</v>
      </c>
      <c r="C293" s="2"/>
      <c r="D293" s="2"/>
      <c r="E293" s="2">
        <v>57545837.979999997</v>
      </c>
      <c r="F293" s="2">
        <v>0</v>
      </c>
    </row>
    <row r="294" spans="1:6" x14ac:dyDescent="0.3">
      <c r="A294" s="6" t="s">
        <v>390</v>
      </c>
      <c r="B294" s="2" t="s">
        <v>383</v>
      </c>
      <c r="C294" s="2"/>
      <c r="D294" s="2"/>
      <c r="E294" s="2">
        <v>0</v>
      </c>
      <c r="F294" s="2">
        <v>37519981.490000002</v>
      </c>
    </row>
    <row r="295" spans="1:6" x14ac:dyDescent="0.3">
      <c r="A295" s="6" t="s">
        <v>391</v>
      </c>
      <c r="B295" s="2" t="s">
        <v>381</v>
      </c>
      <c r="C295" s="2"/>
      <c r="D295" s="2"/>
      <c r="E295" s="2">
        <v>16432258.619999999</v>
      </c>
      <c r="F295" s="2">
        <v>0</v>
      </c>
    </row>
    <row r="296" spans="1:6" x14ac:dyDescent="0.3">
      <c r="A296" s="6" t="s">
        <v>392</v>
      </c>
      <c r="B296" s="2" t="s">
        <v>383</v>
      </c>
      <c r="C296" s="2"/>
      <c r="D296" s="2"/>
      <c r="E296" s="2">
        <v>0</v>
      </c>
      <c r="F296" s="2">
        <v>14716009.029999999</v>
      </c>
    </row>
    <row r="297" spans="1:6" x14ac:dyDescent="0.3">
      <c r="A297" s="6" t="s">
        <v>393</v>
      </c>
      <c r="B297" s="2" t="s">
        <v>381</v>
      </c>
      <c r="C297" s="2"/>
      <c r="D297" s="2"/>
      <c r="E297" s="2">
        <v>166838.19</v>
      </c>
      <c r="F297" s="2">
        <v>0</v>
      </c>
    </row>
    <row r="298" spans="1:6" x14ac:dyDescent="0.3">
      <c r="A298" s="6" t="s">
        <v>394</v>
      </c>
      <c r="B298" s="2" t="s">
        <v>383</v>
      </c>
      <c r="C298" s="2"/>
      <c r="D298" s="2"/>
      <c r="E298" s="2">
        <v>0</v>
      </c>
      <c r="F298" s="2">
        <v>87311.99</v>
      </c>
    </row>
    <row r="299" spans="1:6" x14ac:dyDescent="0.3">
      <c r="A299" s="6" t="s">
        <v>395</v>
      </c>
      <c r="B299" s="2" t="s">
        <v>381</v>
      </c>
      <c r="C299" s="2"/>
      <c r="D299" s="2"/>
      <c r="E299" s="2">
        <v>13194526.49</v>
      </c>
      <c r="F299" s="2">
        <v>0</v>
      </c>
    </row>
    <row r="300" spans="1:6" x14ac:dyDescent="0.3">
      <c r="A300" s="6" t="s">
        <v>396</v>
      </c>
      <c r="B300" s="2" t="s">
        <v>383</v>
      </c>
      <c r="C300" s="2"/>
      <c r="D300" s="2"/>
      <c r="E300" s="2">
        <v>0</v>
      </c>
      <c r="F300" s="2">
        <v>10624754.43</v>
      </c>
    </row>
    <row r="301" spans="1:6" x14ac:dyDescent="0.3">
      <c r="A301" s="6" t="s">
        <v>397</v>
      </c>
      <c r="B301" s="2" t="s">
        <v>381</v>
      </c>
      <c r="C301" s="2"/>
      <c r="D301" s="2"/>
      <c r="E301" s="2">
        <v>1055496.7</v>
      </c>
      <c r="F301" s="2">
        <v>0</v>
      </c>
    </row>
    <row r="302" spans="1:6" x14ac:dyDescent="0.3">
      <c r="A302" s="6" t="s">
        <v>398</v>
      </c>
      <c r="B302" s="2" t="s">
        <v>383</v>
      </c>
      <c r="C302" s="2"/>
      <c r="D302" s="2"/>
      <c r="E302" s="2">
        <v>0</v>
      </c>
      <c r="F302" s="2">
        <v>700643.76</v>
      </c>
    </row>
    <row r="303" spans="1:6" x14ac:dyDescent="0.3">
      <c r="A303" s="6" t="s">
        <v>399</v>
      </c>
      <c r="B303" s="2" t="s">
        <v>381</v>
      </c>
      <c r="C303" s="2"/>
      <c r="D303" s="2"/>
      <c r="E303" s="2">
        <v>27669439.559999999</v>
      </c>
      <c r="F303" s="2">
        <v>0</v>
      </c>
    </row>
    <row r="304" spans="1:6" x14ac:dyDescent="0.3">
      <c r="A304" s="6" t="s">
        <v>400</v>
      </c>
      <c r="B304" s="2" t="s">
        <v>383</v>
      </c>
      <c r="C304" s="2"/>
      <c r="D304" s="2"/>
      <c r="E304" s="2">
        <v>0</v>
      </c>
      <c r="F304" s="2">
        <v>12922565.25</v>
      </c>
    </row>
    <row r="305" spans="1:6" x14ac:dyDescent="0.3">
      <c r="A305" s="6" t="s">
        <v>401</v>
      </c>
      <c r="B305" s="2" t="s">
        <v>381</v>
      </c>
      <c r="C305" s="2"/>
      <c r="D305" s="2"/>
      <c r="E305" s="2">
        <v>52986074.590000004</v>
      </c>
      <c r="F305" s="2">
        <v>0</v>
      </c>
    </row>
    <row r="306" spans="1:6" x14ac:dyDescent="0.3">
      <c r="A306" s="6" t="s">
        <v>402</v>
      </c>
      <c r="B306" s="2" t="s">
        <v>383</v>
      </c>
      <c r="C306" s="2"/>
      <c r="D306" s="2"/>
      <c r="E306" s="2">
        <v>0</v>
      </c>
      <c r="F306" s="2">
        <v>18937569.32</v>
      </c>
    </row>
    <row r="307" spans="1:6" x14ac:dyDescent="0.3">
      <c r="A307" s="6" t="s">
        <v>403</v>
      </c>
      <c r="B307" s="2" t="s">
        <v>381</v>
      </c>
      <c r="C307" s="2"/>
      <c r="D307" s="2"/>
      <c r="E307" s="2">
        <v>18563748.57</v>
      </c>
      <c r="F307" s="2">
        <v>0</v>
      </c>
    </row>
    <row r="308" spans="1:6" x14ac:dyDescent="0.3">
      <c r="A308" s="6" t="s">
        <v>404</v>
      </c>
      <c r="B308" s="2" t="s">
        <v>383</v>
      </c>
      <c r="C308" s="2"/>
      <c r="D308" s="2"/>
      <c r="E308" s="2">
        <v>0</v>
      </c>
      <c r="F308" s="2">
        <v>6169298.9699999997</v>
      </c>
    </row>
    <row r="309" spans="1:6" x14ac:dyDescent="0.3">
      <c r="A309" s="6" t="s">
        <v>405</v>
      </c>
      <c r="B309" s="2" t="s">
        <v>381</v>
      </c>
      <c r="C309" s="2"/>
      <c r="D309" s="2"/>
      <c r="E309" s="2">
        <v>1362516.02</v>
      </c>
      <c r="F309" s="2">
        <v>0</v>
      </c>
    </row>
    <row r="310" spans="1:6" x14ac:dyDescent="0.3">
      <c r="A310" s="6" t="s">
        <v>406</v>
      </c>
      <c r="B310" s="2" t="s">
        <v>383</v>
      </c>
      <c r="C310" s="2"/>
      <c r="D310" s="2"/>
      <c r="E310" s="2">
        <v>0</v>
      </c>
      <c r="F310" s="2">
        <v>660085.38</v>
      </c>
    </row>
    <row r="311" spans="1:6" x14ac:dyDescent="0.3">
      <c r="A311" s="6" t="s">
        <v>407</v>
      </c>
      <c r="B311" s="2" t="s">
        <v>381</v>
      </c>
      <c r="C311" s="2"/>
      <c r="D311" s="2"/>
      <c r="E311" s="2">
        <v>1887279.24</v>
      </c>
      <c r="F311" s="2">
        <v>0</v>
      </c>
    </row>
    <row r="312" spans="1:6" x14ac:dyDescent="0.3">
      <c r="A312" s="6" t="s">
        <v>408</v>
      </c>
      <c r="B312" s="2" t="s">
        <v>383</v>
      </c>
      <c r="C312" s="2"/>
      <c r="D312" s="2"/>
      <c r="E312" s="2">
        <v>0</v>
      </c>
      <c r="F312" s="2">
        <v>1236147.27</v>
      </c>
    </row>
    <row r="313" spans="1:6" x14ac:dyDescent="0.3">
      <c r="A313" s="6" t="s">
        <v>409</v>
      </c>
      <c r="B313" s="2" t="s">
        <v>381</v>
      </c>
      <c r="C313" s="2"/>
      <c r="D313" s="2"/>
      <c r="E313" s="2">
        <v>2098578</v>
      </c>
      <c r="F313" s="2">
        <v>0</v>
      </c>
    </row>
    <row r="314" spans="1:6" x14ac:dyDescent="0.3">
      <c r="A314" s="6" t="s">
        <v>410</v>
      </c>
      <c r="B314" s="2" t="s">
        <v>381</v>
      </c>
      <c r="C314" s="2"/>
      <c r="D314" s="2"/>
      <c r="E314" s="2">
        <v>33821.980000000003</v>
      </c>
      <c r="F314" s="2">
        <v>0</v>
      </c>
    </row>
    <row r="315" spans="1:6" x14ac:dyDescent="0.3">
      <c r="A315" s="6" t="s">
        <v>411</v>
      </c>
      <c r="B315" s="2" t="s">
        <v>383</v>
      </c>
      <c r="C315" s="2"/>
      <c r="D315" s="2"/>
      <c r="E315" s="2">
        <v>0</v>
      </c>
      <c r="F315" s="2">
        <v>33821.94</v>
      </c>
    </row>
    <row r="316" spans="1:6" x14ac:dyDescent="0.3">
      <c r="A316" s="6" t="s">
        <v>412</v>
      </c>
      <c r="B316" s="2" t="s">
        <v>381</v>
      </c>
      <c r="C316" s="2"/>
      <c r="D316" s="2"/>
      <c r="E316" s="2">
        <v>149042465.03999999</v>
      </c>
      <c r="F316" s="2">
        <v>0</v>
      </c>
    </row>
    <row r="317" spans="1:6" x14ac:dyDescent="0.3">
      <c r="A317" s="6" t="s">
        <v>413</v>
      </c>
      <c r="B317" s="2" t="s">
        <v>383</v>
      </c>
      <c r="C317" s="2"/>
      <c r="D317" s="2"/>
      <c r="E317" s="2">
        <v>0</v>
      </c>
      <c r="F317" s="2">
        <v>107903054.97</v>
      </c>
    </row>
    <row r="318" spans="1:6" x14ac:dyDescent="0.3">
      <c r="A318" s="6" t="s">
        <v>414</v>
      </c>
      <c r="B318" s="2" t="s">
        <v>381</v>
      </c>
      <c r="C318" s="2"/>
      <c r="D318" s="2"/>
      <c r="E318" s="2">
        <v>2041592.93</v>
      </c>
      <c r="F318" s="2">
        <v>0</v>
      </c>
    </row>
    <row r="319" spans="1:6" x14ac:dyDescent="0.3">
      <c r="A319" s="6" t="s">
        <v>415</v>
      </c>
      <c r="B319" s="2" t="s">
        <v>381</v>
      </c>
      <c r="C319" s="2"/>
      <c r="D319" s="2"/>
      <c r="E319" s="2">
        <v>2008586.15</v>
      </c>
      <c r="F319" s="2">
        <v>0</v>
      </c>
    </row>
    <row r="320" spans="1:6" x14ac:dyDescent="0.3">
      <c r="A320" s="6" t="s">
        <v>416</v>
      </c>
      <c r="B320" s="2" t="s">
        <v>383</v>
      </c>
      <c r="C320" s="2"/>
      <c r="D320" s="2"/>
      <c r="E320" s="2">
        <v>0</v>
      </c>
      <c r="F320" s="2">
        <v>2008586.15</v>
      </c>
    </row>
    <row r="321" spans="1:6" x14ac:dyDescent="0.3">
      <c r="A321" s="6" t="s">
        <v>417</v>
      </c>
      <c r="B321" s="2" t="s">
        <v>418</v>
      </c>
      <c r="C321" s="2"/>
      <c r="D321" s="2"/>
      <c r="E321" s="2">
        <v>15618413.869999999</v>
      </c>
      <c r="F321" s="2">
        <v>0</v>
      </c>
    </row>
    <row r="322" spans="1:6" x14ac:dyDescent="0.3">
      <c r="A322" s="6" t="s">
        <v>419</v>
      </c>
      <c r="B322" s="2" t="s">
        <v>420</v>
      </c>
      <c r="C322" s="2"/>
      <c r="D322" s="2"/>
      <c r="E322" s="2">
        <v>22200.02</v>
      </c>
      <c r="F322" s="2">
        <v>0</v>
      </c>
    </row>
    <row r="323" spans="1:6" x14ac:dyDescent="0.3">
      <c r="A323" s="6" t="s">
        <v>421</v>
      </c>
      <c r="B323" s="2" t="s">
        <v>422</v>
      </c>
      <c r="C323" s="2"/>
      <c r="D323" s="2"/>
      <c r="E323" s="2">
        <v>81646386.980000004</v>
      </c>
      <c r="F323" s="2">
        <v>0</v>
      </c>
    </row>
    <row r="324" spans="1:6" x14ac:dyDescent="0.3">
      <c r="A324" s="6" t="s">
        <v>423</v>
      </c>
      <c r="B324" s="2" t="s">
        <v>424</v>
      </c>
      <c r="C324" s="2"/>
      <c r="D324" s="2"/>
      <c r="E324" s="2">
        <v>1072622.6000000001</v>
      </c>
      <c r="F324" s="2">
        <v>0</v>
      </c>
    </row>
    <row r="325" spans="1:6" x14ac:dyDescent="0.3">
      <c r="A325" s="6" t="s">
        <v>425</v>
      </c>
      <c r="B325" s="2" t="s">
        <v>381</v>
      </c>
      <c r="C325" s="2"/>
      <c r="D325" s="2"/>
      <c r="E325" s="2">
        <v>24923654.91</v>
      </c>
      <c r="F325" s="2">
        <v>0</v>
      </c>
    </row>
    <row r="326" spans="1:6" x14ac:dyDescent="0.3">
      <c r="A326" s="6" t="s">
        <v>426</v>
      </c>
      <c r="B326" s="2" t="s">
        <v>387</v>
      </c>
      <c r="C326" s="2"/>
      <c r="D326" s="2"/>
      <c r="E326" s="2">
        <v>0</v>
      </c>
      <c r="F326" s="2">
        <v>7903085.6399999997</v>
      </c>
    </row>
    <row r="327" spans="1:6" x14ac:dyDescent="0.3">
      <c r="A327" s="6" t="s">
        <v>427</v>
      </c>
      <c r="B327" s="2" t="s">
        <v>381</v>
      </c>
      <c r="C327" s="2"/>
      <c r="D327" s="2"/>
      <c r="E327" s="2">
        <v>910328</v>
      </c>
      <c r="F327" s="2">
        <v>0</v>
      </c>
    </row>
    <row r="328" spans="1:6" x14ac:dyDescent="0.3">
      <c r="A328" s="6" t="s">
        <v>428</v>
      </c>
      <c r="B328" s="2" t="s">
        <v>381</v>
      </c>
      <c r="C328" s="2"/>
      <c r="D328" s="2"/>
      <c r="E328" s="2">
        <v>2487863.7999999998</v>
      </c>
      <c r="F328" s="2">
        <v>0</v>
      </c>
    </row>
    <row r="329" spans="1:6" x14ac:dyDescent="0.3">
      <c r="A329" s="6" t="s">
        <v>429</v>
      </c>
      <c r="B329" s="2" t="s">
        <v>72</v>
      </c>
      <c r="C329" s="2"/>
      <c r="D329" s="2"/>
      <c r="E329" s="2">
        <v>3145144.18</v>
      </c>
      <c r="F329" s="2">
        <v>0</v>
      </c>
    </row>
    <row r="330" spans="1:6" x14ac:dyDescent="0.3">
      <c r="A330" s="6" t="s">
        <v>430</v>
      </c>
      <c r="B330" s="2" t="s">
        <v>381</v>
      </c>
      <c r="C330" s="2"/>
      <c r="D330" s="2"/>
      <c r="E330" s="2">
        <v>24271633.510000002</v>
      </c>
      <c r="F330" s="2">
        <v>0</v>
      </c>
    </row>
    <row r="331" spans="1:6" x14ac:dyDescent="0.3">
      <c r="A331" s="6" t="s">
        <v>431</v>
      </c>
      <c r="B331" s="2" t="s">
        <v>387</v>
      </c>
      <c r="C331" s="2"/>
      <c r="D331" s="2"/>
      <c r="E331" s="2">
        <v>0</v>
      </c>
      <c r="F331" s="2">
        <v>10867714.289999999</v>
      </c>
    </row>
    <row r="332" spans="1:6" x14ac:dyDescent="0.3">
      <c r="A332" s="6" t="s">
        <v>432</v>
      </c>
      <c r="B332" s="2" t="s">
        <v>381</v>
      </c>
      <c r="C332" s="2"/>
      <c r="D332" s="2"/>
      <c r="E332" s="2">
        <v>497202.18</v>
      </c>
      <c r="F332" s="2">
        <v>0</v>
      </c>
    </row>
    <row r="333" spans="1:6" x14ac:dyDescent="0.3">
      <c r="A333" s="6" t="s">
        <v>433</v>
      </c>
      <c r="B333" s="2" t="s">
        <v>387</v>
      </c>
      <c r="C333" s="2"/>
      <c r="D333" s="2"/>
      <c r="E333" s="2">
        <v>0</v>
      </c>
      <c r="F333" s="2">
        <v>497202.18</v>
      </c>
    </row>
    <row r="334" spans="1:6" x14ac:dyDescent="0.3">
      <c r="A334" s="6" t="s">
        <v>434</v>
      </c>
      <c r="B334" s="2" t="s">
        <v>435</v>
      </c>
      <c r="C334" s="2"/>
      <c r="D334" s="2"/>
      <c r="E334" s="2">
        <v>30031855.329999998</v>
      </c>
      <c r="F334" s="2">
        <v>0</v>
      </c>
    </row>
    <row r="335" spans="1:6" x14ac:dyDescent="0.3">
      <c r="A335" s="6" t="s">
        <v>436</v>
      </c>
      <c r="B335" s="2" t="s">
        <v>387</v>
      </c>
      <c r="C335" s="2"/>
      <c r="D335" s="2"/>
      <c r="E335" s="2">
        <v>0</v>
      </c>
      <c r="F335" s="2">
        <v>103300.01</v>
      </c>
    </row>
    <row r="336" spans="1:6" x14ac:dyDescent="0.3">
      <c r="A336" s="6" t="s">
        <v>437</v>
      </c>
      <c r="B336" s="2" t="s">
        <v>435</v>
      </c>
      <c r="C336" s="2"/>
      <c r="D336" s="2"/>
      <c r="E336" s="2">
        <v>1949942.83</v>
      </c>
      <c r="F336" s="2">
        <v>0</v>
      </c>
    </row>
    <row r="337" spans="1:6" x14ac:dyDescent="0.3">
      <c r="A337" s="6" t="s">
        <v>438</v>
      </c>
      <c r="B337" s="2" t="s">
        <v>387</v>
      </c>
      <c r="C337" s="2"/>
      <c r="D337" s="2"/>
      <c r="E337" s="2">
        <v>0</v>
      </c>
      <c r="F337" s="2">
        <v>652209.38</v>
      </c>
    </row>
    <row r="338" spans="1:6" x14ac:dyDescent="0.3">
      <c r="A338" s="6" t="s">
        <v>439</v>
      </c>
      <c r="B338" s="2" t="s">
        <v>435</v>
      </c>
      <c r="C338" s="2"/>
      <c r="D338" s="2"/>
      <c r="E338" s="2">
        <v>1253079.0900000001</v>
      </c>
      <c r="F338" s="2">
        <v>0</v>
      </c>
    </row>
    <row r="339" spans="1:6" x14ac:dyDescent="0.3">
      <c r="A339" s="6" t="s">
        <v>440</v>
      </c>
      <c r="B339" s="2" t="s">
        <v>387</v>
      </c>
      <c r="C339" s="2"/>
      <c r="D339" s="2"/>
      <c r="E339" s="2">
        <v>0</v>
      </c>
      <c r="F339" s="2">
        <v>1253078.68</v>
      </c>
    </row>
    <row r="340" spans="1:6" x14ac:dyDescent="0.3">
      <c r="A340" s="6" t="s">
        <v>441</v>
      </c>
      <c r="B340" s="2" t="s">
        <v>435</v>
      </c>
      <c r="C340" s="2"/>
      <c r="D340" s="2"/>
      <c r="E340" s="2">
        <v>8245355.9500000002</v>
      </c>
      <c r="F340" s="2">
        <v>0</v>
      </c>
    </row>
    <row r="341" spans="1:6" x14ac:dyDescent="0.3">
      <c r="A341" s="6" t="s">
        <v>442</v>
      </c>
      <c r="B341" s="2" t="s">
        <v>387</v>
      </c>
      <c r="C341" s="2"/>
      <c r="D341" s="2"/>
      <c r="E341" s="2">
        <v>0</v>
      </c>
      <c r="F341" s="2">
        <v>8245355.9500000002</v>
      </c>
    </row>
    <row r="342" spans="1:6" x14ac:dyDescent="0.3">
      <c r="A342" s="6" t="s">
        <v>443</v>
      </c>
      <c r="B342" s="2" t="s">
        <v>381</v>
      </c>
      <c r="C342" s="2"/>
      <c r="D342" s="2"/>
      <c r="E342" s="2">
        <v>8214089.9400000004</v>
      </c>
      <c r="F342" s="2">
        <v>0</v>
      </c>
    </row>
    <row r="343" spans="1:6" x14ac:dyDescent="0.3">
      <c r="A343" s="6" t="s">
        <v>444</v>
      </c>
      <c r="B343" s="2" t="s">
        <v>387</v>
      </c>
      <c r="C343" s="2"/>
      <c r="D343" s="2"/>
      <c r="E343" s="2">
        <v>0</v>
      </c>
      <c r="F343" s="2">
        <v>3008910.99</v>
      </c>
    </row>
    <row r="344" spans="1:6" x14ac:dyDescent="0.3">
      <c r="A344" s="6" t="s">
        <v>445</v>
      </c>
      <c r="B344" s="2" t="s">
        <v>446</v>
      </c>
      <c r="C344" s="2"/>
      <c r="D344" s="2"/>
      <c r="E344" s="2">
        <v>2405420.04</v>
      </c>
      <c r="F344" s="2">
        <v>0</v>
      </c>
    </row>
    <row r="345" spans="1:6" x14ac:dyDescent="0.3">
      <c r="A345" s="6" t="s">
        <v>447</v>
      </c>
      <c r="B345" s="2" t="s">
        <v>448</v>
      </c>
      <c r="C345" s="2"/>
      <c r="D345" s="2"/>
      <c r="E345" s="2">
        <v>11100746.49</v>
      </c>
      <c r="F345" s="2">
        <v>0</v>
      </c>
    </row>
    <row r="346" spans="1:6" x14ac:dyDescent="0.3">
      <c r="A346" s="6" t="s">
        <v>449</v>
      </c>
      <c r="B346" s="2" t="s">
        <v>450</v>
      </c>
      <c r="C346" s="2"/>
      <c r="D346" s="2"/>
      <c r="E346" s="2">
        <v>352670.88</v>
      </c>
      <c r="F346" s="2">
        <v>0</v>
      </c>
    </row>
    <row r="347" spans="1:6" x14ac:dyDescent="0.3">
      <c r="A347" s="6" t="s">
        <v>451</v>
      </c>
      <c r="B347" s="2" t="s">
        <v>452</v>
      </c>
      <c r="C347" s="2"/>
      <c r="D347" s="2"/>
      <c r="E347" s="2">
        <v>14834025.57</v>
      </c>
      <c r="F347" s="2">
        <v>0</v>
      </c>
    </row>
    <row r="348" spans="1:6" x14ac:dyDescent="0.3">
      <c r="A348" s="6" t="s">
        <v>453</v>
      </c>
      <c r="B348" s="2" t="s">
        <v>454</v>
      </c>
      <c r="C348" s="2"/>
      <c r="D348" s="2"/>
      <c r="E348" s="2">
        <v>314869.28000000003</v>
      </c>
      <c r="F348" s="2">
        <v>0</v>
      </c>
    </row>
    <row r="349" spans="1:6" x14ac:dyDescent="0.3">
      <c r="A349" s="6" t="s">
        <v>455</v>
      </c>
      <c r="B349" s="2" t="s">
        <v>456</v>
      </c>
      <c r="C349" s="2"/>
      <c r="D349" s="2"/>
      <c r="E349" s="2">
        <v>33333.4</v>
      </c>
      <c r="F349" s="2">
        <v>0</v>
      </c>
    </row>
    <row r="350" spans="1:6" x14ac:dyDescent="0.3">
      <c r="A350" s="6" t="s">
        <v>457</v>
      </c>
      <c r="B350" s="2" t="s">
        <v>458</v>
      </c>
      <c r="C350" s="2"/>
      <c r="D350" s="2"/>
      <c r="E350" s="2">
        <v>2696955.92</v>
      </c>
      <c r="F350" s="2">
        <v>0</v>
      </c>
    </row>
    <row r="351" spans="1:6" x14ac:dyDescent="0.3">
      <c r="A351" s="6" t="s">
        <v>459</v>
      </c>
      <c r="B351" s="2" t="s">
        <v>446</v>
      </c>
      <c r="C351" s="2"/>
      <c r="D351" s="2"/>
      <c r="E351" s="2">
        <v>6844291.1200000001</v>
      </c>
      <c r="F351" s="2">
        <v>0</v>
      </c>
    </row>
    <row r="352" spans="1:6" x14ac:dyDescent="0.3">
      <c r="A352" s="6" t="s">
        <v>460</v>
      </c>
      <c r="B352" s="2" t="s">
        <v>461</v>
      </c>
      <c r="C352" s="2"/>
      <c r="D352" s="2"/>
      <c r="E352" s="2">
        <v>6059.88</v>
      </c>
      <c r="F352" s="2">
        <v>0</v>
      </c>
    </row>
    <row r="353" spans="1:6" x14ac:dyDescent="0.3">
      <c r="A353" s="6" t="s">
        <v>462</v>
      </c>
      <c r="B353" s="2" t="s">
        <v>463</v>
      </c>
      <c r="C353" s="2"/>
      <c r="D353" s="2"/>
      <c r="E353" s="2">
        <v>354119.91</v>
      </c>
      <c r="F353" s="2">
        <v>0</v>
      </c>
    </row>
    <row r="354" spans="1:6" x14ac:dyDescent="0.3">
      <c r="A354" s="6" t="s">
        <v>464</v>
      </c>
      <c r="B354" s="2" t="s">
        <v>465</v>
      </c>
      <c r="C354" s="2"/>
      <c r="D354" s="2"/>
      <c r="E354" s="2">
        <v>603141.99</v>
      </c>
      <c r="F354" s="2">
        <v>0</v>
      </c>
    </row>
    <row r="355" spans="1:6" x14ac:dyDescent="0.3">
      <c r="A355" s="6" t="s">
        <v>466</v>
      </c>
      <c r="B355" s="2" t="s">
        <v>467</v>
      </c>
      <c r="C355" s="2"/>
      <c r="D355" s="2"/>
      <c r="E355" s="2">
        <v>123969088.7</v>
      </c>
      <c r="F355" s="2">
        <v>0</v>
      </c>
    </row>
    <row r="356" spans="1:6" x14ac:dyDescent="0.3">
      <c r="A356" s="6" t="s">
        <v>468</v>
      </c>
      <c r="B356" s="2" t="s">
        <v>469</v>
      </c>
      <c r="C356" s="2"/>
      <c r="D356" s="2"/>
      <c r="E356" s="2">
        <v>0</v>
      </c>
      <c r="F356" s="2">
        <v>0</v>
      </c>
    </row>
    <row r="357" spans="1:6" x14ac:dyDescent="0.3">
      <c r="A357" s="6" t="s">
        <v>470</v>
      </c>
      <c r="B357" s="2" t="s">
        <v>471</v>
      </c>
      <c r="C357" s="2"/>
      <c r="D357" s="2"/>
      <c r="E357" s="2">
        <v>0</v>
      </c>
      <c r="F357" s="2">
        <v>0</v>
      </c>
    </row>
    <row r="358" spans="1:6" x14ac:dyDescent="0.3">
      <c r="A358" s="6" t="s">
        <v>472</v>
      </c>
      <c r="B358" s="2" t="s">
        <v>473</v>
      </c>
      <c r="C358" s="2"/>
      <c r="D358" s="2"/>
      <c r="E358" s="2">
        <v>0</v>
      </c>
      <c r="F358" s="2">
        <v>0</v>
      </c>
    </row>
    <row r="359" spans="1:6" x14ac:dyDescent="0.3">
      <c r="A359" s="6" t="s">
        <v>474</v>
      </c>
      <c r="B359" s="2" t="s">
        <v>475</v>
      </c>
      <c r="C359" s="2"/>
      <c r="D359" s="2"/>
      <c r="E359" s="2">
        <v>0</v>
      </c>
      <c r="F359" s="2">
        <v>1289815829.1099999</v>
      </c>
    </row>
    <row r="360" spans="1:6" x14ac:dyDescent="0.3">
      <c r="A360" s="6" t="s">
        <v>476</v>
      </c>
      <c r="B360" s="2" t="s">
        <v>477</v>
      </c>
      <c r="C360" s="2"/>
      <c r="D360" s="2"/>
      <c r="E360" s="2">
        <v>1339437768.48</v>
      </c>
      <c r="F360" s="2">
        <v>0</v>
      </c>
    </row>
    <row r="361" spans="1:6" x14ac:dyDescent="0.3">
      <c r="A361" s="6" t="s">
        <v>478</v>
      </c>
      <c r="B361" s="2" t="s">
        <v>479</v>
      </c>
      <c r="C361" s="2"/>
      <c r="D361" s="2"/>
      <c r="E361" s="2">
        <v>335169483.55000001</v>
      </c>
      <c r="F361" s="2">
        <v>0</v>
      </c>
    </row>
    <row r="362" spans="1:6" x14ac:dyDescent="0.3">
      <c r="A362" s="6" t="s">
        <v>480</v>
      </c>
      <c r="B362" s="2" t="s">
        <v>77</v>
      </c>
      <c r="C362" s="2"/>
      <c r="D362" s="2"/>
      <c r="E362" s="2">
        <v>0</v>
      </c>
      <c r="F362" s="2">
        <v>161486585.30000001</v>
      </c>
    </row>
    <row r="363" spans="1:6" x14ac:dyDescent="0.3">
      <c r="A363" s="6" t="s">
        <v>481</v>
      </c>
      <c r="B363" s="2" t="s">
        <v>79</v>
      </c>
      <c r="C363" s="2"/>
      <c r="D363" s="2"/>
      <c r="E363" s="2">
        <v>0</v>
      </c>
      <c r="F363" s="2">
        <v>930188.75</v>
      </c>
    </row>
    <row r="364" spans="1:6" x14ac:dyDescent="0.3">
      <c r="A364" s="6" t="s">
        <v>482</v>
      </c>
      <c r="B364" s="2" t="s">
        <v>77</v>
      </c>
      <c r="C364" s="2"/>
      <c r="D364" s="2"/>
      <c r="E364" s="2">
        <v>0</v>
      </c>
      <c r="F364" s="2">
        <v>570259266.67999995</v>
      </c>
    </row>
    <row r="365" spans="1:6" x14ac:dyDescent="0.3">
      <c r="A365" s="6" t="s">
        <v>483</v>
      </c>
      <c r="B365" s="2" t="s">
        <v>82</v>
      </c>
      <c r="C365" s="2"/>
      <c r="D365" s="2"/>
      <c r="E365" s="2">
        <v>0</v>
      </c>
      <c r="F365" s="2">
        <v>0</v>
      </c>
    </row>
    <row r="366" spans="1:6" x14ac:dyDescent="0.3">
      <c r="A366" s="6" t="s">
        <v>484</v>
      </c>
      <c r="B366" s="2" t="s">
        <v>79</v>
      </c>
      <c r="C366" s="2"/>
      <c r="D366" s="2"/>
      <c r="E366" s="2">
        <v>0</v>
      </c>
      <c r="F366" s="2">
        <v>5314.25</v>
      </c>
    </row>
    <row r="367" spans="1:6" x14ac:dyDescent="0.3">
      <c r="A367" s="6" t="s">
        <v>485</v>
      </c>
      <c r="B367" s="2" t="s">
        <v>77</v>
      </c>
      <c r="C367" s="2"/>
      <c r="D367" s="2"/>
      <c r="E367" s="2">
        <v>0</v>
      </c>
      <c r="F367" s="2">
        <v>7845207.5800000001</v>
      </c>
    </row>
    <row r="368" spans="1:6" x14ac:dyDescent="0.3">
      <c r="A368" s="6" t="s">
        <v>486</v>
      </c>
      <c r="B368" s="2" t="s">
        <v>79</v>
      </c>
      <c r="C368" s="2"/>
      <c r="D368" s="2"/>
      <c r="E368" s="2">
        <v>0</v>
      </c>
      <c r="F368" s="2">
        <v>1682236.04</v>
      </c>
    </row>
    <row r="369" spans="1:6" x14ac:dyDescent="0.3">
      <c r="A369" s="6" t="s">
        <v>487</v>
      </c>
      <c r="B369" s="2" t="s">
        <v>77</v>
      </c>
      <c r="C369" s="2"/>
      <c r="D369" s="2"/>
      <c r="E369" s="2">
        <v>0</v>
      </c>
      <c r="F369" s="2">
        <v>32268474.129999999</v>
      </c>
    </row>
    <row r="370" spans="1:6" x14ac:dyDescent="0.3">
      <c r="A370" s="6" t="s">
        <v>488</v>
      </c>
      <c r="B370" s="2" t="s">
        <v>79</v>
      </c>
      <c r="C370" s="2"/>
      <c r="D370" s="2"/>
      <c r="E370" s="2">
        <v>0</v>
      </c>
      <c r="F370" s="2">
        <v>0</v>
      </c>
    </row>
    <row r="371" spans="1:6" x14ac:dyDescent="0.3">
      <c r="A371" s="6" t="s">
        <v>489</v>
      </c>
      <c r="B371" s="2" t="s">
        <v>77</v>
      </c>
      <c r="C371" s="2"/>
      <c r="D371" s="2"/>
      <c r="E371" s="2">
        <v>0</v>
      </c>
      <c r="F371" s="2">
        <v>0</v>
      </c>
    </row>
    <row r="372" spans="1:6" x14ac:dyDescent="0.3">
      <c r="A372" s="6" t="s">
        <v>490</v>
      </c>
      <c r="B372" s="2" t="s">
        <v>77</v>
      </c>
      <c r="C372" s="2"/>
      <c r="D372" s="2"/>
      <c r="E372" s="2">
        <v>0</v>
      </c>
      <c r="F372" s="2">
        <v>5691964.3399999999</v>
      </c>
    </row>
    <row r="373" spans="1:6" x14ac:dyDescent="0.3">
      <c r="A373" s="6" t="s">
        <v>491</v>
      </c>
      <c r="B373" s="2" t="s">
        <v>79</v>
      </c>
      <c r="C373" s="2"/>
      <c r="D373" s="2"/>
      <c r="E373" s="2">
        <v>0</v>
      </c>
      <c r="F373" s="2">
        <v>323883.86</v>
      </c>
    </row>
    <row r="374" spans="1:6" x14ac:dyDescent="0.3">
      <c r="A374" s="6" t="s">
        <v>492</v>
      </c>
      <c r="B374" s="2" t="s">
        <v>91</v>
      </c>
      <c r="C374" s="2"/>
      <c r="D374" s="2"/>
      <c r="E374" s="2">
        <v>0</v>
      </c>
      <c r="F374" s="2">
        <v>3355687.25</v>
      </c>
    </row>
    <row r="375" spans="1:6" x14ac:dyDescent="0.3">
      <c r="A375" s="6" t="s">
        <v>493</v>
      </c>
      <c r="B375" s="2" t="s">
        <v>77</v>
      </c>
      <c r="C375" s="2"/>
      <c r="D375" s="2"/>
      <c r="E375" s="2">
        <v>0</v>
      </c>
      <c r="F375" s="2">
        <v>2289783.41</v>
      </c>
    </row>
    <row r="376" spans="1:6" x14ac:dyDescent="0.3">
      <c r="A376" s="6" t="s">
        <v>494</v>
      </c>
      <c r="B376" s="2" t="s">
        <v>79</v>
      </c>
      <c r="C376" s="2"/>
      <c r="D376" s="2"/>
      <c r="E376" s="2">
        <v>0</v>
      </c>
      <c r="F376" s="2">
        <v>368066.61</v>
      </c>
    </row>
    <row r="377" spans="1:6" x14ac:dyDescent="0.3">
      <c r="A377" s="6" t="s">
        <v>495</v>
      </c>
      <c r="B377" s="2" t="s">
        <v>91</v>
      </c>
      <c r="C377" s="2"/>
      <c r="D377" s="2"/>
      <c r="E377" s="2">
        <v>0</v>
      </c>
      <c r="F377" s="2">
        <v>484773.61</v>
      </c>
    </row>
    <row r="378" spans="1:6" x14ac:dyDescent="0.3">
      <c r="A378" s="6" t="s">
        <v>496</v>
      </c>
      <c r="B378" s="2" t="s">
        <v>91</v>
      </c>
      <c r="C378" s="2"/>
      <c r="D378" s="2"/>
      <c r="E378" s="2">
        <v>0</v>
      </c>
      <c r="F378" s="2">
        <v>10176.18</v>
      </c>
    </row>
    <row r="379" spans="1:6" x14ac:dyDescent="0.3">
      <c r="A379" s="6" t="s">
        <v>497</v>
      </c>
      <c r="B379" s="2" t="s">
        <v>72</v>
      </c>
      <c r="C379" s="2"/>
      <c r="D379" s="2"/>
      <c r="E379" s="2">
        <v>0</v>
      </c>
      <c r="F379" s="2">
        <v>3889726537.25</v>
      </c>
    </row>
    <row r="380" spans="1:6" x14ac:dyDescent="0.3">
      <c r="A380" s="6" t="s">
        <v>498</v>
      </c>
      <c r="B380" s="2" t="s">
        <v>499</v>
      </c>
      <c r="C380" s="2"/>
      <c r="D380" s="2"/>
      <c r="E380" s="2">
        <v>0</v>
      </c>
      <c r="F380" s="2">
        <v>11052542.789999999</v>
      </c>
    </row>
    <row r="381" spans="1:6" x14ac:dyDescent="0.3">
      <c r="A381" s="6" t="s">
        <v>500</v>
      </c>
      <c r="B381" s="2" t="s">
        <v>72</v>
      </c>
      <c r="C381" s="2"/>
      <c r="D381" s="2"/>
      <c r="E381" s="2">
        <v>0</v>
      </c>
      <c r="F381" s="2">
        <v>304942896.93000001</v>
      </c>
    </row>
    <row r="382" spans="1:6" x14ac:dyDescent="0.3">
      <c r="A382" s="6" t="s">
        <v>501</v>
      </c>
      <c r="B382" s="2" t="s">
        <v>499</v>
      </c>
      <c r="C382" s="2"/>
      <c r="D382" s="2"/>
      <c r="E382" s="2">
        <v>0</v>
      </c>
      <c r="F382" s="2">
        <v>8025.45</v>
      </c>
    </row>
    <row r="383" spans="1:6" x14ac:dyDescent="0.3">
      <c r="A383" s="6" t="s">
        <v>502</v>
      </c>
      <c r="B383" s="2" t="s">
        <v>72</v>
      </c>
      <c r="C383" s="2"/>
      <c r="D383" s="2"/>
      <c r="E383" s="2">
        <v>0</v>
      </c>
      <c r="F383" s="2">
        <v>13232506.27</v>
      </c>
    </row>
    <row r="384" spans="1:6" x14ac:dyDescent="0.3">
      <c r="A384" s="6" t="s">
        <v>503</v>
      </c>
      <c r="B384" s="2" t="s">
        <v>499</v>
      </c>
      <c r="C384" s="2"/>
      <c r="D384" s="2"/>
      <c r="E384" s="2">
        <v>0</v>
      </c>
      <c r="F384" s="2">
        <v>86784.56</v>
      </c>
    </row>
    <row r="385" spans="1:6" x14ac:dyDescent="0.3">
      <c r="A385" s="6" t="s">
        <v>504</v>
      </c>
      <c r="B385" s="2" t="s">
        <v>72</v>
      </c>
      <c r="C385" s="2"/>
      <c r="D385" s="2"/>
      <c r="E385" s="2">
        <v>0</v>
      </c>
      <c r="F385" s="2">
        <v>4013223839.5100002</v>
      </c>
    </row>
    <row r="386" spans="1:6" x14ac:dyDescent="0.3">
      <c r="A386" s="6" t="s">
        <v>505</v>
      </c>
      <c r="B386" s="2" t="s">
        <v>499</v>
      </c>
      <c r="C386" s="2"/>
      <c r="D386" s="2"/>
      <c r="E386" s="2">
        <v>0</v>
      </c>
      <c r="F386" s="2">
        <v>58247135.579999998</v>
      </c>
    </row>
    <row r="387" spans="1:6" x14ac:dyDescent="0.3">
      <c r="A387" s="6" t="s">
        <v>506</v>
      </c>
      <c r="B387" s="2" t="s">
        <v>507</v>
      </c>
      <c r="C387" s="2"/>
      <c r="D387" s="2"/>
      <c r="E387" s="2">
        <v>37168674.979999997</v>
      </c>
      <c r="F387" s="2">
        <v>0</v>
      </c>
    </row>
    <row r="388" spans="1:6" x14ac:dyDescent="0.3">
      <c r="A388" s="6" t="s">
        <v>508</v>
      </c>
      <c r="B388" s="2" t="s">
        <v>72</v>
      </c>
      <c r="C388" s="2"/>
      <c r="D388" s="2"/>
      <c r="E388" s="2">
        <v>0</v>
      </c>
      <c r="F388" s="2">
        <v>1179510142.3199999</v>
      </c>
    </row>
    <row r="389" spans="1:6" x14ac:dyDescent="0.3">
      <c r="A389" s="6" t="s">
        <v>509</v>
      </c>
      <c r="B389" s="2" t="s">
        <v>499</v>
      </c>
      <c r="C389" s="2"/>
      <c r="D389" s="2"/>
      <c r="E389" s="2">
        <v>0</v>
      </c>
      <c r="F389" s="2">
        <v>405894.9</v>
      </c>
    </row>
    <row r="390" spans="1:6" x14ac:dyDescent="0.3">
      <c r="A390" s="6" t="s">
        <v>510</v>
      </c>
      <c r="B390" s="2" t="s">
        <v>72</v>
      </c>
      <c r="C390" s="2"/>
      <c r="D390" s="2"/>
      <c r="E390" s="2">
        <v>0</v>
      </c>
      <c r="F390" s="2">
        <v>231684668.86000001</v>
      </c>
    </row>
    <row r="391" spans="1:6" x14ac:dyDescent="0.3">
      <c r="A391" s="6" t="s">
        <v>511</v>
      </c>
      <c r="B391" s="2" t="s">
        <v>499</v>
      </c>
      <c r="C391" s="2"/>
      <c r="D391" s="2"/>
      <c r="E391" s="2">
        <v>0</v>
      </c>
      <c r="F391" s="2">
        <v>1152124.71</v>
      </c>
    </row>
    <row r="392" spans="1:6" x14ac:dyDescent="0.3">
      <c r="A392" s="6" t="s">
        <v>512</v>
      </c>
      <c r="B392" s="2" t="s">
        <v>72</v>
      </c>
      <c r="C392" s="2"/>
      <c r="D392" s="2"/>
      <c r="E392" s="2">
        <v>0</v>
      </c>
      <c r="F392" s="2">
        <v>1049787.07</v>
      </c>
    </row>
    <row r="393" spans="1:6" x14ac:dyDescent="0.3">
      <c r="A393" s="6" t="s">
        <v>513</v>
      </c>
      <c r="B393" s="2" t="s">
        <v>72</v>
      </c>
      <c r="C393" s="2"/>
      <c r="D393" s="2"/>
      <c r="E393" s="2">
        <v>0</v>
      </c>
      <c r="F393" s="2">
        <v>1286175936.6500001</v>
      </c>
    </row>
    <row r="394" spans="1:6" x14ac:dyDescent="0.3">
      <c r="A394" s="6" t="s">
        <v>514</v>
      </c>
      <c r="B394" s="2" t="s">
        <v>74</v>
      </c>
      <c r="C394" s="2"/>
      <c r="D394" s="2"/>
      <c r="E394" s="2">
        <v>0.01</v>
      </c>
      <c r="F394" s="2">
        <v>0</v>
      </c>
    </row>
    <row r="395" spans="1:6" x14ac:dyDescent="0.3">
      <c r="A395" s="6" t="s">
        <v>515</v>
      </c>
      <c r="B395" s="2" t="s">
        <v>499</v>
      </c>
      <c r="C395" s="2"/>
      <c r="D395" s="2"/>
      <c r="E395" s="2">
        <v>0</v>
      </c>
      <c r="F395" s="2">
        <v>714194.72</v>
      </c>
    </row>
    <row r="396" spans="1:6" x14ac:dyDescent="0.3">
      <c r="A396" s="6" t="s">
        <v>516</v>
      </c>
      <c r="B396" s="2" t="s">
        <v>72</v>
      </c>
      <c r="C396" s="2"/>
      <c r="D396" s="2"/>
      <c r="E396" s="2">
        <v>0</v>
      </c>
      <c r="F396" s="2">
        <v>417745573.81999999</v>
      </c>
    </row>
    <row r="397" spans="1:6" x14ac:dyDescent="0.3">
      <c r="A397" s="6" t="s">
        <v>517</v>
      </c>
      <c r="B397" s="2" t="s">
        <v>74</v>
      </c>
      <c r="C397" s="2"/>
      <c r="D397" s="2"/>
      <c r="E397" s="2">
        <v>0</v>
      </c>
      <c r="F397" s="2">
        <v>0.01</v>
      </c>
    </row>
    <row r="398" spans="1:6" x14ac:dyDescent="0.3">
      <c r="A398" s="6" t="s">
        <v>518</v>
      </c>
      <c r="B398" s="2" t="s">
        <v>499</v>
      </c>
      <c r="C398" s="2"/>
      <c r="D398" s="2"/>
      <c r="E398" s="2">
        <v>0</v>
      </c>
      <c r="F398" s="2">
        <v>1460596.28</v>
      </c>
    </row>
    <row r="399" spans="1:6" x14ac:dyDescent="0.3">
      <c r="A399" s="6" t="s">
        <v>519</v>
      </c>
      <c r="B399" s="2" t="s">
        <v>72</v>
      </c>
      <c r="C399" s="2"/>
      <c r="D399" s="2"/>
      <c r="E399" s="2">
        <v>0</v>
      </c>
      <c r="F399" s="2">
        <v>15000000</v>
      </c>
    </row>
    <row r="400" spans="1:6" x14ac:dyDescent="0.3">
      <c r="A400" s="6" t="s">
        <v>520</v>
      </c>
      <c r="B400" s="2" t="s">
        <v>72</v>
      </c>
      <c r="C400" s="2"/>
      <c r="D400" s="2"/>
      <c r="E400" s="2">
        <v>0</v>
      </c>
      <c r="F400" s="2">
        <v>22503.119999999999</v>
      </c>
    </row>
    <row r="401" spans="1:6" x14ac:dyDescent="0.3">
      <c r="A401" s="6" t="s">
        <v>521</v>
      </c>
      <c r="B401" s="2" t="s">
        <v>499</v>
      </c>
      <c r="C401" s="2"/>
      <c r="D401" s="2"/>
      <c r="E401" s="2">
        <v>0</v>
      </c>
      <c r="F401" s="2">
        <v>2.23</v>
      </c>
    </row>
    <row r="402" spans="1:6" x14ac:dyDescent="0.3">
      <c r="A402" s="6" t="s">
        <v>522</v>
      </c>
      <c r="B402" s="2" t="s">
        <v>72</v>
      </c>
      <c r="C402" s="2"/>
      <c r="D402" s="2"/>
      <c r="E402" s="2">
        <v>0</v>
      </c>
      <c r="F402" s="2">
        <v>938137.93</v>
      </c>
    </row>
    <row r="403" spans="1:6" x14ac:dyDescent="0.3">
      <c r="A403" s="6" t="s">
        <v>523</v>
      </c>
      <c r="B403" s="2" t="s">
        <v>72</v>
      </c>
      <c r="C403" s="2"/>
      <c r="D403" s="2"/>
      <c r="E403" s="2">
        <v>0</v>
      </c>
      <c r="F403" s="2">
        <v>8560912894.6499996</v>
      </c>
    </row>
    <row r="404" spans="1:6" x14ac:dyDescent="0.3">
      <c r="A404" s="6" t="s">
        <v>524</v>
      </c>
      <c r="B404" s="2" t="s">
        <v>499</v>
      </c>
      <c r="C404" s="2"/>
      <c r="D404" s="2"/>
      <c r="E404" s="2">
        <v>0</v>
      </c>
      <c r="F404" s="2">
        <v>486711.2</v>
      </c>
    </row>
    <row r="405" spans="1:6" x14ac:dyDescent="0.3">
      <c r="A405" s="6" t="s">
        <v>525</v>
      </c>
      <c r="B405" s="2" t="s">
        <v>72</v>
      </c>
      <c r="C405" s="2"/>
      <c r="D405" s="2"/>
      <c r="E405" s="2">
        <v>0</v>
      </c>
      <c r="F405" s="2">
        <v>3483765735.5999999</v>
      </c>
    </row>
    <row r="406" spans="1:6" x14ac:dyDescent="0.3">
      <c r="A406" s="6" t="s">
        <v>526</v>
      </c>
      <c r="B406" s="2" t="s">
        <v>499</v>
      </c>
      <c r="C406" s="2"/>
      <c r="D406" s="2"/>
      <c r="E406" s="2">
        <v>0</v>
      </c>
      <c r="F406" s="2">
        <v>12457356.57</v>
      </c>
    </row>
    <row r="407" spans="1:6" x14ac:dyDescent="0.3">
      <c r="A407" s="6" t="s">
        <v>527</v>
      </c>
      <c r="B407" s="2" t="s">
        <v>72</v>
      </c>
      <c r="C407" s="2"/>
      <c r="D407" s="2"/>
      <c r="E407" s="2">
        <v>0</v>
      </c>
      <c r="F407" s="2">
        <v>2329790</v>
      </c>
    </row>
    <row r="408" spans="1:6" x14ac:dyDescent="0.3">
      <c r="A408" s="6" t="s">
        <v>528</v>
      </c>
      <c r="B408" s="2" t="s">
        <v>499</v>
      </c>
      <c r="C408" s="2"/>
      <c r="D408" s="2"/>
      <c r="E408" s="2">
        <v>0</v>
      </c>
      <c r="F408" s="2">
        <v>132.22999999999999</v>
      </c>
    </row>
    <row r="409" spans="1:6" x14ac:dyDescent="0.3">
      <c r="A409" s="6" t="s">
        <v>529</v>
      </c>
      <c r="B409" s="2" t="s">
        <v>72</v>
      </c>
      <c r="C409" s="2"/>
      <c r="D409" s="2"/>
      <c r="E409" s="2">
        <v>0</v>
      </c>
      <c r="F409" s="2">
        <v>54107224.93</v>
      </c>
    </row>
    <row r="410" spans="1:6" x14ac:dyDescent="0.3">
      <c r="A410" s="6" t="s">
        <v>530</v>
      </c>
      <c r="B410" s="2" t="s">
        <v>72</v>
      </c>
      <c r="C410" s="2"/>
      <c r="D410" s="2"/>
      <c r="E410" s="2">
        <v>0</v>
      </c>
      <c r="F410" s="2">
        <v>12885666011.879999</v>
      </c>
    </row>
    <row r="411" spans="1:6" x14ac:dyDescent="0.3">
      <c r="A411" s="6" t="s">
        <v>531</v>
      </c>
      <c r="B411" s="2" t="s">
        <v>499</v>
      </c>
      <c r="C411" s="2"/>
      <c r="D411" s="2"/>
      <c r="E411" s="2">
        <v>0</v>
      </c>
      <c r="F411" s="2">
        <v>74123.490000000005</v>
      </c>
    </row>
    <row r="412" spans="1:6" x14ac:dyDescent="0.3">
      <c r="A412" s="6" t="s">
        <v>532</v>
      </c>
      <c r="B412" s="2" t="s">
        <v>507</v>
      </c>
      <c r="C412" s="2"/>
      <c r="D412" s="2"/>
      <c r="E412" s="2">
        <v>5719976.5300000003</v>
      </c>
      <c r="F412" s="2">
        <v>0</v>
      </c>
    </row>
    <row r="413" spans="1:6" x14ac:dyDescent="0.3">
      <c r="A413" s="6" t="s">
        <v>533</v>
      </c>
      <c r="B413" s="2" t="s">
        <v>72</v>
      </c>
      <c r="C413" s="2"/>
      <c r="D413" s="2"/>
      <c r="E413" s="2">
        <v>0</v>
      </c>
      <c r="F413" s="2">
        <v>11464102556.68</v>
      </c>
    </row>
    <row r="414" spans="1:6" x14ac:dyDescent="0.3">
      <c r="A414" s="6" t="s">
        <v>534</v>
      </c>
      <c r="B414" s="2" t="s">
        <v>499</v>
      </c>
      <c r="C414" s="2"/>
      <c r="D414" s="2"/>
      <c r="E414" s="2">
        <v>0</v>
      </c>
      <c r="F414" s="2">
        <v>32463639.640000001</v>
      </c>
    </row>
    <row r="415" spans="1:6" x14ac:dyDescent="0.3">
      <c r="A415" s="6" t="s">
        <v>535</v>
      </c>
      <c r="B415" s="2" t="s">
        <v>536</v>
      </c>
      <c r="C415" s="2"/>
      <c r="D415" s="2"/>
      <c r="E415" s="2">
        <v>0</v>
      </c>
      <c r="F415" s="2">
        <v>31.96</v>
      </c>
    </row>
    <row r="416" spans="1:6" x14ac:dyDescent="0.3">
      <c r="A416" s="6" t="s">
        <v>537</v>
      </c>
      <c r="B416" s="2" t="s">
        <v>72</v>
      </c>
      <c r="C416" s="2"/>
      <c r="D416" s="2"/>
      <c r="E416" s="2">
        <v>0</v>
      </c>
      <c r="F416" s="2">
        <v>136661531.75999999</v>
      </c>
    </row>
    <row r="417" spans="1:6" x14ac:dyDescent="0.3">
      <c r="A417" s="6" t="s">
        <v>538</v>
      </c>
      <c r="B417" s="2" t="s">
        <v>499</v>
      </c>
      <c r="C417" s="2"/>
      <c r="D417" s="2"/>
      <c r="E417" s="2">
        <v>0</v>
      </c>
      <c r="F417" s="2">
        <v>6069.24</v>
      </c>
    </row>
    <row r="418" spans="1:6" x14ac:dyDescent="0.3">
      <c r="A418" s="6" t="s">
        <v>539</v>
      </c>
      <c r="B418" s="2" t="s">
        <v>507</v>
      </c>
      <c r="C418" s="2"/>
      <c r="D418" s="2"/>
      <c r="E418" s="2">
        <v>411822.71</v>
      </c>
      <c r="F418" s="2">
        <v>0</v>
      </c>
    </row>
    <row r="419" spans="1:6" x14ac:dyDescent="0.3">
      <c r="A419" s="6" t="s">
        <v>540</v>
      </c>
      <c r="B419" s="2" t="s">
        <v>72</v>
      </c>
      <c r="C419" s="2"/>
      <c r="D419" s="2"/>
      <c r="E419" s="2">
        <v>0</v>
      </c>
      <c r="F419" s="2">
        <v>2159700</v>
      </c>
    </row>
    <row r="420" spans="1:6" x14ac:dyDescent="0.3">
      <c r="A420" s="6" t="s">
        <v>541</v>
      </c>
      <c r="B420" s="2" t="s">
        <v>499</v>
      </c>
      <c r="C420" s="2"/>
      <c r="D420" s="2"/>
      <c r="E420" s="2">
        <v>0</v>
      </c>
      <c r="F420" s="2">
        <v>21771.24</v>
      </c>
    </row>
    <row r="421" spans="1:6" x14ac:dyDescent="0.3">
      <c r="A421" s="6" t="s">
        <v>542</v>
      </c>
      <c r="B421" s="2" t="s">
        <v>72</v>
      </c>
      <c r="C421" s="2"/>
      <c r="D421" s="2"/>
      <c r="E421" s="2">
        <v>0</v>
      </c>
      <c r="F421" s="2">
        <v>5287881.26</v>
      </c>
    </row>
    <row r="422" spans="1:6" x14ac:dyDescent="0.3">
      <c r="A422" s="6" t="s">
        <v>543</v>
      </c>
      <c r="B422" s="2" t="s">
        <v>72</v>
      </c>
      <c r="C422" s="2"/>
      <c r="D422" s="2"/>
      <c r="E422" s="2">
        <v>0</v>
      </c>
      <c r="F422" s="2">
        <v>11981400000</v>
      </c>
    </row>
    <row r="423" spans="1:6" x14ac:dyDescent="0.3">
      <c r="A423" s="6" t="s">
        <v>544</v>
      </c>
      <c r="B423" s="2" t="s">
        <v>499</v>
      </c>
      <c r="C423" s="2"/>
      <c r="D423" s="2"/>
      <c r="E423" s="2">
        <v>0</v>
      </c>
      <c r="F423" s="2">
        <v>66382379.420000002</v>
      </c>
    </row>
    <row r="424" spans="1:6" x14ac:dyDescent="0.3">
      <c r="A424" s="6" t="s">
        <v>545</v>
      </c>
      <c r="B424" s="2" t="s">
        <v>546</v>
      </c>
      <c r="C424" s="2"/>
      <c r="D424" s="2"/>
      <c r="E424" s="2">
        <v>20123274.120000001</v>
      </c>
      <c r="F424" s="2">
        <v>0</v>
      </c>
    </row>
    <row r="425" spans="1:6" x14ac:dyDescent="0.3">
      <c r="A425" s="6" t="s">
        <v>547</v>
      </c>
      <c r="B425" s="2" t="s">
        <v>548</v>
      </c>
      <c r="C425" s="2"/>
      <c r="D425" s="2"/>
      <c r="E425" s="2">
        <v>0</v>
      </c>
      <c r="F425" s="2">
        <v>17982788.890000001</v>
      </c>
    </row>
    <row r="426" spans="1:6" x14ac:dyDescent="0.3">
      <c r="A426" s="6" t="s">
        <v>549</v>
      </c>
      <c r="B426" s="2" t="s">
        <v>72</v>
      </c>
      <c r="C426" s="2"/>
      <c r="D426" s="2"/>
      <c r="E426" s="2">
        <v>0</v>
      </c>
      <c r="F426" s="2">
        <v>322913421.52999997</v>
      </c>
    </row>
    <row r="427" spans="1:6" x14ac:dyDescent="0.3">
      <c r="A427" s="6" t="s">
        <v>550</v>
      </c>
      <c r="B427" s="2" t="s">
        <v>499</v>
      </c>
      <c r="C427" s="2"/>
      <c r="D427" s="2"/>
      <c r="E427" s="2">
        <v>0</v>
      </c>
      <c r="F427" s="2">
        <v>2596992.65</v>
      </c>
    </row>
    <row r="428" spans="1:6" x14ac:dyDescent="0.3">
      <c r="A428" s="6" t="s">
        <v>551</v>
      </c>
      <c r="B428" s="2" t="s">
        <v>72</v>
      </c>
      <c r="C428" s="2"/>
      <c r="D428" s="2"/>
      <c r="E428" s="2">
        <v>0</v>
      </c>
      <c r="F428" s="2">
        <v>207599000</v>
      </c>
    </row>
    <row r="429" spans="1:6" x14ac:dyDescent="0.3">
      <c r="A429" s="6" t="s">
        <v>552</v>
      </c>
      <c r="B429" s="2" t="s">
        <v>499</v>
      </c>
      <c r="C429" s="2"/>
      <c r="D429" s="2"/>
      <c r="E429" s="2">
        <v>0</v>
      </c>
      <c r="F429" s="2">
        <v>4607714.5199999996</v>
      </c>
    </row>
    <row r="430" spans="1:6" x14ac:dyDescent="0.3">
      <c r="A430" s="6" t="s">
        <v>553</v>
      </c>
      <c r="B430" s="2" t="s">
        <v>72</v>
      </c>
      <c r="C430" s="2"/>
      <c r="D430" s="2"/>
      <c r="E430" s="2">
        <v>0</v>
      </c>
      <c r="F430" s="2">
        <v>1600000000</v>
      </c>
    </row>
    <row r="431" spans="1:6" x14ac:dyDescent="0.3">
      <c r="A431" s="6" t="s">
        <v>554</v>
      </c>
      <c r="B431" s="2" t="s">
        <v>499</v>
      </c>
      <c r="C431" s="2"/>
      <c r="D431" s="2"/>
      <c r="E431" s="2">
        <v>0</v>
      </c>
      <c r="F431" s="2">
        <v>17603816.440000001</v>
      </c>
    </row>
    <row r="432" spans="1:6" x14ac:dyDescent="0.3">
      <c r="A432" s="6" t="s">
        <v>555</v>
      </c>
      <c r="B432" s="2" t="s">
        <v>72</v>
      </c>
      <c r="C432" s="2"/>
      <c r="D432" s="2"/>
      <c r="E432" s="2">
        <v>7306900000</v>
      </c>
      <c r="F432" s="2">
        <v>0</v>
      </c>
    </row>
    <row r="433" spans="1:6" x14ac:dyDescent="0.3">
      <c r="A433" s="6" t="s">
        <v>556</v>
      </c>
      <c r="B433" s="2" t="s">
        <v>72</v>
      </c>
      <c r="C433" s="2"/>
      <c r="D433" s="2"/>
      <c r="E433" s="2">
        <v>0</v>
      </c>
      <c r="F433" s="2">
        <v>0</v>
      </c>
    </row>
    <row r="434" spans="1:6" x14ac:dyDescent="0.3">
      <c r="A434" s="6" t="s">
        <v>557</v>
      </c>
      <c r="B434" s="2" t="s">
        <v>558</v>
      </c>
      <c r="C434" s="2"/>
      <c r="D434" s="2"/>
      <c r="E434" s="2">
        <v>0</v>
      </c>
      <c r="F434" s="2">
        <v>1396640.61</v>
      </c>
    </row>
    <row r="435" spans="1:6" x14ac:dyDescent="0.3">
      <c r="A435" s="6" t="s">
        <v>559</v>
      </c>
      <c r="B435" s="2" t="s">
        <v>558</v>
      </c>
      <c r="C435" s="2"/>
      <c r="D435" s="2"/>
      <c r="E435" s="2">
        <v>0</v>
      </c>
      <c r="F435" s="2">
        <v>391333.51</v>
      </c>
    </row>
    <row r="436" spans="1:6" x14ac:dyDescent="0.3">
      <c r="A436" s="6" t="s">
        <v>560</v>
      </c>
      <c r="B436" s="2" t="s">
        <v>558</v>
      </c>
      <c r="C436" s="2"/>
      <c r="D436" s="2"/>
      <c r="E436" s="2">
        <v>0</v>
      </c>
      <c r="F436" s="2">
        <v>40591.61</v>
      </c>
    </row>
    <row r="437" spans="1:6" x14ac:dyDescent="0.3">
      <c r="A437" s="6" t="s">
        <v>561</v>
      </c>
      <c r="B437" s="2" t="s">
        <v>562</v>
      </c>
      <c r="C437" s="2"/>
      <c r="D437" s="2"/>
      <c r="E437" s="2">
        <v>0</v>
      </c>
      <c r="F437" s="2">
        <v>3337139.82</v>
      </c>
    </row>
    <row r="438" spans="1:6" x14ac:dyDescent="0.3">
      <c r="A438" s="6" t="s">
        <v>563</v>
      </c>
      <c r="B438" s="2" t="s">
        <v>558</v>
      </c>
      <c r="C438" s="2"/>
      <c r="D438" s="2"/>
      <c r="E438" s="2">
        <v>0</v>
      </c>
      <c r="F438" s="2">
        <v>1465785.92</v>
      </c>
    </row>
    <row r="439" spans="1:6" x14ac:dyDescent="0.3">
      <c r="A439" s="6" t="s">
        <v>564</v>
      </c>
      <c r="B439" s="2" t="s">
        <v>558</v>
      </c>
      <c r="C439" s="2"/>
      <c r="D439" s="2"/>
      <c r="E439" s="2">
        <v>0</v>
      </c>
      <c r="F439" s="2">
        <v>119091130.98999999</v>
      </c>
    </row>
    <row r="440" spans="1:6" x14ac:dyDescent="0.3">
      <c r="A440" s="6" t="s">
        <v>565</v>
      </c>
      <c r="B440" s="2" t="s">
        <v>562</v>
      </c>
      <c r="C440" s="2"/>
      <c r="D440" s="2"/>
      <c r="E440" s="2">
        <v>0</v>
      </c>
      <c r="F440" s="2">
        <v>4948508.63</v>
      </c>
    </row>
    <row r="441" spans="1:6" x14ac:dyDescent="0.3">
      <c r="A441" s="6" t="s">
        <v>566</v>
      </c>
      <c r="B441" s="2" t="s">
        <v>567</v>
      </c>
      <c r="C441" s="2"/>
      <c r="D441" s="2"/>
      <c r="E441" s="2">
        <v>0</v>
      </c>
      <c r="F441" s="2">
        <v>29506.2</v>
      </c>
    </row>
    <row r="442" spans="1:6" x14ac:dyDescent="0.3">
      <c r="A442" s="6" t="s">
        <v>568</v>
      </c>
      <c r="B442" s="2" t="s">
        <v>133</v>
      </c>
      <c r="C442" s="2"/>
      <c r="D442" s="2"/>
      <c r="E442" s="2">
        <v>0</v>
      </c>
      <c r="F442" s="2">
        <v>6.91</v>
      </c>
    </row>
    <row r="443" spans="1:6" x14ac:dyDescent="0.3">
      <c r="A443" s="6" t="s">
        <v>569</v>
      </c>
      <c r="B443" s="2" t="s">
        <v>570</v>
      </c>
      <c r="C443" s="2"/>
      <c r="D443" s="2"/>
      <c r="E443" s="2">
        <v>0</v>
      </c>
      <c r="F443" s="2">
        <v>16269.88</v>
      </c>
    </row>
    <row r="444" spans="1:6" x14ac:dyDescent="0.3">
      <c r="A444" s="6" t="s">
        <v>571</v>
      </c>
      <c r="B444" s="2" t="s">
        <v>129</v>
      </c>
      <c r="C444" s="2"/>
      <c r="D444" s="2"/>
      <c r="E444" s="2">
        <v>0</v>
      </c>
      <c r="F444" s="2">
        <v>60.35</v>
      </c>
    </row>
    <row r="445" spans="1:6" x14ac:dyDescent="0.3">
      <c r="A445" s="6" t="s">
        <v>572</v>
      </c>
      <c r="B445" s="2" t="s">
        <v>131</v>
      </c>
      <c r="C445" s="2"/>
      <c r="D445" s="2"/>
      <c r="E445" s="2">
        <v>0</v>
      </c>
      <c r="F445" s="2">
        <v>2056.38</v>
      </c>
    </row>
    <row r="446" spans="1:6" x14ac:dyDescent="0.3">
      <c r="A446" s="6" t="s">
        <v>573</v>
      </c>
      <c r="B446" s="2" t="s">
        <v>133</v>
      </c>
      <c r="C446" s="2"/>
      <c r="D446" s="2"/>
      <c r="E446" s="2">
        <v>0</v>
      </c>
      <c r="F446" s="2">
        <v>29715.64</v>
      </c>
    </row>
    <row r="447" spans="1:6" x14ac:dyDescent="0.3">
      <c r="A447" s="6" t="s">
        <v>574</v>
      </c>
      <c r="B447" s="2" t="s">
        <v>570</v>
      </c>
      <c r="C447" s="2"/>
      <c r="D447" s="2"/>
      <c r="E447" s="2">
        <v>0</v>
      </c>
      <c r="F447" s="2">
        <v>823750.79</v>
      </c>
    </row>
    <row r="448" spans="1:6" x14ac:dyDescent="0.3">
      <c r="A448" s="6" t="s">
        <v>575</v>
      </c>
      <c r="B448" s="2" t="s">
        <v>129</v>
      </c>
      <c r="C448" s="2"/>
      <c r="D448" s="2"/>
      <c r="E448" s="2">
        <v>0</v>
      </c>
      <c r="F448" s="2">
        <v>242420.82</v>
      </c>
    </row>
    <row r="449" spans="1:6" x14ac:dyDescent="0.3">
      <c r="A449" s="6" t="s">
        <v>576</v>
      </c>
      <c r="B449" s="2" t="s">
        <v>131</v>
      </c>
      <c r="C449" s="2"/>
      <c r="D449" s="2"/>
      <c r="E449" s="2">
        <v>0</v>
      </c>
      <c r="F449" s="2">
        <v>40886.339999999997</v>
      </c>
    </row>
    <row r="450" spans="1:6" x14ac:dyDescent="0.3">
      <c r="A450" s="6" t="s">
        <v>577</v>
      </c>
      <c r="B450" s="2" t="s">
        <v>133</v>
      </c>
      <c r="C450" s="2"/>
      <c r="D450" s="2"/>
      <c r="E450" s="2">
        <v>0</v>
      </c>
      <c r="F450" s="2">
        <v>5175676.13</v>
      </c>
    </row>
    <row r="451" spans="1:6" x14ac:dyDescent="0.3">
      <c r="A451" s="6" t="s">
        <v>578</v>
      </c>
      <c r="B451" s="2" t="s">
        <v>570</v>
      </c>
      <c r="C451" s="2"/>
      <c r="D451" s="2"/>
      <c r="E451" s="2">
        <v>0</v>
      </c>
      <c r="F451" s="2">
        <v>8436477.9800000004</v>
      </c>
    </row>
    <row r="452" spans="1:6" x14ac:dyDescent="0.3">
      <c r="A452" s="6" t="s">
        <v>579</v>
      </c>
      <c r="B452" s="2" t="s">
        <v>567</v>
      </c>
      <c r="C452" s="2"/>
      <c r="D452" s="2"/>
      <c r="E452" s="2">
        <v>0</v>
      </c>
      <c r="F452" s="2">
        <v>1490099.8</v>
      </c>
    </row>
    <row r="453" spans="1:6" x14ac:dyDescent="0.3">
      <c r="A453" s="6" t="s">
        <v>580</v>
      </c>
      <c r="B453" s="2" t="s">
        <v>581</v>
      </c>
      <c r="C453" s="2"/>
      <c r="D453" s="2"/>
      <c r="E453" s="2">
        <v>0</v>
      </c>
      <c r="F453" s="2">
        <v>152101.82</v>
      </c>
    </row>
    <row r="454" spans="1:6" x14ac:dyDescent="0.3">
      <c r="A454" s="6" t="s">
        <v>582</v>
      </c>
      <c r="B454" s="2" t="s">
        <v>583</v>
      </c>
      <c r="C454" s="2"/>
      <c r="D454" s="2"/>
      <c r="E454" s="2">
        <v>0</v>
      </c>
      <c r="F454" s="2">
        <v>7097373.1699999999</v>
      </c>
    </row>
    <row r="455" spans="1:6" x14ac:dyDescent="0.3">
      <c r="A455" s="6" t="s">
        <v>584</v>
      </c>
      <c r="B455" s="2" t="s">
        <v>585</v>
      </c>
      <c r="C455" s="2"/>
      <c r="D455" s="2"/>
      <c r="E455" s="2">
        <v>0</v>
      </c>
      <c r="F455" s="2">
        <v>13982670.35</v>
      </c>
    </row>
    <row r="456" spans="1:6" x14ac:dyDescent="0.3">
      <c r="A456" s="6" t="s">
        <v>586</v>
      </c>
      <c r="B456" s="2" t="s">
        <v>587</v>
      </c>
      <c r="C456" s="2"/>
      <c r="D456" s="2"/>
      <c r="E456" s="2">
        <v>0</v>
      </c>
      <c r="F456" s="2">
        <v>7732512.1600000001</v>
      </c>
    </row>
    <row r="457" spans="1:6" x14ac:dyDescent="0.3">
      <c r="A457" s="6" t="s">
        <v>588</v>
      </c>
      <c r="B457" s="2" t="s">
        <v>589</v>
      </c>
      <c r="C457" s="2"/>
      <c r="D457" s="2"/>
      <c r="E457" s="2">
        <v>0</v>
      </c>
      <c r="F457" s="2">
        <v>7881004.1100000003</v>
      </c>
    </row>
    <row r="458" spans="1:6" x14ac:dyDescent="0.3">
      <c r="A458" s="6" t="s">
        <v>590</v>
      </c>
      <c r="B458" s="2" t="s">
        <v>467</v>
      </c>
      <c r="C458" s="2"/>
      <c r="D458" s="2"/>
      <c r="E458" s="2">
        <v>0</v>
      </c>
      <c r="F458" s="2">
        <v>34499892.030000001</v>
      </c>
    </row>
    <row r="459" spans="1:6" x14ac:dyDescent="0.3">
      <c r="A459" s="6" t="s">
        <v>591</v>
      </c>
      <c r="B459" s="2" t="s">
        <v>133</v>
      </c>
      <c r="C459" s="2"/>
      <c r="D459" s="2"/>
      <c r="E459" s="2">
        <v>0</v>
      </c>
      <c r="F459" s="2">
        <v>337118.52</v>
      </c>
    </row>
    <row r="460" spans="1:6" x14ac:dyDescent="0.3">
      <c r="A460" s="6" t="s">
        <v>592</v>
      </c>
      <c r="B460" s="2" t="s">
        <v>593</v>
      </c>
      <c r="C460" s="2"/>
      <c r="D460" s="2"/>
      <c r="E460" s="2">
        <v>0</v>
      </c>
      <c r="F460" s="2">
        <v>3573830.24</v>
      </c>
    </row>
    <row r="461" spans="1:6" x14ac:dyDescent="0.3">
      <c r="A461" s="6" t="s">
        <v>594</v>
      </c>
      <c r="B461" s="2" t="s">
        <v>595</v>
      </c>
      <c r="C461" s="2"/>
      <c r="D461" s="2"/>
      <c r="E461" s="2">
        <v>0</v>
      </c>
      <c r="F461" s="2">
        <v>127153.36</v>
      </c>
    </row>
    <row r="462" spans="1:6" x14ac:dyDescent="0.3">
      <c r="A462" s="6" t="s">
        <v>596</v>
      </c>
      <c r="B462" s="2" t="s">
        <v>597</v>
      </c>
      <c r="C462" s="2"/>
      <c r="D462" s="2"/>
      <c r="E462" s="2">
        <v>0</v>
      </c>
      <c r="F462" s="2">
        <v>507618.72</v>
      </c>
    </row>
    <row r="463" spans="1:6" x14ac:dyDescent="0.3">
      <c r="A463" s="6" t="s">
        <v>598</v>
      </c>
      <c r="B463" s="2" t="s">
        <v>599</v>
      </c>
      <c r="C463" s="2"/>
      <c r="D463" s="2"/>
      <c r="E463" s="2">
        <v>0</v>
      </c>
      <c r="F463" s="2">
        <v>776034.02</v>
      </c>
    </row>
    <row r="464" spans="1:6" x14ac:dyDescent="0.3">
      <c r="A464" s="6" t="s">
        <v>600</v>
      </c>
      <c r="B464" s="2" t="s">
        <v>601</v>
      </c>
      <c r="C464" s="2"/>
      <c r="D464" s="2"/>
      <c r="E464" s="2">
        <v>0</v>
      </c>
      <c r="F464" s="2">
        <v>53878.61</v>
      </c>
    </row>
    <row r="465" spans="1:6" x14ac:dyDescent="0.3">
      <c r="A465" s="6" t="s">
        <v>602</v>
      </c>
      <c r="B465" s="2" t="s">
        <v>603</v>
      </c>
      <c r="C465" s="2"/>
      <c r="D465" s="2"/>
      <c r="E465" s="2">
        <v>0</v>
      </c>
      <c r="F465" s="2">
        <v>18551730.879999999</v>
      </c>
    </row>
    <row r="466" spans="1:6" x14ac:dyDescent="0.3">
      <c r="A466" s="6" t="s">
        <v>604</v>
      </c>
      <c r="B466" s="2" t="s">
        <v>182</v>
      </c>
      <c r="C466" s="2"/>
      <c r="D466" s="2"/>
      <c r="E466" s="2">
        <v>0</v>
      </c>
      <c r="F466" s="2">
        <v>0</v>
      </c>
    </row>
    <row r="467" spans="1:6" x14ac:dyDescent="0.3">
      <c r="A467" s="6" t="s">
        <v>605</v>
      </c>
      <c r="B467" s="2" t="s">
        <v>467</v>
      </c>
      <c r="C467" s="2"/>
      <c r="D467" s="2"/>
      <c r="E467" s="2">
        <v>0</v>
      </c>
      <c r="F467" s="2">
        <v>19990719.550000001</v>
      </c>
    </row>
    <row r="468" spans="1:6" x14ac:dyDescent="0.3">
      <c r="A468" s="6" t="s">
        <v>606</v>
      </c>
      <c r="B468" s="2" t="s">
        <v>79</v>
      </c>
      <c r="C468" s="2"/>
      <c r="D468" s="2"/>
      <c r="E468" s="2">
        <v>0</v>
      </c>
      <c r="F468" s="2">
        <v>0</v>
      </c>
    </row>
    <row r="469" spans="1:6" x14ac:dyDescent="0.3">
      <c r="A469" s="6" t="s">
        <v>607</v>
      </c>
      <c r="B469" s="2" t="s">
        <v>77</v>
      </c>
      <c r="C469" s="2"/>
      <c r="D469" s="2"/>
      <c r="E469" s="2">
        <v>0</v>
      </c>
      <c r="F469" s="2">
        <v>15865498.59</v>
      </c>
    </row>
    <row r="470" spans="1:6" x14ac:dyDescent="0.3">
      <c r="A470" s="6" t="s">
        <v>608</v>
      </c>
      <c r="B470" s="2" t="s">
        <v>77</v>
      </c>
      <c r="C470" s="2"/>
      <c r="D470" s="2"/>
      <c r="E470" s="2">
        <v>0</v>
      </c>
      <c r="F470" s="2">
        <v>15211238.529999999</v>
      </c>
    </row>
    <row r="471" spans="1:6" x14ac:dyDescent="0.3">
      <c r="A471" s="6" t="s">
        <v>609</v>
      </c>
      <c r="B471" s="2" t="s">
        <v>77</v>
      </c>
      <c r="C471" s="2"/>
      <c r="D471" s="2"/>
      <c r="E471" s="2">
        <v>0</v>
      </c>
      <c r="F471" s="2">
        <v>0</v>
      </c>
    </row>
    <row r="472" spans="1:6" x14ac:dyDescent="0.3">
      <c r="A472" s="6" t="s">
        <v>610</v>
      </c>
      <c r="B472" s="2" t="s">
        <v>77</v>
      </c>
      <c r="C472" s="2"/>
      <c r="D472" s="2"/>
      <c r="E472" s="2">
        <v>0</v>
      </c>
      <c r="F472" s="2">
        <v>0</v>
      </c>
    </row>
    <row r="473" spans="1:6" x14ac:dyDescent="0.3">
      <c r="A473" s="6" t="s">
        <v>611</v>
      </c>
      <c r="B473" s="2" t="s">
        <v>612</v>
      </c>
      <c r="C473" s="2"/>
      <c r="D473" s="2"/>
      <c r="E473" s="2">
        <v>0</v>
      </c>
      <c r="F473" s="2">
        <v>14992248</v>
      </c>
    </row>
    <row r="474" spans="1:6" x14ac:dyDescent="0.3">
      <c r="A474" s="6" t="s">
        <v>613</v>
      </c>
      <c r="B474" s="2" t="s">
        <v>614</v>
      </c>
      <c r="C474" s="2"/>
      <c r="D474" s="2"/>
      <c r="E474" s="2">
        <v>0</v>
      </c>
      <c r="F474" s="2">
        <v>14495464.43</v>
      </c>
    </row>
    <row r="475" spans="1:6" x14ac:dyDescent="0.3">
      <c r="A475" s="6" t="s">
        <v>615</v>
      </c>
      <c r="B475" s="2" t="s">
        <v>616</v>
      </c>
      <c r="C475" s="2"/>
      <c r="D475" s="2"/>
      <c r="E475" s="2">
        <v>0</v>
      </c>
      <c r="F475" s="2">
        <v>3440000</v>
      </c>
    </row>
    <row r="476" spans="1:6" x14ac:dyDescent="0.3">
      <c r="A476" s="6" t="s">
        <v>617</v>
      </c>
      <c r="B476" s="2" t="s">
        <v>618</v>
      </c>
      <c r="C476" s="2"/>
      <c r="D476" s="2"/>
      <c r="E476" s="2">
        <v>0</v>
      </c>
      <c r="F476" s="2">
        <v>11500000</v>
      </c>
    </row>
    <row r="477" spans="1:6" x14ac:dyDescent="0.3">
      <c r="A477" s="6" t="s">
        <v>619</v>
      </c>
      <c r="B477" s="2" t="s">
        <v>620</v>
      </c>
      <c r="C477" s="2"/>
      <c r="D477" s="2"/>
      <c r="E477" s="2">
        <v>0</v>
      </c>
      <c r="F477" s="2">
        <v>741082.32</v>
      </c>
    </row>
    <row r="478" spans="1:6" x14ac:dyDescent="0.3">
      <c r="A478" s="6" t="s">
        <v>621</v>
      </c>
      <c r="B478" s="2" t="s">
        <v>622</v>
      </c>
      <c r="C478" s="2"/>
      <c r="D478" s="2"/>
      <c r="E478" s="2">
        <v>0</v>
      </c>
      <c r="F478" s="2">
        <v>353459.27</v>
      </c>
    </row>
    <row r="479" spans="1:6" x14ac:dyDescent="0.3">
      <c r="A479" s="6" t="s">
        <v>623</v>
      </c>
      <c r="B479" s="2" t="s">
        <v>624</v>
      </c>
      <c r="C479" s="2"/>
      <c r="D479" s="2"/>
      <c r="E479" s="2">
        <v>0</v>
      </c>
      <c r="F479" s="2">
        <v>305350.18</v>
      </c>
    </row>
    <row r="480" spans="1:6" x14ac:dyDescent="0.3">
      <c r="A480" s="6" t="s">
        <v>625</v>
      </c>
      <c r="B480" s="2" t="s">
        <v>626</v>
      </c>
      <c r="C480" s="2"/>
      <c r="D480" s="2"/>
      <c r="E480" s="2">
        <v>0</v>
      </c>
      <c r="F480" s="2">
        <v>184056.88</v>
      </c>
    </row>
    <row r="481" spans="1:6" x14ac:dyDescent="0.3">
      <c r="A481" s="6" t="s">
        <v>627</v>
      </c>
      <c r="B481" s="2" t="s">
        <v>628</v>
      </c>
      <c r="C481" s="2"/>
      <c r="D481" s="2"/>
      <c r="E481" s="2">
        <v>0</v>
      </c>
      <c r="F481" s="2">
        <v>500000</v>
      </c>
    </row>
    <row r="482" spans="1:6" x14ac:dyDescent="0.3">
      <c r="A482" s="6" t="s">
        <v>629</v>
      </c>
      <c r="B482" s="2" t="s">
        <v>630</v>
      </c>
      <c r="C482" s="2"/>
      <c r="D482" s="2"/>
      <c r="E482" s="2">
        <v>0</v>
      </c>
      <c r="F482" s="2">
        <v>390396.87</v>
      </c>
    </row>
    <row r="483" spans="1:6" x14ac:dyDescent="0.3">
      <c r="A483" s="6" t="s">
        <v>631</v>
      </c>
      <c r="B483" s="2" t="s">
        <v>632</v>
      </c>
      <c r="C483" s="2"/>
      <c r="D483" s="2"/>
      <c r="E483" s="2">
        <v>0</v>
      </c>
      <c r="F483" s="2">
        <v>9089512</v>
      </c>
    </row>
    <row r="484" spans="1:6" x14ac:dyDescent="0.3">
      <c r="A484" s="6" t="s">
        <v>633</v>
      </c>
      <c r="B484" s="2" t="s">
        <v>634</v>
      </c>
      <c r="C484" s="2"/>
      <c r="D484" s="2"/>
      <c r="E484" s="2">
        <v>0</v>
      </c>
      <c r="F484" s="2">
        <v>15049781.609999999</v>
      </c>
    </row>
    <row r="485" spans="1:6" x14ac:dyDescent="0.3">
      <c r="A485" s="6" t="s">
        <v>635</v>
      </c>
      <c r="B485" s="2" t="s">
        <v>636</v>
      </c>
      <c r="C485" s="2"/>
      <c r="D485" s="2"/>
      <c r="E485" s="2">
        <v>0</v>
      </c>
      <c r="F485" s="2">
        <v>3003.36</v>
      </c>
    </row>
    <row r="486" spans="1:6" x14ac:dyDescent="0.3">
      <c r="A486" s="6" t="s">
        <v>637</v>
      </c>
      <c r="B486" s="2" t="s">
        <v>636</v>
      </c>
      <c r="C486" s="2"/>
      <c r="D486" s="2"/>
      <c r="E486" s="2">
        <v>0</v>
      </c>
      <c r="F486" s="2">
        <v>163.81</v>
      </c>
    </row>
    <row r="487" spans="1:6" x14ac:dyDescent="0.3">
      <c r="A487" s="6" t="s">
        <v>638</v>
      </c>
      <c r="B487" s="2" t="s">
        <v>636</v>
      </c>
      <c r="C487" s="2"/>
      <c r="D487" s="2"/>
      <c r="E487" s="2">
        <v>0</v>
      </c>
      <c r="F487" s="2">
        <v>7921.96</v>
      </c>
    </row>
    <row r="488" spans="1:6" x14ac:dyDescent="0.3">
      <c r="A488" s="6" t="s">
        <v>639</v>
      </c>
      <c r="B488" s="2" t="s">
        <v>636</v>
      </c>
      <c r="C488" s="2"/>
      <c r="D488" s="2"/>
      <c r="E488" s="2">
        <v>0</v>
      </c>
      <c r="F488" s="2">
        <v>381256.6</v>
      </c>
    </row>
    <row r="489" spans="1:6" x14ac:dyDescent="0.3">
      <c r="A489" s="6" t="s">
        <v>640</v>
      </c>
      <c r="B489" s="2" t="s">
        <v>636</v>
      </c>
      <c r="C489" s="2"/>
      <c r="D489" s="2"/>
      <c r="E489" s="2">
        <v>0</v>
      </c>
      <c r="F489" s="2">
        <v>49219.64</v>
      </c>
    </row>
    <row r="490" spans="1:6" x14ac:dyDescent="0.3">
      <c r="A490" s="6" t="s">
        <v>641</v>
      </c>
      <c r="B490" s="2" t="s">
        <v>636</v>
      </c>
      <c r="C490" s="2"/>
      <c r="D490" s="2"/>
      <c r="E490" s="2">
        <v>0</v>
      </c>
      <c r="F490" s="2">
        <v>62.62</v>
      </c>
    </row>
    <row r="491" spans="1:6" x14ac:dyDescent="0.3">
      <c r="A491" s="6" t="s">
        <v>642</v>
      </c>
      <c r="B491" s="2" t="s">
        <v>636</v>
      </c>
      <c r="C491" s="2"/>
      <c r="D491" s="2"/>
      <c r="E491" s="2">
        <v>0</v>
      </c>
      <c r="F491" s="2">
        <v>1144.57</v>
      </c>
    </row>
    <row r="492" spans="1:6" x14ac:dyDescent="0.3">
      <c r="A492" s="6" t="s">
        <v>643</v>
      </c>
      <c r="B492" s="2" t="s">
        <v>292</v>
      </c>
      <c r="C492" s="2"/>
      <c r="D492" s="2"/>
      <c r="E492" s="2">
        <v>0</v>
      </c>
      <c r="F492" s="2">
        <v>6105.27</v>
      </c>
    </row>
    <row r="493" spans="1:6" x14ac:dyDescent="0.3">
      <c r="A493" s="6" t="s">
        <v>644</v>
      </c>
      <c r="B493" s="2" t="s">
        <v>636</v>
      </c>
      <c r="C493" s="2"/>
      <c r="D493" s="2"/>
      <c r="E493" s="2">
        <v>0</v>
      </c>
      <c r="F493" s="2">
        <v>412623.21</v>
      </c>
    </row>
    <row r="494" spans="1:6" x14ac:dyDescent="0.3">
      <c r="A494" s="6" t="s">
        <v>645</v>
      </c>
      <c r="B494" s="2" t="s">
        <v>636</v>
      </c>
      <c r="C494" s="2"/>
      <c r="D494" s="2"/>
      <c r="E494" s="2">
        <v>0</v>
      </c>
      <c r="F494" s="2">
        <v>15878.95</v>
      </c>
    </row>
    <row r="495" spans="1:6" x14ac:dyDescent="0.3">
      <c r="A495" s="6" t="s">
        <v>646</v>
      </c>
      <c r="B495" s="2" t="s">
        <v>636</v>
      </c>
      <c r="C495" s="2"/>
      <c r="D495" s="2"/>
      <c r="E495" s="2">
        <v>0</v>
      </c>
      <c r="F495" s="2">
        <v>8318752.0899999999</v>
      </c>
    </row>
    <row r="496" spans="1:6" x14ac:dyDescent="0.3">
      <c r="A496" s="6" t="s">
        <v>647</v>
      </c>
      <c r="B496" s="2" t="s">
        <v>292</v>
      </c>
      <c r="C496" s="2"/>
      <c r="D496" s="2"/>
      <c r="E496" s="2">
        <v>0</v>
      </c>
      <c r="F496" s="2">
        <v>1161899.71</v>
      </c>
    </row>
    <row r="497" spans="1:6" x14ac:dyDescent="0.3">
      <c r="A497" s="6" t="s">
        <v>648</v>
      </c>
      <c r="B497" s="2" t="s">
        <v>636</v>
      </c>
      <c r="C497" s="2"/>
      <c r="D497" s="2"/>
      <c r="E497" s="2">
        <v>0</v>
      </c>
      <c r="F497" s="2">
        <v>2623491.59</v>
      </c>
    </row>
    <row r="498" spans="1:6" x14ac:dyDescent="0.3">
      <c r="A498" s="6" t="s">
        <v>649</v>
      </c>
      <c r="B498" s="2" t="s">
        <v>636</v>
      </c>
      <c r="C498" s="2"/>
      <c r="D498" s="2"/>
      <c r="E498" s="2">
        <v>0</v>
      </c>
      <c r="F498" s="2">
        <v>72115.490000000005</v>
      </c>
    </row>
    <row r="499" spans="1:6" x14ac:dyDescent="0.3">
      <c r="A499" s="6" t="s">
        <v>650</v>
      </c>
      <c r="B499" s="2" t="s">
        <v>636</v>
      </c>
      <c r="C499" s="2"/>
      <c r="D499" s="2"/>
      <c r="E499" s="2">
        <v>0</v>
      </c>
      <c r="F499" s="2">
        <v>6248.49</v>
      </c>
    </row>
    <row r="500" spans="1:6" x14ac:dyDescent="0.3">
      <c r="A500" s="6" t="s">
        <v>651</v>
      </c>
      <c r="B500" s="2" t="s">
        <v>636</v>
      </c>
      <c r="C500" s="2"/>
      <c r="D500" s="2"/>
      <c r="E500" s="2">
        <v>0</v>
      </c>
      <c r="F500" s="2">
        <v>0.17</v>
      </c>
    </row>
    <row r="501" spans="1:6" x14ac:dyDescent="0.3">
      <c r="A501" s="6" t="s">
        <v>652</v>
      </c>
      <c r="B501" s="2" t="s">
        <v>636</v>
      </c>
      <c r="C501" s="2"/>
      <c r="D501" s="2"/>
      <c r="E501" s="2">
        <v>0</v>
      </c>
      <c r="F501" s="2">
        <v>2799.69</v>
      </c>
    </row>
    <row r="502" spans="1:6" x14ac:dyDescent="0.3">
      <c r="A502" s="6" t="s">
        <v>653</v>
      </c>
      <c r="B502" s="2" t="s">
        <v>636</v>
      </c>
      <c r="C502" s="2"/>
      <c r="D502" s="2"/>
      <c r="E502" s="2">
        <v>0</v>
      </c>
      <c r="F502" s="2">
        <v>5839.29</v>
      </c>
    </row>
    <row r="503" spans="1:6" x14ac:dyDescent="0.3">
      <c r="A503" s="6" t="s">
        <v>654</v>
      </c>
      <c r="B503" s="2" t="s">
        <v>636</v>
      </c>
      <c r="C503" s="2"/>
      <c r="D503" s="2"/>
      <c r="E503" s="2">
        <v>0</v>
      </c>
      <c r="F503" s="2">
        <v>389217.98</v>
      </c>
    </row>
    <row r="504" spans="1:6" x14ac:dyDescent="0.3">
      <c r="A504" s="6" t="s">
        <v>655</v>
      </c>
      <c r="B504" s="2" t="s">
        <v>636</v>
      </c>
      <c r="C504" s="2"/>
      <c r="D504" s="2"/>
      <c r="E504" s="2">
        <v>0</v>
      </c>
      <c r="F504" s="2">
        <v>38803.29</v>
      </c>
    </row>
    <row r="505" spans="1:6" x14ac:dyDescent="0.3">
      <c r="A505" s="6" t="s">
        <v>656</v>
      </c>
      <c r="B505" s="2" t="s">
        <v>636</v>
      </c>
      <c r="C505" s="2"/>
      <c r="D505" s="2"/>
      <c r="E505" s="2">
        <v>0</v>
      </c>
      <c r="F505" s="2">
        <v>2437.8000000000002</v>
      </c>
    </row>
    <row r="506" spans="1:6" x14ac:dyDescent="0.3">
      <c r="A506" s="6" t="s">
        <v>657</v>
      </c>
      <c r="B506" s="2" t="s">
        <v>636</v>
      </c>
      <c r="C506" s="2"/>
      <c r="D506" s="2"/>
      <c r="E506" s="2">
        <v>0</v>
      </c>
      <c r="F506" s="2">
        <v>21993.31</v>
      </c>
    </row>
    <row r="507" spans="1:6" x14ac:dyDescent="0.3">
      <c r="A507" s="6" t="s">
        <v>658</v>
      </c>
      <c r="B507" s="2" t="s">
        <v>636</v>
      </c>
      <c r="C507" s="2"/>
      <c r="D507" s="2"/>
      <c r="E507" s="2">
        <v>0</v>
      </c>
      <c r="F507" s="2">
        <v>3503.45</v>
      </c>
    </row>
    <row r="508" spans="1:6" x14ac:dyDescent="0.3">
      <c r="A508" s="6" t="s">
        <v>659</v>
      </c>
      <c r="B508" s="2" t="s">
        <v>636</v>
      </c>
      <c r="C508" s="2"/>
      <c r="D508" s="2"/>
      <c r="E508" s="2">
        <v>0</v>
      </c>
      <c r="F508" s="2">
        <v>402.54</v>
      </c>
    </row>
    <row r="509" spans="1:6" x14ac:dyDescent="0.3">
      <c r="A509" s="6" t="s">
        <v>660</v>
      </c>
      <c r="B509" s="2" t="s">
        <v>292</v>
      </c>
      <c r="C509" s="2"/>
      <c r="D509" s="2"/>
      <c r="E509" s="2">
        <v>0</v>
      </c>
      <c r="F509" s="2">
        <v>18494.330000000002</v>
      </c>
    </row>
    <row r="510" spans="1:6" x14ac:dyDescent="0.3">
      <c r="A510" s="6" t="s">
        <v>661</v>
      </c>
      <c r="B510" s="2" t="s">
        <v>636</v>
      </c>
      <c r="C510" s="2"/>
      <c r="D510" s="2"/>
      <c r="E510" s="2">
        <v>0</v>
      </c>
      <c r="F510" s="2">
        <v>800515.3</v>
      </c>
    </row>
    <row r="511" spans="1:6" x14ac:dyDescent="0.3">
      <c r="A511" s="6" t="s">
        <v>662</v>
      </c>
      <c r="B511" s="2" t="s">
        <v>636</v>
      </c>
      <c r="C511" s="2"/>
      <c r="D511" s="2"/>
      <c r="E511" s="2">
        <v>0</v>
      </c>
      <c r="F511" s="2">
        <v>22293.83</v>
      </c>
    </row>
    <row r="512" spans="1:6" x14ac:dyDescent="0.3">
      <c r="A512" s="6" t="s">
        <v>663</v>
      </c>
      <c r="B512" s="2" t="s">
        <v>636</v>
      </c>
      <c r="C512" s="2"/>
      <c r="D512" s="2"/>
      <c r="E512" s="2">
        <v>0</v>
      </c>
      <c r="F512" s="2">
        <v>55175.199999999997</v>
      </c>
    </row>
    <row r="513" spans="1:6" x14ac:dyDescent="0.3">
      <c r="A513" s="6" t="s">
        <v>664</v>
      </c>
      <c r="B513" s="2" t="s">
        <v>292</v>
      </c>
      <c r="C513" s="2"/>
      <c r="D513" s="2"/>
      <c r="E513" s="2">
        <v>0</v>
      </c>
      <c r="F513" s="2">
        <v>40307.97</v>
      </c>
    </row>
    <row r="514" spans="1:6" x14ac:dyDescent="0.3">
      <c r="A514" s="6" t="s">
        <v>665</v>
      </c>
      <c r="B514" s="2" t="s">
        <v>636</v>
      </c>
      <c r="C514" s="2"/>
      <c r="D514" s="2"/>
      <c r="E514" s="2">
        <v>0</v>
      </c>
      <c r="F514" s="2">
        <v>3024156.38</v>
      </c>
    </row>
    <row r="515" spans="1:6" x14ac:dyDescent="0.3">
      <c r="A515" s="6" t="s">
        <v>666</v>
      </c>
      <c r="B515" s="2" t="s">
        <v>636</v>
      </c>
      <c r="C515" s="2"/>
      <c r="D515" s="2"/>
      <c r="E515" s="2">
        <v>0</v>
      </c>
      <c r="F515" s="2">
        <v>3000</v>
      </c>
    </row>
    <row r="516" spans="1:6" x14ac:dyDescent="0.3">
      <c r="A516" s="6" t="s">
        <v>667</v>
      </c>
      <c r="B516" s="2" t="s">
        <v>636</v>
      </c>
      <c r="C516" s="2"/>
      <c r="D516" s="2"/>
      <c r="E516" s="2">
        <v>0</v>
      </c>
      <c r="F516" s="2">
        <v>9466.73</v>
      </c>
    </row>
    <row r="517" spans="1:6" x14ac:dyDescent="0.3">
      <c r="A517" s="6" t="s">
        <v>668</v>
      </c>
      <c r="B517" s="2" t="s">
        <v>292</v>
      </c>
      <c r="C517" s="2"/>
      <c r="D517" s="2"/>
      <c r="E517" s="2">
        <v>0</v>
      </c>
      <c r="F517" s="2">
        <v>1284429.23</v>
      </c>
    </row>
    <row r="518" spans="1:6" x14ac:dyDescent="0.3">
      <c r="A518" s="6" t="s">
        <v>669</v>
      </c>
      <c r="B518" s="2" t="s">
        <v>636</v>
      </c>
      <c r="C518" s="2"/>
      <c r="D518" s="2"/>
      <c r="E518" s="2">
        <v>0</v>
      </c>
      <c r="F518" s="2">
        <v>11160587.5</v>
      </c>
    </row>
    <row r="519" spans="1:6" x14ac:dyDescent="0.3">
      <c r="A519" s="6" t="s">
        <v>670</v>
      </c>
      <c r="B519" s="2" t="s">
        <v>636</v>
      </c>
      <c r="C519" s="2"/>
      <c r="D519" s="2"/>
      <c r="E519" s="2">
        <v>0</v>
      </c>
      <c r="F519" s="2">
        <v>11964.92</v>
      </c>
    </row>
    <row r="520" spans="1:6" x14ac:dyDescent="0.3">
      <c r="A520" s="6" t="s">
        <v>671</v>
      </c>
      <c r="B520" s="2" t="s">
        <v>636</v>
      </c>
      <c r="C520" s="2"/>
      <c r="D520" s="2"/>
      <c r="E520" s="2">
        <v>0</v>
      </c>
      <c r="F520" s="2">
        <v>310574.25</v>
      </c>
    </row>
    <row r="521" spans="1:6" x14ac:dyDescent="0.3">
      <c r="A521" s="6" t="s">
        <v>672</v>
      </c>
      <c r="B521" s="2" t="s">
        <v>636</v>
      </c>
      <c r="C521" s="2"/>
      <c r="D521" s="2"/>
      <c r="E521" s="2">
        <v>0</v>
      </c>
      <c r="F521" s="2">
        <v>2135.86</v>
      </c>
    </row>
    <row r="522" spans="1:6" x14ac:dyDescent="0.3">
      <c r="A522" s="6" t="s">
        <v>673</v>
      </c>
      <c r="B522" s="2" t="s">
        <v>636</v>
      </c>
      <c r="C522" s="2"/>
      <c r="D522" s="2"/>
      <c r="E522" s="2">
        <v>0</v>
      </c>
      <c r="F522" s="2">
        <v>24740.16</v>
      </c>
    </row>
    <row r="523" spans="1:6" x14ac:dyDescent="0.3">
      <c r="A523" s="6" t="s">
        <v>674</v>
      </c>
      <c r="B523" s="2" t="s">
        <v>636</v>
      </c>
      <c r="C523" s="2"/>
      <c r="D523" s="2"/>
      <c r="E523" s="2">
        <v>0</v>
      </c>
      <c r="F523" s="2">
        <v>12833.65</v>
      </c>
    </row>
    <row r="524" spans="1:6" x14ac:dyDescent="0.3">
      <c r="A524" s="6" t="s">
        <v>675</v>
      </c>
      <c r="B524" s="2" t="s">
        <v>636</v>
      </c>
      <c r="C524" s="2"/>
      <c r="D524" s="2"/>
      <c r="E524" s="2">
        <v>0</v>
      </c>
      <c r="F524" s="2">
        <v>61175.89</v>
      </c>
    </row>
    <row r="525" spans="1:6" x14ac:dyDescent="0.3">
      <c r="A525" s="6" t="s">
        <v>676</v>
      </c>
      <c r="B525" s="2" t="s">
        <v>636</v>
      </c>
      <c r="C525" s="2"/>
      <c r="D525" s="2"/>
      <c r="E525" s="2">
        <v>0</v>
      </c>
      <c r="F525" s="2">
        <v>168316.33</v>
      </c>
    </row>
    <row r="526" spans="1:6" x14ac:dyDescent="0.3">
      <c r="A526" s="6" t="s">
        <v>677</v>
      </c>
      <c r="B526" s="2" t="s">
        <v>636</v>
      </c>
      <c r="C526" s="2"/>
      <c r="D526" s="2"/>
      <c r="E526" s="2">
        <v>0</v>
      </c>
      <c r="F526" s="2">
        <v>3970160.38</v>
      </c>
    </row>
    <row r="527" spans="1:6" x14ac:dyDescent="0.3">
      <c r="A527" s="6" t="s">
        <v>678</v>
      </c>
      <c r="B527" s="2" t="s">
        <v>636</v>
      </c>
      <c r="C527" s="2"/>
      <c r="D527" s="2"/>
      <c r="E527" s="2">
        <v>0</v>
      </c>
      <c r="F527" s="2">
        <v>3453167.38</v>
      </c>
    </row>
    <row r="528" spans="1:6" x14ac:dyDescent="0.3">
      <c r="A528" s="6" t="s">
        <v>679</v>
      </c>
      <c r="B528" s="2" t="s">
        <v>636</v>
      </c>
      <c r="C528" s="2"/>
      <c r="D528" s="2"/>
      <c r="E528" s="2">
        <v>0</v>
      </c>
      <c r="F528" s="2">
        <v>2907.84</v>
      </c>
    </row>
    <row r="529" spans="1:6" x14ac:dyDescent="0.3">
      <c r="A529" s="6" t="s">
        <v>680</v>
      </c>
      <c r="B529" s="2" t="s">
        <v>636</v>
      </c>
      <c r="C529" s="2"/>
      <c r="D529" s="2"/>
      <c r="E529" s="2">
        <v>0</v>
      </c>
      <c r="F529" s="2">
        <v>11612.77</v>
      </c>
    </row>
    <row r="530" spans="1:6" x14ac:dyDescent="0.3">
      <c r="A530" s="6" t="s">
        <v>681</v>
      </c>
      <c r="B530" s="2" t="s">
        <v>636</v>
      </c>
      <c r="C530" s="2"/>
      <c r="D530" s="2"/>
      <c r="E530" s="2">
        <v>0</v>
      </c>
      <c r="F530" s="2">
        <v>35956.43</v>
      </c>
    </row>
    <row r="531" spans="1:6" x14ac:dyDescent="0.3">
      <c r="A531" s="6" t="s">
        <v>682</v>
      </c>
      <c r="B531" s="2" t="s">
        <v>292</v>
      </c>
      <c r="C531" s="2"/>
      <c r="D531" s="2"/>
      <c r="E531" s="2">
        <v>0</v>
      </c>
      <c r="F531" s="2">
        <v>804.36</v>
      </c>
    </row>
    <row r="532" spans="1:6" x14ac:dyDescent="0.3">
      <c r="A532" s="6" t="s">
        <v>683</v>
      </c>
      <c r="B532" s="2" t="s">
        <v>636</v>
      </c>
      <c r="C532" s="2"/>
      <c r="D532" s="2"/>
      <c r="E532" s="2">
        <v>0</v>
      </c>
      <c r="F532" s="2">
        <v>2123930.7000000002</v>
      </c>
    </row>
    <row r="533" spans="1:6" x14ac:dyDescent="0.3">
      <c r="A533" s="6" t="s">
        <v>684</v>
      </c>
      <c r="B533" s="2" t="s">
        <v>636</v>
      </c>
      <c r="C533" s="2"/>
      <c r="D533" s="2"/>
      <c r="E533" s="2">
        <v>0</v>
      </c>
      <c r="F533" s="2">
        <v>4215821.17</v>
      </c>
    </row>
    <row r="534" spans="1:6" x14ac:dyDescent="0.3">
      <c r="A534" s="6" t="s">
        <v>685</v>
      </c>
      <c r="B534" s="2" t="s">
        <v>636</v>
      </c>
      <c r="C534" s="2"/>
      <c r="D534" s="2"/>
      <c r="E534" s="2">
        <v>0</v>
      </c>
      <c r="F534" s="2">
        <v>102518.8</v>
      </c>
    </row>
    <row r="535" spans="1:6" x14ac:dyDescent="0.3">
      <c r="A535" s="6" t="s">
        <v>686</v>
      </c>
      <c r="B535" s="2" t="s">
        <v>636</v>
      </c>
      <c r="C535" s="2"/>
      <c r="D535" s="2"/>
      <c r="E535" s="2">
        <v>0</v>
      </c>
      <c r="F535" s="2">
        <v>809048.81</v>
      </c>
    </row>
    <row r="536" spans="1:6" x14ac:dyDescent="0.3">
      <c r="A536" s="6" t="s">
        <v>687</v>
      </c>
      <c r="B536" s="2" t="s">
        <v>636</v>
      </c>
      <c r="C536" s="2"/>
      <c r="D536" s="2"/>
      <c r="E536" s="2">
        <v>0</v>
      </c>
      <c r="F536" s="2">
        <v>8625.6299999999992</v>
      </c>
    </row>
    <row r="537" spans="1:6" x14ac:dyDescent="0.3">
      <c r="A537" s="6" t="s">
        <v>688</v>
      </c>
      <c r="B537" s="2" t="s">
        <v>636</v>
      </c>
      <c r="C537" s="2"/>
      <c r="D537" s="2"/>
      <c r="E537" s="2">
        <v>0</v>
      </c>
      <c r="F537" s="2">
        <v>615783.31000000006</v>
      </c>
    </row>
    <row r="538" spans="1:6" x14ac:dyDescent="0.3">
      <c r="A538" s="6" t="s">
        <v>689</v>
      </c>
      <c r="B538" s="2" t="s">
        <v>690</v>
      </c>
      <c r="C538" s="2"/>
      <c r="D538" s="2"/>
      <c r="E538" s="2">
        <v>0</v>
      </c>
      <c r="F538" s="2">
        <v>98393260.829999998</v>
      </c>
    </row>
    <row r="539" spans="1:6" x14ac:dyDescent="0.3">
      <c r="A539" s="6" t="s">
        <v>691</v>
      </c>
      <c r="B539" s="2" t="s">
        <v>692</v>
      </c>
      <c r="C539" s="2"/>
      <c r="D539" s="2"/>
      <c r="E539" s="2">
        <v>0</v>
      </c>
      <c r="F539" s="2">
        <v>5909168.71</v>
      </c>
    </row>
    <row r="540" spans="1:6" x14ac:dyDescent="0.3">
      <c r="A540" s="6" t="s">
        <v>693</v>
      </c>
      <c r="B540" s="2" t="s">
        <v>694</v>
      </c>
      <c r="C540" s="2"/>
      <c r="D540" s="2"/>
      <c r="E540" s="2">
        <v>0</v>
      </c>
      <c r="F540" s="2">
        <v>6279808.8499999996</v>
      </c>
    </row>
    <row r="541" spans="1:6" x14ac:dyDescent="0.3">
      <c r="A541" s="6" t="s">
        <v>695</v>
      </c>
      <c r="B541" s="2" t="s">
        <v>424</v>
      </c>
      <c r="C541" s="2"/>
      <c r="D541" s="2"/>
      <c r="E541" s="2">
        <v>0</v>
      </c>
      <c r="F541" s="2">
        <v>72422047.920000002</v>
      </c>
    </row>
    <row r="542" spans="1:6" x14ac:dyDescent="0.3">
      <c r="A542" s="6" t="s">
        <v>696</v>
      </c>
      <c r="B542" s="2" t="s">
        <v>697</v>
      </c>
      <c r="C542" s="2"/>
      <c r="D542" s="2"/>
      <c r="E542" s="2">
        <v>0</v>
      </c>
      <c r="F542" s="2">
        <v>85580934.510000005</v>
      </c>
    </row>
    <row r="543" spans="1:6" x14ac:dyDescent="0.3">
      <c r="A543" s="6" t="s">
        <v>698</v>
      </c>
      <c r="B543" s="2" t="s">
        <v>699</v>
      </c>
      <c r="C543" s="2"/>
      <c r="D543" s="2"/>
      <c r="E543" s="2">
        <v>0</v>
      </c>
      <c r="F543" s="2">
        <v>55079706.899999999</v>
      </c>
    </row>
    <row r="544" spans="1:6" x14ac:dyDescent="0.3">
      <c r="A544" s="6" t="s">
        <v>700</v>
      </c>
      <c r="B544" s="2" t="s">
        <v>446</v>
      </c>
      <c r="C544" s="2"/>
      <c r="D544" s="2"/>
      <c r="E544" s="2">
        <v>0</v>
      </c>
      <c r="F544" s="2">
        <v>231136.63</v>
      </c>
    </row>
    <row r="545" spans="1:6" x14ac:dyDescent="0.3">
      <c r="A545" s="6" t="s">
        <v>701</v>
      </c>
      <c r="B545" s="2" t="s">
        <v>461</v>
      </c>
      <c r="C545" s="2"/>
      <c r="D545" s="2"/>
      <c r="E545" s="2">
        <v>0</v>
      </c>
      <c r="F545" s="2">
        <v>128334.84</v>
      </c>
    </row>
    <row r="546" spans="1:6" x14ac:dyDescent="0.3">
      <c r="A546" s="6" t="s">
        <v>702</v>
      </c>
      <c r="B546" s="2" t="s">
        <v>446</v>
      </c>
      <c r="C546" s="2"/>
      <c r="D546" s="2"/>
      <c r="E546" s="2">
        <v>0</v>
      </c>
      <c r="F546" s="2">
        <v>380875.8</v>
      </c>
    </row>
    <row r="547" spans="1:6" x14ac:dyDescent="0.3">
      <c r="A547" s="6" t="s">
        <v>703</v>
      </c>
      <c r="B547" s="2" t="s">
        <v>704</v>
      </c>
      <c r="C547" s="2"/>
      <c r="D547" s="2"/>
      <c r="E547" s="2">
        <v>0</v>
      </c>
      <c r="F547" s="2">
        <v>5674564.1200000001</v>
      </c>
    </row>
    <row r="548" spans="1:6" x14ac:dyDescent="0.3">
      <c r="A548" s="6" t="s">
        <v>705</v>
      </c>
      <c r="B548" s="2" t="s">
        <v>467</v>
      </c>
      <c r="C548" s="2"/>
      <c r="D548" s="2"/>
      <c r="E548" s="2">
        <v>0</v>
      </c>
      <c r="F548" s="2">
        <v>6443870.1399999997</v>
      </c>
    </row>
    <row r="549" spans="1:6" x14ac:dyDescent="0.3">
      <c r="A549" s="6" t="s">
        <v>706</v>
      </c>
      <c r="B549" s="2" t="s">
        <v>469</v>
      </c>
      <c r="C549" s="2"/>
      <c r="D549" s="2"/>
      <c r="E549" s="2">
        <v>0</v>
      </c>
      <c r="F549" s="2">
        <v>378137.03</v>
      </c>
    </row>
    <row r="550" spans="1:6" x14ac:dyDescent="0.3">
      <c r="A550" s="6" t="s">
        <v>707</v>
      </c>
      <c r="B550" s="2" t="s">
        <v>471</v>
      </c>
      <c r="C550" s="2"/>
      <c r="D550" s="2"/>
      <c r="E550" s="2">
        <v>0</v>
      </c>
      <c r="F550" s="2">
        <v>1276.44</v>
      </c>
    </row>
    <row r="551" spans="1:6" x14ac:dyDescent="0.3">
      <c r="A551" s="6" t="s">
        <v>708</v>
      </c>
      <c r="B551" s="2" t="s">
        <v>473</v>
      </c>
      <c r="C551" s="2"/>
      <c r="D551" s="2"/>
      <c r="E551" s="2">
        <v>378137.03</v>
      </c>
      <c r="F551" s="2">
        <v>0</v>
      </c>
    </row>
    <row r="552" spans="1:6" x14ac:dyDescent="0.3">
      <c r="A552" s="6" t="s">
        <v>709</v>
      </c>
      <c r="B552" s="2" t="s">
        <v>475</v>
      </c>
      <c r="C552" s="2"/>
      <c r="D552" s="2"/>
      <c r="E552" s="2">
        <v>0</v>
      </c>
      <c r="F552" s="2">
        <v>0</v>
      </c>
    </row>
    <row r="553" spans="1:6" x14ac:dyDescent="0.3">
      <c r="A553" s="6" t="s">
        <v>710</v>
      </c>
      <c r="B553" s="2" t="s">
        <v>477</v>
      </c>
      <c r="C553" s="2"/>
      <c r="D553" s="2"/>
      <c r="E553" s="2">
        <v>0</v>
      </c>
      <c r="F553" s="2">
        <v>0</v>
      </c>
    </row>
    <row r="554" spans="1:6" x14ac:dyDescent="0.3">
      <c r="A554" s="6" t="s">
        <v>711</v>
      </c>
      <c r="B554" s="2" t="s">
        <v>712</v>
      </c>
      <c r="C554" s="2"/>
      <c r="D554" s="2"/>
      <c r="E554" s="2">
        <v>1325310616.6800001</v>
      </c>
      <c r="F554" s="2">
        <v>0</v>
      </c>
    </row>
    <row r="555" spans="1:6" x14ac:dyDescent="0.3">
      <c r="A555" s="6" t="s">
        <v>713</v>
      </c>
      <c r="B555" s="2" t="s">
        <v>77</v>
      </c>
      <c r="C555" s="2"/>
      <c r="D555" s="2"/>
      <c r="E555" s="2">
        <v>732312118.35000002</v>
      </c>
      <c r="F555" s="2">
        <v>0</v>
      </c>
    </row>
    <row r="556" spans="1:6" x14ac:dyDescent="0.3">
      <c r="A556" s="6" t="s">
        <v>714</v>
      </c>
      <c r="B556" s="2" t="s">
        <v>77</v>
      </c>
      <c r="C556" s="2"/>
      <c r="D556" s="2"/>
      <c r="E556" s="2">
        <v>9782727.1699999999</v>
      </c>
      <c r="F556" s="2">
        <v>0</v>
      </c>
    </row>
    <row r="557" spans="1:6" x14ac:dyDescent="0.3">
      <c r="A557" s="6" t="s">
        <v>715</v>
      </c>
      <c r="B557" s="2" t="s">
        <v>77</v>
      </c>
      <c r="C557" s="2"/>
      <c r="D557" s="2"/>
      <c r="E557" s="2">
        <v>0</v>
      </c>
      <c r="F557" s="2">
        <v>0</v>
      </c>
    </row>
    <row r="558" spans="1:6" x14ac:dyDescent="0.3">
      <c r="A558" s="6" t="s">
        <v>716</v>
      </c>
      <c r="B558" s="2" t="s">
        <v>77</v>
      </c>
      <c r="C558" s="2"/>
      <c r="D558" s="2"/>
      <c r="E558" s="2">
        <v>0</v>
      </c>
      <c r="F558" s="2">
        <v>0</v>
      </c>
    </row>
    <row r="559" spans="1:6" x14ac:dyDescent="0.3">
      <c r="A559" s="6" t="s">
        <v>717</v>
      </c>
      <c r="B559" s="2" t="s">
        <v>499</v>
      </c>
      <c r="C559" s="2"/>
      <c r="D559" s="2"/>
      <c r="E559" s="2">
        <v>1448817.29</v>
      </c>
      <c r="F559" s="2">
        <v>0</v>
      </c>
    </row>
    <row r="560" spans="1:6" x14ac:dyDescent="0.3">
      <c r="A560" s="6" t="s">
        <v>718</v>
      </c>
      <c r="B560" s="2" t="s">
        <v>499</v>
      </c>
      <c r="C560" s="2"/>
      <c r="D560" s="2"/>
      <c r="E560" s="2">
        <v>856669.29</v>
      </c>
      <c r="F560" s="2">
        <v>0</v>
      </c>
    </row>
    <row r="561" spans="1:6" x14ac:dyDescent="0.3">
      <c r="A561" s="6" t="s">
        <v>719</v>
      </c>
      <c r="B561" s="2" t="s">
        <v>499</v>
      </c>
      <c r="C561" s="2"/>
      <c r="D561" s="2"/>
      <c r="E561" s="2">
        <v>109881799.31999999</v>
      </c>
      <c r="F561" s="2">
        <v>0</v>
      </c>
    </row>
    <row r="562" spans="1:6" x14ac:dyDescent="0.3">
      <c r="A562" s="6" t="s">
        <v>720</v>
      </c>
      <c r="B562" s="2" t="s">
        <v>499</v>
      </c>
      <c r="C562" s="2"/>
      <c r="D562" s="2"/>
      <c r="E562" s="2">
        <v>2585055.19</v>
      </c>
      <c r="F562" s="2">
        <v>0</v>
      </c>
    </row>
    <row r="563" spans="1:6" x14ac:dyDescent="0.3">
      <c r="A563" s="6" t="s">
        <v>721</v>
      </c>
      <c r="B563" s="2" t="s">
        <v>499</v>
      </c>
      <c r="C563" s="2"/>
      <c r="D563" s="2"/>
      <c r="E563" s="2">
        <v>5314843</v>
      </c>
      <c r="F563" s="2">
        <v>0</v>
      </c>
    </row>
    <row r="564" spans="1:6" x14ac:dyDescent="0.3">
      <c r="A564" s="6" t="s">
        <v>722</v>
      </c>
      <c r="B564" s="2" t="s">
        <v>499</v>
      </c>
      <c r="C564" s="2"/>
      <c r="D564" s="2"/>
      <c r="E564" s="2">
        <v>8416917.4299999997</v>
      </c>
      <c r="F564" s="2">
        <v>0</v>
      </c>
    </row>
    <row r="565" spans="1:6" x14ac:dyDescent="0.3">
      <c r="A565" s="6" t="s">
        <v>723</v>
      </c>
      <c r="B565" s="2" t="s">
        <v>499</v>
      </c>
      <c r="C565" s="2"/>
      <c r="D565" s="2"/>
      <c r="E565" s="2">
        <v>10592357.16</v>
      </c>
      <c r="F565" s="2">
        <v>0</v>
      </c>
    </row>
    <row r="566" spans="1:6" x14ac:dyDescent="0.3">
      <c r="A566" s="6" t="s">
        <v>724</v>
      </c>
      <c r="B566" s="2" t="s">
        <v>499</v>
      </c>
      <c r="C566" s="2"/>
      <c r="D566" s="2"/>
      <c r="E566" s="2">
        <v>12848542.48</v>
      </c>
      <c r="F566" s="2">
        <v>0</v>
      </c>
    </row>
    <row r="567" spans="1:6" x14ac:dyDescent="0.3">
      <c r="A567" s="6" t="s">
        <v>725</v>
      </c>
      <c r="B567" s="2" t="s">
        <v>499</v>
      </c>
      <c r="C567" s="2"/>
      <c r="D567" s="2"/>
      <c r="E567" s="2">
        <v>2.09</v>
      </c>
      <c r="F567" s="2">
        <v>0</v>
      </c>
    </row>
    <row r="568" spans="1:6" x14ac:dyDescent="0.3">
      <c r="A568" s="6" t="s">
        <v>726</v>
      </c>
      <c r="B568" s="2" t="s">
        <v>499</v>
      </c>
      <c r="C568" s="2"/>
      <c r="D568" s="2"/>
      <c r="E568" s="2">
        <v>26775.5</v>
      </c>
      <c r="F568" s="2">
        <v>0</v>
      </c>
    </row>
    <row r="569" spans="1:6" x14ac:dyDescent="0.3">
      <c r="A569" s="6" t="s">
        <v>727</v>
      </c>
      <c r="B569" s="2" t="s">
        <v>499</v>
      </c>
      <c r="C569" s="2"/>
      <c r="D569" s="2"/>
      <c r="E569" s="2">
        <v>6325762.3700000001</v>
      </c>
      <c r="F569" s="2">
        <v>0</v>
      </c>
    </row>
    <row r="570" spans="1:6" x14ac:dyDescent="0.3">
      <c r="A570" s="6" t="s">
        <v>728</v>
      </c>
      <c r="B570" s="2" t="s">
        <v>499</v>
      </c>
      <c r="C570" s="2"/>
      <c r="D570" s="2"/>
      <c r="E570" s="2">
        <v>62642247.82</v>
      </c>
      <c r="F570" s="2">
        <v>0</v>
      </c>
    </row>
    <row r="571" spans="1:6" x14ac:dyDescent="0.3">
      <c r="A571" s="6" t="s">
        <v>729</v>
      </c>
      <c r="B571" s="2" t="s">
        <v>499</v>
      </c>
      <c r="C571" s="2"/>
      <c r="D571" s="2"/>
      <c r="E571" s="2">
        <v>225.4</v>
      </c>
      <c r="F571" s="2">
        <v>0</v>
      </c>
    </row>
    <row r="572" spans="1:6" x14ac:dyDescent="0.3">
      <c r="A572" s="6" t="s">
        <v>730</v>
      </c>
      <c r="B572" s="2" t="s">
        <v>499</v>
      </c>
      <c r="C572" s="2"/>
      <c r="D572" s="2"/>
      <c r="E572" s="2">
        <v>55708.79</v>
      </c>
      <c r="F572" s="2">
        <v>0</v>
      </c>
    </row>
    <row r="573" spans="1:6" x14ac:dyDescent="0.3">
      <c r="A573" s="6" t="s">
        <v>731</v>
      </c>
      <c r="B573" s="2" t="s">
        <v>499</v>
      </c>
      <c r="C573" s="2"/>
      <c r="D573" s="2"/>
      <c r="E573" s="2">
        <v>534031.79</v>
      </c>
      <c r="F573" s="2">
        <v>0</v>
      </c>
    </row>
    <row r="574" spans="1:6" x14ac:dyDescent="0.3">
      <c r="A574" s="6" t="s">
        <v>732</v>
      </c>
      <c r="B574" s="2" t="s">
        <v>499</v>
      </c>
      <c r="C574" s="2"/>
      <c r="D574" s="2"/>
      <c r="E574" s="2">
        <v>131080412.94</v>
      </c>
      <c r="F574" s="2">
        <v>0</v>
      </c>
    </row>
    <row r="575" spans="1:6" x14ac:dyDescent="0.3">
      <c r="A575" s="6" t="s">
        <v>733</v>
      </c>
      <c r="B575" s="2" t="s">
        <v>499</v>
      </c>
      <c r="C575" s="2"/>
      <c r="D575" s="2"/>
      <c r="E575" s="2">
        <v>13853.41</v>
      </c>
      <c r="F575" s="2">
        <v>0</v>
      </c>
    </row>
    <row r="576" spans="1:6" x14ac:dyDescent="0.3">
      <c r="A576" s="6" t="s">
        <v>734</v>
      </c>
      <c r="B576" s="2" t="s">
        <v>499</v>
      </c>
      <c r="C576" s="2"/>
      <c r="D576" s="2"/>
      <c r="E576" s="2">
        <v>727235.58</v>
      </c>
      <c r="F576" s="2">
        <v>0</v>
      </c>
    </row>
    <row r="577" spans="1:6" x14ac:dyDescent="0.3">
      <c r="A577" s="6" t="s">
        <v>735</v>
      </c>
      <c r="B577" s="2" t="s">
        <v>736</v>
      </c>
      <c r="C577" s="2"/>
      <c r="D577" s="2"/>
      <c r="E577" s="2">
        <v>119381409.98</v>
      </c>
      <c r="F577" s="2">
        <v>0</v>
      </c>
    </row>
    <row r="578" spans="1:6" x14ac:dyDescent="0.3">
      <c r="A578" s="6" t="s">
        <v>737</v>
      </c>
      <c r="B578" s="2" t="s">
        <v>738</v>
      </c>
      <c r="C578" s="2"/>
      <c r="D578" s="2"/>
      <c r="E578" s="2">
        <v>28662857.079999998</v>
      </c>
      <c r="F578" s="2">
        <v>0</v>
      </c>
    </row>
    <row r="579" spans="1:6" x14ac:dyDescent="0.3">
      <c r="A579" s="6" t="s">
        <v>739</v>
      </c>
      <c r="B579" s="2" t="s">
        <v>740</v>
      </c>
      <c r="C579" s="2"/>
      <c r="D579" s="2"/>
      <c r="E579" s="2">
        <v>8443523.0700000003</v>
      </c>
      <c r="F579" s="2">
        <v>0</v>
      </c>
    </row>
    <row r="580" spans="1:6" x14ac:dyDescent="0.3">
      <c r="A580" s="6" t="s">
        <v>741</v>
      </c>
      <c r="B580" s="2" t="s">
        <v>742</v>
      </c>
      <c r="C580" s="2"/>
      <c r="D580" s="2"/>
      <c r="E580" s="2">
        <v>58523303.140000001</v>
      </c>
      <c r="F580" s="2">
        <v>0</v>
      </c>
    </row>
    <row r="581" spans="1:6" x14ac:dyDescent="0.3">
      <c r="A581" s="6" t="s">
        <v>743</v>
      </c>
      <c r="B581" s="2" t="s">
        <v>129</v>
      </c>
      <c r="C581" s="2"/>
      <c r="D581" s="2"/>
      <c r="E581" s="2">
        <v>6960.03</v>
      </c>
      <c r="F581" s="2">
        <v>0</v>
      </c>
    </row>
    <row r="582" spans="1:6" x14ac:dyDescent="0.3">
      <c r="A582" s="6" t="s">
        <v>744</v>
      </c>
      <c r="B582" s="2" t="s">
        <v>131</v>
      </c>
      <c r="C582" s="2"/>
      <c r="D582" s="2"/>
      <c r="E582" s="2">
        <v>460.9</v>
      </c>
      <c r="F582" s="2">
        <v>0</v>
      </c>
    </row>
    <row r="583" spans="1:6" x14ac:dyDescent="0.3">
      <c r="A583" s="6" t="s">
        <v>745</v>
      </c>
      <c r="B583" s="2" t="s">
        <v>133</v>
      </c>
      <c r="C583" s="2"/>
      <c r="D583" s="2"/>
      <c r="E583" s="2">
        <v>141407.85999999999</v>
      </c>
      <c r="F583" s="2">
        <v>0</v>
      </c>
    </row>
    <row r="584" spans="1:6" x14ac:dyDescent="0.3">
      <c r="A584" s="6" t="s">
        <v>746</v>
      </c>
      <c r="B584" s="2" t="s">
        <v>570</v>
      </c>
      <c r="C584" s="2"/>
      <c r="D584" s="2"/>
      <c r="E584" s="2">
        <v>249714.63</v>
      </c>
      <c r="F584" s="2">
        <v>0</v>
      </c>
    </row>
    <row r="585" spans="1:6" x14ac:dyDescent="0.3">
      <c r="A585" s="6" t="s">
        <v>747</v>
      </c>
      <c r="B585" s="2" t="s">
        <v>748</v>
      </c>
      <c r="C585" s="2"/>
      <c r="D585" s="2"/>
      <c r="E585" s="2">
        <v>180054.55</v>
      </c>
      <c r="F585" s="2">
        <v>0</v>
      </c>
    </row>
    <row r="586" spans="1:6" x14ac:dyDescent="0.3">
      <c r="A586" s="6" t="s">
        <v>749</v>
      </c>
      <c r="B586" s="2" t="s">
        <v>77</v>
      </c>
      <c r="C586" s="2"/>
      <c r="D586" s="2"/>
      <c r="E586" s="2">
        <v>31435837.41</v>
      </c>
      <c r="F586" s="2">
        <v>0</v>
      </c>
    </row>
    <row r="587" spans="1:6" x14ac:dyDescent="0.3">
      <c r="A587" s="6" t="s">
        <v>750</v>
      </c>
      <c r="B587" s="2" t="s">
        <v>77</v>
      </c>
      <c r="C587" s="2"/>
      <c r="D587" s="2"/>
      <c r="E587" s="2">
        <v>82904503.959999993</v>
      </c>
      <c r="F587" s="2">
        <v>0</v>
      </c>
    </row>
    <row r="588" spans="1:6" x14ac:dyDescent="0.3">
      <c r="A588" s="6" t="s">
        <v>751</v>
      </c>
      <c r="B588" s="2" t="s">
        <v>77</v>
      </c>
      <c r="C588" s="2"/>
      <c r="D588" s="2"/>
      <c r="E588" s="2">
        <v>0</v>
      </c>
      <c r="F588" s="2">
        <v>0</v>
      </c>
    </row>
    <row r="589" spans="1:6" x14ac:dyDescent="0.3">
      <c r="A589" s="6" t="s">
        <v>752</v>
      </c>
      <c r="B589" s="2" t="s">
        <v>77</v>
      </c>
      <c r="C589" s="2"/>
      <c r="D589" s="2"/>
      <c r="E589" s="2">
        <v>380243.3</v>
      </c>
      <c r="F589" s="2">
        <v>0</v>
      </c>
    </row>
    <row r="590" spans="1:6" x14ac:dyDescent="0.3">
      <c r="A590" s="6" t="s">
        <v>753</v>
      </c>
      <c r="B590" s="2" t="s">
        <v>77</v>
      </c>
      <c r="C590" s="2"/>
      <c r="D590" s="2"/>
      <c r="E590" s="2">
        <v>0</v>
      </c>
      <c r="F590" s="2">
        <v>0</v>
      </c>
    </row>
    <row r="591" spans="1:6" x14ac:dyDescent="0.3">
      <c r="A591" s="6" t="s">
        <v>754</v>
      </c>
      <c r="B591" s="2" t="s">
        <v>133</v>
      </c>
      <c r="C591" s="2"/>
      <c r="D591" s="2"/>
      <c r="E591" s="2">
        <v>3914594</v>
      </c>
      <c r="F591" s="2">
        <v>0</v>
      </c>
    </row>
    <row r="592" spans="1:6" x14ac:dyDescent="0.3">
      <c r="A592" s="6" t="s">
        <v>755</v>
      </c>
      <c r="B592" s="2" t="s">
        <v>570</v>
      </c>
      <c r="C592" s="2"/>
      <c r="D592" s="2"/>
      <c r="E592" s="2">
        <v>106685304.83</v>
      </c>
      <c r="F592" s="2">
        <v>0</v>
      </c>
    </row>
    <row r="593" spans="1:6" x14ac:dyDescent="0.3">
      <c r="A593" s="6" t="s">
        <v>756</v>
      </c>
      <c r="B593" s="2" t="s">
        <v>757</v>
      </c>
      <c r="C593" s="2"/>
      <c r="D593" s="2"/>
      <c r="E593" s="2">
        <v>630</v>
      </c>
      <c r="F593" s="2">
        <v>0</v>
      </c>
    </row>
    <row r="594" spans="1:6" x14ac:dyDescent="0.3">
      <c r="A594" s="6" t="s">
        <v>758</v>
      </c>
      <c r="B594" s="2" t="s">
        <v>757</v>
      </c>
      <c r="C594" s="2"/>
      <c r="D594" s="2"/>
      <c r="E594" s="2">
        <v>45</v>
      </c>
      <c r="F594" s="2">
        <v>0</v>
      </c>
    </row>
    <row r="595" spans="1:6" x14ac:dyDescent="0.3">
      <c r="A595" s="6" t="s">
        <v>759</v>
      </c>
      <c r="B595" s="2" t="s">
        <v>760</v>
      </c>
      <c r="C595" s="2"/>
      <c r="D595" s="2"/>
      <c r="E595" s="2">
        <v>35728551.490000002</v>
      </c>
      <c r="F595" s="2">
        <v>0</v>
      </c>
    </row>
    <row r="596" spans="1:6" x14ac:dyDescent="0.3">
      <c r="A596" s="6" t="s">
        <v>761</v>
      </c>
      <c r="B596" s="2" t="s">
        <v>757</v>
      </c>
      <c r="C596" s="2"/>
      <c r="D596" s="2"/>
      <c r="E596" s="2">
        <v>11028.84</v>
      </c>
      <c r="F596" s="2">
        <v>0</v>
      </c>
    </row>
    <row r="597" spans="1:6" x14ac:dyDescent="0.3">
      <c r="A597" s="6" t="s">
        <v>762</v>
      </c>
      <c r="B597" s="2" t="s">
        <v>763</v>
      </c>
      <c r="C597" s="2"/>
      <c r="D597" s="2"/>
      <c r="E597" s="2">
        <v>1085.23</v>
      </c>
      <c r="F597" s="2">
        <v>0</v>
      </c>
    </row>
    <row r="598" spans="1:6" x14ac:dyDescent="0.3">
      <c r="A598" s="6" t="s">
        <v>764</v>
      </c>
      <c r="B598" s="2" t="s">
        <v>765</v>
      </c>
      <c r="C598" s="2"/>
      <c r="D598" s="2"/>
      <c r="E598" s="2">
        <v>12329.17</v>
      </c>
      <c r="F598" s="2">
        <v>0</v>
      </c>
    </row>
    <row r="599" spans="1:6" x14ac:dyDescent="0.3">
      <c r="A599" s="6" t="s">
        <v>766</v>
      </c>
      <c r="B599" s="2" t="s">
        <v>757</v>
      </c>
      <c r="C599" s="2"/>
      <c r="D599" s="2"/>
      <c r="E599" s="2">
        <v>31577.51</v>
      </c>
      <c r="F599" s="2">
        <v>0</v>
      </c>
    </row>
    <row r="600" spans="1:6" x14ac:dyDescent="0.3">
      <c r="A600" s="6" t="s">
        <v>767</v>
      </c>
      <c r="B600" s="2" t="s">
        <v>768</v>
      </c>
      <c r="C600" s="2"/>
      <c r="D600" s="2"/>
      <c r="E600" s="2">
        <v>4701251.5999999996</v>
      </c>
      <c r="F600" s="2">
        <v>0</v>
      </c>
    </row>
    <row r="601" spans="1:6" x14ac:dyDescent="0.3">
      <c r="A601" s="6" t="s">
        <v>769</v>
      </c>
      <c r="B601" s="2" t="s">
        <v>736</v>
      </c>
      <c r="C601" s="2"/>
      <c r="D601" s="2"/>
      <c r="E601" s="2">
        <v>1008405.77</v>
      </c>
      <c r="F601" s="2">
        <v>0</v>
      </c>
    </row>
    <row r="602" spans="1:6" x14ac:dyDescent="0.3">
      <c r="A602" s="6" t="s">
        <v>770</v>
      </c>
      <c r="B602" s="2" t="s">
        <v>738</v>
      </c>
      <c r="C602" s="2"/>
      <c r="D602" s="2"/>
      <c r="E602" s="2">
        <v>12063667.279999999</v>
      </c>
      <c r="F602" s="2">
        <v>0</v>
      </c>
    </row>
    <row r="603" spans="1:6" x14ac:dyDescent="0.3">
      <c r="A603" s="6" t="s">
        <v>771</v>
      </c>
      <c r="B603" s="2" t="s">
        <v>772</v>
      </c>
      <c r="C603" s="2"/>
      <c r="D603" s="2"/>
      <c r="E603" s="2">
        <v>3748604.83</v>
      </c>
      <c r="F603" s="2">
        <v>0</v>
      </c>
    </row>
    <row r="604" spans="1:6" x14ac:dyDescent="0.3">
      <c r="A604" s="6" t="s">
        <v>773</v>
      </c>
      <c r="B604" s="2" t="s">
        <v>774</v>
      </c>
      <c r="C604" s="2"/>
      <c r="D604" s="2"/>
      <c r="E604" s="2">
        <v>7596837.9199999999</v>
      </c>
      <c r="F604" s="2">
        <v>0</v>
      </c>
    </row>
    <row r="605" spans="1:6" x14ac:dyDescent="0.3">
      <c r="A605" s="6" t="s">
        <v>775</v>
      </c>
      <c r="B605" s="2" t="s">
        <v>776</v>
      </c>
      <c r="C605" s="2"/>
      <c r="D605" s="2"/>
      <c r="E605" s="2">
        <v>7173445.6799999997</v>
      </c>
      <c r="F605" s="2">
        <v>0</v>
      </c>
    </row>
    <row r="606" spans="1:6" x14ac:dyDescent="0.3">
      <c r="A606" s="6" t="s">
        <v>777</v>
      </c>
      <c r="B606" s="2" t="s">
        <v>778</v>
      </c>
      <c r="C606" s="2"/>
      <c r="D606" s="2"/>
      <c r="E606" s="2">
        <v>1113557.97</v>
      </c>
      <c r="F606" s="2">
        <v>0</v>
      </c>
    </row>
    <row r="607" spans="1:6" x14ac:dyDescent="0.3">
      <c r="A607" s="6" t="s">
        <v>779</v>
      </c>
      <c r="B607" s="2" t="s">
        <v>780</v>
      </c>
      <c r="C607" s="2"/>
      <c r="D607" s="2"/>
      <c r="E607" s="2">
        <v>32892392.399999999</v>
      </c>
      <c r="F607" s="2">
        <v>0</v>
      </c>
    </row>
    <row r="608" spans="1:6" x14ac:dyDescent="0.3">
      <c r="A608" s="6" t="s">
        <v>781</v>
      </c>
      <c r="B608" s="2" t="s">
        <v>782</v>
      </c>
      <c r="C608" s="2"/>
      <c r="D608" s="2"/>
      <c r="E608" s="2">
        <v>989631.53</v>
      </c>
      <c r="F608" s="2">
        <v>0</v>
      </c>
    </row>
    <row r="609" spans="1:6" x14ac:dyDescent="0.3">
      <c r="A609" s="6" t="s">
        <v>783</v>
      </c>
      <c r="B609" s="2" t="s">
        <v>784</v>
      </c>
      <c r="C609" s="2"/>
      <c r="D609" s="2"/>
      <c r="E609" s="2">
        <v>6266882.6200000001</v>
      </c>
      <c r="F609" s="2">
        <v>0</v>
      </c>
    </row>
    <row r="610" spans="1:6" x14ac:dyDescent="0.3">
      <c r="A610" s="6" t="s">
        <v>785</v>
      </c>
      <c r="B610" s="2" t="s">
        <v>786</v>
      </c>
      <c r="C610" s="2"/>
      <c r="D610" s="2"/>
      <c r="E610" s="2">
        <v>5684704.5099999998</v>
      </c>
      <c r="F610" s="2">
        <v>0</v>
      </c>
    </row>
    <row r="611" spans="1:6" x14ac:dyDescent="0.3">
      <c r="A611" s="6" t="s">
        <v>787</v>
      </c>
      <c r="B611" s="2" t="s">
        <v>788</v>
      </c>
      <c r="C611" s="2"/>
      <c r="D611" s="2"/>
      <c r="E611" s="2">
        <v>1425180.39</v>
      </c>
      <c r="F611" s="2">
        <v>0</v>
      </c>
    </row>
    <row r="612" spans="1:6" x14ac:dyDescent="0.3">
      <c r="A612" s="6" t="s">
        <v>789</v>
      </c>
      <c r="B612" s="2" t="s">
        <v>469</v>
      </c>
      <c r="C612" s="2"/>
      <c r="D612" s="2"/>
      <c r="E612" s="2">
        <v>35571741.100000001</v>
      </c>
      <c r="F612" s="2">
        <v>0</v>
      </c>
    </row>
    <row r="613" spans="1:6" x14ac:dyDescent="0.3">
      <c r="A613" s="6" t="s">
        <v>790</v>
      </c>
      <c r="B613" s="2" t="s">
        <v>467</v>
      </c>
      <c r="C613" s="2"/>
      <c r="D613" s="2"/>
      <c r="E613" s="2">
        <v>3323639.71</v>
      </c>
      <c r="F613" s="2">
        <v>0</v>
      </c>
    </row>
    <row r="614" spans="1:6" x14ac:dyDescent="0.3">
      <c r="A614" s="6" t="s">
        <v>791</v>
      </c>
      <c r="B614" s="2" t="s">
        <v>792</v>
      </c>
      <c r="C614" s="2"/>
      <c r="D614" s="2"/>
      <c r="E614" s="2">
        <v>11988902.65</v>
      </c>
      <c r="F614" s="2">
        <v>0</v>
      </c>
    </row>
    <row r="615" spans="1:6" x14ac:dyDescent="0.3">
      <c r="A615" s="6" t="s">
        <v>793</v>
      </c>
      <c r="B615" s="2" t="s">
        <v>794</v>
      </c>
      <c r="C615" s="2"/>
      <c r="D615" s="2"/>
      <c r="E615" s="2">
        <v>4989414.8499999996</v>
      </c>
      <c r="F615" s="2">
        <v>0</v>
      </c>
    </row>
    <row r="616" spans="1:6" x14ac:dyDescent="0.3">
      <c r="A616" s="6" t="s">
        <v>795</v>
      </c>
      <c r="B616" s="2" t="s">
        <v>794</v>
      </c>
      <c r="C616" s="2"/>
      <c r="D616" s="2"/>
      <c r="E616" s="2">
        <v>673905.31</v>
      </c>
      <c r="F616" s="2">
        <v>0</v>
      </c>
    </row>
    <row r="617" spans="1:6" x14ac:dyDescent="0.3">
      <c r="A617" s="6" t="s">
        <v>796</v>
      </c>
      <c r="B617" s="2" t="s">
        <v>77</v>
      </c>
      <c r="C617" s="2"/>
      <c r="D617" s="2"/>
      <c r="E617" s="2">
        <v>525572298.37</v>
      </c>
      <c r="F617" s="2">
        <v>0</v>
      </c>
    </row>
    <row r="618" spans="1:6" x14ac:dyDescent="0.3">
      <c r="A618" s="6" t="s">
        <v>797</v>
      </c>
      <c r="B618" s="2" t="s">
        <v>77</v>
      </c>
      <c r="C618" s="2"/>
      <c r="D618" s="2"/>
      <c r="E618" s="2">
        <v>495193068.88999999</v>
      </c>
      <c r="F618" s="2">
        <v>0</v>
      </c>
    </row>
    <row r="619" spans="1:6" x14ac:dyDescent="0.3">
      <c r="A619" s="6" t="s">
        <v>798</v>
      </c>
      <c r="B619" s="2" t="s">
        <v>82</v>
      </c>
      <c r="C619" s="2"/>
      <c r="D619" s="2"/>
      <c r="E619" s="2">
        <v>7340640.0099999998</v>
      </c>
      <c r="F619" s="2">
        <v>0</v>
      </c>
    </row>
    <row r="620" spans="1:6" x14ac:dyDescent="0.3">
      <c r="A620" s="6" t="s">
        <v>799</v>
      </c>
      <c r="B620" s="2" t="s">
        <v>77</v>
      </c>
      <c r="C620" s="2"/>
      <c r="D620" s="2"/>
      <c r="E620" s="2">
        <v>1148757.93</v>
      </c>
      <c r="F620" s="2">
        <v>0</v>
      </c>
    </row>
    <row r="621" spans="1:6" x14ac:dyDescent="0.3">
      <c r="A621" s="6" t="s">
        <v>800</v>
      </c>
      <c r="B621" s="2" t="s">
        <v>82</v>
      </c>
      <c r="C621" s="2"/>
      <c r="D621" s="2"/>
      <c r="E621" s="2">
        <v>0</v>
      </c>
      <c r="F621" s="2">
        <v>0</v>
      </c>
    </row>
    <row r="622" spans="1:6" x14ac:dyDescent="0.3">
      <c r="A622" s="6" t="s">
        <v>801</v>
      </c>
      <c r="B622" s="2" t="s">
        <v>77</v>
      </c>
      <c r="C622" s="2"/>
      <c r="D622" s="2"/>
      <c r="E622" s="2">
        <v>3698403.14</v>
      </c>
      <c r="F622" s="2">
        <v>0</v>
      </c>
    </row>
    <row r="623" spans="1:6" x14ac:dyDescent="0.3">
      <c r="A623" s="6" t="s">
        <v>802</v>
      </c>
      <c r="B623" s="2" t="s">
        <v>82</v>
      </c>
      <c r="C623" s="2"/>
      <c r="D623" s="2"/>
      <c r="E623" s="2">
        <v>9087955.1099999994</v>
      </c>
      <c r="F623" s="2">
        <v>0</v>
      </c>
    </row>
    <row r="624" spans="1:6" x14ac:dyDescent="0.3">
      <c r="A624" s="6" t="s">
        <v>803</v>
      </c>
      <c r="B624" s="2" t="s">
        <v>77</v>
      </c>
      <c r="C624" s="2"/>
      <c r="D624" s="2"/>
      <c r="E624" s="2">
        <v>17256296.640000001</v>
      </c>
      <c r="F624" s="2">
        <v>0</v>
      </c>
    </row>
    <row r="625" spans="1:6" x14ac:dyDescent="0.3">
      <c r="A625" s="6" t="s">
        <v>804</v>
      </c>
      <c r="B625" s="2" t="s">
        <v>82</v>
      </c>
      <c r="C625" s="2"/>
      <c r="D625" s="2"/>
      <c r="E625" s="2">
        <v>3521719.68</v>
      </c>
      <c r="F625" s="2">
        <v>0</v>
      </c>
    </row>
    <row r="626" spans="1:6" x14ac:dyDescent="0.3">
      <c r="A626" s="6" t="s">
        <v>805</v>
      </c>
      <c r="B626" s="2" t="s">
        <v>77</v>
      </c>
      <c r="C626" s="2"/>
      <c r="D626" s="2"/>
      <c r="E626" s="2">
        <v>0</v>
      </c>
      <c r="F626" s="2">
        <v>0</v>
      </c>
    </row>
    <row r="627" spans="1:6" x14ac:dyDescent="0.3">
      <c r="A627" s="6" t="s">
        <v>806</v>
      </c>
      <c r="B627" s="2" t="s">
        <v>82</v>
      </c>
      <c r="C627" s="2"/>
      <c r="D627" s="2"/>
      <c r="E627" s="2">
        <v>0</v>
      </c>
      <c r="F627" s="2">
        <v>0</v>
      </c>
    </row>
    <row r="628" spans="1:6" x14ac:dyDescent="0.3">
      <c r="A628" s="6" t="s">
        <v>807</v>
      </c>
      <c r="B628" s="2" t="s">
        <v>79</v>
      </c>
      <c r="C628" s="2"/>
      <c r="D628" s="2"/>
      <c r="E628" s="2">
        <v>3486496.59</v>
      </c>
      <c r="F628" s="2">
        <v>0</v>
      </c>
    </row>
    <row r="629" spans="1:6" x14ac:dyDescent="0.3">
      <c r="A629" s="6" t="s">
        <v>808</v>
      </c>
      <c r="B629" s="2" t="s">
        <v>77</v>
      </c>
      <c r="C629" s="2"/>
      <c r="D629" s="2"/>
      <c r="E629" s="2">
        <v>603569.52</v>
      </c>
      <c r="F629" s="2">
        <v>0</v>
      </c>
    </row>
    <row r="630" spans="1:6" x14ac:dyDescent="0.3">
      <c r="A630" s="6" t="s">
        <v>809</v>
      </c>
      <c r="B630" s="2" t="s">
        <v>79</v>
      </c>
      <c r="C630" s="2"/>
      <c r="D630" s="2"/>
      <c r="E630" s="2">
        <v>4840402.49</v>
      </c>
      <c r="F630" s="2">
        <v>0</v>
      </c>
    </row>
    <row r="631" spans="1:6" x14ac:dyDescent="0.3">
      <c r="A631" s="6" t="s">
        <v>810</v>
      </c>
      <c r="B631" s="2" t="s">
        <v>77</v>
      </c>
      <c r="C631" s="2"/>
      <c r="D631" s="2"/>
      <c r="E631" s="2">
        <v>775685.31</v>
      </c>
      <c r="F631" s="2">
        <v>0</v>
      </c>
    </row>
    <row r="632" spans="1:6" x14ac:dyDescent="0.3">
      <c r="A632" s="6" t="s">
        <v>811</v>
      </c>
      <c r="B632" s="2" t="s">
        <v>79</v>
      </c>
      <c r="C632" s="2"/>
      <c r="D632" s="2"/>
      <c r="E632" s="2">
        <v>0</v>
      </c>
      <c r="F632" s="2">
        <v>0</v>
      </c>
    </row>
    <row r="633" spans="1:6" x14ac:dyDescent="0.3">
      <c r="A633" s="6" t="s">
        <v>812</v>
      </c>
      <c r="B633" s="2" t="s">
        <v>77</v>
      </c>
      <c r="C633" s="2"/>
      <c r="D633" s="2"/>
      <c r="E633" s="2">
        <v>0</v>
      </c>
      <c r="F633" s="2">
        <v>0</v>
      </c>
    </row>
    <row r="634" spans="1:6" x14ac:dyDescent="0.3">
      <c r="A634" s="6" t="s">
        <v>813</v>
      </c>
      <c r="B634" s="2" t="s">
        <v>79</v>
      </c>
      <c r="C634" s="2"/>
      <c r="D634" s="2"/>
      <c r="E634" s="2">
        <v>2437100.5</v>
      </c>
      <c r="F634" s="2">
        <v>0</v>
      </c>
    </row>
    <row r="635" spans="1:6" x14ac:dyDescent="0.3">
      <c r="A635" s="6" t="s">
        <v>814</v>
      </c>
      <c r="B635" s="2" t="s">
        <v>77</v>
      </c>
      <c r="C635" s="2"/>
      <c r="D635" s="2"/>
      <c r="E635" s="2">
        <v>24975.37</v>
      </c>
      <c r="F635" s="2">
        <v>0</v>
      </c>
    </row>
    <row r="636" spans="1:6" x14ac:dyDescent="0.3">
      <c r="A636" s="6" t="s">
        <v>815</v>
      </c>
      <c r="B636" s="2" t="s">
        <v>79</v>
      </c>
      <c r="C636" s="2"/>
      <c r="D636" s="2"/>
      <c r="E636" s="2">
        <v>1911450.06</v>
      </c>
      <c r="F636" s="2">
        <v>0</v>
      </c>
    </row>
    <row r="637" spans="1:6" x14ac:dyDescent="0.3">
      <c r="A637" s="6" t="s">
        <v>816</v>
      </c>
      <c r="B637" s="2" t="s">
        <v>131</v>
      </c>
      <c r="C637" s="2"/>
      <c r="D637" s="2"/>
      <c r="E637" s="2">
        <v>13596939.75</v>
      </c>
      <c r="F637" s="2">
        <v>0</v>
      </c>
    </row>
    <row r="638" spans="1:6" x14ac:dyDescent="0.3">
      <c r="A638" s="6" t="s">
        <v>817</v>
      </c>
      <c r="B638" s="2" t="s">
        <v>131</v>
      </c>
      <c r="C638" s="2"/>
      <c r="D638" s="2"/>
      <c r="E638" s="2">
        <v>3120616.65</v>
      </c>
      <c r="F638" s="2">
        <v>0</v>
      </c>
    </row>
    <row r="639" spans="1:6" x14ac:dyDescent="0.3">
      <c r="A639" s="6" t="s">
        <v>818</v>
      </c>
      <c r="B639" s="2" t="s">
        <v>131</v>
      </c>
      <c r="C639" s="2"/>
      <c r="D639" s="2"/>
      <c r="E639" s="2">
        <v>120.69</v>
      </c>
      <c r="F639" s="2">
        <v>0</v>
      </c>
    </row>
    <row r="640" spans="1:6" x14ac:dyDescent="0.3">
      <c r="A640" s="6" t="s">
        <v>819</v>
      </c>
      <c r="B640" s="2" t="s">
        <v>133</v>
      </c>
      <c r="C640" s="2"/>
      <c r="D640" s="2"/>
      <c r="E640" s="2">
        <v>0.01</v>
      </c>
      <c r="F640" s="2">
        <v>0</v>
      </c>
    </row>
    <row r="641" spans="1:6" x14ac:dyDescent="0.3">
      <c r="A641" s="6" t="s">
        <v>820</v>
      </c>
      <c r="B641" s="2" t="s">
        <v>77</v>
      </c>
      <c r="C641" s="2"/>
      <c r="D641" s="2"/>
      <c r="E641" s="2">
        <v>48513335.600000001</v>
      </c>
      <c r="F641" s="2">
        <v>0</v>
      </c>
    </row>
    <row r="642" spans="1:6" x14ac:dyDescent="0.3">
      <c r="A642" s="6" t="s">
        <v>821</v>
      </c>
      <c r="B642" s="2" t="s">
        <v>77</v>
      </c>
      <c r="C642" s="2"/>
      <c r="D642" s="2"/>
      <c r="E642" s="2">
        <v>30283920.920000002</v>
      </c>
      <c r="F642" s="2">
        <v>0</v>
      </c>
    </row>
    <row r="643" spans="1:6" x14ac:dyDescent="0.3">
      <c r="A643" s="6" t="s">
        <v>822</v>
      </c>
      <c r="B643" s="2" t="s">
        <v>77</v>
      </c>
      <c r="C643" s="2"/>
      <c r="D643" s="2"/>
      <c r="E643" s="2">
        <v>34591.040000000001</v>
      </c>
      <c r="F643" s="2">
        <v>0</v>
      </c>
    </row>
    <row r="644" spans="1:6" x14ac:dyDescent="0.3">
      <c r="A644" s="6" t="s">
        <v>823</v>
      </c>
      <c r="B644" s="2" t="s">
        <v>824</v>
      </c>
      <c r="C644" s="2"/>
      <c r="D644" s="2"/>
      <c r="E644" s="2">
        <v>13965615.27</v>
      </c>
      <c r="F644" s="2">
        <v>0</v>
      </c>
    </row>
    <row r="645" spans="1:6" x14ac:dyDescent="0.3">
      <c r="A645" s="6" t="s">
        <v>825</v>
      </c>
      <c r="B645" s="2" t="s">
        <v>748</v>
      </c>
      <c r="C645" s="2"/>
      <c r="D645" s="2"/>
      <c r="E645" s="2">
        <v>389363.57</v>
      </c>
      <c r="F645" s="2">
        <v>0</v>
      </c>
    </row>
    <row r="646" spans="1:6" x14ac:dyDescent="0.3">
      <c r="A646" s="6" t="s">
        <v>826</v>
      </c>
      <c r="B646" s="2" t="s">
        <v>827</v>
      </c>
      <c r="C646" s="2"/>
      <c r="D646" s="2"/>
      <c r="E646" s="2">
        <v>364228.48</v>
      </c>
      <c r="F646" s="2">
        <v>0</v>
      </c>
    </row>
    <row r="647" spans="1:6" x14ac:dyDescent="0.3">
      <c r="A647" s="6" t="s">
        <v>828</v>
      </c>
      <c r="B647" s="2" t="s">
        <v>829</v>
      </c>
      <c r="C647" s="2"/>
      <c r="D647" s="2"/>
      <c r="E647" s="2">
        <v>3163488.25</v>
      </c>
      <c r="F647" s="2">
        <v>0</v>
      </c>
    </row>
    <row r="648" spans="1:6" x14ac:dyDescent="0.3">
      <c r="A648" s="6" t="s">
        <v>830</v>
      </c>
      <c r="B648" s="2" t="s">
        <v>831</v>
      </c>
      <c r="C648" s="2"/>
      <c r="D648" s="2"/>
      <c r="E648" s="2">
        <v>76691066.040000007</v>
      </c>
      <c r="F648" s="2">
        <v>0</v>
      </c>
    </row>
    <row r="649" spans="1:6" x14ac:dyDescent="0.3">
      <c r="A649" s="6" t="s">
        <v>832</v>
      </c>
      <c r="B649" s="2" t="s">
        <v>833</v>
      </c>
      <c r="C649" s="2"/>
      <c r="D649" s="2"/>
      <c r="E649" s="2">
        <v>21390651.609999999</v>
      </c>
      <c r="F649" s="2">
        <v>0</v>
      </c>
    </row>
    <row r="650" spans="1:6" x14ac:dyDescent="0.3">
      <c r="A650" s="6" t="s">
        <v>834</v>
      </c>
      <c r="B650" s="2" t="s">
        <v>835</v>
      </c>
      <c r="C650" s="2"/>
      <c r="D650" s="2"/>
      <c r="E650" s="2">
        <v>278174.7</v>
      </c>
      <c r="F650" s="2">
        <v>0</v>
      </c>
    </row>
    <row r="651" spans="1:6" x14ac:dyDescent="0.3">
      <c r="A651" s="6" t="s">
        <v>836</v>
      </c>
      <c r="B651" s="2" t="s">
        <v>837</v>
      </c>
      <c r="C651" s="2"/>
      <c r="D651" s="2"/>
      <c r="E651" s="2">
        <v>391063.41</v>
      </c>
      <c r="F651" s="2">
        <v>0</v>
      </c>
    </row>
    <row r="652" spans="1:6" x14ac:dyDescent="0.3">
      <c r="A652" s="6" t="s">
        <v>838</v>
      </c>
      <c r="B652" s="2" t="s">
        <v>839</v>
      </c>
      <c r="C652" s="2"/>
      <c r="D652" s="2"/>
      <c r="E652" s="2">
        <v>141640.29</v>
      </c>
      <c r="F652" s="2">
        <v>0</v>
      </c>
    </row>
    <row r="653" spans="1:6" x14ac:dyDescent="0.3">
      <c r="A653" s="6" t="s">
        <v>840</v>
      </c>
      <c r="B653" s="2" t="s">
        <v>841</v>
      </c>
      <c r="C653" s="2"/>
      <c r="D653" s="2"/>
      <c r="E653" s="2">
        <v>9251535.9399999995</v>
      </c>
      <c r="F653" s="2">
        <v>0</v>
      </c>
    </row>
    <row r="654" spans="1:6" x14ac:dyDescent="0.3">
      <c r="A654" s="6" t="s">
        <v>842</v>
      </c>
      <c r="B654" s="2" t="s">
        <v>843</v>
      </c>
      <c r="C654" s="2"/>
      <c r="D654" s="2"/>
      <c r="E654" s="2">
        <v>21230407.120000001</v>
      </c>
      <c r="F654" s="2">
        <v>0</v>
      </c>
    </row>
    <row r="655" spans="1:6" x14ac:dyDescent="0.3">
      <c r="A655" s="6" t="s">
        <v>844</v>
      </c>
      <c r="B655" s="2" t="s">
        <v>845</v>
      </c>
      <c r="C655" s="2"/>
      <c r="D655" s="2"/>
      <c r="E655" s="2">
        <v>729800.25</v>
      </c>
      <c r="F655" s="2">
        <v>0</v>
      </c>
    </row>
    <row r="656" spans="1:6" x14ac:dyDescent="0.3">
      <c r="A656" s="6" t="s">
        <v>846</v>
      </c>
      <c r="B656" s="2" t="s">
        <v>847</v>
      </c>
      <c r="C656" s="2"/>
      <c r="D656" s="2"/>
      <c r="E656" s="2">
        <v>6607968.8799999999</v>
      </c>
      <c r="F656" s="2">
        <v>0</v>
      </c>
    </row>
    <row r="657" spans="1:6" x14ac:dyDescent="0.3">
      <c r="A657" s="6" t="s">
        <v>848</v>
      </c>
      <c r="B657" s="2" t="s">
        <v>849</v>
      </c>
      <c r="C657" s="2"/>
      <c r="D657" s="2"/>
      <c r="E657" s="2">
        <v>1463.27</v>
      </c>
      <c r="F657" s="2">
        <v>0</v>
      </c>
    </row>
    <row r="658" spans="1:6" x14ac:dyDescent="0.3">
      <c r="A658" s="6" t="s">
        <v>850</v>
      </c>
      <c r="B658" s="2" t="s">
        <v>851</v>
      </c>
      <c r="C658" s="2"/>
      <c r="D658" s="2"/>
      <c r="E658" s="2">
        <v>974467.51</v>
      </c>
      <c r="F658" s="2">
        <v>0</v>
      </c>
    </row>
    <row r="659" spans="1:6" x14ac:dyDescent="0.3">
      <c r="A659" s="6" t="s">
        <v>852</v>
      </c>
      <c r="B659" s="2" t="s">
        <v>853</v>
      </c>
      <c r="C659" s="2"/>
      <c r="D659" s="2"/>
      <c r="E659" s="2">
        <v>12474701.92</v>
      </c>
      <c r="F659" s="2">
        <v>0</v>
      </c>
    </row>
    <row r="660" spans="1:6" x14ac:dyDescent="0.3">
      <c r="A660" s="6" t="s">
        <v>854</v>
      </c>
      <c r="B660" s="2" t="s">
        <v>855</v>
      </c>
      <c r="C660" s="2"/>
      <c r="D660" s="2"/>
      <c r="E660" s="2">
        <v>11709276.51</v>
      </c>
      <c r="F660" s="2">
        <v>0</v>
      </c>
    </row>
    <row r="661" spans="1:6" x14ac:dyDescent="0.3">
      <c r="A661" s="6" t="s">
        <v>856</v>
      </c>
      <c r="B661" s="2" t="s">
        <v>857</v>
      </c>
      <c r="C661" s="2"/>
      <c r="D661" s="2"/>
      <c r="E661" s="2">
        <v>10731029.859999999</v>
      </c>
      <c r="F661" s="2">
        <v>0</v>
      </c>
    </row>
    <row r="662" spans="1:6" x14ac:dyDescent="0.3">
      <c r="A662" s="6" t="s">
        <v>858</v>
      </c>
      <c r="B662" s="2" t="s">
        <v>859</v>
      </c>
      <c r="C662" s="2"/>
      <c r="D662" s="2"/>
      <c r="E662" s="2">
        <v>4078.53</v>
      </c>
      <c r="F662" s="2">
        <v>0</v>
      </c>
    </row>
    <row r="663" spans="1:6" x14ac:dyDescent="0.3">
      <c r="A663" s="6" t="s">
        <v>860</v>
      </c>
      <c r="B663" s="2" t="s">
        <v>861</v>
      </c>
      <c r="C663" s="2"/>
      <c r="D663" s="2"/>
      <c r="E663" s="2">
        <v>947577.65</v>
      </c>
      <c r="F663" s="2">
        <v>0</v>
      </c>
    </row>
    <row r="664" spans="1:6" x14ac:dyDescent="0.3">
      <c r="A664" s="6" t="s">
        <v>862</v>
      </c>
      <c r="B664" s="2" t="s">
        <v>863</v>
      </c>
      <c r="C664" s="2"/>
      <c r="D664" s="2"/>
      <c r="E664" s="2">
        <v>24462.080000000002</v>
      </c>
      <c r="F664" s="2">
        <v>0</v>
      </c>
    </row>
    <row r="665" spans="1:6" x14ac:dyDescent="0.3">
      <c r="A665" s="6" t="s">
        <v>864</v>
      </c>
      <c r="B665" s="2" t="s">
        <v>865</v>
      </c>
      <c r="C665" s="2"/>
      <c r="D665" s="2"/>
      <c r="E665" s="2">
        <v>28888.58</v>
      </c>
      <c r="F665" s="2">
        <v>0</v>
      </c>
    </row>
    <row r="666" spans="1:6" x14ac:dyDescent="0.3">
      <c r="A666" s="6" t="s">
        <v>866</v>
      </c>
      <c r="B666" s="2" t="s">
        <v>867</v>
      </c>
      <c r="C666" s="2"/>
      <c r="D666" s="2"/>
      <c r="E666" s="2">
        <v>174576.33</v>
      </c>
      <c r="F666" s="2">
        <v>0</v>
      </c>
    </row>
    <row r="667" spans="1:6" x14ac:dyDescent="0.3">
      <c r="A667" s="6" t="s">
        <v>868</v>
      </c>
      <c r="B667" s="2" t="s">
        <v>869</v>
      </c>
      <c r="C667" s="2"/>
      <c r="D667" s="2"/>
      <c r="E667" s="2">
        <v>31666666.510000002</v>
      </c>
      <c r="F667" s="2">
        <v>0</v>
      </c>
    </row>
    <row r="668" spans="1:6" x14ac:dyDescent="0.3">
      <c r="A668" s="6" t="s">
        <v>870</v>
      </c>
      <c r="B668" s="2" t="s">
        <v>871</v>
      </c>
      <c r="C668" s="2"/>
      <c r="D668" s="2"/>
      <c r="E668" s="2">
        <v>47561.33</v>
      </c>
      <c r="F668" s="2">
        <v>0</v>
      </c>
    </row>
    <row r="669" spans="1:6" x14ac:dyDescent="0.3">
      <c r="A669" s="6" t="s">
        <v>872</v>
      </c>
      <c r="B669" s="2" t="s">
        <v>873</v>
      </c>
      <c r="C669" s="2"/>
      <c r="D669" s="2"/>
      <c r="E669" s="2">
        <v>66320.7</v>
      </c>
      <c r="F669" s="2">
        <v>0</v>
      </c>
    </row>
    <row r="670" spans="1:6" x14ac:dyDescent="0.3">
      <c r="A670" s="6" t="s">
        <v>874</v>
      </c>
      <c r="B670" s="2" t="s">
        <v>875</v>
      </c>
      <c r="C670" s="2"/>
      <c r="D670" s="2"/>
      <c r="E670" s="2">
        <v>47299207.100000001</v>
      </c>
      <c r="F670" s="2">
        <v>0</v>
      </c>
    </row>
    <row r="671" spans="1:6" x14ac:dyDescent="0.3">
      <c r="A671" s="6" t="s">
        <v>876</v>
      </c>
      <c r="B671" s="2" t="s">
        <v>877</v>
      </c>
      <c r="C671" s="2"/>
      <c r="D671" s="2"/>
      <c r="E671" s="2">
        <v>1103193.32</v>
      </c>
      <c r="F671" s="2">
        <v>0</v>
      </c>
    </row>
    <row r="672" spans="1:6" x14ac:dyDescent="0.3">
      <c r="A672" s="6" t="s">
        <v>878</v>
      </c>
      <c r="B672" s="2" t="s">
        <v>879</v>
      </c>
      <c r="C672" s="2"/>
      <c r="D672" s="2"/>
      <c r="E672" s="2">
        <v>2186677.38</v>
      </c>
      <c r="F672" s="2">
        <v>0</v>
      </c>
    </row>
    <row r="673" spans="1:6" x14ac:dyDescent="0.3">
      <c r="A673" s="6" t="s">
        <v>880</v>
      </c>
      <c r="B673" s="2" t="s">
        <v>881</v>
      </c>
      <c r="C673" s="2"/>
      <c r="D673" s="2"/>
      <c r="E673" s="2">
        <v>39044450.590000004</v>
      </c>
      <c r="F673" s="2">
        <v>0</v>
      </c>
    </row>
    <row r="674" spans="1:6" x14ac:dyDescent="0.3">
      <c r="A674" s="6" t="s">
        <v>882</v>
      </c>
      <c r="B674" s="2" t="s">
        <v>883</v>
      </c>
      <c r="C674" s="2"/>
      <c r="D674" s="2"/>
      <c r="E674" s="2">
        <v>0</v>
      </c>
      <c r="F674" s="2">
        <v>39044450.590000004</v>
      </c>
    </row>
    <row r="675" spans="1:6" x14ac:dyDescent="0.3">
      <c r="A675" s="6" t="s">
        <v>884</v>
      </c>
      <c r="B675" s="2" t="s">
        <v>885</v>
      </c>
      <c r="C675" s="2"/>
      <c r="D675" s="2"/>
      <c r="E675" s="2">
        <v>2401247.04</v>
      </c>
      <c r="F675" s="2">
        <v>0</v>
      </c>
    </row>
    <row r="676" spans="1:6" x14ac:dyDescent="0.3">
      <c r="A676" s="6" t="s">
        <v>886</v>
      </c>
      <c r="B676" s="2" t="s">
        <v>887</v>
      </c>
      <c r="C676" s="2"/>
      <c r="D676" s="2"/>
      <c r="E676" s="2">
        <v>119660.47</v>
      </c>
      <c r="F676" s="2">
        <v>0</v>
      </c>
    </row>
    <row r="677" spans="1:6" x14ac:dyDescent="0.3">
      <c r="A677" s="6" t="s">
        <v>888</v>
      </c>
      <c r="B677" s="2" t="s">
        <v>889</v>
      </c>
      <c r="C677" s="2"/>
      <c r="D677" s="2"/>
      <c r="E677" s="2">
        <v>822708.33</v>
      </c>
      <c r="F677" s="2">
        <v>0</v>
      </c>
    </row>
    <row r="678" spans="1:6" x14ac:dyDescent="0.3">
      <c r="A678" s="6" t="s">
        <v>890</v>
      </c>
      <c r="B678" s="2" t="s">
        <v>891</v>
      </c>
      <c r="C678" s="2"/>
      <c r="D678" s="2"/>
      <c r="E678" s="2">
        <v>0</v>
      </c>
      <c r="F678" s="2">
        <v>0</v>
      </c>
    </row>
    <row r="679" spans="1:6" x14ac:dyDescent="0.3">
      <c r="A679" s="6" t="s">
        <v>892</v>
      </c>
      <c r="B679" s="2" t="s">
        <v>893</v>
      </c>
      <c r="C679" s="2"/>
      <c r="D679" s="2"/>
      <c r="E679" s="2">
        <v>993136.56</v>
      </c>
      <c r="F679" s="2">
        <v>0</v>
      </c>
    </row>
    <row r="680" spans="1:6" x14ac:dyDescent="0.3">
      <c r="A680" s="6" t="s">
        <v>894</v>
      </c>
      <c r="B680" s="2" t="s">
        <v>895</v>
      </c>
      <c r="C680" s="2"/>
      <c r="D680" s="2"/>
      <c r="E680" s="2">
        <v>6466160.8399999999</v>
      </c>
      <c r="F680" s="2">
        <v>0</v>
      </c>
    </row>
    <row r="681" spans="1:6" x14ac:dyDescent="0.3">
      <c r="A681" s="6" t="s">
        <v>896</v>
      </c>
      <c r="B681" s="2" t="s">
        <v>897</v>
      </c>
      <c r="C681" s="2"/>
      <c r="D681" s="2"/>
      <c r="E681" s="2">
        <v>1191666.67</v>
      </c>
      <c r="F681" s="2">
        <v>0</v>
      </c>
    </row>
    <row r="682" spans="1:6" x14ac:dyDescent="0.3">
      <c r="A682" s="6" t="s">
        <v>898</v>
      </c>
      <c r="B682" s="2" t="s">
        <v>899</v>
      </c>
      <c r="C682" s="2"/>
      <c r="D682" s="2"/>
      <c r="E682" s="2">
        <v>221662.79</v>
      </c>
      <c r="F682" s="2">
        <v>0</v>
      </c>
    </row>
    <row r="683" spans="1:6" x14ac:dyDescent="0.3">
      <c r="A683" s="6" t="s">
        <v>900</v>
      </c>
      <c r="B683" s="2" t="s">
        <v>901</v>
      </c>
      <c r="C683" s="2"/>
      <c r="D683" s="2"/>
      <c r="E683" s="2">
        <v>1388424.56</v>
      </c>
      <c r="F683" s="2">
        <v>0</v>
      </c>
    </row>
    <row r="684" spans="1:6" x14ac:dyDescent="0.3">
      <c r="A684" s="6" t="s">
        <v>902</v>
      </c>
      <c r="B684" s="2" t="s">
        <v>903</v>
      </c>
      <c r="C684" s="2"/>
      <c r="D684" s="2"/>
      <c r="E684" s="2">
        <v>326343.7</v>
      </c>
      <c r="F684" s="2">
        <v>0</v>
      </c>
    </row>
    <row r="685" spans="1:6" x14ac:dyDescent="0.3">
      <c r="A685" s="6" t="s">
        <v>904</v>
      </c>
      <c r="B685" s="2" t="s">
        <v>905</v>
      </c>
      <c r="C685" s="2"/>
      <c r="D685" s="2"/>
      <c r="E685" s="2">
        <v>24653.93</v>
      </c>
      <c r="F685" s="2">
        <v>0</v>
      </c>
    </row>
    <row r="686" spans="1:6" x14ac:dyDescent="0.3">
      <c r="A686" s="6" t="s">
        <v>906</v>
      </c>
      <c r="B686" s="2" t="s">
        <v>907</v>
      </c>
      <c r="C686" s="2"/>
      <c r="D686" s="2"/>
      <c r="E686" s="2">
        <v>3339000.14</v>
      </c>
      <c r="F686" s="2">
        <v>0</v>
      </c>
    </row>
    <row r="687" spans="1:6" x14ac:dyDescent="0.3">
      <c r="A687" s="6" t="s">
        <v>908</v>
      </c>
      <c r="B687" s="2" t="s">
        <v>909</v>
      </c>
      <c r="C687" s="2"/>
      <c r="D687" s="2"/>
      <c r="E687" s="2">
        <v>1595172.48</v>
      </c>
      <c r="F687" s="2">
        <v>0</v>
      </c>
    </row>
    <row r="688" spans="1:6" x14ac:dyDescent="0.3">
      <c r="A688" s="6" t="s">
        <v>910</v>
      </c>
      <c r="B688" s="2" t="s">
        <v>911</v>
      </c>
      <c r="C688" s="2"/>
      <c r="D688" s="2"/>
      <c r="E688" s="2">
        <v>617819.69999999995</v>
      </c>
      <c r="F688" s="2">
        <v>0</v>
      </c>
    </row>
    <row r="689" spans="1:6" x14ac:dyDescent="0.3">
      <c r="A689" s="6" t="s">
        <v>912</v>
      </c>
      <c r="B689" s="2" t="s">
        <v>913</v>
      </c>
      <c r="C689" s="2"/>
      <c r="D689" s="2"/>
      <c r="E689" s="2">
        <v>695483.32</v>
      </c>
      <c r="F689" s="2">
        <v>0</v>
      </c>
    </row>
    <row r="690" spans="1:6" x14ac:dyDescent="0.3">
      <c r="A690" s="6" t="s">
        <v>914</v>
      </c>
      <c r="B690" s="2" t="s">
        <v>915</v>
      </c>
      <c r="C690" s="2"/>
      <c r="D690" s="2"/>
      <c r="E690" s="2">
        <v>30120.57</v>
      </c>
      <c r="F690" s="2">
        <v>0</v>
      </c>
    </row>
    <row r="691" spans="1:6" x14ac:dyDescent="0.3">
      <c r="A691" s="6" t="s">
        <v>916</v>
      </c>
      <c r="B691" s="2" t="s">
        <v>917</v>
      </c>
      <c r="C691" s="2"/>
      <c r="D691" s="2"/>
      <c r="E691" s="2">
        <v>8436.83</v>
      </c>
      <c r="F691" s="2">
        <v>0</v>
      </c>
    </row>
    <row r="692" spans="1:6" x14ac:dyDescent="0.3">
      <c r="A692" s="6" t="s">
        <v>918</v>
      </c>
      <c r="B692" s="2" t="s">
        <v>919</v>
      </c>
      <c r="C692" s="2"/>
      <c r="D692" s="2"/>
      <c r="E692" s="2">
        <v>40011.660000000003</v>
      </c>
      <c r="F692" s="2">
        <v>0</v>
      </c>
    </row>
    <row r="693" spans="1:6" x14ac:dyDescent="0.3">
      <c r="A693" s="6" t="s">
        <v>920</v>
      </c>
      <c r="B693" s="2" t="s">
        <v>921</v>
      </c>
      <c r="C693" s="2"/>
      <c r="D693" s="2"/>
      <c r="E693" s="2">
        <v>48555.43</v>
      </c>
      <c r="F693" s="2">
        <v>0</v>
      </c>
    </row>
    <row r="694" spans="1:6" x14ac:dyDescent="0.3">
      <c r="A694" s="6" t="s">
        <v>922</v>
      </c>
      <c r="B694" s="2" t="s">
        <v>923</v>
      </c>
      <c r="C694" s="2"/>
      <c r="D694" s="2"/>
      <c r="E694" s="2">
        <v>325277.14</v>
      </c>
      <c r="F694" s="2">
        <v>0</v>
      </c>
    </row>
    <row r="695" spans="1:6" x14ac:dyDescent="0.3">
      <c r="A695" s="6" t="s">
        <v>924</v>
      </c>
      <c r="B695" s="2" t="s">
        <v>925</v>
      </c>
      <c r="C695" s="2"/>
      <c r="D695" s="2"/>
      <c r="E695" s="2">
        <v>1634271.67</v>
      </c>
      <c r="F695" s="2">
        <v>0</v>
      </c>
    </row>
    <row r="696" spans="1:6" x14ac:dyDescent="0.3">
      <c r="A696" s="6" t="s">
        <v>926</v>
      </c>
      <c r="B696" s="2" t="s">
        <v>927</v>
      </c>
      <c r="C696" s="2"/>
      <c r="D696" s="2"/>
      <c r="E696" s="2">
        <v>1704371.76</v>
      </c>
      <c r="F696" s="2">
        <v>0</v>
      </c>
    </row>
    <row r="697" spans="1:6" x14ac:dyDescent="0.3">
      <c r="A697" s="6" t="s">
        <v>928</v>
      </c>
      <c r="B697" s="2" t="s">
        <v>929</v>
      </c>
      <c r="C697" s="2"/>
      <c r="D697" s="2"/>
      <c r="E697" s="2">
        <v>520790.67</v>
      </c>
      <c r="F697" s="2">
        <v>0</v>
      </c>
    </row>
    <row r="698" spans="1:6" x14ac:dyDescent="0.3">
      <c r="A698" s="6" t="s">
        <v>930</v>
      </c>
      <c r="B698" s="2" t="s">
        <v>931</v>
      </c>
      <c r="C698" s="2"/>
      <c r="D698" s="2"/>
      <c r="E698" s="2">
        <v>1255344.1100000001</v>
      </c>
      <c r="F698" s="2">
        <v>0</v>
      </c>
    </row>
    <row r="699" spans="1:6" x14ac:dyDescent="0.3">
      <c r="A699" s="6" t="s">
        <v>932</v>
      </c>
      <c r="B699" s="2" t="s">
        <v>933</v>
      </c>
      <c r="C699" s="2"/>
      <c r="D699" s="2"/>
      <c r="E699" s="2">
        <v>444977.09</v>
      </c>
      <c r="F699" s="2">
        <v>0</v>
      </c>
    </row>
    <row r="700" spans="1:6" x14ac:dyDescent="0.3">
      <c r="A700" s="6" t="s">
        <v>934</v>
      </c>
      <c r="B700" s="2" t="s">
        <v>935</v>
      </c>
      <c r="C700" s="2"/>
      <c r="D700" s="2"/>
      <c r="E700" s="2">
        <v>449091.98</v>
      </c>
      <c r="F700" s="2">
        <v>0</v>
      </c>
    </row>
    <row r="701" spans="1:6" x14ac:dyDescent="0.3">
      <c r="A701" s="6" t="s">
        <v>936</v>
      </c>
      <c r="B701" s="2" t="s">
        <v>937</v>
      </c>
      <c r="C701" s="2"/>
      <c r="D701" s="2"/>
      <c r="E701" s="2">
        <v>35859.75</v>
      </c>
      <c r="F701" s="2">
        <v>0</v>
      </c>
    </row>
    <row r="702" spans="1:6" x14ac:dyDescent="0.3">
      <c r="A702" s="6" t="s">
        <v>938</v>
      </c>
      <c r="B702" s="2" t="s">
        <v>939</v>
      </c>
      <c r="C702" s="2"/>
      <c r="D702" s="2"/>
      <c r="E702" s="2">
        <v>970207.97</v>
      </c>
      <c r="F702" s="2">
        <v>0</v>
      </c>
    </row>
    <row r="703" spans="1:6" x14ac:dyDescent="0.3">
      <c r="A703" s="6" t="s">
        <v>940</v>
      </c>
      <c r="B703" s="2" t="s">
        <v>941</v>
      </c>
      <c r="C703" s="2"/>
      <c r="D703" s="2"/>
      <c r="E703" s="2">
        <v>143506.45000000001</v>
      </c>
      <c r="F703" s="2">
        <v>0</v>
      </c>
    </row>
    <row r="704" spans="1:6" x14ac:dyDescent="0.3">
      <c r="A704" s="6" t="s">
        <v>942</v>
      </c>
      <c r="B704" s="2" t="s">
        <v>943</v>
      </c>
      <c r="C704" s="2"/>
      <c r="D704" s="2"/>
      <c r="E704" s="2">
        <v>577238.64</v>
      </c>
      <c r="F704" s="2">
        <v>0</v>
      </c>
    </row>
    <row r="705" spans="1:6" x14ac:dyDescent="0.3">
      <c r="A705" s="6" t="s">
        <v>944</v>
      </c>
      <c r="B705" s="2" t="s">
        <v>945</v>
      </c>
      <c r="C705" s="2"/>
      <c r="D705" s="2"/>
      <c r="E705" s="2">
        <v>298520.03000000003</v>
      </c>
      <c r="F705" s="2">
        <v>0</v>
      </c>
    </row>
    <row r="706" spans="1:6" x14ac:dyDescent="0.3">
      <c r="A706" s="6" t="s">
        <v>946</v>
      </c>
      <c r="B706" s="2" t="s">
        <v>939</v>
      </c>
      <c r="C706" s="2"/>
      <c r="D706" s="2"/>
      <c r="E706" s="2">
        <v>476585.89</v>
      </c>
      <c r="F706" s="2">
        <v>0</v>
      </c>
    </row>
    <row r="707" spans="1:6" x14ac:dyDescent="0.3">
      <c r="A707" s="6" t="s">
        <v>947</v>
      </c>
      <c r="B707" s="2" t="s">
        <v>941</v>
      </c>
      <c r="C707" s="2"/>
      <c r="D707" s="2"/>
      <c r="E707" s="2">
        <v>52274.78</v>
      </c>
      <c r="F707" s="2">
        <v>0</v>
      </c>
    </row>
    <row r="708" spans="1:6" x14ac:dyDescent="0.3">
      <c r="A708" s="6" t="s">
        <v>948</v>
      </c>
      <c r="B708" s="2" t="s">
        <v>943</v>
      </c>
      <c r="C708" s="2"/>
      <c r="D708" s="2"/>
      <c r="E708" s="2">
        <v>283702.26</v>
      </c>
      <c r="F708" s="2">
        <v>0</v>
      </c>
    </row>
    <row r="709" spans="1:6" x14ac:dyDescent="0.3">
      <c r="A709" s="6" t="s">
        <v>949</v>
      </c>
      <c r="B709" s="2" t="s">
        <v>945</v>
      </c>
      <c r="C709" s="2"/>
      <c r="D709" s="2"/>
      <c r="E709" s="2">
        <v>3281.24</v>
      </c>
      <c r="F709" s="2">
        <v>0</v>
      </c>
    </row>
    <row r="710" spans="1:6" x14ac:dyDescent="0.3">
      <c r="A710" s="6" t="s">
        <v>950</v>
      </c>
      <c r="B710" s="2" t="s">
        <v>951</v>
      </c>
      <c r="C710" s="2"/>
      <c r="D710" s="2"/>
      <c r="E710" s="2">
        <v>696427.3</v>
      </c>
      <c r="F710" s="2">
        <v>0</v>
      </c>
    </row>
    <row r="711" spans="1:6" x14ac:dyDescent="0.3">
      <c r="A711" s="6" t="s">
        <v>952</v>
      </c>
      <c r="B711" s="2" t="s">
        <v>953</v>
      </c>
      <c r="C711" s="2"/>
      <c r="D711" s="2"/>
      <c r="E711" s="2">
        <v>527176.09</v>
      </c>
      <c r="F711" s="2">
        <v>0</v>
      </c>
    </row>
    <row r="712" spans="1:6" x14ac:dyDescent="0.3">
      <c r="A712" s="6" t="s">
        <v>954</v>
      </c>
      <c r="B712" s="2" t="s">
        <v>955</v>
      </c>
      <c r="C712" s="2"/>
      <c r="D712" s="2"/>
      <c r="E712" s="2">
        <v>15772.22</v>
      </c>
      <c r="F712" s="2">
        <v>0</v>
      </c>
    </row>
    <row r="713" spans="1:6" x14ac:dyDescent="0.3">
      <c r="A713" s="6" t="s">
        <v>956</v>
      </c>
      <c r="B713" s="2" t="s">
        <v>957</v>
      </c>
      <c r="C713" s="2"/>
      <c r="D713" s="2"/>
      <c r="E713" s="2">
        <v>546119.27</v>
      </c>
      <c r="F713" s="2">
        <v>0</v>
      </c>
    </row>
    <row r="714" spans="1:6" x14ac:dyDescent="0.3">
      <c r="A714" s="6" t="s">
        <v>958</v>
      </c>
      <c r="B714" s="2" t="s">
        <v>959</v>
      </c>
      <c r="C714" s="2"/>
      <c r="D714" s="2"/>
      <c r="E714" s="2">
        <v>2431528.11</v>
      </c>
      <c r="F714" s="2">
        <v>0</v>
      </c>
    </row>
    <row r="715" spans="1:6" x14ac:dyDescent="0.3">
      <c r="A715" s="6" t="s">
        <v>960</v>
      </c>
      <c r="B715" s="2" t="s">
        <v>961</v>
      </c>
      <c r="C715" s="2"/>
      <c r="D715" s="2"/>
      <c r="E715" s="2">
        <v>1174054.76</v>
      </c>
      <c r="F715" s="2">
        <v>0</v>
      </c>
    </row>
    <row r="716" spans="1:6" x14ac:dyDescent="0.3">
      <c r="A716" s="6" t="s">
        <v>962</v>
      </c>
      <c r="B716" s="2" t="s">
        <v>963</v>
      </c>
      <c r="C716" s="2"/>
      <c r="D716" s="2"/>
      <c r="E716" s="2">
        <v>130397.35</v>
      </c>
      <c r="F716" s="2">
        <v>0</v>
      </c>
    </row>
    <row r="717" spans="1:6" x14ac:dyDescent="0.3">
      <c r="A717" s="6" t="s">
        <v>964</v>
      </c>
      <c r="B717" s="2" t="s">
        <v>965</v>
      </c>
      <c r="C717" s="2"/>
      <c r="D717" s="2"/>
      <c r="E717" s="2">
        <v>917640.92</v>
      </c>
      <c r="F717" s="2">
        <v>0</v>
      </c>
    </row>
    <row r="718" spans="1:6" x14ac:dyDescent="0.3">
      <c r="A718" s="6" t="s">
        <v>966</v>
      </c>
      <c r="B718" s="2" t="s">
        <v>967</v>
      </c>
      <c r="C718" s="2"/>
      <c r="D718" s="2"/>
      <c r="E718" s="2">
        <v>101825.2</v>
      </c>
      <c r="F718" s="2">
        <v>0</v>
      </c>
    </row>
    <row r="719" spans="1:6" x14ac:dyDescent="0.3">
      <c r="A719" s="6" t="s">
        <v>968</v>
      </c>
      <c r="B719" s="2" t="s">
        <v>969</v>
      </c>
      <c r="C719" s="2"/>
      <c r="D719" s="2"/>
      <c r="E719" s="2">
        <v>636901.36</v>
      </c>
      <c r="F719" s="2">
        <v>0</v>
      </c>
    </row>
    <row r="720" spans="1:6" x14ac:dyDescent="0.3">
      <c r="A720" s="6" t="s">
        <v>970</v>
      </c>
      <c r="B720" s="2" t="s">
        <v>971</v>
      </c>
      <c r="C720" s="2"/>
      <c r="D720" s="2"/>
      <c r="E720" s="2">
        <v>43262.96</v>
      </c>
      <c r="F720" s="2">
        <v>0</v>
      </c>
    </row>
    <row r="721" spans="1:6" x14ac:dyDescent="0.3">
      <c r="A721" s="6" t="s">
        <v>972</v>
      </c>
      <c r="B721" s="2" t="s">
        <v>973</v>
      </c>
      <c r="C721" s="2"/>
      <c r="D721" s="2"/>
      <c r="E721" s="2">
        <v>7536.27</v>
      </c>
      <c r="F721" s="2">
        <v>0</v>
      </c>
    </row>
    <row r="722" spans="1:6" x14ac:dyDescent="0.3">
      <c r="A722" s="6" t="s">
        <v>974</v>
      </c>
      <c r="B722" s="2" t="s">
        <v>975</v>
      </c>
      <c r="C722" s="2"/>
      <c r="D722" s="2"/>
      <c r="E722" s="2">
        <v>97631.09</v>
      </c>
      <c r="F722" s="2">
        <v>0</v>
      </c>
    </row>
    <row r="723" spans="1:6" x14ac:dyDescent="0.3">
      <c r="A723" s="6" t="s">
        <v>976</v>
      </c>
      <c r="B723" s="2" t="s">
        <v>977</v>
      </c>
      <c r="C723" s="2"/>
      <c r="D723" s="2"/>
      <c r="E723" s="2">
        <v>1341444.44</v>
      </c>
      <c r="F723" s="2">
        <v>0</v>
      </c>
    </row>
    <row r="724" spans="1:6" x14ac:dyDescent="0.3">
      <c r="A724" s="6" t="s">
        <v>978</v>
      </c>
      <c r="B724" s="2" t="s">
        <v>979</v>
      </c>
      <c r="C724" s="2"/>
      <c r="D724" s="2"/>
      <c r="E724" s="2">
        <v>466909.56</v>
      </c>
      <c r="F724" s="2">
        <v>0</v>
      </c>
    </row>
    <row r="725" spans="1:6" x14ac:dyDescent="0.3">
      <c r="A725" s="6" t="s">
        <v>980</v>
      </c>
      <c r="B725" s="2" t="s">
        <v>981</v>
      </c>
      <c r="C725" s="2"/>
      <c r="D725" s="2"/>
      <c r="E725" s="2">
        <v>320977.17</v>
      </c>
      <c r="F725" s="2">
        <v>0</v>
      </c>
    </row>
    <row r="726" spans="1:6" x14ac:dyDescent="0.3">
      <c r="A726" s="6" t="s">
        <v>982</v>
      </c>
      <c r="B726" s="2" t="s">
        <v>983</v>
      </c>
      <c r="C726" s="2"/>
      <c r="D726" s="2"/>
      <c r="E726" s="2">
        <v>551699.36</v>
      </c>
      <c r="F726" s="2">
        <v>0</v>
      </c>
    </row>
    <row r="727" spans="1:6" x14ac:dyDescent="0.3">
      <c r="A727" s="6" t="s">
        <v>984</v>
      </c>
      <c r="B727" s="2" t="s">
        <v>985</v>
      </c>
      <c r="C727" s="2"/>
      <c r="D727" s="2"/>
      <c r="E727" s="2">
        <v>141154.85</v>
      </c>
      <c r="F727" s="2">
        <v>0</v>
      </c>
    </row>
    <row r="728" spans="1:6" x14ac:dyDescent="0.3">
      <c r="A728" s="6" t="s">
        <v>986</v>
      </c>
      <c r="B728" s="2" t="s">
        <v>987</v>
      </c>
      <c r="C728" s="2"/>
      <c r="D728" s="2"/>
      <c r="E728" s="2">
        <v>847000</v>
      </c>
      <c r="F728" s="2">
        <v>0</v>
      </c>
    </row>
    <row r="729" spans="1:6" x14ac:dyDescent="0.3">
      <c r="A729" s="6" t="s">
        <v>988</v>
      </c>
      <c r="B729" s="2" t="s">
        <v>989</v>
      </c>
      <c r="C729" s="2"/>
      <c r="D729" s="2"/>
      <c r="E729" s="2">
        <v>11228247.050000001</v>
      </c>
      <c r="F729" s="2">
        <v>0</v>
      </c>
    </row>
    <row r="730" spans="1:6" x14ac:dyDescent="0.3">
      <c r="A730" s="6" t="s">
        <v>990</v>
      </c>
      <c r="B730" s="2" t="s">
        <v>991</v>
      </c>
      <c r="C730" s="2"/>
      <c r="D730" s="2"/>
      <c r="E730" s="2">
        <v>14793.21</v>
      </c>
      <c r="F730" s="2">
        <v>0</v>
      </c>
    </row>
    <row r="731" spans="1:6" x14ac:dyDescent="0.3">
      <c r="A731" s="6" t="s">
        <v>992</v>
      </c>
      <c r="B731" s="2" t="s">
        <v>993</v>
      </c>
      <c r="C731" s="2"/>
      <c r="D731" s="2"/>
      <c r="E731" s="2">
        <v>10519154.07</v>
      </c>
      <c r="F731" s="2">
        <v>0</v>
      </c>
    </row>
    <row r="732" spans="1:6" x14ac:dyDescent="0.3">
      <c r="A732" s="6" t="s">
        <v>994</v>
      </c>
      <c r="B732" s="2" t="s">
        <v>995</v>
      </c>
      <c r="C732" s="2"/>
      <c r="D732" s="2"/>
      <c r="E732" s="2">
        <v>43544238.950000003</v>
      </c>
      <c r="F732" s="2">
        <v>0</v>
      </c>
    </row>
    <row r="733" spans="1:6" x14ac:dyDescent="0.3">
      <c r="A733" s="6" t="s">
        <v>996</v>
      </c>
      <c r="B733" s="2" t="s">
        <v>997</v>
      </c>
      <c r="C733" s="2"/>
      <c r="D733" s="2"/>
      <c r="E733" s="2">
        <v>241475.1</v>
      </c>
      <c r="F733" s="2">
        <v>0</v>
      </c>
    </row>
    <row r="734" spans="1:6" x14ac:dyDescent="0.3">
      <c r="A734" s="6" t="s">
        <v>998</v>
      </c>
      <c r="B734" s="2" t="s">
        <v>999</v>
      </c>
      <c r="C734" s="2"/>
      <c r="D734" s="2"/>
      <c r="E734" s="2">
        <v>232191.37</v>
      </c>
      <c r="F734" s="2">
        <v>0</v>
      </c>
    </row>
    <row r="735" spans="1:6" x14ac:dyDescent="0.3">
      <c r="A735" s="6" t="s">
        <v>1000</v>
      </c>
      <c r="B735" s="2" t="s">
        <v>1001</v>
      </c>
      <c r="C735" s="2"/>
      <c r="D735" s="2"/>
      <c r="E735" s="2">
        <v>11807.95</v>
      </c>
      <c r="F735" s="2">
        <v>0</v>
      </c>
    </row>
    <row r="736" spans="1:6" x14ac:dyDescent="0.3">
      <c r="A736" s="6" t="s">
        <v>1002</v>
      </c>
      <c r="B736" s="2" t="s">
        <v>1003</v>
      </c>
      <c r="C736" s="2"/>
      <c r="D736" s="2"/>
      <c r="E736" s="2">
        <v>201287.19</v>
      </c>
      <c r="F736" s="2">
        <v>0</v>
      </c>
    </row>
    <row r="737" spans="1:6" x14ac:dyDescent="0.3">
      <c r="A737" s="6" t="s">
        <v>1004</v>
      </c>
      <c r="B737" s="2" t="s">
        <v>1005</v>
      </c>
      <c r="C737" s="2"/>
      <c r="D737" s="2"/>
      <c r="E737" s="2">
        <v>1333801.52</v>
      </c>
      <c r="F737" s="2">
        <v>0</v>
      </c>
    </row>
    <row r="738" spans="1:6" x14ac:dyDescent="0.3">
      <c r="A738" s="6" t="s">
        <v>1006</v>
      </c>
      <c r="B738" s="2" t="s">
        <v>1007</v>
      </c>
      <c r="C738" s="2"/>
      <c r="D738" s="2"/>
      <c r="E738" s="2">
        <v>12222.91</v>
      </c>
      <c r="F738" s="2">
        <v>0</v>
      </c>
    </row>
    <row r="739" spans="1:6" x14ac:dyDescent="0.3">
      <c r="A739" s="6" t="s">
        <v>1008</v>
      </c>
      <c r="B739" s="2" t="s">
        <v>1009</v>
      </c>
      <c r="C739" s="2"/>
      <c r="D739" s="2"/>
      <c r="E739" s="2">
        <v>2152272.2999999998</v>
      </c>
      <c r="F739" s="2">
        <v>0</v>
      </c>
    </row>
    <row r="740" spans="1:6" x14ac:dyDescent="0.3">
      <c r="A740" s="6" t="s">
        <v>1010</v>
      </c>
      <c r="B740" s="2" t="s">
        <v>1011</v>
      </c>
      <c r="C740" s="2"/>
      <c r="D740" s="2"/>
      <c r="E740" s="2">
        <v>0</v>
      </c>
      <c r="F740" s="2">
        <v>0</v>
      </c>
    </row>
    <row r="741" spans="1:6" x14ac:dyDescent="0.3">
      <c r="A741" s="6" t="s">
        <v>1012</v>
      </c>
      <c r="B741" s="2" t="s">
        <v>1013</v>
      </c>
      <c r="C741" s="2"/>
      <c r="D741" s="2"/>
      <c r="E741" s="2">
        <v>0</v>
      </c>
      <c r="F741" s="2">
        <v>0</v>
      </c>
    </row>
    <row r="742" spans="1:6" x14ac:dyDescent="0.3">
      <c r="A742" s="6" t="s">
        <v>1014</v>
      </c>
      <c r="B742" s="2" t="s">
        <v>1015</v>
      </c>
      <c r="C742" s="2"/>
      <c r="D742" s="2"/>
      <c r="E742" s="2">
        <v>12576847.08</v>
      </c>
      <c r="F742" s="2">
        <v>0</v>
      </c>
    </row>
    <row r="743" spans="1:6" x14ac:dyDescent="0.3">
      <c r="A743" s="6" t="s">
        <v>1016</v>
      </c>
      <c r="B743" s="2" t="s">
        <v>1017</v>
      </c>
      <c r="C743" s="2"/>
      <c r="D743" s="2"/>
      <c r="E743" s="2">
        <v>3293976.54</v>
      </c>
      <c r="F743" s="2">
        <v>0</v>
      </c>
    </row>
    <row r="744" spans="1:6" x14ac:dyDescent="0.3">
      <c r="A744" s="6" t="s">
        <v>1018</v>
      </c>
      <c r="B744" s="2" t="s">
        <v>1019</v>
      </c>
      <c r="C744" s="2"/>
      <c r="D744" s="2"/>
      <c r="E744" s="2">
        <v>1110765.05</v>
      </c>
      <c r="F744" s="2">
        <v>0</v>
      </c>
    </row>
    <row r="745" spans="1:6" x14ac:dyDescent="0.3">
      <c r="A745" s="6" t="s">
        <v>1020</v>
      </c>
      <c r="B745" s="2" t="s">
        <v>1021</v>
      </c>
      <c r="C745" s="2"/>
      <c r="D745" s="2"/>
      <c r="E745" s="2">
        <v>2845016.74</v>
      </c>
      <c r="F745" s="2">
        <v>0</v>
      </c>
    </row>
    <row r="746" spans="1:6" x14ac:dyDescent="0.3">
      <c r="A746" s="6" t="s">
        <v>1022</v>
      </c>
      <c r="B746" s="2" t="s">
        <v>1023</v>
      </c>
      <c r="C746" s="2"/>
      <c r="D746" s="2"/>
      <c r="E746" s="2">
        <v>719022.57</v>
      </c>
      <c r="F746" s="2">
        <v>0</v>
      </c>
    </row>
    <row r="747" spans="1:6" x14ac:dyDescent="0.3">
      <c r="A747" s="6" t="s">
        <v>1024</v>
      </c>
      <c r="B747" s="2" t="s">
        <v>1025</v>
      </c>
      <c r="C747" s="2"/>
      <c r="D747" s="2"/>
      <c r="E747" s="2">
        <v>147326.92000000001</v>
      </c>
      <c r="F747" s="2">
        <v>0</v>
      </c>
    </row>
    <row r="748" spans="1:6" x14ac:dyDescent="0.3">
      <c r="A748" s="6" t="s">
        <v>1026</v>
      </c>
      <c r="B748" s="2" t="s">
        <v>1027</v>
      </c>
      <c r="C748" s="2"/>
      <c r="D748" s="2"/>
      <c r="E748" s="2">
        <v>57285.65</v>
      </c>
      <c r="F748" s="2">
        <v>0</v>
      </c>
    </row>
    <row r="749" spans="1:6" x14ac:dyDescent="0.3">
      <c r="A749" s="6" t="s">
        <v>1028</v>
      </c>
      <c r="B749" s="2" t="s">
        <v>1029</v>
      </c>
      <c r="C749" s="2"/>
      <c r="D749" s="2"/>
      <c r="E749" s="2">
        <v>314946.2</v>
      </c>
      <c r="F749" s="2">
        <v>0</v>
      </c>
    </row>
    <row r="750" spans="1:6" x14ac:dyDescent="0.3">
      <c r="A750" s="6" t="s">
        <v>1030</v>
      </c>
      <c r="B750" s="2" t="s">
        <v>1031</v>
      </c>
      <c r="C750" s="2"/>
      <c r="D750" s="2"/>
      <c r="E750" s="2">
        <v>5346816.1900000004</v>
      </c>
      <c r="F750" s="2">
        <v>0</v>
      </c>
    </row>
    <row r="751" spans="1:6" x14ac:dyDescent="0.3">
      <c r="A751" s="6" t="s">
        <v>1032</v>
      </c>
      <c r="B751" s="2" t="s">
        <v>1033</v>
      </c>
      <c r="C751" s="2"/>
      <c r="D751" s="2"/>
      <c r="E751" s="2">
        <v>851779.74</v>
      </c>
      <c r="F751" s="2">
        <v>0</v>
      </c>
    </row>
    <row r="752" spans="1:6" x14ac:dyDescent="0.3">
      <c r="A752" s="6" t="s">
        <v>1034</v>
      </c>
      <c r="B752" s="2" t="s">
        <v>1035</v>
      </c>
      <c r="C752" s="2"/>
      <c r="D752" s="2"/>
      <c r="E752" s="2">
        <v>2413193.77</v>
      </c>
      <c r="F752" s="2">
        <v>0</v>
      </c>
    </row>
    <row r="753" spans="1:6" x14ac:dyDescent="0.3">
      <c r="A753" s="6" t="s">
        <v>1036</v>
      </c>
      <c r="B753" s="2" t="s">
        <v>1037</v>
      </c>
      <c r="C753" s="2"/>
      <c r="D753" s="2"/>
      <c r="E753" s="2">
        <v>455638.43</v>
      </c>
      <c r="F753" s="2">
        <v>0</v>
      </c>
    </row>
    <row r="754" spans="1:6" x14ac:dyDescent="0.3">
      <c r="A754" s="6" t="s">
        <v>1038</v>
      </c>
      <c r="B754" s="2" t="s">
        <v>1039</v>
      </c>
      <c r="C754" s="2"/>
      <c r="D754" s="2"/>
      <c r="E754" s="2">
        <v>123718.71</v>
      </c>
      <c r="F754" s="2">
        <v>0</v>
      </c>
    </row>
    <row r="755" spans="1:6" x14ac:dyDescent="0.3">
      <c r="A755" s="6" t="s">
        <v>1040</v>
      </c>
      <c r="B755" s="2" t="s">
        <v>467</v>
      </c>
      <c r="C755" s="2"/>
      <c r="D755" s="2"/>
      <c r="E755" s="2">
        <v>2975092.14</v>
      </c>
      <c r="F755" s="2">
        <v>0</v>
      </c>
    </row>
    <row r="756" spans="1:6" x14ac:dyDescent="0.3">
      <c r="A756" s="6" t="s">
        <v>1041</v>
      </c>
      <c r="B756" s="2" t="s">
        <v>1042</v>
      </c>
      <c r="C756" s="2"/>
      <c r="D756" s="2"/>
      <c r="E756" s="2">
        <v>1185185</v>
      </c>
      <c r="F756" s="2">
        <v>0</v>
      </c>
    </row>
    <row r="757" spans="1:6" x14ac:dyDescent="0.3">
      <c r="A757" s="6" t="s">
        <v>1043</v>
      </c>
      <c r="B757" s="2" t="s">
        <v>467</v>
      </c>
      <c r="C757" s="2"/>
      <c r="D757" s="2"/>
      <c r="E757" s="2">
        <v>3024322.32</v>
      </c>
      <c r="F757" s="2">
        <v>0</v>
      </c>
    </row>
    <row r="758" spans="1:6" x14ac:dyDescent="0.3">
      <c r="A758" s="6" t="s">
        <v>1044</v>
      </c>
      <c r="B758" s="2" t="s">
        <v>1045</v>
      </c>
      <c r="C758" s="2"/>
      <c r="D758" s="2"/>
      <c r="E758" s="2">
        <v>4406861.03</v>
      </c>
      <c r="F758" s="2">
        <v>0</v>
      </c>
    </row>
    <row r="759" spans="1:6" x14ac:dyDescent="0.3">
      <c r="A759" s="6" t="s">
        <v>1046</v>
      </c>
      <c r="B759" s="2" t="s">
        <v>1047</v>
      </c>
      <c r="C759" s="2"/>
      <c r="D759" s="2"/>
      <c r="E759" s="2">
        <v>21202769.370000001</v>
      </c>
      <c r="F759" s="2">
        <v>0</v>
      </c>
    </row>
    <row r="760" spans="1:6" x14ac:dyDescent="0.3">
      <c r="A760" s="6" t="s">
        <v>1048</v>
      </c>
      <c r="B760" s="2" t="s">
        <v>1049</v>
      </c>
      <c r="C760" s="2"/>
      <c r="D760" s="2"/>
      <c r="E760" s="2">
        <v>389800.61</v>
      </c>
      <c r="F760" s="2">
        <v>0</v>
      </c>
    </row>
    <row r="761" spans="1:6" x14ac:dyDescent="0.3">
      <c r="A761" s="6" t="s">
        <v>1050</v>
      </c>
      <c r="B761" s="2" t="s">
        <v>1051</v>
      </c>
      <c r="C761" s="2"/>
      <c r="D761" s="2"/>
      <c r="E761" s="2">
        <v>1124043.94</v>
      </c>
      <c r="F761" s="2">
        <v>0</v>
      </c>
    </row>
    <row r="762" spans="1:6" x14ac:dyDescent="0.3">
      <c r="A762" s="6" t="s">
        <v>1052</v>
      </c>
      <c r="B762" s="2" t="s">
        <v>1053</v>
      </c>
      <c r="C762" s="2"/>
      <c r="D762" s="2"/>
      <c r="E762" s="2">
        <v>221349.4</v>
      </c>
      <c r="F762" s="2">
        <v>0</v>
      </c>
    </row>
    <row r="763" spans="1:6" x14ac:dyDescent="0.3">
      <c r="A763" s="6" t="s">
        <v>1054</v>
      </c>
      <c r="B763" s="2" t="s">
        <v>1055</v>
      </c>
      <c r="C763" s="2"/>
      <c r="D763" s="2"/>
      <c r="E763" s="2">
        <v>379012.59</v>
      </c>
      <c r="F763" s="2">
        <v>0</v>
      </c>
    </row>
    <row r="764" spans="1:6" x14ac:dyDescent="0.3">
      <c r="A764" s="6" t="s">
        <v>1056</v>
      </c>
      <c r="B764" s="2" t="s">
        <v>1057</v>
      </c>
      <c r="C764" s="2"/>
      <c r="D764" s="2"/>
      <c r="E764" s="2">
        <v>1354728.72</v>
      </c>
      <c r="F764" s="2">
        <v>0</v>
      </c>
    </row>
    <row r="765" spans="1:6" x14ac:dyDescent="0.3">
      <c r="A765" s="6" t="s">
        <v>1058</v>
      </c>
      <c r="B765" s="2" t="s">
        <v>1059</v>
      </c>
      <c r="C765" s="2"/>
      <c r="D765" s="2"/>
      <c r="E765" s="2">
        <v>35021.449999999997</v>
      </c>
      <c r="F765" s="2">
        <v>0</v>
      </c>
    </row>
    <row r="766" spans="1:6" x14ac:dyDescent="0.3">
      <c r="A766" s="6" t="s">
        <v>1060</v>
      </c>
      <c r="B766" s="2" t="s">
        <v>1061</v>
      </c>
      <c r="C766" s="2"/>
      <c r="D766" s="2"/>
      <c r="E766" s="2">
        <v>150500.26999999999</v>
      </c>
      <c r="F766" s="2">
        <v>0</v>
      </c>
    </row>
    <row r="767" spans="1:6" x14ac:dyDescent="0.3">
      <c r="A767" s="6" t="s">
        <v>1062</v>
      </c>
      <c r="B767" s="2" t="s">
        <v>1063</v>
      </c>
      <c r="C767" s="2"/>
      <c r="D767" s="2"/>
      <c r="E767" s="2">
        <v>356310.57</v>
      </c>
      <c r="F767" s="2">
        <v>0</v>
      </c>
    </row>
    <row r="768" spans="1:6" x14ac:dyDescent="0.3">
      <c r="A768" s="6" t="s">
        <v>1064</v>
      </c>
      <c r="B768" s="2" t="s">
        <v>1065</v>
      </c>
      <c r="C768" s="2"/>
      <c r="D768" s="2"/>
      <c r="E768" s="2">
        <v>85457.38</v>
      </c>
      <c r="F768" s="2">
        <v>0</v>
      </c>
    </row>
    <row r="769" spans="1:6" x14ac:dyDescent="0.3">
      <c r="A769" s="6" t="s">
        <v>1066</v>
      </c>
      <c r="B769" s="2" t="s">
        <v>1067</v>
      </c>
      <c r="C769" s="2"/>
      <c r="D769" s="2"/>
      <c r="E769" s="2">
        <v>179404.31</v>
      </c>
      <c r="F769" s="2">
        <v>0</v>
      </c>
    </row>
    <row r="770" spans="1:6" x14ac:dyDescent="0.3">
      <c r="A770" s="6" t="s">
        <v>1068</v>
      </c>
      <c r="B770" s="2" t="s">
        <v>1069</v>
      </c>
      <c r="C770" s="2"/>
      <c r="D770" s="2"/>
      <c r="E770" s="2">
        <v>223400</v>
      </c>
      <c r="F770" s="2">
        <v>0</v>
      </c>
    </row>
    <row r="771" spans="1:6" x14ac:dyDescent="0.3">
      <c r="A771" s="6" t="s">
        <v>1070</v>
      </c>
      <c r="B771" s="2" t="s">
        <v>1071</v>
      </c>
      <c r="C771" s="2"/>
      <c r="D771" s="2"/>
      <c r="E771" s="2">
        <v>556089.36</v>
      </c>
      <c r="F771" s="2">
        <v>0</v>
      </c>
    </row>
    <row r="772" spans="1:6" x14ac:dyDescent="0.3">
      <c r="A772" s="6" t="s">
        <v>1072</v>
      </c>
      <c r="B772" s="2" t="s">
        <v>1073</v>
      </c>
      <c r="C772" s="2"/>
      <c r="D772" s="2"/>
      <c r="E772" s="2">
        <v>10857891.49</v>
      </c>
      <c r="F772" s="2">
        <v>0</v>
      </c>
    </row>
    <row r="773" spans="1:6" x14ac:dyDescent="0.3">
      <c r="A773" s="6" t="s">
        <v>1074</v>
      </c>
      <c r="B773" s="2" t="s">
        <v>1075</v>
      </c>
      <c r="C773" s="2"/>
      <c r="D773" s="2"/>
      <c r="E773" s="2">
        <v>4072854.73</v>
      </c>
      <c r="F773" s="2">
        <v>0</v>
      </c>
    </row>
    <row r="774" spans="1:6" x14ac:dyDescent="0.3">
      <c r="A774" s="6" t="s">
        <v>1076</v>
      </c>
      <c r="B774" s="2" t="s">
        <v>467</v>
      </c>
      <c r="C774" s="2"/>
      <c r="D774" s="2"/>
      <c r="E774" s="2">
        <v>1413120.18</v>
      </c>
      <c r="F774" s="2">
        <v>0</v>
      </c>
    </row>
    <row r="775" spans="1:6" x14ac:dyDescent="0.3">
      <c r="A775" s="6" t="s">
        <v>1077</v>
      </c>
      <c r="B775" s="2" t="s">
        <v>1078</v>
      </c>
      <c r="C775" s="2"/>
      <c r="D775" s="2"/>
      <c r="E775" s="2">
        <v>390458.5</v>
      </c>
      <c r="F775" s="2">
        <v>0</v>
      </c>
    </row>
    <row r="776" spans="1:6" x14ac:dyDescent="0.3">
      <c r="A776" s="6" t="s">
        <v>1079</v>
      </c>
      <c r="B776" s="2" t="s">
        <v>1080</v>
      </c>
      <c r="C776" s="2"/>
      <c r="D776" s="2"/>
      <c r="E776" s="2">
        <v>1256.8</v>
      </c>
      <c r="F776" s="2">
        <v>0</v>
      </c>
    </row>
    <row r="777" spans="1:6" x14ac:dyDescent="0.3">
      <c r="A777" s="6" t="s">
        <v>1081</v>
      </c>
      <c r="B777" s="2" t="s">
        <v>1082</v>
      </c>
      <c r="C777" s="2"/>
      <c r="D777" s="2"/>
      <c r="E777" s="2">
        <v>963138.8</v>
      </c>
      <c r="F777" s="2">
        <v>0</v>
      </c>
    </row>
    <row r="778" spans="1:6" x14ac:dyDescent="0.3">
      <c r="A778" s="6" t="s">
        <v>1083</v>
      </c>
      <c r="B778" s="2" t="s">
        <v>1084</v>
      </c>
      <c r="C778" s="2"/>
      <c r="D778" s="2"/>
      <c r="E778" s="2">
        <v>108325.84</v>
      </c>
      <c r="F778" s="2">
        <v>0</v>
      </c>
    </row>
    <row r="779" spans="1:6" x14ac:dyDescent="0.3">
      <c r="A779" s="6" t="s">
        <v>1085</v>
      </c>
      <c r="B779" s="2" t="s">
        <v>919</v>
      </c>
      <c r="C779" s="2"/>
      <c r="D779" s="2"/>
      <c r="E779" s="2">
        <v>3051985.63</v>
      </c>
      <c r="F779" s="2">
        <v>0</v>
      </c>
    </row>
    <row r="780" spans="1:6" x14ac:dyDescent="0.3">
      <c r="A780" s="6" t="s">
        <v>1086</v>
      </c>
      <c r="B780" s="2" t="s">
        <v>1087</v>
      </c>
      <c r="C780" s="2"/>
      <c r="D780" s="2"/>
      <c r="E780" s="2">
        <v>4224424.08</v>
      </c>
      <c r="F780" s="2">
        <v>0</v>
      </c>
    </row>
    <row r="781" spans="1:6" x14ac:dyDescent="0.3">
      <c r="A781" s="6" t="s">
        <v>1088</v>
      </c>
      <c r="B781" s="2" t="s">
        <v>979</v>
      </c>
      <c r="C781" s="2"/>
      <c r="D781" s="2"/>
      <c r="E781" s="2">
        <v>1730612.03</v>
      </c>
      <c r="F781" s="2">
        <v>0</v>
      </c>
    </row>
    <row r="782" spans="1:6" x14ac:dyDescent="0.3">
      <c r="A782" s="6" t="s">
        <v>1089</v>
      </c>
      <c r="B782" s="2" t="s">
        <v>981</v>
      </c>
      <c r="C782" s="2"/>
      <c r="D782" s="2"/>
      <c r="E782" s="2">
        <v>208849.97</v>
      </c>
      <c r="F782" s="2">
        <v>0</v>
      </c>
    </row>
    <row r="783" spans="1:6" x14ac:dyDescent="0.3">
      <c r="A783" s="6" t="s">
        <v>1090</v>
      </c>
      <c r="B783" s="2" t="s">
        <v>1091</v>
      </c>
      <c r="C783" s="2"/>
      <c r="D783" s="2"/>
      <c r="E783" s="2">
        <v>157430.64000000001</v>
      </c>
      <c r="F783" s="2">
        <v>0</v>
      </c>
    </row>
    <row r="784" spans="1:6" x14ac:dyDescent="0.3">
      <c r="A784" s="6" t="s">
        <v>1092</v>
      </c>
      <c r="B784" s="2" t="s">
        <v>1075</v>
      </c>
      <c r="C784" s="2"/>
      <c r="D784" s="2"/>
      <c r="E784" s="2">
        <v>3883271.26</v>
      </c>
      <c r="F784" s="2">
        <v>0</v>
      </c>
    </row>
    <row r="785" spans="1:6" x14ac:dyDescent="0.3">
      <c r="A785" s="6" t="s">
        <v>1093</v>
      </c>
      <c r="B785" s="2" t="s">
        <v>1094</v>
      </c>
      <c r="C785" s="2"/>
      <c r="D785" s="2"/>
      <c r="E785" s="2">
        <v>22185917.280000001</v>
      </c>
      <c r="F785" s="2">
        <v>0</v>
      </c>
    </row>
    <row r="786" spans="1:6" x14ac:dyDescent="0.3">
      <c r="A786" s="6" t="s">
        <v>1095</v>
      </c>
      <c r="B786" s="2" t="s">
        <v>1096</v>
      </c>
      <c r="C786" s="2"/>
      <c r="D786" s="2"/>
      <c r="E786" s="2">
        <v>351</v>
      </c>
      <c r="F786" s="2">
        <v>0</v>
      </c>
    </row>
    <row r="787" spans="1:6" x14ac:dyDescent="0.3">
      <c r="A787" s="6" t="s">
        <v>1097</v>
      </c>
      <c r="B787" s="2" t="s">
        <v>1059</v>
      </c>
      <c r="C787" s="2"/>
      <c r="D787" s="2"/>
      <c r="E787" s="2">
        <v>443977.13</v>
      </c>
      <c r="F787" s="2">
        <v>0</v>
      </c>
    </row>
    <row r="788" spans="1:6" x14ac:dyDescent="0.3">
      <c r="A788" s="6" t="s">
        <v>1098</v>
      </c>
      <c r="B788" s="2" t="s">
        <v>620</v>
      </c>
      <c r="C788" s="2"/>
      <c r="D788" s="2"/>
      <c r="E788" s="2">
        <v>38706.199999999997</v>
      </c>
      <c r="F788" s="2">
        <v>0</v>
      </c>
    </row>
    <row r="789" spans="1:6" x14ac:dyDescent="0.3">
      <c r="A789" s="6" t="s">
        <v>1099</v>
      </c>
      <c r="B789" s="2" t="s">
        <v>622</v>
      </c>
      <c r="C789" s="2"/>
      <c r="D789" s="2"/>
      <c r="E789" s="2">
        <v>2011121.61</v>
      </c>
      <c r="F789" s="2">
        <v>0</v>
      </c>
    </row>
    <row r="790" spans="1:6" x14ac:dyDescent="0.3">
      <c r="A790" s="6" t="s">
        <v>1100</v>
      </c>
      <c r="B790" s="2" t="s">
        <v>624</v>
      </c>
      <c r="C790" s="2"/>
      <c r="D790" s="2"/>
      <c r="E790" s="2">
        <v>7651.3</v>
      </c>
      <c r="F790" s="2">
        <v>0</v>
      </c>
    </row>
    <row r="791" spans="1:6" x14ac:dyDescent="0.3">
      <c r="A791" s="6" t="s">
        <v>1101</v>
      </c>
      <c r="B791" s="2" t="s">
        <v>626</v>
      </c>
      <c r="C791" s="2"/>
      <c r="D791" s="2"/>
      <c r="E791" s="2">
        <v>323929.03999999998</v>
      </c>
      <c r="F791" s="2">
        <v>0</v>
      </c>
    </row>
    <row r="792" spans="1:6" x14ac:dyDescent="0.3">
      <c r="A792" s="6" t="s">
        <v>1102</v>
      </c>
      <c r="B792" s="2" t="s">
        <v>630</v>
      </c>
      <c r="C792" s="2"/>
      <c r="D792" s="2"/>
      <c r="E792" s="2">
        <v>0</v>
      </c>
      <c r="F792" s="2">
        <v>0</v>
      </c>
    </row>
    <row r="793" spans="1:6" x14ac:dyDescent="0.3">
      <c r="A793" s="6" t="s">
        <v>1103</v>
      </c>
      <c r="B793" s="2" t="s">
        <v>632</v>
      </c>
      <c r="C793" s="2"/>
      <c r="D793" s="2"/>
      <c r="E793" s="2">
        <v>416736.66</v>
      </c>
      <c r="F793" s="2">
        <v>0</v>
      </c>
    </row>
    <row r="794" spans="1:6" x14ac:dyDescent="0.3">
      <c r="A794" s="6" t="s">
        <v>1104</v>
      </c>
      <c r="B794" s="2" t="s">
        <v>1105</v>
      </c>
      <c r="C794" s="2"/>
      <c r="D794" s="2"/>
      <c r="E794" s="2">
        <v>0</v>
      </c>
      <c r="F794" s="2">
        <v>0</v>
      </c>
    </row>
    <row r="795" spans="1:6" x14ac:dyDescent="0.3">
      <c r="A795" s="6" t="s">
        <v>1106</v>
      </c>
      <c r="B795" s="2" t="s">
        <v>129</v>
      </c>
      <c r="C795" s="2"/>
      <c r="D795" s="2"/>
      <c r="E795" s="2">
        <v>2585.13</v>
      </c>
      <c r="F795" s="2">
        <v>0</v>
      </c>
    </row>
    <row r="796" spans="1:6" x14ac:dyDescent="0.3">
      <c r="A796" s="6" t="s">
        <v>1107</v>
      </c>
      <c r="B796" s="2" t="s">
        <v>133</v>
      </c>
      <c r="C796" s="2"/>
      <c r="D796" s="2"/>
      <c r="E796" s="2">
        <v>0</v>
      </c>
      <c r="F796" s="2">
        <v>0</v>
      </c>
    </row>
    <row r="797" spans="1:6" x14ac:dyDescent="0.3">
      <c r="A797" s="6" t="s">
        <v>1108</v>
      </c>
      <c r="B797" s="2" t="s">
        <v>133</v>
      </c>
      <c r="C797" s="2"/>
      <c r="D797" s="2"/>
      <c r="E797" s="2">
        <v>576435.12</v>
      </c>
      <c r="F797" s="2">
        <v>0</v>
      </c>
    </row>
    <row r="798" spans="1:6" x14ac:dyDescent="0.3">
      <c r="A798" s="6" t="s">
        <v>1109</v>
      </c>
      <c r="B798" s="2" t="s">
        <v>133</v>
      </c>
      <c r="C798" s="2"/>
      <c r="D798" s="2"/>
      <c r="E798" s="2">
        <v>1273482.3799999999</v>
      </c>
      <c r="F798" s="2">
        <v>0</v>
      </c>
    </row>
    <row r="799" spans="1:6" x14ac:dyDescent="0.3">
      <c r="A799" s="6" t="s">
        <v>1110</v>
      </c>
      <c r="B799" s="2" t="s">
        <v>133</v>
      </c>
      <c r="C799" s="2"/>
      <c r="D799" s="2"/>
      <c r="E799" s="2">
        <v>421189.69</v>
      </c>
      <c r="F799" s="2">
        <v>0</v>
      </c>
    </row>
    <row r="800" spans="1:6" x14ac:dyDescent="0.3">
      <c r="A800" s="6" t="s">
        <v>1111</v>
      </c>
      <c r="B800" s="2" t="s">
        <v>220</v>
      </c>
      <c r="C800" s="2"/>
      <c r="D800" s="2"/>
      <c r="E800" s="2">
        <v>112778.38</v>
      </c>
      <c r="F800" s="2">
        <v>0</v>
      </c>
    </row>
    <row r="801" spans="1:6" x14ac:dyDescent="0.3">
      <c r="A801" s="6" t="s">
        <v>1112</v>
      </c>
      <c r="B801" s="2" t="s">
        <v>220</v>
      </c>
      <c r="C801" s="2"/>
      <c r="D801" s="2"/>
      <c r="E801" s="2">
        <v>12731.18</v>
      </c>
      <c r="F801" s="2">
        <v>0</v>
      </c>
    </row>
    <row r="802" spans="1:6" x14ac:dyDescent="0.3">
      <c r="A802" s="6" t="s">
        <v>1113</v>
      </c>
      <c r="B802" s="2" t="s">
        <v>220</v>
      </c>
      <c r="C802" s="2"/>
      <c r="D802" s="2"/>
      <c r="E802" s="2">
        <v>19633.060000000001</v>
      </c>
      <c r="F802" s="2">
        <v>0</v>
      </c>
    </row>
    <row r="803" spans="1:6" x14ac:dyDescent="0.3">
      <c r="A803" s="6" t="s">
        <v>1114</v>
      </c>
      <c r="B803" s="2" t="s">
        <v>220</v>
      </c>
      <c r="C803" s="2"/>
      <c r="D803" s="2"/>
      <c r="E803" s="2">
        <v>138.77000000000001</v>
      </c>
      <c r="F803" s="2">
        <v>0</v>
      </c>
    </row>
    <row r="804" spans="1:6" x14ac:dyDescent="0.3">
      <c r="A804" s="6" t="s">
        <v>1115</v>
      </c>
      <c r="B804" s="2" t="s">
        <v>220</v>
      </c>
      <c r="C804" s="2"/>
      <c r="D804" s="2"/>
      <c r="E804" s="2">
        <v>2309.31</v>
      </c>
      <c r="F804" s="2">
        <v>0</v>
      </c>
    </row>
    <row r="805" spans="1:6" x14ac:dyDescent="0.3">
      <c r="A805" s="6" t="s">
        <v>1116</v>
      </c>
      <c r="B805" s="2" t="s">
        <v>220</v>
      </c>
      <c r="C805" s="2"/>
      <c r="D805" s="2"/>
      <c r="E805" s="2">
        <v>36.909999999999997</v>
      </c>
      <c r="F805" s="2">
        <v>0</v>
      </c>
    </row>
    <row r="806" spans="1:6" x14ac:dyDescent="0.3">
      <c r="A806" s="6" t="s">
        <v>1117</v>
      </c>
      <c r="B806" s="2" t="s">
        <v>220</v>
      </c>
      <c r="C806" s="2"/>
      <c r="D806" s="2"/>
      <c r="E806" s="2">
        <v>22284.81</v>
      </c>
      <c r="F806" s="2">
        <v>0</v>
      </c>
    </row>
    <row r="807" spans="1:6" x14ac:dyDescent="0.3">
      <c r="A807" s="6" t="s">
        <v>1118</v>
      </c>
      <c r="B807" s="2" t="s">
        <v>220</v>
      </c>
      <c r="C807" s="2"/>
      <c r="D807" s="2"/>
      <c r="E807" s="2">
        <v>189.41</v>
      </c>
      <c r="F807" s="2">
        <v>0</v>
      </c>
    </row>
    <row r="808" spans="1:6" x14ac:dyDescent="0.3">
      <c r="A808" s="6" t="s">
        <v>1119</v>
      </c>
      <c r="B808" s="2" t="s">
        <v>220</v>
      </c>
      <c r="C808" s="2"/>
      <c r="D808" s="2"/>
      <c r="E808" s="2">
        <v>402.26</v>
      </c>
      <c r="F808" s="2">
        <v>0</v>
      </c>
    </row>
    <row r="809" spans="1:6" x14ac:dyDescent="0.3">
      <c r="A809" s="6" t="s">
        <v>1120</v>
      </c>
      <c r="B809" s="2" t="s">
        <v>220</v>
      </c>
      <c r="C809" s="2"/>
      <c r="D809" s="2"/>
      <c r="E809" s="2">
        <v>176166.07</v>
      </c>
      <c r="F809" s="2">
        <v>0</v>
      </c>
    </row>
    <row r="810" spans="1:6" x14ac:dyDescent="0.3">
      <c r="A810" s="6" t="s">
        <v>1121</v>
      </c>
      <c r="B810" s="2" t="s">
        <v>220</v>
      </c>
      <c r="C810" s="2"/>
      <c r="D810" s="2"/>
      <c r="E810" s="2">
        <v>0</v>
      </c>
      <c r="F810" s="2">
        <v>4956.41</v>
      </c>
    </row>
    <row r="811" spans="1:6" x14ac:dyDescent="0.3">
      <c r="A811" s="6" t="s">
        <v>1122</v>
      </c>
      <c r="B811" s="2" t="s">
        <v>220</v>
      </c>
      <c r="C811" s="2"/>
      <c r="D811" s="2"/>
      <c r="E811" s="2">
        <v>108.81</v>
      </c>
      <c r="F811" s="2">
        <v>0</v>
      </c>
    </row>
    <row r="812" spans="1:6" x14ac:dyDescent="0.3">
      <c r="A812" s="6" t="s">
        <v>1123</v>
      </c>
      <c r="B812" s="2" t="s">
        <v>220</v>
      </c>
      <c r="C812" s="2"/>
      <c r="D812" s="2"/>
      <c r="E812" s="2">
        <v>16.100000000000001</v>
      </c>
      <c r="F812" s="2">
        <v>0</v>
      </c>
    </row>
    <row r="813" spans="1:6" x14ac:dyDescent="0.3">
      <c r="A813" s="6" t="s">
        <v>1124</v>
      </c>
      <c r="B813" s="2" t="s">
        <v>220</v>
      </c>
      <c r="C813" s="2"/>
      <c r="D813" s="2"/>
      <c r="E813" s="2">
        <v>830844.46</v>
      </c>
      <c r="F813" s="2">
        <v>0</v>
      </c>
    </row>
    <row r="814" spans="1:6" x14ac:dyDescent="0.3">
      <c r="A814" s="6" t="s">
        <v>1125</v>
      </c>
      <c r="B814" s="2" t="s">
        <v>220</v>
      </c>
      <c r="C814" s="2"/>
      <c r="D814" s="2"/>
      <c r="E814" s="2">
        <v>543.75</v>
      </c>
      <c r="F814" s="2">
        <v>0</v>
      </c>
    </row>
    <row r="815" spans="1:6" x14ac:dyDescent="0.3">
      <c r="A815" s="6" t="s">
        <v>1126</v>
      </c>
      <c r="B815" s="2" t="s">
        <v>220</v>
      </c>
      <c r="C815" s="2"/>
      <c r="D815" s="2"/>
      <c r="E815" s="2">
        <v>205143.98</v>
      </c>
      <c r="F815" s="2">
        <v>0</v>
      </c>
    </row>
    <row r="816" spans="1:6" x14ac:dyDescent="0.3">
      <c r="A816" s="6" t="s">
        <v>1127</v>
      </c>
      <c r="B816" s="2" t="s">
        <v>220</v>
      </c>
      <c r="C816" s="2"/>
      <c r="D816" s="2"/>
      <c r="E816" s="2">
        <v>1110.8</v>
      </c>
      <c r="F816" s="2">
        <v>0</v>
      </c>
    </row>
    <row r="817" spans="1:6" x14ac:dyDescent="0.3">
      <c r="A817" s="6" t="s">
        <v>1128</v>
      </c>
      <c r="B817" s="2" t="s">
        <v>220</v>
      </c>
      <c r="C817" s="2"/>
      <c r="D817" s="2"/>
      <c r="E817" s="2">
        <v>2730.06</v>
      </c>
      <c r="F817" s="2">
        <v>0</v>
      </c>
    </row>
    <row r="818" spans="1:6" x14ac:dyDescent="0.3">
      <c r="A818" s="6" t="s">
        <v>1129</v>
      </c>
      <c r="B818" s="2" t="s">
        <v>220</v>
      </c>
      <c r="C818" s="2"/>
      <c r="D818" s="2"/>
      <c r="E818" s="2">
        <v>32642.53</v>
      </c>
      <c r="F818" s="2">
        <v>0</v>
      </c>
    </row>
    <row r="819" spans="1:6" x14ac:dyDescent="0.3">
      <c r="A819" s="6" t="s">
        <v>1130</v>
      </c>
      <c r="B819" s="2" t="s">
        <v>292</v>
      </c>
      <c r="C819" s="2"/>
      <c r="D819" s="2"/>
      <c r="E819" s="2">
        <v>437.34</v>
      </c>
      <c r="F819" s="2">
        <v>0</v>
      </c>
    </row>
    <row r="820" spans="1:6" x14ac:dyDescent="0.3">
      <c r="A820" s="6" t="s">
        <v>1131</v>
      </c>
      <c r="B820" s="2" t="s">
        <v>220</v>
      </c>
      <c r="C820" s="2"/>
      <c r="D820" s="2"/>
      <c r="E820" s="2">
        <v>50617.41</v>
      </c>
      <c r="F820" s="2">
        <v>0</v>
      </c>
    </row>
    <row r="821" spans="1:6" x14ac:dyDescent="0.3">
      <c r="A821" s="6" t="s">
        <v>1132</v>
      </c>
      <c r="B821" s="2" t="s">
        <v>220</v>
      </c>
      <c r="C821" s="2"/>
      <c r="D821" s="2"/>
      <c r="E821" s="2">
        <v>1553140.94</v>
      </c>
      <c r="F821" s="2">
        <v>0</v>
      </c>
    </row>
    <row r="822" spans="1:6" x14ac:dyDescent="0.3">
      <c r="A822" s="6" t="s">
        <v>1133</v>
      </c>
      <c r="B822" s="2" t="s">
        <v>220</v>
      </c>
      <c r="C822" s="2"/>
      <c r="D822" s="2"/>
      <c r="E822" s="2">
        <v>158124.70000000001</v>
      </c>
      <c r="F822" s="2">
        <v>0</v>
      </c>
    </row>
    <row r="823" spans="1:6" x14ac:dyDescent="0.3">
      <c r="A823" s="6" t="s">
        <v>1134</v>
      </c>
      <c r="B823" s="2" t="s">
        <v>220</v>
      </c>
      <c r="C823" s="2"/>
      <c r="D823" s="2"/>
      <c r="E823" s="2">
        <v>2580230.04</v>
      </c>
      <c r="F823" s="2">
        <v>0</v>
      </c>
    </row>
    <row r="824" spans="1:6" x14ac:dyDescent="0.3">
      <c r="A824" s="6" t="s">
        <v>1135</v>
      </c>
      <c r="B824" s="2" t="s">
        <v>220</v>
      </c>
      <c r="C824" s="2"/>
      <c r="D824" s="2"/>
      <c r="E824" s="2">
        <v>11937.85</v>
      </c>
      <c r="F824" s="2">
        <v>0</v>
      </c>
    </row>
    <row r="825" spans="1:6" x14ac:dyDescent="0.3">
      <c r="A825" s="6" t="s">
        <v>1136</v>
      </c>
      <c r="B825" s="2" t="s">
        <v>292</v>
      </c>
      <c r="C825" s="2"/>
      <c r="D825" s="2"/>
      <c r="E825" s="2">
        <v>7526.26</v>
      </c>
      <c r="F825" s="2">
        <v>0</v>
      </c>
    </row>
    <row r="826" spans="1:6" x14ac:dyDescent="0.3">
      <c r="A826" s="6" t="s">
        <v>1137</v>
      </c>
      <c r="B826" s="2" t="s">
        <v>220</v>
      </c>
      <c r="C826" s="2"/>
      <c r="D826" s="2"/>
      <c r="E826" s="2">
        <v>4000.82</v>
      </c>
      <c r="F826" s="2">
        <v>0</v>
      </c>
    </row>
    <row r="827" spans="1:6" x14ac:dyDescent="0.3">
      <c r="A827" s="6" t="s">
        <v>1138</v>
      </c>
      <c r="B827" s="2" t="s">
        <v>220</v>
      </c>
      <c r="C827" s="2"/>
      <c r="D827" s="2"/>
      <c r="E827" s="2">
        <v>4292568.1900000004</v>
      </c>
      <c r="F827" s="2">
        <v>0</v>
      </c>
    </row>
    <row r="828" spans="1:6" x14ac:dyDescent="0.3">
      <c r="A828" s="6" t="s">
        <v>1139</v>
      </c>
      <c r="B828" s="2" t="s">
        <v>220</v>
      </c>
      <c r="C828" s="2"/>
      <c r="D828" s="2"/>
      <c r="E828" s="2">
        <v>21507.05</v>
      </c>
      <c r="F828" s="2">
        <v>0</v>
      </c>
    </row>
    <row r="829" spans="1:6" x14ac:dyDescent="0.3">
      <c r="A829" s="6" t="s">
        <v>1140</v>
      </c>
      <c r="B829" s="2" t="s">
        <v>220</v>
      </c>
      <c r="C829" s="2"/>
      <c r="D829" s="2"/>
      <c r="E829" s="2">
        <v>2649540.0699999998</v>
      </c>
      <c r="F829" s="2">
        <v>0</v>
      </c>
    </row>
    <row r="830" spans="1:6" x14ac:dyDescent="0.3">
      <c r="A830" s="6" t="s">
        <v>1141</v>
      </c>
      <c r="B830" s="2" t="s">
        <v>220</v>
      </c>
      <c r="C830" s="2"/>
      <c r="D830" s="2"/>
      <c r="E830" s="2">
        <v>14518.05</v>
      </c>
      <c r="F830" s="2">
        <v>0</v>
      </c>
    </row>
    <row r="831" spans="1:6" x14ac:dyDescent="0.3">
      <c r="A831" s="6" t="s">
        <v>1142</v>
      </c>
      <c r="B831" s="2" t="s">
        <v>220</v>
      </c>
      <c r="C831" s="2"/>
      <c r="D831" s="2"/>
      <c r="E831" s="2">
        <v>3869780.93</v>
      </c>
      <c r="F831" s="2">
        <v>0</v>
      </c>
    </row>
    <row r="832" spans="1:6" x14ac:dyDescent="0.3">
      <c r="A832" s="6" t="s">
        <v>1143</v>
      </c>
      <c r="B832" s="2" t="s">
        <v>220</v>
      </c>
      <c r="C832" s="2"/>
      <c r="D832" s="2"/>
      <c r="E832" s="2">
        <v>4568618.46</v>
      </c>
      <c r="F832" s="2">
        <v>0</v>
      </c>
    </row>
    <row r="833" spans="1:6" x14ac:dyDescent="0.3">
      <c r="A833" s="6" t="s">
        <v>1144</v>
      </c>
      <c r="B833" s="2" t="s">
        <v>220</v>
      </c>
      <c r="C833" s="2"/>
      <c r="D833" s="2"/>
      <c r="E833" s="2">
        <v>349636.91</v>
      </c>
      <c r="F833" s="2">
        <v>0</v>
      </c>
    </row>
    <row r="834" spans="1:6" x14ac:dyDescent="0.3">
      <c r="A834" s="6" t="s">
        <v>1145</v>
      </c>
      <c r="B834" s="2" t="s">
        <v>220</v>
      </c>
      <c r="C834" s="2"/>
      <c r="D834" s="2"/>
      <c r="E834" s="2">
        <v>152816.97</v>
      </c>
      <c r="F834" s="2">
        <v>0</v>
      </c>
    </row>
    <row r="835" spans="1:6" x14ac:dyDescent="0.3">
      <c r="A835" s="6" t="s">
        <v>1146</v>
      </c>
      <c r="B835" s="2" t="s">
        <v>220</v>
      </c>
      <c r="C835" s="2"/>
      <c r="D835" s="2"/>
      <c r="E835" s="2">
        <v>3739057.29</v>
      </c>
      <c r="F835" s="2">
        <v>0</v>
      </c>
    </row>
    <row r="836" spans="1:6" x14ac:dyDescent="0.3">
      <c r="A836" s="6" t="s">
        <v>1147</v>
      </c>
      <c r="B836" s="2" t="s">
        <v>220</v>
      </c>
      <c r="C836" s="2"/>
      <c r="D836" s="2"/>
      <c r="E836" s="2">
        <v>1181.8</v>
      </c>
      <c r="F836" s="2">
        <v>0</v>
      </c>
    </row>
    <row r="837" spans="1:6" x14ac:dyDescent="0.3">
      <c r="A837" s="6" t="s">
        <v>1148</v>
      </c>
      <c r="B837" s="2" t="s">
        <v>220</v>
      </c>
      <c r="C837" s="2"/>
      <c r="D837" s="2"/>
      <c r="E837" s="2">
        <v>2203.1999999999998</v>
      </c>
      <c r="F837" s="2">
        <v>0</v>
      </c>
    </row>
    <row r="838" spans="1:6" x14ac:dyDescent="0.3">
      <c r="A838" s="6" t="s">
        <v>1149</v>
      </c>
      <c r="B838" s="2" t="s">
        <v>220</v>
      </c>
      <c r="C838" s="2"/>
      <c r="D838" s="2"/>
      <c r="E838" s="2">
        <v>24481.39</v>
      </c>
      <c r="F838" s="2">
        <v>0</v>
      </c>
    </row>
    <row r="839" spans="1:6" x14ac:dyDescent="0.3">
      <c r="A839" s="6" t="s">
        <v>1150</v>
      </c>
      <c r="B839" s="2" t="s">
        <v>220</v>
      </c>
      <c r="C839" s="2"/>
      <c r="D839" s="2"/>
      <c r="E839" s="2">
        <v>1449</v>
      </c>
      <c r="F839" s="2">
        <v>0</v>
      </c>
    </row>
    <row r="840" spans="1:6" x14ac:dyDescent="0.3">
      <c r="A840" s="6" t="s">
        <v>1151</v>
      </c>
      <c r="B840" s="2" t="s">
        <v>220</v>
      </c>
      <c r="C840" s="2"/>
      <c r="D840" s="2"/>
      <c r="E840" s="2">
        <v>76221.759999999995</v>
      </c>
      <c r="F840" s="2">
        <v>0</v>
      </c>
    </row>
    <row r="841" spans="1:6" x14ac:dyDescent="0.3">
      <c r="A841" s="6" t="s">
        <v>1152</v>
      </c>
      <c r="B841" s="2" t="s">
        <v>220</v>
      </c>
      <c r="C841" s="2"/>
      <c r="D841" s="2"/>
      <c r="E841" s="2">
        <v>2352.5100000000002</v>
      </c>
      <c r="F841" s="2">
        <v>0</v>
      </c>
    </row>
    <row r="842" spans="1:6" x14ac:dyDescent="0.3">
      <c r="A842" s="6" t="s">
        <v>1153</v>
      </c>
      <c r="B842" s="2" t="s">
        <v>292</v>
      </c>
      <c r="C842" s="2"/>
      <c r="D842" s="2"/>
      <c r="E842" s="2">
        <v>61928.11</v>
      </c>
      <c r="F842" s="2">
        <v>0</v>
      </c>
    </row>
    <row r="843" spans="1:6" x14ac:dyDescent="0.3">
      <c r="A843" s="6" t="s">
        <v>1154</v>
      </c>
      <c r="B843" s="2" t="s">
        <v>220</v>
      </c>
      <c r="C843" s="2"/>
      <c r="D843" s="2"/>
      <c r="E843" s="2">
        <v>11738345.27</v>
      </c>
      <c r="F843" s="2">
        <v>0</v>
      </c>
    </row>
    <row r="844" spans="1:6" x14ac:dyDescent="0.3">
      <c r="A844" s="6" t="s">
        <v>1155</v>
      </c>
      <c r="B844" s="2" t="s">
        <v>220</v>
      </c>
      <c r="C844" s="2"/>
      <c r="D844" s="2"/>
      <c r="E844" s="2">
        <v>1453483.64</v>
      </c>
      <c r="F844" s="2">
        <v>0</v>
      </c>
    </row>
    <row r="845" spans="1:6" x14ac:dyDescent="0.3">
      <c r="A845" s="6" t="s">
        <v>1156</v>
      </c>
      <c r="B845" s="2" t="s">
        <v>220</v>
      </c>
      <c r="C845" s="2"/>
      <c r="D845" s="2"/>
      <c r="E845" s="2">
        <v>6239683.5999999996</v>
      </c>
      <c r="F845" s="2">
        <v>0</v>
      </c>
    </row>
    <row r="846" spans="1:6" x14ac:dyDescent="0.3">
      <c r="A846" s="6" t="s">
        <v>1157</v>
      </c>
      <c r="B846" s="2" t="s">
        <v>220</v>
      </c>
      <c r="C846" s="2"/>
      <c r="D846" s="2"/>
      <c r="E846" s="2">
        <v>185283.61</v>
      </c>
      <c r="F846" s="2">
        <v>0</v>
      </c>
    </row>
    <row r="847" spans="1:6" x14ac:dyDescent="0.3">
      <c r="A847" s="6" t="s">
        <v>1158</v>
      </c>
      <c r="B847" s="2" t="s">
        <v>292</v>
      </c>
      <c r="C847" s="2"/>
      <c r="D847" s="2"/>
      <c r="E847" s="2">
        <v>17310.61</v>
      </c>
      <c r="F847" s="2">
        <v>0</v>
      </c>
    </row>
    <row r="848" spans="1:6" x14ac:dyDescent="0.3">
      <c r="A848" s="6" t="s">
        <v>1159</v>
      </c>
      <c r="B848" s="2" t="s">
        <v>292</v>
      </c>
      <c r="C848" s="2"/>
      <c r="D848" s="2"/>
      <c r="E848" s="2">
        <v>2.23</v>
      </c>
      <c r="F848" s="2">
        <v>0</v>
      </c>
    </row>
    <row r="849" spans="1:6" x14ac:dyDescent="0.3">
      <c r="A849" s="6" t="s">
        <v>1160</v>
      </c>
      <c r="B849" s="2" t="s">
        <v>220</v>
      </c>
      <c r="C849" s="2"/>
      <c r="D849" s="2"/>
      <c r="E849" s="2">
        <v>1370250.92</v>
      </c>
      <c r="F849" s="2">
        <v>0</v>
      </c>
    </row>
    <row r="850" spans="1:6" x14ac:dyDescent="0.3">
      <c r="A850" s="6" t="s">
        <v>1161</v>
      </c>
      <c r="B850" s="2" t="s">
        <v>220</v>
      </c>
      <c r="C850" s="2"/>
      <c r="D850" s="2"/>
      <c r="E850" s="2">
        <v>13536462.75</v>
      </c>
      <c r="F850" s="2">
        <v>0</v>
      </c>
    </row>
    <row r="851" spans="1:6" x14ac:dyDescent="0.3">
      <c r="A851" s="6" t="s">
        <v>1162</v>
      </c>
      <c r="B851" s="2" t="s">
        <v>220</v>
      </c>
      <c r="C851" s="2"/>
      <c r="D851" s="2"/>
      <c r="E851" s="2">
        <v>2129.4</v>
      </c>
      <c r="F851" s="2">
        <v>0</v>
      </c>
    </row>
    <row r="852" spans="1:6" x14ac:dyDescent="0.3">
      <c r="A852" s="6" t="s">
        <v>1163</v>
      </c>
      <c r="B852" s="2" t="s">
        <v>220</v>
      </c>
      <c r="C852" s="2"/>
      <c r="D852" s="2"/>
      <c r="E852" s="2">
        <v>4519827.0999999996</v>
      </c>
      <c r="F852" s="2">
        <v>0</v>
      </c>
    </row>
    <row r="853" spans="1:6" x14ac:dyDescent="0.3">
      <c r="A853" s="6" t="s">
        <v>1164</v>
      </c>
      <c r="B853" s="2" t="s">
        <v>220</v>
      </c>
      <c r="C853" s="2"/>
      <c r="D853" s="2"/>
      <c r="E853" s="2">
        <v>8899277.8599999994</v>
      </c>
      <c r="F853" s="2">
        <v>0</v>
      </c>
    </row>
    <row r="854" spans="1:6" x14ac:dyDescent="0.3">
      <c r="A854" s="6" t="s">
        <v>1165</v>
      </c>
      <c r="B854" s="2" t="s">
        <v>220</v>
      </c>
      <c r="C854" s="2"/>
      <c r="D854" s="2"/>
      <c r="E854" s="2">
        <v>73311.710000000006</v>
      </c>
      <c r="F854" s="2">
        <v>0</v>
      </c>
    </row>
    <row r="855" spans="1:6" x14ac:dyDescent="0.3">
      <c r="A855" s="6" t="s">
        <v>1166</v>
      </c>
      <c r="B855" s="2" t="s">
        <v>220</v>
      </c>
      <c r="C855" s="2"/>
      <c r="D855" s="2"/>
      <c r="E855" s="2">
        <v>3886.27</v>
      </c>
      <c r="F855" s="2">
        <v>0</v>
      </c>
    </row>
    <row r="856" spans="1:6" x14ac:dyDescent="0.3">
      <c r="A856" s="6" t="s">
        <v>1167</v>
      </c>
      <c r="B856" s="2" t="s">
        <v>220</v>
      </c>
      <c r="C856" s="2"/>
      <c r="D856" s="2"/>
      <c r="E856" s="2">
        <v>71553.08</v>
      </c>
      <c r="F856" s="2">
        <v>0</v>
      </c>
    </row>
    <row r="857" spans="1:6" x14ac:dyDescent="0.3">
      <c r="A857" s="6" t="s">
        <v>1168</v>
      </c>
      <c r="B857" s="2" t="s">
        <v>292</v>
      </c>
      <c r="C857" s="2"/>
      <c r="D857" s="2"/>
      <c r="E857" s="2">
        <v>192431.45</v>
      </c>
      <c r="F857" s="2">
        <v>0</v>
      </c>
    </row>
    <row r="858" spans="1:6" x14ac:dyDescent="0.3">
      <c r="A858" s="6" t="s">
        <v>1169</v>
      </c>
      <c r="B858" s="2" t="s">
        <v>220</v>
      </c>
      <c r="C858" s="2"/>
      <c r="D858" s="2"/>
      <c r="E858" s="2">
        <v>23215495.129999999</v>
      </c>
      <c r="F858" s="2">
        <v>0</v>
      </c>
    </row>
    <row r="859" spans="1:6" x14ac:dyDescent="0.3">
      <c r="A859" s="6" t="s">
        <v>1170</v>
      </c>
      <c r="B859" s="2" t="s">
        <v>220</v>
      </c>
      <c r="C859" s="2"/>
      <c r="D859" s="2"/>
      <c r="E859" s="2">
        <v>10096.69</v>
      </c>
      <c r="F859" s="2">
        <v>0</v>
      </c>
    </row>
    <row r="860" spans="1:6" x14ac:dyDescent="0.3">
      <c r="A860" s="6" t="s">
        <v>1171</v>
      </c>
      <c r="B860" s="2" t="s">
        <v>292</v>
      </c>
      <c r="C860" s="2"/>
      <c r="D860" s="2"/>
      <c r="E860" s="2">
        <v>6883.09</v>
      </c>
      <c r="F860" s="2">
        <v>0</v>
      </c>
    </row>
    <row r="861" spans="1:6" x14ac:dyDescent="0.3">
      <c r="A861" s="6" t="s">
        <v>1172</v>
      </c>
      <c r="B861" s="2" t="s">
        <v>220</v>
      </c>
      <c r="C861" s="2"/>
      <c r="D861" s="2"/>
      <c r="E861" s="2">
        <v>1409824.76</v>
      </c>
      <c r="F861" s="2">
        <v>0</v>
      </c>
    </row>
    <row r="862" spans="1:6" x14ac:dyDescent="0.3">
      <c r="A862" s="6" t="s">
        <v>1173</v>
      </c>
      <c r="B862" s="2" t="s">
        <v>220</v>
      </c>
      <c r="C862" s="2"/>
      <c r="D862" s="2"/>
      <c r="E862" s="2">
        <v>1081450.1299999999</v>
      </c>
      <c r="F862" s="2">
        <v>0</v>
      </c>
    </row>
    <row r="863" spans="1:6" x14ac:dyDescent="0.3">
      <c r="A863" s="6" t="s">
        <v>1174</v>
      </c>
      <c r="B863" s="2" t="s">
        <v>983</v>
      </c>
      <c r="C863" s="2"/>
      <c r="D863" s="2"/>
      <c r="E863" s="2">
        <v>48994.36</v>
      </c>
      <c r="F863" s="2">
        <v>0</v>
      </c>
    </row>
    <row r="864" spans="1:6" x14ac:dyDescent="0.3">
      <c r="A864" s="6" t="s">
        <v>1175</v>
      </c>
      <c r="B864" s="2" t="s">
        <v>1176</v>
      </c>
      <c r="C864" s="2"/>
      <c r="D864" s="2"/>
      <c r="E864" s="2">
        <v>53685.7</v>
      </c>
      <c r="F864" s="2">
        <v>0</v>
      </c>
    </row>
    <row r="865" spans="1:6" x14ac:dyDescent="0.3">
      <c r="A865" s="6" t="s">
        <v>1177</v>
      </c>
      <c r="B865" s="2" t="s">
        <v>983</v>
      </c>
      <c r="C865" s="2"/>
      <c r="D865" s="2"/>
      <c r="E865" s="2">
        <v>1092480.17</v>
      </c>
      <c r="F865" s="2">
        <v>0</v>
      </c>
    </row>
    <row r="866" spans="1:6" x14ac:dyDescent="0.3">
      <c r="A866" s="6" t="s">
        <v>1178</v>
      </c>
      <c r="B866" s="2" t="s">
        <v>618</v>
      </c>
      <c r="C866" s="2"/>
      <c r="D866" s="2"/>
      <c r="E866" s="2">
        <v>6500000</v>
      </c>
      <c r="F866" s="2">
        <v>0</v>
      </c>
    </row>
    <row r="867" spans="1:6" x14ac:dyDescent="0.3">
      <c r="A867" s="6" t="s">
        <v>1179</v>
      </c>
      <c r="B867" s="2" t="s">
        <v>1180</v>
      </c>
      <c r="C867" s="2"/>
      <c r="D867" s="2"/>
      <c r="E867" s="2">
        <v>30565375.940000001</v>
      </c>
      <c r="F867" s="2">
        <v>0</v>
      </c>
    </row>
    <row r="868" spans="1:6" x14ac:dyDescent="0.3">
      <c r="A868" s="6" t="s">
        <v>1181</v>
      </c>
      <c r="B868" s="2" t="s">
        <v>1182</v>
      </c>
      <c r="C868" s="2"/>
      <c r="D868" s="2"/>
      <c r="E868" s="2">
        <v>34219.97</v>
      </c>
      <c r="F868" s="2">
        <v>0</v>
      </c>
    </row>
    <row r="869" spans="1:6" x14ac:dyDescent="0.3">
      <c r="A869" s="6" t="s">
        <v>1183</v>
      </c>
      <c r="B869" s="2" t="s">
        <v>624</v>
      </c>
      <c r="C869" s="2"/>
      <c r="D869" s="2"/>
      <c r="E869" s="2">
        <v>206</v>
      </c>
      <c r="F869" s="2">
        <v>0</v>
      </c>
    </row>
    <row r="870" spans="1:6" x14ac:dyDescent="0.3">
      <c r="A870" s="6" t="s">
        <v>1184</v>
      </c>
      <c r="B870" s="2" t="s">
        <v>626</v>
      </c>
      <c r="C870" s="2"/>
      <c r="D870" s="2"/>
      <c r="E870" s="2">
        <v>67000</v>
      </c>
      <c r="F870" s="2">
        <v>0</v>
      </c>
    </row>
    <row r="871" spans="1:6" x14ac:dyDescent="0.3">
      <c r="A871" s="6" t="s">
        <v>1185</v>
      </c>
      <c r="B871" s="2" t="s">
        <v>630</v>
      </c>
      <c r="C871" s="2"/>
      <c r="D871" s="2"/>
      <c r="E871" s="2">
        <v>85966.24</v>
      </c>
      <c r="F871" s="2">
        <v>0</v>
      </c>
    </row>
    <row r="872" spans="1:6" x14ac:dyDescent="0.3">
      <c r="A872" s="6" t="s">
        <v>1186</v>
      </c>
      <c r="B872" s="2" t="s">
        <v>1187</v>
      </c>
      <c r="C872" s="2"/>
      <c r="D872" s="2"/>
      <c r="E872" s="2">
        <v>326462.07</v>
      </c>
      <c r="F872" s="2">
        <v>0</v>
      </c>
    </row>
    <row r="873" spans="1:6" x14ac:dyDescent="0.3">
      <c r="A873" s="6" t="s">
        <v>1188</v>
      </c>
      <c r="B873" s="2" t="s">
        <v>634</v>
      </c>
      <c r="C873" s="2"/>
      <c r="D873" s="2"/>
      <c r="E873" s="2">
        <v>5055325.6399999997</v>
      </c>
      <c r="F873" s="2">
        <v>0</v>
      </c>
    </row>
    <row r="874" spans="1:6" x14ac:dyDescent="0.3">
      <c r="A874" s="6" t="s">
        <v>1189</v>
      </c>
      <c r="B874" s="2" t="s">
        <v>636</v>
      </c>
      <c r="C874" s="2"/>
      <c r="D874" s="2"/>
      <c r="E874" s="2">
        <v>1310.26</v>
      </c>
      <c r="F874" s="2">
        <v>0</v>
      </c>
    </row>
    <row r="875" spans="1:6" x14ac:dyDescent="0.3">
      <c r="A875" s="6" t="s">
        <v>1190</v>
      </c>
      <c r="B875" s="2" t="s">
        <v>636</v>
      </c>
      <c r="C875" s="2"/>
      <c r="D875" s="2"/>
      <c r="E875" s="2">
        <v>2976.2</v>
      </c>
      <c r="F875" s="2">
        <v>0</v>
      </c>
    </row>
    <row r="876" spans="1:6" x14ac:dyDescent="0.3">
      <c r="A876" s="6" t="s">
        <v>1191</v>
      </c>
      <c r="B876" s="2" t="s">
        <v>636</v>
      </c>
      <c r="C876" s="2"/>
      <c r="D876" s="2"/>
      <c r="E876" s="2">
        <v>45251.72</v>
      </c>
      <c r="F876" s="2">
        <v>0</v>
      </c>
    </row>
    <row r="877" spans="1:6" x14ac:dyDescent="0.3">
      <c r="A877" s="6" t="s">
        <v>1192</v>
      </c>
      <c r="B877" s="2" t="s">
        <v>636</v>
      </c>
      <c r="C877" s="2"/>
      <c r="D877" s="2"/>
      <c r="E877" s="2">
        <v>40.36</v>
      </c>
      <c r="F877" s="2">
        <v>0</v>
      </c>
    </row>
    <row r="878" spans="1:6" x14ac:dyDescent="0.3">
      <c r="A878" s="6" t="s">
        <v>1193</v>
      </c>
      <c r="B878" s="2" t="s">
        <v>636</v>
      </c>
      <c r="C878" s="2"/>
      <c r="D878" s="2"/>
      <c r="E878" s="2">
        <v>57.54</v>
      </c>
      <c r="F878" s="2">
        <v>0</v>
      </c>
    </row>
    <row r="879" spans="1:6" x14ac:dyDescent="0.3">
      <c r="A879" s="6" t="s">
        <v>1194</v>
      </c>
      <c r="B879" s="2" t="s">
        <v>636</v>
      </c>
      <c r="C879" s="2"/>
      <c r="D879" s="2"/>
      <c r="E879" s="2">
        <v>1393675.02</v>
      </c>
      <c r="F879" s="2">
        <v>0</v>
      </c>
    </row>
    <row r="880" spans="1:6" x14ac:dyDescent="0.3">
      <c r="A880" s="6" t="s">
        <v>1195</v>
      </c>
      <c r="B880" s="2" t="s">
        <v>292</v>
      </c>
      <c r="C880" s="2"/>
      <c r="D880" s="2"/>
      <c r="E880" s="2">
        <v>1161899.71</v>
      </c>
      <c r="F880" s="2">
        <v>0</v>
      </c>
    </row>
    <row r="881" spans="1:6" x14ac:dyDescent="0.3">
      <c r="A881" s="6" t="s">
        <v>1196</v>
      </c>
      <c r="B881" s="2" t="s">
        <v>636</v>
      </c>
      <c r="C881" s="2"/>
      <c r="D881" s="2"/>
      <c r="E881" s="2">
        <v>0.11</v>
      </c>
      <c r="F881" s="2">
        <v>0</v>
      </c>
    </row>
    <row r="882" spans="1:6" x14ac:dyDescent="0.3">
      <c r="A882" s="6" t="s">
        <v>1197</v>
      </c>
      <c r="B882" s="2" t="s">
        <v>636</v>
      </c>
      <c r="C882" s="2"/>
      <c r="D882" s="2"/>
      <c r="E882" s="2">
        <v>27.41</v>
      </c>
      <c r="F882" s="2">
        <v>0</v>
      </c>
    </row>
    <row r="883" spans="1:6" x14ac:dyDescent="0.3">
      <c r="A883" s="6" t="s">
        <v>1198</v>
      </c>
      <c r="B883" s="2" t="s">
        <v>636</v>
      </c>
      <c r="C883" s="2"/>
      <c r="D883" s="2"/>
      <c r="E883" s="2">
        <v>2308.42</v>
      </c>
      <c r="F883" s="2">
        <v>0</v>
      </c>
    </row>
    <row r="884" spans="1:6" x14ac:dyDescent="0.3">
      <c r="A884" s="6" t="s">
        <v>1199</v>
      </c>
      <c r="B884" s="2" t="s">
        <v>636</v>
      </c>
      <c r="C884" s="2"/>
      <c r="D884" s="2"/>
      <c r="E884" s="2">
        <v>250.56</v>
      </c>
      <c r="F884" s="2">
        <v>0</v>
      </c>
    </row>
    <row r="885" spans="1:6" x14ac:dyDescent="0.3">
      <c r="A885" s="6" t="s">
        <v>1200</v>
      </c>
      <c r="B885" s="2" t="s">
        <v>636</v>
      </c>
      <c r="C885" s="2"/>
      <c r="D885" s="2"/>
      <c r="E885" s="2">
        <v>961957.74</v>
      </c>
      <c r="F885" s="2">
        <v>0</v>
      </c>
    </row>
    <row r="886" spans="1:6" x14ac:dyDescent="0.3">
      <c r="A886" s="6" t="s">
        <v>1201</v>
      </c>
      <c r="B886" s="2" t="s">
        <v>636</v>
      </c>
      <c r="C886" s="2"/>
      <c r="D886" s="2"/>
      <c r="E886" s="2">
        <v>3000</v>
      </c>
      <c r="F886" s="2">
        <v>0</v>
      </c>
    </row>
    <row r="887" spans="1:6" x14ac:dyDescent="0.3">
      <c r="A887" s="6" t="s">
        <v>1202</v>
      </c>
      <c r="B887" s="2" t="s">
        <v>292</v>
      </c>
      <c r="C887" s="2"/>
      <c r="D887" s="2"/>
      <c r="E887" s="2">
        <v>1244121.26</v>
      </c>
      <c r="F887" s="2">
        <v>0</v>
      </c>
    </row>
    <row r="888" spans="1:6" x14ac:dyDescent="0.3">
      <c r="A888" s="6" t="s">
        <v>1203</v>
      </c>
      <c r="B888" s="2" t="s">
        <v>636</v>
      </c>
      <c r="C888" s="2"/>
      <c r="D888" s="2"/>
      <c r="E888" s="2">
        <v>1784.94</v>
      </c>
      <c r="F888" s="2">
        <v>0</v>
      </c>
    </row>
    <row r="889" spans="1:6" x14ac:dyDescent="0.3">
      <c r="A889" s="6" t="s">
        <v>1204</v>
      </c>
      <c r="B889" s="2" t="s">
        <v>636</v>
      </c>
      <c r="C889" s="2"/>
      <c r="D889" s="2"/>
      <c r="E889" s="2">
        <v>14884.9</v>
      </c>
      <c r="F889" s="2">
        <v>0</v>
      </c>
    </row>
    <row r="890" spans="1:6" x14ac:dyDescent="0.3">
      <c r="A890" s="6" t="s">
        <v>1205</v>
      </c>
      <c r="B890" s="2" t="s">
        <v>636</v>
      </c>
      <c r="C890" s="2"/>
      <c r="D890" s="2"/>
      <c r="E890" s="2">
        <v>0</v>
      </c>
      <c r="F890" s="2">
        <v>0</v>
      </c>
    </row>
    <row r="891" spans="1:6" x14ac:dyDescent="0.3">
      <c r="A891" s="6" t="s">
        <v>1206</v>
      </c>
      <c r="B891" s="2" t="s">
        <v>636</v>
      </c>
      <c r="C891" s="2"/>
      <c r="D891" s="2"/>
      <c r="E891" s="2">
        <v>0</v>
      </c>
      <c r="F891" s="2">
        <v>0</v>
      </c>
    </row>
    <row r="892" spans="1:6" x14ac:dyDescent="0.3">
      <c r="A892" s="6" t="s">
        <v>1207</v>
      </c>
      <c r="B892" s="2" t="s">
        <v>636</v>
      </c>
      <c r="C892" s="2"/>
      <c r="D892" s="2"/>
      <c r="E892" s="2">
        <v>3300.5</v>
      </c>
      <c r="F892" s="2">
        <v>0</v>
      </c>
    </row>
    <row r="893" spans="1:6" x14ac:dyDescent="0.3">
      <c r="A893" s="6" t="s">
        <v>1208</v>
      </c>
      <c r="B893" s="2" t="s">
        <v>636</v>
      </c>
      <c r="C893" s="2"/>
      <c r="D893" s="2"/>
      <c r="E893" s="2">
        <v>3808.88</v>
      </c>
      <c r="F893" s="2">
        <v>0</v>
      </c>
    </row>
    <row r="894" spans="1:6" x14ac:dyDescent="0.3">
      <c r="A894" s="6" t="s">
        <v>1209</v>
      </c>
      <c r="B894" s="2" t="s">
        <v>636</v>
      </c>
      <c r="C894" s="2"/>
      <c r="D894" s="2"/>
      <c r="E894" s="2">
        <v>135396.21</v>
      </c>
      <c r="F894" s="2">
        <v>0</v>
      </c>
    </row>
    <row r="895" spans="1:6" x14ac:dyDescent="0.3">
      <c r="A895" s="6" t="s">
        <v>1210</v>
      </c>
      <c r="B895" s="2" t="s">
        <v>636</v>
      </c>
      <c r="C895" s="2"/>
      <c r="D895" s="2"/>
      <c r="E895" s="2">
        <v>828052.66</v>
      </c>
      <c r="F895" s="2">
        <v>0</v>
      </c>
    </row>
    <row r="896" spans="1:6" x14ac:dyDescent="0.3">
      <c r="A896" s="6" t="s">
        <v>1211</v>
      </c>
      <c r="B896" s="2" t="s">
        <v>636</v>
      </c>
      <c r="C896" s="2"/>
      <c r="D896" s="2"/>
      <c r="E896" s="2">
        <v>127560.6</v>
      </c>
      <c r="F896" s="2">
        <v>0</v>
      </c>
    </row>
    <row r="897" spans="1:6" x14ac:dyDescent="0.3">
      <c r="A897" s="6" t="s">
        <v>1212</v>
      </c>
      <c r="B897" s="2" t="s">
        <v>983</v>
      </c>
      <c r="C897" s="2"/>
      <c r="D897" s="2"/>
      <c r="E897" s="2">
        <v>1205303.8500000001</v>
      </c>
      <c r="F897" s="2">
        <v>0</v>
      </c>
    </row>
    <row r="898" spans="1:6" x14ac:dyDescent="0.3">
      <c r="A898" s="6" t="s">
        <v>1213</v>
      </c>
      <c r="B898" s="2" t="s">
        <v>983</v>
      </c>
      <c r="C898" s="2"/>
      <c r="D898" s="2"/>
      <c r="E898" s="2">
        <v>406.98</v>
      </c>
      <c r="F898" s="2">
        <v>0</v>
      </c>
    </row>
    <row r="899" spans="1:6" x14ac:dyDescent="0.3">
      <c r="A899" s="6" t="s">
        <v>1214</v>
      </c>
      <c r="B899" s="2" t="s">
        <v>467</v>
      </c>
      <c r="C899" s="2"/>
      <c r="D899" s="2"/>
      <c r="E899" s="2">
        <v>3810085.5</v>
      </c>
      <c r="F899" s="2">
        <v>0</v>
      </c>
    </row>
    <row r="900" spans="1:6" x14ac:dyDescent="0.3">
      <c r="A900" s="6" t="s">
        <v>1215</v>
      </c>
      <c r="B900" s="2" t="s">
        <v>983</v>
      </c>
      <c r="C900" s="2"/>
      <c r="D900" s="2"/>
      <c r="E900" s="2">
        <v>436109.99</v>
      </c>
      <c r="F900" s="2">
        <v>0</v>
      </c>
    </row>
    <row r="901" spans="1:6" x14ac:dyDescent="0.3">
      <c r="A901" s="6" t="s">
        <v>1216</v>
      </c>
      <c r="B901" s="2" t="s">
        <v>74</v>
      </c>
      <c r="C901" s="2"/>
      <c r="D901" s="2"/>
      <c r="E901" s="2">
        <v>0</v>
      </c>
      <c r="F901" s="2">
        <v>22578071.079999998</v>
      </c>
    </row>
    <row r="902" spans="1:6" x14ac:dyDescent="0.3">
      <c r="A902" s="6" t="s">
        <v>1217</v>
      </c>
      <c r="B902" s="2" t="s">
        <v>74</v>
      </c>
      <c r="C902" s="2"/>
      <c r="D902" s="2"/>
      <c r="E902" s="2">
        <v>0</v>
      </c>
      <c r="F902" s="2">
        <v>4642255.7</v>
      </c>
    </row>
    <row r="903" spans="1:6" x14ac:dyDescent="0.3">
      <c r="A903" s="6" t="s">
        <v>1218</v>
      </c>
      <c r="B903" s="2" t="s">
        <v>77</v>
      </c>
      <c r="C903" s="2"/>
      <c r="D903" s="2"/>
      <c r="E903" s="2">
        <v>0</v>
      </c>
      <c r="F903" s="2">
        <v>730603105.17999995</v>
      </c>
    </row>
    <row r="904" spans="1:6" x14ac:dyDescent="0.3">
      <c r="A904" s="6" t="s">
        <v>1219</v>
      </c>
      <c r="B904" s="2" t="s">
        <v>77</v>
      </c>
      <c r="C904" s="2"/>
      <c r="D904" s="2"/>
      <c r="E904" s="2">
        <v>0</v>
      </c>
      <c r="F904" s="2">
        <v>18097403.550000001</v>
      </c>
    </row>
    <row r="905" spans="1:6" x14ac:dyDescent="0.3">
      <c r="A905" s="6" t="s">
        <v>1220</v>
      </c>
      <c r="B905" s="2" t="s">
        <v>77</v>
      </c>
      <c r="C905" s="2"/>
      <c r="D905" s="2"/>
      <c r="E905" s="2">
        <v>0</v>
      </c>
      <c r="F905" s="2">
        <v>0</v>
      </c>
    </row>
    <row r="906" spans="1:6" x14ac:dyDescent="0.3">
      <c r="A906" s="6" t="s">
        <v>1221</v>
      </c>
      <c r="B906" s="2" t="s">
        <v>131</v>
      </c>
      <c r="C906" s="2"/>
      <c r="D906" s="2"/>
      <c r="E906" s="2">
        <v>0</v>
      </c>
      <c r="F906" s="2">
        <v>32335321.899999999</v>
      </c>
    </row>
    <row r="907" spans="1:6" x14ac:dyDescent="0.3">
      <c r="A907" s="6" t="s">
        <v>1222</v>
      </c>
      <c r="B907" s="2" t="s">
        <v>74</v>
      </c>
      <c r="C907" s="2"/>
      <c r="D907" s="2"/>
      <c r="E907" s="2">
        <v>0</v>
      </c>
      <c r="F907" s="2">
        <v>32723613.149999999</v>
      </c>
    </row>
    <row r="908" spans="1:6" x14ac:dyDescent="0.3">
      <c r="A908" s="6" t="s">
        <v>1223</v>
      </c>
      <c r="B908" s="2" t="s">
        <v>74</v>
      </c>
      <c r="C908" s="2"/>
      <c r="D908" s="2"/>
      <c r="E908" s="2">
        <v>0</v>
      </c>
      <c r="F908" s="2">
        <v>0</v>
      </c>
    </row>
    <row r="909" spans="1:6" x14ac:dyDescent="0.3">
      <c r="A909" s="6" t="s">
        <v>1224</v>
      </c>
      <c r="B909" s="2" t="s">
        <v>74</v>
      </c>
      <c r="C909" s="2"/>
      <c r="D909" s="2"/>
      <c r="E909" s="2">
        <v>0</v>
      </c>
      <c r="F909" s="2">
        <v>65861402.5</v>
      </c>
    </row>
    <row r="910" spans="1:6" x14ac:dyDescent="0.3">
      <c r="A910" s="6" t="s">
        <v>1225</v>
      </c>
      <c r="B910" s="2" t="s">
        <v>74</v>
      </c>
      <c r="C910" s="2"/>
      <c r="D910" s="2"/>
      <c r="E910" s="2">
        <v>0</v>
      </c>
      <c r="F910" s="2">
        <v>223075888.47</v>
      </c>
    </row>
    <row r="911" spans="1:6" x14ac:dyDescent="0.3">
      <c r="A911" s="6" t="s">
        <v>1226</v>
      </c>
      <c r="B911" s="2" t="s">
        <v>74</v>
      </c>
      <c r="C911" s="2"/>
      <c r="D911" s="2"/>
      <c r="E911" s="2">
        <v>0</v>
      </c>
      <c r="F911" s="2">
        <v>47768489.130000003</v>
      </c>
    </row>
    <row r="912" spans="1:6" x14ac:dyDescent="0.3">
      <c r="A912" s="6" t="s">
        <v>1227</v>
      </c>
      <c r="B912" s="2" t="s">
        <v>499</v>
      </c>
      <c r="C912" s="2"/>
      <c r="D912" s="2"/>
      <c r="E912" s="2">
        <v>2578770.4300000002</v>
      </c>
      <c r="F912" s="2">
        <v>0</v>
      </c>
    </row>
    <row r="913" spans="1:6" x14ac:dyDescent="0.3">
      <c r="A913" s="6" t="s">
        <v>1228</v>
      </c>
      <c r="B913" s="2" t="s">
        <v>74</v>
      </c>
      <c r="C913" s="2"/>
      <c r="D913" s="2"/>
      <c r="E913" s="2">
        <v>0</v>
      </c>
      <c r="F913" s="2">
        <v>82217299.849999994</v>
      </c>
    </row>
    <row r="914" spans="1:6" x14ac:dyDescent="0.3">
      <c r="A914" s="6" t="s">
        <v>1229</v>
      </c>
      <c r="B914" s="2" t="s">
        <v>499</v>
      </c>
      <c r="C914" s="2"/>
      <c r="D914" s="2"/>
      <c r="E914" s="2">
        <v>1678558.13</v>
      </c>
      <c r="F914" s="2">
        <v>0</v>
      </c>
    </row>
    <row r="915" spans="1:6" x14ac:dyDescent="0.3">
      <c r="A915" s="6" t="s">
        <v>1230</v>
      </c>
      <c r="B915" s="2" t="s">
        <v>74</v>
      </c>
      <c r="C915" s="2"/>
      <c r="D915" s="2"/>
      <c r="E915" s="2">
        <v>0</v>
      </c>
      <c r="F915" s="2">
        <v>324.35000000000002</v>
      </c>
    </row>
    <row r="916" spans="1:6" x14ac:dyDescent="0.3">
      <c r="A916" s="6" t="s">
        <v>1231</v>
      </c>
      <c r="B916" s="2" t="s">
        <v>74</v>
      </c>
      <c r="C916" s="2"/>
      <c r="D916" s="2"/>
      <c r="E916" s="2">
        <v>0</v>
      </c>
      <c r="F916" s="2">
        <v>6946581.9900000002</v>
      </c>
    </row>
    <row r="917" spans="1:6" x14ac:dyDescent="0.3">
      <c r="A917" s="6" t="s">
        <v>1232</v>
      </c>
      <c r="B917" s="2" t="s">
        <v>74</v>
      </c>
      <c r="C917" s="2"/>
      <c r="D917" s="2"/>
      <c r="E917" s="2">
        <v>0</v>
      </c>
      <c r="F917" s="2">
        <v>1137706.1100000001</v>
      </c>
    </row>
    <row r="918" spans="1:6" x14ac:dyDescent="0.3">
      <c r="A918" s="6" t="s">
        <v>1233</v>
      </c>
      <c r="B918" s="2" t="s">
        <v>74</v>
      </c>
      <c r="C918" s="2"/>
      <c r="D918" s="2"/>
      <c r="E918" s="2">
        <v>0</v>
      </c>
      <c r="F918" s="2">
        <v>1.2</v>
      </c>
    </row>
    <row r="919" spans="1:6" x14ac:dyDescent="0.3">
      <c r="A919" s="6" t="s">
        <v>1234</v>
      </c>
      <c r="B919" s="2" t="s">
        <v>74</v>
      </c>
      <c r="C919" s="2"/>
      <c r="D919" s="2"/>
      <c r="E919" s="2">
        <v>0</v>
      </c>
      <c r="F919" s="2">
        <v>63422.720000000001</v>
      </c>
    </row>
    <row r="920" spans="1:6" x14ac:dyDescent="0.3">
      <c r="A920" s="6" t="s">
        <v>1235</v>
      </c>
      <c r="B920" s="2" t="s">
        <v>74</v>
      </c>
      <c r="C920" s="2"/>
      <c r="D920" s="2"/>
      <c r="E920" s="2">
        <v>0</v>
      </c>
      <c r="F920" s="2">
        <v>234490.02</v>
      </c>
    </row>
    <row r="921" spans="1:6" x14ac:dyDescent="0.3">
      <c r="A921" s="6" t="s">
        <v>1236</v>
      </c>
      <c r="B921" s="2" t="s">
        <v>74</v>
      </c>
      <c r="C921" s="2"/>
      <c r="D921" s="2"/>
      <c r="E921" s="2">
        <v>0</v>
      </c>
      <c r="F921" s="2">
        <v>5953396.0800000001</v>
      </c>
    </row>
    <row r="922" spans="1:6" x14ac:dyDescent="0.3">
      <c r="A922" s="6" t="s">
        <v>1237</v>
      </c>
      <c r="B922" s="2" t="s">
        <v>74</v>
      </c>
      <c r="C922" s="2"/>
      <c r="D922" s="2"/>
      <c r="E922" s="2">
        <v>0</v>
      </c>
      <c r="F922" s="2">
        <v>2315322.48</v>
      </c>
    </row>
    <row r="923" spans="1:6" x14ac:dyDescent="0.3">
      <c r="A923" s="6" t="s">
        <v>1238</v>
      </c>
      <c r="B923" s="2" t="s">
        <v>74</v>
      </c>
      <c r="C923" s="2"/>
      <c r="D923" s="2"/>
      <c r="E923" s="2">
        <v>0</v>
      </c>
      <c r="F923" s="2">
        <v>17738.23</v>
      </c>
    </row>
    <row r="924" spans="1:6" x14ac:dyDescent="0.3">
      <c r="A924" s="6" t="s">
        <v>1239</v>
      </c>
      <c r="B924" s="2" t="s">
        <v>74</v>
      </c>
      <c r="C924" s="2"/>
      <c r="D924" s="2"/>
      <c r="E924" s="2">
        <v>0</v>
      </c>
      <c r="F924" s="2">
        <v>1680.46</v>
      </c>
    </row>
    <row r="925" spans="1:6" x14ac:dyDescent="0.3">
      <c r="A925" s="6" t="s">
        <v>1240</v>
      </c>
      <c r="B925" s="2" t="s">
        <v>74</v>
      </c>
      <c r="C925" s="2"/>
      <c r="D925" s="2"/>
      <c r="E925" s="2">
        <v>0</v>
      </c>
      <c r="F925" s="2">
        <v>15606.28</v>
      </c>
    </row>
    <row r="926" spans="1:6" x14ac:dyDescent="0.3">
      <c r="A926" s="6" t="s">
        <v>1241</v>
      </c>
      <c r="B926" s="2" t="s">
        <v>74</v>
      </c>
      <c r="C926" s="2"/>
      <c r="D926" s="2"/>
      <c r="E926" s="2">
        <v>0</v>
      </c>
      <c r="F926" s="2">
        <v>22294469.510000002</v>
      </c>
    </row>
    <row r="927" spans="1:6" x14ac:dyDescent="0.3">
      <c r="A927" s="6" t="s">
        <v>1242</v>
      </c>
      <c r="B927" s="2" t="s">
        <v>499</v>
      </c>
      <c r="C927" s="2"/>
      <c r="D927" s="2"/>
      <c r="E927" s="2">
        <v>265184.45</v>
      </c>
      <c r="F927" s="2">
        <v>0</v>
      </c>
    </row>
    <row r="928" spans="1:6" x14ac:dyDescent="0.3">
      <c r="A928" s="6" t="s">
        <v>1243</v>
      </c>
      <c r="B928" s="2" t="s">
        <v>74</v>
      </c>
      <c r="C928" s="2"/>
      <c r="D928" s="2"/>
      <c r="E928" s="2">
        <v>0</v>
      </c>
      <c r="F928" s="2">
        <v>41798335.670000002</v>
      </c>
    </row>
    <row r="929" spans="1:6" x14ac:dyDescent="0.3">
      <c r="A929" s="6" t="s">
        <v>1244</v>
      </c>
      <c r="B929" s="2" t="s">
        <v>74</v>
      </c>
      <c r="C929" s="2"/>
      <c r="D929" s="2"/>
      <c r="E929" s="2">
        <v>0</v>
      </c>
      <c r="F929" s="2">
        <v>1540945.7</v>
      </c>
    </row>
    <row r="930" spans="1:6" x14ac:dyDescent="0.3">
      <c r="A930" s="6" t="s">
        <v>1245</v>
      </c>
      <c r="B930" s="2" t="s">
        <v>74</v>
      </c>
      <c r="C930" s="2"/>
      <c r="D930" s="2"/>
      <c r="E930" s="2">
        <v>0</v>
      </c>
      <c r="F930" s="2">
        <v>23440910.059999999</v>
      </c>
    </row>
    <row r="931" spans="1:6" x14ac:dyDescent="0.3">
      <c r="A931" s="6" t="s">
        <v>1246</v>
      </c>
      <c r="B931" s="2" t="s">
        <v>74</v>
      </c>
      <c r="C931" s="2"/>
      <c r="D931" s="2"/>
      <c r="E931" s="2">
        <v>0</v>
      </c>
      <c r="F931" s="2">
        <v>5589773</v>
      </c>
    </row>
    <row r="932" spans="1:6" x14ac:dyDescent="0.3">
      <c r="A932" s="6" t="s">
        <v>1247</v>
      </c>
      <c r="B932" s="2" t="s">
        <v>74</v>
      </c>
      <c r="C932" s="2"/>
      <c r="D932" s="2"/>
      <c r="E932" s="2">
        <v>0</v>
      </c>
      <c r="F932" s="2">
        <v>200482352.97999999</v>
      </c>
    </row>
    <row r="933" spans="1:6" x14ac:dyDescent="0.3">
      <c r="A933" s="6" t="s">
        <v>1248</v>
      </c>
      <c r="B933" s="2" t="s">
        <v>74</v>
      </c>
      <c r="C933" s="2"/>
      <c r="D933" s="2"/>
      <c r="E933" s="2">
        <v>0</v>
      </c>
      <c r="F933" s="2">
        <v>8547125.0800000001</v>
      </c>
    </row>
    <row r="934" spans="1:6" x14ac:dyDescent="0.3">
      <c r="A934" s="6" t="s">
        <v>1249</v>
      </c>
      <c r="B934" s="2" t="s">
        <v>74</v>
      </c>
      <c r="C934" s="2"/>
      <c r="D934" s="2"/>
      <c r="E934" s="2">
        <v>0</v>
      </c>
      <c r="F934" s="2">
        <v>25278872.920000002</v>
      </c>
    </row>
    <row r="935" spans="1:6" x14ac:dyDescent="0.3">
      <c r="A935" s="6" t="s">
        <v>1250</v>
      </c>
      <c r="B935" s="2" t="s">
        <v>74</v>
      </c>
      <c r="C935" s="2"/>
      <c r="D935" s="2"/>
      <c r="E935" s="2">
        <v>0</v>
      </c>
      <c r="F935" s="2">
        <v>444876.02</v>
      </c>
    </row>
    <row r="936" spans="1:6" x14ac:dyDescent="0.3">
      <c r="A936" s="6" t="s">
        <v>1251</v>
      </c>
      <c r="B936" s="2" t="s">
        <v>74</v>
      </c>
      <c r="C936" s="2"/>
      <c r="D936" s="2"/>
      <c r="E936" s="2">
        <v>0</v>
      </c>
      <c r="F936" s="2">
        <v>3475.78</v>
      </c>
    </row>
    <row r="937" spans="1:6" x14ac:dyDescent="0.3">
      <c r="A937" s="6" t="s">
        <v>1252</v>
      </c>
      <c r="B937" s="2" t="s">
        <v>760</v>
      </c>
      <c r="C937" s="2"/>
      <c r="D937" s="2"/>
      <c r="E937" s="2">
        <v>0</v>
      </c>
      <c r="F937" s="2">
        <v>729323216.28999996</v>
      </c>
    </row>
    <row r="938" spans="1:6" x14ac:dyDescent="0.3">
      <c r="A938" s="6" t="s">
        <v>1253</v>
      </c>
      <c r="B938" s="2" t="s">
        <v>1254</v>
      </c>
      <c r="C938" s="2"/>
      <c r="D938" s="2"/>
      <c r="E938" s="2">
        <v>0</v>
      </c>
      <c r="F938" s="2">
        <v>101073476.31</v>
      </c>
    </row>
    <row r="939" spans="1:6" x14ac:dyDescent="0.3">
      <c r="A939" s="6" t="s">
        <v>1255</v>
      </c>
      <c r="B939" s="2" t="s">
        <v>1256</v>
      </c>
      <c r="C939" s="2"/>
      <c r="D939" s="2"/>
      <c r="E939" s="2">
        <v>0</v>
      </c>
      <c r="F939" s="2">
        <v>50744596.189999998</v>
      </c>
    </row>
    <row r="940" spans="1:6" x14ac:dyDescent="0.3">
      <c r="A940" s="6" t="s">
        <v>1257</v>
      </c>
      <c r="B940" s="2" t="s">
        <v>760</v>
      </c>
      <c r="C940" s="2"/>
      <c r="D940" s="2"/>
      <c r="E940" s="2">
        <v>2755285.78</v>
      </c>
      <c r="F940" s="2">
        <v>0</v>
      </c>
    </row>
    <row r="941" spans="1:6" x14ac:dyDescent="0.3">
      <c r="A941" s="6" t="s">
        <v>1258</v>
      </c>
      <c r="B941" s="2" t="s">
        <v>77</v>
      </c>
      <c r="C941" s="2"/>
      <c r="D941" s="2"/>
      <c r="E941" s="2">
        <v>0</v>
      </c>
      <c r="F941" s="2">
        <v>102183329.31</v>
      </c>
    </row>
    <row r="942" spans="1:6" x14ac:dyDescent="0.3">
      <c r="A942" s="6" t="s">
        <v>1259</v>
      </c>
      <c r="B942" s="2" t="s">
        <v>77</v>
      </c>
      <c r="C942" s="2"/>
      <c r="D942" s="2"/>
      <c r="E942" s="2">
        <v>0</v>
      </c>
      <c r="F942" s="2">
        <v>0</v>
      </c>
    </row>
    <row r="943" spans="1:6" x14ac:dyDescent="0.3">
      <c r="A943" s="6" t="s">
        <v>1260</v>
      </c>
      <c r="B943" s="2" t="s">
        <v>77</v>
      </c>
      <c r="C943" s="2"/>
      <c r="D943" s="2"/>
      <c r="E943" s="2">
        <v>0</v>
      </c>
      <c r="F943" s="2">
        <v>75491930.209999993</v>
      </c>
    </row>
    <row r="944" spans="1:6" x14ac:dyDescent="0.3">
      <c r="A944" s="6" t="s">
        <v>1261</v>
      </c>
      <c r="B944" s="2" t="s">
        <v>77</v>
      </c>
      <c r="C944" s="2"/>
      <c r="D944" s="2"/>
      <c r="E944" s="2">
        <v>0</v>
      </c>
      <c r="F944" s="2">
        <v>298387.39</v>
      </c>
    </row>
    <row r="945" spans="1:6" x14ac:dyDescent="0.3">
      <c r="A945" s="6" t="s">
        <v>1262</v>
      </c>
      <c r="B945" s="2" t="s">
        <v>77</v>
      </c>
      <c r="C945" s="2"/>
      <c r="D945" s="2"/>
      <c r="E945" s="2">
        <v>0</v>
      </c>
      <c r="F945" s="2">
        <v>0</v>
      </c>
    </row>
    <row r="946" spans="1:6" x14ac:dyDescent="0.3">
      <c r="A946" s="6" t="s">
        <v>1263</v>
      </c>
      <c r="B946" s="2" t="s">
        <v>1264</v>
      </c>
      <c r="C946" s="2"/>
      <c r="D946" s="2"/>
      <c r="E946" s="2">
        <v>0</v>
      </c>
      <c r="F946" s="2">
        <v>0</v>
      </c>
    </row>
    <row r="947" spans="1:6" x14ac:dyDescent="0.3">
      <c r="A947" s="6" t="s">
        <v>1265</v>
      </c>
      <c r="B947" s="2" t="s">
        <v>1266</v>
      </c>
      <c r="C947" s="2"/>
      <c r="D947" s="2"/>
      <c r="E947" s="2">
        <v>0</v>
      </c>
      <c r="F947" s="2">
        <v>60.32</v>
      </c>
    </row>
    <row r="948" spans="1:6" x14ac:dyDescent="0.3">
      <c r="A948" s="6" t="s">
        <v>1267</v>
      </c>
      <c r="B948" s="2" t="s">
        <v>1264</v>
      </c>
      <c r="C948" s="2"/>
      <c r="D948" s="2"/>
      <c r="E948" s="2">
        <v>0</v>
      </c>
      <c r="F948" s="2">
        <v>148784.24</v>
      </c>
    </row>
    <row r="949" spans="1:6" x14ac:dyDescent="0.3">
      <c r="A949" s="6" t="s">
        <v>1268</v>
      </c>
      <c r="B949" s="2" t="s">
        <v>1266</v>
      </c>
      <c r="C949" s="2"/>
      <c r="D949" s="2"/>
      <c r="E949" s="2">
        <v>0</v>
      </c>
      <c r="F949" s="2">
        <v>8363.1200000000008</v>
      </c>
    </row>
    <row r="950" spans="1:6" x14ac:dyDescent="0.3">
      <c r="A950" s="6" t="s">
        <v>1269</v>
      </c>
      <c r="B950" s="2" t="s">
        <v>757</v>
      </c>
      <c r="C950" s="2"/>
      <c r="D950" s="2"/>
      <c r="E950" s="2">
        <v>0</v>
      </c>
      <c r="F950" s="2">
        <v>983.61</v>
      </c>
    </row>
    <row r="951" spans="1:6" x14ac:dyDescent="0.3">
      <c r="A951" s="6" t="s">
        <v>1270</v>
      </c>
      <c r="B951" s="2" t="s">
        <v>1264</v>
      </c>
      <c r="C951" s="2"/>
      <c r="D951" s="2"/>
      <c r="E951" s="2">
        <v>0</v>
      </c>
      <c r="F951" s="2">
        <v>189123.34</v>
      </c>
    </row>
    <row r="952" spans="1:6" x14ac:dyDescent="0.3">
      <c r="A952" s="6" t="s">
        <v>1271</v>
      </c>
      <c r="B952" s="2" t="s">
        <v>1266</v>
      </c>
      <c r="C952" s="2"/>
      <c r="D952" s="2"/>
      <c r="E952" s="2">
        <v>0</v>
      </c>
      <c r="F952" s="2">
        <v>731.13</v>
      </c>
    </row>
    <row r="953" spans="1:6" x14ac:dyDescent="0.3">
      <c r="A953" s="6" t="s">
        <v>1272</v>
      </c>
      <c r="B953" s="2" t="s">
        <v>1273</v>
      </c>
      <c r="C953" s="2"/>
      <c r="D953" s="2"/>
      <c r="E953" s="2">
        <v>0</v>
      </c>
      <c r="F953" s="2">
        <v>555.4</v>
      </c>
    </row>
    <row r="954" spans="1:6" x14ac:dyDescent="0.3">
      <c r="A954" s="6" t="s">
        <v>1274</v>
      </c>
      <c r="B954" s="2" t="s">
        <v>757</v>
      </c>
      <c r="C954" s="2"/>
      <c r="D954" s="2"/>
      <c r="E954" s="2">
        <v>0</v>
      </c>
      <c r="F954" s="2">
        <v>662667.6</v>
      </c>
    </row>
    <row r="955" spans="1:6" x14ac:dyDescent="0.3">
      <c r="A955" s="6" t="s">
        <v>1275</v>
      </c>
      <c r="B955" s="2" t="s">
        <v>1264</v>
      </c>
      <c r="C955" s="2"/>
      <c r="D955" s="2"/>
      <c r="E955" s="2">
        <v>0</v>
      </c>
      <c r="F955" s="2">
        <v>14802433.949999999</v>
      </c>
    </row>
    <row r="956" spans="1:6" x14ac:dyDescent="0.3">
      <c r="A956" s="6" t="s">
        <v>1276</v>
      </c>
      <c r="B956" s="2" t="s">
        <v>1266</v>
      </c>
      <c r="C956" s="2"/>
      <c r="D956" s="2"/>
      <c r="E956" s="2">
        <v>0</v>
      </c>
      <c r="F956" s="2">
        <v>4201268.4800000004</v>
      </c>
    </row>
    <row r="957" spans="1:6" x14ac:dyDescent="0.3">
      <c r="A957" s="6" t="s">
        <v>1277</v>
      </c>
      <c r="B957" s="2" t="s">
        <v>1273</v>
      </c>
      <c r="C957" s="2"/>
      <c r="D957" s="2"/>
      <c r="E957" s="2">
        <v>0</v>
      </c>
      <c r="F957" s="2">
        <v>1021136.87</v>
      </c>
    </row>
    <row r="958" spans="1:6" x14ac:dyDescent="0.3">
      <c r="A958" s="6" t="s">
        <v>1278</v>
      </c>
      <c r="B958" s="2" t="s">
        <v>757</v>
      </c>
      <c r="C958" s="2"/>
      <c r="D958" s="2"/>
      <c r="E958" s="2">
        <v>0</v>
      </c>
      <c r="F958" s="2">
        <v>9920656.6899999995</v>
      </c>
    </row>
    <row r="959" spans="1:6" x14ac:dyDescent="0.3">
      <c r="A959" s="6" t="s">
        <v>1279</v>
      </c>
      <c r="B959" s="2" t="s">
        <v>1264</v>
      </c>
      <c r="C959" s="2"/>
      <c r="D959" s="2"/>
      <c r="E959" s="2">
        <v>0</v>
      </c>
      <c r="F959" s="2">
        <v>0</v>
      </c>
    </row>
    <row r="960" spans="1:6" x14ac:dyDescent="0.3">
      <c r="A960" s="6" t="s">
        <v>1280</v>
      </c>
      <c r="B960" s="2" t="s">
        <v>1266</v>
      </c>
      <c r="C960" s="2"/>
      <c r="D960" s="2"/>
      <c r="E960" s="2">
        <v>0</v>
      </c>
      <c r="F960" s="2">
        <v>60936.13</v>
      </c>
    </row>
    <row r="961" spans="1:6" x14ac:dyDescent="0.3">
      <c r="A961" s="6" t="s">
        <v>1281</v>
      </c>
      <c r="B961" s="2" t="s">
        <v>1273</v>
      </c>
      <c r="C961" s="2"/>
      <c r="D961" s="2"/>
      <c r="E961" s="2">
        <v>0</v>
      </c>
      <c r="F961" s="2">
        <v>1899.02</v>
      </c>
    </row>
    <row r="962" spans="1:6" x14ac:dyDescent="0.3">
      <c r="A962" s="6" t="s">
        <v>1282</v>
      </c>
      <c r="B962" s="2" t="s">
        <v>760</v>
      </c>
      <c r="C962" s="2"/>
      <c r="D962" s="2"/>
      <c r="E962" s="2">
        <v>0</v>
      </c>
      <c r="F962" s="2">
        <v>36579884.049999997</v>
      </c>
    </row>
    <row r="963" spans="1:6" x14ac:dyDescent="0.3">
      <c r="A963" s="6" t="s">
        <v>1283</v>
      </c>
      <c r="B963" s="2" t="s">
        <v>1256</v>
      </c>
      <c r="C963" s="2"/>
      <c r="D963" s="2"/>
      <c r="E963" s="2">
        <v>0</v>
      </c>
      <c r="F963" s="2">
        <v>39689.300000000003</v>
      </c>
    </row>
    <row r="964" spans="1:6" x14ac:dyDescent="0.3">
      <c r="A964" s="6" t="s">
        <v>1284</v>
      </c>
      <c r="B964" s="2" t="s">
        <v>1285</v>
      </c>
      <c r="C964" s="2"/>
      <c r="D964" s="2"/>
      <c r="E964" s="2">
        <v>0</v>
      </c>
      <c r="F964" s="2">
        <v>6375566.8300000001</v>
      </c>
    </row>
    <row r="965" spans="1:6" x14ac:dyDescent="0.3">
      <c r="A965" s="6" t="s">
        <v>1286</v>
      </c>
      <c r="B965" s="2" t="s">
        <v>1287</v>
      </c>
      <c r="C965" s="2"/>
      <c r="D965" s="2"/>
      <c r="E965" s="2">
        <v>0</v>
      </c>
      <c r="F965" s="2">
        <v>10581752.640000001</v>
      </c>
    </row>
    <row r="966" spans="1:6" x14ac:dyDescent="0.3">
      <c r="A966" s="6" t="s">
        <v>1288</v>
      </c>
      <c r="B966" s="2" t="s">
        <v>1289</v>
      </c>
      <c r="C966" s="2"/>
      <c r="D966" s="2"/>
      <c r="E966" s="2">
        <v>0</v>
      </c>
      <c r="F966" s="2">
        <v>1751272.14</v>
      </c>
    </row>
    <row r="967" spans="1:6" x14ac:dyDescent="0.3">
      <c r="A967" s="6" t="s">
        <v>1290</v>
      </c>
      <c r="B967" s="2" t="s">
        <v>461</v>
      </c>
      <c r="C967" s="2"/>
      <c r="D967" s="2"/>
      <c r="E967" s="2">
        <v>0</v>
      </c>
      <c r="F967" s="2">
        <v>2596448.4</v>
      </c>
    </row>
    <row r="968" spans="1:6" x14ac:dyDescent="0.3">
      <c r="A968" s="6" t="s">
        <v>1291</v>
      </c>
      <c r="B968" s="2" t="s">
        <v>1292</v>
      </c>
      <c r="C968" s="2"/>
      <c r="D968" s="2"/>
      <c r="E968" s="2">
        <v>0</v>
      </c>
      <c r="F968" s="2">
        <v>4299562.68</v>
      </c>
    </row>
    <row r="969" spans="1:6" x14ac:dyDescent="0.3">
      <c r="A969" s="6" t="s">
        <v>1293</v>
      </c>
      <c r="B969" s="2" t="s">
        <v>448</v>
      </c>
      <c r="C969" s="2"/>
      <c r="D969" s="2"/>
      <c r="E969" s="2">
        <v>0</v>
      </c>
      <c r="F969" s="2">
        <v>12157360.470000001</v>
      </c>
    </row>
    <row r="970" spans="1:6" x14ac:dyDescent="0.3">
      <c r="A970" s="6" t="s">
        <v>1294</v>
      </c>
      <c r="B970" s="2" t="s">
        <v>774</v>
      </c>
      <c r="C970" s="2"/>
      <c r="D970" s="2"/>
      <c r="E970" s="2">
        <v>0</v>
      </c>
      <c r="F970" s="2">
        <v>5207938.46</v>
      </c>
    </row>
    <row r="971" spans="1:6" x14ac:dyDescent="0.3">
      <c r="A971" s="6" t="s">
        <v>1295</v>
      </c>
      <c r="B971" s="2" t="s">
        <v>467</v>
      </c>
      <c r="C971" s="2"/>
      <c r="D971" s="2"/>
      <c r="E971" s="2">
        <v>0</v>
      </c>
      <c r="F971" s="2">
        <v>89914.82</v>
      </c>
    </row>
    <row r="972" spans="1:6" x14ac:dyDescent="0.3">
      <c r="A972" s="6" t="s">
        <v>1296</v>
      </c>
      <c r="B972" s="2" t="s">
        <v>1297</v>
      </c>
      <c r="C972" s="2"/>
      <c r="D972" s="2"/>
      <c r="E972" s="2">
        <v>0</v>
      </c>
      <c r="F972" s="2">
        <v>57954.18</v>
      </c>
    </row>
    <row r="973" spans="1:6" x14ac:dyDescent="0.3">
      <c r="A973" s="6" t="s">
        <v>1298</v>
      </c>
      <c r="B973" s="2" t="s">
        <v>450</v>
      </c>
      <c r="C973" s="2"/>
      <c r="D973" s="2"/>
      <c r="E973" s="2">
        <v>0</v>
      </c>
      <c r="F973" s="2">
        <v>5333559.05</v>
      </c>
    </row>
    <row r="974" spans="1:6" x14ac:dyDescent="0.3">
      <c r="A974" s="6" t="s">
        <v>1299</v>
      </c>
      <c r="B974" s="2" t="s">
        <v>778</v>
      </c>
      <c r="C974" s="2"/>
      <c r="D974" s="2"/>
      <c r="E974" s="2">
        <v>0</v>
      </c>
      <c r="F974" s="2">
        <v>110084.66</v>
      </c>
    </row>
    <row r="975" spans="1:6" x14ac:dyDescent="0.3">
      <c r="A975" s="6" t="s">
        <v>1300</v>
      </c>
      <c r="B975" s="2" t="s">
        <v>1301</v>
      </c>
      <c r="C975" s="2"/>
      <c r="D975" s="2"/>
      <c r="E975" s="2">
        <v>0</v>
      </c>
      <c r="F975" s="2">
        <v>140356.92000000001</v>
      </c>
    </row>
    <row r="976" spans="1:6" x14ac:dyDescent="0.3">
      <c r="A976" s="6" t="s">
        <v>1302</v>
      </c>
      <c r="B976" s="2" t="s">
        <v>1303</v>
      </c>
      <c r="C976" s="2"/>
      <c r="D976" s="2"/>
      <c r="E976" s="2">
        <v>0</v>
      </c>
      <c r="F976" s="2">
        <v>124524.41</v>
      </c>
    </row>
    <row r="977" spans="1:6" x14ac:dyDescent="0.3">
      <c r="A977" s="6" t="s">
        <v>1304</v>
      </c>
      <c r="B977" s="2" t="s">
        <v>1305</v>
      </c>
      <c r="C977" s="2"/>
      <c r="D977" s="2"/>
      <c r="E977" s="2">
        <v>0</v>
      </c>
      <c r="F977" s="2">
        <v>1331051.71</v>
      </c>
    </row>
    <row r="978" spans="1:6" x14ac:dyDescent="0.3">
      <c r="A978" s="6" t="s">
        <v>1306</v>
      </c>
      <c r="B978" s="2" t="s">
        <v>1307</v>
      </c>
      <c r="C978" s="2"/>
      <c r="D978" s="2"/>
      <c r="E978" s="2">
        <v>0</v>
      </c>
      <c r="F978" s="2">
        <v>83453.429999999993</v>
      </c>
    </row>
    <row r="979" spans="1:6" x14ac:dyDescent="0.3">
      <c r="A979" s="6" t="s">
        <v>1308</v>
      </c>
      <c r="B979" s="2" t="s">
        <v>1309</v>
      </c>
      <c r="C979" s="2"/>
      <c r="D979" s="2"/>
      <c r="E979" s="2">
        <v>0</v>
      </c>
      <c r="F979" s="2">
        <v>425</v>
      </c>
    </row>
    <row r="980" spans="1:6" x14ac:dyDescent="0.3">
      <c r="A980" s="6" t="s">
        <v>1310</v>
      </c>
      <c r="B980" s="2" t="s">
        <v>1311</v>
      </c>
      <c r="C980" s="2"/>
      <c r="D980" s="2"/>
      <c r="E980" s="2">
        <v>0</v>
      </c>
      <c r="F980" s="2">
        <v>131722.1</v>
      </c>
    </row>
    <row r="981" spans="1:6" x14ac:dyDescent="0.3">
      <c r="A981" s="6" t="s">
        <v>1312</v>
      </c>
      <c r="B981" s="2" t="s">
        <v>1313</v>
      </c>
      <c r="C981" s="2"/>
      <c r="D981" s="2"/>
      <c r="E981" s="2">
        <v>0</v>
      </c>
      <c r="F981" s="2">
        <v>9566694.4399999995</v>
      </c>
    </row>
    <row r="982" spans="1:6" x14ac:dyDescent="0.3">
      <c r="A982" s="6" t="s">
        <v>1314</v>
      </c>
      <c r="B982" s="2" t="s">
        <v>1315</v>
      </c>
      <c r="C982" s="2"/>
      <c r="D982" s="2"/>
      <c r="E982" s="2">
        <v>0</v>
      </c>
      <c r="F982" s="2">
        <v>789535.91</v>
      </c>
    </row>
    <row r="983" spans="1:6" x14ac:dyDescent="0.3">
      <c r="A983" s="6" t="s">
        <v>1316</v>
      </c>
      <c r="B983" s="2" t="s">
        <v>1317</v>
      </c>
      <c r="C983" s="2"/>
      <c r="D983" s="2"/>
      <c r="E983" s="2">
        <v>0</v>
      </c>
      <c r="F983" s="2">
        <v>256508.76</v>
      </c>
    </row>
    <row r="984" spans="1:6" x14ac:dyDescent="0.3">
      <c r="A984" s="6" t="s">
        <v>1318</v>
      </c>
      <c r="B984" s="2" t="s">
        <v>1319</v>
      </c>
      <c r="C984" s="2"/>
      <c r="D984" s="2"/>
      <c r="E984" s="2">
        <v>0</v>
      </c>
      <c r="F984" s="2">
        <v>20452498.489999998</v>
      </c>
    </row>
    <row r="985" spans="1:6" x14ac:dyDescent="0.3">
      <c r="A985" s="6" t="s">
        <v>1320</v>
      </c>
      <c r="B985" s="2" t="s">
        <v>1321</v>
      </c>
      <c r="C985" s="2"/>
      <c r="D985" s="2"/>
      <c r="E985" s="2">
        <v>0</v>
      </c>
      <c r="F985" s="2">
        <v>346553.91</v>
      </c>
    </row>
    <row r="986" spans="1:6" x14ac:dyDescent="0.3">
      <c r="A986" s="6" t="s">
        <v>1322</v>
      </c>
      <c r="B986" s="2" t="s">
        <v>1323</v>
      </c>
      <c r="C986" s="2"/>
      <c r="D986" s="2"/>
      <c r="E986" s="2">
        <v>0</v>
      </c>
      <c r="F986" s="2">
        <v>22797090.350000001</v>
      </c>
    </row>
    <row r="987" spans="1:6" x14ac:dyDescent="0.3">
      <c r="A987" s="6" t="s">
        <v>1324</v>
      </c>
      <c r="B987" s="2" t="s">
        <v>1325</v>
      </c>
      <c r="C987" s="2"/>
      <c r="D987" s="2"/>
      <c r="E987" s="2">
        <v>0</v>
      </c>
      <c r="F987" s="2">
        <v>39842223.579999998</v>
      </c>
    </row>
    <row r="988" spans="1:6" x14ac:dyDescent="0.3">
      <c r="A988" s="6" t="s">
        <v>1326</v>
      </c>
      <c r="B988" s="2" t="s">
        <v>1327</v>
      </c>
      <c r="C988" s="2"/>
      <c r="D988" s="2"/>
      <c r="E988" s="2">
        <v>0</v>
      </c>
      <c r="F988" s="2">
        <v>22038970.969999999</v>
      </c>
    </row>
    <row r="989" spans="1:6" x14ac:dyDescent="0.3">
      <c r="A989" s="6" t="s">
        <v>1328</v>
      </c>
      <c r="B989" s="2" t="s">
        <v>1321</v>
      </c>
      <c r="C989" s="2"/>
      <c r="D989" s="2"/>
      <c r="E989" s="2">
        <v>0</v>
      </c>
      <c r="F989" s="2">
        <v>1671911.55</v>
      </c>
    </row>
    <row r="990" spans="1:6" x14ac:dyDescent="0.3">
      <c r="A990" s="6" t="s">
        <v>1329</v>
      </c>
      <c r="B990" s="2" t="s">
        <v>1330</v>
      </c>
      <c r="C990" s="2"/>
      <c r="D990" s="2"/>
      <c r="E990" s="2">
        <v>0</v>
      </c>
      <c r="F990" s="2">
        <v>1829091.14</v>
      </c>
    </row>
    <row r="991" spans="1:6" x14ac:dyDescent="0.3">
      <c r="A991" s="6" t="s">
        <v>1331</v>
      </c>
      <c r="B991" s="2" t="s">
        <v>1332</v>
      </c>
      <c r="C991" s="2"/>
      <c r="D991" s="2"/>
      <c r="E991" s="2">
        <v>0</v>
      </c>
      <c r="F991" s="2">
        <v>2314740.12</v>
      </c>
    </row>
    <row r="992" spans="1:6" x14ac:dyDescent="0.3">
      <c r="A992" s="6" t="s">
        <v>1333</v>
      </c>
      <c r="B992" s="2" t="s">
        <v>784</v>
      </c>
      <c r="C992" s="2"/>
      <c r="D992" s="2"/>
      <c r="E992" s="2">
        <v>0</v>
      </c>
      <c r="F992" s="2">
        <v>1589766.52</v>
      </c>
    </row>
    <row r="993" spans="1:6" x14ac:dyDescent="0.3">
      <c r="A993" s="6" t="s">
        <v>1334</v>
      </c>
      <c r="B993" s="2" t="s">
        <v>454</v>
      </c>
      <c r="C993" s="2"/>
      <c r="D993" s="2"/>
      <c r="E993" s="2">
        <v>0</v>
      </c>
      <c r="F993" s="2">
        <v>1725494.57</v>
      </c>
    </row>
    <row r="994" spans="1:6" x14ac:dyDescent="0.3">
      <c r="A994" s="6" t="s">
        <v>1335</v>
      </c>
      <c r="B994" s="2" t="s">
        <v>1336</v>
      </c>
      <c r="C994" s="2"/>
      <c r="D994" s="2"/>
      <c r="E994" s="2">
        <v>0</v>
      </c>
      <c r="F994" s="2">
        <v>35163475.369999997</v>
      </c>
    </row>
    <row r="995" spans="1:6" x14ac:dyDescent="0.3">
      <c r="A995" s="6" t="s">
        <v>1337</v>
      </c>
      <c r="B995" s="2" t="s">
        <v>1338</v>
      </c>
      <c r="C995" s="2"/>
      <c r="D995" s="2"/>
      <c r="E995" s="2">
        <v>0</v>
      </c>
      <c r="F995" s="2">
        <v>20068.2</v>
      </c>
    </row>
    <row r="996" spans="1:6" x14ac:dyDescent="0.3">
      <c r="A996" s="6" t="s">
        <v>1339</v>
      </c>
      <c r="B996" s="2" t="s">
        <v>1340</v>
      </c>
      <c r="C996" s="2"/>
      <c r="D996" s="2"/>
      <c r="E996" s="2">
        <v>0</v>
      </c>
      <c r="F996" s="2">
        <v>131116526.06</v>
      </c>
    </row>
    <row r="997" spans="1:6" x14ac:dyDescent="0.3">
      <c r="A997" s="6" t="s">
        <v>1341</v>
      </c>
      <c r="B997" s="2" t="s">
        <v>1342</v>
      </c>
      <c r="C997" s="2"/>
      <c r="D997" s="2"/>
      <c r="E997" s="2">
        <v>0</v>
      </c>
      <c r="F997" s="2">
        <v>570000.5</v>
      </c>
    </row>
    <row r="998" spans="1:6" x14ac:dyDescent="0.3">
      <c r="A998" s="6" t="s">
        <v>1343</v>
      </c>
      <c r="B998" s="2" t="s">
        <v>1344</v>
      </c>
      <c r="C998" s="2"/>
      <c r="D998" s="2"/>
      <c r="E998" s="2">
        <v>0</v>
      </c>
      <c r="F998" s="2">
        <v>11869931.99</v>
      </c>
    </row>
    <row r="999" spans="1:6" x14ac:dyDescent="0.3">
      <c r="A999" s="6" t="s">
        <v>1345</v>
      </c>
      <c r="B999" s="2" t="s">
        <v>1346</v>
      </c>
      <c r="C999" s="2"/>
      <c r="D999" s="2"/>
      <c r="E999" s="2">
        <v>0</v>
      </c>
      <c r="F999" s="2">
        <v>4160967.42</v>
      </c>
    </row>
    <row r="1000" spans="1:6" x14ac:dyDescent="0.3">
      <c r="A1000" s="6" t="s">
        <v>1347</v>
      </c>
      <c r="B1000" s="2" t="s">
        <v>1348</v>
      </c>
      <c r="C1000" s="2"/>
      <c r="D1000" s="2"/>
      <c r="E1000" s="2">
        <v>0</v>
      </c>
      <c r="F1000" s="2">
        <v>42287922.399999999</v>
      </c>
    </row>
    <row r="1001" spans="1:6" x14ac:dyDescent="0.3">
      <c r="A1001" s="6" t="s">
        <v>1349</v>
      </c>
      <c r="B1001" s="2" t="s">
        <v>1350</v>
      </c>
      <c r="C1001" s="2"/>
      <c r="D1001" s="2"/>
      <c r="E1001" s="2">
        <v>0</v>
      </c>
      <c r="F1001" s="2">
        <v>2939608.2</v>
      </c>
    </row>
    <row r="1002" spans="1:6" x14ac:dyDescent="0.3">
      <c r="A1002" s="6" t="s">
        <v>1351</v>
      </c>
      <c r="B1002" s="2" t="s">
        <v>1352</v>
      </c>
      <c r="C1002" s="2"/>
      <c r="D1002" s="2"/>
      <c r="E1002" s="2">
        <v>0</v>
      </c>
      <c r="F1002" s="2">
        <v>22981933.899999999</v>
      </c>
    </row>
    <row r="1003" spans="1:6" x14ac:dyDescent="0.3">
      <c r="A1003" s="6" t="s">
        <v>1353</v>
      </c>
      <c r="B1003" s="2" t="s">
        <v>782</v>
      </c>
      <c r="C1003" s="2"/>
      <c r="D1003" s="2"/>
      <c r="E1003" s="2">
        <v>0</v>
      </c>
      <c r="F1003" s="2">
        <v>76313437.980000004</v>
      </c>
    </row>
    <row r="1004" spans="1:6" x14ac:dyDescent="0.3">
      <c r="A1004" s="6" t="s">
        <v>1354</v>
      </c>
      <c r="B1004" s="2" t="s">
        <v>1355</v>
      </c>
      <c r="C1004" s="2"/>
      <c r="D1004" s="2"/>
      <c r="E1004" s="2">
        <v>0</v>
      </c>
      <c r="F1004" s="2">
        <v>123358.21</v>
      </c>
    </row>
    <row r="1005" spans="1:6" x14ac:dyDescent="0.3">
      <c r="A1005" s="6" t="s">
        <v>1356</v>
      </c>
      <c r="B1005" s="2" t="s">
        <v>458</v>
      </c>
      <c r="C1005" s="2"/>
      <c r="D1005" s="2"/>
      <c r="E1005" s="2">
        <v>0</v>
      </c>
      <c r="F1005" s="2">
        <v>8692352.6300000008</v>
      </c>
    </row>
    <row r="1006" spans="1:6" x14ac:dyDescent="0.3">
      <c r="A1006" s="6" t="s">
        <v>1357</v>
      </c>
      <c r="B1006" s="2" t="s">
        <v>469</v>
      </c>
      <c r="C1006" s="2"/>
      <c r="D1006" s="2"/>
      <c r="E1006" s="2">
        <v>0</v>
      </c>
      <c r="F1006" s="2">
        <v>39292473.049999997</v>
      </c>
    </row>
    <row r="1007" spans="1:6" x14ac:dyDescent="0.3">
      <c r="A1007" s="6" t="s">
        <v>1358</v>
      </c>
      <c r="B1007" s="2" t="s">
        <v>467</v>
      </c>
      <c r="C1007" s="2"/>
      <c r="D1007" s="2"/>
      <c r="E1007" s="2">
        <v>0</v>
      </c>
      <c r="F1007" s="2">
        <v>18569573.890000001</v>
      </c>
    </row>
    <row r="1008" spans="1:6" x14ac:dyDescent="0.3">
      <c r="A1008" s="6" t="s">
        <v>1359</v>
      </c>
      <c r="B1008" s="2" t="s">
        <v>792</v>
      </c>
      <c r="C1008" s="2"/>
      <c r="D1008" s="2"/>
      <c r="E1008" s="2">
        <v>0</v>
      </c>
      <c r="F1008" s="2">
        <v>6899987.8700000001</v>
      </c>
    </row>
    <row r="1009" spans="1:6" x14ac:dyDescent="0.3">
      <c r="A1009" s="6" t="s">
        <v>1360</v>
      </c>
      <c r="B1009" s="2" t="s">
        <v>794</v>
      </c>
      <c r="C1009" s="2"/>
      <c r="D1009" s="2"/>
      <c r="E1009" s="2">
        <v>0</v>
      </c>
      <c r="F1009" s="2">
        <v>2300470.5</v>
      </c>
    </row>
    <row r="1010" spans="1:6" x14ac:dyDescent="0.3">
      <c r="A1010" s="6" t="s">
        <v>1361</v>
      </c>
      <c r="B1010" s="2" t="s">
        <v>794</v>
      </c>
      <c r="C1010" s="2"/>
      <c r="D1010" s="2"/>
      <c r="E1010" s="2">
        <v>0</v>
      </c>
      <c r="F1010" s="2">
        <v>99798.96</v>
      </c>
    </row>
    <row r="1011" spans="1:6" x14ac:dyDescent="0.3">
      <c r="A1011" s="6" t="s">
        <v>1362</v>
      </c>
      <c r="B1011" s="2" t="s">
        <v>77</v>
      </c>
      <c r="C1011" s="2"/>
      <c r="D1011" s="2"/>
      <c r="E1011" s="2">
        <v>0</v>
      </c>
      <c r="F1011" s="2">
        <v>522865417.24000001</v>
      </c>
    </row>
    <row r="1012" spans="1:6" x14ac:dyDescent="0.3">
      <c r="A1012" s="6" t="s">
        <v>1363</v>
      </c>
      <c r="B1012" s="2" t="s">
        <v>77</v>
      </c>
      <c r="C1012" s="2"/>
      <c r="D1012" s="2"/>
      <c r="E1012" s="2">
        <v>0</v>
      </c>
      <c r="F1012" s="2">
        <v>517521636.13</v>
      </c>
    </row>
    <row r="1013" spans="1:6" x14ac:dyDescent="0.3">
      <c r="A1013" s="6" t="s">
        <v>1364</v>
      </c>
      <c r="B1013" s="2" t="s">
        <v>82</v>
      </c>
      <c r="C1013" s="2"/>
      <c r="D1013" s="2"/>
      <c r="E1013" s="2">
        <v>0</v>
      </c>
      <c r="F1013" s="2">
        <v>6155323.04</v>
      </c>
    </row>
    <row r="1014" spans="1:6" x14ac:dyDescent="0.3">
      <c r="A1014" s="6" t="s">
        <v>1365</v>
      </c>
      <c r="B1014" s="2" t="s">
        <v>77</v>
      </c>
      <c r="C1014" s="2"/>
      <c r="D1014" s="2"/>
      <c r="E1014" s="2">
        <v>0</v>
      </c>
      <c r="F1014" s="2">
        <v>543303.43999999994</v>
      </c>
    </row>
    <row r="1015" spans="1:6" x14ac:dyDescent="0.3">
      <c r="A1015" s="6" t="s">
        <v>1366</v>
      </c>
      <c r="B1015" s="2" t="s">
        <v>82</v>
      </c>
      <c r="C1015" s="2"/>
      <c r="D1015" s="2"/>
      <c r="E1015" s="2">
        <v>0</v>
      </c>
      <c r="F1015" s="2">
        <v>0</v>
      </c>
    </row>
    <row r="1016" spans="1:6" x14ac:dyDescent="0.3">
      <c r="A1016" s="6" t="s">
        <v>1367</v>
      </c>
      <c r="B1016" s="2" t="s">
        <v>77</v>
      </c>
      <c r="C1016" s="2"/>
      <c r="D1016" s="2"/>
      <c r="E1016" s="2">
        <v>0</v>
      </c>
      <c r="F1016" s="2">
        <v>2109161.23</v>
      </c>
    </row>
    <row r="1017" spans="1:6" x14ac:dyDescent="0.3">
      <c r="A1017" s="6" t="s">
        <v>1368</v>
      </c>
      <c r="B1017" s="2" t="s">
        <v>82</v>
      </c>
      <c r="C1017" s="2"/>
      <c r="D1017" s="2"/>
      <c r="E1017" s="2">
        <v>0</v>
      </c>
      <c r="F1017" s="2">
        <v>9726709.6999999993</v>
      </c>
    </row>
    <row r="1018" spans="1:6" x14ac:dyDescent="0.3">
      <c r="A1018" s="6" t="s">
        <v>1369</v>
      </c>
      <c r="B1018" s="2" t="s">
        <v>77</v>
      </c>
      <c r="C1018" s="2"/>
      <c r="D1018" s="2"/>
      <c r="E1018" s="2">
        <v>0</v>
      </c>
      <c r="F1018" s="2">
        <v>10067704.84</v>
      </c>
    </row>
    <row r="1019" spans="1:6" x14ac:dyDescent="0.3">
      <c r="A1019" s="6" t="s">
        <v>1370</v>
      </c>
      <c r="B1019" s="2" t="s">
        <v>82</v>
      </c>
      <c r="C1019" s="2"/>
      <c r="D1019" s="2"/>
      <c r="E1019" s="2">
        <v>0</v>
      </c>
      <c r="F1019" s="2">
        <v>4514354.03</v>
      </c>
    </row>
    <row r="1020" spans="1:6" x14ac:dyDescent="0.3">
      <c r="A1020" s="6" t="s">
        <v>1371</v>
      </c>
      <c r="B1020" s="2" t="s">
        <v>77</v>
      </c>
      <c r="C1020" s="2"/>
      <c r="D1020" s="2"/>
      <c r="E1020" s="2">
        <v>0</v>
      </c>
      <c r="F1020" s="2">
        <v>0</v>
      </c>
    </row>
    <row r="1021" spans="1:6" x14ac:dyDescent="0.3">
      <c r="A1021" s="6" t="s">
        <v>1372</v>
      </c>
      <c r="B1021" s="2" t="s">
        <v>82</v>
      </c>
      <c r="C1021" s="2"/>
      <c r="D1021" s="2"/>
      <c r="E1021" s="2">
        <v>0</v>
      </c>
      <c r="F1021" s="2">
        <v>0</v>
      </c>
    </row>
    <row r="1022" spans="1:6" x14ac:dyDescent="0.3">
      <c r="A1022" s="6" t="s">
        <v>1373</v>
      </c>
      <c r="B1022" s="2" t="s">
        <v>79</v>
      </c>
      <c r="C1022" s="2"/>
      <c r="D1022" s="2"/>
      <c r="E1022" s="2">
        <v>0</v>
      </c>
      <c r="F1022" s="2">
        <v>5928400.2000000002</v>
      </c>
    </row>
    <row r="1023" spans="1:6" x14ac:dyDescent="0.3">
      <c r="A1023" s="6" t="s">
        <v>1374</v>
      </c>
      <c r="B1023" s="2" t="s">
        <v>77</v>
      </c>
      <c r="C1023" s="2"/>
      <c r="D1023" s="2"/>
      <c r="E1023" s="2">
        <v>0</v>
      </c>
      <c r="F1023" s="2">
        <v>778531.07</v>
      </c>
    </row>
    <row r="1024" spans="1:6" x14ac:dyDescent="0.3">
      <c r="A1024" s="6" t="s">
        <v>1375</v>
      </c>
      <c r="B1024" s="2" t="s">
        <v>79</v>
      </c>
      <c r="C1024" s="2"/>
      <c r="D1024" s="2"/>
      <c r="E1024" s="2">
        <v>0</v>
      </c>
      <c r="F1024" s="2">
        <v>2398498.88</v>
      </c>
    </row>
    <row r="1025" spans="1:6" x14ac:dyDescent="0.3">
      <c r="A1025" s="6" t="s">
        <v>1376</v>
      </c>
      <c r="B1025" s="2" t="s">
        <v>77</v>
      </c>
      <c r="C1025" s="2"/>
      <c r="D1025" s="2"/>
      <c r="E1025" s="2">
        <v>0</v>
      </c>
      <c r="F1025" s="2">
        <v>548189.80000000005</v>
      </c>
    </row>
    <row r="1026" spans="1:6" x14ac:dyDescent="0.3">
      <c r="A1026" s="6" t="s">
        <v>1377</v>
      </c>
      <c r="B1026" s="2" t="s">
        <v>79</v>
      </c>
      <c r="C1026" s="2"/>
      <c r="D1026" s="2"/>
      <c r="E1026" s="2">
        <v>0</v>
      </c>
      <c r="F1026" s="2">
        <v>0</v>
      </c>
    </row>
    <row r="1027" spans="1:6" x14ac:dyDescent="0.3">
      <c r="A1027" s="6" t="s">
        <v>1378</v>
      </c>
      <c r="B1027" s="2" t="s">
        <v>77</v>
      </c>
      <c r="C1027" s="2"/>
      <c r="D1027" s="2"/>
      <c r="E1027" s="2">
        <v>0</v>
      </c>
      <c r="F1027" s="2">
        <v>0</v>
      </c>
    </row>
    <row r="1028" spans="1:6" x14ac:dyDescent="0.3">
      <c r="A1028" s="6" t="s">
        <v>1379</v>
      </c>
      <c r="B1028" s="2" t="s">
        <v>79</v>
      </c>
      <c r="C1028" s="2"/>
      <c r="D1028" s="2"/>
      <c r="E1028" s="2">
        <v>0</v>
      </c>
      <c r="F1028" s="2">
        <v>1957223.81</v>
      </c>
    </row>
    <row r="1029" spans="1:6" x14ac:dyDescent="0.3">
      <c r="A1029" s="6" t="s">
        <v>1380</v>
      </c>
      <c r="B1029" s="2" t="s">
        <v>77</v>
      </c>
      <c r="C1029" s="2"/>
      <c r="D1029" s="2"/>
      <c r="E1029" s="2">
        <v>0</v>
      </c>
      <c r="F1029" s="2">
        <v>18599.52</v>
      </c>
    </row>
    <row r="1030" spans="1:6" x14ac:dyDescent="0.3">
      <c r="A1030" s="6" t="s">
        <v>1381</v>
      </c>
      <c r="B1030" s="2" t="s">
        <v>79</v>
      </c>
      <c r="C1030" s="2"/>
      <c r="D1030" s="2"/>
      <c r="E1030" s="2">
        <v>0</v>
      </c>
      <c r="F1030" s="2">
        <v>2433937.1800000002</v>
      </c>
    </row>
    <row r="1031" spans="1:6" x14ac:dyDescent="0.3">
      <c r="A1031" s="6" t="s">
        <v>1382</v>
      </c>
      <c r="B1031" s="2" t="s">
        <v>77</v>
      </c>
      <c r="C1031" s="2"/>
      <c r="D1031" s="2"/>
      <c r="E1031" s="2">
        <v>0</v>
      </c>
      <c r="F1031" s="2">
        <v>0</v>
      </c>
    </row>
    <row r="1032" spans="1:6" x14ac:dyDescent="0.3">
      <c r="A1032" s="6" t="s">
        <v>1383</v>
      </c>
      <c r="B1032" s="2" t="s">
        <v>131</v>
      </c>
      <c r="C1032" s="2"/>
      <c r="D1032" s="2"/>
      <c r="E1032" s="2">
        <v>0</v>
      </c>
      <c r="F1032" s="2">
        <v>20297220.609999999</v>
      </c>
    </row>
    <row r="1033" spans="1:6" x14ac:dyDescent="0.3">
      <c r="A1033" s="6" t="s">
        <v>1384</v>
      </c>
      <c r="B1033" s="2" t="s">
        <v>131</v>
      </c>
      <c r="C1033" s="2"/>
      <c r="D1033" s="2"/>
      <c r="E1033" s="2">
        <v>0</v>
      </c>
      <c r="F1033" s="2">
        <v>3471036.34</v>
      </c>
    </row>
    <row r="1034" spans="1:6" x14ac:dyDescent="0.3">
      <c r="A1034" s="6" t="s">
        <v>1385</v>
      </c>
      <c r="B1034" s="2" t="s">
        <v>77</v>
      </c>
      <c r="C1034" s="2"/>
      <c r="D1034" s="2"/>
      <c r="E1034" s="2">
        <v>0</v>
      </c>
      <c r="F1034" s="2">
        <v>2646905.41</v>
      </c>
    </row>
    <row r="1035" spans="1:6" x14ac:dyDescent="0.3">
      <c r="A1035" s="6" t="s">
        <v>1386</v>
      </c>
      <c r="B1035" s="2" t="s">
        <v>77</v>
      </c>
      <c r="C1035" s="2"/>
      <c r="D1035" s="2"/>
      <c r="E1035" s="2">
        <v>0</v>
      </c>
      <c r="F1035" s="2">
        <v>11605553.970000001</v>
      </c>
    </row>
    <row r="1036" spans="1:6" x14ac:dyDescent="0.3">
      <c r="A1036" s="6" t="s">
        <v>1387</v>
      </c>
      <c r="B1036" s="2" t="s">
        <v>77</v>
      </c>
      <c r="C1036" s="2"/>
      <c r="D1036" s="2"/>
      <c r="E1036" s="2">
        <v>0</v>
      </c>
      <c r="F1036" s="2">
        <v>102519.47</v>
      </c>
    </row>
    <row r="1037" spans="1:6" x14ac:dyDescent="0.3">
      <c r="A1037" s="6" t="s">
        <v>1388</v>
      </c>
      <c r="B1037" s="2" t="s">
        <v>824</v>
      </c>
      <c r="C1037" s="2"/>
      <c r="D1037" s="2"/>
      <c r="E1037" s="2">
        <v>0</v>
      </c>
      <c r="F1037" s="2">
        <v>63724574.109999999</v>
      </c>
    </row>
    <row r="1038" spans="1:6" x14ac:dyDescent="0.3">
      <c r="A1038" s="6" t="s">
        <v>1389</v>
      </c>
      <c r="B1038" s="2" t="s">
        <v>748</v>
      </c>
      <c r="C1038" s="2"/>
      <c r="D1038" s="2"/>
      <c r="E1038" s="2">
        <v>0</v>
      </c>
      <c r="F1038" s="2">
        <v>15107273.43</v>
      </c>
    </row>
    <row r="1039" spans="1:6" x14ac:dyDescent="0.3">
      <c r="A1039" s="6" t="s">
        <v>1390</v>
      </c>
      <c r="B1039" s="2" t="s">
        <v>827</v>
      </c>
      <c r="C1039" s="2"/>
      <c r="D1039" s="2"/>
      <c r="E1039" s="2">
        <v>0</v>
      </c>
      <c r="F1039" s="2">
        <v>103836.85</v>
      </c>
    </row>
    <row r="1040" spans="1:6" x14ac:dyDescent="0.3">
      <c r="A1040" s="6" t="s">
        <v>1391</v>
      </c>
      <c r="B1040" s="2" t="s">
        <v>1392</v>
      </c>
      <c r="C1040" s="2"/>
      <c r="D1040" s="2"/>
      <c r="E1040" s="2">
        <v>0</v>
      </c>
      <c r="F1040" s="2">
        <v>14526048.75</v>
      </c>
    </row>
    <row r="1041" spans="1:6" x14ac:dyDescent="0.3">
      <c r="A1041" s="6" t="s">
        <v>1393</v>
      </c>
      <c r="B1041" s="2" t="s">
        <v>1394</v>
      </c>
      <c r="C1041" s="2"/>
      <c r="D1041" s="2"/>
      <c r="E1041" s="2">
        <v>0</v>
      </c>
      <c r="F1041" s="2">
        <v>7236245.3899999997</v>
      </c>
    </row>
    <row r="1042" spans="1:6" x14ac:dyDescent="0.3">
      <c r="A1042" s="6" t="s">
        <v>1395</v>
      </c>
      <c r="B1042" s="2" t="s">
        <v>983</v>
      </c>
      <c r="C1042" s="2"/>
      <c r="D1042" s="2"/>
      <c r="E1042" s="2">
        <v>0</v>
      </c>
      <c r="F1042" s="2">
        <v>64573.59</v>
      </c>
    </row>
    <row r="1043" spans="1:6" x14ac:dyDescent="0.3">
      <c r="A1043" s="6" t="s">
        <v>1396</v>
      </c>
      <c r="B1043" s="2" t="s">
        <v>1397</v>
      </c>
      <c r="C1043" s="2"/>
      <c r="D1043" s="2"/>
      <c r="E1043" s="2">
        <v>0</v>
      </c>
      <c r="F1043" s="2">
        <v>2048663.52</v>
      </c>
    </row>
    <row r="1044" spans="1:6" x14ac:dyDescent="0.3">
      <c r="A1044" s="6" t="s">
        <v>1398</v>
      </c>
      <c r="B1044" s="2" t="s">
        <v>1399</v>
      </c>
      <c r="C1044" s="2"/>
      <c r="D1044" s="2"/>
      <c r="E1044" s="2">
        <v>0</v>
      </c>
      <c r="F1044" s="2">
        <v>782.23</v>
      </c>
    </row>
    <row r="1045" spans="1:6" x14ac:dyDescent="0.3">
      <c r="A1045" s="6" t="s">
        <v>1400</v>
      </c>
      <c r="B1045" s="2" t="s">
        <v>467</v>
      </c>
      <c r="C1045" s="2"/>
      <c r="D1045" s="2"/>
      <c r="E1045" s="2">
        <v>0</v>
      </c>
      <c r="F1045" s="2">
        <v>961205.84</v>
      </c>
    </row>
    <row r="1046" spans="1:6" x14ac:dyDescent="0.3">
      <c r="A1046" s="6" t="s">
        <v>1401</v>
      </c>
      <c r="B1046" s="2" t="s">
        <v>622</v>
      </c>
      <c r="C1046" s="2"/>
      <c r="D1046" s="2"/>
      <c r="E1046" s="2">
        <v>0</v>
      </c>
      <c r="F1046" s="2">
        <v>952531.02</v>
      </c>
    </row>
    <row r="1047" spans="1:6" x14ac:dyDescent="0.3">
      <c r="A1047" s="6" t="s">
        <v>1402</v>
      </c>
      <c r="B1047" s="2" t="s">
        <v>630</v>
      </c>
      <c r="C1047" s="2"/>
      <c r="D1047" s="2"/>
      <c r="E1047" s="2">
        <v>0</v>
      </c>
      <c r="F1047" s="2">
        <v>1540.49</v>
      </c>
    </row>
    <row r="1048" spans="1:6" x14ac:dyDescent="0.3">
      <c r="A1048" s="6" t="s">
        <v>1403</v>
      </c>
      <c r="B1048" s="2" t="s">
        <v>632</v>
      </c>
      <c r="C1048" s="2"/>
      <c r="D1048" s="2"/>
      <c r="E1048" s="2">
        <v>0</v>
      </c>
      <c r="F1048" s="2">
        <v>9.5500000000000007</v>
      </c>
    </row>
    <row r="1049" spans="1:6" x14ac:dyDescent="0.3">
      <c r="A1049" s="6" t="s">
        <v>1404</v>
      </c>
      <c r="B1049" s="2" t="s">
        <v>1105</v>
      </c>
      <c r="C1049" s="2"/>
      <c r="D1049" s="2"/>
      <c r="E1049" s="2">
        <v>0</v>
      </c>
      <c r="F1049" s="2">
        <v>0</v>
      </c>
    </row>
    <row r="1050" spans="1:6" x14ac:dyDescent="0.3">
      <c r="A1050" s="6" t="s">
        <v>1405</v>
      </c>
      <c r="B1050" s="2" t="s">
        <v>131</v>
      </c>
      <c r="C1050" s="2"/>
      <c r="D1050" s="2"/>
      <c r="E1050" s="2">
        <v>0</v>
      </c>
      <c r="F1050" s="2">
        <v>54646.85</v>
      </c>
    </row>
    <row r="1051" spans="1:6" x14ac:dyDescent="0.3">
      <c r="A1051" s="6" t="s">
        <v>1406</v>
      </c>
      <c r="B1051" s="2" t="s">
        <v>133</v>
      </c>
      <c r="C1051" s="2"/>
      <c r="D1051" s="2"/>
      <c r="E1051" s="2">
        <v>0</v>
      </c>
      <c r="F1051" s="2">
        <v>531903.19999999995</v>
      </c>
    </row>
    <row r="1052" spans="1:6" x14ac:dyDescent="0.3">
      <c r="A1052" s="6" t="s">
        <v>1407</v>
      </c>
      <c r="B1052" s="2" t="s">
        <v>131</v>
      </c>
      <c r="C1052" s="2"/>
      <c r="D1052" s="2"/>
      <c r="E1052" s="2">
        <v>0</v>
      </c>
      <c r="F1052" s="2">
        <v>495670.1</v>
      </c>
    </row>
    <row r="1053" spans="1:6" x14ac:dyDescent="0.3">
      <c r="A1053" s="6" t="s">
        <v>1408</v>
      </c>
      <c r="B1053" s="2" t="s">
        <v>220</v>
      </c>
      <c r="C1053" s="2"/>
      <c r="D1053" s="2"/>
      <c r="E1053" s="2">
        <v>0</v>
      </c>
      <c r="F1053" s="2">
        <v>4.34</v>
      </c>
    </row>
    <row r="1054" spans="1:6" x14ac:dyDescent="0.3">
      <c r="A1054" s="6" t="s">
        <v>1409</v>
      </c>
      <c r="B1054" s="2" t="s">
        <v>220</v>
      </c>
      <c r="C1054" s="2"/>
      <c r="D1054" s="2"/>
      <c r="E1054" s="2">
        <v>0</v>
      </c>
      <c r="F1054" s="2">
        <v>113.59</v>
      </c>
    </row>
    <row r="1055" spans="1:6" x14ac:dyDescent="0.3">
      <c r="A1055" s="6" t="s">
        <v>1410</v>
      </c>
      <c r="B1055" s="2" t="s">
        <v>220</v>
      </c>
      <c r="C1055" s="2"/>
      <c r="D1055" s="2"/>
      <c r="E1055" s="2">
        <v>0</v>
      </c>
      <c r="F1055" s="2">
        <v>3.08</v>
      </c>
    </row>
    <row r="1056" spans="1:6" x14ac:dyDescent="0.3">
      <c r="A1056" s="6" t="s">
        <v>1411</v>
      </c>
      <c r="B1056" s="2" t="s">
        <v>220</v>
      </c>
      <c r="C1056" s="2"/>
      <c r="D1056" s="2"/>
      <c r="E1056" s="2">
        <v>0</v>
      </c>
      <c r="F1056" s="2">
        <v>48718.44</v>
      </c>
    </row>
    <row r="1057" spans="1:6" x14ac:dyDescent="0.3">
      <c r="A1057" s="6" t="s">
        <v>1412</v>
      </c>
      <c r="B1057" s="2" t="s">
        <v>220</v>
      </c>
      <c r="C1057" s="2"/>
      <c r="D1057" s="2"/>
      <c r="E1057" s="2">
        <v>0</v>
      </c>
      <c r="F1057" s="2">
        <v>9500.31</v>
      </c>
    </row>
    <row r="1058" spans="1:6" x14ac:dyDescent="0.3">
      <c r="A1058" s="6" t="s">
        <v>1413</v>
      </c>
      <c r="B1058" s="2" t="s">
        <v>220</v>
      </c>
      <c r="C1058" s="2"/>
      <c r="D1058" s="2"/>
      <c r="E1058" s="2">
        <v>0</v>
      </c>
      <c r="F1058" s="2">
        <v>13524.67</v>
      </c>
    </row>
    <row r="1059" spans="1:6" x14ac:dyDescent="0.3">
      <c r="A1059" s="6" t="s">
        <v>1414</v>
      </c>
      <c r="B1059" s="2" t="s">
        <v>220</v>
      </c>
      <c r="C1059" s="2"/>
      <c r="D1059" s="2"/>
      <c r="E1059" s="2">
        <v>0</v>
      </c>
      <c r="F1059" s="2">
        <v>20.53</v>
      </c>
    </row>
    <row r="1060" spans="1:6" x14ac:dyDescent="0.3">
      <c r="A1060" s="6" t="s">
        <v>1415</v>
      </c>
      <c r="B1060" s="2" t="s">
        <v>220</v>
      </c>
      <c r="C1060" s="2"/>
      <c r="D1060" s="2"/>
      <c r="E1060" s="2">
        <v>0</v>
      </c>
      <c r="F1060" s="2">
        <v>594.01</v>
      </c>
    </row>
    <row r="1061" spans="1:6" x14ac:dyDescent="0.3">
      <c r="A1061" s="6" t="s">
        <v>1416</v>
      </c>
      <c r="B1061" s="2" t="s">
        <v>220</v>
      </c>
      <c r="C1061" s="2"/>
      <c r="D1061" s="2"/>
      <c r="E1061" s="2">
        <v>0</v>
      </c>
      <c r="F1061" s="2">
        <v>583004.98</v>
      </c>
    </row>
    <row r="1062" spans="1:6" x14ac:dyDescent="0.3">
      <c r="A1062" s="6" t="s">
        <v>1417</v>
      </c>
      <c r="B1062" s="2" t="s">
        <v>220</v>
      </c>
      <c r="C1062" s="2"/>
      <c r="D1062" s="2"/>
      <c r="E1062" s="2">
        <v>0</v>
      </c>
      <c r="F1062" s="2">
        <v>1124.0999999999999</v>
      </c>
    </row>
    <row r="1063" spans="1:6" x14ac:dyDescent="0.3">
      <c r="A1063" s="6" t="s">
        <v>1418</v>
      </c>
      <c r="B1063" s="2" t="s">
        <v>220</v>
      </c>
      <c r="C1063" s="2"/>
      <c r="D1063" s="2"/>
      <c r="E1063" s="2">
        <v>0</v>
      </c>
      <c r="F1063" s="2">
        <v>1784622.6</v>
      </c>
    </row>
    <row r="1064" spans="1:6" x14ac:dyDescent="0.3">
      <c r="A1064" s="6" t="s">
        <v>1419</v>
      </c>
      <c r="B1064" s="2" t="s">
        <v>220</v>
      </c>
      <c r="C1064" s="2"/>
      <c r="D1064" s="2"/>
      <c r="E1064" s="2">
        <v>0</v>
      </c>
      <c r="F1064" s="2">
        <v>290488.21999999997</v>
      </c>
    </row>
    <row r="1065" spans="1:6" x14ac:dyDescent="0.3">
      <c r="A1065" s="6" t="s">
        <v>1420</v>
      </c>
      <c r="B1065" s="2" t="s">
        <v>220</v>
      </c>
      <c r="C1065" s="2"/>
      <c r="D1065" s="2"/>
      <c r="E1065" s="2">
        <v>0</v>
      </c>
      <c r="F1065" s="2">
        <v>162247.03</v>
      </c>
    </row>
    <row r="1066" spans="1:6" x14ac:dyDescent="0.3">
      <c r="A1066" s="6" t="s">
        <v>1421</v>
      </c>
      <c r="B1066" s="2" t="s">
        <v>220</v>
      </c>
      <c r="C1066" s="2"/>
      <c r="D1066" s="2"/>
      <c r="E1066" s="2">
        <v>0</v>
      </c>
      <c r="F1066" s="2">
        <v>39103.26</v>
      </c>
    </row>
    <row r="1067" spans="1:6" x14ac:dyDescent="0.3">
      <c r="A1067" s="6" t="s">
        <v>1422</v>
      </c>
      <c r="B1067" s="2" t="s">
        <v>220</v>
      </c>
      <c r="C1067" s="2"/>
      <c r="D1067" s="2"/>
      <c r="E1067" s="2">
        <v>0</v>
      </c>
      <c r="F1067" s="2">
        <v>704382.16</v>
      </c>
    </row>
    <row r="1068" spans="1:6" x14ac:dyDescent="0.3">
      <c r="A1068" s="6" t="s">
        <v>1423</v>
      </c>
      <c r="B1068" s="2" t="s">
        <v>220</v>
      </c>
      <c r="C1068" s="2"/>
      <c r="D1068" s="2"/>
      <c r="E1068" s="2">
        <v>0</v>
      </c>
      <c r="F1068" s="2">
        <v>49413.58</v>
      </c>
    </row>
    <row r="1069" spans="1:6" x14ac:dyDescent="0.3">
      <c r="A1069" s="6" t="s">
        <v>1424</v>
      </c>
      <c r="B1069" s="2" t="s">
        <v>220</v>
      </c>
      <c r="C1069" s="2"/>
      <c r="D1069" s="2"/>
      <c r="E1069" s="2">
        <v>0</v>
      </c>
      <c r="F1069" s="2">
        <v>34300.39</v>
      </c>
    </row>
    <row r="1070" spans="1:6" x14ac:dyDescent="0.3">
      <c r="A1070" s="6" t="s">
        <v>1425</v>
      </c>
      <c r="B1070" s="2" t="s">
        <v>220</v>
      </c>
      <c r="C1070" s="2"/>
      <c r="D1070" s="2"/>
      <c r="E1070" s="2">
        <v>0</v>
      </c>
      <c r="F1070" s="2">
        <v>29321.22</v>
      </c>
    </row>
    <row r="1071" spans="1:6" x14ac:dyDescent="0.3">
      <c r="A1071" s="6" t="s">
        <v>1426</v>
      </c>
      <c r="B1071" s="2" t="s">
        <v>220</v>
      </c>
      <c r="C1071" s="2"/>
      <c r="D1071" s="2"/>
      <c r="E1071" s="2">
        <v>0</v>
      </c>
      <c r="F1071" s="2">
        <v>31598.97</v>
      </c>
    </row>
    <row r="1072" spans="1:6" x14ac:dyDescent="0.3">
      <c r="A1072" s="6" t="s">
        <v>1427</v>
      </c>
      <c r="B1072" s="2" t="s">
        <v>220</v>
      </c>
      <c r="C1072" s="2"/>
      <c r="D1072" s="2"/>
      <c r="E1072" s="2">
        <v>0</v>
      </c>
      <c r="F1072" s="2">
        <v>23325.11</v>
      </c>
    </row>
    <row r="1073" spans="1:6" x14ac:dyDescent="0.3">
      <c r="A1073" s="6" t="s">
        <v>1428</v>
      </c>
      <c r="B1073" s="2" t="s">
        <v>220</v>
      </c>
      <c r="C1073" s="2"/>
      <c r="D1073" s="2"/>
      <c r="E1073" s="2">
        <v>0</v>
      </c>
      <c r="F1073" s="2">
        <v>4618513.12</v>
      </c>
    </row>
    <row r="1074" spans="1:6" x14ac:dyDescent="0.3">
      <c r="A1074" s="6" t="s">
        <v>1429</v>
      </c>
      <c r="B1074" s="2" t="s">
        <v>220</v>
      </c>
      <c r="C1074" s="2"/>
      <c r="D1074" s="2"/>
      <c r="E1074" s="2">
        <v>0</v>
      </c>
      <c r="F1074" s="2">
        <v>2474.4</v>
      </c>
    </row>
    <row r="1075" spans="1:6" x14ac:dyDescent="0.3">
      <c r="A1075" s="6" t="s">
        <v>1430</v>
      </c>
      <c r="B1075" s="2" t="s">
        <v>220</v>
      </c>
      <c r="C1075" s="2"/>
      <c r="D1075" s="2"/>
      <c r="E1075" s="2">
        <v>0</v>
      </c>
      <c r="F1075" s="2">
        <v>6440.96</v>
      </c>
    </row>
    <row r="1076" spans="1:6" x14ac:dyDescent="0.3">
      <c r="A1076" s="6" t="s">
        <v>1431</v>
      </c>
      <c r="B1076" s="2" t="s">
        <v>220</v>
      </c>
      <c r="C1076" s="2"/>
      <c r="D1076" s="2"/>
      <c r="E1076" s="2">
        <v>0</v>
      </c>
      <c r="F1076" s="2">
        <v>24.26</v>
      </c>
    </row>
    <row r="1077" spans="1:6" x14ac:dyDescent="0.3">
      <c r="A1077" s="6" t="s">
        <v>1432</v>
      </c>
      <c r="B1077" s="2" t="s">
        <v>220</v>
      </c>
      <c r="C1077" s="2"/>
      <c r="D1077" s="2"/>
      <c r="E1077" s="2">
        <v>0</v>
      </c>
      <c r="F1077" s="2">
        <v>7044.51</v>
      </c>
    </row>
    <row r="1078" spans="1:6" x14ac:dyDescent="0.3">
      <c r="A1078" s="6" t="s">
        <v>1433</v>
      </c>
      <c r="B1078" s="2" t="s">
        <v>220</v>
      </c>
      <c r="C1078" s="2"/>
      <c r="D1078" s="2"/>
      <c r="E1078" s="2">
        <v>0</v>
      </c>
      <c r="F1078" s="2">
        <v>12533.17</v>
      </c>
    </row>
    <row r="1079" spans="1:6" x14ac:dyDescent="0.3">
      <c r="A1079" s="6" t="s">
        <v>1434</v>
      </c>
      <c r="B1079" s="2" t="s">
        <v>220</v>
      </c>
      <c r="C1079" s="2"/>
      <c r="D1079" s="2"/>
      <c r="E1079" s="2">
        <v>0</v>
      </c>
      <c r="F1079" s="2">
        <v>2094582.12</v>
      </c>
    </row>
    <row r="1080" spans="1:6" x14ac:dyDescent="0.3">
      <c r="A1080" s="6" t="s">
        <v>1435</v>
      </c>
      <c r="B1080" s="2" t="s">
        <v>292</v>
      </c>
      <c r="C1080" s="2"/>
      <c r="D1080" s="2"/>
      <c r="E1080" s="2">
        <v>0</v>
      </c>
      <c r="F1080" s="2">
        <v>0.97</v>
      </c>
    </row>
    <row r="1081" spans="1:6" x14ac:dyDescent="0.3">
      <c r="A1081" s="6" t="s">
        <v>1436</v>
      </c>
      <c r="B1081" s="2" t="s">
        <v>220</v>
      </c>
      <c r="C1081" s="2"/>
      <c r="D1081" s="2"/>
      <c r="E1081" s="2">
        <v>0</v>
      </c>
      <c r="F1081" s="2">
        <v>334967.73</v>
      </c>
    </row>
    <row r="1082" spans="1:6" x14ac:dyDescent="0.3">
      <c r="A1082" s="6" t="s">
        <v>1437</v>
      </c>
      <c r="B1082" s="2" t="s">
        <v>292</v>
      </c>
      <c r="C1082" s="2"/>
      <c r="D1082" s="2"/>
      <c r="E1082" s="2">
        <v>0</v>
      </c>
      <c r="F1082" s="2">
        <v>1926.13</v>
      </c>
    </row>
    <row r="1083" spans="1:6" x14ac:dyDescent="0.3">
      <c r="A1083" s="6" t="s">
        <v>1438</v>
      </c>
      <c r="B1083" s="2" t="s">
        <v>220</v>
      </c>
      <c r="C1083" s="2"/>
      <c r="D1083" s="2"/>
      <c r="E1083" s="2">
        <v>0</v>
      </c>
      <c r="F1083" s="2">
        <v>5833993.04</v>
      </c>
    </row>
    <row r="1084" spans="1:6" x14ac:dyDescent="0.3">
      <c r="A1084" s="6" t="s">
        <v>1439</v>
      </c>
      <c r="B1084" s="2" t="s">
        <v>292</v>
      </c>
      <c r="C1084" s="2"/>
      <c r="D1084" s="2"/>
      <c r="E1084" s="2">
        <v>0</v>
      </c>
      <c r="F1084" s="2">
        <v>3632.42</v>
      </c>
    </row>
    <row r="1085" spans="1:6" x14ac:dyDescent="0.3">
      <c r="A1085" s="6" t="s">
        <v>1440</v>
      </c>
      <c r="B1085" s="2" t="s">
        <v>220</v>
      </c>
      <c r="C1085" s="2"/>
      <c r="D1085" s="2"/>
      <c r="E1085" s="2">
        <v>0</v>
      </c>
      <c r="F1085" s="2">
        <v>1701896.18</v>
      </c>
    </row>
    <row r="1086" spans="1:6" x14ac:dyDescent="0.3">
      <c r="A1086" s="6" t="s">
        <v>1441</v>
      </c>
      <c r="B1086" s="2" t="s">
        <v>292</v>
      </c>
      <c r="C1086" s="2"/>
      <c r="D1086" s="2"/>
      <c r="E1086" s="2">
        <v>0</v>
      </c>
      <c r="F1086" s="2">
        <v>7462.34</v>
      </c>
    </row>
    <row r="1087" spans="1:6" x14ac:dyDescent="0.3">
      <c r="A1087" s="6" t="s">
        <v>1442</v>
      </c>
      <c r="B1087" s="2" t="s">
        <v>220</v>
      </c>
      <c r="C1087" s="2"/>
      <c r="D1087" s="2"/>
      <c r="E1087" s="2">
        <v>0</v>
      </c>
      <c r="F1087" s="2">
        <v>5286019.26</v>
      </c>
    </row>
    <row r="1088" spans="1:6" x14ac:dyDescent="0.3">
      <c r="A1088" s="6" t="s">
        <v>1443</v>
      </c>
      <c r="B1088" s="2" t="s">
        <v>220</v>
      </c>
      <c r="C1088" s="2"/>
      <c r="D1088" s="2"/>
      <c r="E1088" s="2">
        <v>0</v>
      </c>
      <c r="F1088" s="2">
        <v>639156.87</v>
      </c>
    </row>
    <row r="1089" spans="1:6" x14ac:dyDescent="0.3">
      <c r="A1089" s="6" t="s">
        <v>1444</v>
      </c>
      <c r="B1089" s="2" t="s">
        <v>220</v>
      </c>
      <c r="C1089" s="2"/>
      <c r="D1089" s="2"/>
      <c r="E1089" s="2">
        <v>0</v>
      </c>
      <c r="F1089" s="2">
        <v>350305.06</v>
      </c>
    </row>
    <row r="1090" spans="1:6" x14ac:dyDescent="0.3">
      <c r="A1090" s="6" t="s">
        <v>1445</v>
      </c>
      <c r="B1090" s="2" t="s">
        <v>220</v>
      </c>
      <c r="C1090" s="2"/>
      <c r="D1090" s="2"/>
      <c r="E1090" s="2">
        <v>0</v>
      </c>
      <c r="F1090" s="2">
        <v>21532948.989999998</v>
      </c>
    </row>
    <row r="1091" spans="1:6" x14ac:dyDescent="0.3">
      <c r="A1091" s="6" t="s">
        <v>1446</v>
      </c>
      <c r="B1091" s="2" t="s">
        <v>220</v>
      </c>
      <c r="C1091" s="2"/>
      <c r="D1091" s="2"/>
      <c r="E1091" s="2">
        <v>0</v>
      </c>
      <c r="F1091" s="2">
        <v>94609.96</v>
      </c>
    </row>
    <row r="1092" spans="1:6" x14ac:dyDescent="0.3">
      <c r="A1092" s="6" t="s">
        <v>1447</v>
      </c>
      <c r="B1092" s="2" t="s">
        <v>220</v>
      </c>
      <c r="C1092" s="2"/>
      <c r="D1092" s="2"/>
      <c r="E1092" s="2">
        <v>0</v>
      </c>
      <c r="F1092" s="2">
        <v>801.89</v>
      </c>
    </row>
    <row r="1093" spans="1:6" x14ac:dyDescent="0.3">
      <c r="A1093" s="6" t="s">
        <v>1448</v>
      </c>
      <c r="B1093" s="2" t="s">
        <v>220</v>
      </c>
      <c r="C1093" s="2"/>
      <c r="D1093" s="2"/>
      <c r="E1093" s="2">
        <v>0</v>
      </c>
      <c r="F1093" s="2">
        <v>90012.87</v>
      </c>
    </row>
    <row r="1094" spans="1:6" x14ac:dyDescent="0.3">
      <c r="A1094" s="6" t="s">
        <v>1449</v>
      </c>
      <c r="B1094" s="2" t="s">
        <v>292</v>
      </c>
      <c r="C1094" s="2"/>
      <c r="D1094" s="2"/>
      <c r="E1094" s="2">
        <v>0</v>
      </c>
      <c r="F1094" s="2">
        <v>56385889.969999999</v>
      </c>
    </row>
    <row r="1095" spans="1:6" x14ac:dyDescent="0.3">
      <c r="A1095" s="6" t="s">
        <v>1450</v>
      </c>
      <c r="B1095" s="2" t="s">
        <v>220</v>
      </c>
      <c r="C1095" s="2"/>
      <c r="D1095" s="2"/>
      <c r="E1095" s="2">
        <v>0</v>
      </c>
      <c r="F1095" s="2">
        <v>614177.23</v>
      </c>
    </row>
    <row r="1096" spans="1:6" x14ac:dyDescent="0.3">
      <c r="A1096" s="6" t="s">
        <v>1451</v>
      </c>
      <c r="B1096" s="2" t="s">
        <v>292</v>
      </c>
      <c r="C1096" s="2"/>
      <c r="D1096" s="2"/>
      <c r="E1096" s="2">
        <v>0</v>
      </c>
      <c r="F1096" s="2">
        <v>160695.16</v>
      </c>
    </row>
    <row r="1097" spans="1:6" x14ac:dyDescent="0.3">
      <c r="A1097" s="6" t="s">
        <v>1452</v>
      </c>
      <c r="B1097" s="2" t="s">
        <v>220</v>
      </c>
      <c r="C1097" s="2"/>
      <c r="D1097" s="2"/>
      <c r="E1097" s="2">
        <v>0</v>
      </c>
      <c r="F1097" s="2">
        <v>932777.16</v>
      </c>
    </row>
    <row r="1098" spans="1:6" x14ac:dyDescent="0.3">
      <c r="A1098" s="6" t="s">
        <v>1453</v>
      </c>
      <c r="B1098" s="2" t="s">
        <v>220</v>
      </c>
      <c r="C1098" s="2"/>
      <c r="D1098" s="2"/>
      <c r="E1098" s="2">
        <v>0</v>
      </c>
      <c r="F1098" s="2">
        <v>151665.74</v>
      </c>
    </row>
    <row r="1099" spans="1:6" x14ac:dyDescent="0.3">
      <c r="A1099" s="6" t="s">
        <v>1454</v>
      </c>
      <c r="B1099" s="2" t="s">
        <v>220</v>
      </c>
      <c r="C1099" s="2"/>
      <c r="D1099" s="2"/>
      <c r="E1099" s="2">
        <v>0</v>
      </c>
      <c r="F1099" s="2">
        <v>118147.66</v>
      </c>
    </row>
    <row r="1100" spans="1:6" x14ac:dyDescent="0.3">
      <c r="A1100" s="6" t="s">
        <v>1455</v>
      </c>
      <c r="B1100" s="2" t="s">
        <v>220</v>
      </c>
      <c r="C1100" s="2"/>
      <c r="D1100" s="2"/>
      <c r="E1100" s="2">
        <v>0</v>
      </c>
      <c r="F1100" s="2">
        <v>380.27</v>
      </c>
    </row>
    <row r="1101" spans="1:6" x14ac:dyDescent="0.3">
      <c r="A1101" s="6" t="s">
        <v>1456</v>
      </c>
      <c r="B1101" s="2" t="s">
        <v>220</v>
      </c>
      <c r="C1101" s="2"/>
      <c r="D1101" s="2"/>
      <c r="E1101" s="2">
        <v>0</v>
      </c>
      <c r="F1101" s="2">
        <v>817706.16</v>
      </c>
    </row>
    <row r="1102" spans="1:6" x14ac:dyDescent="0.3">
      <c r="A1102" s="6" t="s">
        <v>1457</v>
      </c>
      <c r="B1102" s="2" t="s">
        <v>220</v>
      </c>
      <c r="C1102" s="2"/>
      <c r="D1102" s="2"/>
      <c r="E1102" s="2">
        <v>0</v>
      </c>
      <c r="F1102" s="2">
        <v>563807.44999999995</v>
      </c>
    </row>
    <row r="1103" spans="1:6" x14ac:dyDescent="0.3">
      <c r="A1103" s="6" t="s">
        <v>1458</v>
      </c>
      <c r="B1103" s="2" t="s">
        <v>292</v>
      </c>
      <c r="C1103" s="2"/>
      <c r="D1103" s="2"/>
      <c r="E1103" s="2">
        <v>0</v>
      </c>
      <c r="F1103" s="2">
        <v>271151.65999999997</v>
      </c>
    </row>
    <row r="1104" spans="1:6" x14ac:dyDescent="0.3">
      <c r="A1104" s="6" t="s">
        <v>1459</v>
      </c>
      <c r="B1104" s="2" t="s">
        <v>220</v>
      </c>
      <c r="C1104" s="2"/>
      <c r="D1104" s="2"/>
      <c r="E1104" s="2">
        <v>0</v>
      </c>
      <c r="F1104" s="2">
        <v>32629.29</v>
      </c>
    </row>
    <row r="1105" spans="1:6" x14ac:dyDescent="0.3">
      <c r="A1105" s="6" t="s">
        <v>1460</v>
      </c>
      <c r="B1105" s="2" t="s">
        <v>220</v>
      </c>
      <c r="C1105" s="2"/>
      <c r="D1105" s="2"/>
      <c r="E1105" s="2">
        <v>0</v>
      </c>
      <c r="F1105" s="2">
        <v>1472679</v>
      </c>
    </row>
    <row r="1106" spans="1:6" x14ac:dyDescent="0.3">
      <c r="A1106" s="6" t="s">
        <v>1461</v>
      </c>
      <c r="B1106" s="2" t="s">
        <v>220</v>
      </c>
      <c r="C1106" s="2"/>
      <c r="D1106" s="2"/>
      <c r="E1106" s="2">
        <v>0</v>
      </c>
      <c r="F1106" s="2">
        <v>653603.38</v>
      </c>
    </row>
    <row r="1107" spans="1:6" x14ac:dyDescent="0.3">
      <c r="A1107" s="6" t="s">
        <v>1462</v>
      </c>
      <c r="B1107" s="2" t="s">
        <v>220</v>
      </c>
      <c r="C1107" s="2"/>
      <c r="D1107" s="2"/>
      <c r="E1107" s="2">
        <v>0</v>
      </c>
      <c r="F1107" s="2">
        <v>1263688.21</v>
      </c>
    </row>
    <row r="1108" spans="1:6" x14ac:dyDescent="0.3">
      <c r="A1108" s="6" t="s">
        <v>1463</v>
      </c>
      <c r="B1108" s="2" t="s">
        <v>1075</v>
      </c>
      <c r="C1108" s="2"/>
      <c r="D1108" s="2"/>
      <c r="E1108" s="2">
        <v>0</v>
      </c>
      <c r="F1108" s="2">
        <v>1100000</v>
      </c>
    </row>
    <row r="1109" spans="1:6" x14ac:dyDescent="0.3">
      <c r="A1109" s="6" t="s">
        <v>1464</v>
      </c>
      <c r="B1109" s="2" t="s">
        <v>1465</v>
      </c>
      <c r="C1109" s="2"/>
      <c r="D1109" s="2"/>
      <c r="E1109" s="2">
        <v>0</v>
      </c>
      <c r="F1109" s="2">
        <v>0</v>
      </c>
    </row>
    <row r="1110" spans="1:6" x14ac:dyDescent="0.3">
      <c r="A1110" s="6" t="s">
        <v>1466</v>
      </c>
      <c r="B1110" s="2" t="s">
        <v>983</v>
      </c>
      <c r="C1110" s="2"/>
      <c r="D1110" s="2"/>
      <c r="E1110" s="2">
        <v>0</v>
      </c>
      <c r="F1110" s="2">
        <v>1206484.93</v>
      </c>
    </row>
    <row r="1111" spans="1:6" x14ac:dyDescent="0.3">
      <c r="A1111" s="6" t="s">
        <v>1467</v>
      </c>
      <c r="B1111" s="2" t="s">
        <v>1468</v>
      </c>
      <c r="C1111" s="2"/>
      <c r="D1111" s="2"/>
      <c r="E1111" s="2">
        <v>0</v>
      </c>
      <c r="F1111" s="2">
        <v>45118.27</v>
      </c>
    </row>
    <row r="1112" spans="1:6" x14ac:dyDescent="0.3">
      <c r="A1112" s="6" t="s">
        <v>1469</v>
      </c>
      <c r="B1112" s="2" t="s">
        <v>1470</v>
      </c>
      <c r="C1112" s="2"/>
      <c r="D1112" s="2"/>
      <c r="E1112" s="2">
        <v>0</v>
      </c>
      <c r="F1112" s="2">
        <v>722517.15</v>
      </c>
    </row>
    <row r="1113" spans="1:6" x14ac:dyDescent="0.3">
      <c r="A1113" s="6" t="s">
        <v>1471</v>
      </c>
      <c r="B1113" s="2" t="s">
        <v>983</v>
      </c>
      <c r="C1113" s="2"/>
      <c r="D1113" s="2"/>
      <c r="E1113" s="2">
        <v>0</v>
      </c>
      <c r="F1113" s="2">
        <v>595408.17000000004</v>
      </c>
    </row>
    <row r="1114" spans="1:6" x14ac:dyDescent="0.3">
      <c r="A1114" s="6" t="s">
        <v>1472</v>
      </c>
      <c r="B1114" s="2" t="s">
        <v>616</v>
      </c>
      <c r="C1114" s="2"/>
      <c r="D1114" s="2"/>
      <c r="E1114" s="2">
        <v>0</v>
      </c>
      <c r="F1114" s="2">
        <v>2560000</v>
      </c>
    </row>
    <row r="1115" spans="1:6" x14ac:dyDescent="0.3">
      <c r="A1115" s="6" t="s">
        <v>1473</v>
      </c>
      <c r="B1115" s="2" t="s">
        <v>1180</v>
      </c>
      <c r="C1115" s="2"/>
      <c r="D1115" s="2"/>
      <c r="E1115" s="2">
        <v>0</v>
      </c>
      <c r="F1115" s="2">
        <v>27590814.309999999</v>
      </c>
    </row>
    <row r="1116" spans="1:6" x14ac:dyDescent="0.3">
      <c r="A1116" s="6" t="s">
        <v>1474</v>
      </c>
      <c r="B1116" s="2" t="s">
        <v>1182</v>
      </c>
      <c r="C1116" s="2"/>
      <c r="D1116" s="2"/>
      <c r="E1116" s="2">
        <v>0</v>
      </c>
      <c r="F1116" s="2">
        <v>9084.8700000000008</v>
      </c>
    </row>
    <row r="1117" spans="1:6" x14ac:dyDescent="0.3">
      <c r="A1117" s="6" t="s">
        <v>1475</v>
      </c>
      <c r="B1117" s="2" t="s">
        <v>624</v>
      </c>
      <c r="C1117" s="2"/>
      <c r="D1117" s="2"/>
      <c r="E1117" s="2">
        <v>0</v>
      </c>
      <c r="F1117" s="2">
        <v>53455.08</v>
      </c>
    </row>
    <row r="1118" spans="1:6" x14ac:dyDescent="0.3">
      <c r="A1118" s="6" t="s">
        <v>1476</v>
      </c>
      <c r="B1118" s="2" t="s">
        <v>626</v>
      </c>
      <c r="C1118" s="2"/>
      <c r="D1118" s="2"/>
      <c r="E1118" s="2">
        <v>0</v>
      </c>
      <c r="F1118" s="2">
        <v>82515.009999999995</v>
      </c>
    </row>
    <row r="1119" spans="1:6" x14ac:dyDescent="0.3">
      <c r="A1119" s="6" t="s">
        <v>1477</v>
      </c>
      <c r="B1119" s="2" t="s">
        <v>628</v>
      </c>
      <c r="C1119" s="2"/>
      <c r="D1119" s="2"/>
      <c r="E1119" s="2">
        <v>0</v>
      </c>
      <c r="F1119" s="2">
        <v>29906.48</v>
      </c>
    </row>
    <row r="1120" spans="1:6" x14ac:dyDescent="0.3">
      <c r="A1120" s="6" t="s">
        <v>1478</v>
      </c>
      <c r="B1120" s="2" t="s">
        <v>630</v>
      </c>
      <c r="C1120" s="2"/>
      <c r="D1120" s="2"/>
      <c r="E1120" s="2">
        <v>0</v>
      </c>
      <c r="F1120" s="2">
        <v>100950</v>
      </c>
    </row>
    <row r="1121" spans="1:6" x14ac:dyDescent="0.3">
      <c r="A1121" s="6" t="s">
        <v>1479</v>
      </c>
      <c r="B1121" s="2" t="s">
        <v>1187</v>
      </c>
      <c r="C1121" s="2"/>
      <c r="D1121" s="2"/>
      <c r="E1121" s="2">
        <v>0</v>
      </c>
      <c r="F1121" s="2">
        <v>1189162.47</v>
      </c>
    </row>
    <row r="1122" spans="1:6" x14ac:dyDescent="0.3">
      <c r="A1122" s="6" t="s">
        <v>1480</v>
      </c>
      <c r="B1122" s="2" t="s">
        <v>634</v>
      </c>
      <c r="C1122" s="2"/>
      <c r="D1122" s="2"/>
      <c r="E1122" s="2">
        <v>0</v>
      </c>
      <c r="F1122" s="2">
        <v>397742.38</v>
      </c>
    </row>
    <row r="1123" spans="1:6" x14ac:dyDescent="0.3">
      <c r="A1123" s="6" t="s">
        <v>1481</v>
      </c>
      <c r="B1123" s="2" t="s">
        <v>636</v>
      </c>
      <c r="C1123" s="2"/>
      <c r="D1123" s="2"/>
      <c r="E1123" s="2">
        <v>0</v>
      </c>
      <c r="F1123" s="2">
        <v>145.1</v>
      </c>
    </row>
    <row r="1124" spans="1:6" x14ac:dyDescent="0.3">
      <c r="A1124" s="6" t="s">
        <v>1482</v>
      </c>
      <c r="B1124" s="2" t="s">
        <v>636</v>
      </c>
      <c r="C1124" s="2"/>
      <c r="D1124" s="2"/>
      <c r="E1124" s="2">
        <v>0</v>
      </c>
      <c r="F1124" s="2">
        <v>204463.46</v>
      </c>
    </row>
    <row r="1125" spans="1:6" x14ac:dyDescent="0.3">
      <c r="A1125" s="6" t="s">
        <v>1483</v>
      </c>
      <c r="B1125" s="2" t="s">
        <v>292</v>
      </c>
      <c r="C1125" s="2"/>
      <c r="D1125" s="2"/>
      <c r="E1125" s="2">
        <v>0</v>
      </c>
      <c r="F1125" s="2">
        <v>24424.26</v>
      </c>
    </row>
    <row r="1126" spans="1:6" x14ac:dyDescent="0.3">
      <c r="A1126" s="6" t="s">
        <v>1484</v>
      </c>
      <c r="B1126" s="2" t="s">
        <v>636</v>
      </c>
      <c r="C1126" s="2"/>
      <c r="D1126" s="2"/>
      <c r="E1126" s="2">
        <v>0</v>
      </c>
      <c r="F1126" s="2">
        <v>159450.26999999999</v>
      </c>
    </row>
    <row r="1127" spans="1:6" x14ac:dyDescent="0.3">
      <c r="A1127" s="6" t="s">
        <v>1485</v>
      </c>
      <c r="B1127" s="2" t="s">
        <v>636</v>
      </c>
      <c r="C1127" s="2"/>
      <c r="D1127" s="2"/>
      <c r="E1127" s="2">
        <v>0</v>
      </c>
      <c r="F1127" s="2">
        <v>9690.4699999999993</v>
      </c>
    </row>
    <row r="1128" spans="1:6" x14ac:dyDescent="0.3">
      <c r="A1128" s="6" t="s">
        <v>1486</v>
      </c>
      <c r="B1128" s="2" t="s">
        <v>292</v>
      </c>
      <c r="C1128" s="2"/>
      <c r="D1128" s="2"/>
      <c r="E1128" s="2">
        <v>0</v>
      </c>
      <c r="F1128" s="2">
        <v>1332221.26</v>
      </c>
    </row>
    <row r="1129" spans="1:6" x14ac:dyDescent="0.3">
      <c r="A1129" s="6" t="s">
        <v>1487</v>
      </c>
      <c r="B1129" s="2" t="s">
        <v>636</v>
      </c>
      <c r="C1129" s="2"/>
      <c r="D1129" s="2"/>
      <c r="E1129" s="2">
        <v>0</v>
      </c>
      <c r="F1129" s="2">
        <v>2000081.11</v>
      </c>
    </row>
    <row r="1130" spans="1:6" x14ac:dyDescent="0.3">
      <c r="A1130" s="6" t="s">
        <v>1488</v>
      </c>
      <c r="B1130" s="2" t="s">
        <v>636</v>
      </c>
      <c r="C1130" s="2"/>
      <c r="D1130" s="2"/>
      <c r="E1130" s="2">
        <v>0</v>
      </c>
      <c r="F1130" s="2">
        <v>40546.300000000003</v>
      </c>
    </row>
    <row r="1131" spans="1:6" x14ac:dyDescent="0.3">
      <c r="A1131" s="6" t="s">
        <v>1489</v>
      </c>
      <c r="B1131" s="2" t="s">
        <v>636</v>
      </c>
      <c r="C1131" s="2"/>
      <c r="D1131" s="2"/>
      <c r="E1131" s="2">
        <v>0</v>
      </c>
      <c r="F1131" s="2">
        <v>256.44</v>
      </c>
    </row>
    <row r="1132" spans="1:6" x14ac:dyDescent="0.3">
      <c r="A1132" s="6" t="s">
        <v>1490</v>
      </c>
      <c r="B1132" s="2" t="s">
        <v>636</v>
      </c>
      <c r="C1132" s="2"/>
      <c r="D1132" s="2"/>
      <c r="E1132" s="2">
        <v>0</v>
      </c>
      <c r="F1132" s="2">
        <v>3697.93</v>
      </c>
    </row>
    <row r="1133" spans="1:6" x14ac:dyDescent="0.3">
      <c r="A1133" s="6" t="s">
        <v>1491</v>
      </c>
      <c r="B1133" s="2" t="s">
        <v>636</v>
      </c>
      <c r="C1133" s="2"/>
      <c r="D1133" s="2"/>
      <c r="E1133" s="2">
        <v>0</v>
      </c>
      <c r="F1133" s="2">
        <v>4090.59</v>
      </c>
    </row>
    <row r="1134" spans="1:6" x14ac:dyDescent="0.3">
      <c r="A1134" s="6" t="s">
        <v>1492</v>
      </c>
      <c r="B1134" s="2" t="s">
        <v>636</v>
      </c>
      <c r="C1134" s="2"/>
      <c r="D1134" s="2"/>
      <c r="E1134" s="2">
        <v>0</v>
      </c>
      <c r="F1134" s="2">
        <v>508.79</v>
      </c>
    </row>
    <row r="1135" spans="1:6" x14ac:dyDescent="0.3">
      <c r="A1135" s="6" t="s">
        <v>1493</v>
      </c>
      <c r="B1135" s="2" t="s">
        <v>636</v>
      </c>
      <c r="C1135" s="2"/>
      <c r="D1135" s="2"/>
      <c r="E1135" s="2">
        <v>0</v>
      </c>
      <c r="F1135" s="2">
        <v>176910.01</v>
      </c>
    </row>
    <row r="1136" spans="1:6" x14ac:dyDescent="0.3">
      <c r="A1136" s="6" t="s">
        <v>1494</v>
      </c>
      <c r="B1136" s="2" t="s">
        <v>636</v>
      </c>
      <c r="C1136" s="2"/>
      <c r="D1136" s="2"/>
      <c r="E1136" s="2">
        <v>0</v>
      </c>
      <c r="F1136" s="2">
        <v>52091.7</v>
      </c>
    </row>
    <row r="1137" spans="1:6" x14ac:dyDescent="0.3">
      <c r="A1137" s="6" t="s">
        <v>1495</v>
      </c>
      <c r="B1137" s="2" t="s">
        <v>636</v>
      </c>
      <c r="C1137" s="2"/>
      <c r="D1137" s="2"/>
      <c r="E1137" s="2">
        <v>0</v>
      </c>
      <c r="F1137" s="2">
        <v>1831.78</v>
      </c>
    </row>
    <row r="1138" spans="1:6" x14ac:dyDescent="0.3">
      <c r="A1138" s="6" t="s">
        <v>1496</v>
      </c>
      <c r="B1138" s="2" t="s">
        <v>636</v>
      </c>
      <c r="C1138" s="2"/>
      <c r="D1138" s="2"/>
      <c r="E1138" s="2">
        <v>0</v>
      </c>
      <c r="F1138" s="2">
        <v>3747.11</v>
      </c>
    </row>
    <row r="1139" spans="1:6" x14ac:dyDescent="0.3">
      <c r="A1139" s="6" t="s">
        <v>1497</v>
      </c>
      <c r="B1139" s="2" t="s">
        <v>292</v>
      </c>
      <c r="C1139" s="2"/>
      <c r="D1139" s="2"/>
      <c r="E1139" s="2">
        <v>0</v>
      </c>
      <c r="F1139" s="2">
        <v>2140</v>
      </c>
    </row>
    <row r="1140" spans="1:6" x14ac:dyDescent="0.3">
      <c r="A1140" s="6" t="s">
        <v>1498</v>
      </c>
      <c r="B1140" s="2" t="s">
        <v>636</v>
      </c>
      <c r="C1140" s="2"/>
      <c r="D1140" s="2"/>
      <c r="E1140" s="2">
        <v>0</v>
      </c>
      <c r="F1140" s="2">
        <v>241229.49</v>
      </c>
    </row>
    <row r="1141" spans="1:6" x14ac:dyDescent="0.3">
      <c r="A1141" s="6" t="s">
        <v>1499</v>
      </c>
      <c r="B1141" s="2" t="s">
        <v>636</v>
      </c>
      <c r="C1141" s="2"/>
      <c r="D1141" s="2"/>
      <c r="E1141" s="2">
        <v>0</v>
      </c>
      <c r="F1141" s="2">
        <v>17831.77</v>
      </c>
    </row>
    <row r="1142" spans="1:6" x14ac:dyDescent="0.3">
      <c r="A1142" s="6" t="s">
        <v>1500</v>
      </c>
      <c r="B1142" s="2" t="s">
        <v>636</v>
      </c>
      <c r="C1142" s="2"/>
      <c r="D1142" s="2"/>
      <c r="E1142" s="2">
        <v>0</v>
      </c>
      <c r="F1142" s="2">
        <v>15007.28</v>
      </c>
    </row>
    <row r="1143" spans="1:6" x14ac:dyDescent="0.3">
      <c r="A1143" s="6" t="s">
        <v>1501</v>
      </c>
      <c r="B1143" s="2" t="s">
        <v>292</v>
      </c>
      <c r="C1143" s="2"/>
      <c r="D1143" s="2"/>
      <c r="E1143" s="2">
        <v>0</v>
      </c>
      <c r="F1143" s="2">
        <v>1249805.8899999999</v>
      </c>
    </row>
    <row r="1144" spans="1:6" x14ac:dyDescent="0.3">
      <c r="A1144" s="6" t="s">
        <v>1502</v>
      </c>
      <c r="B1144" s="2" t="s">
        <v>636</v>
      </c>
      <c r="C1144" s="2"/>
      <c r="D1144" s="2"/>
      <c r="E1144" s="2">
        <v>0</v>
      </c>
      <c r="F1144" s="2">
        <v>2555194.4</v>
      </c>
    </row>
    <row r="1145" spans="1:6" x14ac:dyDescent="0.3">
      <c r="A1145" s="6" t="s">
        <v>1503</v>
      </c>
      <c r="B1145" s="2" t="s">
        <v>636</v>
      </c>
      <c r="C1145" s="2"/>
      <c r="D1145" s="2"/>
      <c r="E1145" s="2">
        <v>0</v>
      </c>
      <c r="F1145" s="2">
        <v>57209.31</v>
      </c>
    </row>
    <row r="1146" spans="1:6" x14ac:dyDescent="0.3">
      <c r="A1146" s="6" t="s">
        <v>1504</v>
      </c>
      <c r="B1146" s="2" t="s">
        <v>636</v>
      </c>
      <c r="C1146" s="2"/>
      <c r="D1146" s="2"/>
      <c r="E1146" s="2">
        <v>0</v>
      </c>
      <c r="F1146" s="2">
        <v>83426.53</v>
      </c>
    </row>
    <row r="1147" spans="1:6" x14ac:dyDescent="0.3">
      <c r="A1147" s="6" t="s">
        <v>1505</v>
      </c>
      <c r="B1147" s="2" t="s">
        <v>636</v>
      </c>
      <c r="C1147" s="2"/>
      <c r="D1147" s="2"/>
      <c r="E1147" s="2">
        <v>0</v>
      </c>
      <c r="F1147" s="2">
        <v>13175.77</v>
      </c>
    </row>
    <row r="1148" spans="1:6" x14ac:dyDescent="0.3">
      <c r="A1148" s="6" t="s">
        <v>1506</v>
      </c>
      <c r="B1148" s="2" t="s">
        <v>636</v>
      </c>
      <c r="C1148" s="2"/>
      <c r="D1148" s="2"/>
      <c r="E1148" s="2">
        <v>0</v>
      </c>
      <c r="F1148" s="2">
        <v>29453.91</v>
      </c>
    </row>
    <row r="1149" spans="1:6" x14ac:dyDescent="0.3">
      <c r="A1149" s="6" t="s">
        <v>1507</v>
      </c>
      <c r="B1149" s="2" t="s">
        <v>636</v>
      </c>
      <c r="C1149" s="2"/>
      <c r="D1149" s="2"/>
      <c r="E1149" s="2">
        <v>0</v>
      </c>
      <c r="F1149" s="2">
        <v>112907.56</v>
      </c>
    </row>
    <row r="1150" spans="1:6" x14ac:dyDescent="0.3">
      <c r="A1150" s="6" t="s">
        <v>1508</v>
      </c>
      <c r="B1150" s="2" t="s">
        <v>636</v>
      </c>
      <c r="C1150" s="2"/>
      <c r="D1150" s="2"/>
      <c r="E1150" s="2">
        <v>0</v>
      </c>
      <c r="F1150" s="2">
        <v>350287.25</v>
      </c>
    </row>
    <row r="1151" spans="1:6" x14ac:dyDescent="0.3">
      <c r="A1151" s="6" t="s">
        <v>1509</v>
      </c>
      <c r="B1151" s="2" t="s">
        <v>636</v>
      </c>
      <c r="C1151" s="2"/>
      <c r="D1151" s="2"/>
      <c r="E1151" s="2">
        <v>0</v>
      </c>
      <c r="F1151" s="2">
        <v>1926411.07</v>
      </c>
    </row>
    <row r="1152" spans="1:6" x14ac:dyDescent="0.3">
      <c r="A1152" s="6" t="s">
        <v>1510</v>
      </c>
      <c r="B1152" s="2" t="s">
        <v>636</v>
      </c>
      <c r="C1152" s="2"/>
      <c r="D1152" s="2"/>
      <c r="E1152" s="2">
        <v>0</v>
      </c>
      <c r="F1152" s="2">
        <v>2.5</v>
      </c>
    </row>
    <row r="1153" spans="1:6" x14ac:dyDescent="0.3">
      <c r="A1153" s="6" t="s">
        <v>1511</v>
      </c>
      <c r="B1153" s="2" t="s">
        <v>636</v>
      </c>
      <c r="C1153" s="2"/>
      <c r="D1153" s="2"/>
      <c r="E1153" s="2">
        <v>0</v>
      </c>
      <c r="F1153" s="2">
        <v>26874.93</v>
      </c>
    </row>
    <row r="1154" spans="1:6" x14ac:dyDescent="0.3">
      <c r="A1154" s="6" t="s">
        <v>1512</v>
      </c>
      <c r="B1154" s="2" t="s">
        <v>636</v>
      </c>
      <c r="C1154" s="2"/>
      <c r="D1154" s="2"/>
      <c r="E1154" s="2">
        <v>0</v>
      </c>
      <c r="F1154" s="2">
        <v>5103.26</v>
      </c>
    </row>
    <row r="1155" spans="1:6" x14ac:dyDescent="0.3">
      <c r="A1155" s="6" t="s">
        <v>1513</v>
      </c>
      <c r="B1155" s="2" t="s">
        <v>292</v>
      </c>
      <c r="C1155" s="2"/>
      <c r="D1155" s="2"/>
      <c r="E1155" s="2">
        <v>0</v>
      </c>
      <c r="F1155" s="2">
        <v>515.07000000000005</v>
      </c>
    </row>
    <row r="1156" spans="1:6" x14ac:dyDescent="0.3">
      <c r="A1156" s="6" t="s">
        <v>1514</v>
      </c>
      <c r="B1156" s="2" t="s">
        <v>636</v>
      </c>
      <c r="C1156" s="2"/>
      <c r="D1156" s="2"/>
      <c r="E1156" s="2">
        <v>0</v>
      </c>
      <c r="F1156" s="2">
        <v>367293.82</v>
      </c>
    </row>
    <row r="1157" spans="1:6" x14ac:dyDescent="0.3">
      <c r="A1157" s="6" t="s">
        <v>1515</v>
      </c>
      <c r="B1157" s="2" t="s">
        <v>636</v>
      </c>
      <c r="C1157" s="2"/>
      <c r="D1157" s="2"/>
      <c r="E1157" s="2">
        <v>0</v>
      </c>
      <c r="F1157" s="2">
        <v>715775.59</v>
      </c>
    </row>
    <row r="1158" spans="1:6" x14ac:dyDescent="0.3">
      <c r="A1158" s="6" t="s">
        <v>1516</v>
      </c>
      <c r="B1158" s="2" t="s">
        <v>636</v>
      </c>
      <c r="C1158" s="2"/>
      <c r="D1158" s="2"/>
      <c r="E1158" s="2">
        <v>0</v>
      </c>
      <c r="F1158" s="2">
        <v>7.11</v>
      </c>
    </row>
    <row r="1159" spans="1:6" x14ac:dyDescent="0.3">
      <c r="A1159" s="6" t="s">
        <v>1517</v>
      </c>
      <c r="B1159" s="2" t="s">
        <v>636</v>
      </c>
      <c r="C1159" s="2"/>
      <c r="D1159" s="2"/>
      <c r="E1159" s="2">
        <v>0</v>
      </c>
      <c r="F1159" s="2">
        <v>208182.72</v>
      </c>
    </row>
    <row r="1160" spans="1:6" x14ac:dyDescent="0.3">
      <c r="A1160" s="6" t="s">
        <v>1518</v>
      </c>
      <c r="B1160" s="2" t="s">
        <v>983</v>
      </c>
      <c r="C1160" s="2"/>
      <c r="D1160" s="2"/>
      <c r="E1160" s="2">
        <v>0</v>
      </c>
      <c r="F1160" s="2">
        <v>2340086.0699999998</v>
      </c>
    </row>
    <row r="1161" spans="1:6" x14ac:dyDescent="0.3">
      <c r="A1161" s="6" t="s">
        <v>1519</v>
      </c>
      <c r="B1161" s="2" t="s">
        <v>1520</v>
      </c>
      <c r="C1161" s="2"/>
      <c r="D1161" s="2"/>
      <c r="E1161" s="2">
        <v>0</v>
      </c>
      <c r="F1161" s="2">
        <v>79500</v>
      </c>
    </row>
    <row r="1162" spans="1:6" x14ac:dyDescent="0.3">
      <c r="A1162" s="6" t="s">
        <v>1521</v>
      </c>
      <c r="B1162" s="2" t="s">
        <v>983</v>
      </c>
      <c r="C1162" s="2"/>
      <c r="D1162" s="2"/>
      <c r="E1162" s="2">
        <v>0</v>
      </c>
      <c r="F1162" s="2">
        <v>4157320.9</v>
      </c>
    </row>
    <row r="1163" spans="1:6" x14ac:dyDescent="0.3">
      <c r="A1163" s="6" t="s">
        <v>1522</v>
      </c>
      <c r="B1163" s="2" t="s">
        <v>983</v>
      </c>
      <c r="C1163" s="2"/>
      <c r="D1163" s="2"/>
      <c r="E1163" s="2">
        <v>0</v>
      </c>
      <c r="F1163" s="2">
        <v>465273.89</v>
      </c>
    </row>
    <row r="1164" spans="1:6" x14ac:dyDescent="0.3">
      <c r="A1164" s="6" t="s">
        <v>1523</v>
      </c>
      <c r="B1164" s="2" t="s">
        <v>1524</v>
      </c>
      <c r="C1164" s="2"/>
      <c r="D1164" s="2"/>
      <c r="E1164" s="2">
        <v>0</v>
      </c>
      <c r="F1164" s="2">
        <v>1391779674</v>
      </c>
    </row>
    <row r="1165" spans="1:6" x14ac:dyDescent="0.3">
      <c r="A1165" s="6" t="s">
        <v>1525</v>
      </c>
      <c r="B1165" s="2" t="s">
        <v>1526</v>
      </c>
      <c r="C1165" s="2"/>
      <c r="D1165" s="2"/>
      <c r="E1165" s="2">
        <v>0</v>
      </c>
      <c r="F1165" s="2">
        <v>193389953.68000001</v>
      </c>
    </row>
    <row r="1166" spans="1:6" x14ac:dyDescent="0.3">
      <c r="A1166" s="6" t="s">
        <v>1527</v>
      </c>
      <c r="B1166" s="2" t="s">
        <v>1528</v>
      </c>
      <c r="C1166" s="2"/>
      <c r="D1166" s="2"/>
      <c r="E1166" s="2">
        <v>0</v>
      </c>
      <c r="F1166" s="2">
        <v>1200000000</v>
      </c>
    </row>
    <row r="1167" spans="1:6" x14ac:dyDescent="0.3">
      <c r="A1167" s="6" t="s">
        <v>1529</v>
      </c>
      <c r="B1167" s="2" t="s">
        <v>1530</v>
      </c>
      <c r="C1167" s="2"/>
      <c r="D1167" s="2"/>
      <c r="E1167" s="2">
        <v>715894518.85000002</v>
      </c>
      <c r="F1167" s="2">
        <v>0</v>
      </c>
    </row>
    <row r="1168" spans="1:6" x14ac:dyDescent="0.3">
      <c r="A1168" s="6" t="s">
        <v>1531</v>
      </c>
      <c r="B1168" s="2" t="s">
        <v>1532</v>
      </c>
      <c r="C1168" s="2"/>
      <c r="D1168" s="2"/>
      <c r="E1168" s="2">
        <v>0</v>
      </c>
      <c r="F1168" s="2">
        <v>59829849.460000001</v>
      </c>
    </row>
    <row r="1169" spans="1:6" x14ac:dyDescent="0.3">
      <c r="A1169" s="6" t="s">
        <v>1533</v>
      </c>
      <c r="B1169" s="2" t="s">
        <v>1534</v>
      </c>
      <c r="C1169" s="2"/>
      <c r="D1169" s="2"/>
      <c r="E1169" s="2">
        <v>0</v>
      </c>
      <c r="F1169" s="2">
        <v>23583279.379999999</v>
      </c>
    </row>
    <row r="1170" spans="1:6" x14ac:dyDescent="0.3">
      <c r="A1170" s="6" t="s">
        <v>1535</v>
      </c>
      <c r="B1170" s="2" t="s">
        <v>1536</v>
      </c>
      <c r="C1170" s="2"/>
      <c r="D1170" s="2"/>
      <c r="E1170" s="2">
        <v>0</v>
      </c>
      <c r="F1170" s="2">
        <v>7793290.1399999997</v>
      </c>
    </row>
    <row r="1171" spans="1:6" x14ac:dyDescent="0.3">
      <c r="A1171" s="6" t="s">
        <v>1537</v>
      </c>
      <c r="B1171" s="2" t="s">
        <v>1538</v>
      </c>
      <c r="C1171" s="2"/>
      <c r="D1171" s="2"/>
      <c r="E1171" s="2">
        <v>0</v>
      </c>
      <c r="F1171" s="2">
        <v>206690029.38999999</v>
      </c>
    </row>
    <row r="1172" spans="1:6" x14ac:dyDescent="0.3">
      <c r="A1172" s="6" t="s">
        <v>1539</v>
      </c>
      <c r="B1172" s="2" t="s">
        <v>1530</v>
      </c>
      <c r="C1172" s="2"/>
      <c r="D1172" s="2"/>
      <c r="E1172" s="2">
        <v>0</v>
      </c>
      <c r="F1172" s="2">
        <v>203746517.93000001</v>
      </c>
    </row>
    <row r="1173" spans="1:6" x14ac:dyDescent="0.3">
      <c r="A1173" s="6" t="s">
        <v>1540</v>
      </c>
      <c r="B1173" s="2" t="s">
        <v>1532</v>
      </c>
      <c r="C1173" s="2"/>
      <c r="D1173" s="2"/>
      <c r="E1173" s="2">
        <v>192791.87</v>
      </c>
      <c r="F1173" s="2">
        <v>0</v>
      </c>
    </row>
    <row r="1174" spans="1:6" x14ac:dyDescent="0.3">
      <c r="A1174" s="6" t="s">
        <v>1541</v>
      </c>
      <c r="B1174" s="2" t="s">
        <v>1534</v>
      </c>
      <c r="C1174" s="2"/>
      <c r="D1174" s="2"/>
      <c r="E1174" s="2">
        <v>7074983.8200000003</v>
      </c>
      <c r="F1174" s="2">
        <v>0</v>
      </c>
    </row>
    <row r="1175" spans="1:6" x14ac:dyDescent="0.3">
      <c r="A1175" s="6" t="s">
        <v>1542</v>
      </c>
      <c r="B1175" s="2" t="s">
        <v>1543</v>
      </c>
      <c r="C1175" s="2"/>
      <c r="D1175" s="2"/>
      <c r="E1175" s="2">
        <v>2074639.64</v>
      </c>
      <c r="F1175" s="2">
        <v>0</v>
      </c>
    </row>
    <row r="1176" spans="1:6" x14ac:dyDescent="0.3">
      <c r="A1176" s="6" t="s">
        <v>1544</v>
      </c>
      <c r="B1176" s="2" t="s">
        <v>1545</v>
      </c>
      <c r="C1176" s="2"/>
      <c r="D1176" s="2"/>
      <c r="E1176" s="2">
        <v>62007008.729999997</v>
      </c>
      <c r="F1176" s="2">
        <v>0</v>
      </c>
    </row>
    <row r="1177" spans="1:6" x14ac:dyDescent="0.3">
      <c r="A1177" s="6" t="s">
        <v>1546</v>
      </c>
      <c r="B1177" s="2" t="s">
        <v>1547</v>
      </c>
      <c r="C1177" s="2"/>
      <c r="D1177" s="2"/>
      <c r="E1177" s="2">
        <v>0</v>
      </c>
      <c r="F1177" s="2">
        <v>486195454.30000001</v>
      </c>
    </row>
    <row r="1178" spans="1:6" x14ac:dyDescent="0.3">
      <c r="A1178" s="6" t="s">
        <v>1548</v>
      </c>
      <c r="B1178" s="2" t="s">
        <v>1549</v>
      </c>
      <c r="C1178" s="2"/>
      <c r="D1178" s="2"/>
      <c r="E1178" s="2">
        <v>0</v>
      </c>
      <c r="F1178" s="2">
        <v>823706782.16999996</v>
      </c>
    </row>
    <row r="1179" spans="1:6" x14ac:dyDescent="0.3">
      <c r="A1179" s="6" t="s">
        <v>1550</v>
      </c>
      <c r="B1179" s="2" t="s">
        <v>1551</v>
      </c>
      <c r="C1179" s="2"/>
      <c r="D1179" s="2"/>
      <c r="E1179" s="2">
        <v>0</v>
      </c>
      <c r="F1179" s="2">
        <v>21763105.829999998</v>
      </c>
    </row>
    <row r="1180" spans="1:6" x14ac:dyDescent="0.3">
      <c r="A1180" s="6" t="s">
        <v>1552</v>
      </c>
      <c r="B1180" s="2" t="s">
        <v>1553</v>
      </c>
      <c r="C1180" s="2"/>
      <c r="D1180" s="2"/>
      <c r="E1180" s="2">
        <v>0</v>
      </c>
      <c r="F1180" s="2">
        <v>1482086.13</v>
      </c>
    </row>
    <row r="1181" spans="1:6" x14ac:dyDescent="0.3">
      <c r="A1181" s="6" t="s">
        <v>1554</v>
      </c>
      <c r="B1181" s="2" t="s">
        <v>1555</v>
      </c>
      <c r="C1181" s="2"/>
      <c r="D1181" s="2"/>
      <c r="E1181" s="2">
        <v>0</v>
      </c>
      <c r="F1181" s="2">
        <v>322889437.63</v>
      </c>
    </row>
    <row r="1182" spans="1:6" x14ac:dyDescent="0.3">
      <c r="A1182" s="6" t="s">
        <v>1556</v>
      </c>
      <c r="B1182" s="2" t="s">
        <v>1557</v>
      </c>
      <c r="C1182" s="2"/>
      <c r="D1182" s="2"/>
      <c r="E1182" s="2">
        <v>428266324.10000002</v>
      </c>
      <c r="F1182" s="2">
        <v>0</v>
      </c>
    </row>
    <row r="1183" spans="1:6" x14ac:dyDescent="0.3">
      <c r="A1183" s="6" t="s">
        <v>1558</v>
      </c>
      <c r="B1183" s="2" t="s">
        <v>1559</v>
      </c>
      <c r="C1183" s="2"/>
      <c r="D1183" s="2"/>
      <c r="E1183" s="2">
        <v>1293819.3600000001</v>
      </c>
      <c r="F1183" s="2">
        <v>0</v>
      </c>
    </row>
    <row r="1184" spans="1:6" x14ac:dyDescent="0.3">
      <c r="A1184" s="6" t="s">
        <v>1560</v>
      </c>
      <c r="B1184" s="2" t="s">
        <v>1561</v>
      </c>
      <c r="C1184" s="2"/>
      <c r="D1184" s="2"/>
      <c r="E1184" s="2">
        <v>0</v>
      </c>
      <c r="F1184" s="2">
        <v>12734121.449999999</v>
      </c>
    </row>
    <row r="1185" spans="1:6" x14ac:dyDescent="0.3">
      <c r="A1185" s="6" t="s">
        <v>1562</v>
      </c>
      <c r="B1185" s="2" t="s">
        <v>1563</v>
      </c>
      <c r="C1185" s="2"/>
      <c r="D1185" s="2"/>
      <c r="E1185" s="2">
        <v>2155651.0099999998</v>
      </c>
      <c r="F1185" s="2">
        <v>0</v>
      </c>
    </row>
    <row r="1186" spans="1:6" x14ac:dyDescent="0.3">
      <c r="A1186" s="6" t="s">
        <v>1564</v>
      </c>
      <c r="B1186" s="2" t="s">
        <v>1565</v>
      </c>
      <c r="C1186" s="2"/>
      <c r="D1186" s="2"/>
      <c r="E1186" s="2">
        <v>61914840</v>
      </c>
      <c r="F1186" s="2">
        <v>0</v>
      </c>
    </row>
    <row r="1187" spans="1:6" x14ac:dyDescent="0.3">
      <c r="A1187" s="6" t="s">
        <v>1566</v>
      </c>
      <c r="B1187" s="2" t="s">
        <v>1567</v>
      </c>
      <c r="C1187" s="2"/>
      <c r="D1187" s="2"/>
      <c r="E1187" s="2">
        <v>47747981.609999999</v>
      </c>
      <c r="F1187" s="2">
        <v>0</v>
      </c>
    </row>
    <row r="1188" spans="1:6" x14ac:dyDescent="0.3">
      <c r="A1188" s="6" t="s">
        <v>1568</v>
      </c>
      <c r="B1188" s="2" t="s">
        <v>1524</v>
      </c>
      <c r="C1188" s="2"/>
      <c r="D1188" s="2"/>
      <c r="E1188" s="2">
        <v>19146966.41</v>
      </c>
      <c r="F1188" s="2">
        <v>0</v>
      </c>
    </row>
    <row r="1189" spans="1:6" x14ac:dyDescent="0.3">
      <c r="A1189" s="6" t="s">
        <v>1569</v>
      </c>
      <c r="B1189" s="2" t="s">
        <v>1570</v>
      </c>
      <c r="C1189" s="2"/>
      <c r="D1189" s="2"/>
      <c r="E1189" s="2">
        <v>278727179.23000002</v>
      </c>
      <c r="F1189" s="2">
        <v>0</v>
      </c>
    </row>
    <row r="1190" spans="1:6" x14ac:dyDescent="0.3">
      <c r="A1190" s="6" t="s">
        <v>1571</v>
      </c>
      <c r="B1190" s="2" t="s">
        <v>1572</v>
      </c>
      <c r="C1190" s="2"/>
      <c r="D1190" s="2"/>
      <c r="E1190" s="2">
        <v>342813700</v>
      </c>
      <c r="F1190" s="2">
        <v>0</v>
      </c>
    </row>
    <row r="1191" spans="1:6" x14ac:dyDescent="0.3">
      <c r="A1191" s="6" t="s">
        <v>1573</v>
      </c>
      <c r="B1191" s="2" t="s">
        <v>1574</v>
      </c>
      <c r="C1191" s="2"/>
      <c r="D1191" s="2"/>
      <c r="E1191" s="2">
        <v>7838379.9100000001</v>
      </c>
      <c r="F1191" s="2">
        <v>0</v>
      </c>
    </row>
    <row r="1192" spans="1:6" x14ac:dyDescent="0.3">
      <c r="A1192" s="6" t="s">
        <v>1575</v>
      </c>
      <c r="B1192" s="2" t="s">
        <v>422</v>
      </c>
      <c r="C1192" s="2"/>
      <c r="D1192" s="2"/>
      <c r="E1192" s="2">
        <v>22727574.789999999</v>
      </c>
      <c r="F1192" s="2">
        <v>0</v>
      </c>
    </row>
    <row r="1193" spans="1:6" x14ac:dyDescent="0.3">
      <c r="A1193" s="6" t="s">
        <v>1576</v>
      </c>
      <c r="B1193" s="2" t="s">
        <v>636</v>
      </c>
      <c r="C1193" s="2"/>
      <c r="D1193" s="2"/>
      <c r="E1193" s="2">
        <v>67208035.739999995</v>
      </c>
      <c r="F1193" s="2">
        <v>0</v>
      </c>
    </row>
    <row r="1194" spans="1:6" x14ac:dyDescent="0.3">
      <c r="A1194" s="6" t="s">
        <v>1577</v>
      </c>
      <c r="B1194" s="2" t="s">
        <v>636</v>
      </c>
      <c r="C1194" s="2"/>
      <c r="D1194" s="2"/>
      <c r="E1194" s="2">
        <v>1447969.77</v>
      </c>
      <c r="F1194" s="2">
        <v>0</v>
      </c>
    </row>
    <row r="1195" spans="1:6" x14ac:dyDescent="0.3">
      <c r="A1195" s="6" t="s">
        <v>1578</v>
      </c>
      <c r="B1195" s="2" t="s">
        <v>636</v>
      </c>
      <c r="C1195" s="2"/>
      <c r="D1195" s="2"/>
      <c r="E1195" s="2">
        <v>32826460.469999999</v>
      </c>
      <c r="F1195" s="2">
        <v>0</v>
      </c>
    </row>
    <row r="1196" spans="1:6" x14ac:dyDescent="0.3">
      <c r="A1196" s="6" t="s">
        <v>1579</v>
      </c>
      <c r="B1196" s="2" t="s">
        <v>636</v>
      </c>
      <c r="C1196" s="2"/>
      <c r="D1196" s="2"/>
      <c r="E1196" s="2">
        <v>414948079.45999998</v>
      </c>
      <c r="F1196" s="2">
        <v>0</v>
      </c>
    </row>
    <row r="1197" spans="1:6" x14ac:dyDescent="0.3">
      <c r="A1197" s="6" t="s">
        <v>1580</v>
      </c>
      <c r="B1197" s="2" t="s">
        <v>636</v>
      </c>
      <c r="C1197" s="2"/>
      <c r="D1197" s="2"/>
      <c r="E1197" s="2">
        <v>35188011.82</v>
      </c>
      <c r="F1197" s="2">
        <v>0</v>
      </c>
    </row>
    <row r="1198" spans="1:6" x14ac:dyDescent="0.3">
      <c r="A1198" s="6" t="s">
        <v>1581</v>
      </c>
      <c r="B1198" s="2" t="s">
        <v>636</v>
      </c>
      <c r="C1198" s="2"/>
      <c r="D1198" s="2"/>
      <c r="E1198" s="2">
        <v>15500</v>
      </c>
      <c r="F1198" s="2">
        <v>0</v>
      </c>
    </row>
    <row r="1199" spans="1:6" x14ac:dyDescent="0.3">
      <c r="A1199" s="6" t="s">
        <v>1582</v>
      </c>
      <c r="B1199" s="2" t="s">
        <v>636</v>
      </c>
      <c r="C1199" s="2"/>
      <c r="D1199" s="2"/>
      <c r="E1199" s="2">
        <v>5406.71</v>
      </c>
      <c r="F1199" s="2">
        <v>0</v>
      </c>
    </row>
    <row r="1200" spans="1:6" x14ac:dyDescent="0.3">
      <c r="A1200" s="6" t="s">
        <v>1583</v>
      </c>
      <c r="B1200" s="2" t="s">
        <v>292</v>
      </c>
      <c r="C1200" s="2"/>
      <c r="D1200" s="2"/>
      <c r="E1200" s="2">
        <v>367336.49</v>
      </c>
      <c r="F1200" s="2">
        <v>0</v>
      </c>
    </row>
    <row r="1201" spans="1:6" x14ac:dyDescent="0.3">
      <c r="A1201" s="6" t="s">
        <v>1584</v>
      </c>
      <c r="B1201" s="2" t="s">
        <v>636</v>
      </c>
      <c r="C1201" s="2"/>
      <c r="D1201" s="2"/>
      <c r="E1201" s="2">
        <v>20863383.989999998</v>
      </c>
      <c r="F1201" s="2">
        <v>0</v>
      </c>
    </row>
    <row r="1202" spans="1:6" x14ac:dyDescent="0.3">
      <c r="A1202" s="6" t="s">
        <v>1585</v>
      </c>
      <c r="B1202" s="2" t="s">
        <v>636</v>
      </c>
      <c r="C1202" s="2"/>
      <c r="D1202" s="2"/>
      <c r="E1202" s="2">
        <v>335267.51</v>
      </c>
      <c r="F1202" s="2">
        <v>0</v>
      </c>
    </row>
    <row r="1203" spans="1:6" x14ac:dyDescent="0.3">
      <c r="A1203" s="6" t="s">
        <v>1586</v>
      </c>
      <c r="B1203" s="2" t="s">
        <v>292</v>
      </c>
      <c r="C1203" s="2"/>
      <c r="D1203" s="2"/>
      <c r="E1203" s="2">
        <v>1377346.94</v>
      </c>
      <c r="F1203" s="2">
        <v>0</v>
      </c>
    </row>
    <row r="1204" spans="1:6" x14ac:dyDescent="0.3">
      <c r="A1204" s="6" t="s">
        <v>1587</v>
      </c>
      <c r="B1204" s="2" t="s">
        <v>636</v>
      </c>
      <c r="C1204" s="2"/>
      <c r="D1204" s="2"/>
      <c r="E1204" s="2">
        <v>16030146.85</v>
      </c>
      <c r="F1204" s="2">
        <v>0</v>
      </c>
    </row>
    <row r="1205" spans="1:6" x14ac:dyDescent="0.3">
      <c r="A1205" s="6" t="s">
        <v>1588</v>
      </c>
      <c r="B1205" s="2" t="s">
        <v>636</v>
      </c>
      <c r="C1205" s="2"/>
      <c r="D1205" s="2"/>
      <c r="E1205" s="2">
        <v>132979.6</v>
      </c>
      <c r="F1205" s="2">
        <v>0</v>
      </c>
    </row>
    <row r="1206" spans="1:6" x14ac:dyDescent="0.3">
      <c r="A1206" s="6" t="s">
        <v>1589</v>
      </c>
      <c r="B1206" s="2" t="s">
        <v>636</v>
      </c>
      <c r="C1206" s="2"/>
      <c r="D1206" s="2"/>
      <c r="E1206" s="2">
        <v>333561304.61000001</v>
      </c>
      <c r="F1206" s="2">
        <v>0</v>
      </c>
    </row>
    <row r="1207" spans="1:6" x14ac:dyDescent="0.3">
      <c r="A1207" s="6" t="s">
        <v>1590</v>
      </c>
      <c r="B1207" s="2" t="s">
        <v>636</v>
      </c>
      <c r="C1207" s="2"/>
      <c r="D1207" s="2"/>
      <c r="E1207" s="2">
        <v>25938.09</v>
      </c>
      <c r="F1207" s="2">
        <v>0</v>
      </c>
    </row>
    <row r="1208" spans="1:6" x14ac:dyDescent="0.3">
      <c r="A1208" s="6" t="s">
        <v>1591</v>
      </c>
      <c r="B1208" s="2" t="s">
        <v>636</v>
      </c>
      <c r="C1208" s="2"/>
      <c r="D1208" s="2"/>
      <c r="E1208" s="2">
        <v>8995974.0500000007</v>
      </c>
      <c r="F1208" s="2">
        <v>0</v>
      </c>
    </row>
    <row r="1209" spans="1:6" x14ac:dyDescent="0.3">
      <c r="A1209" s="6" t="s">
        <v>1592</v>
      </c>
      <c r="B1209" s="2" t="s">
        <v>636</v>
      </c>
      <c r="C1209" s="2"/>
      <c r="D1209" s="2"/>
      <c r="E1209" s="2">
        <v>87643450.159999996</v>
      </c>
      <c r="F1209" s="2">
        <v>0</v>
      </c>
    </row>
    <row r="1210" spans="1:6" x14ac:dyDescent="0.3">
      <c r="A1210" s="6" t="s">
        <v>1593</v>
      </c>
      <c r="B1210" s="2" t="s">
        <v>636</v>
      </c>
      <c r="C1210" s="2"/>
      <c r="D1210" s="2"/>
      <c r="E1210" s="2">
        <v>1181322314.5699999</v>
      </c>
      <c r="F1210" s="2">
        <v>0</v>
      </c>
    </row>
    <row r="1211" spans="1:6" x14ac:dyDescent="0.3">
      <c r="A1211" s="6" t="s">
        <v>1594</v>
      </c>
      <c r="B1211" s="2" t="s">
        <v>636</v>
      </c>
      <c r="C1211" s="2"/>
      <c r="D1211" s="2"/>
      <c r="E1211" s="2">
        <v>85418236.629999995</v>
      </c>
      <c r="F1211" s="2">
        <v>0</v>
      </c>
    </row>
    <row r="1212" spans="1:6" x14ac:dyDescent="0.3">
      <c r="A1212" s="6" t="s">
        <v>1595</v>
      </c>
      <c r="B1212" s="2" t="s">
        <v>636</v>
      </c>
      <c r="C1212" s="2"/>
      <c r="D1212" s="2"/>
      <c r="E1212" s="2">
        <v>8082153.1799999997</v>
      </c>
      <c r="F1212" s="2">
        <v>0</v>
      </c>
    </row>
    <row r="1213" spans="1:6" x14ac:dyDescent="0.3">
      <c r="A1213" s="6" t="s">
        <v>1596</v>
      </c>
      <c r="B1213" s="2" t="s">
        <v>636</v>
      </c>
      <c r="C1213" s="2"/>
      <c r="D1213" s="2"/>
      <c r="E1213" s="2">
        <v>464052.87</v>
      </c>
      <c r="F1213" s="2">
        <v>0</v>
      </c>
    </row>
    <row r="1214" spans="1:6" x14ac:dyDescent="0.3">
      <c r="A1214" s="6" t="s">
        <v>1597</v>
      </c>
      <c r="B1214" s="2" t="s">
        <v>636</v>
      </c>
      <c r="C1214" s="2"/>
      <c r="D1214" s="2"/>
      <c r="E1214" s="2">
        <v>744237.42</v>
      </c>
      <c r="F1214" s="2">
        <v>0</v>
      </c>
    </row>
    <row r="1215" spans="1:6" x14ac:dyDescent="0.3">
      <c r="A1215" s="6" t="s">
        <v>1598</v>
      </c>
      <c r="B1215" s="2" t="s">
        <v>636</v>
      </c>
      <c r="C1215" s="2"/>
      <c r="D1215" s="2"/>
      <c r="E1215" s="2">
        <v>434315.61</v>
      </c>
      <c r="F1215" s="2">
        <v>0</v>
      </c>
    </row>
    <row r="1216" spans="1:6" x14ac:dyDescent="0.3">
      <c r="A1216" s="6" t="s">
        <v>1599</v>
      </c>
      <c r="B1216" s="2" t="s">
        <v>292</v>
      </c>
      <c r="C1216" s="2"/>
      <c r="D1216" s="2"/>
      <c r="E1216" s="2">
        <v>551169.53</v>
      </c>
      <c r="F1216" s="2">
        <v>0</v>
      </c>
    </row>
    <row r="1217" spans="1:6" x14ac:dyDescent="0.3">
      <c r="A1217" s="6" t="s">
        <v>1600</v>
      </c>
      <c r="B1217" s="2" t="s">
        <v>636</v>
      </c>
      <c r="C1217" s="2"/>
      <c r="D1217" s="2"/>
      <c r="E1217" s="2">
        <v>71704729.219999999</v>
      </c>
      <c r="F1217" s="2">
        <v>0</v>
      </c>
    </row>
    <row r="1218" spans="1:6" x14ac:dyDescent="0.3">
      <c r="A1218" s="6" t="s">
        <v>1601</v>
      </c>
      <c r="B1218" s="2" t="s">
        <v>636</v>
      </c>
      <c r="C1218" s="2"/>
      <c r="D1218" s="2"/>
      <c r="E1218" s="2">
        <v>3748658.76</v>
      </c>
      <c r="F1218" s="2">
        <v>0</v>
      </c>
    </row>
    <row r="1219" spans="1:6" x14ac:dyDescent="0.3">
      <c r="A1219" s="6" t="s">
        <v>1602</v>
      </c>
      <c r="B1219" s="2" t="s">
        <v>636</v>
      </c>
      <c r="C1219" s="2"/>
      <c r="D1219" s="2"/>
      <c r="E1219" s="2">
        <v>3157536.83</v>
      </c>
      <c r="F1219" s="2">
        <v>0</v>
      </c>
    </row>
    <row r="1220" spans="1:6" x14ac:dyDescent="0.3">
      <c r="A1220" s="6" t="s">
        <v>1603</v>
      </c>
      <c r="B1220" s="2" t="s">
        <v>636</v>
      </c>
      <c r="C1220" s="2"/>
      <c r="D1220" s="2"/>
      <c r="E1220" s="2">
        <v>15000</v>
      </c>
      <c r="F1220" s="2">
        <v>0</v>
      </c>
    </row>
    <row r="1221" spans="1:6" x14ac:dyDescent="0.3">
      <c r="A1221" s="6" t="s">
        <v>1604</v>
      </c>
      <c r="B1221" s="2" t="s">
        <v>636</v>
      </c>
      <c r="C1221" s="2"/>
      <c r="D1221" s="2"/>
      <c r="E1221" s="2">
        <v>47333.63</v>
      </c>
      <c r="F1221" s="2">
        <v>0</v>
      </c>
    </row>
    <row r="1222" spans="1:6" x14ac:dyDescent="0.3">
      <c r="A1222" s="6" t="s">
        <v>1605</v>
      </c>
      <c r="B1222" s="2" t="s">
        <v>292</v>
      </c>
      <c r="C1222" s="2"/>
      <c r="D1222" s="2"/>
      <c r="E1222" s="2">
        <v>6649668.5</v>
      </c>
      <c r="F1222" s="2">
        <v>0</v>
      </c>
    </row>
    <row r="1223" spans="1:6" x14ac:dyDescent="0.3">
      <c r="A1223" s="6" t="s">
        <v>1606</v>
      </c>
      <c r="B1223" s="2" t="s">
        <v>636</v>
      </c>
      <c r="C1223" s="2"/>
      <c r="D1223" s="2"/>
      <c r="E1223" s="2">
        <v>74699292.650000006</v>
      </c>
      <c r="F1223" s="2">
        <v>0</v>
      </c>
    </row>
    <row r="1224" spans="1:6" x14ac:dyDescent="0.3">
      <c r="A1224" s="6" t="s">
        <v>1607</v>
      </c>
      <c r="B1224" s="2" t="s">
        <v>636</v>
      </c>
      <c r="C1224" s="2"/>
      <c r="D1224" s="2"/>
      <c r="E1224" s="2">
        <v>72454.460000000006</v>
      </c>
      <c r="F1224" s="2">
        <v>0</v>
      </c>
    </row>
    <row r="1225" spans="1:6" x14ac:dyDescent="0.3">
      <c r="A1225" s="6" t="s">
        <v>1608</v>
      </c>
      <c r="B1225" s="2" t="s">
        <v>636</v>
      </c>
      <c r="C1225" s="2"/>
      <c r="D1225" s="2"/>
      <c r="E1225" s="2">
        <v>1710483.27</v>
      </c>
      <c r="F1225" s="2">
        <v>0</v>
      </c>
    </row>
    <row r="1226" spans="1:6" x14ac:dyDescent="0.3">
      <c r="A1226" s="6" t="s">
        <v>1609</v>
      </c>
      <c r="B1226" s="2" t="s">
        <v>772</v>
      </c>
      <c r="C1226" s="2"/>
      <c r="D1226" s="2"/>
      <c r="E1226" s="2">
        <v>270909218.06999999</v>
      </c>
      <c r="F1226" s="2">
        <v>0</v>
      </c>
    </row>
    <row r="1227" spans="1:6" x14ac:dyDescent="0.3">
      <c r="A1227" s="6" t="s">
        <v>1610</v>
      </c>
      <c r="B1227" s="2" t="s">
        <v>772</v>
      </c>
      <c r="C1227" s="2"/>
      <c r="D1227" s="2"/>
      <c r="E1227" s="2">
        <v>997846816.35000002</v>
      </c>
      <c r="F1227" s="2">
        <v>0</v>
      </c>
    </row>
    <row r="1228" spans="1:6" x14ac:dyDescent="0.3">
      <c r="A1228" s="6" t="s">
        <v>1611</v>
      </c>
      <c r="B1228" s="2" t="s">
        <v>1612</v>
      </c>
      <c r="C1228" s="2"/>
      <c r="D1228" s="2"/>
      <c r="E1228" s="2">
        <v>500000</v>
      </c>
      <c r="F1228" s="2">
        <v>0</v>
      </c>
    </row>
    <row r="1229" spans="1:6" x14ac:dyDescent="0.3">
      <c r="A1229" s="6" t="s">
        <v>1613</v>
      </c>
      <c r="B1229" s="2" t="s">
        <v>772</v>
      </c>
      <c r="C1229" s="2"/>
      <c r="D1229" s="2"/>
      <c r="E1229" s="2">
        <v>1170617795.28</v>
      </c>
      <c r="F1229" s="2">
        <v>0</v>
      </c>
    </row>
    <row r="1230" spans="1:6" x14ac:dyDescent="0.3">
      <c r="A1230" s="6" t="s">
        <v>1614</v>
      </c>
      <c r="B1230" s="2" t="s">
        <v>1612</v>
      </c>
      <c r="C1230" s="2"/>
      <c r="D1230" s="2"/>
      <c r="E1230" s="2">
        <v>1056149999.91</v>
      </c>
      <c r="F1230" s="2">
        <v>0</v>
      </c>
    </row>
    <row r="1231" spans="1:6" x14ac:dyDescent="0.3">
      <c r="A1231" s="6" t="s">
        <v>1615</v>
      </c>
      <c r="B1231" s="2" t="s">
        <v>772</v>
      </c>
      <c r="C1231" s="2"/>
      <c r="D1231" s="2"/>
      <c r="E1231" s="2">
        <v>9074307816.2399998</v>
      </c>
      <c r="F1231" s="2">
        <v>0</v>
      </c>
    </row>
    <row r="1232" spans="1:6" x14ac:dyDescent="0.3">
      <c r="A1232" s="6" t="s">
        <v>1616</v>
      </c>
      <c r="B1232" s="2" t="s">
        <v>1612</v>
      </c>
      <c r="C1232" s="2"/>
      <c r="D1232" s="2"/>
      <c r="E1232" s="2">
        <v>9905852175.1399994</v>
      </c>
      <c r="F1232" s="2">
        <v>0</v>
      </c>
    </row>
    <row r="1233" spans="1:6" x14ac:dyDescent="0.3">
      <c r="A1233" s="6" t="s">
        <v>1617</v>
      </c>
      <c r="B1233" s="2" t="s">
        <v>1618</v>
      </c>
      <c r="C1233" s="2"/>
      <c r="D1233" s="2"/>
      <c r="E1233" s="2">
        <v>294213464.62</v>
      </c>
      <c r="F1233" s="2">
        <v>0</v>
      </c>
    </row>
    <row r="1234" spans="1:6" x14ac:dyDescent="0.3">
      <c r="A1234" s="6" t="s">
        <v>1619</v>
      </c>
      <c r="B1234" s="2" t="s">
        <v>772</v>
      </c>
      <c r="C1234" s="2"/>
      <c r="D1234" s="2"/>
      <c r="E1234" s="2">
        <v>884532902.17999995</v>
      </c>
      <c r="F1234" s="2">
        <v>0</v>
      </c>
    </row>
    <row r="1235" spans="1:6" x14ac:dyDescent="0.3">
      <c r="A1235" s="6" t="s">
        <v>1620</v>
      </c>
      <c r="B1235" s="2" t="s">
        <v>1612</v>
      </c>
      <c r="C1235" s="2"/>
      <c r="D1235" s="2"/>
      <c r="E1235" s="2">
        <v>311521874.88</v>
      </c>
      <c r="F1235" s="2">
        <v>0</v>
      </c>
    </row>
    <row r="1236" spans="1:6" x14ac:dyDescent="0.3">
      <c r="A1236" s="6" t="s">
        <v>1621</v>
      </c>
      <c r="B1236" s="2" t="s">
        <v>1618</v>
      </c>
      <c r="C1236" s="2"/>
      <c r="D1236" s="2"/>
      <c r="E1236" s="2">
        <v>46337807.649999999</v>
      </c>
      <c r="F1236" s="2">
        <v>0</v>
      </c>
    </row>
    <row r="1237" spans="1:6" x14ac:dyDescent="0.3">
      <c r="A1237" s="6" t="s">
        <v>1622</v>
      </c>
      <c r="B1237" s="2" t="s">
        <v>636</v>
      </c>
      <c r="C1237" s="2"/>
      <c r="D1237" s="2"/>
      <c r="E1237" s="2">
        <v>130150525.86</v>
      </c>
      <c r="F1237" s="2">
        <v>0</v>
      </c>
    </row>
    <row r="1238" spans="1:6" x14ac:dyDescent="0.3">
      <c r="A1238" s="6" t="s">
        <v>1623</v>
      </c>
      <c r="B1238" s="2" t="s">
        <v>636</v>
      </c>
      <c r="C1238" s="2"/>
      <c r="D1238" s="2"/>
      <c r="E1238" s="2">
        <v>163305114.91999999</v>
      </c>
      <c r="F1238" s="2">
        <v>0</v>
      </c>
    </row>
    <row r="1239" spans="1:6" x14ac:dyDescent="0.3">
      <c r="A1239" s="6" t="s">
        <v>1624</v>
      </c>
      <c r="B1239" s="2" t="s">
        <v>636</v>
      </c>
      <c r="C1239" s="2"/>
      <c r="D1239" s="2"/>
      <c r="E1239" s="2">
        <v>55119590</v>
      </c>
      <c r="F1239" s="2">
        <v>0</v>
      </c>
    </row>
    <row r="1240" spans="1:6" x14ac:dyDescent="0.3">
      <c r="A1240" s="6" t="s">
        <v>1625</v>
      </c>
      <c r="B1240" s="2" t="s">
        <v>636</v>
      </c>
      <c r="C1240" s="2"/>
      <c r="D1240" s="2"/>
      <c r="E1240" s="2">
        <v>255129189.65000001</v>
      </c>
      <c r="F1240" s="2">
        <v>0</v>
      </c>
    </row>
    <row r="1241" spans="1:6" x14ac:dyDescent="0.3">
      <c r="A1241" s="6" t="s">
        <v>1626</v>
      </c>
      <c r="B1241" s="2" t="s">
        <v>636</v>
      </c>
      <c r="C1241" s="2"/>
      <c r="D1241" s="2"/>
      <c r="E1241" s="2">
        <v>352054645</v>
      </c>
      <c r="F1241" s="2">
        <v>0</v>
      </c>
    </row>
    <row r="1242" spans="1:6" x14ac:dyDescent="0.3">
      <c r="A1242" s="6" t="s">
        <v>1627</v>
      </c>
      <c r="B1242" s="2" t="s">
        <v>636</v>
      </c>
      <c r="C1242" s="2"/>
      <c r="D1242" s="2"/>
      <c r="E1242" s="2">
        <v>3160379082.4400001</v>
      </c>
      <c r="F1242" s="2">
        <v>0</v>
      </c>
    </row>
    <row r="1243" spans="1:6" x14ac:dyDescent="0.3">
      <c r="A1243" s="6" t="s">
        <v>1628</v>
      </c>
      <c r="B1243" s="2" t="s">
        <v>636</v>
      </c>
      <c r="C1243" s="2"/>
      <c r="D1243" s="2"/>
      <c r="E1243" s="2">
        <v>1931523859.6900001</v>
      </c>
      <c r="F1243" s="2">
        <v>0</v>
      </c>
    </row>
    <row r="1244" spans="1:6" x14ac:dyDescent="0.3">
      <c r="A1244" s="6" t="s">
        <v>1629</v>
      </c>
      <c r="B1244" s="2" t="s">
        <v>636</v>
      </c>
      <c r="C1244" s="2"/>
      <c r="D1244" s="2"/>
      <c r="E1244" s="2">
        <v>1222042.51</v>
      </c>
      <c r="F1244" s="2">
        <v>0</v>
      </c>
    </row>
    <row r="1245" spans="1:6" x14ac:dyDescent="0.3">
      <c r="A1245" s="6" t="s">
        <v>1630</v>
      </c>
      <c r="B1245" s="2" t="s">
        <v>636</v>
      </c>
      <c r="C1245" s="2"/>
      <c r="D1245" s="2"/>
      <c r="E1245" s="2">
        <v>457373.35</v>
      </c>
      <c r="F1245" s="2">
        <v>0</v>
      </c>
    </row>
    <row r="1246" spans="1:6" x14ac:dyDescent="0.3">
      <c r="A1246" s="6" t="s">
        <v>1631</v>
      </c>
      <c r="B1246" s="2" t="s">
        <v>636</v>
      </c>
      <c r="C1246" s="2"/>
      <c r="D1246" s="2"/>
      <c r="E1246" s="2">
        <v>659995</v>
      </c>
      <c r="F1246" s="2">
        <v>0</v>
      </c>
    </row>
    <row r="1247" spans="1:6" x14ac:dyDescent="0.3">
      <c r="A1247" s="6" t="s">
        <v>1632</v>
      </c>
      <c r="B1247" s="2" t="s">
        <v>292</v>
      </c>
      <c r="C1247" s="2"/>
      <c r="D1247" s="2"/>
      <c r="E1247" s="2">
        <v>446752.4</v>
      </c>
      <c r="F1247" s="2">
        <v>0</v>
      </c>
    </row>
    <row r="1248" spans="1:6" x14ac:dyDescent="0.3">
      <c r="A1248" s="6" t="s">
        <v>1633</v>
      </c>
      <c r="B1248" s="2" t="s">
        <v>636</v>
      </c>
      <c r="C1248" s="2"/>
      <c r="D1248" s="2"/>
      <c r="E1248" s="2">
        <v>122086000.06999999</v>
      </c>
      <c r="F1248" s="2">
        <v>0</v>
      </c>
    </row>
    <row r="1249" spans="1:6" x14ac:dyDescent="0.3">
      <c r="A1249" s="6" t="s">
        <v>1634</v>
      </c>
      <c r="B1249" s="2" t="s">
        <v>636</v>
      </c>
      <c r="C1249" s="2"/>
      <c r="D1249" s="2"/>
      <c r="E1249" s="2">
        <v>130914511.31</v>
      </c>
      <c r="F1249" s="2">
        <v>0</v>
      </c>
    </row>
    <row r="1250" spans="1:6" x14ac:dyDescent="0.3">
      <c r="A1250" s="6" t="s">
        <v>1635</v>
      </c>
      <c r="B1250" s="2" t="s">
        <v>636</v>
      </c>
      <c r="C1250" s="2"/>
      <c r="D1250" s="2"/>
      <c r="E1250" s="2">
        <v>8447.08</v>
      </c>
      <c r="F1250" s="2">
        <v>0</v>
      </c>
    </row>
    <row r="1251" spans="1:6" x14ac:dyDescent="0.3">
      <c r="A1251" s="6" t="s">
        <v>1636</v>
      </c>
      <c r="B1251" s="2" t="s">
        <v>636</v>
      </c>
      <c r="C1251" s="2"/>
      <c r="D1251" s="2"/>
      <c r="E1251" s="2">
        <v>150000</v>
      </c>
      <c r="F1251" s="2">
        <v>0</v>
      </c>
    </row>
    <row r="1252" spans="1:6" x14ac:dyDescent="0.3">
      <c r="A1252" s="6" t="s">
        <v>1637</v>
      </c>
      <c r="B1252" s="2" t="s">
        <v>636</v>
      </c>
      <c r="C1252" s="2"/>
      <c r="D1252" s="2"/>
      <c r="E1252" s="2">
        <v>12659935.390000001</v>
      </c>
      <c r="F1252" s="2">
        <v>0</v>
      </c>
    </row>
    <row r="1253" spans="1:6" x14ac:dyDescent="0.3">
      <c r="A1253" s="6" t="s">
        <v>1638</v>
      </c>
      <c r="B1253" s="2" t="s">
        <v>636</v>
      </c>
      <c r="C1253" s="2"/>
      <c r="D1253" s="2"/>
      <c r="E1253" s="2">
        <v>3885990.65</v>
      </c>
      <c r="F1253" s="2">
        <v>0</v>
      </c>
    </row>
    <row r="1254" spans="1:6" x14ac:dyDescent="0.3">
      <c r="A1254" s="6" t="s">
        <v>1639</v>
      </c>
      <c r="B1254" s="2" t="s">
        <v>1640</v>
      </c>
      <c r="C1254" s="2"/>
      <c r="D1254" s="2"/>
      <c r="E1254" s="2">
        <v>26450526.260000002</v>
      </c>
      <c r="F1254" s="2">
        <v>0</v>
      </c>
    </row>
    <row r="1255" spans="1:6" x14ac:dyDescent="0.3">
      <c r="A1255" s="6" t="s">
        <v>1641</v>
      </c>
      <c r="B1255" s="2" t="s">
        <v>1642</v>
      </c>
      <c r="C1255" s="2"/>
      <c r="D1255" s="2"/>
      <c r="E1255" s="2">
        <v>7157410.9100000001</v>
      </c>
      <c r="F1255" s="2">
        <v>0</v>
      </c>
    </row>
    <row r="1256" spans="1:6" x14ac:dyDescent="0.3">
      <c r="A1256" s="6" t="s">
        <v>1643</v>
      </c>
      <c r="B1256" s="2" t="s">
        <v>636</v>
      </c>
      <c r="C1256" s="2"/>
      <c r="D1256" s="2"/>
      <c r="E1256" s="2">
        <v>775072706.10000002</v>
      </c>
      <c r="F1256" s="2">
        <v>0</v>
      </c>
    </row>
    <row r="1257" spans="1:6" x14ac:dyDescent="0.3">
      <c r="A1257" s="6" t="s">
        <v>1644</v>
      </c>
      <c r="B1257" s="2" t="s">
        <v>1645</v>
      </c>
      <c r="C1257" s="2"/>
      <c r="D1257" s="2"/>
      <c r="E1257" s="2">
        <v>152000000</v>
      </c>
      <c r="F1257" s="2">
        <v>0</v>
      </c>
    </row>
    <row r="1258" spans="1:6" x14ac:dyDescent="0.3">
      <c r="A1258" s="6" t="s">
        <v>1646</v>
      </c>
      <c r="B1258" s="2" t="s">
        <v>131</v>
      </c>
      <c r="C1258" s="2"/>
      <c r="D1258" s="2"/>
      <c r="E1258" s="2">
        <v>495651736.44999999</v>
      </c>
      <c r="F1258" s="2">
        <v>0</v>
      </c>
    </row>
    <row r="1259" spans="1:6" x14ac:dyDescent="0.3">
      <c r="A1259" s="6" t="s">
        <v>1647</v>
      </c>
      <c r="B1259" s="2" t="s">
        <v>1648</v>
      </c>
      <c r="C1259" s="2"/>
      <c r="D1259" s="2"/>
      <c r="E1259" s="2">
        <v>221846557.16</v>
      </c>
      <c r="F1259" s="2">
        <v>0</v>
      </c>
    </row>
    <row r="1260" spans="1:6" x14ac:dyDescent="0.3">
      <c r="A1260" s="6" t="s">
        <v>1649</v>
      </c>
      <c r="B1260" s="2" t="s">
        <v>131</v>
      </c>
      <c r="C1260" s="2"/>
      <c r="D1260" s="2"/>
      <c r="E1260" s="2">
        <v>116300000</v>
      </c>
      <c r="F1260" s="2">
        <v>0</v>
      </c>
    </row>
    <row r="1261" spans="1:6" x14ac:dyDescent="0.3">
      <c r="A1261" s="6" t="s">
        <v>1650</v>
      </c>
      <c r="B1261" s="2" t="s">
        <v>133</v>
      </c>
      <c r="C1261" s="2"/>
      <c r="D1261" s="2"/>
      <c r="E1261" s="2">
        <v>0</v>
      </c>
      <c r="F1261" s="2">
        <v>0</v>
      </c>
    </row>
    <row r="1262" spans="1:6" x14ac:dyDescent="0.3">
      <c r="A1262" s="6" t="s">
        <v>1651</v>
      </c>
      <c r="B1262" s="2" t="s">
        <v>1652</v>
      </c>
      <c r="C1262" s="2"/>
      <c r="D1262" s="2"/>
      <c r="E1262" s="2">
        <v>11666222.6</v>
      </c>
      <c r="F1262" s="2">
        <v>0</v>
      </c>
    </row>
    <row r="1263" spans="1:6" x14ac:dyDescent="0.3">
      <c r="A1263" s="6" t="s">
        <v>1653</v>
      </c>
      <c r="B1263" s="2" t="s">
        <v>1654</v>
      </c>
      <c r="C1263" s="2"/>
      <c r="D1263" s="2"/>
      <c r="E1263" s="2">
        <v>11669198.51</v>
      </c>
      <c r="F1263" s="2">
        <v>0</v>
      </c>
    </row>
    <row r="1264" spans="1:6" x14ac:dyDescent="0.3">
      <c r="A1264" s="6" t="s">
        <v>1655</v>
      </c>
      <c r="B1264" s="2" t="s">
        <v>1652</v>
      </c>
      <c r="C1264" s="2"/>
      <c r="D1264" s="2"/>
      <c r="E1264" s="2">
        <v>3450222.15</v>
      </c>
      <c r="F1264" s="2">
        <v>0</v>
      </c>
    </row>
    <row r="1265" spans="1:6" x14ac:dyDescent="0.3">
      <c r="A1265" s="6" t="s">
        <v>1656</v>
      </c>
      <c r="B1265" s="2" t="s">
        <v>1654</v>
      </c>
      <c r="C1265" s="2"/>
      <c r="D1265" s="2"/>
      <c r="E1265" s="2">
        <v>3452463.7</v>
      </c>
      <c r="F1265" s="2">
        <v>0</v>
      </c>
    </row>
    <row r="1266" spans="1:6" x14ac:dyDescent="0.3">
      <c r="A1266" s="6" t="s">
        <v>1657</v>
      </c>
      <c r="B1266" s="2" t="s">
        <v>1652</v>
      </c>
      <c r="C1266" s="2"/>
      <c r="D1266" s="2"/>
      <c r="E1266" s="2">
        <v>6554.2</v>
      </c>
      <c r="F1266" s="2">
        <v>0</v>
      </c>
    </row>
    <row r="1267" spans="1:6" x14ac:dyDescent="0.3">
      <c r="A1267" s="6" t="s">
        <v>1658</v>
      </c>
      <c r="B1267" s="2" t="s">
        <v>1654</v>
      </c>
      <c r="C1267" s="2"/>
      <c r="D1267" s="2"/>
      <c r="E1267" s="2">
        <v>6486.44</v>
      </c>
      <c r="F1267" s="2">
        <v>0</v>
      </c>
    </row>
    <row r="1268" spans="1:6" x14ac:dyDescent="0.3">
      <c r="A1268" s="6" t="s">
        <v>1659</v>
      </c>
      <c r="B1268" s="2" t="s">
        <v>1652</v>
      </c>
      <c r="C1268" s="2"/>
      <c r="D1268" s="2"/>
      <c r="E1268" s="2">
        <v>160217341.25999999</v>
      </c>
      <c r="F1268" s="2">
        <v>0</v>
      </c>
    </row>
    <row r="1269" spans="1:6" x14ac:dyDescent="0.3">
      <c r="A1269" s="6" t="s">
        <v>1660</v>
      </c>
      <c r="B1269" s="2" t="s">
        <v>1654</v>
      </c>
      <c r="C1269" s="2"/>
      <c r="D1269" s="2"/>
      <c r="E1269" s="2">
        <v>163075572.84999999</v>
      </c>
      <c r="F1269" s="2">
        <v>0</v>
      </c>
    </row>
    <row r="1270" spans="1:6" x14ac:dyDescent="0.3">
      <c r="A1270" s="6" t="s">
        <v>1661</v>
      </c>
      <c r="B1270" s="2" t="s">
        <v>1652</v>
      </c>
      <c r="C1270" s="2"/>
      <c r="D1270" s="2"/>
      <c r="E1270" s="2">
        <v>191537261.30000001</v>
      </c>
      <c r="F1270" s="2">
        <v>0</v>
      </c>
    </row>
    <row r="1271" spans="1:6" x14ac:dyDescent="0.3">
      <c r="A1271" s="6" t="s">
        <v>1662</v>
      </c>
      <c r="B1271" s="2" t="s">
        <v>1654</v>
      </c>
      <c r="C1271" s="2"/>
      <c r="D1271" s="2"/>
      <c r="E1271" s="2">
        <v>186227244.88999999</v>
      </c>
      <c r="F1271" s="2">
        <v>0</v>
      </c>
    </row>
    <row r="1272" spans="1:6" x14ac:dyDescent="0.3">
      <c r="A1272" s="6" t="s">
        <v>1663</v>
      </c>
      <c r="B1272" s="2" t="s">
        <v>1652</v>
      </c>
      <c r="C1272" s="2"/>
      <c r="D1272" s="2"/>
      <c r="E1272" s="2">
        <v>5327076.34</v>
      </c>
      <c r="F1272" s="2">
        <v>0</v>
      </c>
    </row>
    <row r="1273" spans="1:6" x14ac:dyDescent="0.3">
      <c r="A1273" s="6" t="s">
        <v>1664</v>
      </c>
      <c r="B1273" s="2" t="s">
        <v>1654</v>
      </c>
      <c r="C1273" s="2"/>
      <c r="D1273" s="2"/>
      <c r="E1273" s="2">
        <v>5312699.82</v>
      </c>
      <c r="F1273" s="2">
        <v>0</v>
      </c>
    </row>
    <row r="1274" spans="1:6" x14ac:dyDescent="0.3">
      <c r="A1274" s="6" t="s">
        <v>1665</v>
      </c>
      <c r="B1274" s="2" t="s">
        <v>1666</v>
      </c>
      <c r="C1274" s="2"/>
      <c r="D1274" s="2"/>
      <c r="E1274" s="2">
        <v>15194573024.200001</v>
      </c>
      <c r="F1274" s="2">
        <v>0</v>
      </c>
    </row>
    <row r="1275" spans="1:6" x14ac:dyDescent="0.3">
      <c r="A1275" s="6" t="s">
        <v>1667</v>
      </c>
      <c r="B1275" s="2" t="s">
        <v>1666</v>
      </c>
      <c r="C1275" s="2"/>
      <c r="D1275" s="2"/>
      <c r="E1275" s="2">
        <v>104760313</v>
      </c>
      <c r="F1275" s="2">
        <v>0</v>
      </c>
    </row>
    <row r="1276" spans="1:6" x14ac:dyDescent="0.3">
      <c r="A1276" s="6" t="s">
        <v>1668</v>
      </c>
      <c r="B1276" s="2" t="s">
        <v>1669</v>
      </c>
      <c r="C1276" s="2"/>
      <c r="D1276" s="2"/>
      <c r="E1276" s="2">
        <v>380850036.25</v>
      </c>
      <c r="F1276" s="2">
        <v>0</v>
      </c>
    </row>
    <row r="1277" spans="1:6" x14ac:dyDescent="0.3">
      <c r="A1277" s="6" t="s">
        <v>1670</v>
      </c>
      <c r="B1277" s="2" t="s">
        <v>1666</v>
      </c>
      <c r="C1277" s="2"/>
      <c r="D1277" s="2"/>
      <c r="E1277" s="2">
        <v>12729426231.4</v>
      </c>
      <c r="F1277" s="2">
        <v>0</v>
      </c>
    </row>
    <row r="1278" spans="1:6" x14ac:dyDescent="0.3">
      <c r="A1278" s="6" t="s">
        <v>1671</v>
      </c>
      <c r="B1278" s="2" t="s">
        <v>1666</v>
      </c>
      <c r="C1278" s="2"/>
      <c r="D1278" s="2"/>
      <c r="E1278" s="2">
        <v>88570908</v>
      </c>
      <c r="F1278" s="2">
        <v>0</v>
      </c>
    </row>
    <row r="1279" spans="1:6" x14ac:dyDescent="0.3">
      <c r="A1279" s="6" t="s">
        <v>1672</v>
      </c>
      <c r="B1279" s="2" t="s">
        <v>1666</v>
      </c>
      <c r="C1279" s="2"/>
      <c r="D1279" s="2"/>
      <c r="E1279" s="2">
        <v>46611474</v>
      </c>
      <c r="F1279" s="2">
        <v>0</v>
      </c>
    </row>
    <row r="1280" spans="1:6" x14ac:dyDescent="0.3">
      <c r="A1280" s="6" t="s">
        <v>1673</v>
      </c>
      <c r="B1280" s="2" t="s">
        <v>1666</v>
      </c>
      <c r="C1280" s="2"/>
      <c r="D1280" s="2"/>
      <c r="E1280" s="2">
        <v>75863778.650000006</v>
      </c>
      <c r="F1280" s="2">
        <v>0</v>
      </c>
    </row>
    <row r="1281" spans="1:6" x14ac:dyDescent="0.3">
      <c r="A1281" s="6" t="s">
        <v>1674</v>
      </c>
      <c r="B1281" s="2" t="s">
        <v>1666</v>
      </c>
      <c r="C1281" s="2"/>
      <c r="D1281" s="2"/>
      <c r="E1281" s="2">
        <v>334238562.25</v>
      </c>
      <c r="F1281" s="2">
        <v>0</v>
      </c>
    </row>
    <row r="1282" spans="1:6" x14ac:dyDescent="0.3">
      <c r="A1282" s="6" t="s">
        <v>1675</v>
      </c>
      <c r="B1282" s="2" t="s">
        <v>1669</v>
      </c>
      <c r="C1282" s="2"/>
      <c r="D1282" s="2"/>
      <c r="E1282" s="2">
        <v>104760313</v>
      </c>
      <c r="F1282" s="2">
        <v>0</v>
      </c>
    </row>
    <row r="1283" spans="1:6" x14ac:dyDescent="0.3">
      <c r="A1283" s="6" t="s">
        <v>1676</v>
      </c>
      <c r="B1283" s="2" t="s">
        <v>1666</v>
      </c>
      <c r="C1283" s="2"/>
      <c r="D1283" s="2"/>
      <c r="E1283" s="2">
        <v>760400534.85000002</v>
      </c>
      <c r="F1283" s="2">
        <v>0</v>
      </c>
    </row>
    <row r="1284" spans="1:6" x14ac:dyDescent="0.3">
      <c r="A1284" s="6" t="s">
        <v>1677</v>
      </c>
      <c r="B1284" s="2" t="s">
        <v>1666</v>
      </c>
      <c r="C1284" s="2"/>
      <c r="D1284" s="2"/>
      <c r="E1284" s="2">
        <v>99012000</v>
      </c>
      <c r="F1284" s="2">
        <v>0</v>
      </c>
    </row>
    <row r="1285" spans="1:6" x14ac:dyDescent="0.3">
      <c r="A1285" s="6" t="s">
        <v>1678</v>
      </c>
      <c r="B1285" s="2" t="s">
        <v>1666</v>
      </c>
      <c r="C1285" s="2"/>
      <c r="D1285" s="2"/>
      <c r="E1285" s="2">
        <v>99012000</v>
      </c>
      <c r="F1285" s="2">
        <v>0</v>
      </c>
    </row>
    <row r="1286" spans="1:6" x14ac:dyDescent="0.3">
      <c r="A1286" s="6" t="s">
        <v>1679</v>
      </c>
      <c r="B1286" s="2" t="s">
        <v>1666</v>
      </c>
      <c r="C1286" s="2"/>
      <c r="D1286" s="2"/>
      <c r="E1286" s="2">
        <v>40450613.659999996</v>
      </c>
      <c r="F1286" s="2">
        <v>0</v>
      </c>
    </row>
    <row r="1287" spans="1:6" x14ac:dyDescent="0.3">
      <c r="A1287" s="6" t="s">
        <v>1680</v>
      </c>
      <c r="B1287" s="2" t="s">
        <v>1669</v>
      </c>
      <c r="C1287" s="2"/>
      <c r="D1287" s="2"/>
      <c r="E1287" s="2">
        <v>32535383.120000001</v>
      </c>
      <c r="F1287" s="2">
        <v>0</v>
      </c>
    </row>
    <row r="1288" spans="1:6" x14ac:dyDescent="0.3">
      <c r="A1288" s="6" t="s">
        <v>1681</v>
      </c>
      <c r="B1288" s="2" t="s">
        <v>1666</v>
      </c>
      <c r="C1288" s="2"/>
      <c r="D1288" s="2"/>
      <c r="E1288" s="2">
        <v>49675674.579999998</v>
      </c>
      <c r="F1288" s="2">
        <v>0</v>
      </c>
    </row>
    <row r="1289" spans="1:6" x14ac:dyDescent="0.3">
      <c r="A1289" s="6" t="s">
        <v>1682</v>
      </c>
      <c r="B1289" s="2" t="s">
        <v>1669</v>
      </c>
      <c r="C1289" s="2"/>
      <c r="D1289" s="2"/>
      <c r="E1289" s="2">
        <v>51719370.350000001</v>
      </c>
      <c r="F1289" s="2">
        <v>0</v>
      </c>
    </row>
    <row r="1290" spans="1:6" x14ac:dyDescent="0.3">
      <c r="A1290" s="6" t="s">
        <v>1683</v>
      </c>
      <c r="B1290" s="2" t="s">
        <v>1666</v>
      </c>
      <c r="C1290" s="2"/>
      <c r="D1290" s="2"/>
      <c r="E1290" s="2">
        <v>31670779.77</v>
      </c>
      <c r="F1290" s="2">
        <v>0</v>
      </c>
    </row>
    <row r="1291" spans="1:6" x14ac:dyDescent="0.3">
      <c r="A1291" s="6" t="s">
        <v>1684</v>
      </c>
      <c r="B1291" s="2" t="s">
        <v>1669</v>
      </c>
      <c r="C1291" s="2"/>
      <c r="D1291" s="2"/>
      <c r="E1291" s="2">
        <v>40450613.460000001</v>
      </c>
      <c r="F1291" s="2">
        <v>0</v>
      </c>
    </row>
    <row r="1292" spans="1:6" x14ac:dyDescent="0.3">
      <c r="A1292" s="6" t="s">
        <v>1685</v>
      </c>
      <c r="B1292" s="2" t="s">
        <v>1652</v>
      </c>
      <c r="C1292" s="2"/>
      <c r="D1292" s="2"/>
      <c r="E1292" s="2">
        <v>2304297637.8800001</v>
      </c>
      <c r="F1292" s="2">
        <v>0</v>
      </c>
    </row>
    <row r="1293" spans="1:6" x14ac:dyDescent="0.3">
      <c r="A1293" s="6" t="s">
        <v>1686</v>
      </c>
      <c r="B1293" s="2" t="s">
        <v>1652</v>
      </c>
      <c r="C1293" s="2"/>
      <c r="D1293" s="2"/>
      <c r="E1293" s="2">
        <v>4649999999.9899998</v>
      </c>
      <c r="F1293" s="2">
        <v>0</v>
      </c>
    </row>
    <row r="1294" spans="1:6" x14ac:dyDescent="0.3">
      <c r="A1294" s="6" t="s">
        <v>1687</v>
      </c>
      <c r="B1294" s="2" t="s">
        <v>1652</v>
      </c>
      <c r="C1294" s="2"/>
      <c r="D1294" s="2"/>
      <c r="E1294" s="2">
        <v>3000000000</v>
      </c>
      <c r="F1294" s="2">
        <v>0</v>
      </c>
    </row>
    <row r="1295" spans="1:6" x14ac:dyDescent="0.3">
      <c r="A1295" s="6" t="s">
        <v>1688</v>
      </c>
      <c r="B1295" s="2" t="s">
        <v>1689</v>
      </c>
      <c r="C1295" s="2"/>
      <c r="D1295" s="2"/>
      <c r="E1295" s="2">
        <v>22626699.07</v>
      </c>
      <c r="F1295" s="2">
        <v>0</v>
      </c>
    </row>
    <row r="1296" spans="1:6" x14ac:dyDescent="0.3">
      <c r="A1296" s="6" t="s">
        <v>1690</v>
      </c>
      <c r="B1296" s="2" t="s">
        <v>636</v>
      </c>
      <c r="C1296" s="2"/>
      <c r="D1296" s="2"/>
      <c r="E1296" s="2">
        <v>10060764955.66</v>
      </c>
      <c r="F1296" s="2">
        <v>0</v>
      </c>
    </row>
    <row r="1297" spans="1:6" x14ac:dyDescent="0.3">
      <c r="A1297" s="6" t="s">
        <v>1691</v>
      </c>
      <c r="B1297" s="2" t="s">
        <v>1689</v>
      </c>
      <c r="C1297" s="2"/>
      <c r="D1297" s="2"/>
      <c r="E1297" s="2">
        <v>3958042860.3800001</v>
      </c>
      <c r="F1297" s="2">
        <v>0</v>
      </c>
    </row>
    <row r="1298" spans="1:6" x14ac:dyDescent="0.3">
      <c r="A1298" s="6" t="s">
        <v>1692</v>
      </c>
      <c r="B1298" s="2" t="s">
        <v>636</v>
      </c>
      <c r="C1298" s="2"/>
      <c r="D1298" s="2"/>
      <c r="E1298" s="2">
        <v>27779191592.630001</v>
      </c>
      <c r="F1298" s="2">
        <v>0</v>
      </c>
    </row>
    <row r="1299" spans="1:6" x14ac:dyDescent="0.3">
      <c r="A1299" s="6" t="s">
        <v>1693</v>
      </c>
      <c r="B1299" s="2" t="s">
        <v>1694</v>
      </c>
      <c r="C1299" s="2"/>
      <c r="D1299" s="2"/>
      <c r="E1299" s="2">
        <v>500328648.67000002</v>
      </c>
      <c r="F1299" s="2">
        <v>0</v>
      </c>
    </row>
    <row r="1300" spans="1:6" x14ac:dyDescent="0.3">
      <c r="A1300" s="6" t="s">
        <v>1695</v>
      </c>
      <c r="B1300" s="2" t="s">
        <v>1696</v>
      </c>
      <c r="C1300" s="2"/>
      <c r="D1300" s="2"/>
      <c r="E1300" s="2">
        <v>229696752.43000001</v>
      </c>
      <c r="F1300" s="2">
        <v>0</v>
      </c>
    </row>
    <row r="1301" spans="1:6" x14ac:dyDescent="0.3">
      <c r="A1301" s="6" t="s">
        <v>1697</v>
      </c>
      <c r="B1301" s="2" t="s">
        <v>454</v>
      </c>
      <c r="C1301" s="2"/>
      <c r="D1301" s="2"/>
      <c r="E1301" s="2">
        <v>413804377.38</v>
      </c>
      <c r="F1301" s="2">
        <v>0</v>
      </c>
    </row>
    <row r="1302" spans="1:6" x14ac:dyDescent="0.3">
      <c r="A1302" s="6" t="s">
        <v>1698</v>
      </c>
      <c r="B1302" s="2" t="s">
        <v>1699</v>
      </c>
      <c r="C1302" s="2"/>
      <c r="D1302" s="2"/>
      <c r="E1302" s="2">
        <v>135727226.66999999</v>
      </c>
      <c r="F1302" s="2">
        <v>0</v>
      </c>
    </row>
    <row r="1303" spans="1:6" x14ac:dyDescent="0.3">
      <c r="A1303" s="6" t="s">
        <v>1700</v>
      </c>
      <c r="B1303" s="2" t="s">
        <v>1701</v>
      </c>
      <c r="C1303" s="2"/>
      <c r="D1303" s="2"/>
      <c r="E1303" s="2">
        <v>26450526.260000002</v>
      </c>
      <c r="F1303" s="2">
        <v>0</v>
      </c>
    </row>
    <row r="1304" spans="1:6" x14ac:dyDescent="0.3">
      <c r="A1304" s="6" t="s">
        <v>1702</v>
      </c>
      <c r="B1304" s="2" t="s">
        <v>1703</v>
      </c>
      <c r="C1304" s="2"/>
      <c r="D1304" s="2"/>
      <c r="E1304" s="2">
        <v>16994249472.719999</v>
      </c>
      <c r="F1304" s="2">
        <v>0</v>
      </c>
    </row>
    <row r="1305" spans="1:6" x14ac:dyDescent="0.3">
      <c r="A1305" s="6" t="s">
        <v>1704</v>
      </c>
      <c r="B1305" s="2" t="s">
        <v>1705</v>
      </c>
      <c r="C1305" s="2"/>
      <c r="D1305" s="2"/>
      <c r="E1305" s="2">
        <v>5784206.29</v>
      </c>
      <c r="F1305" s="2">
        <v>0</v>
      </c>
    </row>
    <row r="1306" spans="1:6" x14ac:dyDescent="0.3">
      <c r="A1306" s="6" t="s">
        <v>1706</v>
      </c>
      <c r="B1306" s="2" t="s">
        <v>1705</v>
      </c>
      <c r="C1306" s="2"/>
      <c r="D1306" s="2"/>
      <c r="E1306" s="2">
        <v>45772224.729999997</v>
      </c>
      <c r="F1306" s="2">
        <v>0</v>
      </c>
    </row>
    <row r="1307" spans="1:6" x14ac:dyDescent="0.3">
      <c r="A1307" s="6" t="s">
        <v>1707</v>
      </c>
      <c r="B1307" s="2" t="s">
        <v>1703</v>
      </c>
      <c r="C1307" s="2"/>
      <c r="D1307" s="2"/>
      <c r="E1307" s="2">
        <v>1227875</v>
      </c>
      <c r="F1307" s="2">
        <v>0</v>
      </c>
    </row>
    <row r="1308" spans="1:6" x14ac:dyDescent="0.3">
      <c r="A1308" s="6" t="s">
        <v>1708</v>
      </c>
      <c r="B1308" s="2" t="s">
        <v>1705</v>
      </c>
      <c r="C1308" s="2"/>
      <c r="D1308" s="2"/>
      <c r="E1308" s="2">
        <v>1006339553.97</v>
      </c>
      <c r="F1308" s="2">
        <v>0</v>
      </c>
    </row>
    <row r="1309" spans="1:6" x14ac:dyDescent="0.3">
      <c r="A1309" s="6" t="s">
        <v>1709</v>
      </c>
      <c r="B1309" s="2" t="s">
        <v>1703</v>
      </c>
      <c r="C1309" s="2"/>
      <c r="D1309" s="2"/>
      <c r="E1309" s="2">
        <v>75035281.129999995</v>
      </c>
      <c r="F1309" s="2">
        <v>0</v>
      </c>
    </row>
    <row r="1310" spans="1:6" x14ac:dyDescent="0.3">
      <c r="A1310" s="6" t="s">
        <v>1710</v>
      </c>
      <c r="B1310" s="2" t="s">
        <v>1705</v>
      </c>
      <c r="C1310" s="2"/>
      <c r="D1310" s="2"/>
      <c r="E1310" s="2">
        <v>5555529806.8900003</v>
      </c>
      <c r="F1310" s="2">
        <v>0</v>
      </c>
    </row>
    <row r="1311" spans="1:6" x14ac:dyDescent="0.3">
      <c r="A1311" s="6" t="s">
        <v>1711</v>
      </c>
      <c r="B1311" s="2" t="s">
        <v>1703</v>
      </c>
      <c r="C1311" s="2"/>
      <c r="D1311" s="2"/>
      <c r="E1311" s="2">
        <v>8017609.8700000001</v>
      </c>
      <c r="F1311" s="2">
        <v>0</v>
      </c>
    </row>
    <row r="1312" spans="1:6" x14ac:dyDescent="0.3">
      <c r="A1312" s="6" t="s">
        <v>1712</v>
      </c>
      <c r="B1312" s="2" t="s">
        <v>1705</v>
      </c>
      <c r="C1312" s="2"/>
      <c r="D1312" s="2"/>
      <c r="E1312" s="2">
        <v>43637042008.059998</v>
      </c>
      <c r="F1312" s="2">
        <v>0</v>
      </c>
    </row>
    <row r="1313" spans="1:6" x14ac:dyDescent="0.3">
      <c r="A1313" s="6" t="s">
        <v>1713</v>
      </c>
      <c r="B1313" s="2" t="s">
        <v>1714</v>
      </c>
      <c r="C1313" s="2"/>
      <c r="D1313" s="2"/>
      <c r="E1313" s="2">
        <v>984970000</v>
      </c>
      <c r="F1313" s="2">
        <v>0</v>
      </c>
    </row>
    <row r="1314" spans="1:6" x14ac:dyDescent="0.3">
      <c r="A1314" s="6" t="s">
        <v>1715</v>
      </c>
      <c r="B1314" s="2" t="s">
        <v>1716</v>
      </c>
      <c r="C1314" s="2"/>
      <c r="D1314" s="2"/>
      <c r="E1314" s="2">
        <v>5800168844.9899998</v>
      </c>
      <c r="F1314" s="2">
        <v>0</v>
      </c>
    </row>
    <row r="1315" spans="1:6" x14ac:dyDescent="0.3">
      <c r="A1315" s="6" t="s">
        <v>1717</v>
      </c>
      <c r="B1315" s="2" t="s">
        <v>220</v>
      </c>
      <c r="C1315" s="2"/>
      <c r="D1315" s="2"/>
      <c r="E1315" s="2">
        <v>9238.75</v>
      </c>
      <c r="F1315" s="2">
        <v>0</v>
      </c>
    </row>
    <row r="1316" spans="1:6" x14ac:dyDescent="0.3">
      <c r="A1316" s="6" t="s">
        <v>1718</v>
      </c>
      <c r="B1316" s="2" t="s">
        <v>292</v>
      </c>
      <c r="C1316" s="2"/>
      <c r="D1316" s="2"/>
      <c r="E1316" s="2">
        <v>347290.1</v>
      </c>
      <c r="F1316" s="2">
        <v>0</v>
      </c>
    </row>
    <row r="1317" spans="1:6" x14ac:dyDescent="0.3">
      <c r="A1317" s="6" t="s">
        <v>1719</v>
      </c>
      <c r="B1317" s="2" t="s">
        <v>220</v>
      </c>
      <c r="C1317" s="2"/>
      <c r="D1317" s="2"/>
      <c r="E1317" s="2">
        <v>11089048.33</v>
      </c>
      <c r="F1317" s="2">
        <v>0</v>
      </c>
    </row>
    <row r="1318" spans="1:6" x14ac:dyDescent="0.3">
      <c r="A1318" s="6" t="s">
        <v>1720</v>
      </c>
      <c r="B1318" s="2" t="s">
        <v>292</v>
      </c>
      <c r="C1318" s="2"/>
      <c r="D1318" s="2"/>
      <c r="E1318" s="2">
        <v>366791.54</v>
      </c>
      <c r="F1318" s="2">
        <v>0</v>
      </c>
    </row>
    <row r="1319" spans="1:6" x14ac:dyDescent="0.3">
      <c r="A1319" s="6" t="s">
        <v>1721</v>
      </c>
      <c r="B1319" s="2" t="s">
        <v>220</v>
      </c>
      <c r="C1319" s="2"/>
      <c r="D1319" s="2"/>
      <c r="E1319" s="2">
        <v>2086785.68</v>
      </c>
      <c r="F1319" s="2">
        <v>0</v>
      </c>
    </row>
    <row r="1320" spans="1:6" x14ac:dyDescent="0.3">
      <c r="A1320" s="6" t="s">
        <v>1722</v>
      </c>
      <c r="B1320" s="2" t="s">
        <v>1723</v>
      </c>
      <c r="C1320" s="2"/>
      <c r="D1320" s="2"/>
      <c r="E1320" s="2">
        <v>20798411.920000002</v>
      </c>
      <c r="F1320" s="2">
        <v>0</v>
      </c>
    </row>
    <row r="1321" spans="1:6" x14ac:dyDescent="0.3">
      <c r="A1321" s="6" t="s">
        <v>1724</v>
      </c>
      <c r="B1321" s="2" t="s">
        <v>1725</v>
      </c>
      <c r="C1321" s="2"/>
      <c r="D1321" s="2"/>
      <c r="E1321" s="2">
        <v>732145.83</v>
      </c>
      <c r="F1321" s="2">
        <v>0</v>
      </c>
    </row>
    <row r="1322" spans="1:6" x14ac:dyDescent="0.3">
      <c r="A1322" s="6" t="s">
        <v>1726</v>
      </c>
      <c r="B1322" s="2" t="s">
        <v>1727</v>
      </c>
      <c r="C1322" s="2"/>
      <c r="D1322" s="2"/>
      <c r="E1322" s="2">
        <v>11981400000</v>
      </c>
      <c r="F1322" s="2">
        <v>0</v>
      </c>
    </row>
    <row r="1323" spans="1:6" x14ac:dyDescent="0.3">
      <c r="A1323" s="6" t="s">
        <v>1728</v>
      </c>
      <c r="B1323" s="2" t="s">
        <v>1729</v>
      </c>
      <c r="C1323" s="2"/>
      <c r="D1323" s="2"/>
      <c r="E1323" s="2">
        <v>1922913421.53</v>
      </c>
      <c r="F1323" s="2">
        <v>0</v>
      </c>
    </row>
    <row r="1324" spans="1:6" x14ac:dyDescent="0.3">
      <c r="A1324" s="6" t="s">
        <v>1730</v>
      </c>
      <c r="B1324" s="2" t="s">
        <v>1731</v>
      </c>
      <c r="C1324" s="2"/>
      <c r="D1324" s="2"/>
      <c r="E1324" s="2">
        <v>207599000</v>
      </c>
      <c r="F1324" s="2">
        <v>0</v>
      </c>
    </row>
    <row r="1325" spans="1:6" x14ac:dyDescent="0.3">
      <c r="A1325" s="6" t="s">
        <v>1732</v>
      </c>
      <c r="B1325" s="2" t="s">
        <v>1733</v>
      </c>
      <c r="C1325" s="2"/>
      <c r="D1325" s="2"/>
      <c r="E1325" s="2">
        <v>0</v>
      </c>
      <c r="F1325" s="2">
        <v>216065448120.91</v>
      </c>
    </row>
    <row r="1326" spans="1:6" x14ac:dyDescent="0.3">
      <c r="A1326" s="6" t="s">
        <v>1734</v>
      </c>
      <c r="B1326" s="2" t="s">
        <v>1735</v>
      </c>
      <c r="C1326" s="2"/>
      <c r="D1326" s="2"/>
      <c r="E1326" s="2">
        <v>421055.34</v>
      </c>
      <c r="F1326" s="2">
        <v>0</v>
      </c>
    </row>
    <row r="1327" spans="1:6" x14ac:dyDescent="0.3">
      <c r="A1327" s="6" t="s">
        <v>1736</v>
      </c>
      <c r="B1327" s="2" t="s">
        <v>1737</v>
      </c>
      <c r="C1327" s="2"/>
      <c r="D1327" s="2"/>
      <c r="E1327" s="2">
        <v>23.28</v>
      </c>
      <c r="F1327" s="2">
        <v>0</v>
      </c>
    </row>
    <row r="1328" spans="1:6" x14ac:dyDescent="0.3">
      <c r="A1328" s="6" t="s">
        <v>1738</v>
      </c>
      <c r="B1328" s="2" t="s">
        <v>1739</v>
      </c>
      <c r="C1328" s="2"/>
      <c r="D1328" s="2"/>
      <c r="E1328" s="2">
        <v>1023.93</v>
      </c>
      <c r="F1328" s="2">
        <v>0</v>
      </c>
    </row>
    <row r="1329" spans="1:6" x14ac:dyDescent="0.3">
      <c r="A1329" s="6" t="s">
        <v>1740</v>
      </c>
      <c r="B1329" s="2" t="s">
        <v>1741</v>
      </c>
      <c r="C1329" s="2"/>
      <c r="D1329" s="2"/>
      <c r="E1329" s="2">
        <v>42.76</v>
      </c>
      <c r="F1329" s="2">
        <v>0</v>
      </c>
    </row>
    <row r="1330" spans="1:6" x14ac:dyDescent="0.3">
      <c r="A1330" s="6" t="s">
        <v>1742</v>
      </c>
      <c r="B1330" s="2" t="s">
        <v>1743</v>
      </c>
      <c r="C1330" s="2"/>
      <c r="D1330" s="2"/>
      <c r="E1330" s="2">
        <v>3432481000</v>
      </c>
      <c r="F1330" s="2">
        <v>0</v>
      </c>
    </row>
    <row r="1331" spans="1:6" x14ac:dyDescent="0.3">
      <c r="A1331" s="6" t="s">
        <v>1744</v>
      </c>
      <c r="B1331" s="2" t="s">
        <v>1745</v>
      </c>
      <c r="C1331" s="2"/>
      <c r="D1331" s="2"/>
      <c r="E1331" s="2">
        <v>5696388634.7799997</v>
      </c>
      <c r="F1331" s="2">
        <v>0</v>
      </c>
    </row>
  </sheetData>
  <autoFilter ref="A1:B1331" xr:uid="{92BCCD75-83F7-4017-8FC1-B332C66D4F1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C54B-2D7D-44BE-9D83-B7ECB819E72B}">
  <dimension ref="A1:J48"/>
  <sheetViews>
    <sheetView workbookViewId="0">
      <selection activeCell="E2" sqref="E2"/>
    </sheetView>
  </sheetViews>
  <sheetFormatPr defaultRowHeight="14.4" x14ac:dyDescent="0.3"/>
  <cols>
    <col min="1" max="1" width="5.6640625" customWidth="1" collapsed="1"/>
    <col min="2" max="2" width="69.6640625" customWidth="1" collapsed="1"/>
    <col min="3" max="3" width="5" bestFit="1" customWidth="1" collapsed="1"/>
    <col min="4" max="4" width="20.6640625" customWidth="1" collapsed="1"/>
    <col min="5" max="5" width="8" bestFit="1" customWidth="1" collapsed="1"/>
    <col min="6" max="10" width="25.6640625" customWidth="1" collapsed="1"/>
  </cols>
  <sheetData>
    <row r="1" spans="1:10" ht="14.4" customHeight="1" x14ac:dyDescent="0.3">
      <c r="A1" s="66" t="s">
        <v>1861</v>
      </c>
      <c r="B1" s="67"/>
      <c r="C1" s="67"/>
      <c r="D1" s="67"/>
      <c r="E1" s="68"/>
      <c r="F1" s="68"/>
      <c r="G1" s="68"/>
      <c r="H1" s="68"/>
      <c r="I1" s="68"/>
      <c r="J1" s="68"/>
    </row>
    <row r="2" spans="1:10" ht="14.4" customHeight="1" x14ac:dyDescent="0.3">
      <c r="F2" s="68"/>
      <c r="G2" s="68"/>
      <c r="H2" s="68"/>
      <c r="I2" s="68"/>
      <c r="J2" s="68"/>
    </row>
    <row r="3" spans="1:10" ht="14.4" customHeight="1" x14ac:dyDescent="0.3">
      <c r="F3" s="68"/>
      <c r="G3" s="68"/>
      <c r="H3" s="68"/>
      <c r="I3" s="68"/>
      <c r="J3" s="68"/>
    </row>
    <row r="4" spans="1:10" ht="14.4" customHeight="1" x14ac:dyDescent="0.3">
      <c r="D4" s="69" t="s">
        <v>1862</v>
      </c>
      <c r="E4" s="69"/>
    </row>
    <row r="5" spans="1:10" ht="14.4" customHeight="1" x14ac:dyDescent="0.3">
      <c r="D5" s="70" t="s">
        <v>1863</v>
      </c>
      <c r="E5" s="70" t="s">
        <v>1864</v>
      </c>
    </row>
    <row r="6" spans="1:10" ht="15" customHeight="1" thickBot="1" x14ac:dyDescent="0.3">
      <c r="D6" s="71" t="s">
        <v>1865</v>
      </c>
      <c r="E6" s="71"/>
      <c r="F6" s="68"/>
      <c r="G6" s="68"/>
      <c r="H6" s="68"/>
      <c r="I6" s="68"/>
      <c r="J6" s="68"/>
    </row>
    <row r="7" spans="1:10" ht="14.4" customHeight="1" x14ac:dyDescent="0.3">
      <c r="B7" s="72" t="s">
        <v>1866</v>
      </c>
      <c r="C7" s="73" t="s">
        <v>1865</v>
      </c>
      <c r="D7" s="74">
        <v>916547782</v>
      </c>
      <c r="E7" s="74"/>
      <c r="F7" s="75"/>
      <c r="G7" s="68"/>
      <c r="H7" s="68"/>
      <c r="I7" s="68"/>
      <c r="J7" s="68"/>
    </row>
    <row r="8" spans="1:10" ht="14.4" customHeight="1" x14ac:dyDescent="0.3">
      <c r="B8" s="76" t="s">
        <v>1867</v>
      </c>
      <c r="C8" s="73" t="s">
        <v>56</v>
      </c>
      <c r="D8" s="74">
        <v>916547782</v>
      </c>
      <c r="E8" s="74"/>
      <c r="F8" s="75"/>
      <c r="G8" s="68"/>
      <c r="H8" s="68"/>
      <c r="I8" s="68"/>
      <c r="J8" s="68"/>
    </row>
    <row r="9" spans="1:10" ht="14.4" customHeight="1" x14ac:dyDescent="0.3">
      <c r="B9" s="76" t="s">
        <v>1868</v>
      </c>
      <c r="C9" s="73" t="s">
        <v>64</v>
      </c>
      <c r="D9" s="74">
        <v>0</v>
      </c>
      <c r="E9" s="74"/>
      <c r="F9" s="75"/>
      <c r="G9" s="68"/>
      <c r="H9" s="68"/>
      <c r="I9" s="68"/>
      <c r="J9" s="68"/>
    </row>
    <row r="10" spans="1:10" ht="14.4" customHeight="1" x14ac:dyDescent="0.3">
      <c r="B10" s="76" t="s">
        <v>1869</v>
      </c>
      <c r="C10" s="73" t="s">
        <v>57</v>
      </c>
      <c r="D10" s="74">
        <v>0</v>
      </c>
      <c r="E10" s="74"/>
      <c r="F10" s="75"/>
      <c r="G10" s="68"/>
      <c r="H10" s="68"/>
      <c r="I10" s="68"/>
      <c r="J10" s="68"/>
    </row>
    <row r="11" spans="1:10" ht="14.4" customHeight="1" x14ac:dyDescent="0.3">
      <c r="B11" s="76" t="s">
        <v>52</v>
      </c>
      <c r="C11" s="73" t="s">
        <v>1870</v>
      </c>
      <c r="D11" s="74">
        <v>0</v>
      </c>
      <c r="E11" s="74"/>
      <c r="F11" s="75"/>
      <c r="G11" s="68"/>
      <c r="H11" s="68"/>
      <c r="I11" s="68"/>
      <c r="J11" s="68"/>
    </row>
    <row r="12" spans="1:10" ht="14.4" customHeight="1" x14ac:dyDescent="0.3">
      <c r="B12" s="76" t="s">
        <v>1871</v>
      </c>
      <c r="C12" s="73" t="s">
        <v>1872</v>
      </c>
      <c r="D12" s="74">
        <v>0</v>
      </c>
      <c r="E12" s="74"/>
      <c r="F12" s="75"/>
      <c r="G12" s="68"/>
      <c r="H12" s="68"/>
      <c r="I12" s="68"/>
      <c r="J12" s="68"/>
    </row>
    <row r="13" spans="1:10" ht="14.4" customHeight="1" x14ac:dyDescent="0.3">
      <c r="B13" s="72" t="s">
        <v>1873</v>
      </c>
      <c r="C13" s="73" t="s">
        <v>1874</v>
      </c>
      <c r="D13" s="74">
        <v>0</v>
      </c>
      <c r="E13" s="74"/>
      <c r="F13" s="75"/>
      <c r="G13" s="68"/>
      <c r="H13" s="68"/>
      <c r="I13" s="68"/>
      <c r="J13" s="68"/>
    </row>
    <row r="14" spans="1:10" ht="14.4" customHeight="1" x14ac:dyDescent="0.3">
      <c r="B14" s="76" t="s">
        <v>1867</v>
      </c>
      <c r="C14" s="73" t="s">
        <v>1875</v>
      </c>
      <c r="D14" s="74">
        <v>0</v>
      </c>
      <c r="E14" s="74"/>
      <c r="F14" s="75"/>
      <c r="G14" s="68"/>
      <c r="H14" s="68"/>
      <c r="I14" s="68"/>
      <c r="J14" s="68"/>
    </row>
    <row r="15" spans="1:10" ht="14.4" customHeight="1" x14ac:dyDescent="0.3">
      <c r="B15" s="76" t="s">
        <v>1868</v>
      </c>
      <c r="C15" s="73" t="s">
        <v>1876</v>
      </c>
      <c r="D15" s="74">
        <v>0</v>
      </c>
      <c r="E15" s="74"/>
      <c r="F15" s="75"/>
      <c r="G15" s="68"/>
      <c r="H15" s="68"/>
      <c r="I15" s="68"/>
      <c r="J15" s="68"/>
    </row>
    <row r="16" spans="1:10" ht="14.4" customHeight="1" x14ac:dyDescent="0.3">
      <c r="B16" s="76" t="s">
        <v>1869</v>
      </c>
      <c r="C16" s="73" t="s">
        <v>1877</v>
      </c>
      <c r="D16" s="74">
        <v>0</v>
      </c>
      <c r="E16" s="74"/>
      <c r="F16" s="75"/>
      <c r="G16" s="68"/>
      <c r="H16" s="68"/>
      <c r="I16" s="68"/>
      <c r="J16" s="68"/>
    </row>
    <row r="17" spans="2:10" ht="14.4" customHeight="1" x14ac:dyDescent="0.3">
      <c r="B17" s="76" t="s">
        <v>52</v>
      </c>
      <c r="C17" s="73" t="s">
        <v>1878</v>
      </c>
      <c r="D17" s="74">
        <v>0</v>
      </c>
      <c r="E17" s="74"/>
      <c r="F17" s="75"/>
      <c r="G17" s="68"/>
      <c r="H17" s="68"/>
      <c r="I17" s="68"/>
      <c r="J17" s="68"/>
    </row>
    <row r="18" spans="2:10" ht="14.4" customHeight="1" x14ac:dyDescent="0.3">
      <c r="B18" s="76" t="s">
        <v>1871</v>
      </c>
      <c r="C18" s="73" t="s">
        <v>1879</v>
      </c>
      <c r="D18" s="74">
        <v>0</v>
      </c>
      <c r="E18" s="74"/>
      <c r="F18" s="75"/>
      <c r="G18" s="68"/>
      <c r="H18" s="68"/>
      <c r="I18" s="68"/>
      <c r="J18" s="68"/>
    </row>
    <row r="19" spans="2:10" ht="14.4" customHeight="1" x14ac:dyDescent="0.3">
      <c r="B19" s="72" t="s">
        <v>1880</v>
      </c>
      <c r="C19" s="73" t="s">
        <v>58</v>
      </c>
      <c r="D19" s="74">
        <v>0</v>
      </c>
      <c r="E19" s="74"/>
      <c r="F19" s="75"/>
      <c r="G19" s="68"/>
      <c r="H19" s="68"/>
      <c r="I19" s="68"/>
      <c r="J19" s="68"/>
    </row>
    <row r="20" spans="2:10" ht="14.4" customHeight="1" x14ac:dyDescent="0.3">
      <c r="B20" s="76" t="s">
        <v>1869</v>
      </c>
      <c r="C20" s="73" t="s">
        <v>1881</v>
      </c>
      <c r="D20" s="74">
        <v>0</v>
      </c>
      <c r="E20" s="74"/>
      <c r="F20" s="75"/>
      <c r="G20" s="68"/>
      <c r="H20" s="68"/>
      <c r="I20" s="68"/>
      <c r="J20" s="68"/>
    </row>
    <row r="21" spans="2:10" ht="14.4" customHeight="1" x14ac:dyDescent="0.3">
      <c r="B21" s="76" t="s">
        <v>52</v>
      </c>
      <c r="C21" s="73" t="s">
        <v>1882</v>
      </c>
      <c r="D21" s="74">
        <v>0</v>
      </c>
      <c r="E21" s="74"/>
      <c r="F21" s="75"/>
      <c r="G21" s="68"/>
      <c r="H21" s="68"/>
      <c r="I21" s="68"/>
      <c r="J21" s="68"/>
    </row>
    <row r="22" spans="2:10" ht="14.4" customHeight="1" x14ac:dyDescent="0.3">
      <c r="B22" s="76" t="s">
        <v>1871</v>
      </c>
      <c r="C22" s="73" t="s">
        <v>1883</v>
      </c>
      <c r="D22" s="74">
        <v>0</v>
      </c>
      <c r="E22" s="74"/>
      <c r="F22" s="75"/>
      <c r="G22" s="68"/>
      <c r="H22" s="68"/>
      <c r="I22" s="68"/>
      <c r="J22" s="68"/>
    </row>
    <row r="23" spans="2:10" ht="14.4" customHeight="1" x14ac:dyDescent="0.3">
      <c r="B23" s="72" t="s">
        <v>1884</v>
      </c>
      <c r="C23" s="73" t="s">
        <v>1885</v>
      </c>
      <c r="D23" s="74">
        <v>54578842840</v>
      </c>
      <c r="E23" s="74"/>
      <c r="F23" s="75"/>
      <c r="G23" s="68"/>
      <c r="H23" s="68"/>
      <c r="I23" s="68"/>
      <c r="J23" s="68"/>
    </row>
    <row r="24" spans="2:10" ht="14.4" customHeight="1" x14ac:dyDescent="0.3">
      <c r="B24" s="76" t="s">
        <v>1869</v>
      </c>
      <c r="C24" s="73" t="s">
        <v>1886</v>
      </c>
      <c r="D24" s="74">
        <v>43863811513</v>
      </c>
      <c r="E24" s="74"/>
      <c r="F24" s="75"/>
      <c r="G24" s="68"/>
      <c r="H24" s="68"/>
      <c r="I24" s="68"/>
      <c r="J24" s="68"/>
    </row>
    <row r="25" spans="2:10" ht="14.4" customHeight="1" x14ac:dyDescent="0.3">
      <c r="B25" s="76" t="s">
        <v>52</v>
      </c>
      <c r="C25" s="73" t="s">
        <v>55</v>
      </c>
      <c r="D25" s="74">
        <v>6788545206</v>
      </c>
      <c r="E25" s="74" t="s">
        <v>1887</v>
      </c>
      <c r="F25" s="75"/>
      <c r="G25" s="68"/>
      <c r="H25" s="68"/>
      <c r="I25" s="68"/>
      <c r="J25" s="68"/>
    </row>
    <row r="26" spans="2:10" ht="14.4" customHeight="1" x14ac:dyDescent="0.3">
      <c r="B26" s="76" t="s">
        <v>1871</v>
      </c>
      <c r="C26" s="73" t="s">
        <v>1888</v>
      </c>
      <c r="D26" s="74">
        <v>3926486121</v>
      </c>
      <c r="E26" s="74"/>
      <c r="F26" s="75"/>
      <c r="G26" s="68"/>
      <c r="H26" s="68"/>
      <c r="I26" s="68"/>
      <c r="J26" s="68"/>
    </row>
    <row r="27" spans="2:10" ht="28.95" customHeight="1" x14ac:dyDescent="0.3">
      <c r="B27" s="72" t="s">
        <v>1889</v>
      </c>
      <c r="C27" s="73" t="s">
        <v>1890</v>
      </c>
      <c r="D27" s="74">
        <v>0</v>
      </c>
      <c r="E27" s="74"/>
      <c r="F27" s="75"/>
      <c r="G27" s="68"/>
      <c r="H27" s="68"/>
      <c r="I27" s="68"/>
      <c r="J27" s="68"/>
    </row>
    <row r="28" spans="2:10" ht="14.4" customHeight="1" x14ac:dyDescent="0.3">
      <c r="B28" s="76" t="s">
        <v>1869</v>
      </c>
      <c r="C28" s="73" t="s">
        <v>1891</v>
      </c>
      <c r="D28" s="74">
        <v>0</v>
      </c>
      <c r="E28" s="74"/>
      <c r="F28" s="75"/>
      <c r="G28" s="68"/>
      <c r="H28" s="68"/>
      <c r="I28" s="68"/>
      <c r="J28" s="68"/>
    </row>
    <row r="29" spans="2:10" ht="14.4" customHeight="1" x14ac:dyDescent="0.3">
      <c r="B29" s="76" t="s">
        <v>52</v>
      </c>
      <c r="C29" s="73" t="s">
        <v>1892</v>
      </c>
      <c r="D29" s="74">
        <v>0</v>
      </c>
      <c r="E29" s="74"/>
      <c r="F29" s="75"/>
      <c r="G29" s="68"/>
      <c r="H29" s="68"/>
      <c r="I29" s="68"/>
      <c r="J29" s="68"/>
    </row>
    <row r="30" spans="2:10" ht="14.4" customHeight="1" x14ac:dyDescent="0.3">
      <c r="B30" s="76" t="s">
        <v>1871</v>
      </c>
      <c r="C30" s="73" t="s">
        <v>1893</v>
      </c>
      <c r="D30" s="74">
        <v>0</v>
      </c>
      <c r="E30" s="74"/>
      <c r="F30" s="75"/>
      <c r="G30" s="68"/>
      <c r="H30" s="68"/>
      <c r="I30" s="68"/>
      <c r="J30" s="68"/>
    </row>
    <row r="31" spans="2:10" ht="14.4" customHeight="1" x14ac:dyDescent="0.3">
      <c r="B31" s="72" t="s">
        <v>1894</v>
      </c>
      <c r="C31" s="73" t="s">
        <v>1895</v>
      </c>
      <c r="D31" s="74">
        <v>34118214</v>
      </c>
      <c r="E31" s="74"/>
      <c r="F31" s="75"/>
      <c r="G31" s="68"/>
      <c r="H31" s="68"/>
      <c r="I31" s="68"/>
      <c r="J31" s="68"/>
    </row>
    <row r="32" spans="2:10" ht="14.4" customHeight="1" x14ac:dyDescent="0.3">
      <c r="B32" s="72" t="s">
        <v>1896</v>
      </c>
      <c r="C32" s="73" t="s">
        <v>1897</v>
      </c>
      <c r="D32" s="74">
        <v>0</v>
      </c>
      <c r="E32" s="74"/>
      <c r="F32" s="75"/>
      <c r="G32" s="68"/>
      <c r="H32" s="77"/>
      <c r="I32" s="78"/>
      <c r="J32" s="79"/>
    </row>
    <row r="33" spans="2:10" ht="14.4" customHeight="1" x14ac:dyDescent="0.3">
      <c r="B33" s="72" t="s">
        <v>1898</v>
      </c>
      <c r="C33" s="73" t="s">
        <v>1899</v>
      </c>
      <c r="D33" s="74">
        <v>120161303</v>
      </c>
      <c r="E33" s="74"/>
      <c r="F33" s="75"/>
      <c r="G33" s="68"/>
      <c r="H33" s="68"/>
      <c r="I33" s="68"/>
      <c r="J33" s="68"/>
    </row>
    <row r="34" spans="2:10" ht="14.4" customHeight="1" x14ac:dyDescent="0.3">
      <c r="B34" s="76" t="s">
        <v>1900</v>
      </c>
      <c r="C34" s="73" t="s">
        <v>1901</v>
      </c>
      <c r="D34" s="74">
        <v>0</v>
      </c>
      <c r="E34" s="74"/>
      <c r="F34" s="75"/>
      <c r="G34" s="80"/>
      <c r="H34" s="68"/>
      <c r="I34" s="68"/>
      <c r="J34" s="68"/>
    </row>
    <row r="35" spans="2:10" ht="14.4" customHeight="1" x14ac:dyDescent="0.3">
      <c r="B35" s="76" t="s">
        <v>1902</v>
      </c>
      <c r="C35" s="73" t="s">
        <v>1903</v>
      </c>
      <c r="D35" s="74">
        <v>14992247</v>
      </c>
      <c r="E35" s="74"/>
      <c r="F35" s="75"/>
      <c r="G35" s="80"/>
      <c r="H35" s="68"/>
      <c r="I35" s="68"/>
      <c r="J35" s="68"/>
    </row>
    <row r="36" spans="2:10" ht="14.4" customHeight="1" x14ac:dyDescent="0.3">
      <c r="B36" s="76" t="s">
        <v>1904</v>
      </c>
      <c r="C36" s="73" t="s">
        <v>1905</v>
      </c>
      <c r="D36" s="74">
        <v>0</v>
      </c>
      <c r="E36" s="74"/>
      <c r="F36" s="75"/>
      <c r="G36" s="80"/>
      <c r="H36" s="68"/>
      <c r="I36" s="68"/>
      <c r="J36" s="68"/>
    </row>
    <row r="37" spans="2:10" ht="14.4" customHeight="1" x14ac:dyDescent="0.3">
      <c r="B37" s="76" t="s">
        <v>1906</v>
      </c>
      <c r="C37" s="73" t="s">
        <v>1907</v>
      </c>
      <c r="D37" s="74">
        <v>16797930</v>
      </c>
      <c r="E37" s="74"/>
      <c r="F37" s="75"/>
      <c r="G37" s="80"/>
      <c r="H37" s="68"/>
      <c r="I37" s="68"/>
      <c r="J37" s="68"/>
    </row>
    <row r="38" spans="2:10" ht="14.4" customHeight="1" x14ac:dyDescent="0.3">
      <c r="B38" s="76" t="s">
        <v>1908</v>
      </c>
      <c r="C38" s="73" t="s">
        <v>1909</v>
      </c>
      <c r="D38" s="74">
        <v>29332036</v>
      </c>
      <c r="E38" s="74"/>
      <c r="F38" s="75"/>
      <c r="G38" s="80"/>
      <c r="H38" s="68"/>
      <c r="I38" s="68"/>
      <c r="J38" s="68"/>
    </row>
    <row r="39" spans="2:10" ht="14.4" customHeight="1" x14ac:dyDescent="0.3">
      <c r="B39" s="76" t="s">
        <v>1910</v>
      </c>
      <c r="C39" s="73" t="s">
        <v>1911</v>
      </c>
      <c r="D39" s="74">
        <v>47703047</v>
      </c>
      <c r="E39" s="74"/>
      <c r="F39" s="75"/>
      <c r="G39" s="80"/>
      <c r="H39" s="68"/>
      <c r="I39" s="68"/>
      <c r="J39" s="68"/>
    </row>
    <row r="40" spans="2:10" ht="14.4" customHeight="1" x14ac:dyDescent="0.3">
      <c r="B40" s="76" t="s">
        <v>1912</v>
      </c>
      <c r="C40" s="73" t="s">
        <v>1913</v>
      </c>
      <c r="D40" s="74">
        <v>11336043</v>
      </c>
      <c r="E40" s="74"/>
      <c r="F40" s="75"/>
      <c r="G40" s="80"/>
      <c r="H40" s="68"/>
      <c r="I40" s="68"/>
      <c r="J40" s="68"/>
    </row>
    <row r="41" spans="2:10" ht="14.4" customHeight="1" x14ac:dyDescent="0.3">
      <c r="B41" s="72" t="s">
        <v>1914</v>
      </c>
      <c r="C41" s="73" t="s">
        <v>60</v>
      </c>
      <c r="D41" s="74">
        <v>121800158</v>
      </c>
      <c r="E41" s="74"/>
      <c r="F41" s="75"/>
      <c r="G41" s="68"/>
      <c r="H41" s="68"/>
      <c r="I41" s="68"/>
      <c r="J41" s="68"/>
    </row>
    <row r="42" spans="2:10" ht="14.4" customHeight="1" x14ac:dyDescent="0.3">
      <c r="B42" s="76" t="s">
        <v>1915</v>
      </c>
      <c r="C42" s="73" t="s">
        <v>1916</v>
      </c>
      <c r="D42" s="74">
        <v>44773191</v>
      </c>
      <c r="E42" s="74"/>
      <c r="F42" s="75"/>
      <c r="G42" s="68"/>
      <c r="H42" s="68"/>
      <c r="I42" s="68"/>
      <c r="J42" s="68"/>
    </row>
    <row r="43" spans="2:10" ht="14.4" customHeight="1" x14ac:dyDescent="0.3">
      <c r="B43" s="76" t="s">
        <v>1917</v>
      </c>
      <c r="C43" s="73" t="s">
        <v>1918</v>
      </c>
      <c r="D43" s="74">
        <v>77026967</v>
      </c>
      <c r="E43" s="74"/>
      <c r="F43" s="75"/>
      <c r="G43" s="68"/>
      <c r="H43" s="68"/>
      <c r="I43" s="68"/>
      <c r="J43" s="68"/>
    </row>
    <row r="44" spans="2:10" ht="14.4" customHeight="1" x14ac:dyDescent="0.3">
      <c r="B44" s="72" t="s">
        <v>1919</v>
      </c>
      <c r="C44" s="73" t="s">
        <v>1920</v>
      </c>
      <c r="D44" s="74">
        <v>0</v>
      </c>
      <c r="E44" s="74"/>
      <c r="F44" s="75"/>
      <c r="G44" s="68"/>
      <c r="H44" s="68"/>
      <c r="I44" s="68"/>
      <c r="J44" s="68"/>
    </row>
    <row r="45" spans="2:10" ht="14.4" customHeight="1" x14ac:dyDescent="0.3">
      <c r="B45" s="72" t="s">
        <v>1921</v>
      </c>
      <c r="C45" s="73" t="s">
        <v>1922</v>
      </c>
      <c r="D45" s="74">
        <v>507624257</v>
      </c>
      <c r="E45" s="74"/>
      <c r="F45" s="75"/>
      <c r="G45" s="68"/>
      <c r="H45" s="68"/>
      <c r="I45" s="68"/>
      <c r="J45" s="68"/>
    </row>
    <row r="46" spans="2:10" ht="14.4" customHeight="1" x14ac:dyDescent="0.3">
      <c r="B46" s="72" t="s">
        <v>1923</v>
      </c>
      <c r="C46" s="73" t="s">
        <v>1924</v>
      </c>
      <c r="D46" s="74">
        <v>0</v>
      </c>
      <c r="E46" s="74"/>
      <c r="F46" s="75"/>
      <c r="G46" s="68"/>
      <c r="H46" s="68"/>
      <c r="I46" s="68"/>
      <c r="J46" s="68"/>
    </row>
    <row r="47" spans="2:10" ht="14.4" customHeight="1" x14ac:dyDescent="0.3">
      <c r="B47" s="72" t="s">
        <v>1925</v>
      </c>
      <c r="C47" s="73" t="s">
        <v>1926</v>
      </c>
      <c r="D47" s="74">
        <v>0</v>
      </c>
      <c r="E47" s="74"/>
      <c r="F47" s="68"/>
      <c r="G47" s="68"/>
      <c r="H47" s="68"/>
      <c r="I47" s="68"/>
      <c r="J47" s="68"/>
    </row>
    <row r="48" spans="2:10" ht="15" customHeight="1" thickBot="1" x14ac:dyDescent="0.3">
      <c r="B48" s="81" t="s">
        <v>1927</v>
      </c>
      <c r="C48" s="73" t="s">
        <v>1928</v>
      </c>
      <c r="D48" s="74">
        <v>56279094554</v>
      </c>
      <c r="E48" s="74"/>
      <c r="F48" s="68"/>
      <c r="G48" s="68"/>
      <c r="H48" s="68"/>
      <c r="I48" s="68"/>
      <c r="J48" s="68"/>
    </row>
  </sheetData>
  <mergeCells count="1">
    <mergeCell ref="A1:D1"/>
  </mergeCells>
  <pageMargins left="0.7" right="0.7" top="0.75" bottom="0.75" header="0.3" footer="0.3"/>
  <headerFooter>
    <oddHeader>&amp;L&amp;"Aptos"&amp;10&amp;K000000 Confidential&amp;1#_x000D_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FBCD3-3E1C-4E43-9BA4-6E3CFE167C97}">
  <dimension ref="A1:K58"/>
  <sheetViews>
    <sheetView workbookViewId="0">
      <selection activeCell="E2" sqref="E2"/>
    </sheetView>
  </sheetViews>
  <sheetFormatPr defaultRowHeight="14.4" x14ac:dyDescent="0.3"/>
  <cols>
    <col min="1" max="1" width="5.6640625" customWidth="1" collapsed="1"/>
    <col min="2" max="2" width="116.6640625" bestFit="1" customWidth="1" collapsed="1"/>
    <col min="3" max="3" width="5" bestFit="1" customWidth="1" collapsed="1"/>
    <col min="4" max="5" width="20.6640625" customWidth="1" collapsed="1"/>
    <col min="6" max="11" width="25.6640625" customWidth="1" collapsed="1"/>
  </cols>
  <sheetData>
    <row r="1" spans="1:11" ht="14.4" customHeight="1" x14ac:dyDescent="0.3">
      <c r="A1" s="66" t="s">
        <v>1929</v>
      </c>
      <c r="B1" s="67"/>
      <c r="C1" s="67"/>
      <c r="D1" s="67"/>
      <c r="E1" s="68"/>
      <c r="F1" s="68"/>
      <c r="G1" s="68"/>
      <c r="H1" s="68"/>
      <c r="I1" s="68"/>
      <c r="J1" s="68"/>
      <c r="K1" s="68"/>
    </row>
    <row r="2" spans="1:11" ht="14.4" customHeight="1" x14ac:dyDescent="0.3">
      <c r="F2" s="68"/>
      <c r="G2" s="68"/>
      <c r="H2" s="68"/>
      <c r="I2" s="68"/>
      <c r="J2" s="68"/>
      <c r="K2" s="68"/>
    </row>
    <row r="3" spans="1:11" ht="14.4" customHeight="1" x14ac:dyDescent="0.3">
      <c r="F3" s="68"/>
      <c r="G3" s="68"/>
      <c r="H3" s="68"/>
      <c r="I3" s="68"/>
      <c r="J3" s="68"/>
      <c r="K3" s="68"/>
    </row>
    <row r="4" spans="1:11" ht="14.4" customHeight="1" x14ac:dyDescent="0.3">
      <c r="D4" s="69" t="s">
        <v>1862</v>
      </c>
      <c r="E4" s="69"/>
    </row>
    <row r="5" spans="1:11" ht="14.4" customHeight="1" x14ac:dyDescent="0.3">
      <c r="D5" s="70" t="s">
        <v>1863</v>
      </c>
      <c r="E5" s="70" t="s">
        <v>1864</v>
      </c>
    </row>
    <row r="6" spans="1:11" ht="15" customHeight="1" thickBot="1" x14ac:dyDescent="0.3">
      <c r="D6" s="71" t="s">
        <v>1865</v>
      </c>
      <c r="E6" s="71"/>
      <c r="F6" s="68"/>
      <c r="G6" s="68"/>
      <c r="H6" s="68"/>
      <c r="I6" s="68"/>
      <c r="J6" s="68"/>
      <c r="K6" s="68"/>
    </row>
    <row r="7" spans="1:11" ht="14.4" customHeight="1" x14ac:dyDescent="0.3">
      <c r="B7" s="72" t="s">
        <v>1930</v>
      </c>
      <c r="C7" s="73" t="s">
        <v>1865</v>
      </c>
      <c r="D7" s="74">
        <v>1391779674</v>
      </c>
      <c r="E7" s="74"/>
      <c r="F7" s="82"/>
      <c r="G7" s="83"/>
      <c r="H7" s="68"/>
      <c r="I7" s="68"/>
      <c r="J7" s="84"/>
      <c r="K7" s="68"/>
    </row>
    <row r="8" spans="1:11" ht="14.4" customHeight="1" x14ac:dyDescent="0.3">
      <c r="B8" s="76" t="s">
        <v>53</v>
      </c>
      <c r="C8" s="73" t="s">
        <v>56</v>
      </c>
      <c r="D8" s="74">
        <v>1391779674</v>
      </c>
      <c r="E8" s="74">
        <v>1</v>
      </c>
      <c r="F8" s="82"/>
      <c r="G8" s="83"/>
      <c r="H8" s="68"/>
      <c r="I8" s="68"/>
      <c r="J8" s="84"/>
      <c r="K8" s="68"/>
    </row>
    <row r="9" spans="1:11" ht="14.4" customHeight="1" x14ac:dyDescent="0.3">
      <c r="B9" s="76" t="s">
        <v>1931</v>
      </c>
      <c r="C9" s="73" t="s">
        <v>64</v>
      </c>
      <c r="D9" s="74">
        <v>0</v>
      </c>
      <c r="E9" s="74"/>
      <c r="F9" s="82"/>
      <c r="G9" s="83"/>
      <c r="H9" s="68"/>
      <c r="I9" s="68"/>
      <c r="J9" s="84"/>
      <c r="K9" s="68"/>
    </row>
    <row r="10" spans="1:11" ht="14.4" customHeight="1" x14ac:dyDescent="0.3">
      <c r="B10" s="72" t="s">
        <v>54</v>
      </c>
      <c r="C10" s="73" t="s">
        <v>57</v>
      </c>
      <c r="D10" s="74">
        <v>193389954</v>
      </c>
      <c r="E10" s="74">
        <v>1</v>
      </c>
      <c r="F10" s="82"/>
      <c r="G10" s="83"/>
      <c r="H10" s="68"/>
      <c r="I10" s="68"/>
      <c r="J10" s="68"/>
      <c r="K10" s="68"/>
    </row>
    <row r="11" spans="1:11" ht="14.4" customHeight="1" x14ac:dyDescent="0.3">
      <c r="B11" s="72" t="s">
        <v>1932</v>
      </c>
      <c r="C11" s="73" t="s">
        <v>1870</v>
      </c>
      <c r="D11" s="74">
        <v>1200000000</v>
      </c>
      <c r="E11" s="74"/>
      <c r="F11" s="82"/>
      <c r="G11" s="83"/>
      <c r="H11" s="68"/>
      <c r="I11" s="68"/>
      <c r="J11" s="84"/>
      <c r="K11" s="68"/>
    </row>
    <row r="12" spans="1:11" ht="14.4" customHeight="1" x14ac:dyDescent="0.3">
      <c r="B12" s="76" t="s">
        <v>1933</v>
      </c>
      <c r="C12" s="73" t="s">
        <v>1872</v>
      </c>
      <c r="D12" s="74">
        <v>0</v>
      </c>
      <c r="E12" s="74"/>
      <c r="F12" s="82"/>
      <c r="G12" s="83"/>
      <c r="H12" s="68"/>
      <c r="I12" s="68"/>
      <c r="J12" s="84"/>
      <c r="K12" s="68"/>
    </row>
    <row r="13" spans="1:11" ht="14.4" customHeight="1" x14ac:dyDescent="0.3">
      <c r="B13" s="76" t="s">
        <v>59</v>
      </c>
      <c r="C13" s="73" t="s">
        <v>58</v>
      </c>
      <c r="D13" s="74">
        <v>1200000000</v>
      </c>
      <c r="E13" s="74">
        <v>2</v>
      </c>
      <c r="F13" s="82"/>
      <c r="G13" s="83"/>
      <c r="H13" s="68"/>
      <c r="I13" s="68"/>
      <c r="J13" s="84"/>
      <c r="K13" s="68"/>
    </row>
    <row r="14" spans="1:11" ht="14.4" customHeight="1" x14ac:dyDescent="0.3">
      <c r="B14" s="72" t="s">
        <v>1934</v>
      </c>
      <c r="C14" s="73" t="s">
        <v>1881</v>
      </c>
      <c r="D14" s="74">
        <v>0</v>
      </c>
      <c r="E14" s="74"/>
      <c r="F14" s="82"/>
      <c r="G14" s="83"/>
      <c r="H14" s="68"/>
      <c r="I14" s="68"/>
      <c r="J14" s="68"/>
      <c r="K14" s="68"/>
    </row>
    <row r="15" spans="1:11" ht="14.4" customHeight="1" x14ac:dyDescent="0.3">
      <c r="B15" s="72" t="s">
        <v>1935</v>
      </c>
      <c r="C15" s="73" t="s">
        <v>1882</v>
      </c>
      <c r="D15" s="74">
        <v>-285891180</v>
      </c>
      <c r="E15" s="74"/>
      <c r="F15" s="82"/>
      <c r="G15" s="83"/>
      <c r="H15" s="68"/>
      <c r="I15" s="68"/>
      <c r="J15" s="68"/>
      <c r="K15" s="68"/>
    </row>
    <row r="16" spans="1:11" ht="14.4" customHeight="1" x14ac:dyDescent="0.3">
      <c r="B16" s="76" t="s">
        <v>1936</v>
      </c>
      <c r="C16" s="73" t="s">
        <v>1937</v>
      </c>
      <c r="D16" s="74">
        <v>-448635411</v>
      </c>
      <c r="E16" s="74"/>
      <c r="F16" s="82"/>
      <c r="G16" s="83"/>
      <c r="H16" s="85"/>
      <c r="I16" s="68"/>
      <c r="J16" s="68"/>
      <c r="K16" s="68"/>
    </row>
    <row r="17" spans="2:11" ht="14.4" customHeight="1" x14ac:dyDescent="0.3">
      <c r="B17" s="86" t="s">
        <v>1938</v>
      </c>
      <c r="C17" s="73" t="s">
        <v>1883</v>
      </c>
      <c r="D17" s="74">
        <v>0</v>
      </c>
      <c r="E17" s="74"/>
      <c r="F17" s="82"/>
      <c r="G17" s="83"/>
      <c r="H17" s="85"/>
      <c r="I17" s="68"/>
      <c r="J17" s="68"/>
      <c r="K17" s="68"/>
    </row>
    <row r="18" spans="2:11" ht="14.4" customHeight="1" x14ac:dyDescent="0.3">
      <c r="B18" s="86" t="s">
        <v>1939</v>
      </c>
      <c r="C18" s="73" t="s">
        <v>1885</v>
      </c>
      <c r="D18" s="74">
        <v>0</v>
      </c>
      <c r="E18" s="74"/>
      <c r="F18" s="82"/>
      <c r="G18" s="83"/>
      <c r="H18" s="85"/>
      <c r="I18" s="68"/>
      <c r="J18" s="68"/>
      <c r="K18" s="68"/>
    </row>
    <row r="19" spans="2:11" ht="14.4" customHeight="1" x14ac:dyDescent="0.3">
      <c r="B19" s="86" t="s">
        <v>1940</v>
      </c>
      <c r="C19" s="73" t="s">
        <v>1886</v>
      </c>
      <c r="D19" s="74">
        <v>-508293358</v>
      </c>
      <c r="E19" s="74"/>
      <c r="F19" s="82"/>
      <c r="G19" s="83"/>
      <c r="H19" s="85"/>
      <c r="I19" s="68"/>
      <c r="J19" s="68"/>
      <c r="K19" s="68"/>
    </row>
    <row r="20" spans="2:11" ht="14.4" customHeight="1" x14ac:dyDescent="0.3">
      <c r="B20" s="86" t="s">
        <v>1941</v>
      </c>
      <c r="C20" s="73" t="s">
        <v>1942</v>
      </c>
      <c r="D20" s="74">
        <v>0</v>
      </c>
      <c r="E20" s="74"/>
      <c r="F20" s="82"/>
      <c r="G20" s="83"/>
      <c r="H20" s="85"/>
      <c r="I20" s="68"/>
      <c r="J20" s="68"/>
      <c r="K20" s="68"/>
    </row>
    <row r="21" spans="2:11" ht="14.4" customHeight="1" x14ac:dyDescent="0.3">
      <c r="B21" s="86" t="s">
        <v>1943</v>
      </c>
      <c r="C21" s="73" t="s">
        <v>1944</v>
      </c>
      <c r="D21" s="74">
        <v>0</v>
      </c>
      <c r="E21" s="74"/>
      <c r="F21" s="82"/>
      <c r="G21" s="83"/>
      <c r="H21" s="85"/>
      <c r="I21" s="68"/>
      <c r="J21" s="68"/>
      <c r="K21" s="68"/>
    </row>
    <row r="22" spans="2:11" ht="14.4" customHeight="1" x14ac:dyDescent="0.3">
      <c r="B22" s="86" t="s">
        <v>1945</v>
      </c>
      <c r="C22" s="73" t="s">
        <v>1946</v>
      </c>
      <c r="D22" s="74">
        <v>59657947</v>
      </c>
      <c r="E22" s="74"/>
      <c r="F22" s="82"/>
      <c r="G22" s="83"/>
      <c r="H22" s="85"/>
      <c r="I22" s="68"/>
      <c r="J22" s="68"/>
      <c r="K22" s="68"/>
    </row>
    <row r="23" spans="2:11" ht="14.4" customHeight="1" x14ac:dyDescent="0.3">
      <c r="B23" s="86" t="s">
        <v>1947</v>
      </c>
      <c r="C23" s="73" t="s">
        <v>1948</v>
      </c>
      <c r="D23" s="74">
        <v>0</v>
      </c>
      <c r="E23" s="74"/>
      <c r="F23" s="82"/>
      <c r="G23" s="83"/>
      <c r="H23" s="85"/>
      <c r="I23" s="78"/>
      <c r="J23" s="68"/>
      <c r="K23" s="68"/>
    </row>
    <row r="24" spans="2:11" ht="14.4" customHeight="1" x14ac:dyDescent="0.3">
      <c r="B24" s="87" t="s">
        <v>1949</v>
      </c>
      <c r="C24" s="73" t="s">
        <v>1950</v>
      </c>
      <c r="D24" s="74">
        <v>0</v>
      </c>
      <c r="E24" s="74"/>
      <c r="F24" s="82"/>
      <c r="G24" s="83"/>
      <c r="H24" s="85"/>
      <c r="I24" s="78"/>
      <c r="J24" s="68"/>
      <c r="K24" s="79"/>
    </row>
    <row r="25" spans="2:11" ht="14.4" customHeight="1" x14ac:dyDescent="0.3">
      <c r="B25" s="87" t="s">
        <v>1951</v>
      </c>
      <c r="C25" s="73" t="s">
        <v>1952</v>
      </c>
      <c r="D25" s="74">
        <v>0</v>
      </c>
      <c r="E25" s="74"/>
      <c r="F25" s="82"/>
      <c r="G25" s="83"/>
      <c r="H25" s="85"/>
      <c r="I25" s="78"/>
      <c r="J25" s="68"/>
      <c r="K25" s="79"/>
    </row>
    <row r="26" spans="2:11" ht="28.95" customHeight="1" x14ac:dyDescent="0.3">
      <c r="B26" s="86" t="s">
        <v>1953</v>
      </c>
      <c r="C26" s="73" t="s">
        <v>1954</v>
      </c>
      <c r="D26" s="74">
        <v>0</v>
      </c>
      <c r="E26" s="74"/>
      <c r="F26" s="82"/>
      <c r="G26" s="83"/>
      <c r="H26" s="85"/>
      <c r="I26" s="68"/>
      <c r="J26" s="68"/>
      <c r="K26" s="68"/>
    </row>
    <row r="27" spans="2:11" ht="14.4" customHeight="1" x14ac:dyDescent="0.3">
      <c r="B27" s="76" t="s">
        <v>1955</v>
      </c>
      <c r="C27" s="73" t="s">
        <v>1956</v>
      </c>
      <c r="D27" s="74">
        <v>162744231</v>
      </c>
      <c r="E27" s="74"/>
      <c r="F27" s="82"/>
      <c r="G27" s="83"/>
      <c r="H27" s="85"/>
      <c r="I27" s="68"/>
      <c r="J27" s="68"/>
      <c r="K27" s="68"/>
    </row>
    <row r="28" spans="2:11" ht="14.4" customHeight="1" x14ac:dyDescent="0.3">
      <c r="B28" s="86" t="s">
        <v>1957</v>
      </c>
      <c r="C28" s="73" t="s">
        <v>55</v>
      </c>
      <c r="D28" s="74">
        <v>0</v>
      </c>
      <c r="E28" s="74"/>
      <c r="F28" s="82"/>
      <c r="G28" s="83"/>
      <c r="H28" s="85"/>
      <c r="I28" s="78"/>
      <c r="J28" s="68"/>
      <c r="K28" s="68"/>
    </row>
    <row r="29" spans="2:11" ht="14.4" customHeight="1" x14ac:dyDescent="0.3">
      <c r="B29" s="86" t="s">
        <v>1958</v>
      </c>
      <c r="C29" s="73" t="s">
        <v>1888</v>
      </c>
      <c r="D29" s="74">
        <v>0</v>
      </c>
      <c r="E29" s="74"/>
      <c r="F29" s="82"/>
      <c r="G29" s="83"/>
      <c r="H29" s="85"/>
      <c r="I29" s="68"/>
      <c r="J29" s="68"/>
      <c r="K29" s="68"/>
    </row>
    <row r="30" spans="2:11" ht="14.4" customHeight="1" x14ac:dyDescent="0.3">
      <c r="B30" s="86" t="s">
        <v>1959</v>
      </c>
      <c r="C30" s="73" t="s">
        <v>1895</v>
      </c>
      <c r="D30" s="74">
        <v>16920299</v>
      </c>
      <c r="E30" s="74"/>
      <c r="F30" s="82"/>
      <c r="G30" s="83"/>
      <c r="H30" s="85"/>
      <c r="I30" s="78"/>
      <c r="J30" s="68"/>
      <c r="K30" s="68"/>
    </row>
    <row r="31" spans="2:11" ht="14.4" customHeight="1" x14ac:dyDescent="0.3">
      <c r="B31" s="86" t="s">
        <v>1960</v>
      </c>
      <c r="C31" s="73" t="s">
        <v>1961</v>
      </c>
      <c r="D31" s="74">
        <v>145823932</v>
      </c>
      <c r="E31" s="74"/>
      <c r="F31" s="82"/>
      <c r="G31" s="83"/>
      <c r="H31" s="85"/>
      <c r="I31" s="68"/>
      <c r="J31" s="68"/>
      <c r="K31" s="68"/>
    </row>
    <row r="32" spans="2:11" ht="14.4" customHeight="1" x14ac:dyDescent="0.3">
      <c r="B32" s="86" t="s">
        <v>1962</v>
      </c>
      <c r="C32" s="73" t="s">
        <v>1963</v>
      </c>
      <c r="D32" s="74">
        <v>0</v>
      </c>
      <c r="E32" s="74"/>
      <c r="F32" s="82"/>
      <c r="G32" s="83"/>
      <c r="H32" s="85"/>
      <c r="I32" s="68"/>
      <c r="J32" s="68"/>
      <c r="K32" s="68"/>
    </row>
    <row r="33" spans="2:11" ht="14.4" customHeight="1" x14ac:dyDescent="0.3">
      <c r="B33" s="86" t="s">
        <v>1941</v>
      </c>
      <c r="C33" s="73" t="s">
        <v>1899</v>
      </c>
      <c r="D33" s="74">
        <v>0</v>
      </c>
      <c r="E33" s="74"/>
      <c r="F33" s="82"/>
      <c r="G33" s="83"/>
      <c r="H33" s="85"/>
      <c r="I33" s="68"/>
      <c r="J33" s="68"/>
      <c r="K33" s="68"/>
    </row>
    <row r="34" spans="2:11" ht="14.4" customHeight="1" x14ac:dyDescent="0.3">
      <c r="B34" s="86" t="s">
        <v>1943</v>
      </c>
      <c r="C34" s="73" t="s">
        <v>1903</v>
      </c>
      <c r="D34" s="74">
        <v>0</v>
      </c>
      <c r="E34" s="74"/>
      <c r="F34" s="82"/>
      <c r="G34" s="83"/>
      <c r="H34" s="85"/>
      <c r="I34" s="68"/>
      <c r="J34" s="68"/>
      <c r="K34" s="68"/>
    </row>
    <row r="35" spans="2:11" ht="14.4" customHeight="1" x14ac:dyDescent="0.3">
      <c r="B35" s="72" t="s">
        <v>1964</v>
      </c>
      <c r="C35" s="73" t="s">
        <v>1905</v>
      </c>
      <c r="D35" s="74">
        <v>486195454</v>
      </c>
      <c r="E35" s="74"/>
      <c r="F35" s="82"/>
      <c r="G35" s="83"/>
      <c r="H35" s="68"/>
      <c r="I35" s="68"/>
      <c r="J35" s="68"/>
      <c r="K35" s="68"/>
    </row>
    <row r="36" spans="2:11" ht="14.4" customHeight="1" x14ac:dyDescent="0.3">
      <c r="B36" s="72" t="s">
        <v>1965</v>
      </c>
      <c r="C36" s="73" t="s">
        <v>1907</v>
      </c>
      <c r="D36" s="74">
        <v>0</v>
      </c>
      <c r="E36" s="74"/>
      <c r="F36" s="82"/>
      <c r="G36" s="83"/>
      <c r="H36" s="68"/>
      <c r="I36" s="68"/>
      <c r="J36" s="68"/>
      <c r="K36" s="68"/>
    </row>
    <row r="37" spans="2:11" ht="14.4" customHeight="1" x14ac:dyDescent="0.3">
      <c r="B37" s="76" t="s">
        <v>1938</v>
      </c>
      <c r="C37" s="73" t="s">
        <v>1966</v>
      </c>
      <c r="D37" s="74">
        <v>0</v>
      </c>
      <c r="E37" s="74"/>
      <c r="F37" s="82"/>
      <c r="G37" s="83"/>
      <c r="H37" s="68"/>
      <c r="I37" s="68"/>
      <c r="J37" s="68"/>
      <c r="K37" s="68"/>
    </row>
    <row r="38" spans="2:11" ht="14.4" customHeight="1" x14ac:dyDescent="0.3">
      <c r="B38" s="76" t="s">
        <v>1967</v>
      </c>
      <c r="C38" s="73" t="s">
        <v>1968</v>
      </c>
      <c r="D38" s="74">
        <v>0</v>
      </c>
      <c r="E38" s="74"/>
      <c r="F38" s="82"/>
      <c r="G38" s="83"/>
      <c r="H38" s="68"/>
      <c r="I38" s="68"/>
      <c r="J38" s="68"/>
      <c r="K38" s="68"/>
    </row>
    <row r="39" spans="2:11" ht="14.4" customHeight="1" x14ac:dyDescent="0.3">
      <c r="B39" s="76" t="s">
        <v>1969</v>
      </c>
      <c r="C39" s="73" t="s">
        <v>1970</v>
      </c>
      <c r="D39" s="74">
        <v>0</v>
      </c>
      <c r="E39" s="74"/>
      <c r="F39" s="82"/>
      <c r="G39" s="83"/>
      <c r="H39" s="68"/>
      <c r="I39" s="68"/>
      <c r="J39" s="68"/>
      <c r="K39" s="68"/>
    </row>
    <row r="40" spans="2:11" ht="14.4" customHeight="1" x14ac:dyDescent="0.3">
      <c r="B40" s="76" t="s">
        <v>1971</v>
      </c>
      <c r="C40" s="73" t="s">
        <v>1972</v>
      </c>
      <c r="D40" s="74">
        <v>0</v>
      </c>
      <c r="E40" s="74"/>
      <c r="F40" s="82"/>
      <c r="G40" s="83"/>
      <c r="H40" s="68"/>
      <c r="I40" s="68"/>
      <c r="J40" s="68"/>
      <c r="K40" s="68"/>
    </row>
    <row r="41" spans="2:11" ht="14.4" customHeight="1" x14ac:dyDescent="0.3">
      <c r="B41" s="72" t="s">
        <v>1973</v>
      </c>
      <c r="C41" s="73" t="s">
        <v>1974</v>
      </c>
      <c r="D41" s="74">
        <v>0</v>
      </c>
      <c r="E41" s="74"/>
      <c r="F41" s="82"/>
      <c r="G41" s="83"/>
      <c r="H41" s="68"/>
      <c r="I41" s="68"/>
      <c r="J41" s="68"/>
      <c r="K41" s="68"/>
    </row>
    <row r="42" spans="2:11" ht="14.4" customHeight="1" x14ac:dyDescent="0.3">
      <c r="B42" s="76" t="s">
        <v>1975</v>
      </c>
      <c r="C42" s="73" t="s">
        <v>1976</v>
      </c>
      <c r="D42" s="74">
        <v>0</v>
      </c>
      <c r="E42" s="74"/>
      <c r="F42" s="82"/>
      <c r="G42" s="83"/>
      <c r="H42" s="68"/>
      <c r="I42" s="78"/>
      <c r="J42" s="68"/>
      <c r="K42" s="68"/>
    </row>
    <row r="43" spans="2:11" ht="14.4" customHeight="1" x14ac:dyDescent="0.3">
      <c r="B43" s="76" t="s">
        <v>1977</v>
      </c>
      <c r="C43" s="73" t="s">
        <v>1978</v>
      </c>
      <c r="D43" s="74">
        <v>0</v>
      </c>
      <c r="E43" s="74"/>
      <c r="F43" s="82"/>
      <c r="G43" s="83"/>
      <c r="H43" s="68"/>
      <c r="I43" s="78"/>
      <c r="J43" s="68"/>
      <c r="K43" s="68"/>
    </row>
    <row r="44" spans="2:11" ht="14.4" customHeight="1" x14ac:dyDescent="0.3">
      <c r="B44" s="76" t="s">
        <v>1979</v>
      </c>
      <c r="C44" s="73" t="s">
        <v>1980</v>
      </c>
      <c r="D44" s="74">
        <v>0</v>
      </c>
      <c r="E44" s="74"/>
      <c r="F44" s="82"/>
      <c r="G44" s="83"/>
      <c r="H44" s="68"/>
      <c r="I44" s="78"/>
      <c r="J44" s="68"/>
      <c r="K44" s="68"/>
    </row>
    <row r="45" spans="2:11" ht="14.4" customHeight="1" x14ac:dyDescent="0.3">
      <c r="B45" s="76" t="s">
        <v>1981</v>
      </c>
      <c r="C45" s="73" t="s">
        <v>1982</v>
      </c>
      <c r="D45" s="74">
        <v>0</v>
      </c>
      <c r="E45" s="74"/>
      <c r="F45" s="82"/>
      <c r="G45" s="83"/>
      <c r="H45" s="68"/>
      <c r="I45" s="68"/>
      <c r="J45" s="68"/>
      <c r="K45" s="68"/>
    </row>
    <row r="46" spans="2:11" ht="14.4" customHeight="1" x14ac:dyDescent="0.3">
      <c r="B46" s="72" t="s">
        <v>1983</v>
      </c>
      <c r="C46" s="73" t="s">
        <v>1909</v>
      </c>
      <c r="D46" s="74">
        <v>641197658</v>
      </c>
      <c r="E46" s="74"/>
      <c r="F46" s="82"/>
      <c r="G46" s="83"/>
      <c r="H46" s="68"/>
      <c r="I46" s="68"/>
      <c r="J46" s="68"/>
      <c r="K46" s="68"/>
    </row>
    <row r="47" spans="2:11" ht="14.4" customHeight="1" x14ac:dyDescent="0.3">
      <c r="B47" s="76" t="s">
        <v>1984</v>
      </c>
      <c r="C47" s="73" t="s">
        <v>1985</v>
      </c>
      <c r="D47" s="74">
        <v>0</v>
      </c>
      <c r="E47" s="74"/>
      <c r="F47" s="82"/>
      <c r="G47" s="83"/>
      <c r="H47" s="68"/>
      <c r="I47" s="68"/>
      <c r="J47" s="68"/>
      <c r="K47" s="68"/>
    </row>
    <row r="48" spans="2:11" ht="14.4" customHeight="1" x14ac:dyDescent="0.3">
      <c r="B48" s="76" t="s">
        <v>1986</v>
      </c>
      <c r="C48" s="73" t="s">
        <v>1911</v>
      </c>
      <c r="D48" s="74">
        <v>0</v>
      </c>
      <c r="E48" s="74"/>
      <c r="F48" s="82"/>
      <c r="G48" s="83"/>
      <c r="H48" s="68"/>
      <c r="I48" s="68"/>
      <c r="J48" s="68"/>
      <c r="K48" s="68"/>
    </row>
    <row r="49" spans="2:11" ht="14.4" customHeight="1" x14ac:dyDescent="0.3">
      <c r="B49" s="76" t="s">
        <v>1971</v>
      </c>
      <c r="C49" s="73" t="s">
        <v>1913</v>
      </c>
      <c r="D49" s="74">
        <v>641197658</v>
      </c>
      <c r="E49" s="74"/>
      <c r="F49" s="82"/>
      <c r="G49" s="83"/>
      <c r="H49" s="68"/>
      <c r="I49" s="68"/>
      <c r="J49" s="68"/>
      <c r="K49" s="68"/>
    </row>
    <row r="50" spans="2:11" ht="14.4" customHeight="1" x14ac:dyDescent="0.3">
      <c r="B50" s="72" t="s">
        <v>1987</v>
      </c>
      <c r="C50" s="73" t="s">
        <v>1988</v>
      </c>
      <c r="D50" s="74">
        <v>0</v>
      </c>
      <c r="E50" s="74"/>
      <c r="F50" s="82"/>
      <c r="G50" s="83"/>
      <c r="H50" s="68"/>
      <c r="I50" s="68"/>
      <c r="J50" s="68"/>
      <c r="K50" s="68"/>
    </row>
    <row r="51" spans="2:11" ht="14.4" customHeight="1" x14ac:dyDescent="0.3">
      <c r="B51" s="72" t="s">
        <v>61</v>
      </c>
      <c r="C51" s="73" t="s">
        <v>60</v>
      </c>
      <c r="D51" s="74">
        <v>-19146966</v>
      </c>
      <c r="E51" s="74">
        <v>1</v>
      </c>
      <c r="F51" s="82"/>
      <c r="G51" s="83"/>
      <c r="H51" s="68"/>
      <c r="I51" s="68"/>
      <c r="J51" s="68"/>
      <c r="K51" s="68"/>
    </row>
    <row r="52" spans="2:11" ht="14.4" customHeight="1" x14ac:dyDescent="0.3">
      <c r="B52" s="72" t="s">
        <v>1989</v>
      </c>
      <c r="C52" s="73" t="s">
        <v>1916</v>
      </c>
      <c r="D52" s="74">
        <v>712391331</v>
      </c>
      <c r="E52" s="74"/>
      <c r="F52" s="82"/>
      <c r="G52" s="83"/>
      <c r="H52" s="68"/>
      <c r="I52" s="68"/>
      <c r="J52" s="68"/>
      <c r="K52" s="68"/>
    </row>
    <row r="53" spans="2:11" ht="14.4" customHeight="1" x14ac:dyDescent="0.3">
      <c r="B53" s="72" t="s">
        <v>1990</v>
      </c>
      <c r="C53" s="73" t="s">
        <v>1918</v>
      </c>
      <c r="D53" s="74">
        <v>-278727179</v>
      </c>
      <c r="E53" s="74"/>
      <c r="F53" s="82"/>
      <c r="G53" s="83"/>
      <c r="H53" s="68"/>
      <c r="I53" s="68"/>
      <c r="J53" s="68"/>
      <c r="K53" s="68"/>
    </row>
    <row r="54" spans="2:11" ht="14.4" customHeight="1" x14ac:dyDescent="0.3">
      <c r="B54" s="72" t="s">
        <v>1991</v>
      </c>
      <c r="C54" s="73" t="s">
        <v>1920</v>
      </c>
      <c r="D54" s="74">
        <v>0</v>
      </c>
      <c r="E54" s="74"/>
      <c r="F54" s="82"/>
      <c r="G54" s="83"/>
      <c r="H54" s="68"/>
      <c r="I54" s="68"/>
      <c r="J54" s="68"/>
      <c r="K54" s="68"/>
    </row>
    <row r="55" spans="2:11" ht="14.4" customHeight="1" x14ac:dyDescent="0.3">
      <c r="B55" s="76" t="s">
        <v>1992</v>
      </c>
      <c r="C55" s="73" t="s">
        <v>1922</v>
      </c>
      <c r="D55" s="74">
        <v>0</v>
      </c>
      <c r="E55" s="74"/>
      <c r="F55" s="82"/>
      <c r="G55" s="83"/>
      <c r="H55" s="68"/>
      <c r="I55" s="68"/>
      <c r="J55" s="68"/>
      <c r="K55" s="68"/>
    </row>
    <row r="56" spans="2:11" ht="14.4" customHeight="1" x14ac:dyDescent="0.3">
      <c r="B56" s="76" t="s">
        <v>1993</v>
      </c>
      <c r="C56" s="73" t="s">
        <v>1924</v>
      </c>
      <c r="D56" s="74">
        <v>0</v>
      </c>
      <c r="E56" s="74"/>
      <c r="F56" s="82"/>
      <c r="G56" s="83"/>
      <c r="H56" s="68"/>
      <c r="I56" s="68"/>
      <c r="J56" s="68"/>
      <c r="K56" s="68"/>
    </row>
    <row r="57" spans="2:11" ht="14.4" customHeight="1" x14ac:dyDescent="0.3">
      <c r="B57" s="81" t="s">
        <v>1994</v>
      </c>
      <c r="C57" s="73" t="s">
        <v>1928</v>
      </c>
      <c r="D57" s="74">
        <v>4041188746</v>
      </c>
      <c r="E57" s="74"/>
      <c r="F57" s="82"/>
      <c r="G57" s="68"/>
      <c r="H57" s="68"/>
      <c r="I57" s="68"/>
      <c r="J57" s="68"/>
      <c r="K57" s="68"/>
    </row>
    <row r="58" spans="2:11" ht="15" customHeight="1" thickBot="1" x14ac:dyDescent="0.3">
      <c r="B58" s="81" t="s">
        <v>1995</v>
      </c>
      <c r="C58" s="73" t="s">
        <v>1996</v>
      </c>
      <c r="D58" s="74">
        <v>60320283300</v>
      </c>
      <c r="E58" s="74"/>
      <c r="F58" s="82"/>
      <c r="G58" s="68"/>
      <c r="H58" s="68"/>
      <c r="I58" s="68"/>
      <c r="J58" s="68"/>
      <c r="K58" s="68"/>
    </row>
  </sheetData>
  <mergeCells count="1">
    <mergeCell ref="A1:D1"/>
  </mergeCells>
  <pageMargins left="0.7" right="0.7" top="0.75" bottom="0.75" header="0.3" footer="0.3"/>
  <headerFooter>
    <oddHeader>&amp;L&amp;"Aptos"&amp;10&amp;K000000 Confidential&amp;1#_x000D_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AFEF-FAAC-4BA4-BAC4-F2099D6B8DFA}">
  <dimension ref="A1:N55"/>
  <sheetViews>
    <sheetView workbookViewId="0">
      <selection activeCell="E2" sqref="E2"/>
    </sheetView>
  </sheetViews>
  <sheetFormatPr defaultRowHeight="14.4" outlineLevelRow="2" x14ac:dyDescent="0.3"/>
  <cols>
    <col min="1" max="1" width="5.6640625" customWidth="1" collapsed="1"/>
    <col min="2" max="2" width="42.6640625" customWidth="1" collapsed="1"/>
    <col min="3" max="3" width="5" bestFit="1" customWidth="1" collapsed="1"/>
    <col min="4" max="10" width="20.6640625" customWidth="1" collapsed="1"/>
    <col min="11" max="11" width="25.44140625" bestFit="1" customWidth="1" collapsed="1"/>
    <col min="12" max="14" width="25.6640625" customWidth="1" collapsed="1"/>
  </cols>
  <sheetData>
    <row r="1" spans="1:14" ht="14.4" customHeight="1" x14ac:dyDescent="0.3">
      <c r="A1" s="66" t="s">
        <v>1997</v>
      </c>
      <c r="B1" s="67"/>
      <c r="C1" s="67"/>
      <c r="D1" s="67"/>
      <c r="E1" s="67"/>
      <c r="F1" s="67"/>
      <c r="G1" s="67"/>
      <c r="H1" s="67"/>
      <c r="I1" s="67"/>
      <c r="J1" s="67"/>
      <c r="K1" s="68"/>
      <c r="L1" s="68"/>
      <c r="M1" s="68"/>
      <c r="N1" s="68"/>
    </row>
    <row r="2" spans="1:14" ht="14.4" customHeight="1" x14ac:dyDescent="0.3">
      <c r="K2" s="68"/>
      <c r="L2" s="68"/>
      <c r="M2" s="68"/>
      <c r="N2" s="68"/>
    </row>
    <row r="3" spans="1:14" ht="14.4" customHeight="1" x14ac:dyDescent="0.3">
      <c r="K3" s="68"/>
      <c r="L3" s="68"/>
      <c r="M3" s="68"/>
      <c r="N3" s="68"/>
    </row>
    <row r="4" spans="1:14" ht="14.4" customHeight="1" x14ac:dyDescent="0.3">
      <c r="D4" s="88" t="s">
        <v>1862</v>
      </c>
      <c r="E4" s="88"/>
      <c r="F4" s="88"/>
      <c r="G4" s="88"/>
      <c r="H4" s="88"/>
      <c r="I4" s="88"/>
      <c r="J4" s="88"/>
      <c r="K4" s="68"/>
      <c r="L4" s="68"/>
      <c r="M4" s="68"/>
      <c r="N4" s="68"/>
    </row>
    <row r="5" spans="1:14" ht="43.2" customHeight="1" x14ac:dyDescent="0.3">
      <c r="D5" s="89" t="s">
        <v>1863</v>
      </c>
      <c r="E5" s="90"/>
      <c r="F5" s="90"/>
      <c r="G5" s="90"/>
      <c r="H5" s="90"/>
      <c r="I5" s="91"/>
      <c r="J5" s="92" t="s">
        <v>1998</v>
      </c>
      <c r="K5" t="s">
        <v>1864</v>
      </c>
    </row>
    <row r="6" spans="1:14" ht="28.95" customHeight="1" x14ac:dyDescent="0.3">
      <c r="D6" s="70" t="s">
        <v>1999</v>
      </c>
      <c r="E6" s="70" t="s">
        <v>2000</v>
      </c>
      <c r="F6" s="70" t="s">
        <v>2001</v>
      </c>
      <c r="G6" s="70" t="s">
        <v>2002</v>
      </c>
      <c r="H6" s="70" t="s">
        <v>2003</v>
      </c>
      <c r="I6" s="70" t="s">
        <v>2004</v>
      </c>
      <c r="J6" s="93"/>
    </row>
    <row r="7" spans="1:14" ht="15" customHeight="1" thickBot="1" x14ac:dyDescent="0.35">
      <c r="D7" s="71" t="s">
        <v>1865</v>
      </c>
      <c r="E7" s="71" t="s">
        <v>56</v>
      </c>
      <c r="F7" s="71" t="s">
        <v>64</v>
      </c>
      <c r="G7" s="71" t="s">
        <v>2005</v>
      </c>
      <c r="H7" s="71" t="s">
        <v>2006</v>
      </c>
      <c r="I7" s="71" t="s">
        <v>2007</v>
      </c>
      <c r="J7" s="71" t="s">
        <v>57</v>
      </c>
      <c r="K7" s="68"/>
      <c r="L7" s="68"/>
      <c r="M7" s="68"/>
      <c r="N7" s="68"/>
    </row>
    <row r="8" spans="1:14" ht="14.4" customHeight="1" x14ac:dyDescent="0.3">
      <c r="B8" s="81" t="s">
        <v>1867</v>
      </c>
      <c r="C8" s="73" t="s">
        <v>1865</v>
      </c>
      <c r="D8" s="74">
        <v>916547782</v>
      </c>
      <c r="E8" s="94"/>
      <c r="F8" s="94"/>
      <c r="G8" s="74">
        <v>0</v>
      </c>
      <c r="H8" s="94"/>
      <c r="I8" s="74">
        <v>34118214</v>
      </c>
      <c r="J8" s="74">
        <v>0</v>
      </c>
      <c r="K8" s="82"/>
      <c r="L8" s="68"/>
      <c r="M8" s="68"/>
      <c r="N8" s="68"/>
    </row>
    <row r="9" spans="1:14" ht="14.4" customHeight="1" x14ac:dyDescent="0.3">
      <c r="B9" s="81" t="s">
        <v>1868</v>
      </c>
      <c r="C9" s="73" t="s">
        <v>56</v>
      </c>
      <c r="D9" s="74">
        <v>0</v>
      </c>
      <c r="E9" s="95"/>
      <c r="F9" s="95"/>
      <c r="G9" s="74">
        <v>0</v>
      </c>
      <c r="H9" s="95"/>
      <c r="I9" s="95"/>
      <c r="J9" s="96"/>
      <c r="K9" s="82"/>
      <c r="L9" s="68"/>
      <c r="M9" s="68"/>
      <c r="N9" s="68"/>
    </row>
    <row r="10" spans="1:14" ht="14.4" customHeight="1" outlineLevel="1" x14ac:dyDescent="0.3">
      <c r="B10" s="72" t="s">
        <v>1967</v>
      </c>
      <c r="C10" s="73" t="s">
        <v>64</v>
      </c>
      <c r="D10" s="74">
        <v>0</v>
      </c>
      <c r="E10" s="95"/>
      <c r="F10" s="95"/>
      <c r="G10" s="74">
        <v>0</v>
      </c>
      <c r="H10" s="95"/>
      <c r="I10" s="95"/>
      <c r="J10" s="96"/>
      <c r="K10" s="82"/>
      <c r="L10" s="68"/>
      <c r="M10" s="97"/>
      <c r="N10" s="68"/>
    </row>
    <row r="11" spans="1:14" ht="14.4" customHeight="1" outlineLevel="1" x14ac:dyDescent="0.3">
      <c r="B11" s="72" t="s">
        <v>1969</v>
      </c>
      <c r="C11" s="73" t="s">
        <v>57</v>
      </c>
      <c r="D11" s="74">
        <v>0</v>
      </c>
      <c r="E11" s="95"/>
      <c r="F11" s="95"/>
      <c r="G11" s="74">
        <v>0</v>
      </c>
      <c r="H11" s="95"/>
      <c r="I11" s="95"/>
      <c r="J11" s="96"/>
      <c r="K11" s="82"/>
      <c r="L11" s="68"/>
      <c r="M11" s="97"/>
      <c r="N11" s="68"/>
    </row>
    <row r="12" spans="1:14" ht="14.4" customHeight="1" x14ac:dyDescent="0.3">
      <c r="B12" s="81" t="s">
        <v>1869</v>
      </c>
      <c r="C12" s="73" t="s">
        <v>1870</v>
      </c>
      <c r="D12" s="74">
        <v>0</v>
      </c>
      <c r="E12" s="74">
        <v>0</v>
      </c>
      <c r="F12" s="74">
        <v>43863811513</v>
      </c>
      <c r="G12" s="74">
        <v>0</v>
      </c>
      <c r="H12" s="74">
        <v>0</v>
      </c>
      <c r="I12" s="95"/>
      <c r="J12" s="74">
        <v>0</v>
      </c>
      <c r="K12" s="82"/>
      <c r="L12" s="68"/>
      <c r="M12" s="68"/>
      <c r="N12" s="68"/>
    </row>
    <row r="13" spans="1:14" ht="14.4" customHeight="1" outlineLevel="1" x14ac:dyDescent="0.3">
      <c r="B13" s="72" t="s">
        <v>2008</v>
      </c>
      <c r="C13" s="73" t="s">
        <v>1872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95"/>
      <c r="J13" s="96"/>
      <c r="K13" s="82"/>
      <c r="L13" s="98"/>
      <c r="M13" s="68"/>
      <c r="N13" s="68"/>
    </row>
    <row r="14" spans="1:14" ht="14.4" customHeight="1" outlineLevel="2" x14ac:dyDescent="0.3">
      <c r="B14" s="76" t="s">
        <v>2009</v>
      </c>
      <c r="C14" s="73" t="s">
        <v>58</v>
      </c>
      <c r="D14" s="74">
        <v>0</v>
      </c>
      <c r="E14" s="74">
        <v>0</v>
      </c>
      <c r="F14" s="74">
        <v>0</v>
      </c>
      <c r="G14" s="74">
        <v>0</v>
      </c>
      <c r="H14" s="74">
        <v>0</v>
      </c>
      <c r="I14" s="95"/>
      <c r="J14" s="96"/>
      <c r="K14" s="82"/>
      <c r="L14" s="98"/>
      <c r="M14" s="68"/>
      <c r="N14" s="84"/>
    </row>
    <row r="15" spans="1:14" ht="14.4" customHeight="1" outlineLevel="2" x14ac:dyDescent="0.3">
      <c r="B15" s="76" t="s">
        <v>2010</v>
      </c>
      <c r="C15" s="73" t="s">
        <v>1881</v>
      </c>
      <c r="D15" s="74">
        <v>0</v>
      </c>
      <c r="E15" s="74">
        <v>0</v>
      </c>
      <c r="F15" s="74">
        <v>0</v>
      </c>
      <c r="G15" s="74">
        <v>0</v>
      </c>
      <c r="H15" s="74">
        <v>0</v>
      </c>
      <c r="I15" s="95"/>
      <c r="J15" s="96"/>
      <c r="K15" s="82"/>
      <c r="L15" s="98"/>
      <c r="M15" s="68"/>
      <c r="N15" s="84"/>
    </row>
    <row r="16" spans="1:14" ht="14.4" customHeight="1" outlineLevel="2" x14ac:dyDescent="0.3">
      <c r="B16" s="76" t="s">
        <v>2011</v>
      </c>
      <c r="C16" s="73" t="s">
        <v>1882</v>
      </c>
      <c r="D16" s="74">
        <v>0</v>
      </c>
      <c r="E16" s="74">
        <v>0</v>
      </c>
      <c r="F16" s="74">
        <v>0</v>
      </c>
      <c r="G16" s="74">
        <v>0</v>
      </c>
      <c r="H16" s="74">
        <v>0</v>
      </c>
      <c r="I16" s="95"/>
      <c r="J16" s="96"/>
      <c r="K16" s="82"/>
      <c r="L16" s="98"/>
      <c r="M16" s="68"/>
      <c r="N16" s="84"/>
    </row>
    <row r="17" spans="2:14" ht="14.4" customHeight="1" outlineLevel="2" x14ac:dyDescent="0.3">
      <c r="B17" s="76" t="s">
        <v>2012</v>
      </c>
      <c r="C17" s="73" t="s">
        <v>1883</v>
      </c>
      <c r="D17" s="74">
        <v>0</v>
      </c>
      <c r="E17" s="74">
        <v>0</v>
      </c>
      <c r="F17" s="74">
        <v>0</v>
      </c>
      <c r="G17" s="74">
        <v>0</v>
      </c>
      <c r="H17" s="74">
        <v>0</v>
      </c>
      <c r="I17" s="95"/>
      <c r="J17" s="96"/>
      <c r="K17" s="82"/>
      <c r="L17" s="98"/>
      <c r="M17" s="68"/>
      <c r="N17" s="84"/>
    </row>
    <row r="18" spans="2:14" ht="14.4" customHeight="1" outlineLevel="1" x14ac:dyDescent="0.3">
      <c r="B18" s="72" t="s">
        <v>2013</v>
      </c>
      <c r="C18" s="73" t="s">
        <v>1885</v>
      </c>
      <c r="D18" s="74">
        <v>0</v>
      </c>
      <c r="E18" s="74">
        <v>0</v>
      </c>
      <c r="F18" s="74">
        <v>1653818210</v>
      </c>
      <c r="G18" s="74">
        <v>0</v>
      </c>
      <c r="H18" s="74">
        <v>0</v>
      </c>
      <c r="I18" s="95"/>
      <c r="J18" s="96"/>
      <c r="K18" s="82"/>
      <c r="L18" s="98"/>
      <c r="M18" s="68"/>
      <c r="N18" s="68"/>
    </row>
    <row r="19" spans="2:14" ht="14.4" customHeight="1" outlineLevel="2" x14ac:dyDescent="0.3">
      <c r="B19" s="76" t="s">
        <v>2009</v>
      </c>
      <c r="C19" s="73" t="s">
        <v>1886</v>
      </c>
      <c r="D19" s="74">
        <v>0</v>
      </c>
      <c r="E19" s="74">
        <v>0</v>
      </c>
      <c r="F19" s="74">
        <v>1406229522</v>
      </c>
      <c r="G19" s="74">
        <v>0</v>
      </c>
      <c r="H19" s="74">
        <v>0</v>
      </c>
      <c r="I19" s="95"/>
      <c r="J19" s="96"/>
      <c r="K19" s="82"/>
      <c r="L19" s="98"/>
      <c r="M19" s="68"/>
      <c r="N19" s="84"/>
    </row>
    <row r="20" spans="2:14" ht="14.4" customHeight="1" outlineLevel="2" x14ac:dyDescent="0.3">
      <c r="B20" s="76" t="s">
        <v>2010</v>
      </c>
      <c r="C20" s="73" t="s">
        <v>55</v>
      </c>
      <c r="D20" s="74">
        <v>0</v>
      </c>
      <c r="E20" s="74">
        <v>0</v>
      </c>
      <c r="F20" s="74">
        <v>247588688</v>
      </c>
      <c r="G20" s="74">
        <v>0</v>
      </c>
      <c r="H20" s="74">
        <v>0</v>
      </c>
      <c r="I20" s="95"/>
      <c r="J20" s="96"/>
      <c r="K20" s="82"/>
      <c r="L20" s="98"/>
      <c r="M20" s="68"/>
      <c r="N20" s="84"/>
    </row>
    <row r="21" spans="2:14" ht="14.4" customHeight="1" outlineLevel="2" x14ac:dyDescent="0.3">
      <c r="B21" s="76" t="s">
        <v>2011</v>
      </c>
      <c r="C21" s="73" t="s">
        <v>1888</v>
      </c>
      <c r="D21" s="74">
        <v>0</v>
      </c>
      <c r="E21" s="74">
        <v>0</v>
      </c>
      <c r="F21" s="74">
        <v>0</v>
      </c>
      <c r="G21" s="74">
        <v>0</v>
      </c>
      <c r="H21" s="74">
        <v>0</v>
      </c>
      <c r="I21" s="95"/>
      <c r="J21" s="96"/>
      <c r="K21" s="82"/>
      <c r="L21" s="98"/>
      <c r="M21" s="68"/>
      <c r="N21" s="84"/>
    </row>
    <row r="22" spans="2:14" ht="14.4" customHeight="1" outlineLevel="2" x14ac:dyDescent="0.3">
      <c r="B22" s="76" t="s">
        <v>2012</v>
      </c>
      <c r="C22" s="73" t="s">
        <v>1895</v>
      </c>
      <c r="D22" s="74">
        <v>0</v>
      </c>
      <c r="E22" s="74">
        <v>0</v>
      </c>
      <c r="F22" s="74">
        <v>0</v>
      </c>
      <c r="G22" s="74">
        <v>0</v>
      </c>
      <c r="H22" s="74">
        <v>0</v>
      </c>
      <c r="I22" s="95"/>
      <c r="J22" s="96"/>
      <c r="K22" s="82"/>
      <c r="L22" s="98"/>
      <c r="M22" s="68"/>
      <c r="N22" s="84"/>
    </row>
    <row r="23" spans="2:14" ht="14.4" customHeight="1" outlineLevel="1" x14ac:dyDescent="0.3">
      <c r="B23" s="72" t="s">
        <v>2014</v>
      </c>
      <c r="C23" s="73" t="s">
        <v>1897</v>
      </c>
      <c r="D23" s="74">
        <v>0</v>
      </c>
      <c r="E23" s="74">
        <v>0</v>
      </c>
      <c r="F23" s="74">
        <v>4439869618</v>
      </c>
      <c r="G23" s="74">
        <v>0</v>
      </c>
      <c r="H23" s="74">
        <v>0</v>
      </c>
      <c r="I23" s="95"/>
      <c r="J23" s="96"/>
      <c r="K23" s="82"/>
      <c r="L23" s="98"/>
      <c r="M23" s="68"/>
      <c r="N23" s="68"/>
    </row>
    <row r="24" spans="2:14" ht="14.4" customHeight="1" outlineLevel="2" x14ac:dyDescent="0.3">
      <c r="B24" s="76" t="s">
        <v>2009</v>
      </c>
      <c r="C24" s="73" t="s">
        <v>1899</v>
      </c>
      <c r="D24" s="74">
        <v>0</v>
      </c>
      <c r="E24" s="74">
        <v>0</v>
      </c>
      <c r="F24" s="74">
        <v>354227384</v>
      </c>
      <c r="G24" s="74">
        <v>0</v>
      </c>
      <c r="H24" s="74">
        <v>0</v>
      </c>
      <c r="I24" s="95"/>
      <c r="J24" s="96"/>
      <c r="K24" s="82"/>
      <c r="L24" s="98"/>
      <c r="M24" s="68"/>
      <c r="N24" s="84"/>
    </row>
    <row r="25" spans="2:14" ht="14.4" customHeight="1" outlineLevel="2" x14ac:dyDescent="0.3">
      <c r="B25" s="76" t="s">
        <v>2010</v>
      </c>
      <c r="C25" s="73" t="s">
        <v>1903</v>
      </c>
      <c r="D25" s="74">
        <v>0</v>
      </c>
      <c r="E25" s="74">
        <v>0</v>
      </c>
      <c r="F25" s="74">
        <v>13800714</v>
      </c>
      <c r="G25" s="74">
        <v>0</v>
      </c>
      <c r="H25" s="74">
        <v>0</v>
      </c>
      <c r="I25" s="95"/>
      <c r="J25" s="96"/>
      <c r="K25" s="82"/>
      <c r="L25" s="98"/>
      <c r="M25" s="68"/>
      <c r="N25" s="84"/>
    </row>
    <row r="26" spans="2:14" ht="14.4" customHeight="1" outlineLevel="2" x14ac:dyDescent="0.3">
      <c r="B26" s="76" t="s">
        <v>2011</v>
      </c>
      <c r="C26" s="73" t="s">
        <v>1905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95"/>
      <c r="J26" s="96"/>
      <c r="K26" s="82"/>
      <c r="L26" s="98"/>
      <c r="M26" s="68"/>
      <c r="N26" s="84"/>
    </row>
    <row r="27" spans="2:14" ht="14.4" customHeight="1" outlineLevel="2" x14ac:dyDescent="0.3">
      <c r="B27" s="76" t="s">
        <v>2012</v>
      </c>
      <c r="C27" s="73" t="s">
        <v>1907</v>
      </c>
      <c r="D27" s="74">
        <v>0</v>
      </c>
      <c r="E27" s="74">
        <v>0</v>
      </c>
      <c r="F27" s="74">
        <v>4071841520</v>
      </c>
      <c r="G27" s="74">
        <v>0</v>
      </c>
      <c r="H27" s="74">
        <v>0</v>
      </c>
      <c r="I27" s="95"/>
      <c r="J27" s="96"/>
      <c r="K27" s="82"/>
      <c r="L27" s="98"/>
      <c r="M27" s="68"/>
      <c r="N27" s="84"/>
    </row>
    <row r="28" spans="2:14" ht="14.4" customHeight="1" outlineLevel="1" x14ac:dyDescent="0.3">
      <c r="B28" s="72" t="s">
        <v>2015</v>
      </c>
      <c r="C28" s="73" t="s">
        <v>1909</v>
      </c>
      <c r="D28" s="74">
        <v>0</v>
      </c>
      <c r="E28" s="74">
        <v>0</v>
      </c>
      <c r="F28" s="74">
        <v>1958522432</v>
      </c>
      <c r="G28" s="74">
        <v>0</v>
      </c>
      <c r="H28" s="74">
        <v>0</v>
      </c>
      <c r="I28" s="95"/>
      <c r="J28" s="96"/>
      <c r="K28" s="82"/>
      <c r="L28" s="98"/>
      <c r="M28" s="68"/>
      <c r="N28" s="68"/>
    </row>
    <row r="29" spans="2:14" ht="14.4" customHeight="1" outlineLevel="2" x14ac:dyDescent="0.3">
      <c r="B29" s="76" t="s">
        <v>2009</v>
      </c>
      <c r="C29" s="73" t="s">
        <v>1911</v>
      </c>
      <c r="D29" s="74">
        <v>0</v>
      </c>
      <c r="E29" s="74">
        <v>0</v>
      </c>
      <c r="F29" s="74">
        <v>1338866418</v>
      </c>
      <c r="G29" s="74">
        <v>0</v>
      </c>
      <c r="H29" s="74">
        <v>0</v>
      </c>
      <c r="I29" s="95"/>
      <c r="J29" s="96"/>
      <c r="K29" s="82"/>
      <c r="L29" s="98"/>
      <c r="M29" s="68"/>
      <c r="N29" s="84"/>
    </row>
    <row r="30" spans="2:14" ht="14.4" customHeight="1" outlineLevel="2" x14ac:dyDescent="0.3">
      <c r="B30" s="76" t="s">
        <v>2010</v>
      </c>
      <c r="C30" s="73" t="s">
        <v>1913</v>
      </c>
      <c r="D30" s="74">
        <v>0</v>
      </c>
      <c r="E30" s="74">
        <v>0</v>
      </c>
      <c r="F30" s="74">
        <v>619656014</v>
      </c>
      <c r="G30" s="74">
        <v>0</v>
      </c>
      <c r="H30" s="74">
        <v>0</v>
      </c>
      <c r="I30" s="95"/>
      <c r="J30" s="96"/>
      <c r="K30" s="82"/>
      <c r="L30" s="98"/>
      <c r="M30" s="68"/>
      <c r="N30" s="84"/>
    </row>
    <row r="31" spans="2:14" ht="14.4" customHeight="1" outlineLevel="2" x14ac:dyDescent="0.3">
      <c r="B31" s="76" t="s">
        <v>2011</v>
      </c>
      <c r="C31" s="73" t="s">
        <v>60</v>
      </c>
      <c r="D31" s="74">
        <v>0</v>
      </c>
      <c r="E31" s="74">
        <v>0</v>
      </c>
      <c r="F31" s="74">
        <v>0</v>
      </c>
      <c r="G31" s="74">
        <v>0</v>
      </c>
      <c r="H31" s="74">
        <v>0</v>
      </c>
      <c r="I31" s="95"/>
      <c r="J31" s="96"/>
      <c r="K31" s="82"/>
      <c r="L31" s="98"/>
      <c r="M31" s="68"/>
      <c r="N31" s="84"/>
    </row>
    <row r="32" spans="2:14" ht="14.4" customHeight="1" outlineLevel="2" x14ac:dyDescent="0.3">
      <c r="B32" s="76" t="s">
        <v>2012</v>
      </c>
      <c r="C32" s="73" t="s">
        <v>1916</v>
      </c>
      <c r="D32" s="74">
        <v>0</v>
      </c>
      <c r="E32" s="74">
        <v>0</v>
      </c>
      <c r="F32" s="74">
        <v>0</v>
      </c>
      <c r="G32" s="74">
        <v>0</v>
      </c>
      <c r="H32" s="74">
        <v>0</v>
      </c>
      <c r="I32" s="95"/>
      <c r="J32" s="96"/>
      <c r="K32" s="82"/>
      <c r="L32" s="98"/>
      <c r="M32" s="68"/>
      <c r="N32" s="84"/>
    </row>
    <row r="33" spans="2:14" ht="14.4" customHeight="1" outlineLevel="1" x14ac:dyDescent="0.3">
      <c r="B33" s="72" t="s">
        <v>2016</v>
      </c>
      <c r="C33" s="73" t="s">
        <v>1918</v>
      </c>
      <c r="D33" s="74">
        <v>0</v>
      </c>
      <c r="E33" s="74">
        <v>0</v>
      </c>
      <c r="F33" s="74">
        <v>11676384041</v>
      </c>
      <c r="G33" s="74">
        <v>0</v>
      </c>
      <c r="H33" s="74">
        <v>0</v>
      </c>
      <c r="I33" s="95"/>
      <c r="J33" s="96"/>
      <c r="K33" s="82"/>
      <c r="L33" s="98"/>
      <c r="M33" s="68"/>
      <c r="N33" s="68"/>
    </row>
    <row r="34" spans="2:14" ht="14.4" customHeight="1" outlineLevel="2" x14ac:dyDescent="0.3">
      <c r="B34" s="76" t="s">
        <v>2009</v>
      </c>
      <c r="C34" s="73" t="s">
        <v>1920</v>
      </c>
      <c r="D34" s="74">
        <v>0</v>
      </c>
      <c r="E34" s="74">
        <v>0</v>
      </c>
      <c r="F34" s="74">
        <v>8238384824</v>
      </c>
      <c r="G34" s="74">
        <v>0</v>
      </c>
      <c r="H34" s="74">
        <v>0</v>
      </c>
      <c r="I34" s="95"/>
      <c r="J34" s="96"/>
      <c r="K34" s="82"/>
      <c r="L34" s="98"/>
      <c r="M34" s="68"/>
      <c r="N34" s="84"/>
    </row>
    <row r="35" spans="2:14" ht="14.4" customHeight="1" outlineLevel="2" x14ac:dyDescent="0.3">
      <c r="B35" s="76" t="s">
        <v>2010</v>
      </c>
      <c r="C35" s="73" t="s">
        <v>1922</v>
      </c>
      <c r="D35" s="74">
        <v>0</v>
      </c>
      <c r="E35" s="74">
        <v>0</v>
      </c>
      <c r="F35" s="74">
        <v>3437999217</v>
      </c>
      <c r="G35" s="74">
        <v>0</v>
      </c>
      <c r="H35" s="74">
        <v>0</v>
      </c>
      <c r="I35" s="95"/>
      <c r="J35" s="96"/>
      <c r="K35" s="82"/>
      <c r="L35" s="98"/>
      <c r="M35" s="68"/>
      <c r="N35" s="84"/>
    </row>
    <row r="36" spans="2:14" ht="14.4" customHeight="1" outlineLevel="2" x14ac:dyDescent="0.3">
      <c r="B36" s="76" t="s">
        <v>2011</v>
      </c>
      <c r="C36" s="73" t="s">
        <v>1924</v>
      </c>
      <c r="D36" s="74">
        <v>0</v>
      </c>
      <c r="E36" s="74">
        <v>0</v>
      </c>
      <c r="F36" s="74">
        <v>0</v>
      </c>
      <c r="G36" s="74">
        <v>0</v>
      </c>
      <c r="H36" s="74">
        <v>0</v>
      </c>
      <c r="I36" s="95"/>
      <c r="J36" s="96"/>
      <c r="K36" s="82"/>
      <c r="L36" s="98"/>
      <c r="M36" s="68"/>
      <c r="N36" s="84"/>
    </row>
    <row r="37" spans="2:14" ht="14.4" customHeight="1" outlineLevel="2" x14ac:dyDescent="0.3">
      <c r="B37" s="76" t="s">
        <v>2012</v>
      </c>
      <c r="C37" s="73" t="s">
        <v>1928</v>
      </c>
      <c r="D37" s="74">
        <v>0</v>
      </c>
      <c r="E37" s="74">
        <v>0</v>
      </c>
      <c r="F37" s="74">
        <v>0</v>
      </c>
      <c r="G37" s="74">
        <v>0</v>
      </c>
      <c r="H37" s="74">
        <v>0</v>
      </c>
      <c r="I37" s="95"/>
      <c r="J37" s="96"/>
      <c r="K37" s="82"/>
      <c r="L37" s="98"/>
      <c r="M37" s="68"/>
      <c r="N37" s="84"/>
    </row>
    <row r="38" spans="2:14" ht="14.4" customHeight="1" outlineLevel="1" x14ac:dyDescent="0.3">
      <c r="B38" s="72" t="s">
        <v>2017</v>
      </c>
      <c r="C38" s="73" t="s">
        <v>1996</v>
      </c>
      <c r="D38" s="74">
        <v>0</v>
      </c>
      <c r="E38" s="74">
        <v>0</v>
      </c>
      <c r="F38" s="74">
        <v>24135217212</v>
      </c>
      <c r="G38" s="74">
        <v>0</v>
      </c>
      <c r="H38" s="74">
        <v>0</v>
      </c>
      <c r="I38" s="95"/>
      <c r="J38" s="96"/>
      <c r="K38" s="82"/>
      <c r="L38" s="98"/>
      <c r="M38" s="68"/>
      <c r="N38" s="68"/>
    </row>
    <row r="39" spans="2:14" ht="14.4" customHeight="1" outlineLevel="2" x14ac:dyDescent="0.3">
      <c r="B39" s="76" t="s">
        <v>2009</v>
      </c>
      <c r="C39" s="73" t="s">
        <v>1946</v>
      </c>
      <c r="D39" s="74">
        <v>0</v>
      </c>
      <c r="E39" s="74">
        <v>0</v>
      </c>
      <c r="F39" s="74">
        <v>12575985070</v>
      </c>
      <c r="G39" s="74">
        <v>0</v>
      </c>
      <c r="H39" s="74">
        <v>0</v>
      </c>
      <c r="I39" s="95"/>
      <c r="J39" s="96"/>
      <c r="K39" s="82"/>
      <c r="L39" s="98"/>
      <c r="M39" s="68"/>
      <c r="N39" s="84"/>
    </row>
    <row r="40" spans="2:14" ht="14.4" customHeight="1" outlineLevel="2" x14ac:dyDescent="0.3">
      <c r="B40" s="76" t="s">
        <v>2010</v>
      </c>
      <c r="C40" s="73" t="s">
        <v>1948</v>
      </c>
      <c r="D40" s="74">
        <v>0</v>
      </c>
      <c r="E40" s="74">
        <v>0</v>
      </c>
      <c r="F40" s="74">
        <v>11559232142</v>
      </c>
      <c r="G40" s="74">
        <v>0</v>
      </c>
      <c r="H40" s="74">
        <v>0</v>
      </c>
      <c r="I40" s="95"/>
      <c r="J40" s="96"/>
      <c r="K40" s="82"/>
      <c r="L40" s="98"/>
      <c r="M40" s="68"/>
      <c r="N40" s="84"/>
    </row>
    <row r="41" spans="2:14" ht="14.4" customHeight="1" outlineLevel="2" x14ac:dyDescent="0.3">
      <c r="B41" s="76" t="s">
        <v>2011</v>
      </c>
      <c r="C41" s="73" t="s">
        <v>1950</v>
      </c>
      <c r="D41" s="74">
        <v>0</v>
      </c>
      <c r="E41" s="74">
        <v>0</v>
      </c>
      <c r="F41" s="74">
        <v>0</v>
      </c>
      <c r="G41" s="74">
        <v>0</v>
      </c>
      <c r="H41" s="74">
        <v>0</v>
      </c>
      <c r="I41" s="95"/>
      <c r="J41" s="96"/>
      <c r="K41" s="82"/>
      <c r="L41" s="98"/>
      <c r="M41" s="68"/>
      <c r="N41" s="84"/>
    </row>
    <row r="42" spans="2:14" ht="14.4" customHeight="1" outlineLevel="2" x14ac:dyDescent="0.3">
      <c r="B42" s="76" t="s">
        <v>2012</v>
      </c>
      <c r="C42" s="73" t="s">
        <v>1952</v>
      </c>
      <c r="D42" s="74">
        <v>0</v>
      </c>
      <c r="E42" s="74">
        <v>0</v>
      </c>
      <c r="F42" s="74">
        <v>0</v>
      </c>
      <c r="G42" s="74">
        <v>0</v>
      </c>
      <c r="H42" s="74">
        <v>0</v>
      </c>
      <c r="I42" s="95"/>
      <c r="J42" s="96"/>
      <c r="K42" s="82"/>
      <c r="L42" s="98"/>
      <c r="M42" s="68"/>
      <c r="N42" s="84"/>
    </row>
    <row r="43" spans="2:14" ht="14.4" customHeight="1" x14ac:dyDescent="0.3">
      <c r="B43" s="81" t="s">
        <v>52</v>
      </c>
      <c r="C43" s="73" t="s">
        <v>1954</v>
      </c>
      <c r="D43" s="74">
        <v>0</v>
      </c>
      <c r="E43" s="74">
        <v>0</v>
      </c>
      <c r="F43" s="74">
        <v>6788545206</v>
      </c>
      <c r="G43" s="74">
        <v>0</v>
      </c>
      <c r="H43" s="74">
        <v>0</v>
      </c>
      <c r="I43" s="95"/>
      <c r="J43" s="74">
        <v>0</v>
      </c>
      <c r="K43" s="82"/>
      <c r="L43" s="68"/>
      <c r="M43" s="68"/>
      <c r="N43" s="68"/>
    </row>
    <row r="44" spans="2:14" ht="14.4" customHeight="1" outlineLevel="1" x14ac:dyDescent="0.3">
      <c r="B44" s="72" t="s">
        <v>2018</v>
      </c>
      <c r="C44" s="73" t="s">
        <v>2019</v>
      </c>
      <c r="D44" s="74">
        <v>0</v>
      </c>
      <c r="E44" s="74">
        <v>0</v>
      </c>
      <c r="F44" s="74">
        <v>0</v>
      </c>
      <c r="G44" s="74">
        <v>0</v>
      </c>
      <c r="H44" s="74">
        <v>0</v>
      </c>
      <c r="I44" s="95"/>
      <c r="J44" s="96"/>
      <c r="K44" s="82"/>
      <c r="L44" s="68"/>
      <c r="M44" s="68"/>
      <c r="N44" s="84"/>
    </row>
    <row r="45" spans="2:14" ht="14.4" customHeight="1" outlineLevel="1" x14ac:dyDescent="0.3">
      <c r="B45" s="72" t="s">
        <v>2020</v>
      </c>
      <c r="C45" s="73" t="s">
        <v>2021</v>
      </c>
      <c r="D45" s="74">
        <v>0</v>
      </c>
      <c r="E45" s="74">
        <v>0</v>
      </c>
      <c r="F45" s="74">
        <v>0</v>
      </c>
      <c r="G45" s="74">
        <v>0</v>
      </c>
      <c r="H45" s="74">
        <v>0</v>
      </c>
      <c r="I45" s="95"/>
      <c r="J45" s="96"/>
      <c r="K45" s="82"/>
      <c r="L45" s="68"/>
      <c r="M45" s="68"/>
      <c r="N45" s="84"/>
    </row>
    <row r="46" spans="2:14" ht="14.4" customHeight="1" outlineLevel="1" x14ac:dyDescent="0.3">
      <c r="B46" s="72" t="s">
        <v>2022</v>
      </c>
      <c r="C46" s="73" t="s">
        <v>2023</v>
      </c>
      <c r="D46" s="74">
        <v>0</v>
      </c>
      <c r="E46" s="74">
        <v>0</v>
      </c>
      <c r="F46" s="74">
        <v>4721967513</v>
      </c>
      <c r="G46" s="74">
        <v>0</v>
      </c>
      <c r="H46" s="74">
        <v>0</v>
      </c>
      <c r="I46" s="95"/>
      <c r="J46" s="96"/>
      <c r="K46" s="82"/>
      <c r="L46" s="68"/>
      <c r="M46" s="68"/>
      <c r="N46" s="84"/>
    </row>
    <row r="47" spans="2:14" ht="14.4" customHeight="1" outlineLevel="1" x14ac:dyDescent="0.3">
      <c r="B47" s="72" t="s">
        <v>2024</v>
      </c>
      <c r="C47" s="73" t="s">
        <v>2025</v>
      </c>
      <c r="D47" s="74">
        <v>0</v>
      </c>
      <c r="E47" s="74">
        <v>0</v>
      </c>
      <c r="F47" s="74">
        <v>244913707</v>
      </c>
      <c r="G47" s="74">
        <v>0</v>
      </c>
      <c r="H47" s="74">
        <v>0</v>
      </c>
      <c r="I47" s="95"/>
      <c r="J47" s="96"/>
      <c r="K47" s="82"/>
      <c r="L47" s="68"/>
      <c r="M47" s="68"/>
      <c r="N47" s="84"/>
    </row>
    <row r="48" spans="2:14" ht="14.4" customHeight="1" outlineLevel="1" x14ac:dyDescent="0.3">
      <c r="B48" s="72" t="s">
        <v>2026</v>
      </c>
      <c r="C48" s="73" t="s">
        <v>2027</v>
      </c>
      <c r="D48" s="74">
        <v>0</v>
      </c>
      <c r="E48" s="74">
        <v>0</v>
      </c>
      <c r="F48" s="74">
        <v>1821663986</v>
      </c>
      <c r="G48" s="74">
        <v>0</v>
      </c>
      <c r="H48" s="74">
        <v>0</v>
      </c>
      <c r="I48" s="95"/>
      <c r="J48" s="96"/>
      <c r="K48" s="82"/>
      <c r="L48" s="68"/>
      <c r="M48" s="68"/>
      <c r="N48" s="84"/>
    </row>
    <row r="49" spans="2:14" ht="14.4" customHeight="1" outlineLevel="2" x14ac:dyDescent="0.3">
      <c r="B49" s="76" t="s">
        <v>2028</v>
      </c>
      <c r="C49" s="73" t="s">
        <v>2029</v>
      </c>
      <c r="D49" s="74">
        <v>0</v>
      </c>
      <c r="E49" s="74">
        <v>0</v>
      </c>
      <c r="F49" s="74">
        <v>0</v>
      </c>
      <c r="G49" s="74">
        <v>0</v>
      </c>
      <c r="H49" s="74">
        <v>0</v>
      </c>
      <c r="I49" s="95"/>
      <c r="J49" s="96"/>
      <c r="K49" s="82"/>
      <c r="L49" s="68"/>
      <c r="M49" s="68"/>
      <c r="N49" s="84"/>
    </row>
    <row r="50" spans="2:14" ht="14.4" customHeight="1" outlineLevel="2" x14ac:dyDescent="0.3">
      <c r="B50" s="76" t="s">
        <v>2030</v>
      </c>
      <c r="C50" s="73" t="s">
        <v>62</v>
      </c>
      <c r="D50" s="74">
        <v>0</v>
      </c>
      <c r="E50" s="74">
        <v>0</v>
      </c>
      <c r="F50" s="99">
        <v>1821663986</v>
      </c>
      <c r="G50" s="74">
        <v>0</v>
      </c>
      <c r="H50" s="74">
        <v>0</v>
      </c>
      <c r="I50" s="95"/>
      <c r="J50" s="96"/>
      <c r="K50" s="82" t="s">
        <v>1887</v>
      </c>
      <c r="L50" s="68"/>
      <c r="M50" s="68"/>
      <c r="N50" s="84"/>
    </row>
    <row r="51" spans="2:14" ht="14.4" customHeight="1" x14ac:dyDescent="0.3">
      <c r="B51" s="81" t="s">
        <v>1871</v>
      </c>
      <c r="C51" s="73" t="s">
        <v>2031</v>
      </c>
      <c r="D51" s="74">
        <v>0</v>
      </c>
      <c r="E51" s="74">
        <v>0</v>
      </c>
      <c r="F51" s="74">
        <v>3926486121</v>
      </c>
      <c r="G51" s="74">
        <v>0</v>
      </c>
      <c r="H51" s="74">
        <v>0</v>
      </c>
      <c r="I51" s="95"/>
      <c r="J51" s="74">
        <v>0</v>
      </c>
      <c r="K51" s="82"/>
      <c r="L51" s="68"/>
      <c r="M51" s="68"/>
      <c r="N51" s="68"/>
    </row>
    <row r="52" spans="2:14" ht="15" customHeight="1" outlineLevel="1" thickBot="1" x14ac:dyDescent="0.35">
      <c r="B52" s="72" t="s">
        <v>2032</v>
      </c>
      <c r="C52" s="73" t="s">
        <v>2033</v>
      </c>
      <c r="D52" s="100"/>
      <c r="E52" s="101"/>
      <c r="F52" s="74">
        <v>14616667</v>
      </c>
      <c r="G52" s="101"/>
      <c r="H52" s="74">
        <v>0</v>
      </c>
      <c r="I52" s="101"/>
      <c r="J52" s="102"/>
      <c r="K52" s="82"/>
      <c r="L52" s="68"/>
      <c r="M52" s="68"/>
      <c r="N52" s="84"/>
    </row>
    <row r="55" spans="2:14" x14ac:dyDescent="0.3">
      <c r="F55">
        <v>1</v>
      </c>
    </row>
  </sheetData>
  <mergeCells count="3">
    <mergeCell ref="A1:J1"/>
    <mergeCell ref="D4:J4"/>
    <mergeCell ref="D5:I5"/>
  </mergeCells>
  <pageMargins left="0.7" right="0.7" top="0.75" bottom="0.75" header="0.3" footer="0.3"/>
  <headerFooter>
    <oddHeader>&amp;L&amp;"Aptos"&amp;10&amp;K000000 Confidential&amp;1#_x000D_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5F57-F9B2-4B82-8195-D0FBA98F9458}">
  <dimension ref="A1:I10"/>
  <sheetViews>
    <sheetView workbookViewId="0">
      <selection activeCell="E2" sqref="E2"/>
    </sheetView>
  </sheetViews>
  <sheetFormatPr defaultRowHeight="14.4" x14ac:dyDescent="0.3"/>
  <cols>
    <col min="1" max="1" width="5.6640625" customWidth="1" collapsed="1"/>
    <col min="2" max="2" width="21.33203125" bestFit="1" customWidth="1" collapsed="1"/>
    <col min="3" max="3" width="5" bestFit="1" customWidth="1" collapsed="1"/>
    <col min="4" max="6" width="20.6640625" customWidth="1" collapsed="1"/>
    <col min="7" max="7" width="12.88671875" bestFit="1" customWidth="1" collapsed="1"/>
    <col min="8" max="9" width="25.6640625" customWidth="1" collapsed="1"/>
  </cols>
  <sheetData>
    <row r="1" spans="1:9" ht="14.4" customHeight="1" x14ac:dyDescent="0.3">
      <c r="A1" s="66" t="s">
        <v>2034</v>
      </c>
      <c r="B1" s="67"/>
      <c r="C1" s="67"/>
      <c r="D1" s="67"/>
      <c r="E1" s="67"/>
      <c r="F1" s="67"/>
      <c r="G1" s="68"/>
      <c r="H1" s="68"/>
      <c r="I1" s="68"/>
    </row>
    <row r="2" spans="1:9" ht="14.4" customHeight="1" x14ac:dyDescent="0.3">
      <c r="G2" s="68"/>
      <c r="H2" s="68"/>
      <c r="I2" s="68"/>
    </row>
    <row r="3" spans="1:9" ht="14.4" customHeight="1" x14ac:dyDescent="0.3">
      <c r="G3" s="68"/>
      <c r="H3" s="68"/>
      <c r="I3" s="68"/>
    </row>
    <row r="4" spans="1:9" ht="14.4" customHeight="1" x14ac:dyDescent="0.3">
      <c r="D4" s="88" t="s">
        <v>1862</v>
      </c>
      <c r="E4" s="88"/>
      <c r="F4" s="88"/>
      <c r="G4" s="68"/>
      <c r="H4" s="68"/>
      <c r="I4" s="68"/>
    </row>
    <row r="5" spans="1:9" ht="14.4" customHeight="1" x14ac:dyDescent="0.3">
      <c r="D5" s="89" t="s">
        <v>1863</v>
      </c>
      <c r="E5" s="90"/>
      <c r="F5" s="91"/>
    </row>
    <row r="6" spans="1:9" ht="28.95" customHeight="1" x14ac:dyDescent="0.3">
      <c r="D6" s="70" t="s">
        <v>2000</v>
      </c>
      <c r="E6" s="70" t="s">
        <v>2035</v>
      </c>
      <c r="F6" s="70" t="s">
        <v>2003</v>
      </c>
    </row>
    <row r="7" spans="1:9" ht="15" customHeight="1" thickBot="1" x14ac:dyDescent="0.3">
      <c r="D7" s="71" t="s">
        <v>1865</v>
      </c>
      <c r="E7" s="71" t="s">
        <v>56</v>
      </c>
      <c r="F7" s="71" t="s">
        <v>64</v>
      </c>
      <c r="G7" s="68"/>
      <c r="H7" s="68"/>
      <c r="I7" s="68"/>
    </row>
    <row r="8" spans="1:9" ht="14.4" customHeight="1" x14ac:dyDescent="0.3">
      <c r="B8" s="81" t="s">
        <v>1869</v>
      </c>
      <c r="C8" s="73" t="s">
        <v>1865</v>
      </c>
      <c r="D8" s="74">
        <v>0</v>
      </c>
      <c r="E8" s="74">
        <v>0</v>
      </c>
      <c r="F8" s="74">
        <v>0</v>
      </c>
      <c r="G8" s="103"/>
      <c r="H8" s="82"/>
      <c r="I8" s="104"/>
    </row>
    <row r="9" spans="1:9" ht="14.4" customHeight="1" x14ac:dyDescent="0.3">
      <c r="B9" s="81" t="s">
        <v>52</v>
      </c>
      <c r="C9" s="73" t="s">
        <v>56</v>
      </c>
      <c r="D9" s="74">
        <v>0</v>
      </c>
      <c r="E9" s="74">
        <v>211105753</v>
      </c>
      <c r="F9" s="74">
        <v>0</v>
      </c>
      <c r="G9" s="103"/>
      <c r="H9" s="82"/>
      <c r="I9" s="104"/>
    </row>
    <row r="10" spans="1:9" ht="29.4" customHeight="1" thickBot="1" x14ac:dyDescent="0.3">
      <c r="B10" s="81" t="s">
        <v>65</v>
      </c>
      <c r="C10" s="73" t="s">
        <v>64</v>
      </c>
      <c r="D10" s="74">
        <v>0</v>
      </c>
      <c r="E10" s="99">
        <v>211105753</v>
      </c>
      <c r="F10" s="74">
        <v>0</v>
      </c>
      <c r="G10" s="103"/>
      <c r="H10" s="82" t="s">
        <v>2036</v>
      </c>
      <c r="I10" s="104"/>
    </row>
  </sheetData>
  <mergeCells count="3">
    <mergeCell ref="A1:F1"/>
    <mergeCell ref="D4:F4"/>
    <mergeCell ref="D5:F5"/>
  </mergeCells>
  <pageMargins left="0.7" right="0.7" top="0.75" bottom="0.75" header="0.3" footer="0.3"/>
  <headerFooter>
    <oddHeader>&amp;L&amp;"Aptos"&amp;10&amp;K000000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13082A-A00C-4CB1-B6EE-A37D5A70B1B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3A222C8-46AA-48FC-B4B1-5ACBFFAA5ED4}"/>
</file>

<file path=customXml/itemProps3.xml><?xml version="1.0" encoding="utf-8"?>
<ds:datastoreItem xmlns:ds="http://schemas.openxmlformats.org/officeDocument/2006/customXml" ds:itemID="{4D4BD790-CD8C-4587-9CDA-1D6FF5695374}"/>
</file>

<file path=customXml/itemProps4.xml><?xml version="1.0" encoding="utf-8"?>
<ds:datastoreItem xmlns:ds="http://schemas.openxmlformats.org/officeDocument/2006/customXml" ds:itemID="{2A81ADB3-A56E-4924-9C42-6730FA3B61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Reconciliação</vt:lpstr>
      <vt:lpstr>B0200 (Nov25)</vt:lpstr>
      <vt:lpstr>b0500</vt:lpstr>
      <vt:lpstr>B0200 (Set25)</vt:lpstr>
      <vt:lpstr>Balancete</vt:lpstr>
      <vt:lpstr>F 01.02</vt:lpstr>
      <vt:lpstr>F 01.03</vt:lpstr>
      <vt:lpstr>F 08.01.a</vt:lpstr>
      <vt:lpstr>F 08.02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Guilherme Beno Jardim</dc:creator>
  <cp:lastModifiedBy>João Guilherme Beno Jardim</cp:lastModifiedBy>
  <dcterms:created xsi:type="dcterms:W3CDTF">2026-01-07T10:39:36Z</dcterms:created>
  <dcterms:modified xsi:type="dcterms:W3CDTF">2026-01-09T12:07:50Z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2026-01-07T13:11:08Z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8586fd78-ef8a-44df-9c01-b014138a11c2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0x0101001951051659CE89468EBDA2519EAB1C2D</vt:lpwstr>
  </property>
</Properties>
</file>