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antandernet.sharepoint.com/sites/BSTestesBail-In/Shared Documents/Geral/05. Ficheiro ODBC/"/>
    </mc:Choice>
  </mc:AlternateContent>
  <xr:revisionPtr revIDLastSave="38" documentId="8_{015B09FA-BF38-4CA1-A112-8040383EB80F}" xr6:coauthVersionLast="47" xr6:coauthVersionMax="47" xr10:uidLastSave="{3694A7C9-69FD-4CF6-ACD2-972FA623F461}"/>
  <bookViews>
    <workbookView xWindow="-120" yWindow="-16320" windowWidth="29040" windowHeight="15720" xr2:uid="{F4B1C1BB-2BC2-4DA7-9C20-6E4F57E6261F}"/>
  </bookViews>
  <sheets>
    <sheet name="QUERY BUILDER" sheetId="1" r:id="rId1"/>
    <sheet name="Descrição" sheetId="2" r:id="rId2"/>
  </sheets>
  <definedNames>
    <definedName name="_xlnm._FilterDatabase" localSheetId="1" hidden="1">Descrição!$A$1:$K$86</definedName>
    <definedName name="_xlnm._FilterDatabase" localSheetId="0" hidden="1">'QUERY BUILDER'!$A$1:$K$192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2" i="1" l="1"/>
  <c r="I92" i="1"/>
  <c r="A92"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1" i="1"/>
  <c r="A90" i="1"/>
  <c r="A89" i="1"/>
  <c r="A88" i="1"/>
  <c r="A87" i="1"/>
  <c r="A86" i="1"/>
  <c r="A85" i="1"/>
  <c r="A84" i="1"/>
  <c r="A83" i="1"/>
  <c r="A82" i="1"/>
  <c r="A81" i="1"/>
  <c r="A80" i="1"/>
  <c r="A79" i="1"/>
  <c r="A78" i="1"/>
  <c r="A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J177" i="1"/>
  <c r="J176" i="1"/>
  <c r="J175" i="1"/>
  <c r="J174" i="1"/>
  <c r="J173" i="1"/>
  <c r="J172" i="1"/>
  <c r="J171" i="1"/>
  <c r="J170" i="1"/>
  <c r="J169" i="1"/>
  <c r="J168" i="1"/>
  <c r="J167" i="1"/>
  <c r="J166" i="1"/>
  <c r="J165" i="1"/>
  <c r="J164" i="1"/>
  <c r="J163" i="1"/>
  <c r="J162" i="1"/>
  <c r="J161" i="1"/>
  <c r="J160" i="1"/>
  <c r="J159" i="1"/>
  <c r="J158" i="1"/>
  <c r="J192" i="1"/>
  <c r="J191" i="1"/>
  <c r="J190" i="1"/>
  <c r="J189" i="1"/>
  <c r="J188" i="1"/>
  <c r="J187" i="1"/>
  <c r="J185" i="1"/>
  <c r="J184" i="1"/>
  <c r="J183" i="1"/>
  <c r="J182" i="1"/>
  <c r="J181" i="1"/>
  <c r="J180" i="1"/>
  <c r="J179" i="1"/>
  <c r="J178" i="1"/>
  <c r="J186"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I177" i="1"/>
  <c r="I176" i="1"/>
  <c r="A177" i="1"/>
  <c r="A176" i="1"/>
  <c r="A175" i="1"/>
  <c r="A174" i="1"/>
  <c r="A173" i="1"/>
  <c r="A172" i="1"/>
  <c r="A171" i="1"/>
  <c r="A170" i="1"/>
  <c r="A169" i="1"/>
  <c r="A168" i="1"/>
  <c r="A167" i="1"/>
  <c r="A166" i="1"/>
  <c r="A165" i="1"/>
  <c r="A164" i="1"/>
  <c r="A163" i="1"/>
  <c r="D162" i="1"/>
  <c r="D161" i="1"/>
  <c r="D160" i="1"/>
  <c r="D159" i="1"/>
  <c r="I175" i="1"/>
  <c r="I174" i="1"/>
  <c r="I173" i="1"/>
  <c r="I172" i="1"/>
  <c r="I171" i="1"/>
  <c r="I170" i="1"/>
  <c r="I169" i="1"/>
  <c r="I168" i="1"/>
  <c r="I167" i="1"/>
  <c r="I166" i="1"/>
  <c r="I165" i="1"/>
  <c r="I164" i="1"/>
  <c r="I163" i="1"/>
  <c r="I162" i="1"/>
  <c r="I161" i="1"/>
  <c r="I160" i="1"/>
  <c r="I159" i="1"/>
  <c r="I158" i="1"/>
  <c r="D158" i="1"/>
  <c r="D181" i="1"/>
  <c r="D180" i="1"/>
  <c r="D179" i="1"/>
  <c r="D178" i="1"/>
  <c r="I192" i="1"/>
  <c r="I191" i="1"/>
  <c r="I190" i="1"/>
  <c r="I189" i="1"/>
  <c r="I188" i="1"/>
  <c r="I187" i="1"/>
  <c r="I186" i="1"/>
  <c r="I185" i="1"/>
  <c r="I184" i="1"/>
  <c r="I183" i="1"/>
  <c r="I182" i="1"/>
  <c r="I181" i="1"/>
  <c r="G179" i="1"/>
  <c r="G180" i="1" s="1"/>
  <c r="G181" i="1" s="1"/>
  <c r="G182" i="1" s="1"/>
  <c r="G183" i="1" s="1"/>
  <c r="G184" i="1" s="1"/>
  <c r="G185" i="1" s="1"/>
  <c r="G186" i="1" s="1"/>
  <c r="G187" i="1" s="1"/>
  <c r="G188" i="1" s="1"/>
  <c r="G189" i="1" s="1"/>
  <c r="G190" i="1" s="1"/>
  <c r="G191" i="1" s="1"/>
  <c r="G192" i="1" s="1"/>
  <c r="A192" i="1" s="1"/>
  <c r="I180" i="1"/>
  <c r="I179" i="1"/>
  <c r="I178" i="1"/>
  <c r="K178" i="1" l="1"/>
  <c r="K181" i="1"/>
  <c r="K179" i="1"/>
  <c r="K180" i="1"/>
  <c r="A187" i="1"/>
  <c r="A182" i="1"/>
  <c r="A184" i="1"/>
  <c r="A185" i="1"/>
  <c r="A186" i="1"/>
  <c r="A189" i="1"/>
  <c r="A188" i="1"/>
  <c r="A190" i="1"/>
  <c r="A183" i="1"/>
  <c r="A191" i="1"/>
  <c r="K182" i="1" l="1"/>
  <c r="K183" i="1"/>
  <c r="K184" i="1" l="1"/>
  <c r="K185" i="1" l="1"/>
  <c r="K186" i="1" l="1"/>
  <c r="K187" i="1" l="1"/>
  <c r="K188" i="1" l="1"/>
  <c r="K189" i="1" l="1"/>
  <c r="K190" i="1" l="1"/>
  <c r="K191" i="1" l="1"/>
  <c r="K192" i="1" l="1"/>
  <c r="K3" i="1" l="1"/>
  <c r="K2" i="1"/>
  <c r="K4" i="1" l="1"/>
  <c r="K5" i="1" l="1"/>
  <c r="K6" i="1" l="1"/>
  <c r="K7" i="1" l="1"/>
  <c r="K8" i="1" l="1"/>
  <c r="K9" i="1" l="1"/>
  <c r="K10" i="1" l="1"/>
  <c r="K11" i="1" l="1"/>
  <c r="K12" i="1" l="1"/>
  <c r="K13" i="1" l="1"/>
  <c r="K14" i="1" l="1"/>
  <c r="K15" i="1" l="1"/>
  <c r="K16" i="1" l="1"/>
  <c r="K17" i="1" l="1"/>
  <c r="K18" i="1" l="1"/>
  <c r="K19" i="1" l="1"/>
  <c r="K20" i="1" l="1"/>
  <c r="K21" i="1" l="1"/>
  <c r="K22" i="1" l="1"/>
  <c r="K23" i="1" l="1"/>
  <c r="K24" i="1" l="1"/>
  <c r="K25" i="1" l="1"/>
  <c r="K26" i="1" l="1"/>
  <c r="K27" i="1" l="1"/>
  <c r="K28" i="1" l="1"/>
  <c r="K29" i="1" l="1"/>
  <c r="K30" i="1" l="1"/>
  <c r="K31" i="1" l="1"/>
  <c r="K32" i="1" l="1"/>
  <c r="K33" i="1" l="1"/>
  <c r="K34" i="1" l="1"/>
  <c r="K35" i="1" l="1"/>
  <c r="K36" i="1" l="1"/>
  <c r="K37" i="1" l="1"/>
  <c r="K38" i="1" l="1"/>
  <c r="K39" i="1" l="1"/>
  <c r="K40" i="1" l="1"/>
  <c r="K41" i="1" l="1"/>
  <c r="K42" i="1" l="1"/>
  <c r="K43" i="1" l="1"/>
  <c r="K44" i="1" l="1"/>
  <c r="K45" i="1" l="1"/>
  <c r="K46" i="1" l="1"/>
  <c r="K47" i="1" l="1"/>
  <c r="K48" i="1" l="1"/>
  <c r="K49" i="1" l="1"/>
  <c r="K50" i="1" l="1"/>
  <c r="K51" i="1" l="1"/>
  <c r="K52" i="1" l="1"/>
  <c r="K53" i="1" l="1"/>
  <c r="K54" i="1" l="1"/>
  <c r="K55" i="1" l="1"/>
  <c r="K56" i="1" l="1"/>
  <c r="K57" i="1" l="1"/>
  <c r="K58" i="1" l="1"/>
  <c r="K59" i="1" l="1"/>
  <c r="K60" i="1" l="1"/>
  <c r="K61" i="1" l="1"/>
  <c r="K62" i="1" l="1"/>
  <c r="K63" i="1" l="1"/>
  <c r="K64" i="1" l="1"/>
  <c r="K65" i="1" l="1"/>
  <c r="K66" i="1" l="1"/>
  <c r="K67" i="1" l="1"/>
  <c r="K68" i="1" l="1"/>
  <c r="K69" i="1" l="1"/>
  <c r="K70" i="1" l="1"/>
  <c r="K71" i="1" l="1"/>
  <c r="K72" i="1" l="1"/>
  <c r="K73" i="1" l="1"/>
  <c r="K74" i="1" l="1"/>
  <c r="K75" i="1" l="1"/>
  <c r="K76" i="1" l="1"/>
  <c r="K77" i="1" l="1"/>
  <c r="K78" i="1" l="1"/>
  <c r="K79" i="1" l="1"/>
  <c r="K80" i="1" l="1"/>
  <c r="K81" i="1" l="1"/>
  <c r="K82" i="1" l="1"/>
  <c r="K83" i="1" l="1"/>
  <c r="K84" i="1" l="1"/>
  <c r="K85" i="1" l="1"/>
  <c r="K86" i="1" l="1"/>
  <c r="K87" i="1" l="1"/>
  <c r="K88" i="1" l="1"/>
  <c r="K89" i="1" l="1"/>
  <c r="K90" i="1" l="1"/>
  <c r="K92" i="1" l="1"/>
  <c r="K91" i="1"/>
  <c r="K93" i="1" l="1"/>
  <c r="K94" i="1" l="1"/>
  <c r="K95" i="1" l="1"/>
  <c r="K96" i="1" l="1"/>
  <c r="K97" i="1" l="1"/>
  <c r="K98" i="1" l="1"/>
  <c r="K99" i="1" l="1"/>
  <c r="K100" i="1" l="1"/>
  <c r="K101" i="1" l="1"/>
  <c r="K102" i="1" l="1"/>
  <c r="K103" i="1" l="1"/>
  <c r="K104" i="1" l="1"/>
  <c r="K105" i="1" l="1"/>
  <c r="K106" i="1" l="1"/>
  <c r="K107" i="1" l="1"/>
  <c r="K108" i="1" l="1"/>
  <c r="K109" i="1" l="1"/>
  <c r="K110" i="1" l="1"/>
  <c r="K111" i="1" l="1"/>
  <c r="K112" i="1" l="1"/>
  <c r="K113" i="1" l="1"/>
  <c r="K114" i="1" l="1"/>
  <c r="K115" i="1" l="1"/>
  <c r="K116" i="1" l="1"/>
  <c r="K117" i="1" l="1"/>
  <c r="K118" i="1" l="1"/>
  <c r="K119" i="1" l="1"/>
  <c r="K120" i="1" l="1"/>
  <c r="K121" i="1" l="1"/>
  <c r="K122" i="1" l="1"/>
  <c r="K123" i="1" l="1"/>
  <c r="K124" i="1" l="1"/>
  <c r="K125" i="1" l="1"/>
  <c r="K126" i="1" l="1"/>
  <c r="K127" i="1" l="1"/>
  <c r="K128" i="1" l="1"/>
  <c r="K129" i="1" l="1"/>
  <c r="K130" i="1" l="1"/>
  <c r="K131" i="1" l="1"/>
  <c r="K132" i="1" l="1"/>
  <c r="K133" i="1" l="1"/>
  <c r="K134" i="1" l="1"/>
  <c r="K135" i="1" l="1"/>
  <c r="K136" i="1" l="1"/>
  <c r="K137" i="1" l="1"/>
  <c r="K138" i="1" l="1"/>
  <c r="K139" i="1" l="1"/>
  <c r="K140" i="1" l="1"/>
  <c r="K141" i="1" l="1"/>
  <c r="K142" i="1" l="1"/>
  <c r="K143" i="1" l="1"/>
  <c r="K144" i="1" l="1"/>
  <c r="K145" i="1" l="1"/>
  <c r="K146" i="1" l="1"/>
  <c r="K147" i="1" l="1"/>
  <c r="K148" i="1" l="1"/>
  <c r="K149" i="1" l="1"/>
  <c r="K150" i="1" l="1"/>
  <c r="K151" i="1" l="1"/>
  <c r="K152" i="1" l="1"/>
  <c r="K153" i="1" l="1"/>
  <c r="K154" i="1" l="1"/>
  <c r="K155" i="1" l="1"/>
  <c r="K156" i="1" l="1"/>
  <c r="K157" i="1" l="1"/>
  <c r="K158" i="1" l="1"/>
  <c r="K159" i="1" l="1"/>
  <c r="K160" i="1" l="1"/>
  <c r="K161" i="1" l="1"/>
  <c r="K162" i="1" l="1"/>
  <c r="K163" i="1" l="1"/>
  <c r="K164" i="1" l="1"/>
  <c r="K165" i="1" l="1"/>
  <c r="K166" i="1" l="1"/>
  <c r="K167" i="1" l="1"/>
  <c r="K168" i="1" l="1"/>
  <c r="K169" i="1" l="1"/>
  <c r="K170" i="1" l="1"/>
  <c r="K171" i="1" l="1"/>
  <c r="K172" i="1" l="1"/>
  <c r="K173" i="1" l="1"/>
  <c r="K174" i="1" l="1"/>
  <c r="K175" i="1" l="1"/>
  <c r="K176" i="1" l="1"/>
  <c r="K177" i="1"/>
</calcChain>
</file>

<file path=xl/sharedStrings.xml><?xml version="1.0" encoding="utf-8"?>
<sst xmlns="http://schemas.openxmlformats.org/spreadsheetml/2006/main" count="1971" uniqueCount="676">
  <si>
    <t>REFDATE</t>
  </si>
  <si>
    <t>COD_KPI</t>
  </si>
  <si>
    <t>TIPOLOGIA_TESTE</t>
  </si>
  <si>
    <t>DESCRIÇÃO</t>
  </si>
  <si>
    <t>TABELA</t>
  </si>
  <si>
    <t>CAMPO</t>
  </si>
  <si>
    <t>QUERY</t>
  </si>
  <si>
    <t>v_1_0056</t>
  </si>
  <si>
    <t>0030_cntrprty_rsltn_grp</t>
  </si>
  <si>
    <t>CASE WHEN</t>
  </si>
  <si>
    <t>`0030_cntrprty_rsltn_grp`= '' OR `0030_cntrprty_rsltn_grp` IS NULL</t>
  </si>
  <si>
    <t>REGULAMENTAR</t>
  </si>
  <si>
    <t>`0030_cntrprty_rsltn_grp` NOT IN ('Intragroup and intra-resolution group', 'Intragroup but not intra-resolution group', 'No')</t>
  </si>
  <si>
    <t>v_2_0058</t>
  </si>
  <si>
    <t>`0080_cntrprty_typ` NOT IN ('Households', 'Micro &amp; SME', 'Corporates', 'Institutions', 'Other financial corporations', 'Insurance firms &amp; pension funds', 'Government, central banks &amp; supranationals', 'Non identified, listed on an exchange platform', 'Non identified, not listed on an exchange platform')</t>
  </si>
  <si>
    <t>v_2_0059</t>
  </si>
  <si>
    <t>THEN</t>
  </si>
  <si>
    <t>ELSE</t>
  </si>
  <si>
    <t>BU_LOANTAPE_WORK.OUT_B9000_COUNTERPARTIES</t>
  </si>
  <si>
    <t>Check ID</t>
  </si>
  <si>
    <t>Tab</t>
  </si>
  <si>
    <t>Data point (Row/Column)</t>
  </si>
  <si>
    <t>Data point (Label)</t>
  </si>
  <si>
    <t>Data point type</t>
  </si>
  <si>
    <t>High severity (i.e the validation rule should in general not be breached)</t>
  </si>
  <si>
    <t>Warning only (i.e. the validation rule can be breached in certain cases)</t>
  </si>
  <si>
    <t>Type of test
(missing values means "not applicable" or "not available")</t>
  </si>
  <si>
    <t>Prerequisite / Dependency</t>
  </si>
  <si>
    <t>Explanation</t>
  </si>
  <si>
    <t>v_1_0001</t>
  </si>
  <si>
    <t>B02.00</t>
  </si>
  <si>
    <t>0010</t>
  </si>
  <si>
    <t>Row number</t>
  </si>
  <si>
    <t>Numeric: Integer</t>
  </si>
  <si>
    <t>X</t>
  </si>
  <si>
    <t xml:space="preserve">Test for missing values. </t>
  </si>
  <si>
    <t>Missing value. The field must be reported.</t>
  </si>
  <si>
    <t>v_1_0002</t>
  </si>
  <si>
    <t>0030</t>
  </si>
  <si>
    <t>Unique identification number (known to the counterparty)</t>
  </si>
  <si>
    <t>String: Free text</t>
  </si>
  <si>
    <t>Test for missing values.</t>
  </si>
  <si>
    <t>v_1_0003</t>
  </si>
  <si>
    <t>0040</t>
  </si>
  <si>
    <t>Type of the unique identifier (known to the counterparty)</t>
  </si>
  <si>
    <t>String: Free text, but fixed values for specific items</t>
  </si>
  <si>
    <t>v_1_0004</t>
  </si>
  <si>
    <t>0070</t>
  </si>
  <si>
    <t xml:space="preserve">Contract Currency </t>
  </si>
  <si>
    <t>String: 3-letters ISO 4217</t>
  </si>
  <si>
    <t>v_1_0005</t>
  </si>
  <si>
    <t>0080</t>
  </si>
  <si>
    <t>Outstanding principal amount</t>
  </si>
  <si>
    <t>Numeric: 2 decimals</t>
  </si>
  <si>
    <t>Rule applicable if c0250 = ("Non-Structured/Vanilla" OR "Other non-standard terms")</t>
  </si>
  <si>
    <t>Missing value. The field must be reported for non-structured liabilities.</t>
  </si>
  <si>
    <t>v_1_0006</t>
  </si>
  <si>
    <t>Rule applicable if c0250 = ("Structured" OR "Only structured coupon")</t>
  </si>
  <si>
    <t xml:space="preserve">Missing value (warning only). For structured liabilities, the field has to be reported if the information exists. </t>
  </si>
  <si>
    <t>v_1_0007</t>
  </si>
  <si>
    <t>0090</t>
  </si>
  <si>
    <t>Portion of instrument or liability held by the reporting entity</t>
  </si>
  <si>
    <t>Rule applicable only if c0040 = "ISIN"</t>
  </si>
  <si>
    <t>Missing value. The field must be reported for securities.</t>
  </si>
  <si>
    <t>v_1_0008</t>
  </si>
  <si>
    <t>0100</t>
  </si>
  <si>
    <t xml:space="preserve">Accrued interest </t>
  </si>
  <si>
    <t>Rule applicable if c0250 = ("Non-Structured" OR "Other non-standard terms") AND c0240 != "ZCB issued at discount"</t>
  </si>
  <si>
    <t>Missing value. For non-structured liabilities that are not zero coupon bonds issued at discount, this field must be reported.</t>
  </si>
  <si>
    <t>v_1_0009</t>
  </si>
  <si>
    <t>Rule applicable only if c0250 != ("Structured" OR "Only structured coupon")</t>
  </si>
  <si>
    <t xml:space="preserve">Missing value (warning only). For structured liabilities, the field  has to be reported if the information exists. </t>
  </si>
  <si>
    <t>v_1_0010</t>
  </si>
  <si>
    <t>0120</t>
  </si>
  <si>
    <t xml:space="preserve">Outstanding amount </t>
  </si>
  <si>
    <t>Missing value. For non-structured liabilities, this field must be reported.</t>
  </si>
  <si>
    <t>v_1_0011</t>
  </si>
  <si>
    <t>v_1_0012</t>
  </si>
  <si>
    <t>0130</t>
  </si>
  <si>
    <t>Relevant amount for Bail-in/WDC</t>
  </si>
  <si>
    <t>v_1_0013</t>
  </si>
  <si>
    <t>0140</t>
  </si>
  <si>
    <t>Nature of the liability</t>
  </si>
  <si>
    <t>String: Drop-down</t>
  </si>
  <si>
    <t>v_1_0014</t>
  </si>
  <si>
    <t>0141</t>
  </si>
  <si>
    <t>Nature of the liability (if other)</t>
  </si>
  <si>
    <t>Rule applicable only if c0140 = "Other".</t>
  </si>
  <si>
    <t>Missing value. The field must be reported if option "Other" has been selected in c0140.</t>
  </si>
  <si>
    <t>v_1_0015</t>
  </si>
  <si>
    <t>0160</t>
  </si>
  <si>
    <t xml:space="preserve">Insolvency ranking </t>
  </si>
  <si>
    <t>v_1_0016</t>
  </si>
  <si>
    <t>0162</t>
  </si>
  <si>
    <t>Bail-in cascade</t>
  </si>
  <si>
    <t>String: Fixed values</t>
  </si>
  <si>
    <t>v_1_0017</t>
  </si>
  <si>
    <t>0180</t>
  </si>
  <si>
    <t xml:space="preserve">Date of the next interest payment </t>
  </si>
  <si>
    <t>Date: yyyy-mm-dd</t>
  </si>
  <si>
    <t>Rule applicable if c0250 = ("Non-Structured/Vanilla" OR "Other non-standard terms") AND c0240 != "ZCB issued at discount"</t>
  </si>
  <si>
    <t>Missing value. For non-structured liabilities that are not zero coupon bonds issued at discount, this field is must be reported.</t>
  </si>
  <si>
    <t>v_1_0018</t>
  </si>
  <si>
    <t>Missing value (warning only). For structured liabilities, this field should  be reported only if the information exists..</t>
  </si>
  <si>
    <t>v_1_0019</t>
  </si>
  <si>
    <t>0200</t>
  </si>
  <si>
    <t xml:space="preserve">Earliest redemption date </t>
  </si>
  <si>
    <t>Missing value (warning only).  This field needs to be reported if the information exists.</t>
  </si>
  <si>
    <t>v_1_0020</t>
  </si>
  <si>
    <t>0210</t>
  </si>
  <si>
    <t>Legal maturity</t>
  </si>
  <si>
    <t>Rule applicable if c0140 != "Cash account/saving account".</t>
  </si>
  <si>
    <t>Missing value.For liabilities other than of the type "Cash account/savings account, the field must be reported.</t>
  </si>
  <si>
    <t>v_1_0021</t>
  </si>
  <si>
    <t>0220</t>
  </si>
  <si>
    <t>Governing law</t>
  </si>
  <si>
    <t>String: ISO 3166-1 alpha 2 / ISO 3166-2</t>
  </si>
  <si>
    <t>v_1_0022</t>
  </si>
  <si>
    <t>0250</t>
  </si>
  <si>
    <t>Structured product</t>
  </si>
  <si>
    <t>v_1_0023</t>
  </si>
  <si>
    <t>0260</t>
  </si>
  <si>
    <t>Guaranteed minimum repayment amount of the structured product</t>
  </si>
  <si>
    <t>Missing value (warning only). For structured liabilities, this field should  be reported if the information exists..</t>
  </si>
  <si>
    <t>v_1_0024</t>
  </si>
  <si>
    <t>0270</t>
  </si>
  <si>
    <t>Fair value of the structured product</t>
  </si>
  <si>
    <t>Missing value. The field must be reported for structured products.</t>
  </si>
  <si>
    <t>v_1_0025</t>
  </si>
  <si>
    <t>0300</t>
  </si>
  <si>
    <t>Covered portion of eligible deposits</t>
  </si>
  <si>
    <t>Rule applicable only if c0280 = "TRUE" or c0290 = "TRUE".</t>
  </si>
  <si>
    <t>Missing value. The field must be reported for eligible deposits. If the value is zero, "0" should be entered.</t>
  </si>
  <si>
    <t>v_1_0026</t>
  </si>
  <si>
    <t>0310</t>
  </si>
  <si>
    <t>Secured/Unsecured</t>
  </si>
  <si>
    <t>v_1_0027</t>
  </si>
  <si>
    <t>0320</t>
  </si>
  <si>
    <t>Amount of pledge, lien or collateral based on the current internal valuation</t>
  </si>
  <si>
    <t>Rule applicable only if c0310 = "Secured"</t>
  </si>
  <si>
    <t>Missing value. The field must be reported for secured products. If the value is zero, "0" should be entered.</t>
  </si>
  <si>
    <t>v_1_0028</t>
  </si>
  <si>
    <t>0330</t>
  </si>
  <si>
    <t>Amount of the uncollateralized part</t>
  </si>
  <si>
    <t>Missing value. The field must be reported for secured products.</t>
  </si>
  <si>
    <t>v_1_0029</t>
  </si>
  <si>
    <t>0350</t>
  </si>
  <si>
    <t>Type of the collateral</t>
  </si>
  <si>
    <t>v_1_0030</t>
  </si>
  <si>
    <t>0351</t>
  </si>
  <si>
    <t>Type of the collateral (if other)</t>
  </si>
  <si>
    <t>Rule applicable only if c0350 = "Other"</t>
  </si>
  <si>
    <t>Missing value (warning). The field should be reported if c0350 = "Other".</t>
  </si>
  <si>
    <t>v_1_0031</t>
  </si>
  <si>
    <t>0370</t>
  </si>
  <si>
    <t>Denomination / Nominal value per security in EUR</t>
  </si>
  <si>
    <t>Rule applicable only if c0040 = "ISIN" and c0360 = "Nominal"</t>
  </si>
  <si>
    <t>Missing value. The field must be reported for securities with trading-method = "Nominal".</t>
  </si>
  <si>
    <t>v_1_0032</t>
  </si>
  <si>
    <t>Rule applicable only if c0040 = "ISIN" and c0360 = "Unit"</t>
  </si>
  <si>
    <t>Missing value (warning only). The field should be reported for securities with trading-method = "Unit" if the information exists.</t>
  </si>
  <si>
    <t>v_1_0033</t>
  </si>
  <si>
    <t>0390</t>
  </si>
  <si>
    <t>Number of securities outstanding not held by the reporting entity</t>
  </si>
  <si>
    <t>Rule applicable only if c0040 = "ISIN".</t>
  </si>
  <si>
    <t>Missing value. The field must be reported when c0040 = "ISIN". If the value is zero, "0" must be entered.</t>
  </si>
  <si>
    <t>v_1_0034</t>
  </si>
  <si>
    <t>0391</t>
  </si>
  <si>
    <t>Number of securities outstanding held by the reporting entity</t>
  </si>
  <si>
    <t>Missing value. The field must be reported for securities. If the value is zero, "0" must be entered.</t>
  </si>
  <si>
    <t>v_1_0035</t>
  </si>
  <si>
    <t>0400</t>
  </si>
  <si>
    <t>Accrued interest per security</t>
  </si>
  <si>
    <t>Numeric: 4 decimals</t>
  </si>
  <si>
    <t>Rule applicable if c0040 = "ISIN",  c0250 = ("Non-Structured/Vanilla" OR "Other non-standard terms) AND c0240 != "ZCB issued at discount"</t>
  </si>
  <si>
    <t>Missing value. The field must be reported for non-structured securities that are not zero coupon bonds issued at discount.</t>
  </si>
  <si>
    <t>v_1_0036</t>
  </si>
  <si>
    <t>Rule applicable if c0040 = "ISIN",  c0250 != ("Structured" OR "Only structured coupon")</t>
  </si>
  <si>
    <t>Missing value (warning only). This field must be reported for structured securities if the information exists.</t>
  </si>
  <si>
    <t>v_1_0037</t>
  </si>
  <si>
    <t>0610</t>
  </si>
  <si>
    <t>Carrying amount IFRS</t>
  </si>
  <si>
    <t>Missing value (warning only). The field must be reported if the information exists, i.e. the entity reports in IFRS.</t>
  </si>
  <si>
    <t>v_1_0038</t>
  </si>
  <si>
    <t>5000</t>
  </si>
  <si>
    <t>Instrument/liability is issued to or bought by an existing shareholder that is not part of the same resolution group</t>
  </si>
  <si>
    <t>String: TRUE / FALSE boolean</t>
  </si>
  <si>
    <t>if {B99.00;c0060} = "Non-Resolution Entity"</t>
  </si>
  <si>
    <t>Missing value. The field must be reported for Non-Resolution Entities.</t>
  </si>
  <si>
    <t>v_1_0039</t>
  </si>
  <si>
    <t>5010</t>
  </si>
  <si>
    <t>Instrument/liability meets the requirements of Art. 21(7a) SRMR</t>
  </si>
  <si>
    <t>B90.00</t>
  </si>
  <si>
    <t xml:space="preserve">Counterparty within the resolution group </t>
  </si>
  <si>
    <t>Rule applicable only if c0250 = ("Structured" OR "Structured coupon only")</t>
  </si>
  <si>
    <t>v_2_0001</t>
  </si>
  <si>
    <t>The field must have the characteristics of an ISIN, e.g., max. 12 characters and start with 2 letters signifying the ISO country code.</t>
  </si>
  <si>
    <t>c0040 = "ISIN"</t>
  </si>
  <si>
    <t>If the ID is an ISIN (c0030 = "ISIN"), then the ID reported in c0020 must have the characteristics of an ISIN, e.g. 12 characters and start with 2 letters signifying the ISO country code.</t>
  </si>
  <si>
    <t>v_2_0003</t>
  </si>
  <si>
    <t>Check if the reported field respect the 3-letters ISO 4217 code.</t>
  </si>
  <si>
    <t>c0020 ≠ (NCNP OR NCBP)</t>
  </si>
  <si>
    <t>Currencies must be reported using the 3-letters ISO 4217 code.</t>
  </si>
  <si>
    <t>v_2_0004</t>
  </si>
  <si>
    <t>Check if the reported field is higher than 0.</t>
  </si>
  <si>
    <t>The reported amount must in general be positive.</t>
  </si>
  <si>
    <t>v_2_0005</t>
  </si>
  <si>
    <t>Check if the reported field is higher than or equal 0.</t>
  </si>
  <si>
    <t>The reported amount must be positive or zero.</t>
  </si>
  <si>
    <t>v_2_0006</t>
  </si>
  <si>
    <t xml:space="preserve">Check if the reported field is higher than or equal 0. </t>
  </si>
  <si>
    <t xml:space="preserve">The reported amount should be positive or zero. However, negative accrued interests are in principle allowed, if duly justified by the reporting entity. </t>
  </si>
  <si>
    <t>v_2_0007</t>
  </si>
  <si>
    <t>0110</t>
  </si>
  <si>
    <t>Applicable fees and charges</t>
  </si>
  <si>
    <t>The reported amount should be in general positive or zero.</t>
  </si>
  <si>
    <t>v_2_0008</t>
  </si>
  <si>
    <t>The reported amount should be positive.</t>
  </si>
  <si>
    <t>v_2_0009</t>
  </si>
  <si>
    <t>Check if the reported field is equal to c0080 + c0100 + c0110.</t>
  </si>
  <si>
    <t>The reported amount should be equal to: c0080 + c0100 + c0110.</t>
  </si>
  <si>
    <t>v_2_0011</t>
  </si>
  <si>
    <t>Check if the reported field is equal to of: max{0, c0120 - c0300 - c0320}.</t>
  </si>
  <si>
    <t>c0250 = ("Non-structured/Vanilla" OR "Other non-standard terms") &amp; c0240 != "ZCB issued at discount"</t>
  </si>
  <si>
    <t>The reported amount should be equal to: c0120 - c0300 - c0320, besides for Zero Coupon Bonds for which specific provisions may apply.</t>
  </si>
  <si>
    <t>v_2_0012</t>
  </si>
  <si>
    <t>Check if the reported field is either equal to max(0, c0270 - c0300 - c0320) OR equal to max(0, c0120 - c0300 - c0320)</t>
  </si>
  <si>
    <t>c0250 = ( "Structured" OR "Structured coupon only")</t>
  </si>
  <si>
    <t>For structured products, the reported amount should be equal to: (c0270 - c0300 - c0320) if the fair value is used to support the determination of the relevant amount for bail-in, OR (c0120 - c0300 - c0320) if not.</t>
  </si>
  <si>
    <t>v_2_0013</t>
  </si>
  <si>
    <t>Drop down values must be respected.</t>
  </si>
  <si>
    <t>The drop down values must be respected.</t>
  </si>
  <si>
    <t>v_2_0014</t>
  </si>
  <si>
    <t>Numeric integer values from 1 onwards must be reported.</t>
  </si>
  <si>
    <t>Numeric values from 1 onwards must be reported.</t>
  </si>
  <si>
    <t>v_2_0015</t>
  </si>
  <si>
    <t>0170</t>
  </si>
  <si>
    <t>Date of issuance</t>
  </si>
  <si>
    <t>The reported value must be a date (yyyy-mm-gg).</t>
  </si>
  <si>
    <t>(c0020 ≠ "NCNP" OR "NCBP")</t>
  </si>
  <si>
    <t>v_2_0016</t>
  </si>
  <si>
    <t>The reported value must be before the Date of the next (partial) redemption payment (c0190) and the earliest redemption date (c0200).</t>
  </si>
  <si>
    <t>(c0190 or c0200) are reported &amp; (c0020 ≠ "NCNP" OR "NCBP")</t>
  </si>
  <si>
    <t>v_2_0017</t>
  </si>
  <si>
    <t>v_2_0018</t>
  </si>
  <si>
    <t>The reported value must be after the reference date reported in B99.00 (c0070).</t>
  </si>
  <si>
    <t>{B99.00;c0070} is reported &amp; (c0020 ≠ "NCNP" OR "NCBP")</t>
  </si>
  <si>
    <t>v_2_0019</t>
  </si>
  <si>
    <t>v_2_0020</t>
  </si>
  <si>
    <t>v_2_0021</t>
  </si>
  <si>
    <t>v_2_0022</t>
  </si>
  <si>
    <t>v_2_0023</t>
  </si>
  <si>
    <t>Check if the reported field respects the ISO 3166-1 alpha-2 code or 3166-2</t>
  </si>
  <si>
    <t>Governing law must be reported using the ISO 3166-1 alpha-2 code.</t>
  </si>
  <si>
    <t>v_2_0024</t>
  </si>
  <si>
    <t>0230</t>
  </si>
  <si>
    <t>Bail-in recognition clause</t>
  </si>
  <si>
    <t>v_2_0025</t>
  </si>
  <si>
    <t>v_2_0026</t>
  </si>
  <si>
    <t>v_2_0027</t>
  </si>
  <si>
    <t>Check if the reported field is equal to: max(0,c0120 - c0320.)</t>
  </si>
  <si>
    <t>c0310 = "Secured" &amp; c0250 = ( "Non-structured/Vanilla"OR "Other non-standard terms") AND c0240 !="ZCB issued at discount"</t>
  </si>
  <si>
    <t>The reported field should be equal to: c0120 - c0320.</t>
  </si>
  <si>
    <t>v_2_0028</t>
  </si>
  <si>
    <t>Check if the reported field is either max(0, c0270 - c0320) or max (0, c0120 - c0320)</t>
  </si>
  <si>
    <t>c0310 = "Secured" &amp; c0250 = ("Structured" OR "Only structured coupon")</t>
  </si>
  <si>
    <t>The reported field should be equal to (c0270 - c0320) if the fair value is used, or equal to (c0120 - c0320) otherwise</t>
  </si>
  <si>
    <t>v_2_0029</t>
  </si>
  <si>
    <t>v_2_0030</t>
  </si>
  <si>
    <t>"Not applicable" must be reported.</t>
  </si>
  <si>
    <t>c0310 = "Unsecured"</t>
  </si>
  <si>
    <t>The field must be "Not applicable" if c0310 is unsecured.</t>
  </si>
  <si>
    <t>v_2_0031</t>
  </si>
  <si>
    <t>0440</t>
  </si>
  <si>
    <t>Nature of the global note</t>
  </si>
  <si>
    <t>v_2_0032</t>
  </si>
  <si>
    <t>0530</t>
  </si>
  <si>
    <t>Type of own funds at individual level</t>
  </si>
  <si>
    <t>v_2_0033</t>
  </si>
  <si>
    <t>0540</t>
  </si>
  <si>
    <t>Eligible amount for own funds at individual level</t>
  </si>
  <si>
    <t>The reported amount should be positive or zero.</t>
  </si>
  <si>
    <t>v_2_0034</t>
  </si>
  <si>
    <t>0550</t>
  </si>
  <si>
    <t>Type of own funds at consolidated level</t>
  </si>
  <si>
    <t>v_2_0035</t>
  </si>
  <si>
    <t>0560</t>
  </si>
  <si>
    <t xml:space="preserve">Eligible amount for own funds at consolidated level </t>
  </si>
  <si>
    <t>v_2_0036</t>
  </si>
  <si>
    <t>0590</t>
  </si>
  <si>
    <t xml:space="preserve">Type of security interest provided by a third party </t>
  </si>
  <si>
    <t>v_2_0037</t>
  </si>
  <si>
    <t>v_2_0038</t>
  </si>
  <si>
    <t>0620</t>
  </si>
  <si>
    <t>Balance sheet item according to IFRS</t>
  </si>
  <si>
    <t>x</t>
  </si>
  <si>
    <t>v_2_0053</t>
  </si>
  <si>
    <t>B05.00</t>
  </si>
  <si>
    <t>The field must be reported using the ISO 3166-1 alpha-2 or 3166-2 code.</t>
  </si>
  <si>
    <t>v_2_0054</t>
  </si>
  <si>
    <t>0050</t>
  </si>
  <si>
    <t>Type of guarantee</t>
  </si>
  <si>
    <t>String: Drop down</t>
  </si>
  <si>
    <t>v_2_0055</t>
  </si>
  <si>
    <t>0060</t>
  </si>
  <si>
    <t xml:space="preserve">Maximum amount of the guarantee </t>
  </si>
  <si>
    <t>v_2_0056</t>
  </si>
  <si>
    <t>Guarantee is secured</t>
  </si>
  <si>
    <t>v_2_0057</t>
  </si>
  <si>
    <t>Current value of the collateral</t>
  </si>
  <si>
    <t>c0070 = "Secured"</t>
  </si>
  <si>
    <t>Counterparty Type</t>
  </si>
  <si>
    <t>v_2_0060</t>
  </si>
  <si>
    <t>Country of the counterparty</t>
  </si>
  <si>
    <t xml:space="preserve">String: ISO 3166-1 </t>
  </si>
  <si>
    <t>Check if the reported field respects the ISO 3166-1 alpha-2 code.</t>
  </si>
  <si>
    <t>c0080 ≠ "XX" OR "99"</t>
  </si>
  <si>
    <t>The field must be reported using the ISO 3166-1 alpha-2 code.</t>
  </si>
  <si>
    <t>v_2_0061</t>
  </si>
  <si>
    <t>Check if the reported field is  equal 0.</t>
  </si>
  <si>
    <t>c0030 ≠ "No"</t>
  </si>
  <si>
    <t>Positive values are allowed in case intragroup liabilities do not meet the conditions set forth in article 44(2)h BRRD and should be duly justified by the reporting entity</t>
  </si>
  <si>
    <t>TRADUÇÃO</t>
  </si>
  <si>
    <t>0080_cntrprty_typ</t>
  </si>
  <si>
    <t>`0080_cntrprty_typ` NOT IN ('XX', '99') AND `0090_cntry_cntrprty` NOT IN ('AF','AX','AL','DZ','AS','AD','AO','AI','AQ','AG','AR','AM','AW','AU','AT','AZ','BS','BH','BD','BB','BY','BE','BZ','BJ','BM','BT','BO','BQ','BA','BW','BV','BR','IO','BN','BG','BF','BI','CV','KH','CM','CA','KY','CF','TD','CL','CN','CX','CC','CO','KM','CG','CD','CK','CR','CI','HR','CU','CW','CY','CZ','DK','DJ','DM','DO','EC','EG','SV','GQ','ER','EE','SZ','ET','FK','FO','FJ','FI','FR','GF','PF','TF','GA','GM','GE','DE','GH','GI','GR','GL','GD','GP','GU','GT','GG','GN','GW','GY','HT','HM','VA','HN','HK','HU','IS','IN','ID','IR','IQ','IE','IM','IL','IT','JM','JP','JE','JO','KZ','KE','KI','KP','KR','KW','KG','LA','LV','LB','LS','LR','LY','LI','LT','LU','MO','MG','MW','MY','MV','ML','MT','MH','MQ','MR','MU','YT','MX','FM','MD','MC','MN','ME','MS','MA','MZ','MM','NA','NR','NP','NL','NC','NZ','NI','NE','NG','NU','NF','MK','MP','NO','OM','PK','PW','PS','PA','PG','PY','PE','PH','PN','PL','PT','PR','QA','RE','RO','RU','RW','BL','SH','KN','LC','MF','PM','VC','WS','SM','ST','SA','SN','RS','SC','SL','SG','SX','SK','SI','SB','SO','ZA','GS','SS','ES','LK','SD','SR','SJ','SE','CH','SY','TW','TJ','TZ','TH','TL','TG','TK','TO','TT','TN','TR','TM','TC','TV','UG','UA','AE','GB','US','UM','UY','UZ','VU','VE','VN','VG','VI','WF','EH','YE','ZM','ZW')</t>
  </si>
  <si>
    <t>0090_cntry_cntrprty</t>
  </si>
  <si>
    <t>`0010_row_nmbr` &lt;= 0</t>
  </si>
  <si>
    <t>0010_row_nmbr</t>
  </si>
  <si>
    <t>`0011_tab_origin` NOT IN ('B0200','B0300','B0400','B0500')</t>
  </si>
  <si>
    <t>0011_tab_origin</t>
  </si>
  <si>
    <t>`0020_uniq_id_knwn_cntrprty` NOT RLIKE '[A-Za-z]'</t>
  </si>
  <si>
    <t>0020_uniq_id_knwn_cntrprty</t>
  </si>
  <si>
    <t>`0040_cntrprty_nm` != '' OR `0040_cntrprty_nm` = 'Not applicable'</t>
  </si>
  <si>
    <t>0040_cntrprty_nm</t>
  </si>
  <si>
    <t>`0050_cntrprty_lei` != '' OR `0050_cntrprty_lei` = 'Not applicable'</t>
  </si>
  <si>
    <t>0050_cntrprty_lei</t>
  </si>
  <si>
    <t>`0060_typ_cntrprty_id` != '' OR `0060_typ_cntrprty_id` = 'Not applicable'</t>
  </si>
  <si>
    <t>0060_typ_cntrprty_id</t>
  </si>
  <si>
    <t>`0070_cntrprty_id` != '' OR `0070_cntrprty_id` = 'Not applicable'</t>
  </si>
  <si>
    <t>0070_cntrprty_id</t>
  </si>
  <si>
    <t>`0080_cntrprty_typ` != '' OR `0080_cntrprty_typ` = 'Not applicable'</t>
  </si>
  <si>
    <t>`0090_cntry_cntrprty` NOT IN ('AF','AX','AL','DZ','AS','AD','AO','AI','AQ','AG','AR','AM','AW','AU','AT','AZ','BS','BH','BD','BB','BY','BE','BZ','BJ','BM','BT','BO','BQ','BA','BW','BV','BR','IO','BN','BG','BF','BI','CV','KH','CM','CA','KY','CF','TD','CL','CN','CX','CC','CO','KM','CG','CD','CK','CR','CI','HR','CU','CW','CY','CZ','DK','DJ','DM','DO','EC','EG','SV','GQ','ER','EE','SZ','ET','FK','FO','FJ','FI','FR','GF','PF','TF','GA','GM','GE','DE','GH','GI','GR','GL','GD','GP','GU','GT','GG','GN','GW','GY','HT','HM','VA','HN','HK','HU','IS','IN','ID','IR','IQ','IE','IM','IL','IT','JM','JP','JE','JO','KZ','KE','KI','KP','KR','KW','KG','LA','LV','LB','LS','LR','LY','LI','LT','LU','MO','MG','MW','MY','MV','ML','MT','MH','MQ','MR','MU','YT','MX','FM','MD','MC','MN','ME','MS','MA','MZ','MM','NA','NR','NP','NL','NC','NZ','NI','NE','NG','NU','NF','MK','MP','NO','OM','PK','PW','PS','PA','PG','PY','PE','PH','PN','PL','PT','PR','QA','RE','RO','RU','RW','BL','SH','KN','LC','MF','PM','VC','WS','SM','ST','SA','SN','RS','SC','SL','SG','SX','SK','SI','SB','SO','ZA','GS','SS','ES','LK','SD','SR','SJ','SE','CH','SY','TW','TJ','TZ','TH','TL','TG','TK','TO','TT','TN','TR','TM','TC','TV','UG','UA','AE','GB','US','UM','UY','UZ','VU','VE','VN','VG','VI','WF','EH','YE','ZM','ZW')</t>
  </si>
  <si>
    <t>CAST(ROUND(`0100_rlvnt_amnt_wdc`, 2) AS STRING) != CAST(`0100_rlvnt_amnt_wdc` AS STRING)</t>
  </si>
  <si>
    <t>0100_rlvnt_amnt_wdc</t>
  </si>
  <si>
    <t>O campo deve ser reportado usando o código ISO 3166-1 alpha-2.</t>
  </si>
  <si>
    <t>O campo deve ser reportado com formato numérico.</t>
  </si>
  <si>
    <t>O campo deve ser reportado com formato de texto.</t>
  </si>
  <si>
    <t>BU_LOANTAPE_WORK.OUT_B0500_GUARANTEES</t>
  </si>
  <si>
    <t>`0030_governing_law` NOT IN ('AF','AX','AL','DZ','AS','AD','AO','AI','AQ','AG','AR','AM','AW','AU','AT','AZ','BS','BH','BD','BB','BY','BE','BZ','BJ','BM','BT','BO','BQ','BA','BW','BV','BR','IO','BN','BG','BF','BI','CV','KH','CM','CA','KY','CF','TD','CL','CN','CX','CC','CO','KM','CG','CD','CK','CR','CI','HR','CU','CW','CY','CZ','DK','DJ','DM','DO','EC','EG','SV','GQ','ER','EE','SZ','ET','FK','FO','FJ','FI','FR','GF','PF','TF','GA','GM','GE','DE','GH','GI','GR','GL','GD','GP','GU','GT','GG','GN','GW','GY','HT','HM','VA','HN','HK','HU','IS','IN','ID','IR','IQ','IE','IM','IL','IT','JM','JP','JE','JO','KZ','KE','KI','KP','KR','KW','KG','LA','LV','LB','LS','LR','LY','LI','LT','LU','MO','MG','MW','MY','MV','ML','MT','MH','MQ','MR','MU','YT','MX','FM','MD','MC','MN','ME','MS','MA','MZ','MM','NA','NR','NP','NL','NC','NZ','NI','NE','NG','NU','NF','MK','MP','NO','OM','PK','PW','PS','PA','PG','PY','PE','PH','PN','PL','PT','PR','QA','RE','RO','RU','RW','BL','SH','KN','LC','MF','PM','VC','WS','SM','ST','SA','SN','RS','SC','SL','SG','SX','SK','SI','SB','SO','ZA','GS','SS','ES','LK','SD','SR','SJ','SE','CH','SY','TW','TJ','TZ','TH','TL','TG','TK','TO','TT','TN','TR','TM','TC','TV','UG','UA','AE','GB','US','UM','UY','UZ','VU','VE','VN','VG','VI','WF','EH','YE','ZM','ZW')</t>
  </si>
  <si>
    <t>0030_governing_law</t>
  </si>
  <si>
    <t>0050_typ_guarantee</t>
  </si>
  <si>
    <t>`0050_typ_guarantee` NOT IN ('Issuance', 'Counterparty', 'Unlimited', 'Other types of guarantee than issuance guarantees, counterparty guarantees and unlimited guarantees')</t>
  </si>
  <si>
    <t>`0060_max_amnt_guarantee` &lt; 0</t>
  </si>
  <si>
    <t>0060_max_amnt_guarantee</t>
  </si>
  <si>
    <t>`0070_flg_scrd` IN ('Issuance', 'Counterparty', 'Unlimited', 'Other types of guarantee than issuance guarantees, counterparty guarantees and unlimited guarantees')</t>
  </si>
  <si>
    <t>0070_flg_scrd</t>
  </si>
  <si>
    <t>`0080_amnt_clltrl` &lt; 0 AND `0070_flg_scrd` = 'Secured'</t>
  </si>
  <si>
    <t>0080_amnt_clltrl</t>
  </si>
  <si>
    <t>CAST(`0010_row_nmbr` AS STRING) NOT RLIKE '^[0-9]+$'</t>
  </si>
  <si>
    <t>`0020_uniq_id_guarantee` NOT RLIKE '[A-Za-z]'</t>
  </si>
  <si>
    <t>0020_uniq_id_guarantee</t>
  </si>
  <si>
    <t>LENGTH(`0030_governing_law`) != 2</t>
  </si>
  <si>
    <t>`0040_flg_art12g_3_srmr` NOT IN ('TRUE', 'FALSE')</t>
  </si>
  <si>
    <t>0040_flg_art12g_3_srmr</t>
  </si>
  <si>
    <t xml:space="preserve"> CAST(ROUND(`0060_max_amnt_guarantee`, 2) AS STRING) != CAST(`0060_max_amnt_guarantee` AS STRING)</t>
  </si>
  <si>
    <t>`0070_flg_scrd` NOT IN ('Secured', 'Unsecured')</t>
  </si>
  <si>
    <t>CAST(ROUND(`0080_amnt_clltrl`, 2) AS STRING) != CAST(`0080_amnt_clltrl` AS STRING)</t>
  </si>
  <si>
    <t>`0090_guarantee_trggr` != 'Default'</t>
  </si>
  <si>
    <t>0090_guarantee_trggr</t>
  </si>
  <si>
    <t xml:space="preserve">`0100_dt_mtrty_clltrl` NOT REGEXP '^[0-9]{4}-[0-9]{2}-[0-9]{2}$' </t>
  </si>
  <si>
    <t>0100_dt_mtrty_clltrl</t>
  </si>
  <si>
    <t>`0110_scrts_clltrl_id` NOT RLIKE '[A-Za-z]'</t>
  </si>
  <si>
    <t>0110_scrts_clltrl_id</t>
  </si>
  <si>
    <t>`0120_typ_clltrlztn` NOT RLIKE '[A-Za-z]'</t>
  </si>
  <si>
    <t>0120_typ_clltrlztn</t>
  </si>
  <si>
    <t xml:space="preserve">`0130_typ_prtctn_vl` NOT IN ('Notional amount', 'Fair value','Market value','Long-term sustainable value','Other protection value') </t>
  </si>
  <si>
    <t>0130_typ_prtctn_vl</t>
  </si>
  <si>
    <t>`0140_dt_vltn_scrty` NOT REGEXP '^[0-9]{4}-[0-9]{2}-[0-9]{2}$'</t>
  </si>
  <si>
    <t>0140_dt_vltn_scrty</t>
  </si>
  <si>
    <t xml:space="preserve">`0150_prtctn_vltn_apprch` NOT IN ('Mark-to-market valuation', 'Counterparty estimation','Creditor valuation','Third party valuation') </t>
  </si>
  <si>
    <t>0150_prtctn_vltn_apprch</t>
  </si>
  <si>
    <t>BU_LOANTAPE_WORK.OUT_B0200_MAIN_LIABILITIES</t>
  </si>
  <si>
    <t>O campo deve ser reportado com formato numérico inteiro.</t>
  </si>
  <si>
    <t>O campo deve ser reportado com formato texto livre.</t>
  </si>
  <si>
    <t>O campo deve ser reportado usando TRUE ou FALSE.</t>
  </si>
  <si>
    <t>Os valores dos dropdowns devem ser respeitados.</t>
  </si>
  <si>
    <t>O campo deve ser reportado com formato numérico com 2 casas decimais.</t>
  </si>
  <si>
    <t>O campo deve ser reportado com formato yyyy-mm-dd.</t>
  </si>
  <si>
    <t>`0010_row_nmbr` IS NULL or cast(`0010_row_nmbr` as string)=''</t>
  </si>
  <si>
    <t>`0030_uniq_id_knwn_cntrprty` = ''</t>
  </si>
  <si>
    <t>0030_uniq_id_knwn_cntrprty</t>
  </si>
  <si>
    <t xml:space="preserve">`0040_typ_uniq_id_knwn_cntrprty` = '' </t>
  </si>
  <si>
    <t>0040_typ_uniq_id_knwn_cntrprty</t>
  </si>
  <si>
    <t>`0070_cntrct_crrncy` = ''</t>
  </si>
  <si>
    <t>0070_cntrct_crrncy</t>
  </si>
  <si>
    <t>(`0080_otstndng_prncpl_amnt` IS NULL OR CAST(`0080_otstndng_prncpl_amnt` AS STRING) = '') AND `0250_strctrd_prdct` IN ('Non-Structured/Vanilla', 'Other non-standard terms')</t>
  </si>
  <si>
    <t>0080_otstndng_prncpl_amnt</t>
  </si>
  <si>
    <t>(`0080_otstndng_prncpl_amnt` IS NULL OR CAST(`0080_otstndng_prncpl_amnt` AS STRING) = '') AND `0250_strctrd_prdct` IN ('Structured', 'Only structured coupon')</t>
  </si>
  <si>
    <t>(`0090_prtn_amnt_rprtng_entty` IS NULL OR CAST(`0090_prtn_amnt_rprtng_entty` AS STRING) = '') AND `0040_typ_uniq_id_knwn_cntrprty` = 'ISIN'</t>
  </si>
  <si>
    <t>0090_prtn_amnt_rprtng_entty</t>
  </si>
  <si>
    <t>DIF</t>
  </si>
  <si>
    <t>(`0100_accrd_intrst_instrmnt` IS NULL OR CAST(`0100_accrd_intrst_instrmnt` AS STRING) = '') AND `0250_strctrd_prdct` IN ('Non-Structured', 'Other non-standard terms') AND `0240_zero_coupon` != 'ZCB issued at discount'</t>
  </si>
  <si>
    <t>0100_accrd_intrst_instrmnt</t>
  </si>
  <si>
    <t xml:space="preserve">(`0100_accrd_intrst_instrmnt` IS NULL OR CAST(`0100_accrd_intrst_instrmnt` AS STRING) = '') AND `0250_strctrd_prdct` IN ('Structured', 'Only structured coupon') </t>
  </si>
  <si>
    <t>(`0120_otstndng_amnt` IS NULL OR CAST(`0120_otstndng_amnt` AS STRING) = '') AND `0250_strctrd_prdct` IN ('Non-Structured/Vanilla', 'Other non-standard terms')</t>
  </si>
  <si>
    <t>0120_otstndng_amnt</t>
  </si>
  <si>
    <t>(`0120_otstndng_amnt` IS NULL OR CAST(`0120_otstndng_amnt` AS STRING) = '') AND `0250_strctrd_prdct` NOT IN ('Structured', 'Only structured coupon')</t>
  </si>
  <si>
    <t>`0130_rlvnt_amnt_wdc` IS NULL OR CAST(`0130_rlvnt_amnt_wdc` AS STRING) = ''</t>
  </si>
  <si>
    <t>0130_rlvnt_amnt_wdc</t>
  </si>
  <si>
    <t>`0140_ntr_lblty` is null or `0140_ntr_lblty` = ''</t>
  </si>
  <si>
    <t>0140_ntr_lblty</t>
  </si>
  <si>
    <t>(`0141_ntr_lblty_othr` is null or `0141_ntr_lblty_othr` = '') AND `0140_ntr_lblty` = 'Other'</t>
  </si>
  <si>
    <t>0141_ntr_lblty_othr</t>
  </si>
  <si>
    <t>`0160_rank_insolv` IS NULL OR CAST(`0160_rank_insolv` AS STRING)=''</t>
  </si>
  <si>
    <t>0160_rank_insolv</t>
  </si>
  <si>
    <t>`0162_bail_in_cascade` IS NULL OR CAST(`0162_bail_in_cascade` AS STRING) = ''</t>
  </si>
  <si>
    <t>0162_bail_in_cascade</t>
  </si>
  <si>
    <t>(`0180_dt_nxt_intrst_pymnt` is null or `0180_dt_nxt_intrst_pymnt` = '') AND `0250_strctrd_prdct` IN ('Non-Structured/Vanilla', 'Other non-standard terms') AND `0240_zero_coupon` != 'ZCB issued at discount'</t>
  </si>
  <si>
    <t>0180_dt_nxt_intrst_pymnt</t>
  </si>
  <si>
    <t>(`0180_dt_nxt_intrst_pymnt` = '' or `0180_dt_nxt_intrst_pymnt` is null) AND `0250_strctrd_prdct` NOT IN ('Structured', 'Only structured coupon')</t>
  </si>
  <si>
    <t>`0200_dt_erlst_rdmptn` = '' or `0200_dt_erlst_rdmptn` is null</t>
  </si>
  <si>
    <t>0200_dt_erlst_rdmptn</t>
  </si>
  <si>
    <t xml:space="preserve">(`0210_dt_lgl_fnl_mtrty` = '' or `0210_dt_lgl_fnl_mtrty` is null) AND `0140_ntr_lblty` != 'Cash account/saving account' </t>
  </si>
  <si>
    <t>0210_dt_lgl_fnl_mtrty</t>
  </si>
  <si>
    <t>`0220_governing_law` = '' or `0220_governing_law` is null</t>
  </si>
  <si>
    <t>0220_governing_law</t>
  </si>
  <si>
    <t>`0250_strctrd_prdct` = '' or `0250_strctrd_prdct` is null</t>
  </si>
  <si>
    <t>0250_strctrd_prdct</t>
  </si>
  <si>
    <t>(`0260_grntd_min_amnt_strctrd_prdct` IS NULL or cast(`0260_grntd_min_amnt_strctrd_prdct` as string) ='') AND `0250_strctrd_prdct` IN ('Structured', 'Only structured coupon')</t>
  </si>
  <si>
    <t>0260_grntd_min_amnt_strctrd_prdct</t>
  </si>
  <si>
    <t>(`0270_fv_amnt_strctrd_prdct` IS NULL or cast(`0270_fv_amnt_strctrd_prdct` as string) = '') AND `0250_strctrd_prdct` IN ('Structured', 'Only structured coupon')</t>
  </si>
  <si>
    <t>0270_fv_amnt_strctrd_prdct</t>
  </si>
  <si>
    <t>(`0300_amnt_cvrd_elgbl_dpsts` IS NULL or cast(`0300_amnt_cvrd_elgbl_dpsts` as string) = '') AND (`0280_flg_ncnp_dpsts` = 'TRUE' or `0290_flg_ncbp_dpsts` = 'TRUE')</t>
  </si>
  <si>
    <t>0300_amnt_cvrd_elgbl_dpsts</t>
  </si>
  <si>
    <t>(`0310_flg_clltrl_agrmnts` = '' or cast(`0310_flg_clltrl_agrmnts` as string) = '')</t>
  </si>
  <si>
    <t>0310_flg_clltrl_agrmnts</t>
  </si>
  <si>
    <t xml:space="preserve">(`0320_amnt_clltrl` IS NULL or cast(`0320_amnt_clltrl` as string) ='') AND `0310_flg_clltrl_agrmnts` = 'Secured' </t>
  </si>
  <si>
    <t>0320_amnt_clltrl</t>
  </si>
  <si>
    <t>(`0330_amnt_unclltrlzd` IS NULL or cast(`0330_amnt_unclltrlzd` as string)='') AND `0310_flg_clltrl_agrmnts` = 'Secured'</t>
  </si>
  <si>
    <t>0330_amnt_unclltrlzd</t>
  </si>
  <si>
    <t>(`0350_typ_clltrl` = '' or cast(`0350_typ_clltrl` as string)='') AND `0310_flg_clltrl_agrmnts` = 'Secured'</t>
  </si>
  <si>
    <t>0350_typ_clltrl</t>
  </si>
  <si>
    <t>(`0351_typ_clltrl_othr` = '' or cast(`0351_typ_clltrl_othr` as string)='') AND `0350_typ_clltrl` = 'Other'</t>
  </si>
  <si>
    <t>0351_typ_clltrl_othr</t>
  </si>
  <si>
    <t>(`0370_amnt_scrty_eur` IS NULL or cast(`0370_amnt_scrty_eur` as string) ='') AND `0040_typ_uniq_id_knwn_cntrprty` = 'ISIN' AND `0360_trdng_mthd` = 'Nominal'</t>
  </si>
  <si>
    <t>0370_amnt_scrty_eur</t>
  </si>
  <si>
    <t>(`0370_amnt_scrty_eur` IS NULL or cast(`0370_amnt_scrty_eur` as string) ='') AND `0040_typ_uniq_id_knwn_cntrprty` = 'ISIN' AND `0360_trdng_mthd` = 'Unit'</t>
  </si>
  <si>
    <t>(`0390_nmbr_scrts_not_rprtng_entty` IS NULL or cast(`0390_nmbr_scrts_not_rprtng_entty` as string) = '') AND `0040_typ_uniq_id_knwn_cntrprty` = 'ISIN'</t>
  </si>
  <si>
    <t>0390_nmbr_scrts_not_rprtng_entty</t>
  </si>
  <si>
    <t>(`0391_nmbr_scrts_rprtng_entty` IS NULL or cast(`0391_nmbr_scrts_rprtng_entty` as string)='') AND `0040_typ_uniq_id_knwn_cntrprty` = 'ISIN'</t>
  </si>
  <si>
    <t>0391_nmbr_scrts_rprtng_entty</t>
  </si>
  <si>
    <t>(`0400_accrd_intrst_scrty` IS NULL or cast(`0400_accrd_intrst_scrty` as string)='') AND `0040_typ_uniq_id_knwn_cntrprty` = 'ISIN' AND `0250_strctrd_prdct` IN ('Non-Structured/Vanilla', 'Other non-standard terms') AND `0240_zero_coupon` != 'ZCB issued at discount'</t>
  </si>
  <si>
    <t>0400_accrd_intrst_scrty</t>
  </si>
  <si>
    <t>(`0400_accrd_intrst_scrty` IS NULL or cast(`0400_accrd_intrst_scrty` as string)='') AND `0040_typ_uniq_id_knwn_cntrprty` = 'ISIN' AND `0250_strctrd_prdct` NOT IN ('Structured', 'Only structured coupon')</t>
  </si>
  <si>
    <t>(`0610_crryng_amnt_ifrs` IS NULL or cast(`0610_crryng_amnt_ifrs` as string)='')</t>
  </si>
  <si>
    <t>0610_crryng_amnt_ifrs</t>
  </si>
  <si>
    <t>(`5000_flg_shrhldr_not_rsltn_grp` IS MISSING or cast(`5000_flg_shrhldr_not_rsltn_grp` as string) = '') AND B99.`0060_orgnl_amnt_fx` = 'Non-Resolution Entity'</t>
  </si>
  <si>
    <t>5000_flg_shrhldr_not_rsltn_grp</t>
  </si>
  <si>
    <t>5010_flg_art21_7a_srmr</t>
  </si>
  <si>
    <t>(`5010_flg_art21_7a_srmr` IS MISSING or cast(`5010_flg_art21_7a_srmr` as string) = '') AND B99.`0060_orgnl_amnt_fx` = 'Non-Resolution Entity'</t>
  </si>
  <si>
    <t>`0040_typ_uniq_id_knwn_cntrprty` = 'ISIN' AND LENGTH(`0030_uniq_id_knwn_cntrprty`) &lt;= 12 AND SUBSTR(`0030_uniq_id_knwn_cntrprty`, 1, 2) RLIKE '[A-Za-z]$'</t>
  </si>
  <si>
    <t>0020_uniq_id</t>
  </si>
  <si>
    <t>`0020_uniq_id` NOT IN ('NCNP', 'NCBP') AND `0070_cntrct_crrncy` NOT IN ('AFN', 'EUR', 'ALL', 'DZD', 'USD', 'EUR', 'AOA', 'XCD', 'XCD', 'XAD', 'ARS', 'AMD', 'AWG', 'AUD', 'EUR', 'AZN', 'BSD', 'BHD', 'BDT', 'BBD', 'BYN', 'EUR', 'BZD', 'XOF', 'BMD', 'INR', 'BTN', 'BOB', 'BOV', 'USD', 'BAM', 'BWP', 'NOK', 'BRL', 'USD', 'BND', 'BGN', 'XOF', 'BIF', 'CVE', 'KHR', 'XAF', 'CAD', 'KYD', 'XAF', 'XAF', 'CLP', 'CLF', 'CNY', 'CNH', 'AUD', 'AUD', 'COP', 'COU', 'KMF', 'CDF', 'XAF', 'NZD', 'CRC', 'XOF', 'EUR', 'CUP', 'XCG', 'EUR', 'CZK', 'DKK', 'DJF', 'XCD', 'DOP', 'USD', 'EGP', 'SVC', 'USD', 'XAF', 'ERN', 'EUR', 'SZL', 'ETB', 'EUR', 'FKP', 'DKK', 'FJD', 'EUR', 'EUR', 'EUR', 'XPF', 'EUR', 'XAF', 'GMD', 'GEL', 'EUR', 'GHS', 'GIP', 'EUR', 'DKK', 'XCD', 'EUR', 'USD', 'GTQ', 'GBP', 'GNF', 'XOF', 'GYD', 'HTG', 'USD', 'AUD', 'EUR', 'HNL', 'HKD', 'HUF', 'ISK', 'INR', 'IDR', 'XDR', 'IRR', 'IQD', 'EUR', 'GBP', 'ILS', 'EUR', 'JMD', 'JPY', 'GBP', 'JOD', 'KZT', 'KES', 'AUD', 'KPW', 'KRW', 'KWD', 'KGS', 'LAK', 'EUR', 'LBP', 'LSL', 'ZAR', 'LRD', 'LYD', 'CHF', 'EUR', 'EUR', 'MOP', 'MGA', 'MWK', 'MYR', 'MVR', 'XOF', 'EUR', 'USD', 'EUR', 'MRU', 'MUR', 'EUR', 'XUA', 'MXN', 'MXV', 'USD', 'MDL', 'EUR', 'MNT', 'EUR', 'XCD', 'MAD', 'MZN', 'MMK', 'NAD', 'ZAR', 'AUD', 'NPR', 'EUR', 'XPF', 'NZD', 'NIO', 'XOF', 'NGN', 'NZD', 'AUD', 'MKD', 'USD', 'NOK', 'OMR', 'PKR', 'USD', 'PAB', 'USD', 'PGK', 'PYG', 'PEN', 'PHP', 'NZD', 'PLN', 'EUR', 'USD', 'QAR', 'EUR', 'RON', 'RUB', 'RWF', 'EUR', 'SHP', 'XCD', 'XCD', 'EUR', 'EUR', 'XCD', 'WST', 'EUR', 'STN', 'SAR', 'XOF', 'RSD', 'SCR', 'SLE', 'SGD', 'XCG', 'XSU', 'EUR', 'EUR', 'SBD', 'SOS', 'ZAR', 'SSP', 'EUR', 'LKR', 'SDG', 'SRD', 'NOK', 'SEK', 'CHF', 'CHE', 'CHW', 'SYP', 'TWD', 'TJS', 'TZS', 'THB', 'USD', 'XOF', 'NZD', 'TOP', 'TTD', 'TND', 'TRY', 'TMT', 'USD', 'AUD', 'UGX', 'UAH', 'AED', 'GBP', 'USD', 'USD', 'USN', 'UYU', 'UYI', 'UYW', 'UZS', 'VUV', 'VES', 'VED', 'VND', 'USD', 'USD', 'XPF', 'MAD', 'YER', 'ZMW', 'ZWG', 'XBA', 'XBB', 'XBC', 'XBD', 'XTS', 'XXX', 'XAU', 'XPD', 'XPT', 'XAG')</t>
  </si>
  <si>
    <t>`0080_otstndng_prncpl_amnt` &lt;= 0</t>
  </si>
  <si>
    <t>`0090_prtn_amnt_rprtng_entty` &lt;0 AND `0040_typ_uniq_id_knwn_cntrprty` = 'ISIN'</t>
  </si>
  <si>
    <t>`0100_accrd_intrst_instrmnt` &lt;0</t>
  </si>
  <si>
    <t>`0110_applcbl_fees_charges` &lt; 0</t>
  </si>
  <si>
    <t>0110_applcbl_fees_charges</t>
  </si>
  <si>
    <t>`0120_otstndng_amnt` &gt;=0</t>
  </si>
  <si>
    <t>`0120_otstndng_amnt` != (`0080_otstndng_prncpl_amnt`+`0100_accrd_intrst_instrmnt`+`0110_applcbl_fees_charges`)</t>
  </si>
  <si>
    <t>`0130_rlvnt_amnt_wdc` != GREATEST(0, `0120_otstndng_amnt`-`0300_amnt_cvrd_elgbl_dpsts`-`0320_amnt_clltrl`) AND `0250_strctrd_prdct` IN ('Non-structured/Vanilla', 'Other non-standard terms') AND `0240_zero_coupon` != 'ZCB issued at discount'</t>
  </si>
  <si>
    <t>`0130_rlvnt_amnt_wdc` != GREATEST(0, `0270_fv_amnt_strctrd_prdct`-`0300_amnt_cvrd_elgbl_dpsts`-`0320_amnt_clltrl`) AND `0130_rlvnt_amnt_wdc` != GREATEST(0, `0120_otstndng_amnt`-`0300_amnt_cvrd_elgbl_dpsts`-`0320_amnt_clltrl`) AND `0250_strctrd_prdct` IN ('Structured', 'Structured coupon only')</t>
  </si>
  <si>
    <t>`0140_ntr_lblty` NOT IN ('Registered Bond', 'Bearer Bond', 'Borrower Note Loan', 'Certificate of Deposit / Commercial paper', 'Title of ownership', 'Cash account/saving account', 'Term deposit', 'Loan', 'Bill of exchange ', 'Other')</t>
  </si>
  <si>
    <t>CAST(`0160_rank_insolv` AS STRING) NOT REGEXP '^-?[0-9]+$'</t>
  </si>
  <si>
    <t>`0170_dt_incptn` NOT REGEXP '^[0-9]{4}-[0-9]{2}-[0-9]{2}$' AND `0020_uniq_id` NOT IN ('NCNP', 'NCBP')</t>
  </si>
  <si>
    <t>0170_dt_incptn</t>
  </si>
  <si>
    <t>`0170_dt_incptn` &gt;= `0190_dt_nxt_rdmptn_pymnt` AND `0170_dt_incptn` &gt;= `0200_dt_erlst_rdmptn` AND `0170_dt_incptn` != '0001-01-01' AND (`0190_dt_nxt_rdmptn_pymnt` != '0001-01-01' AND `0200_dt_erlst_rdmptn` != '0001-01-01') AND `0020_uniq_id` NOT IN ('NCNP', 'NCBP')</t>
  </si>
  <si>
    <t>`0180_dt_nxt_intrst_pymnt` NOT REGEXP '^[0-9]{4}-[0-9]{2}-[0-9]{2}$' AND `0020_uniq_id` NOT IN ('NCNP', 'NCBP')</t>
  </si>
  <si>
    <t>(`0180_dt_nxt_intrst_pymnt` &gt; `0070_cntrct_crrncy` AND `0070_cntrct_crrncy` != '' AND `0020_uniq_id` NOT IN ('NCNP', 'NCBP')) OR `0180_dt_nxt_intrst_pymnt` IN ('0001-01-01', '')</t>
  </si>
  <si>
    <t>`0200_dt_erlst_rdmptn` NOT REGEXP '^[0-9]{4}-[0-9]{2}-[0-9]{2}$' AND `0020_uniq_id` NOT IN ('NCNP', 'NCBP')</t>
  </si>
  <si>
    <t>(`0200_dt_erlst_rdmptn` &gt; `0070_cntrct_crrncy` AND `0070_cntrct_crrncy` != '' AND `0020_uniq_id` NOT IN ('NCNP', 'NCBP')) OR `0200_dt_erlst_rdmptn` IN ('0001-01-01')</t>
  </si>
  <si>
    <t>`0210_dt_lgl_fnl_mtrty` NOT REGEXP '^[0-9]{4}-[0-9]{2}-[0-9]{2}$' AND `0020_uniq_id` NOT IN ('NCNP', 'NCBP')</t>
  </si>
  <si>
    <t>`0210_dt_lgl_fnl_mtrty` &gt; `0070_cntrct_crrncy` AND `0070_cntrct_crrncy` != '' AND `0020_uniq_id` NOT IN ('NCNP', 'NCBP')</t>
  </si>
  <si>
    <t>`0020_uniq_id` NOT IN ('NCNP', 'NCBP') AND `0220_governing_law` NOT IN ('AF','AX','AL','DZ','AS','AD','AO','AI','AQ','AG','AR','AM','AW','AU','AT','AZ','BS','BH','BD','BB','BY','BE','BZ','BJ','BM','BT','BO','BQ','BA','BW','BV','BR','IO','BN','BG','BF','BI','CV','KH','CM','CA','KY','CF','TD','CL','CN','CX','CC','CO','KM','CG','CD','CK','CR','CI','HR','CU','CW','CY','CZ','DK','DJ','DM','DO','EC','EG','SV','GQ','ER','EE','SZ','ET','FK','FO','FJ','FI','FR','GF','PF','TF','GA','GM','GE','DE','GH','GI','GR','GL','GD','GP','GU','GT','GG','GN','GW','GY','HT','HM','VA','HN','HK','HU','IS','IN','ID','IR','IQ','IE','IM','IL','IT','JM','JP','JE','JO','KZ','KE','KI','KP','KR','KW','KG','LA','LV','LB','LS','LR','LY','LI','LT','LU','MO','MG','MW','MY','MV','ML','MT','MH','MQ','MR','MU','YT','MX','FM','MD','MC','MN','ME','MS','MA','MZ','MM','NA','NR','NP','NL','NC','NZ','NI','NE','NG','NU','NF','MK','MP','NO','OM','PK','PW','PS','PA','PG','PY','PE','PH','PN','PL','PT','PR','QA','RE','RO','RU','RW','BL','SH','KN','LC','MF','PM','VC','WS','SM','ST','SA','SN','RS','SC','SL','SG','SX','SK','SI','SB','SO','ZA','GS','SS','ES','LK','SD','SR','SJ','SE','CH','SY','TW','TJ','TZ','TH','TL','TG','TK','TO','TT','TN','TR','TM','TC','TV','UG','UA','AE','GB','US','UM','UY','UZ','VU','VE','VN','VG','VI','WF','EH','YE','ZM','ZW')</t>
  </si>
  <si>
    <t>`0230_bail_in_rcgntn_cls` NOT IN ('Yes, supported by Legal Opinion', 'Yes, not supported by Legal Opinion', 'No', 'Not applicable', 'Aggregated') AND `0020_uniq_id` NOT IN ('NCNP', 'NCBP')</t>
  </si>
  <si>
    <t>0230_bail_in_rcgntn_cls</t>
  </si>
  <si>
    <t>`0250_strctrd_prdct` NOT IN ('Non-structured/Vanilla', 'Structured', 'Other non-standard terms', 'Only structured coupon', 'Aggregated')</t>
  </si>
  <si>
    <t>`0310_flg_clltrl_agrmnts` NOT IN ('Secured', 'Unsecured')</t>
  </si>
  <si>
    <t xml:space="preserve">`0330_amnt_unclltrlzd` != GREATEST(0, `0120_otstndng_amnt`-`0320_amnt_clltrl`) AND `0310_flg_clltrl_agrmnts` = 'Secured' AND `0250_strctrd_prdct` IN ('Non-structured/Vanilla', 'Other non-standard terms') AND `0240_zero_coupon` != 'ZCB issued at discount' </t>
  </si>
  <si>
    <t>(`0330_amnt_unclltrlzd` != GREATEST(0, `0270_fv_amnt_strctrd_prdct`-`0320_amnt_clltrl`) AND `0330_amnt_unclltrlzd` != GREATEST(0, `0120_otstndng_amnt`-`0320_amnt_clltrl`)) AND `0310_flg_clltrl_agrmnts` = 'Secured' AND `0250_strctrd_prdct` IN ('Structured', 'Only structured coupon') AND `0240_zero_coupon` != 'ZCB issued at discount'</t>
  </si>
  <si>
    <t>`0350_typ_clltrl` NOT IN ('Real estate', 'Ships', 'Aircraft', 'Financial', 'Other', 'Not applicable')</t>
  </si>
  <si>
    <t>`0350_typ_clltrl` != 'Not applicable' AND `0310_flg_clltrl_agrmnts` = 'Unsecured'</t>
  </si>
  <si>
    <t>`0440_ntr_glbl_nt` NOT IN ('NGN', 'CGN', 'Not applicable')</t>
  </si>
  <si>
    <t>0440_ntr_glbl_nt</t>
  </si>
  <si>
    <t>`0530_typ_own_fnds_ind_lvl` NOT IN ('T2 in phase-out', 'Grandfathered T2', 'Fully Compliant T2', 'Partially (A)T1 and T2', 'Grandfathered AT1', 'Fully Compliant AT1', 'CET1', 'No')</t>
  </si>
  <si>
    <t>0530_typ_own_fnds_ind_lvl</t>
  </si>
  <si>
    <t>`0540_elgbl_amnt_own_fnds_ind_lvl` &lt; 0</t>
  </si>
  <si>
    <t>0540_elgbl_amnt_own_fnds_ind_lvl</t>
  </si>
  <si>
    <t>`0550_typ_own_fnds_cnsldtd_lvl` NOT IN ('T2 in phase-out', 'Grandfathered T2', 'Fully Compliant T2', 'Partially (A)T1 and T2', 'Grandfathered AT1', 'Fully Compliant AT1', 'CET1', 'No')</t>
  </si>
  <si>
    <t>0550_typ_own_fnds_cnsldtd_lvl</t>
  </si>
  <si>
    <t>`0560_elgbl_amnt_own_fnds_cnsldtd_lvl` &lt; 0</t>
  </si>
  <si>
    <t>0560_elgbl_amnt_own_fnds_cnsldtd_lvl</t>
  </si>
  <si>
    <t>`0590_typ_scrty_intrst_prvdd` NOT IN ('T2 in phase-out', 'Grandfathered T2', 'Fully Compliant T2', 'Partially (A)T1 and T2', 'Grandfathered AT1', 'Fully Compliant AT1', 'CET1', 'No', 'Not applicable')</t>
  </si>
  <si>
    <t>0590_typ_scrty_intrst_prvdd</t>
  </si>
  <si>
    <t>`0610_crryng_amnt_ifrs` &lt; 0</t>
  </si>
  <si>
    <t>`0620_blnc_sht_ifrs` NOT IN ('010 Financial liabilities held for trading', '070 Financial liabilities at fair value through profit or loss', '110 Financial liabilities at amortized cost', '280 Other liabilities', '300 Total equity')</t>
  </si>
  <si>
    <t>0620_blnc_sht_ifrs</t>
  </si>
  <si>
    <t>cast(`0010_row_nmbr` as string) RLIKE '^[0-9]+$' AND CAST(`0010_row_nmbr` AS STRING) NOT IN ('N/A','11111111111','11111111111.00','11111111111.000000','1111-11-11','0000-00-00','0001-01-01','9999-12-31','MISS','00000','99999999999.00','99999999999.000000','-9999.9999','','Not applicable','XXX')</t>
  </si>
  <si>
    <t>`0020_uniq_id` RLIKE '[A-Za-z]' and `0020_uniq_id` NOT IN ('N/A','11111111111','11111111111.00','11111111111.000000','1111-11-11','0000-00-00','0001-01-01','9999-12-31','MISS','00000','99999999999','999999999999999','99999999999.00','99999999999.000000','-9999.9999','','Not applicable','XXX')</t>
  </si>
  <si>
    <t>`0030_uniq_id_knwn_cntrprty` RLIKE '[A-Za-z]' and `0030_uniq_id_knwn_cntrprty` NOT IN ('N/A','11111111111','11111111111.00','11111111111.000000','1111-11-11','0000-00-00','0001-01-01','9999-12-31','MISS','00000','99999999999','999999999999999','99999999999.00','99999999999.000000','-9999.9999','','Not applicable','XXX')</t>
  </si>
  <si>
    <t>`0040_typ_uniq_id_knwn_cntrprty` RLIKE '[A-Za-z]' AND `0040_typ_uniq_id_knwn_cntrprty` NOT IN ('N/A','11111111111','11111111111.00','11111111111.000000','1111-11-11','0000-00-00','0001-01-01','9999-12-31','MISS','00000','99999999999','999999999999999','99999999999.00','99999999999.000000','-9999.9999','','Not applicable','XXX')</t>
  </si>
  <si>
    <t xml:space="preserve">(CAST(ROUND(`0060_orgnl_amnt_fx`, 2) AS STRING) = CAST(`0060_orgnl_amnt_fx` AS STRING) AND CAST(`0060_orgnl_amnt_fx` AS STRING) NOT IN ('N/A','11111111111','11111111111.00','11111111111.000000','1111-11-11','0000-00-00','0001-01-01','9999-12-31','MISS','00000','99999999999','99999999999.00','99999999999.000000','-9999.9999','','Not applicable','XXX')) OR `0060_orgnl_amnt_fx`= 999999999999999.00 </t>
  </si>
  <si>
    <t>0060_orgnl_amnt_fx</t>
  </si>
  <si>
    <t xml:space="preserve">(CAST(ROUND(`0050_orgnl_amnt_eur`, 2) AS STRING) = CAST(`0050_orgnl_amnt_eur` AS STRING) AND CAST(`0050_orgnl_amnt_eur` AS STRING) NOT IN ('N/A','11111111111','11111111111.00','11111111111.000000','1111-11-11','0000-00-00','0001-01-01','9999-12-31','MISS','00000','99999999999','99999999999.00','99999999999.000000','-9999.9999','','Not applicable','XXX')) OR `0050_orgnl_amnt_eur`= 999999999999999.00 </t>
  </si>
  <si>
    <t>0050_orgnl_amnt_eur</t>
  </si>
  <si>
    <t>(LENGTH(`0070_cntrct_crrncy`) = 3 AND `0070_cntrct_crrncy` NOT IN ('N/A','11111111111','11111111111.00','11111111111.000000','1111-11-11','0000-00-00','0001-01-01','9999-12-31','MISS','00000','99999999999','99999999999.00','99999999999.000000','-9999.9999','','Not applicable')) OR `0070_cntrct_crrncy`='XXX'</t>
  </si>
  <si>
    <t>CAST(ROUND(`0080_otstndng_prncpl_amnt`, 2) AS STRING) = CAST(`0080_otstndng_prncpl_amnt` AS STRING) AND CAST(`0080_otstndng_prncpl_amnt` AS STRING) NOT IN ('N/A','11111111111','11111111111.00','11111111111.000000','1111-11-11','0000-00-00','0001-01-01','9999-12-31','MISS','00000','99999999999','99999999999.00','99999999999.000000','-9999.9999','','Not applicable','XXX')</t>
  </si>
  <si>
    <t xml:space="preserve">(CAST(ROUND(`0090_prtn_amnt_rprtng_entty`, 2) AS STRING) = CAST(`0090_prtn_amnt_rprtng_entty` AS STRING) AND CAST(`0090_prtn_amnt_rprtng_entty` AS STRING) NOT IN ('N/A','11111111111','11111111111.00','11111111111.000000','1111-11-11','0000-00-00','0001-01-01','9999-12-31','MISS','00000','99999999999','99999999999.00','99999999999.000000','-9999.9999','','Not applicable','XXX')) OR `0090_prtn_amnt_rprtng_entty`= 999999999999999.00 </t>
  </si>
  <si>
    <t>(CAST(ROUND(`0100_accrd_intrst_instrmnt`, 2) AS STRING) = CAST(`0100_accrd_intrst_instrmnt` AS STRING) AND CAST(`0100_accrd_intrst_instrmnt` AS STRING) NOT IN ('N/A','11111111111','11111111111.00','11111111111.000000','1111-11-11','0000-00-00','0001-01-01','9999-12-31','MISS','00000','99999999999','99999999999.00','99999999999.000000','-9999.9999','Not applicable','XXX')) OR `0100_accrd_intrst_instrmnt` = 999999999999999 OR CAST(`0100_accrd_intrst_instrmnt` AS STRING) = ''</t>
  </si>
  <si>
    <t>(CAST(ROUND(`0110_applcbl_fees_charges`, 2) AS STRING) = CAST(`0110_applcbl_fees_charges` AS STRING) AND CAST(`0110_applcbl_fees_charges` AS STRING) NOT IN ('N/A','11111111111','11111111111.00','11111111111.000000','1111-11-11','0000-00-00','0001-01-01','9999-12-31','MISS','00000','99999999999','99999999999.00','99999999999.000000','-9999.9999','Not applicable','XXX')) OR `0110_applcbl_fees_charges` = 999999999999999 OR CAST(`0110_applcbl_fees_charges` AS STRING) = ''</t>
  </si>
  <si>
    <t>(CAST(ROUND(`0120_otstndng_amnt`, 2) AS STRING) = CAST(`0120_otstndng_amnt` AS STRING) AND CAST(`0120_otstndng_amnt` AS STRING) NOT IN ('N/A','11111111111','11111111111.00','11111111111.000000','1111-11-11','0000-00-00','0001-01-01','9999-12-31','MISS','00000','99999999999','99999999999.00','99999999999.000000','-9999.9999','','Not applicable','XXX')) OR `0120_otstndng_amnt`= 999999999999999.00</t>
  </si>
  <si>
    <t>CAST(ROUND(`0130_rlvnt_amnt_wdc`, 2) AS STRING) = CAST(`0130_rlvnt_amnt_wdc` AS STRING) AND CAST(`0130_rlvnt_amnt_wdc` AS STRING) NOT IN ('N/A','11111111111','11111111111.00','11111111111.000000','1111-11-11','0000-00-00','0001-01-01','9999-12-31','MISS','00000','99999999999','99999999999.00','99999999999.000000','-9999.9999','','Not applicable','XXX')</t>
  </si>
  <si>
    <t>`0140_ntr_lblty` IN ('Registered Bond', 'Bearer Bond', 'Borrower Note Loan', 'Certificate of Deposit / Commercial paper', 'Title of ownership', 'Cash account/saving account', 'Term deposit', 'Loan', 'Bill of exchange ', 'Other')</t>
  </si>
  <si>
    <t>`0141_ntr_lblty_othr` RLIKE '[A-Za-z]' AND `0141_ntr_lblty_othr` NOT IN ('N/A','11111111111','11111111111.00','11111111111.000000','1111-11-11','0000-00-00','0001-01-01','9999-12-31','MISS','00000','99999999999','999999999999999','99999999999.00','99999999999.000000','-9999.9999','','Not applicable','XXX')</t>
  </si>
  <si>
    <t>CAST(`0160_rank_insolv` AS STRING) RLIKE '^[0-9]+$' AND CAST(`0160_rank_insolv` AS STRING) NOT IN ('N/A','11111111111','11111111111.00','11111111111.000000','1111-11-11','0000-00-00','0001-01-01','9999-12-31','MISS','00000','99999999999','999999999999999','99999999999.00','99999999999.000000','-9999.9999','','Not applicable','XXX')</t>
  </si>
  <si>
    <t>(CAST(ROUND(`0161_cntrctl_sbrdntn`, 2) AS STRING) = CAST(`0161_cntrctl_sbrdntn` AS STRING) AND CAST(`0161_cntrctl_sbrdntn` AS STRING) NOT IN ('N/A','11111111111','11111111111.00','11111111111.000000','1111-11-11','0000-00-00','0001-01-01','9999-12-31','MISS','00000','99999999999','99999999999.00','99999999999.000000','-9999.9999','','Not applicable','XXX')) OR `0161_cntrctl_sbrdntn`= 999999999999999.00</t>
  </si>
  <si>
    <t>0161_cntrctl_sbrdntn</t>
  </si>
  <si>
    <t>`0162_bail_in_cascade` in ('1','2','3','4','5','6','7','8','9','10','11','12','13','14','14','15','16','17','18','19','20')</t>
  </si>
  <si>
    <t>`0170_dt_incptn` REGEXP '^[0-9]{4}-[0-9]{2}-[0-9]{2}$' and `0170_dt_incptn` NOT IN ('N/A','11111111111','11111111111.00','11111111111.000000','1111-11-11','0000-00-00','0001-01-01','9999-12-31','MISS','00000','99999999999','999999999999999','99999999999.00','99999999999.000000','-9999.9999','','Not applicable','XXX')</t>
  </si>
  <si>
    <t>(`0180_dt_nxt_intrst_pymnt` REGEXP '^[0-9]{4}-[0-9]{2}-[0-9]{2}$' and `0180_dt_nxt_intrst_pymnt` NOT IN ('N/A','11111111111','11111111111.00','11111111111.000000','1111-11-11','0000-00-00','9999-12-31','MISS','00000','99999999999','999999999999999','99999999999.00','99999999999.000000','-9999.9999','Not applicable','XXX')) OR `0180_dt_nxt_intrst_pymnt` IN ('0001-01-01', '')</t>
  </si>
  <si>
    <t>(`0190_dt_nxt_rdmptn_pymnt` REGEXP '^[0-9]{4}-[0-9]{2}-[0-9]{2}$' AND `0190_dt_nxt_rdmptn_pymnt` NOT IN ('N/A','11111111111','11111111111.00','11111111111.000000','1111-11-11','0000-00-00','0001-01-01','9999-12-31','MISS','00000','99999999999','999999999999999','99999999999.00','99999999999.000000','-9999.9999','','Not applicable','XXX')) OR `0190_dt_nxt_rdmptn_pymnt` = `0210_dt_lgl_fnl_mtrty`</t>
  </si>
  <si>
    <t>0190_dt_nxt_rdmptn_pymnt</t>
  </si>
  <si>
    <t>(`0200_dt_erlst_rdmptn` REGEXP '^[0-9]{4}-[0-9]{2}-[0-9]{2}$' and `0200_dt_erlst_rdmptn` NOT IN ('N/A','11111111111','11111111111.00','11111111111.000000','1111-11-11','0000-00-00','9999-12-31','MISS','00000','99999999999','999999999999999','99999999999.00','99999999999.000000','-9999.9999','Not applicable','XXX')) OR `0200_dt_erlst_rdmptn` IN ('0001-01-01', '')</t>
  </si>
  <si>
    <t>`0230_bail_in_rcgntn_cls` IN ('Yes, supported by Legal Opinion', 'Yes, not supported by Legal Opinion', 'No', 'Not applicable', 'Aggregated', 'Not applicable')</t>
  </si>
  <si>
    <t>`0240_zero_coupon` IN ('ZCB issued at discount', 'ZCB not issued at discount', 'No ZCB', 'Aggregated')</t>
  </si>
  <si>
    <t>0240_zero_coupon</t>
  </si>
  <si>
    <t>`0250_strctrd_prdct` IN ('Non-structured/Vanilla', 'Structured', 'Other non-standard terms', 'Only structured coupon', 'Aggregated')</t>
  </si>
  <si>
    <t>CAST(ROUND(`0260_grntd_min_amnt_strctrd_prdct`, 2) AS STRING) = CAST(`0260_grntd_min_amnt_strctrd_prdct` AS STRING) AND CAST(`0260_grntd_min_amnt_strctrd_prdct` AS STRING) NOT IN ('N/A','11111111111','11111111111.00','11111111111.000000','1111-11-11','0000-00-00','0001-01-01','9999-12-31','MISS','00000','99999999999','99999999999.00','99999999999.000000','-9999.9999','','Not applicable','XXX')</t>
  </si>
  <si>
    <t>CAST(ROUND(`0270_fv_amnt_strctrd_prdct`, 2) AS STRING) = CAST(`0270_fv_amnt_strctrd_prdct` AS STRING) AND CAST(`0270_fv_amnt_strctrd_prdct` AS STRING) NOT IN ('N/A','11111111111','11111111111.00','11111111111.000000','1111-11-11','0000-00-00','0001-01-01','9999-12-31','MISS','00000','99999999999','99999999999.00','99999999999.000000','-9999.9999','','Not applicable','XXX')</t>
  </si>
  <si>
    <t>`0280_flg_ncnp_dpsts` IN ('TRUE', 'FALSE')</t>
  </si>
  <si>
    <t>0280_flg_ncnp_dpsts</t>
  </si>
  <si>
    <t>`0290_flg_ncbp_dpsts` IN ('TRUE', 'FALSE')</t>
  </si>
  <si>
    <t>0290_flg_ncbp_dpsts</t>
  </si>
  <si>
    <t>CAST(ROUND(`0300_amnt_cvrd_elgbl_dpsts`, 2) AS STRING) = CAST(`0300_amnt_cvrd_elgbl_dpsts` AS STRING) AND CAST(`0300_amnt_cvrd_elgbl_dpsts` AS STRING) NOT IN ('N/A','11111111111','11111111111.00','11111111111.000000','1111-11-11','0000-00-00','0001-01-01','9999-12-31','MISS','00000','99999999999','99999999999.00','99999999999.000000','-9999.9999','','Not applicable','XXX')</t>
  </si>
  <si>
    <t>`0310_flg_clltrl_agrmnts` IN ('Secured', 'Unsecured')</t>
  </si>
  <si>
    <t>CAST(ROUND(`0320_amnt_clltrl`, 2) AS STRING) = CAST(`0320_amnt_clltrl` AS STRING) AND CAST(`0320_amnt_clltrl` AS STRING) NOT IN ('N/A','11111111111','11111111111.00','11111111111.000000','1111-11-11','0000-00-00','0001-01-01','9999-12-31','MISS','00000','99999999999','99999999999.00','99999999999.000000','-9999.9999','','Not applicable','XXX')</t>
  </si>
  <si>
    <t>(CAST(ROUND(`0330_amnt_unclltrlzd`, 2) AS STRING) = CAST(`0330_amnt_unclltrlzd` AS STRING) and cast(`0170_dt_incptn` as string) NOT IN ('N/A','11111111111','11111111111.00','11111111111.000000','1111-11-11','0000-00-00','0001-01-01','9999-12-31','MISS','00000','99999999999','999999999999999','99999999999.00','99999999999.000000','-9999.9999','Not applicable','XXX')) or CAST(`0330_amnt_unclltrlzd` AS STRING) = ''</t>
  </si>
  <si>
    <t>`0340_id_clltrl` RLIKE '[A-Za-z]' AND `0340_id_clltrl` NOT IN ('N/A','11111111111','11111111111.00','11111111111.000000','1111-11-11','0000-00-00','0001-01-01','9999-12-31','MISS','00000','99999999999','999999999999999','99999999999.00','99999999999.000000','-9999.9999','','Not applicable','XXX')</t>
  </si>
  <si>
    <t>0340_id_clltrl</t>
  </si>
  <si>
    <t>`0350_typ_clltrl` IN ('Real estate', 'Ships', 'Aircraft', 'Financial', 'Other', 'Not applicable', '')</t>
  </si>
  <si>
    <t>`0351_typ_clltrl_othr` RLIKE '[A-Za-z]' AND `0351_typ_clltrl_othr` NOT IN ('N/A','11111111111','11111111111.00','11111111111.000000','1111-11-11','0000-00-00','0001-01-01','9999-12-31','MISS','00000','99999999999','999999999999999','99999999999.00','99999999999.000000','-9999.9999','','Not applicable','XXX')</t>
  </si>
  <si>
    <t>`0360_trdng_mthd` IN ('Nominal', 'Unit', 'Not applicable')</t>
  </si>
  <si>
    <t>0360_trdng_mthd</t>
  </si>
  <si>
    <t>CAST(ROUND(`0370_amnt_scrty_eur`, 2) AS STRING) = CAST(`0370_amnt_scrty_eur` AS STRING) AND CAST(`0370_amnt_scrty_eur` AS STRING) NOT IN ('N/A','11111111111','11111111111.00','11111111111.000000','1111-11-11','0000-00-00','0001-01-01','9999-12-31','MISS','00000','99999999999','99999999999.00','99999999999.000000','-9999.9999','','Not applicable','XXX')</t>
  </si>
  <si>
    <t>CAST(ROUND(`0380_amnt_scrty_fx`, 2) AS STRING) = CAST(`0380_amnt_scrty_fx` AS STRING) AND CAST(`0380_amnt_scrty_fx` AS STRING) NOT IN ('N/A','11111111111','11111111111.00','11111111111.000000','1111-11-11','0000-00-00','0001-01-01','9999-12-31','MISS','00000','99999999999','99999999999.00','99999999999.000000','-9999.9999','','Not applicable','XXX')</t>
  </si>
  <si>
    <t>0380_amnt_scrty_fx</t>
  </si>
  <si>
    <t>CAST(`0390_nmbr_scrts_not_rprtng_entty` AS STRING) RLIKE '^[0-9]+$' AND CAST(`0390_nmbr_scrts_not_rprtng_entty` AS STRING) NOT IN ('N/A','11111111111','11111111111.00','11111111111.000000','1111-11-11','0000-00-00','0001-01-01','9999-12-31','MISS','00000','99999999999','999999999999999','99999999999.00','99999999999.000000','-9999.9999','','Not applicable','XXX')</t>
  </si>
  <si>
    <t>CAST(`0391_nmbr_scrts_rprtng_entty` AS STRING) RLIKE '^[0-9]+$' AND CAST(`0391_nmbr_scrts_rprtng_entty` AS STRING) NOT IN ('N/A','11111111111','11111111111.00','11111111111.000000','1111-11-11','0000-00-00','0001-01-01','9999-12-31','MISS','00000','99999999999','999999999999999','99999999999.00','99999999999.000000','-9999.9999','','Not applicable','XXX')</t>
  </si>
  <si>
    <t>CAST(ROUND(`0400_accrd_intrst_scrty`, 4) AS STRING) = CAST(`0400_accrd_intrst_scrty` AS STRING) and cast(`0400_accrd_intrst_scrty` as string) NOT IN ('N/A','11111111111','11111111111.00','11111111111.000000','1111-11-11','0000-00-00','0001-01-01','9999-12-31','MISS','00000','99999999999','999999999999999','99999999999.00','99999999999.000000','-9999.9999','','Not applicable','XXX')</t>
  </si>
  <si>
    <t>CAST(ROUND(`0410_fees_charges_scrty`, 4) AS STRING) = CAST(`0410_fees_charges_scrty` AS STRING) and cast(`0410_fees_charges_scrty` as string) NOT IN ('N/A','11111111111','11111111111.00','11111111111.000000','1111-11-11','0000-00-00','0001-01-01','9999-12-31','MISS','00000','99999999999','999999999999999','99999999999.00','99999999999.000000','-9999.9999','','Not applicable','XXX')</t>
  </si>
  <si>
    <t>0410_fees_charges_scrty</t>
  </si>
  <si>
    <t>CAST(ROUND(`0420_fv_amnt_scrty`, 4) AS STRING) = CAST(`0420_fv_amnt_scrty` AS STRING) and cast(`0420_fv_amnt_scrty` as string) NOT IN ('N/A','11111111111','11111111111.00','11111111111.000000','1111-11-11','0000-00-00','0001-01-01','9999-12-31','MISS','00000','99999999999','999999999999999','99999999999.00','99999999999.000000','-9999.9999','','Not applicable','XXX')</t>
  </si>
  <si>
    <t>0420_fv_amnt_scrty</t>
  </si>
  <si>
    <t xml:space="preserve">(CAST(ROUND(`0430_prncpl_amnt_glbl_nt_eur`, 2) AS STRING) = CAST(`0430_prncpl_amnt_glbl_nt_eur` AS STRING) AND CAST(`0430_prncpl_amnt_glbl_nt_eur` AS STRING) NOT IN ('N/A','11111111111','11111111111.00','11111111111.000000','1111-11-11','0000-00-00','0001-01-01','9999-12-31','MISS','00000','99999999999','99999999999.00','99999999999.000000','-9999.9999','','Not applicable','XXX')) OR `0430_prncpl_amnt_glbl_nt_eur`= 999999999999999.00 </t>
  </si>
  <si>
    <t>0430_prncpl_amnt_glbl_nt_eur</t>
  </si>
  <si>
    <t>(CAST(ROUND(`0431_prncpl_amnt_glbl_nt_fx`, 2) AS STRING) = CAST(`0431_prncpl_amnt_glbl_nt_fx` AS STRING) AND CAST(`0431_prncpl_amnt_glbl_nt_fx` AS STRING) NOT IN ('N/A','11111111111','11111111111.00','11111111111.000000','1111-11-11','0000-00-00','0001-01-01','9999-12-31','MISS','00000','99999999999','99999999999.00','99999999999.000000','-9999.9999','','Not applicable','XXX')) OR `0431_prncpl_amnt_glbl_nt_fx`= 999999999999999.00</t>
  </si>
  <si>
    <t>0431_prncpl_amnt_glbl_nt_fx</t>
  </si>
  <si>
    <t>`0440_ntr_glbl_nt` IN ('NGN', 'CGN', 'Not applicable')</t>
  </si>
  <si>
    <t>(CAST(`0450_crrnt_pool_fctr` AS STRING) RLIKE '^0\\.[0-9]{1,9}$' AND (`0450_crrnt_pool_fctr` &gt;=0 AND `0450_crrnt_pool_fctr`&lt;=1) and cast(`0450_crrnt_pool_fctr` as string) NOT IN ('N/A','11111111111','11111111111.00','11111111111.000000','1111-11-11','0000-00-00','0001-01-01','9999-12-31','MISS','00000','99999999999','999999999999999','99999999999.00','99999999999.000000','-9999.9999','','Not applicable','XXX')) OR `0450_crrnt_pool_fctr`=-9999.999999999</t>
  </si>
  <si>
    <t>0450_crrnt_pool_fctr</t>
  </si>
  <si>
    <t>`0460_csd` = 'INTERBOLSA_PT'</t>
  </si>
  <si>
    <t>0460_csd</t>
  </si>
  <si>
    <t>`0461_csd_lei` RLIKE '[A-Za-z]' and `0461_csd_lei` NOT IN ('N/A','11111111111','11111111111.00','11111111111.000000','1111-11-11','0000-00-00','0001-01-01','9999-12-31','MISS','00000','99999999999','999999999999999','99999999999.00','99999999999.000000','-9999.9999','','Not applicable','XXX')</t>
  </si>
  <si>
    <t>0461_csd_lei</t>
  </si>
  <si>
    <t>`0462_csd_othr` RLIKE '[A-Za-z]' and `0462_csd_othr` NOT IN ('N/A','11111111111','11111111111.00','11111111111.000000','1111-11-11','0000-00-00','0001-01-01','9999-12-31','MISS','00000','99999999999','999999999999999','99999999999.00','99999999999.000000','-9999.9999','','Not applicable','XXX')</t>
  </si>
  <si>
    <t>0462_csd_othr</t>
  </si>
  <si>
    <t>(`0470_pyng_agnt` RLIKE '[A-Za-z]' and `0470_pyng_agnt` NOT IN ('N/A','11111111111','11111111111.00','11111111111.000000','1111-11-11','0000-00-00','0001-01-01','9999-12-31','MISS','00000','99999999999','999999999999999','99999999999.00','99999999999.000000','-9999.9999','','XXX')) OR `0470_pyng_agnt` = 'Not applicable'</t>
  </si>
  <si>
    <t>0470_pyng_agnt</t>
  </si>
  <si>
    <t>(`0471_pyng_agnt_lei` RLIKE '[A-Za-z]' and `0471_pyng_agnt_lei` NOT IN ('N/A','11111111111','11111111111.00','11111111111.000000','1111-11-11','0000-00-00','0001-01-01','9999-12-31','MISS','00000','99999999999','999999999999999','99999999999.00','99999999999.000000','-9999.9999','','XXX')) OR `0471_pyng_agnt_lei` = 'Not applicable'</t>
  </si>
  <si>
    <t>0471_pyng_agnt_lei</t>
  </si>
  <si>
    <t>(`0480_trdng_vn` RLIKE '[A-Za-z]' and `0480_trdng_vn` NOT IN ('N/A','11111111111','11111111111.00','11111111111.000000','1111-11-11','0000-00-00','0001-01-01','9999-12-31','MISS','00000','99999999999','999999999999999','99999999999.00','99999999999.000000','-9999.9999','','XXX')) OR `0480_trdng_vn` = 'Not applicable'</t>
  </si>
  <si>
    <t>0480_trdng_vn</t>
  </si>
  <si>
    <t>(`0481_trdng_vn_lei` RLIKE '[A-Za-z]' and `0481_trdng_vn_lei` NOT IN ('N/A','11111111111','11111111111.00','11111111111.000000','1111-11-11','0000-00-00','0001-01-01','9999-12-31','MISS','00000','99999999999','999999999999999','99999999999.00','99999999999.000000','-9999.9999','','XXX')) OR `0481_trdng_vn_lei` = 'Not applicable'</t>
  </si>
  <si>
    <t>0481_trdng_vn_lei</t>
  </si>
  <si>
    <t>(`0490_rgstrr` RLIKE '[A-Za-z]' and `0490_rgstrr` NOT IN ('N/A','11111111111','11111111111.00','11111111111.000000','1111-11-11','0000-00-00','0001-01-01','9999-12-31','MISS','00000','99999999999','999999999999999','99999999999.00','99999999999.000000','-9999.9999','','XXX')) OR `0490_rgstrr` = 'Not applicable'</t>
  </si>
  <si>
    <t>0490_rgstrr</t>
  </si>
  <si>
    <t>(`0491_rgstrr_lei` RLIKE '[A-Za-z]' and `0491_rgstrr_lei` NOT IN ('N/A','11111111111','11111111111.00','11111111111.000000','1111-11-11','0000-00-00','0001-01-01','9999-12-31','MISS','00000','99999999999','999999999999999','99999999999.00','99999999999.000000','-9999.9999','','XXX')) OR `0491_rgstrr_lei` = 'Not applicable'</t>
  </si>
  <si>
    <t>0491_rgstrr_lei</t>
  </si>
  <si>
    <t>(`0500_nna` RLIKE '[A-Za-z]' and `0500_nna` NOT IN ('N/A','11111111111','11111111111.00','11111111111.000000','1111-11-11','0000-00-00','0001-01-01','9999-12-31','MISS','00000','99999999999','999999999999999','99999999999.00','99999999999.000000','-9999.9999','','XXX')) OR `0500_nna` = 'Not applicable'</t>
  </si>
  <si>
    <t>0500_nna</t>
  </si>
  <si>
    <t>(`0501_nna_lei` RLIKE '[A-Za-z]' and `0501_nna_lei` NOT IN ('N/A','11111111111','11111111111.00','11111111111.000000','1111-11-11','0000-00-00','0001-01-01','9999-12-31','MISS','00000','99999999999','999999999999999','99999999999.00','99999999999.000000','-9999.9999','','XXX')) OR `0501_nna_lei` = 'Not applicable'</t>
  </si>
  <si>
    <t>0501_nna_lei</t>
  </si>
  <si>
    <t>(`0510_cmmn_dpstry` RLIKE '[A-Za-z]' and `0510_cmmn_dpstry` NOT IN ('N/A','11111111111','11111111111.00','11111111111.000000','1111-11-11','0000-00-00','0001-01-01','9999-12-31','MISS','00000','99999999999','999999999999999','99999999999.00','99999999999.000000','-9999.9999','','XXX')) OR `0510_cmmn_dpstry` = 'Not applicable'</t>
  </si>
  <si>
    <t>0510_cmmn_dpstry</t>
  </si>
  <si>
    <t>(`0511_cmmn_dpstry_lei` RLIKE '[A-Za-z]' and `0511_cmmn_dpstry_lei` NOT IN ('N/A','11111111111','11111111111.00','11111111111.000000','1111-11-11','0000-00-00','0001-01-01','9999-12-31','MISS','00000','99999999999','999999999999999','99999999999.00','99999999999.000000','-9999.9999','','XXX')) OR `0511_cmmn_dpstry_lei` = 'Not applicable'</t>
  </si>
  <si>
    <t>0511_cmmn_dpstry_lei</t>
  </si>
  <si>
    <t>(`0520_cmmn_srvc_prvdr` RLIKE '[A-Za-z]' and `0520_cmmn_srvc_prvdr` NOT IN ('N/A','11111111111','11111111111.00','11111111111.000000','1111-11-11','0000-00-00','0001-01-01','9999-12-31','MISS','00000','99999999999','999999999999999','99999999999.00','99999999999.000000','-9999.9999','','XXX')) OR `0520_cmmn_srvc_prvdr` = 'Not applicable'</t>
  </si>
  <si>
    <t>0520_cmmn_srvc_prvdr</t>
  </si>
  <si>
    <t>(`0521_cmmn_srvc_prvdr_lei` RLIKE '[A-Za-z]' and `0521_cmmn_srvc_prvdr_lei` NOT IN ('N/A','11111111111','11111111111.00','11111111111.000000','1111-11-11','0000-00-00','0001-01-01','9999-12-31','MISS','00000','99999999999','999999999999999','99999999999.00','99999999999.000000','-9999.9999','','XXX')) OR `0521_cmmn_srvc_prvdr_lei` = 'Not applicable'</t>
  </si>
  <si>
    <t>0521_cmmn_srvc_prvdr_lei</t>
  </si>
  <si>
    <t xml:space="preserve">`0530_typ_own_fnds_ind_lvl` IN ('T2 in phase-out', 'Grandfathered T2', 'Fully Compliant T2', 'Partially (A)T1 and T2', 'Grandfathered AT1', 'Fully Compliant AT1', 'CET1', 'No', 'Not applicable') </t>
  </si>
  <si>
    <t>`0550_typ_own_fnds_cnsldtd_lvl` IN ('T2 in phase-out', 'Grandfathered T2', 'Fully Compliant T2', 'Partially (A)T1 and T2', 'Grandfathered AT1', 'Fully Compliant AT1', 'CET1', 'No', 'Not applicable')</t>
  </si>
  <si>
    <t>(CAST(ROUND(`0560_elgbl_amnt_own_fnds_cnsldtd_lvl`, 2) AS STRING) = CAST(`0560_elgbl_amnt_own_fnds_cnsldtd_lvl` AS STRING) AND CAST(`0560_elgbl_amnt_own_fnds_cnsldtd_lvl` AS STRING) NOT IN ('N/A','11111111111','11111111111.00','11111111111.000000','1111-11-11','0000-00-00','0001-01-01','9999-12-31','MISS','00000','99999999999','99999999999.00','99999999999.000000','-9999.9999','','Not applicable','XXX')) OR `0560_elgbl_amnt_own_fnds_cnsldtd_lvl`= 999999999999999.00</t>
  </si>
  <si>
    <t>CAST(ROUND(`0570_amnt_scrty_intrst_prvdd`, 2) AS STRING) = CAST(`0570_amnt_scrty_intrst_prvdd` AS STRING) AND CAST(`0570_amnt_scrty_intrst_prvdd` AS STRING) NOT IN ('N/A','11111111111','11111111111.00','11111111111.000000','1111-11-11','0000-00-00','0001-01-01','9999-12-31','MISS','00000','99999999999','99999999999.00','99999999999.000000','-9999.9999','','Not applicable','XXX')</t>
  </si>
  <si>
    <t>0570_amnt_scrty_intrst_prvdd</t>
  </si>
  <si>
    <t>(`0580_scrty_intrst_prvdr` RLIKE '[A-Za-z]' and `0580_scrty_intrst_prvdr` NOT IN ('N/A','11111111111','11111111111.00','11111111111.000000','1111-11-11','0000-00-00','0001-01-01','9999-12-31','MISS','00000','99999999999','999999999999999','99999999999.00','99999999999.000000','-9999.9999','','XXX')) OR `0580_scrty_intrst_prvdr` = 'Not applicable'</t>
  </si>
  <si>
    <t>0580_scrty_intrst_prvdr</t>
  </si>
  <si>
    <t>(`0581_scrty_intrst_prvdr_lei` RLIKE '[A-Za-z]' and `0581_scrty_intrst_prvdr_lei` NOT IN ('N/A','11111111111','11111111111.00','11111111111.000000','1111-11-11','0000-00-00','0001-01-01','9999-12-31','MISS','00000','99999999999','999999999999999','99999999999.00','99999999999.000000','-9999.9999','','XXX')) OR `0581_scrty_intrst_prvdr_lei` = 'Not applicable'</t>
  </si>
  <si>
    <t>0581_scrty_intrst_prvdr_lei</t>
  </si>
  <si>
    <t>`0590_typ_scrty_intrst_prvdd` IN ('Lien', 'Guarantee', 'Surety', 'Guarantee obligation', 'Other', 'Not applicable', 'Aggregated')</t>
  </si>
  <si>
    <t>`0600_flg_clltrl_asst_pstn` IN ('TRUE', 'FALSE', 'Not applicable')</t>
  </si>
  <si>
    <t>0600_flg_clltrl_asst_pstn</t>
  </si>
  <si>
    <t>CAST(ROUND(`0610_crryng_amnt_ifrs`, 2) AS STRING) = CAST(`0610_crryng_amnt_ifrs` AS STRING) AND CAST(`0610_crryng_amnt_ifrs` AS STRING) NOT IN ('N/A','11111111111','11111111111.00','11111111111.000000','1111-11-11','0000-00-00','0001-01-01','9999-12-31','MISS','00000','99999999999','99999999999.00','99999999999.000000','-9999.9999','','Not applicable','XXX')</t>
  </si>
  <si>
    <t>`0620_blnc_sht_ifrs` IN ('010 Financial liabilities held for trading', '070 Financial liabilities at fair value through profit or loss', '110 Financial liabilities at amortized cost', '280 Other liabilities', '300 Total equity')</t>
  </si>
  <si>
    <t>CAST(ROUND(`0630_crrying_amnt_ngaap`, 2) AS STRING) = CAST(`0630_crrying_amnt_ngaap` AS STRING) AND CAST(`0630_crrying_amnt_ngaap` AS STRING) NOT IN ('N/A','11111111111','11111111111.00','11111111111.000000','1111-11-11','0000-00-00','0001-01-01','9999-12-31','MISS','00000','99999999999','99999999999.00','99999999999.000000','-9999.9999','','Not applicable','XXX')</t>
  </si>
  <si>
    <t>0630_crrying_amnt_ngaap</t>
  </si>
  <si>
    <t>`0640_blnc_sht_ngaap` RLIKE '[A-Za-z]' and `0580_scrty_intrst_prvdr` NOT IN ('N/A','11111111111','11111111111.00','11111111111.000000','1111-11-11','0000-00-00','0001-01-01','9999-12-31','MISS','00000','99999999999','999999999999999','99999999999.00','99999999999.000000','-9999.9999','','Not applicable','XXX')</t>
  </si>
  <si>
    <t>0640_blnc_sht_ngaap</t>
  </si>
  <si>
    <t>`5000_flg_shrhldr_not_rsltn_grp` IN ('TRUE', 'FALSE')</t>
  </si>
  <si>
    <t>`5010_flg_art21_7a_srmr` IN ('TRUE', 'FALSE')</t>
  </si>
  <si>
    <t>O campo deve ser reportado usando o código 3-letra ISO 4217.</t>
  </si>
  <si>
    <t>O campo deve ser reportado usando os valores fixos.</t>
  </si>
  <si>
    <t>O campo deve ser reportado com formato numérico com 4 casas decimais.</t>
  </si>
  <si>
    <t>O campo deve ser reportado com formato numérico entre 0 e 1, com 9 casas decimais.</t>
  </si>
  <si>
    <t>`0150_flg_strctrlly_sbrdntd` IN ('TRUE', 'FALSE')</t>
  </si>
  <si>
    <t>0150_flg_strctrlly_sbrdntd</t>
  </si>
  <si>
    <t>LENGTH(`0220_governing_law`) = 2 OR `0220_governing_law` = 'XX'</t>
  </si>
  <si>
    <t>(`0210_dt_lgl_fnl_mtrty` REGEXP '^[0-9]{4}-[0-9]{2}-[0-9]{2}$' and `0210_dt_lgl_fnl_mtrty` NOT IN ('N/A','11111111111','11111111111.00','11111111111.000000','1111-11-11','0000-00-00','9999-12-31','MISS','00000','99999999999','999999999999999','99999999999.00','99999999999.000000','-9999.9999','Not applicable','XXX')) OR `0210_dt_lgl_fnl_mtrty` IN ('0001-01-01', '')</t>
  </si>
  <si>
    <t>(CAST(ROUND(`0540_elgbl_amnt_own_fnds_ind_lvl`, 2) AS STRING) = CAST(`0540_elgbl_amnt_own_fnds_ind_lvl` AS STRING) AND CAST(`0540_elgbl_amnt_own_fnds_ind_lvl` AS STRING) NOT IN ('N/A','11111111111','11111111111.00','11111111111.000000','1111-11-11','0000-00-00','0001-01-01','9999-12-31','MISS','00000','99999999999','99999999999.00','99999999999.000000','-9999.9999','','Not applicable','XXX')) OR `0540_elgbl_amnt_own_fnds_ind_lvl`= 999999999999999.00</t>
  </si>
  <si>
    <t>Comentar</t>
  </si>
  <si>
    <t>As moedas devem ser reportadas usando o código ISO 4217 de 3 letras.</t>
  </si>
  <si>
    <t>O valor declarado deve ser positivo ou zero.</t>
  </si>
  <si>
    <t>O valor reportado deve ser positivo.</t>
  </si>
  <si>
    <t>O valor declarado deve ser igual a: c0080 + c0100 + c0110.</t>
  </si>
  <si>
    <t>Para produtos estruturados, o montante declarado deve ser igual a: (c0270 - c0300 - c0320) se o valor justo for utilizado para apoiar a determinação do montante relevante para o bail-in, OU (c0120 - c0300 - c0320) caso contrário.</t>
  </si>
  <si>
    <t>Os valores numéricos a partir de 1 devem ser reportados.</t>
  </si>
  <si>
    <t>O valor declarado deve ser anterior à Data do próximo pagamento (parcial) de resgate (c0190) e à data de resgate mais antiga (c0200).</t>
  </si>
  <si>
    <t>O valor declarado deve ser posterior à data de referência reportada em B99.00 (c0070).</t>
  </si>
  <si>
    <t>A legislação aplicável deve ser reportada utilizando o código ISO 3166-1 alpha-2.</t>
  </si>
  <si>
    <t>O campo reportado deve ser igual a: c0120 - c0320.</t>
  </si>
  <si>
    <t>O campo deve ser reportado usando o código ISO 3166-1 alfa-2 ou 3166-2.</t>
  </si>
  <si>
    <t>Alerta: o valor declarado deve, em geral, ser positivo.</t>
  </si>
  <si>
    <t>Alerta: o valor declarado deve ser positivo ou zero. No entanto, juros acumulados negativos são, em princípio, permitidos, se devidamente justificados pela entidade reportante.</t>
  </si>
  <si>
    <t>Alerta: o valor declarado deve ser, em geral, positivo ou zero.</t>
  </si>
  <si>
    <t>Alerta: são permitidos valores positivos caso os passivos intragrupo não cumpram as condições estabelecidas no artigo 44(2)h BRRD e devam ser devidamente justificados pela entidade que reporta.</t>
  </si>
  <si>
    <t>O campo reportado deve ser igual a (c0270 - c0320) se for utilizado o valor justo, ou igual a (c0120 - c0320) caso contrário.</t>
  </si>
  <si>
    <t>O valor reportado deve ser uma data (yyy-mm-dd).</t>
  </si>
  <si>
    <t>O montante declarado deve ser igual a: c0120 - c0300 - c0320, exceto para Zero Coupon Bonds para as quais se possam aplicar disposições específicas.</t>
  </si>
  <si>
    <t>"&amp; RefDate &amp;"</t>
  </si>
  <si>
    <t>Valor em falta (aviso). O campo deve ser reportado se c0350 = Other.</t>
  </si>
  <si>
    <t>Se o ID for um ISIN (c0030 = ISIN), então o ID reportado em c0020 deve ter as características de um ISIN, por exemplo, 12 caracteres e começar com 2 letras que significam o código de país ISO.</t>
  </si>
  <si>
    <t>O campo deve ser Not applicable se o c0310 não estiver seguro.</t>
  </si>
  <si>
    <t>Testar se o campo está a missing. O campo tem de ser reportado.</t>
  </si>
  <si>
    <t>Testar se o campo está a missing. O campo deve ser reportado para passivos não estruturados.</t>
  </si>
  <si>
    <t>Alerta: Testar se o campo está a missing. Para passivos estruturados, o campo tem de ser reportado se a informação existir.</t>
  </si>
  <si>
    <t>Testar se o campo está a missing. O campo deve ser reportado para valores mobiliários.</t>
  </si>
  <si>
    <t>Testar se o campo está a missing. Para passivos não estruturados que não sejam zero coupon bonds emitidas com desconto, este campo deve ser reportado.</t>
  </si>
  <si>
    <t>Testar se o campo está a missing. Para passivos não estruturados, este campo deve ser declarado.</t>
  </si>
  <si>
    <t>Testar se o campo está a missing. O campo deve ser reportado se a opção Other tiver sido selecionada em c0140.</t>
  </si>
  <si>
    <t>Alerta: Testar se o campo está a missing. Para passivos estruturados, este campo só deve ser reportado se a informação existir.</t>
  </si>
  <si>
    <t>Alerta: Testar se o campo está a missing.  Este campo precisa de ser reportado se a informação existir.</t>
  </si>
  <si>
    <t>Testar se o campo está a missing. Para passivos que não sejam do tipo Cash account/saving account, o campo deve ser reportado.</t>
  </si>
  <si>
    <t>Alerta: Testar se o campo está a missing. Para passivos estruturados, este campo deve ser reportado se a informação existir.</t>
  </si>
  <si>
    <t>Testar se o campo está a missing. O campo deve ser reportado para produtos estruturados.</t>
  </si>
  <si>
    <t>Testar se o campo está a missing. O campo deve ser reportado para depósitos elegíveis. Se o valor for zero, deve ser introduzido 0.</t>
  </si>
  <si>
    <t>Testar se o campo está a missing. O campo deve ser reportado para produtos protegidos. Se o valor for zero, deve ser introduzido 0.</t>
  </si>
  <si>
    <t>Testar se o campo está a missing. O campo deve ser reportado para produtos protegidos.</t>
  </si>
  <si>
    <t>Testar se o campo está a missing. O campo deve ser reportado para valores mobiliários com método de negociação = Nominal.</t>
  </si>
  <si>
    <t>Alerta: Testar se o campo está a missing. O campo deve ser reportado para securities com método de negociação = Unit se a informação existir.</t>
  </si>
  <si>
    <t>Testar se o campo está a missing. O campo deve ser reportado quando c0040 = ISIN. Se o valor for zero, deve ser introduzido 0.</t>
  </si>
  <si>
    <t>Testar se o campo está a missing. O campo deve ser reportado para valores mobiliários. Se o valor for zero, deve ser introduzido 0.</t>
  </si>
  <si>
    <t>Testar se o campo está a missing. O campo deve ser reportado para títulos não estruturados que não sejam zero coupon bonds emitidas com desconto.</t>
  </si>
  <si>
    <t>Alerta: Testar se o campo está a missing. Este campo deve ser reportado para securities estruturados se a informação existir.</t>
  </si>
  <si>
    <t>Alerta: Testar se o campo está a missing. O campo deve ser reportado se a informação existir, ou seja, se a entidade reportar em IFRS.</t>
  </si>
  <si>
    <t>Testar se o campo está a missing. O campo deve ser reportado para Non-Resolution Entities.</t>
  </si>
  <si>
    <t>O campo deve ser reportado usando o valor fixo 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</si>
</sst>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8"/>
      <name val="Aptos Narrow"/>
      <family val="2"/>
      <scheme val="minor"/>
    </font>
  </fonts>
  <fills count="9">
    <fill>
      <patternFill patternType="none"/>
    </fill>
    <fill>
      <patternFill patternType="gray125"/>
    </fill>
    <fill>
      <patternFill patternType="solid">
        <fgColor rgb="FFFF0000"/>
        <bgColor indexed="64"/>
      </patternFill>
    </fill>
    <fill>
      <patternFill patternType="solid">
        <fgColor theme="0" tint="-0.249977111117893"/>
        <bgColor indexed="64"/>
      </patternFill>
    </fill>
    <fill>
      <patternFill patternType="solid">
        <fgColor rgb="FF00B0F0"/>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quotePrefix="1"/>
    <xf numFmtId="0" fontId="1" fillId="2" borderId="0" xfId="0" applyFont="1" applyFill="1" applyAlignment="1">
      <alignment horizontal="center"/>
    </xf>
    <xf numFmtId="0" fontId="0" fillId="3" borderId="0" xfId="0" applyFill="1"/>
    <xf numFmtId="0" fontId="1" fillId="4" borderId="0" xfId="0" applyFont="1" applyFill="1"/>
    <xf numFmtId="0" fontId="0" fillId="5" borderId="0" xfId="0" applyFill="1"/>
    <xf numFmtId="0" fontId="1" fillId="4" borderId="0" xfId="0" applyFont="1" applyFill="1" applyAlignment="1">
      <alignment horizontal="center"/>
    </xf>
    <xf numFmtId="0" fontId="0" fillId="0" borderId="0" xfId="0" applyAlignment="1">
      <alignment horizontal="center"/>
    </xf>
    <xf numFmtId="0" fontId="0" fillId="0" borderId="0" xfId="0" applyAlignment="1">
      <alignment horizontal="left"/>
    </xf>
    <xf numFmtId="0" fontId="0" fillId="6" borderId="0" xfId="0" applyFill="1"/>
    <xf numFmtId="0" fontId="0" fillId="7" borderId="0" xfId="0" applyFill="1"/>
    <xf numFmtId="0" fontId="0" fillId="8" borderId="0" xfId="0" applyFill="1"/>
    <xf numFmtId="0" fontId="0" fillId="8" borderId="0" xfId="0" applyFill="1" applyAlignment="1">
      <alignment horizontal="center"/>
    </xf>
    <xf numFmtId="0" fontId="0" fillId="8" borderId="0" xfId="0" quotePrefix="1" applyFill="1"/>
    <xf numFmtId="0" fontId="0" fillId="8"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25DA1-44CF-4FA5-B1E5-ADE5F9661D1C}">
  <dimension ref="A1:L192"/>
  <sheetViews>
    <sheetView showGridLines="0" tabSelected="1" zoomScale="80" zoomScaleNormal="80" workbookViewId="0">
      <pane ySplit="1" topLeftCell="A2" activePane="bottomLeft" state="frozen"/>
      <selection pane="bottomLeft" activeCell="K2" sqref="K2"/>
    </sheetView>
  </sheetViews>
  <sheetFormatPr defaultRowHeight="14.4" x14ac:dyDescent="0.3"/>
  <cols>
    <col min="1" max="1" width="17.77734375" bestFit="1" customWidth="1"/>
    <col min="2" max="2" width="15.77734375" customWidth="1"/>
    <col min="3" max="3" width="8.77734375" customWidth="1"/>
    <col min="4" max="4" width="58" customWidth="1"/>
    <col min="5" max="6" width="15.77734375" customWidth="1"/>
    <col min="7" max="7" width="45.5546875" bestFit="1" customWidth="1"/>
    <col min="8" max="8" width="15.77734375" customWidth="1"/>
    <col min="9" max="10" width="8.77734375" customWidth="1"/>
    <col min="11" max="11" width="15.77734375" customWidth="1"/>
  </cols>
  <sheetData>
    <row r="1" spans="1:12" x14ac:dyDescent="0.3">
      <c r="A1" s="5" t="s">
        <v>1</v>
      </c>
      <c r="B1" s="5" t="s">
        <v>5</v>
      </c>
      <c r="C1" s="6" t="s">
        <v>16</v>
      </c>
      <c r="D1" s="2" t="s">
        <v>3</v>
      </c>
      <c r="E1" s="3" t="s">
        <v>0</v>
      </c>
      <c r="F1" s="3" t="s">
        <v>2</v>
      </c>
      <c r="G1" s="3" t="s">
        <v>4</v>
      </c>
      <c r="H1" s="4" t="s">
        <v>9</v>
      </c>
      <c r="I1" s="2" t="s">
        <v>17</v>
      </c>
      <c r="J1" s="2" t="s">
        <v>400</v>
      </c>
      <c r="K1" s="2" t="s">
        <v>6</v>
      </c>
      <c r="L1" s="2" t="s">
        <v>629</v>
      </c>
    </row>
    <row r="2" spans="1:12" x14ac:dyDescent="0.3">
      <c r="A2" t="s">
        <v>29</v>
      </c>
      <c r="B2" t="s">
        <v>327</v>
      </c>
      <c r="C2" s="7">
        <v>1</v>
      </c>
      <c r="D2" s="1" t="str">
        <f>+VLOOKUP(A2,Descrição!A:K,11,FALSE)</f>
        <v>Testar se o campo está a missing. O campo tem de ser reportado.</v>
      </c>
      <c r="E2" t="s">
        <v>648</v>
      </c>
      <c r="F2" t="s">
        <v>11</v>
      </c>
      <c r="G2" t="s">
        <v>381</v>
      </c>
      <c r="H2" t="s">
        <v>388</v>
      </c>
      <c r="I2" s="7">
        <f t="shared" ref="I2:I33" si="0">+IF(C2=1,0,1)</f>
        <v>0</v>
      </c>
      <c r="J2" s="8" t="str">
        <f t="shared" ref="J2:J33" si="1">+IF(C2=0,"THEN NULL ELSE X.CHAVE_IT END","THEN X.CHAVE_IT ELSE NULL END")</f>
        <v>THEN X.CHAVE_IT ELSE NULL END</v>
      </c>
      <c r="K2" s="5" t="str">
        <f t="shared" ref="K2:K38" si="2">"UNION ALL SELECT '"&amp;E2&amp;"' AS REF_DATE, '"&amp;A2&amp;"' AS COD_KPI, '"&amp;F2&amp;"' AS TIPOLOGIA_TESTE, '"&amp;D2&amp;"' AS DESCRIÇÃO, '"&amp;G2&amp;"' AS TABELA, '"&amp;B2&amp;"' AS CAMPO, COUNT(*) AS NUM_REG, SUM(IF("&amp;H2&amp;","&amp;C2&amp;" ,"&amp;I2&amp;")) AS NUM_REG_DIF, GROUP_CONCAT(CASE WHEN "&amp;H2&amp;" "&amp;J2&amp;", '; ') AS DETALHE FROM (SELECT *, 0020_UNIQ_ID AS CHAVE_IT, "&amp;B2&amp;" AS CAMPO_IT FROM "&amp;G2&amp;" WHERE REF_DATE='"&amp;E2&amp;"')X GROUP BY 1"</f>
        <v>UNION ALL SELECT '"&amp; RefDate &amp;"' AS REF_DATE, 'v_1_0001' AS COD_KPI, 'REGULAMENTAR' AS TIPOLOGIA_TESTE, 'Testar se o campo está a missing. O campo tem de ser reportado.' AS DESCRIÇÃO, 'BU_LOANTAPE_WORK.OUT_B0200_MAIN_LIABILITIES' AS TABELA, '0010_row_nmbr' AS CAMPO, COUNT(*) AS NUM_REG, SUM(IF(`0010_row_nmbr` IS NULL or cast(`0010_row_nmbr` as string)='',1 ,0)) AS NUM_REG_DIF, GROUP_CONCAT(CASE WHEN `0010_row_nmbr` IS NULL or cast(`0010_row_nmbr` as string)='' THEN X.CHAVE_IT ELSE NULL END, '; ') AS DETALHE FROM (SELECT *, 0020_UNIQ_ID AS CHAVE_IT, 0010_row_nmbr AS CAMPO_IT FROM BU_LOANTAPE_WORK.OUT_B0200_MAIN_LIABILITIES WHERE REF_DATE='"&amp; RefDate &amp;"')X GROUP BY 1</v>
      </c>
    </row>
    <row r="3" spans="1:12" x14ac:dyDescent="0.3">
      <c r="A3" t="s">
        <v>37</v>
      </c>
      <c r="B3" t="s">
        <v>390</v>
      </c>
      <c r="C3" s="7">
        <v>1</v>
      </c>
      <c r="D3" s="1" t="str">
        <f>+VLOOKUP(A3,Descrição!A:K,11,FALSE)</f>
        <v>Testar se o campo está a missing. O campo tem de ser reportado.</v>
      </c>
      <c r="E3" t="s">
        <v>648</v>
      </c>
      <c r="F3" t="s">
        <v>11</v>
      </c>
      <c r="G3" t="s">
        <v>381</v>
      </c>
      <c r="H3" t="s">
        <v>389</v>
      </c>
      <c r="I3" s="7">
        <f t="shared" si="0"/>
        <v>0</v>
      </c>
      <c r="J3" s="8" t="str">
        <f t="shared" si="1"/>
        <v>THEN X.CHAVE_IT ELSE NULL END</v>
      </c>
      <c r="K3" s="5" t="str">
        <f t="shared" si="2"/>
        <v>UNION ALL SELECT '"&amp; RefDate &amp;"' AS REF_DATE, 'v_1_0002' AS COD_KPI, 'REGULAMENTAR' AS TIPOLOGIA_TESTE, 'Testar se o campo está a missing. O campo tem de ser reportado.' AS DESCRIÇÃO, 'BU_LOANTAPE_WORK.OUT_B0200_MAIN_LIABILITIES' AS TABELA, '0030_uniq_id_knwn_cntrprty' AS CAMPO, COUNT(*) AS NUM_REG, SUM(IF(`0030_uniq_id_knwn_cntrprty` = '',1 ,0)) AS NUM_REG_DIF, GROUP_CONCAT(CASE WHEN `0030_uniq_id_knwn_cntrprty` = '' THEN X.CHAVE_IT ELSE NULL END, '; ') AS DETALHE FROM (SELECT *, 0020_UNIQ_ID AS CHAVE_IT, 0030_uniq_id_knwn_cntrprty AS CAMPO_IT FROM BU_LOANTAPE_WORK.OUT_B0200_MAIN_LIABILITIES WHERE REF_DATE='"&amp; RefDate &amp;"')X GROUP BY 1</v>
      </c>
    </row>
    <row r="4" spans="1:12" x14ac:dyDescent="0.3">
      <c r="A4" t="s">
        <v>42</v>
      </c>
      <c r="B4" t="s">
        <v>392</v>
      </c>
      <c r="C4" s="7">
        <v>1</v>
      </c>
      <c r="D4" s="1" t="str">
        <f>+VLOOKUP(A4,Descrição!A:K,11,FALSE)</f>
        <v>Testar se o campo está a missing. O campo tem de ser reportado.</v>
      </c>
      <c r="E4" t="s">
        <v>648</v>
      </c>
      <c r="F4" t="s">
        <v>11</v>
      </c>
      <c r="G4" t="s">
        <v>381</v>
      </c>
      <c r="H4" t="s">
        <v>391</v>
      </c>
      <c r="I4" s="7">
        <f t="shared" si="0"/>
        <v>0</v>
      </c>
      <c r="J4" s="8" t="str">
        <f t="shared" si="1"/>
        <v>THEN X.CHAVE_IT ELSE NULL END</v>
      </c>
      <c r="K4" s="5" t="str">
        <f t="shared" si="2"/>
        <v>UNION ALL SELECT '"&amp; RefDate &amp;"' AS REF_DATE, 'v_1_0003' AS COD_KPI, 'REGULAMENTAR' AS TIPOLOGIA_TESTE, 'Testar se o campo está a missing. O campo tem de ser reportado.' AS DESCRIÇÃO, 'BU_LOANTAPE_WORK.OUT_B0200_MAIN_LIABILITIES' AS TABELA, '0040_typ_uniq_id_knwn_cntrprty' AS CAMPO, COUNT(*) AS NUM_REG, SUM(IF(`0040_typ_uniq_id_knwn_cntrprty` = '' ,1 ,0)) AS NUM_REG_DIF, GROUP_CONCAT(CASE WHEN `0040_typ_uniq_id_knwn_cntrprty` = ''  THEN X.CHAVE_IT ELSE NULL END, '; ') AS DETALHE FROM (SELECT *, 0020_UNIQ_ID AS CHAVE_IT, 0040_typ_uniq_id_knwn_cntrprty AS CAMPO_IT FROM BU_LOANTAPE_WORK.OUT_B0200_MAIN_LIABILITIES WHERE REF_DATE='"&amp; RefDate &amp;"')X GROUP BY 1</v>
      </c>
    </row>
    <row r="5" spans="1:12" x14ac:dyDescent="0.3">
      <c r="A5" t="s">
        <v>46</v>
      </c>
      <c r="B5" t="s">
        <v>394</v>
      </c>
      <c r="C5" s="7">
        <v>1</v>
      </c>
      <c r="D5" s="1" t="str">
        <f>+VLOOKUP(A5,Descrição!A:K,11,FALSE)</f>
        <v>Testar se o campo está a missing. O campo tem de ser reportado.</v>
      </c>
      <c r="E5" t="s">
        <v>648</v>
      </c>
      <c r="F5" t="s">
        <v>11</v>
      </c>
      <c r="G5" t="s">
        <v>381</v>
      </c>
      <c r="H5" t="s">
        <v>393</v>
      </c>
      <c r="I5" s="7">
        <f t="shared" si="0"/>
        <v>0</v>
      </c>
      <c r="J5" s="8" t="str">
        <f t="shared" si="1"/>
        <v>THEN X.CHAVE_IT ELSE NULL END</v>
      </c>
      <c r="K5" s="5" t="str">
        <f t="shared" si="2"/>
        <v>UNION ALL SELECT '"&amp; RefDate &amp;"' AS REF_DATE, 'v_1_0004' AS COD_KPI, 'REGULAMENTAR' AS TIPOLOGIA_TESTE, 'Testar se o campo está a missing. O campo tem de ser reportado.' AS DESCRIÇÃO, 'BU_LOANTAPE_WORK.OUT_B0200_MAIN_LIABILITIES' AS TABELA, '0070_cntrct_crrncy' AS CAMPO, COUNT(*) AS NUM_REG, SUM(IF(`0070_cntrct_crrncy` = '',1 ,0)) AS NUM_REG_DIF, GROUP_CONCAT(CASE WHEN `0070_cntrct_crrncy` = '' THEN X.CHAVE_IT ELSE NULL END, '; ') AS DETALHE FROM (SELECT *, 0020_UNIQ_ID AS CHAVE_IT, 0070_cntrct_crrncy AS CAMPO_IT FROM BU_LOANTAPE_WORK.OUT_B0200_MAIN_LIABILITIES WHERE REF_DATE='"&amp; RefDate &amp;"')X GROUP BY 1</v>
      </c>
    </row>
    <row r="6" spans="1:12" x14ac:dyDescent="0.3">
      <c r="A6" t="s">
        <v>50</v>
      </c>
      <c r="B6" t="s">
        <v>396</v>
      </c>
      <c r="C6" s="7">
        <v>1</v>
      </c>
      <c r="D6" s="1" t="str">
        <f>+VLOOKUP(A6,Descrição!A:K,11,FALSE)</f>
        <v>Testar se o campo está a missing. O campo deve ser reportado para passivos não estruturados.</v>
      </c>
      <c r="E6" t="s">
        <v>648</v>
      </c>
      <c r="F6" t="s">
        <v>11</v>
      </c>
      <c r="G6" t="s">
        <v>381</v>
      </c>
      <c r="H6" t="s">
        <v>395</v>
      </c>
      <c r="I6" s="7">
        <f t="shared" si="0"/>
        <v>0</v>
      </c>
      <c r="J6" s="8" t="str">
        <f t="shared" si="1"/>
        <v>THEN X.CHAVE_IT ELSE NULL END</v>
      </c>
      <c r="K6" s="5" t="str">
        <f t="shared" si="2"/>
        <v>UNION ALL SELECT '"&amp; RefDate &amp;"' AS REF_DATE, 'v_1_0005' AS COD_KPI, 'REGULAMENTAR' AS TIPOLOGIA_TESTE, 'Testar se o campo está a missing. O campo deve ser reportado para passivos não estruturados.' AS DESCRIÇÃO, 'BU_LOANTAPE_WORK.OUT_B0200_MAIN_LIABILITIES' AS TABELA, '0080_otstndng_prncpl_amnt' AS CAMPO, COUNT(*) AS NUM_REG, SUM(IF((`0080_otstndng_prncpl_amnt` IS NULL OR CAST(`0080_otstndng_prncpl_amnt` AS STRING) = '') AND `0250_strctrd_prdct` IN ('Non-Structured/Vanilla', 'Other non-standard terms'),1 ,0)) AS NUM_REG_DIF, GROUP_CONCAT(CASE WHEN (`0080_otstndng_prncpl_amnt` IS NULL OR CAST(`0080_otstndng_prncpl_amnt` AS STRING) = '') AND `0250_strctrd_prdct` IN ('Non-Structured/Vanilla', 'Other non-standard terms') THEN X.CHAVE_IT ELSE NULL END, '; ') AS DETALHE FROM (SELECT *, 0020_UNIQ_ID AS CHAVE_IT, 0080_otstndng_prncpl_amnt AS CAMPO_IT FROM BU_LOANTAPE_WORK.OUT_B0200_MAIN_LIABILITIES WHERE REF_DATE='"&amp; RefDate &amp;"')X GROUP BY 1</v>
      </c>
    </row>
    <row r="7" spans="1:12" x14ac:dyDescent="0.3">
      <c r="A7" t="s">
        <v>56</v>
      </c>
      <c r="B7" t="s">
        <v>396</v>
      </c>
      <c r="C7" s="7">
        <v>1</v>
      </c>
      <c r="D7" s="1" t="str">
        <f>+VLOOKUP(A7,Descrição!A:K,11,FALSE)</f>
        <v>Alerta: Testar se o campo está a missing. Para passivos estruturados, o campo tem de ser reportado se a informação existir.</v>
      </c>
      <c r="E7" t="s">
        <v>648</v>
      </c>
      <c r="F7" t="s">
        <v>11</v>
      </c>
      <c r="G7" t="s">
        <v>381</v>
      </c>
      <c r="H7" t="s">
        <v>397</v>
      </c>
      <c r="I7" s="7">
        <f t="shared" si="0"/>
        <v>0</v>
      </c>
      <c r="J7" s="8" t="str">
        <f t="shared" si="1"/>
        <v>THEN X.CHAVE_IT ELSE NULL END</v>
      </c>
      <c r="K7" s="5" t="str">
        <f t="shared" si="2"/>
        <v>UNION ALL SELECT '"&amp; RefDate &amp;"' AS REF_DATE, 'v_1_0006' AS COD_KPI, 'REGULAMENTAR' AS TIPOLOGIA_TESTE, 'Alerta: Testar se o campo está a missing. Para passivos estruturados, o campo tem de ser reportado se a informação existir.' AS DESCRIÇÃO, 'BU_LOANTAPE_WORK.OUT_B0200_MAIN_LIABILITIES' AS TABELA, '0080_otstndng_prncpl_amnt' AS CAMPO, COUNT(*) AS NUM_REG, SUM(IF((`0080_otstndng_prncpl_amnt` IS NULL OR CAST(`0080_otstndng_prncpl_amnt` AS STRING) = '') AND `0250_strctrd_prdct` IN ('Structured', 'Only structured coupon'),1 ,0)) AS NUM_REG_DIF, GROUP_CONCAT(CASE WHEN (`0080_otstndng_prncpl_amnt` IS NULL OR CAST(`0080_otstndng_prncpl_amnt` AS STRING) = '') AND `0250_strctrd_prdct` IN ('Structured', 'Only structured coupon') THEN X.CHAVE_IT ELSE NULL END, '; ') AS DETALHE FROM (SELECT *, 0020_UNIQ_ID AS CHAVE_IT, 0080_otstndng_prncpl_amnt AS CAMPO_IT FROM BU_LOANTAPE_WORK.OUT_B0200_MAIN_LIABILITIES WHERE REF_DATE='"&amp; RefDate &amp;"')X GROUP BY 1</v>
      </c>
    </row>
    <row r="8" spans="1:12" x14ac:dyDescent="0.3">
      <c r="A8" t="s">
        <v>59</v>
      </c>
      <c r="B8" t="s">
        <v>399</v>
      </c>
      <c r="C8" s="7">
        <v>1</v>
      </c>
      <c r="D8" s="1" t="str">
        <f>+VLOOKUP(A8,Descrição!A:K,11,FALSE)</f>
        <v>Testar se o campo está a missing. O campo deve ser reportado para valores mobiliários.</v>
      </c>
      <c r="E8" t="s">
        <v>648</v>
      </c>
      <c r="F8" t="s">
        <v>11</v>
      </c>
      <c r="G8" t="s">
        <v>381</v>
      </c>
      <c r="H8" t="s">
        <v>398</v>
      </c>
      <c r="I8" s="7">
        <f t="shared" si="0"/>
        <v>0</v>
      </c>
      <c r="J8" s="8" t="str">
        <f t="shared" si="1"/>
        <v>THEN X.CHAVE_IT ELSE NULL END</v>
      </c>
      <c r="K8" s="5" t="str">
        <f t="shared" si="2"/>
        <v>UNION ALL SELECT '"&amp; RefDate &amp;"' AS REF_DATE, 'v_1_0007' AS COD_KPI, 'REGULAMENTAR' AS TIPOLOGIA_TESTE, 'Testar se o campo está a missing. O campo deve ser reportado para valores mobiliários.' AS DESCRIÇÃO, 'BU_LOANTAPE_WORK.OUT_B0200_MAIN_LIABILITIES' AS TABELA, '0090_prtn_amnt_rprtng_entty' AS CAMPO, COUNT(*) AS NUM_REG, SUM(IF((`0090_prtn_amnt_rprtng_entty` IS NULL OR CAST(`0090_prtn_amnt_rprtng_entty` AS STRING) = '') AND `0040_typ_uniq_id_knwn_cntrprty` = 'ISIN',1 ,0)) AS NUM_REG_DIF, GROUP_CONCAT(CASE WHEN (`0090_prtn_amnt_rprtng_entty` IS NULL OR CAST(`0090_prtn_amnt_rprtng_entty` AS STRING) = '') AND `0040_typ_uniq_id_knwn_cntrprty` = 'ISIN' THEN X.CHAVE_IT ELSE NULL END, '; ') AS DETALHE FROM (SELECT *, 0020_UNIQ_ID AS CHAVE_IT, 0090_prtn_amnt_rprtng_entty AS CAMPO_IT FROM BU_LOANTAPE_WORK.OUT_B0200_MAIN_LIABILITIES WHERE REF_DATE='"&amp; RefDate &amp;"')X GROUP BY 1</v>
      </c>
    </row>
    <row r="9" spans="1:12" x14ac:dyDescent="0.3">
      <c r="A9" t="s">
        <v>64</v>
      </c>
      <c r="B9" t="s">
        <v>402</v>
      </c>
      <c r="C9" s="7">
        <v>1</v>
      </c>
      <c r="D9" s="1" t="str">
        <f>+VLOOKUP(A9,Descrição!A:K,11,FALSE)</f>
        <v>Testar se o campo está a missing. Para passivos não estruturados que não sejam zero coupon bonds emitidas com desconto, este campo deve ser reportado.</v>
      </c>
      <c r="E9" t="s">
        <v>648</v>
      </c>
      <c r="F9" t="s">
        <v>11</v>
      </c>
      <c r="G9" t="s">
        <v>381</v>
      </c>
      <c r="H9" t="s">
        <v>401</v>
      </c>
      <c r="I9" s="7">
        <f t="shared" si="0"/>
        <v>0</v>
      </c>
      <c r="J9" s="8" t="str">
        <f t="shared" si="1"/>
        <v>THEN X.CHAVE_IT ELSE NULL END</v>
      </c>
      <c r="K9" s="5" t="str">
        <f t="shared" si="2"/>
        <v>UNION ALL SELECT '"&amp; RefDate &amp;"' AS REF_DATE, 'v_1_0008' AS COD_KPI, 'REGULAMENTAR' AS TIPOLOGIA_TESTE, 'Testar se o campo está a missing. Para passivos não estruturados que não sejam zero coupon bonds emitidas com desconto, este campo deve ser reportado.' AS DESCRIÇÃO, 'BU_LOANTAPE_WORK.OUT_B0200_MAIN_LIABILITIES' AS TABELA, '0100_accrd_intrst_instrmnt' AS CAMPO, COUNT(*) AS NUM_REG, SUM(IF((`0100_accrd_intrst_instrmnt` IS NULL OR CAST(`0100_accrd_intrst_instrmnt` AS STRING) = '') AND `0250_strctrd_prdct` IN ('Non-Structured', 'Other non-standard terms') AND `0240_zero_coupon` != 'ZCB issued at discount',1 ,0)) AS NUM_REG_DIF, GROUP_CONCAT(CASE WHEN (`0100_accrd_intrst_instrmnt` IS NULL OR CAST(`0100_accrd_intrst_instrmnt` AS STRING) = '') AND `0250_strctrd_prdct` IN ('Non-Structured', 'Other non-standard terms') AND `0240_zero_coupon` != 'ZCB issued at discount' THEN X.CHAVE_IT ELSE NULL END, '; ') AS DETALHE FROM (SELECT *, 0020_UNIQ_ID AS CHAVE_IT, 0100_accrd_intrst_instrmnt AS CAMPO_IT FROM BU_LOANTAPE_WORK.OUT_B0200_MAIN_LIABILITIES WHERE REF_DATE='"&amp; RefDate &amp;"')X GROUP BY 1</v>
      </c>
    </row>
    <row r="10" spans="1:12" x14ac:dyDescent="0.3">
      <c r="A10" t="s">
        <v>69</v>
      </c>
      <c r="B10" t="s">
        <v>402</v>
      </c>
      <c r="C10" s="7">
        <v>1</v>
      </c>
      <c r="D10" s="1" t="str">
        <f>+VLOOKUP(A10,Descrição!A:K,11,FALSE)</f>
        <v>Alerta: Testar se o campo está a missing. Para passivos estruturados, o campo tem de ser reportado se a informação existir.</v>
      </c>
      <c r="E10" t="s">
        <v>648</v>
      </c>
      <c r="F10" t="s">
        <v>11</v>
      </c>
      <c r="G10" t="s">
        <v>381</v>
      </c>
      <c r="H10" t="s">
        <v>403</v>
      </c>
      <c r="I10" s="7">
        <f t="shared" si="0"/>
        <v>0</v>
      </c>
      <c r="J10" s="8" t="str">
        <f t="shared" si="1"/>
        <v>THEN X.CHAVE_IT ELSE NULL END</v>
      </c>
      <c r="K10" s="5" t="str">
        <f t="shared" si="2"/>
        <v>UNION ALL SELECT '"&amp; RefDate &amp;"' AS REF_DATE, 'v_1_0009' AS COD_KPI, 'REGULAMENTAR' AS TIPOLOGIA_TESTE, 'Alerta: Testar se o campo está a missing. Para passivos estruturados, o campo tem de ser reportado se a informação existir.' AS DESCRIÇÃO, 'BU_LOANTAPE_WORK.OUT_B0200_MAIN_LIABILITIES' AS TABELA, '0100_accrd_intrst_instrmnt' AS CAMPO, COUNT(*) AS NUM_REG, SUM(IF((`0100_accrd_intrst_instrmnt` IS NULL OR CAST(`0100_accrd_intrst_instrmnt` AS STRING) = '') AND `0250_strctrd_prdct` IN ('Structured', 'Only structured coupon') ,1 ,0)) AS NUM_REG_DIF, GROUP_CONCAT(CASE WHEN (`0100_accrd_intrst_instrmnt` IS NULL OR CAST(`0100_accrd_intrst_instrmnt` AS STRING) = '') AND `0250_strctrd_prdct` IN ('Structured', 'Only structured coupon')  THEN X.CHAVE_IT ELSE NULL END, '; ') AS DETALHE FROM (SELECT *, 0020_UNIQ_ID AS CHAVE_IT, 0100_accrd_intrst_instrmnt AS CAMPO_IT FROM BU_LOANTAPE_WORK.OUT_B0200_MAIN_LIABILITIES WHERE REF_DATE='"&amp; RefDate &amp;"')X GROUP BY 1</v>
      </c>
    </row>
    <row r="11" spans="1:12" x14ac:dyDescent="0.3">
      <c r="A11" t="s">
        <v>72</v>
      </c>
      <c r="B11" t="s">
        <v>405</v>
      </c>
      <c r="C11" s="7">
        <v>1</v>
      </c>
      <c r="D11" s="1" t="str">
        <f>+VLOOKUP(A11,Descrição!A:K,11,FALSE)</f>
        <v>Testar se o campo está a missing. Para passivos não estruturados, este campo deve ser declarado.</v>
      </c>
      <c r="E11" t="s">
        <v>648</v>
      </c>
      <c r="F11" t="s">
        <v>11</v>
      </c>
      <c r="G11" t="s">
        <v>381</v>
      </c>
      <c r="H11" t="s">
        <v>404</v>
      </c>
      <c r="I11" s="7">
        <f t="shared" si="0"/>
        <v>0</v>
      </c>
      <c r="J11" s="8" t="str">
        <f t="shared" si="1"/>
        <v>THEN X.CHAVE_IT ELSE NULL END</v>
      </c>
      <c r="K11" s="5" t="str">
        <f t="shared" si="2"/>
        <v>UNION ALL SELECT '"&amp; RefDate &amp;"' AS REF_DATE, 'v_1_0010' AS COD_KPI, 'REGULAMENTAR' AS TIPOLOGIA_TESTE, 'Testar se o campo está a missing. Para passivos não estruturados, este campo deve ser declarado.' AS DESCRIÇÃO, 'BU_LOANTAPE_WORK.OUT_B0200_MAIN_LIABILITIES' AS TABELA, '0120_otstndng_amnt' AS CAMPO, COUNT(*) AS NUM_REG, SUM(IF((`0120_otstndng_amnt` IS NULL OR CAST(`0120_otstndng_amnt` AS STRING) = '') AND `0250_strctrd_prdct` IN ('Non-Structured/Vanilla', 'Other non-standard terms'),1 ,0)) AS NUM_REG_DIF, GROUP_CONCAT(CASE WHEN (`0120_otstndng_amnt` IS NULL OR CAST(`0120_otstndng_amnt` AS STRING) = '') AND `0250_strctrd_prdct` IN ('Non-Structured/Vanilla', 'Other non-standard terms') THEN X.CHAVE_IT ELSE NULL END, '; ') AS DETALHE FROM (SELECT *, 0020_UNIQ_ID AS CHAVE_IT, 0120_otstndng_amnt AS CAMPO_IT FROM BU_LOANTAPE_WORK.OUT_B0200_MAIN_LIABILITIES WHERE REF_DATE='"&amp; RefDate &amp;"')X GROUP BY 1</v>
      </c>
    </row>
    <row r="12" spans="1:12" x14ac:dyDescent="0.3">
      <c r="A12" t="s">
        <v>76</v>
      </c>
      <c r="B12" t="s">
        <v>405</v>
      </c>
      <c r="C12" s="7">
        <v>1</v>
      </c>
      <c r="D12" s="1" t="str">
        <f>+VLOOKUP(A12,Descrição!A:K,11,FALSE)</f>
        <v>Alerta: Testar se o campo está a missing. Para passivos estruturados, o campo tem de ser reportado se a informação existir.</v>
      </c>
      <c r="E12" t="s">
        <v>648</v>
      </c>
      <c r="F12" t="s">
        <v>11</v>
      </c>
      <c r="G12" t="s">
        <v>381</v>
      </c>
      <c r="H12" t="s">
        <v>406</v>
      </c>
      <c r="I12" s="7">
        <f t="shared" si="0"/>
        <v>0</v>
      </c>
      <c r="J12" s="8" t="str">
        <f t="shared" si="1"/>
        <v>THEN X.CHAVE_IT ELSE NULL END</v>
      </c>
      <c r="K12" s="5" t="str">
        <f t="shared" si="2"/>
        <v>UNION ALL SELECT '"&amp; RefDate &amp;"' AS REF_DATE, 'v_1_0011' AS COD_KPI, 'REGULAMENTAR' AS TIPOLOGIA_TESTE, 'Alerta: Testar se o campo está a missing. Para passivos estruturados, o campo tem de ser reportado se a informação existir.' AS DESCRIÇÃO, 'BU_LOANTAPE_WORK.OUT_B0200_MAIN_LIABILITIES' AS TABELA, '0120_otstndng_amnt' AS CAMPO, COUNT(*) AS NUM_REG, SUM(IF((`0120_otstndng_amnt` IS NULL OR CAST(`0120_otstndng_amnt` AS STRING) = '') AND `0250_strctrd_prdct` NOT IN ('Structured', 'Only structured coupon'),1 ,0)) AS NUM_REG_DIF, GROUP_CONCAT(CASE WHEN (`0120_otstndng_amnt` IS NULL OR CAST(`0120_otstndng_amnt` AS STRING) = '') AND `0250_strctrd_prdct` NOT IN ('Structured', 'Only structured coupon') THEN X.CHAVE_IT ELSE NULL END, '; ') AS DETALHE FROM (SELECT *, 0020_UNIQ_ID AS CHAVE_IT, 0120_otstndng_amnt AS CAMPO_IT FROM BU_LOANTAPE_WORK.OUT_B0200_MAIN_LIABILITIES WHERE REF_DATE='"&amp; RefDate &amp;"')X GROUP BY 1</v>
      </c>
    </row>
    <row r="13" spans="1:12" x14ac:dyDescent="0.3">
      <c r="A13" t="s">
        <v>77</v>
      </c>
      <c r="B13" t="s">
        <v>408</v>
      </c>
      <c r="C13" s="7">
        <v>1</v>
      </c>
      <c r="D13" s="1" t="str">
        <f>+VLOOKUP(A13,Descrição!A:K,11,FALSE)</f>
        <v>Testar se o campo está a missing. O campo tem de ser reportado.</v>
      </c>
      <c r="E13" t="s">
        <v>648</v>
      </c>
      <c r="F13" t="s">
        <v>11</v>
      </c>
      <c r="G13" t="s">
        <v>381</v>
      </c>
      <c r="H13" t="s">
        <v>407</v>
      </c>
      <c r="I13" s="7">
        <f t="shared" si="0"/>
        <v>0</v>
      </c>
      <c r="J13" s="8" t="str">
        <f t="shared" si="1"/>
        <v>THEN X.CHAVE_IT ELSE NULL END</v>
      </c>
      <c r="K13" s="5" t="str">
        <f t="shared" si="2"/>
        <v>UNION ALL SELECT '"&amp; RefDate &amp;"' AS REF_DATE, 'v_1_0012' AS COD_KPI, 'REGULAMENTAR' AS TIPOLOGIA_TESTE, 'Testar se o campo está a missing. O campo tem de ser reportado.' AS DESCRIÇÃO, 'BU_LOANTAPE_WORK.OUT_B0200_MAIN_LIABILITIES' AS TABELA, '0130_rlvnt_amnt_wdc' AS CAMPO, COUNT(*) AS NUM_REG, SUM(IF(`0130_rlvnt_amnt_wdc` IS NULL OR CAST(`0130_rlvnt_amnt_wdc` AS STRING) = '',1 ,0)) AS NUM_REG_DIF, GROUP_CONCAT(CASE WHEN `0130_rlvnt_amnt_wdc` IS NULL OR CAST(`0130_rlvnt_amnt_wdc` AS STRING) = '' THEN X.CHAVE_IT ELSE NULL END, '; ') AS DETALHE FROM (SELECT *, 0020_UNIQ_ID AS CHAVE_IT, 0130_rlvnt_amnt_wdc AS CAMPO_IT FROM BU_LOANTAPE_WORK.OUT_B0200_MAIN_LIABILITIES WHERE REF_DATE='"&amp; RefDate &amp;"')X GROUP BY 1</v>
      </c>
    </row>
    <row r="14" spans="1:12" x14ac:dyDescent="0.3">
      <c r="A14" t="s">
        <v>80</v>
      </c>
      <c r="B14" t="s">
        <v>410</v>
      </c>
      <c r="C14" s="7">
        <v>1</v>
      </c>
      <c r="D14" s="1" t="str">
        <f>+VLOOKUP(A14,Descrição!A:K,11,FALSE)</f>
        <v>Testar se o campo está a missing. O campo tem de ser reportado.</v>
      </c>
      <c r="E14" t="s">
        <v>648</v>
      </c>
      <c r="F14" t="s">
        <v>11</v>
      </c>
      <c r="G14" t="s">
        <v>381</v>
      </c>
      <c r="H14" t="s">
        <v>409</v>
      </c>
      <c r="I14" s="7">
        <f t="shared" si="0"/>
        <v>0</v>
      </c>
      <c r="J14" s="8" t="str">
        <f t="shared" si="1"/>
        <v>THEN X.CHAVE_IT ELSE NULL END</v>
      </c>
      <c r="K14" s="5" t="str">
        <f t="shared" si="2"/>
        <v>UNION ALL SELECT '"&amp; RefDate &amp;"' AS REF_DATE, 'v_1_0013' AS COD_KPI, 'REGULAMENTAR' AS TIPOLOGIA_TESTE, 'Testar se o campo está a missing. O campo tem de ser reportado.' AS DESCRIÇÃO, 'BU_LOANTAPE_WORK.OUT_B0200_MAIN_LIABILITIES' AS TABELA, '0140_ntr_lblty' AS CAMPO, COUNT(*) AS NUM_REG, SUM(IF(`0140_ntr_lblty` is null or `0140_ntr_lblty` = '',1 ,0)) AS NUM_REG_DIF, GROUP_CONCAT(CASE WHEN `0140_ntr_lblty` is null or `0140_ntr_lblty` = '' THEN X.CHAVE_IT ELSE NULL END, '; ') AS DETALHE FROM (SELECT *, 0020_UNIQ_ID AS CHAVE_IT, 0140_ntr_lblty AS CAMPO_IT FROM BU_LOANTAPE_WORK.OUT_B0200_MAIN_LIABILITIES WHERE REF_DATE='"&amp; RefDate &amp;"')X GROUP BY 1</v>
      </c>
    </row>
    <row r="15" spans="1:12" x14ac:dyDescent="0.3">
      <c r="A15" t="s">
        <v>84</v>
      </c>
      <c r="B15" t="s">
        <v>412</v>
      </c>
      <c r="C15" s="7">
        <v>1</v>
      </c>
      <c r="D15" s="1" t="str">
        <f>+VLOOKUP(A15,Descrição!A:K,11,FALSE)</f>
        <v>Testar se o campo está a missing. O campo deve ser reportado se a opção Other tiver sido selecionada em c0140.</v>
      </c>
      <c r="E15" t="s">
        <v>648</v>
      </c>
      <c r="F15" t="s">
        <v>11</v>
      </c>
      <c r="G15" t="s">
        <v>381</v>
      </c>
      <c r="H15" t="s">
        <v>411</v>
      </c>
      <c r="I15" s="7">
        <f t="shared" si="0"/>
        <v>0</v>
      </c>
      <c r="J15" s="8" t="str">
        <f t="shared" si="1"/>
        <v>THEN X.CHAVE_IT ELSE NULL END</v>
      </c>
      <c r="K15" s="5" t="str">
        <f t="shared" si="2"/>
        <v>UNION ALL SELECT '"&amp; RefDate &amp;"' AS REF_DATE, 'v_1_0014' AS COD_KPI, 'REGULAMENTAR' AS TIPOLOGIA_TESTE, 'Testar se o campo está a missing. O campo deve ser reportado se a opção Other tiver sido selecionada em c0140.' AS DESCRIÇÃO, 'BU_LOANTAPE_WORK.OUT_B0200_MAIN_LIABILITIES' AS TABELA, '0141_ntr_lblty_othr' AS CAMPO, COUNT(*) AS NUM_REG, SUM(IF((`0141_ntr_lblty_othr` is null or `0141_ntr_lblty_othr` = '') AND `0140_ntr_lblty` = 'Other',1 ,0)) AS NUM_REG_DIF, GROUP_CONCAT(CASE WHEN (`0141_ntr_lblty_othr` is null or `0141_ntr_lblty_othr` = '') AND `0140_ntr_lblty` = 'Other' THEN X.CHAVE_IT ELSE NULL END, '; ') AS DETALHE FROM (SELECT *, 0020_UNIQ_ID AS CHAVE_IT, 0141_ntr_lblty_othr AS CAMPO_IT FROM BU_LOANTAPE_WORK.OUT_B0200_MAIN_LIABILITIES WHERE REF_DATE='"&amp; RefDate &amp;"')X GROUP BY 1</v>
      </c>
    </row>
    <row r="16" spans="1:12" x14ac:dyDescent="0.3">
      <c r="A16" t="s">
        <v>89</v>
      </c>
      <c r="B16" t="s">
        <v>414</v>
      </c>
      <c r="C16" s="7">
        <v>1</v>
      </c>
      <c r="D16" s="1" t="str">
        <f>+VLOOKUP(A16,Descrição!A:K,11,FALSE)</f>
        <v>Testar se o campo está a missing. O campo tem de ser reportado.</v>
      </c>
      <c r="E16" t="s">
        <v>648</v>
      </c>
      <c r="F16" t="s">
        <v>11</v>
      </c>
      <c r="G16" t="s">
        <v>381</v>
      </c>
      <c r="H16" t="s">
        <v>413</v>
      </c>
      <c r="I16" s="7">
        <f t="shared" si="0"/>
        <v>0</v>
      </c>
      <c r="J16" s="8" t="str">
        <f t="shared" si="1"/>
        <v>THEN X.CHAVE_IT ELSE NULL END</v>
      </c>
      <c r="K16" s="5" t="str">
        <f t="shared" si="2"/>
        <v>UNION ALL SELECT '"&amp; RefDate &amp;"' AS REF_DATE, 'v_1_0015' AS COD_KPI, 'REGULAMENTAR' AS TIPOLOGIA_TESTE, 'Testar se o campo está a missing. O campo tem de ser reportado.' AS DESCRIÇÃO, 'BU_LOANTAPE_WORK.OUT_B0200_MAIN_LIABILITIES' AS TABELA, '0160_rank_insolv' AS CAMPO, COUNT(*) AS NUM_REG, SUM(IF(`0160_rank_insolv` IS NULL OR CAST(`0160_rank_insolv` AS STRING)='',1 ,0)) AS NUM_REG_DIF, GROUP_CONCAT(CASE WHEN `0160_rank_insolv` IS NULL OR CAST(`0160_rank_insolv` AS STRING)='' THEN X.CHAVE_IT ELSE NULL END, '; ') AS DETALHE FROM (SELECT *, 0020_UNIQ_ID AS CHAVE_IT, 0160_rank_insolv AS CAMPO_IT FROM BU_LOANTAPE_WORK.OUT_B0200_MAIN_LIABILITIES WHERE REF_DATE='"&amp; RefDate &amp;"')X GROUP BY 1</v>
      </c>
    </row>
    <row r="17" spans="1:11" x14ac:dyDescent="0.3">
      <c r="A17" t="s">
        <v>92</v>
      </c>
      <c r="B17" t="s">
        <v>416</v>
      </c>
      <c r="C17" s="7">
        <v>1</v>
      </c>
      <c r="D17" s="1" t="str">
        <f>+VLOOKUP(A17,Descrição!A:K,11,FALSE)</f>
        <v>Testar se o campo está a missing. O campo tem de ser reportado.</v>
      </c>
      <c r="E17" t="s">
        <v>648</v>
      </c>
      <c r="F17" t="s">
        <v>11</v>
      </c>
      <c r="G17" t="s">
        <v>381</v>
      </c>
      <c r="H17" t="s">
        <v>415</v>
      </c>
      <c r="I17" s="7">
        <f t="shared" si="0"/>
        <v>0</v>
      </c>
      <c r="J17" s="8" t="str">
        <f t="shared" si="1"/>
        <v>THEN X.CHAVE_IT ELSE NULL END</v>
      </c>
      <c r="K17" s="5" t="str">
        <f t="shared" si="2"/>
        <v>UNION ALL SELECT '"&amp; RefDate &amp;"' AS REF_DATE, 'v_1_0016' AS COD_KPI, 'REGULAMENTAR' AS TIPOLOGIA_TESTE, 'Testar se o campo está a missing. O campo tem de ser reportado.' AS DESCRIÇÃO, 'BU_LOANTAPE_WORK.OUT_B0200_MAIN_LIABILITIES' AS TABELA, '0162_bail_in_cascade' AS CAMPO, COUNT(*) AS NUM_REG, SUM(IF(`0162_bail_in_cascade` IS NULL OR CAST(`0162_bail_in_cascade` AS STRING) = '',1 ,0)) AS NUM_REG_DIF, GROUP_CONCAT(CASE WHEN `0162_bail_in_cascade` IS NULL OR CAST(`0162_bail_in_cascade` AS STRING) = '' THEN X.CHAVE_IT ELSE NULL END, '; ') AS DETALHE FROM (SELECT *, 0020_UNIQ_ID AS CHAVE_IT, 0162_bail_in_cascade AS CAMPO_IT FROM BU_LOANTAPE_WORK.OUT_B0200_MAIN_LIABILITIES WHERE REF_DATE='"&amp; RefDate &amp;"')X GROUP BY 1</v>
      </c>
    </row>
    <row r="18" spans="1:11" x14ac:dyDescent="0.3">
      <c r="A18" t="s">
        <v>96</v>
      </c>
      <c r="B18" t="s">
        <v>418</v>
      </c>
      <c r="C18" s="7">
        <v>1</v>
      </c>
      <c r="D18" s="1" t="str">
        <f>+VLOOKUP(A18,Descrição!A:K,11,FALSE)</f>
        <v>Testar se o campo está a missing. Para passivos não estruturados que não sejam zero coupon bonds emitidas com desconto, este campo deve ser reportado.</v>
      </c>
      <c r="E18" t="s">
        <v>648</v>
      </c>
      <c r="F18" t="s">
        <v>11</v>
      </c>
      <c r="G18" t="s">
        <v>381</v>
      </c>
      <c r="H18" t="s">
        <v>417</v>
      </c>
      <c r="I18" s="7">
        <f t="shared" si="0"/>
        <v>0</v>
      </c>
      <c r="J18" s="8" t="str">
        <f t="shared" si="1"/>
        <v>THEN X.CHAVE_IT ELSE NULL END</v>
      </c>
      <c r="K18" s="5" t="str">
        <f t="shared" si="2"/>
        <v>UNION ALL SELECT '"&amp; RefDate &amp;"' AS REF_DATE, 'v_1_0017' AS COD_KPI, 'REGULAMENTAR' AS TIPOLOGIA_TESTE, 'Testar se o campo está a missing. Para passivos não estruturados que não sejam zero coupon bonds emitidas com desconto, este campo deve ser reportado.' AS DESCRIÇÃO, 'BU_LOANTAPE_WORK.OUT_B0200_MAIN_LIABILITIES' AS TABELA, '0180_dt_nxt_intrst_pymnt' AS CAMPO, COUNT(*) AS NUM_REG, SUM(IF((`0180_dt_nxt_intrst_pymnt` is null or `0180_dt_nxt_intrst_pymnt` = '') AND `0250_strctrd_prdct` IN ('Non-Structured/Vanilla', 'Other non-standard terms') AND `0240_zero_coupon` != 'ZCB issued at discount',1 ,0)) AS NUM_REG_DIF, GROUP_CONCAT(CASE WHEN (`0180_dt_nxt_intrst_pymnt` is null or `0180_dt_nxt_intrst_pymnt` = '') AND `0250_strctrd_prdct` IN ('Non-Structured/Vanilla', 'Other non-standard terms') AND `0240_zero_coupon` != 'ZCB issued at discount' THEN X.CHAVE_IT ELSE NULL END, '; ') AS DETALHE FROM (SELECT *, 0020_UNIQ_ID AS CHAVE_IT, 0180_dt_nxt_intrst_pymnt AS CAMPO_IT FROM BU_LOANTAPE_WORK.OUT_B0200_MAIN_LIABILITIES WHERE REF_DATE='"&amp; RefDate &amp;"')X GROUP BY 1</v>
      </c>
    </row>
    <row r="19" spans="1:11" x14ac:dyDescent="0.3">
      <c r="A19" t="s">
        <v>102</v>
      </c>
      <c r="B19" t="s">
        <v>418</v>
      </c>
      <c r="C19" s="7">
        <v>1</v>
      </c>
      <c r="D19" s="1" t="str">
        <f>+VLOOKUP(A19,Descrição!A:K,11,FALSE)</f>
        <v>Alerta: Testar se o campo está a missing. Para passivos estruturados, este campo só deve ser reportado se a informação existir.</v>
      </c>
      <c r="E19" t="s">
        <v>648</v>
      </c>
      <c r="F19" t="s">
        <v>11</v>
      </c>
      <c r="G19" t="s">
        <v>381</v>
      </c>
      <c r="H19" t="s">
        <v>419</v>
      </c>
      <c r="I19" s="7">
        <f t="shared" si="0"/>
        <v>0</v>
      </c>
      <c r="J19" s="8" t="str">
        <f t="shared" si="1"/>
        <v>THEN X.CHAVE_IT ELSE NULL END</v>
      </c>
      <c r="K19" s="5" t="str">
        <f t="shared" si="2"/>
        <v>UNION ALL SELECT '"&amp; RefDate &amp;"' AS REF_DATE, 'v_1_0018' AS COD_KPI, 'REGULAMENTAR' AS TIPOLOGIA_TESTE, 'Alerta: Testar se o campo está a missing. Para passivos estruturados, este campo só deve ser reportado se a informação existir.' AS DESCRIÇÃO, 'BU_LOANTAPE_WORK.OUT_B0200_MAIN_LIABILITIES' AS TABELA, '0180_dt_nxt_intrst_pymnt' AS CAMPO, COUNT(*) AS NUM_REG, SUM(IF((`0180_dt_nxt_intrst_pymnt` = '' or `0180_dt_nxt_intrst_pymnt` is null) AND `0250_strctrd_prdct` NOT IN ('Structured', 'Only structured coupon'),1 ,0)) AS NUM_REG_DIF, GROUP_CONCAT(CASE WHEN (`0180_dt_nxt_intrst_pymnt` = '' or `0180_dt_nxt_intrst_pymnt` is null) AND `0250_strctrd_prdct` NOT IN ('Structured', 'Only structured coupon') THEN X.CHAVE_IT ELSE NULL END, '; ') AS DETALHE FROM (SELECT *, 0020_UNIQ_ID AS CHAVE_IT, 0180_dt_nxt_intrst_pymnt AS CAMPO_IT FROM BU_LOANTAPE_WORK.OUT_B0200_MAIN_LIABILITIES WHERE REF_DATE='"&amp; RefDate &amp;"')X GROUP BY 1</v>
      </c>
    </row>
    <row r="20" spans="1:11" x14ac:dyDescent="0.3">
      <c r="A20" t="s">
        <v>104</v>
      </c>
      <c r="B20" t="s">
        <v>421</v>
      </c>
      <c r="C20" s="7">
        <v>1</v>
      </c>
      <c r="D20" s="1" t="str">
        <f>+VLOOKUP(A20,Descrição!A:K,11,FALSE)</f>
        <v>Alerta: Testar se o campo está a missing.  Este campo precisa de ser reportado se a informação existir.</v>
      </c>
      <c r="E20" t="s">
        <v>648</v>
      </c>
      <c r="F20" t="s">
        <v>11</v>
      </c>
      <c r="G20" t="s">
        <v>381</v>
      </c>
      <c r="H20" t="s">
        <v>420</v>
      </c>
      <c r="I20" s="7">
        <f t="shared" si="0"/>
        <v>0</v>
      </c>
      <c r="J20" s="8" t="str">
        <f t="shared" si="1"/>
        <v>THEN X.CHAVE_IT ELSE NULL END</v>
      </c>
      <c r="K20" s="5" t="str">
        <f t="shared" si="2"/>
        <v>UNION ALL SELECT '"&amp; RefDate &amp;"' AS REF_DATE, 'v_1_0019' AS COD_KPI, 'REGULAMENTAR' AS TIPOLOGIA_TESTE, 'Alerta: Testar se o campo está a missing.  Este campo precisa de ser reportado se a informação existir.' AS DESCRIÇÃO, 'BU_LOANTAPE_WORK.OUT_B0200_MAIN_LIABILITIES' AS TABELA, '0200_dt_erlst_rdmptn' AS CAMPO, COUNT(*) AS NUM_REG, SUM(IF(`0200_dt_erlst_rdmptn` = '' or `0200_dt_erlst_rdmptn` is null,1 ,0)) AS NUM_REG_DIF, GROUP_CONCAT(CASE WHEN `0200_dt_erlst_rdmptn` = '' or `0200_dt_erlst_rdmptn` is null THEN X.CHAVE_IT ELSE NULL END, '; ') AS DETALHE FROM (SELECT *, 0020_UNIQ_ID AS CHAVE_IT, 0200_dt_erlst_rdmptn AS CAMPO_IT FROM BU_LOANTAPE_WORK.OUT_B0200_MAIN_LIABILITIES WHERE REF_DATE='"&amp; RefDate &amp;"')X GROUP BY 1</v>
      </c>
    </row>
    <row r="21" spans="1:11" x14ac:dyDescent="0.3">
      <c r="A21" t="s">
        <v>108</v>
      </c>
      <c r="B21" t="s">
        <v>423</v>
      </c>
      <c r="C21" s="7">
        <v>1</v>
      </c>
      <c r="D21" s="1" t="str">
        <f>+VLOOKUP(A21,Descrição!A:K,11,FALSE)</f>
        <v>Testar se o campo está a missing. Para passivos que não sejam do tipo Cash account/saving account, o campo deve ser reportado.</v>
      </c>
      <c r="E21" t="s">
        <v>648</v>
      </c>
      <c r="F21" t="s">
        <v>11</v>
      </c>
      <c r="G21" t="s">
        <v>381</v>
      </c>
      <c r="H21" t="s">
        <v>422</v>
      </c>
      <c r="I21" s="7">
        <f t="shared" si="0"/>
        <v>0</v>
      </c>
      <c r="J21" s="8" t="str">
        <f t="shared" si="1"/>
        <v>THEN X.CHAVE_IT ELSE NULL END</v>
      </c>
      <c r="K21" s="5" t="str">
        <f t="shared" si="2"/>
        <v>UNION ALL SELECT '"&amp; RefDate &amp;"' AS REF_DATE, 'v_1_0020' AS COD_KPI, 'REGULAMENTAR' AS TIPOLOGIA_TESTE, 'Testar se o campo está a missing. Para passivos que não sejam do tipo Cash account/saving account, o campo deve ser reportado.' AS DESCRIÇÃO, 'BU_LOANTAPE_WORK.OUT_B0200_MAIN_LIABILITIES' AS TABELA, '0210_dt_lgl_fnl_mtrty' AS CAMPO, COUNT(*) AS NUM_REG, SUM(IF((`0210_dt_lgl_fnl_mtrty` = '' or `0210_dt_lgl_fnl_mtrty` is null) AND `0140_ntr_lblty` != 'Cash account/saving account' ,1 ,0)) AS NUM_REG_DIF, GROUP_CONCAT(CASE WHEN (`0210_dt_lgl_fnl_mtrty` = '' or `0210_dt_lgl_fnl_mtrty` is null) AND `0140_ntr_lblty` != 'Cash account/saving account'  THEN X.CHAVE_IT ELSE NULL END, '; ') AS DETALHE FROM (SELECT *, 0020_UNIQ_ID AS CHAVE_IT, 0210_dt_lgl_fnl_mtrty AS CAMPO_IT FROM BU_LOANTAPE_WORK.OUT_B0200_MAIN_LIABILITIES WHERE REF_DATE='"&amp; RefDate &amp;"')X GROUP BY 1</v>
      </c>
    </row>
    <row r="22" spans="1:11" x14ac:dyDescent="0.3">
      <c r="A22" t="s">
        <v>113</v>
      </c>
      <c r="B22" t="s">
        <v>425</v>
      </c>
      <c r="C22" s="7">
        <v>1</v>
      </c>
      <c r="D22" s="1" t="str">
        <f>+VLOOKUP(A22,Descrição!A:K,11,FALSE)</f>
        <v>Testar se o campo está a missing. O campo tem de ser reportado.</v>
      </c>
      <c r="E22" t="s">
        <v>648</v>
      </c>
      <c r="F22" t="s">
        <v>11</v>
      </c>
      <c r="G22" t="s">
        <v>381</v>
      </c>
      <c r="H22" t="s">
        <v>424</v>
      </c>
      <c r="I22" s="7">
        <f t="shared" si="0"/>
        <v>0</v>
      </c>
      <c r="J22" s="8" t="str">
        <f t="shared" si="1"/>
        <v>THEN X.CHAVE_IT ELSE NULL END</v>
      </c>
      <c r="K22" s="5" t="str">
        <f t="shared" si="2"/>
        <v>UNION ALL SELECT '"&amp; RefDate &amp;"' AS REF_DATE, 'v_1_0021' AS COD_KPI, 'REGULAMENTAR' AS TIPOLOGIA_TESTE, 'Testar se o campo está a missing. O campo tem de ser reportado.' AS DESCRIÇÃO, 'BU_LOANTAPE_WORK.OUT_B0200_MAIN_LIABILITIES' AS TABELA, '0220_governing_law' AS CAMPO, COUNT(*) AS NUM_REG, SUM(IF(`0220_governing_law` = '' or `0220_governing_law` is null,1 ,0)) AS NUM_REG_DIF, GROUP_CONCAT(CASE WHEN `0220_governing_law` = '' or `0220_governing_law` is null THEN X.CHAVE_IT ELSE NULL END, '; ') AS DETALHE FROM (SELECT *, 0020_UNIQ_ID AS CHAVE_IT, 0220_governing_law AS CAMPO_IT FROM BU_LOANTAPE_WORK.OUT_B0200_MAIN_LIABILITIES WHERE REF_DATE='"&amp; RefDate &amp;"')X GROUP BY 1</v>
      </c>
    </row>
    <row r="23" spans="1:11" x14ac:dyDescent="0.3">
      <c r="A23" t="s">
        <v>117</v>
      </c>
      <c r="B23" t="s">
        <v>427</v>
      </c>
      <c r="C23" s="7">
        <v>1</v>
      </c>
      <c r="D23" s="1" t="str">
        <f>+VLOOKUP(A23,Descrição!A:K,11,FALSE)</f>
        <v>Testar se o campo está a missing. O campo tem de ser reportado.</v>
      </c>
      <c r="E23" t="s">
        <v>648</v>
      </c>
      <c r="F23" t="s">
        <v>11</v>
      </c>
      <c r="G23" t="s">
        <v>381</v>
      </c>
      <c r="H23" t="s">
        <v>426</v>
      </c>
      <c r="I23" s="7">
        <f t="shared" si="0"/>
        <v>0</v>
      </c>
      <c r="J23" s="8" t="str">
        <f t="shared" si="1"/>
        <v>THEN X.CHAVE_IT ELSE NULL END</v>
      </c>
      <c r="K23" s="5" t="str">
        <f t="shared" si="2"/>
        <v>UNION ALL SELECT '"&amp; RefDate &amp;"' AS REF_DATE, 'v_1_0022' AS COD_KPI, 'REGULAMENTAR' AS TIPOLOGIA_TESTE, 'Testar se o campo está a missing. O campo tem de ser reportado.' AS DESCRIÇÃO, 'BU_LOANTAPE_WORK.OUT_B0200_MAIN_LIABILITIES' AS TABELA, '0250_strctrd_prdct' AS CAMPO, COUNT(*) AS NUM_REG, SUM(IF(`0250_strctrd_prdct` = '' or `0250_strctrd_prdct` is null,1 ,0)) AS NUM_REG_DIF, GROUP_CONCAT(CASE WHEN `0250_strctrd_prdct` = '' or `0250_strctrd_prdct` is null THEN X.CHAVE_IT ELSE NULL END, '; ') AS DETALHE FROM (SELECT *, 0020_UNIQ_ID AS CHAVE_IT, 0250_strctrd_prdct AS CAMPO_IT FROM BU_LOANTAPE_WORK.OUT_B0200_MAIN_LIABILITIES WHERE REF_DATE='"&amp; RefDate &amp;"')X GROUP BY 1</v>
      </c>
    </row>
    <row r="24" spans="1:11" x14ac:dyDescent="0.3">
      <c r="A24" t="s">
        <v>120</v>
      </c>
      <c r="B24" t="s">
        <v>429</v>
      </c>
      <c r="C24" s="7">
        <v>1</v>
      </c>
      <c r="D24" s="1" t="str">
        <f>+VLOOKUP(A24,Descrição!A:K,11,FALSE)</f>
        <v>Alerta: Testar se o campo está a missing. Para passivos estruturados, este campo deve ser reportado se a informação existir.</v>
      </c>
      <c r="E24" t="s">
        <v>648</v>
      </c>
      <c r="F24" t="s">
        <v>11</v>
      </c>
      <c r="G24" t="s">
        <v>381</v>
      </c>
      <c r="H24" t="s">
        <v>428</v>
      </c>
      <c r="I24" s="7">
        <f t="shared" si="0"/>
        <v>0</v>
      </c>
      <c r="J24" s="8" t="str">
        <f t="shared" si="1"/>
        <v>THEN X.CHAVE_IT ELSE NULL END</v>
      </c>
      <c r="K24" s="5" t="str">
        <f t="shared" si="2"/>
        <v>UNION ALL SELECT '"&amp; RefDate &amp;"' AS REF_DATE, 'v_1_0023' AS COD_KPI, 'REGULAMENTAR' AS TIPOLOGIA_TESTE, 'Alerta: Testar se o campo está a missing. Para passivos estruturados, este campo deve ser reportado se a informação existir.' AS DESCRIÇÃO, 'BU_LOANTAPE_WORK.OUT_B0200_MAIN_LIABILITIES' AS TABELA, '0260_grntd_min_amnt_strctrd_prdct' AS CAMPO, COUNT(*) AS NUM_REG, SUM(IF((`0260_grntd_min_amnt_strctrd_prdct` IS NULL or cast(`0260_grntd_min_amnt_strctrd_prdct` as string) ='') AND `0250_strctrd_prdct` IN ('Structured', 'Only structured coupon'),1 ,0)) AS NUM_REG_DIF, GROUP_CONCAT(CASE WHEN (`0260_grntd_min_amnt_strctrd_prdct` IS NULL or cast(`0260_grntd_min_amnt_strctrd_prdct` as string) ='') AND `0250_strctrd_prdct` IN ('Structured', 'Only structured coupon') THEN X.CHAVE_IT ELSE NULL END, '; ') AS DETALHE FROM (SELECT *, 0020_UNIQ_ID AS CHAVE_IT, 0260_grntd_min_amnt_strctrd_prdct AS CAMPO_IT FROM BU_LOANTAPE_WORK.OUT_B0200_MAIN_LIABILITIES WHERE REF_DATE='"&amp; RefDate &amp;"')X GROUP BY 1</v>
      </c>
    </row>
    <row r="25" spans="1:11" x14ac:dyDescent="0.3">
      <c r="A25" t="s">
        <v>124</v>
      </c>
      <c r="B25" t="s">
        <v>431</v>
      </c>
      <c r="C25" s="7">
        <v>1</v>
      </c>
      <c r="D25" s="1" t="str">
        <f>+VLOOKUP(A25,Descrição!A:K,11,FALSE)</f>
        <v>Testar se o campo está a missing. O campo deve ser reportado para produtos estruturados.</v>
      </c>
      <c r="E25" t="s">
        <v>648</v>
      </c>
      <c r="F25" t="s">
        <v>11</v>
      </c>
      <c r="G25" t="s">
        <v>381</v>
      </c>
      <c r="H25" t="s">
        <v>430</v>
      </c>
      <c r="I25" s="7">
        <f t="shared" si="0"/>
        <v>0</v>
      </c>
      <c r="J25" s="8" t="str">
        <f t="shared" si="1"/>
        <v>THEN X.CHAVE_IT ELSE NULL END</v>
      </c>
      <c r="K25" s="5" t="str">
        <f t="shared" si="2"/>
        <v>UNION ALL SELECT '"&amp; RefDate &amp;"' AS REF_DATE, 'v_1_0024' AS COD_KPI, 'REGULAMENTAR' AS TIPOLOGIA_TESTE, 'Testar se o campo está a missing. O campo deve ser reportado para produtos estruturados.' AS DESCRIÇÃO, 'BU_LOANTAPE_WORK.OUT_B0200_MAIN_LIABILITIES' AS TABELA, '0270_fv_amnt_strctrd_prdct' AS CAMPO, COUNT(*) AS NUM_REG, SUM(IF((`0270_fv_amnt_strctrd_prdct` IS NULL or cast(`0270_fv_amnt_strctrd_prdct` as string) = '') AND `0250_strctrd_prdct` IN ('Structured', 'Only structured coupon'),1 ,0)) AS NUM_REG_DIF, GROUP_CONCAT(CASE WHEN (`0270_fv_amnt_strctrd_prdct` IS NULL or cast(`0270_fv_amnt_strctrd_prdct` as string) = '') AND `0250_strctrd_prdct` IN ('Structured', 'Only structured coupon') THEN X.CHAVE_IT ELSE NULL END, '; ') AS DETALHE FROM (SELECT *, 0020_UNIQ_ID AS CHAVE_IT, 0270_fv_amnt_strctrd_prdct AS CAMPO_IT FROM BU_LOANTAPE_WORK.OUT_B0200_MAIN_LIABILITIES WHERE REF_DATE='"&amp; RefDate &amp;"')X GROUP BY 1</v>
      </c>
    </row>
    <row r="26" spans="1:11" x14ac:dyDescent="0.3">
      <c r="A26" t="s">
        <v>128</v>
      </c>
      <c r="B26" t="s">
        <v>433</v>
      </c>
      <c r="C26" s="7">
        <v>1</v>
      </c>
      <c r="D26" s="1" t="str">
        <f>+VLOOKUP(A26,Descrição!A:K,11,FALSE)</f>
        <v>Testar se o campo está a missing. O campo deve ser reportado para depósitos elegíveis. Se o valor for zero, deve ser introduzido 0.</v>
      </c>
      <c r="E26" t="s">
        <v>648</v>
      </c>
      <c r="F26" t="s">
        <v>11</v>
      </c>
      <c r="G26" t="s">
        <v>381</v>
      </c>
      <c r="H26" t="s">
        <v>432</v>
      </c>
      <c r="I26" s="7">
        <f t="shared" si="0"/>
        <v>0</v>
      </c>
      <c r="J26" s="8" t="str">
        <f t="shared" si="1"/>
        <v>THEN X.CHAVE_IT ELSE NULL END</v>
      </c>
      <c r="K26" s="5" t="str">
        <f t="shared" si="2"/>
        <v>UNION ALL SELECT '"&amp; RefDate &amp;"' AS REF_DATE, 'v_1_0025' AS COD_KPI, 'REGULAMENTAR' AS TIPOLOGIA_TESTE, 'Testar se o campo está a missing. O campo deve ser reportado para depósitos elegíveis. Se o valor for zero, deve ser introduzido 0.' AS DESCRIÇÃO, 'BU_LOANTAPE_WORK.OUT_B0200_MAIN_LIABILITIES' AS TABELA, '0300_amnt_cvrd_elgbl_dpsts' AS CAMPO, COUNT(*) AS NUM_REG, SUM(IF((`0300_amnt_cvrd_elgbl_dpsts` IS NULL or cast(`0300_amnt_cvrd_elgbl_dpsts` as string) = '') AND (`0280_flg_ncnp_dpsts` = 'TRUE' or `0290_flg_ncbp_dpsts` = 'TRUE'),1 ,0)) AS NUM_REG_DIF, GROUP_CONCAT(CASE WHEN (`0300_amnt_cvrd_elgbl_dpsts` IS NULL or cast(`0300_amnt_cvrd_elgbl_dpsts` as string) = '') AND (`0280_flg_ncnp_dpsts` = 'TRUE' or `0290_flg_ncbp_dpsts` = 'TRUE') THEN X.CHAVE_IT ELSE NULL END, '; ') AS DETALHE FROM (SELECT *, 0020_UNIQ_ID AS CHAVE_IT, 0300_amnt_cvrd_elgbl_dpsts AS CAMPO_IT FROM BU_LOANTAPE_WORK.OUT_B0200_MAIN_LIABILITIES WHERE REF_DATE='"&amp; RefDate &amp;"')X GROUP BY 1</v>
      </c>
    </row>
    <row r="27" spans="1:11" x14ac:dyDescent="0.3">
      <c r="A27" t="s">
        <v>133</v>
      </c>
      <c r="B27" t="s">
        <v>435</v>
      </c>
      <c r="C27" s="7">
        <v>1</v>
      </c>
      <c r="D27" s="1" t="str">
        <f>+VLOOKUP(A27,Descrição!A:K,11,FALSE)</f>
        <v>Testar se o campo está a missing. O campo tem de ser reportado.</v>
      </c>
      <c r="E27" t="s">
        <v>648</v>
      </c>
      <c r="F27" t="s">
        <v>11</v>
      </c>
      <c r="G27" t="s">
        <v>381</v>
      </c>
      <c r="H27" t="s">
        <v>434</v>
      </c>
      <c r="I27" s="7">
        <f t="shared" si="0"/>
        <v>0</v>
      </c>
      <c r="J27" s="8" t="str">
        <f t="shared" si="1"/>
        <v>THEN X.CHAVE_IT ELSE NULL END</v>
      </c>
      <c r="K27" s="5" t="str">
        <f t="shared" si="2"/>
        <v>UNION ALL SELECT '"&amp; RefDate &amp;"' AS REF_DATE, 'v_1_0026' AS COD_KPI, 'REGULAMENTAR' AS TIPOLOGIA_TESTE, 'Testar se o campo está a missing. O campo tem de ser reportado.' AS DESCRIÇÃO, 'BU_LOANTAPE_WORK.OUT_B0200_MAIN_LIABILITIES' AS TABELA, '0310_flg_clltrl_agrmnts' AS CAMPO, COUNT(*) AS NUM_REG, SUM(IF((`0310_flg_clltrl_agrmnts` = '' or cast(`0310_flg_clltrl_agrmnts` as string) = ''),1 ,0)) AS NUM_REG_DIF, GROUP_CONCAT(CASE WHEN (`0310_flg_clltrl_agrmnts` = '' or cast(`0310_flg_clltrl_agrmnts` as string) = '') THEN X.CHAVE_IT ELSE NULL END, '; ') AS DETALHE FROM (SELECT *, 0020_UNIQ_ID AS CHAVE_IT, 0310_flg_clltrl_agrmnts AS CAMPO_IT FROM BU_LOANTAPE_WORK.OUT_B0200_MAIN_LIABILITIES WHERE REF_DATE='"&amp; RefDate &amp;"')X GROUP BY 1</v>
      </c>
    </row>
    <row r="28" spans="1:11" x14ac:dyDescent="0.3">
      <c r="A28" t="s">
        <v>136</v>
      </c>
      <c r="B28" t="s">
        <v>437</v>
      </c>
      <c r="C28" s="7">
        <v>1</v>
      </c>
      <c r="D28" s="1" t="str">
        <f>+VLOOKUP(A28,Descrição!A:K,11,FALSE)</f>
        <v>Testar se o campo está a missing. O campo deve ser reportado para produtos protegidos. Se o valor for zero, deve ser introduzido 0.</v>
      </c>
      <c r="E28" t="s">
        <v>648</v>
      </c>
      <c r="F28" t="s">
        <v>11</v>
      </c>
      <c r="G28" t="s">
        <v>381</v>
      </c>
      <c r="H28" t="s">
        <v>436</v>
      </c>
      <c r="I28" s="7">
        <f t="shared" si="0"/>
        <v>0</v>
      </c>
      <c r="J28" s="8" t="str">
        <f t="shared" si="1"/>
        <v>THEN X.CHAVE_IT ELSE NULL END</v>
      </c>
      <c r="K28" s="5" t="str">
        <f t="shared" si="2"/>
        <v>UNION ALL SELECT '"&amp; RefDate &amp;"' AS REF_DATE, 'v_1_0027' AS COD_KPI, 'REGULAMENTAR' AS TIPOLOGIA_TESTE, 'Testar se o campo está a missing. O campo deve ser reportado para produtos protegidos. Se o valor for zero, deve ser introduzido 0.' AS DESCRIÇÃO, 'BU_LOANTAPE_WORK.OUT_B0200_MAIN_LIABILITIES' AS TABELA, '0320_amnt_clltrl' AS CAMPO, COUNT(*) AS NUM_REG, SUM(IF((`0320_amnt_clltrl` IS NULL or cast(`0320_amnt_clltrl` as string) ='') AND `0310_flg_clltrl_agrmnts` = 'Secured' ,1 ,0)) AS NUM_REG_DIF, GROUP_CONCAT(CASE WHEN (`0320_amnt_clltrl` IS NULL or cast(`0320_amnt_clltrl` as string) ='') AND `0310_flg_clltrl_agrmnts` = 'Secured'  THEN X.CHAVE_IT ELSE NULL END, '; ') AS DETALHE FROM (SELECT *, 0020_UNIQ_ID AS CHAVE_IT, 0320_amnt_clltrl AS CAMPO_IT FROM BU_LOANTAPE_WORK.OUT_B0200_MAIN_LIABILITIES WHERE REF_DATE='"&amp; RefDate &amp;"')X GROUP BY 1</v>
      </c>
    </row>
    <row r="29" spans="1:11" x14ac:dyDescent="0.3">
      <c r="A29" t="s">
        <v>141</v>
      </c>
      <c r="B29" t="s">
        <v>439</v>
      </c>
      <c r="C29" s="7">
        <v>1</v>
      </c>
      <c r="D29" s="1" t="str">
        <f>+VLOOKUP(A29,Descrição!A:K,11,FALSE)</f>
        <v>Testar se o campo está a missing. O campo deve ser reportado para produtos protegidos.</v>
      </c>
      <c r="E29" t="s">
        <v>648</v>
      </c>
      <c r="F29" t="s">
        <v>11</v>
      </c>
      <c r="G29" t="s">
        <v>381</v>
      </c>
      <c r="H29" t="s">
        <v>438</v>
      </c>
      <c r="I29" s="7">
        <f t="shared" si="0"/>
        <v>0</v>
      </c>
      <c r="J29" s="8" t="str">
        <f t="shared" si="1"/>
        <v>THEN X.CHAVE_IT ELSE NULL END</v>
      </c>
      <c r="K29" s="5" t="str">
        <f t="shared" si="2"/>
        <v>UNION ALL SELECT '"&amp; RefDate &amp;"' AS REF_DATE, 'v_1_0028' AS COD_KPI, 'REGULAMENTAR' AS TIPOLOGIA_TESTE, 'Testar se o campo está a missing. O campo deve ser reportado para produtos protegidos.' AS DESCRIÇÃO, 'BU_LOANTAPE_WORK.OUT_B0200_MAIN_LIABILITIES' AS TABELA, '0330_amnt_unclltrlzd' AS CAMPO, COUNT(*) AS NUM_REG, SUM(IF((`0330_amnt_unclltrlzd` IS NULL or cast(`0330_amnt_unclltrlzd` as string)='') AND `0310_flg_clltrl_agrmnts` = 'Secured',1 ,0)) AS NUM_REG_DIF, GROUP_CONCAT(CASE WHEN (`0330_amnt_unclltrlzd` IS NULL or cast(`0330_amnt_unclltrlzd` as string)='') AND `0310_flg_clltrl_agrmnts` = 'Secured' THEN X.CHAVE_IT ELSE NULL END, '; ') AS DETALHE FROM (SELECT *, 0020_UNIQ_ID AS CHAVE_IT, 0330_amnt_unclltrlzd AS CAMPO_IT FROM BU_LOANTAPE_WORK.OUT_B0200_MAIN_LIABILITIES WHERE REF_DATE='"&amp; RefDate &amp;"')X GROUP BY 1</v>
      </c>
    </row>
    <row r="30" spans="1:11" x14ac:dyDescent="0.3">
      <c r="A30" t="s">
        <v>145</v>
      </c>
      <c r="B30" t="s">
        <v>441</v>
      </c>
      <c r="C30" s="7">
        <v>1</v>
      </c>
      <c r="D30" s="1" t="str">
        <f>+VLOOKUP(A30,Descrição!A:K,11,FALSE)</f>
        <v>Testar se o campo está a missing. O campo deve ser reportado para produtos protegidos.</v>
      </c>
      <c r="E30" t="s">
        <v>648</v>
      </c>
      <c r="F30" t="s">
        <v>11</v>
      </c>
      <c r="G30" t="s">
        <v>381</v>
      </c>
      <c r="H30" t="s">
        <v>440</v>
      </c>
      <c r="I30" s="7">
        <f t="shared" si="0"/>
        <v>0</v>
      </c>
      <c r="J30" s="8" t="str">
        <f t="shared" si="1"/>
        <v>THEN X.CHAVE_IT ELSE NULL END</v>
      </c>
      <c r="K30" s="5" t="str">
        <f t="shared" si="2"/>
        <v>UNION ALL SELECT '"&amp; RefDate &amp;"' AS REF_DATE, 'v_1_0029' AS COD_KPI, 'REGULAMENTAR' AS TIPOLOGIA_TESTE, 'Testar se o campo está a missing. O campo deve ser reportado para produtos protegidos.' AS DESCRIÇÃO, 'BU_LOANTAPE_WORK.OUT_B0200_MAIN_LIABILITIES' AS TABELA, '0350_typ_clltrl' AS CAMPO, COUNT(*) AS NUM_REG, SUM(IF((`0350_typ_clltrl` = '' or cast(`0350_typ_clltrl` as string)='') AND `0310_flg_clltrl_agrmnts` = 'Secured',1 ,0)) AS NUM_REG_DIF, GROUP_CONCAT(CASE WHEN (`0350_typ_clltrl` = '' or cast(`0350_typ_clltrl` as string)='') AND `0310_flg_clltrl_agrmnts` = 'Secured' THEN X.CHAVE_IT ELSE NULL END, '; ') AS DETALHE FROM (SELECT *, 0020_UNIQ_ID AS CHAVE_IT, 0350_typ_clltrl AS CAMPO_IT FROM BU_LOANTAPE_WORK.OUT_B0200_MAIN_LIABILITIES WHERE REF_DATE='"&amp; RefDate &amp;"')X GROUP BY 1</v>
      </c>
    </row>
    <row r="31" spans="1:11" x14ac:dyDescent="0.3">
      <c r="A31" t="s">
        <v>148</v>
      </c>
      <c r="B31" t="s">
        <v>443</v>
      </c>
      <c r="C31" s="7">
        <v>1</v>
      </c>
      <c r="D31" s="1" t="str">
        <f>+VLOOKUP(A31,Descrição!A:K,11,FALSE)</f>
        <v>Valor em falta (aviso). O campo deve ser reportado se c0350 = Other.</v>
      </c>
      <c r="E31" t="s">
        <v>648</v>
      </c>
      <c r="F31" t="s">
        <v>11</v>
      </c>
      <c r="G31" t="s">
        <v>381</v>
      </c>
      <c r="H31" t="s">
        <v>442</v>
      </c>
      <c r="I31" s="7">
        <f t="shared" si="0"/>
        <v>0</v>
      </c>
      <c r="J31" s="8" t="str">
        <f t="shared" si="1"/>
        <v>THEN X.CHAVE_IT ELSE NULL END</v>
      </c>
      <c r="K31" s="5" t="str">
        <f t="shared" si="2"/>
        <v>UNION ALL SELECT '"&amp; RefDate &amp;"' AS REF_DATE, 'v_1_0030' AS COD_KPI, 'REGULAMENTAR' AS TIPOLOGIA_TESTE, 'Valor em falta (aviso). O campo deve ser reportado se c0350 = Other.' AS DESCRIÇÃO, 'BU_LOANTAPE_WORK.OUT_B0200_MAIN_LIABILITIES' AS TABELA, '0351_typ_clltrl_othr' AS CAMPO, COUNT(*) AS NUM_REG, SUM(IF((`0351_typ_clltrl_othr` = '' or cast(`0351_typ_clltrl_othr` as string)='') AND `0350_typ_clltrl` = 'Other',1 ,0)) AS NUM_REG_DIF, GROUP_CONCAT(CASE WHEN (`0351_typ_clltrl_othr` = '' or cast(`0351_typ_clltrl_othr` as string)='') AND `0350_typ_clltrl` = 'Other' THEN X.CHAVE_IT ELSE NULL END, '; ') AS DETALHE FROM (SELECT *, 0020_UNIQ_ID AS CHAVE_IT, 0351_typ_clltrl_othr AS CAMPO_IT FROM BU_LOANTAPE_WORK.OUT_B0200_MAIN_LIABILITIES WHERE REF_DATE='"&amp; RefDate &amp;"')X GROUP BY 1</v>
      </c>
    </row>
    <row r="32" spans="1:11" x14ac:dyDescent="0.3">
      <c r="A32" t="s">
        <v>153</v>
      </c>
      <c r="B32" t="s">
        <v>445</v>
      </c>
      <c r="C32" s="7">
        <v>1</v>
      </c>
      <c r="D32" s="1" t="str">
        <f>+VLOOKUP(A32,Descrição!A:K,11,FALSE)</f>
        <v>Testar se o campo está a missing. O campo deve ser reportado para valores mobiliários com método de negociação = Nominal.</v>
      </c>
      <c r="E32" t="s">
        <v>648</v>
      </c>
      <c r="F32" t="s">
        <v>11</v>
      </c>
      <c r="G32" t="s">
        <v>381</v>
      </c>
      <c r="H32" t="s">
        <v>444</v>
      </c>
      <c r="I32" s="7">
        <f t="shared" si="0"/>
        <v>0</v>
      </c>
      <c r="J32" s="8" t="str">
        <f t="shared" si="1"/>
        <v>THEN X.CHAVE_IT ELSE NULL END</v>
      </c>
      <c r="K32" s="5" t="str">
        <f t="shared" si="2"/>
        <v>UNION ALL SELECT '"&amp; RefDate &amp;"' AS REF_DATE, 'v_1_0031' AS COD_KPI, 'REGULAMENTAR' AS TIPOLOGIA_TESTE, 'Testar se o campo está a missing. O campo deve ser reportado para valores mobiliários com método de negociação = Nominal.' AS DESCRIÇÃO, 'BU_LOANTAPE_WORK.OUT_B0200_MAIN_LIABILITIES' AS TABELA, '0370_amnt_scrty_eur' AS CAMPO, COUNT(*) AS NUM_REG, SUM(IF((`0370_amnt_scrty_eur` IS NULL or cast(`0370_amnt_scrty_eur` as string) ='') AND `0040_typ_uniq_id_knwn_cntrprty` = 'ISIN' AND `0360_trdng_mthd` = 'Nominal',1 ,0)) AS NUM_REG_DIF, GROUP_CONCAT(CASE WHEN (`0370_amnt_scrty_eur` IS NULL or cast(`0370_amnt_scrty_eur` as string) ='') AND `0040_typ_uniq_id_knwn_cntrprty` = 'ISIN' AND `0360_trdng_mthd` = 'Nominal' THEN X.CHAVE_IT ELSE NULL END, '; ') AS DETALHE FROM (SELECT *, 0020_UNIQ_ID AS CHAVE_IT, 0370_amnt_scrty_eur AS CAMPO_IT FROM BU_LOANTAPE_WORK.OUT_B0200_MAIN_LIABILITIES WHERE REF_DATE='"&amp; RefDate &amp;"')X GROUP BY 1</v>
      </c>
    </row>
    <row r="33" spans="1:11" x14ac:dyDescent="0.3">
      <c r="A33" t="s">
        <v>158</v>
      </c>
      <c r="B33" t="s">
        <v>445</v>
      </c>
      <c r="C33" s="7">
        <v>1</v>
      </c>
      <c r="D33" s="1" t="str">
        <f>+VLOOKUP(A33,Descrição!A:K,11,FALSE)</f>
        <v>Alerta: Testar se o campo está a missing. O campo deve ser reportado para securities com método de negociação = Unit se a informação existir.</v>
      </c>
      <c r="E33" t="s">
        <v>648</v>
      </c>
      <c r="F33" t="s">
        <v>11</v>
      </c>
      <c r="G33" t="s">
        <v>381</v>
      </c>
      <c r="H33" t="s">
        <v>446</v>
      </c>
      <c r="I33" s="7">
        <f t="shared" si="0"/>
        <v>0</v>
      </c>
      <c r="J33" s="8" t="str">
        <f t="shared" si="1"/>
        <v>THEN X.CHAVE_IT ELSE NULL END</v>
      </c>
      <c r="K33" s="5" t="str">
        <f t="shared" si="2"/>
        <v>UNION ALL SELECT '"&amp; RefDate &amp;"' AS REF_DATE, 'v_1_0032' AS COD_KPI, 'REGULAMENTAR' AS TIPOLOGIA_TESTE, 'Alerta: Testar se o campo está a missing. O campo deve ser reportado para securities com método de negociação = Unit se a informação existir.' AS DESCRIÇÃO, 'BU_LOANTAPE_WORK.OUT_B0200_MAIN_LIABILITIES' AS TABELA, '0370_amnt_scrty_eur' AS CAMPO, COUNT(*) AS NUM_REG, SUM(IF((`0370_amnt_scrty_eur` IS NULL or cast(`0370_amnt_scrty_eur` as string) ='') AND `0040_typ_uniq_id_knwn_cntrprty` = 'ISIN' AND `0360_trdng_mthd` = 'Unit',1 ,0)) AS NUM_REG_DIF, GROUP_CONCAT(CASE WHEN (`0370_amnt_scrty_eur` IS NULL or cast(`0370_amnt_scrty_eur` as string) ='') AND `0040_typ_uniq_id_knwn_cntrprty` = 'ISIN' AND `0360_trdng_mthd` = 'Unit' THEN X.CHAVE_IT ELSE NULL END, '; ') AS DETALHE FROM (SELECT *, 0020_UNIQ_ID AS CHAVE_IT, 0370_amnt_scrty_eur AS CAMPO_IT FROM BU_LOANTAPE_WORK.OUT_B0200_MAIN_LIABILITIES WHERE REF_DATE='"&amp; RefDate &amp;"')X GROUP BY 1</v>
      </c>
    </row>
    <row r="34" spans="1:11" x14ac:dyDescent="0.3">
      <c r="A34" t="s">
        <v>161</v>
      </c>
      <c r="B34" t="s">
        <v>448</v>
      </c>
      <c r="C34" s="7">
        <v>1</v>
      </c>
      <c r="D34" s="1" t="str">
        <f>+VLOOKUP(A34,Descrição!A:K,11,FALSE)</f>
        <v>Testar se o campo está a missing. O campo deve ser reportado quando c0040 = ISIN. Se o valor for zero, deve ser introduzido 0.</v>
      </c>
      <c r="E34" t="s">
        <v>648</v>
      </c>
      <c r="F34" t="s">
        <v>11</v>
      </c>
      <c r="G34" t="s">
        <v>381</v>
      </c>
      <c r="H34" t="s">
        <v>447</v>
      </c>
      <c r="I34" s="7">
        <f t="shared" ref="I34:I65" si="3">+IF(C34=1,0,1)</f>
        <v>0</v>
      </c>
      <c r="J34" s="8" t="str">
        <f t="shared" ref="J34:J65" si="4">+IF(C34=0,"THEN NULL ELSE X.CHAVE_IT END","THEN X.CHAVE_IT ELSE NULL END")</f>
        <v>THEN X.CHAVE_IT ELSE NULL END</v>
      </c>
      <c r="K34" s="5" t="str">
        <f t="shared" si="2"/>
        <v>UNION ALL SELECT '"&amp; RefDate &amp;"' AS REF_DATE, 'v_1_0033' AS COD_KPI, 'REGULAMENTAR' AS TIPOLOGIA_TESTE, 'Testar se o campo está a missing. O campo deve ser reportado quando c0040 = ISIN. Se o valor for zero, deve ser introduzido 0.' AS DESCRIÇÃO, 'BU_LOANTAPE_WORK.OUT_B0200_MAIN_LIABILITIES' AS TABELA, '0390_nmbr_scrts_not_rprtng_entty' AS CAMPO, COUNT(*) AS NUM_REG, SUM(IF((`0390_nmbr_scrts_not_rprtng_entty` IS NULL or cast(`0390_nmbr_scrts_not_rprtng_entty` as string) = '') AND `0040_typ_uniq_id_knwn_cntrprty` = 'ISIN',1 ,0)) AS NUM_REG_DIF, GROUP_CONCAT(CASE WHEN (`0390_nmbr_scrts_not_rprtng_entty` IS NULL or cast(`0390_nmbr_scrts_not_rprtng_entty` as string) = '') AND `0040_typ_uniq_id_knwn_cntrprty` = 'ISIN' THEN X.CHAVE_IT ELSE NULL END, '; ') AS DETALHE FROM (SELECT *, 0020_UNIQ_ID AS CHAVE_IT, 0390_nmbr_scrts_not_rprtng_entty AS CAMPO_IT FROM BU_LOANTAPE_WORK.OUT_B0200_MAIN_LIABILITIES WHERE REF_DATE='"&amp; RefDate &amp;"')X GROUP BY 1</v>
      </c>
    </row>
    <row r="35" spans="1:11" x14ac:dyDescent="0.3">
      <c r="A35" t="s">
        <v>166</v>
      </c>
      <c r="B35" t="s">
        <v>450</v>
      </c>
      <c r="C35" s="7">
        <v>1</v>
      </c>
      <c r="D35" s="1" t="str">
        <f>+VLOOKUP(A35,Descrição!A:K,11,FALSE)</f>
        <v>Testar se o campo está a missing. O campo deve ser reportado para valores mobiliários. Se o valor for zero, deve ser introduzido 0.</v>
      </c>
      <c r="E35" t="s">
        <v>648</v>
      </c>
      <c r="F35" t="s">
        <v>11</v>
      </c>
      <c r="G35" t="s">
        <v>381</v>
      </c>
      <c r="H35" t="s">
        <v>449</v>
      </c>
      <c r="I35" s="7">
        <f t="shared" si="3"/>
        <v>0</v>
      </c>
      <c r="J35" s="8" t="str">
        <f t="shared" si="4"/>
        <v>THEN X.CHAVE_IT ELSE NULL END</v>
      </c>
      <c r="K35" s="5" t="str">
        <f t="shared" si="2"/>
        <v>UNION ALL SELECT '"&amp; RefDate &amp;"' AS REF_DATE, 'v_1_0034' AS COD_KPI, 'REGULAMENTAR' AS TIPOLOGIA_TESTE, 'Testar se o campo está a missing. O campo deve ser reportado para valores mobiliários. Se o valor for zero, deve ser introduzido 0.' AS DESCRIÇÃO, 'BU_LOANTAPE_WORK.OUT_B0200_MAIN_LIABILITIES' AS TABELA, '0391_nmbr_scrts_rprtng_entty' AS CAMPO, COUNT(*) AS NUM_REG, SUM(IF((`0391_nmbr_scrts_rprtng_entty` IS NULL or cast(`0391_nmbr_scrts_rprtng_entty` as string)='') AND `0040_typ_uniq_id_knwn_cntrprty` = 'ISIN',1 ,0)) AS NUM_REG_DIF, GROUP_CONCAT(CASE WHEN (`0391_nmbr_scrts_rprtng_entty` IS NULL or cast(`0391_nmbr_scrts_rprtng_entty` as string)='') AND `0040_typ_uniq_id_knwn_cntrprty` = 'ISIN' THEN X.CHAVE_IT ELSE NULL END, '; ') AS DETALHE FROM (SELECT *, 0020_UNIQ_ID AS CHAVE_IT, 0391_nmbr_scrts_rprtng_entty AS CAMPO_IT FROM BU_LOANTAPE_WORK.OUT_B0200_MAIN_LIABILITIES WHERE REF_DATE='"&amp; RefDate &amp;"')X GROUP BY 1</v>
      </c>
    </row>
    <row r="36" spans="1:11" x14ac:dyDescent="0.3">
      <c r="A36" t="s">
        <v>170</v>
      </c>
      <c r="B36" t="s">
        <v>452</v>
      </c>
      <c r="C36" s="7">
        <v>1</v>
      </c>
      <c r="D36" s="1" t="str">
        <f>+VLOOKUP(A36,Descrição!A:K,11,FALSE)</f>
        <v>Testar se o campo está a missing. O campo deve ser reportado para títulos não estruturados que não sejam zero coupon bonds emitidas com desconto.</v>
      </c>
      <c r="E36" t="s">
        <v>648</v>
      </c>
      <c r="F36" t="s">
        <v>11</v>
      </c>
      <c r="G36" t="s">
        <v>381</v>
      </c>
      <c r="H36" t="s">
        <v>451</v>
      </c>
      <c r="I36" s="7">
        <f t="shared" si="3"/>
        <v>0</v>
      </c>
      <c r="J36" s="8" t="str">
        <f t="shared" si="4"/>
        <v>THEN X.CHAVE_IT ELSE NULL END</v>
      </c>
      <c r="K36" s="5" t="str">
        <f t="shared" si="2"/>
        <v>UNION ALL SELECT '"&amp; RefDate &amp;"' AS REF_DATE, 'v_1_0035' AS COD_KPI, 'REGULAMENTAR' AS TIPOLOGIA_TESTE, 'Testar se o campo está a missing. O campo deve ser reportado para títulos não estruturados que não sejam zero coupon bonds emitidas com desconto.' AS DESCRIÇÃO, 'BU_LOANTAPE_WORK.OUT_B0200_MAIN_LIABILITIES' AS TABELA, '0400_accrd_intrst_scrty' AS CAMPO, COUNT(*) AS NUM_REG, SUM(IF((`0400_accrd_intrst_scrty` IS NULL or cast(`0400_accrd_intrst_scrty` as string)='') AND `0040_typ_uniq_id_knwn_cntrprty` = 'ISIN' AND `0250_strctrd_prdct` IN ('Non-Structured/Vanilla', 'Other non-standard terms') AND `0240_zero_coupon` != 'ZCB issued at discount',1 ,0)) AS NUM_REG_DIF, GROUP_CONCAT(CASE WHEN (`0400_accrd_intrst_scrty` IS NULL or cast(`0400_accrd_intrst_scrty` as string)='') AND `0040_typ_uniq_id_knwn_cntrprty` = 'ISIN' AND `0250_strctrd_prdct` IN ('Non-Structured/Vanilla', 'Other non-standard terms') AND `0240_zero_coupon` != 'ZCB issued at discount' THEN X.CHAVE_IT ELSE NULL END, '; ') AS DETALHE FROM (SELECT *, 0020_UNIQ_ID AS CHAVE_IT, 0400_accrd_intrst_scrty AS CAMPO_IT FROM BU_LOANTAPE_WORK.OUT_B0200_MAIN_LIABILITIES WHERE REF_DATE='"&amp; RefDate &amp;"')X GROUP BY 1</v>
      </c>
    </row>
    <row r="37" spans="1:11" x14ac:dyDescent="0.3">
      <c r="A37" t="s">
        <v>176</v>
      </c>
      <c r="B37" t="s">
        <v>452</v>
      </c>
      <c r="C37" s="7">
        <v>1</v>
      </c>
      <c r="D37" s="1" t="str">
        <f>+VLOOKUP(A37,Descrição!A:K,11,FALSE)</f>
        <v>Alerta: Testar se o campo está a missing. Este campo deve ser reportado para securities estruturados se a informação existir.</v>
      </c>
      <c r="E37" t="s">
        <v>648</v>
      </c>
      <c r="F37" t="s">
        <v>11</v>
      </c>
      <c r="G37" t="s">
        <v>381</v>
      </c>
      <c r="H37" t="s">
        <v>453</v>
      </c>
      <c r="I37" s="7">
        <f t="shared" si="3"/>
        <v>0</v>
      </c>
      <c r="J37" s="8" t="str">
        <f t="shared" si="4"/>
        <v>THEN X.CHAVE_IT ELSE NULL END</v>
      </c>
      <c r="K37" s="5" t="str">
        <f t="shared" si="2"/>
        <v>UNION ALL SELECT '"&amp; RefDate &amp;"' AS REF_DATE, 'v_1_0036' AS COD_KPI, 'REGULAMENTAR' AS TIPOLOGIA_TESTE, 'Alerta: Testar se o campo está a missing. Este campo deve ser reportado para securities estruturados se a informação existir.' AS DESCRIÇÃO, 'BU_LOANTAPE_WORK.OUT_B0200_MAIN_LIABILITIES' AS TABELA, '0400_accrd_intrst_scrty' AS CAMPO, COUNT(*) AS NUM_REG, SUM(IF((`0400_accrd_intrst_scrty` IS NULL or cast(`0400_accrd_intrst_scrty` as string)='') AND `0040_typ_uniq_id_knwn_cntrprty` = 'ISIN' AND `0250_strctrd_prdct` NOT IN ('Structured', 'Only structured coupon'),1 ,0)) AS NUM_REG_DIF, GROUP_CONCAT(CASE WHEN (`0400_accrd_intrst_scrty` IS NULL or cast(`0400_accrd_intrst_scrty` as string)='') AND `0040_typ_uniq_id_knwn_cntrprty` = 'ISIN' AND `0250_strctrd_prdct` NOT IN ('Structured', 'Only structured coupon') THEN X.CHAVE_IT ELSE NULL END, '; ') AS DETALHE FROM (SELECT *, 0020_UNIQ_ID AS CHAVE_IT, 0400_accrd_intrst_scrty AS CAMPO_IT FROM BU_LOANTAPE_WORK.OUT_B0200_MAIN_LIABILITIES WHERE REF_DATE='"&amp; RefDate &amp;"')X GROUP BY 1</v>
      </c>
    </row>
    <row r="38" spans="1:11" x14ac:dyDescent="0.3">
      <c r="A38" t="s">
        <v>179</v>
      </c>
      <c r="B38" t="s">
        <v>455</v>
      </c>
      <c r="C38" s="7">
        <v>1</v>
      </c>
      <c r="D38" s="1" t="str">
        <f>+VLOOKUP(A38,Descrição!A:K,11,FALSE)</f>
        <v>Alerta: Testar se o campo está a missing. O campo deve ser reportado se a informação existir, ou seja, se a entidade reportar em IFRS.</v>
      </c>
      <c r="E38" t="s">
        <v>648</v>
      </c>
      <c r="F38" t="s">
        <v>11</v>
      </c>
      <c r="G38" t="s">
        <v>381</v>
      </c>
      <c r="H38" t="s">
        <v>454</v>
      </c>
      <c r="I38" s="7">
        <f t="shared" si="3"/>
        <v>0</v>
      </c>
      <c r="J38" s="8" t="str">
        <f t="shared" si="4"/>
        <v>THEN X.CHAVE_IT ELSE NULL END</v>
      </c>
      <c r="K38" s="5" t="str">
        <f t="shared" si="2"/>
        <v>UNION ALL SELECT '"&amp; RefDate &amp;"' AS REF_DATE, 'v_1_0037' AS COD_KPI, 'REGULAMENTAR' AS TIPOLOGIA_TESTE, 'Alerta: Testar se o campo está a missing. O campo deve ser reportado se a informação existir, ou seja, se a entidade reportar em IFRS.' AS DESCRIÇÃO, 'BU_LOANTAPE_WORK.OUT_B0200_MAIN_LIABILITIES' AS TABELA, '0610_crryng_amnt_ifrs' AS CAMPO, COUNT(*) AS NUM_REG, SUM(IF((`0610_crryng_amnt_ifrs` IS NULL or cast(`0610_crryng_amnt_ifrs` as string)=''),1 ,0)) AS NUM_REG_DIF, GROUP_CONCAT(CASE WHEN (`0610_crryng_amnt_ifrs` IS NULL or cast(`0610_crryng_amnt_ifrs` as string)='') THEN X.CHAVE_IT ELSE NULL END, '; ') AS DETALHE FROM (SELECT *, 0020_UNIQ_ID AS CHAVE_IT, 0610_crryng_amnt_ifrs AS CAMPO_IT FROM BU_LOANTAPE_WORK.OUT_B0200_MAIN_LIABILITIES WHERE REF_DATE='"&amp; RefDate &amp;"')X GROUP BY 1</v>
      </c>
    </row>
    <row r="39" spans="1:11" x14ac:dyDescent="0.3">
      <c r="A39" s="11" t="s">
        <v>183</v>
      </c>
      <c r="B39" s="11" t="s">
        <v>457</v>
      </c>
      <c r="C39" s="12">
        <v>1</v>
      </c>
      <c r="D39" s="13" t="str">
        <f>+VLOOKUP(A39,Descrição!A:K,11,FALSE)</f>
        <v>Testar se o campo está a missing. O campo deve ser reportado para Non-Resolution Entities.</v>
      </c>
      <c r="E39" s="11" t="s">
        <v>648</v>
      </c>
      <c r="F39" s="11" t="s">
        <v>11</v>
      </c>
      <c r="G39" s="11" t="s">
        <v>381</v>
      </c>
      <c r="H39" s="11" t="s">
        <v>456</v>
      </c>
      <c r="I39" s="12">
        <f t="shared" si="3"/>
        <v>0</v>
      </c>
      <c r="J39" s="14" t="str">
        <f t="shared" si="4"/>
        <v>THEN X.CHAVE_IT ELSE NULL END</v>
      </c>
      <c r="K39" s="11" t="str">
        <f>"--UNION ALL SELECT '"&amp;E39&amp;"' AS REF_DATE, '"&amp;A39&amp;"' AS COD_KPI, '"&amp;F39&amp;"' AS TIPOLOGIA_TESTE, '"&amp;D39&amp;"' AS DESCRIÇÃO, '"&amp;G39&amp;"' AS TABELA, '"&amp;B39&amp;"' AS CAMPO, COUNT(*) AS NUM_REG, SUM(IF("&amp;H39&amp;","&amp;C39&amp;" ,"&amp;I39&amp;")) AS NUM_REG_DIF, GROUP_CONCAT(CASE WHEN "&amp;H39&amp;" "&amp;J39&amp;", '; ') AS DETALHE FROM (SELECT *, 0020_UNIQ_ID AS CHAVE_IT, "&amp;B39&amp;" AS CAMPO_IT FROM "&amp;G39&amp;" WHERE REF_DATE='"&amp;E39&amp;"')X GROUP BY 1"</f>
        <v>--UNION ALL SELECT '"&amp; RefDate &amp;"' AS REF_DATE, 'v_1_0038' AS COD_KPI, 'REGULAMENTAR' AS TIPOLOGIA_TESTE, 'Testar se o campo está a missing. O campo deve ser reportado para Non-Resolution Entities.' AS DESCRIÇÃO, 'BU_LOANTAPE_WORK.OUT_B0200_MAIN_LIABILITIES' AS TABELA, '5000_flg_shrhldr_not_rsltn_grp' AS CAMPO, COUNT(*) AS NUM_REG, SUM(IF((`5000_flg_shrhldr_not_rsltn_grp` IS MISSING or cast(`5000_flg_shrhldr_not_rsltn_grp` as string) = '') AND B99.`0060_orgnl_amnt_fx` = 'Non-Resolution Entity',1 ,0)) AS NUM_REG_DIF, GROUP_CONCAT(CASE WHEN (`5000_flg_shrhldr_not_rsltn_grp` IS MISSING or cast(`5000_flg_shrhldr_not_rsltn_grp` as string) = '') AND B99.`0060_orgnl_amnt_fx` = 'Non-Resolution Entity' THEN X.CHAVE_IT ELSE NULL END, '; ') AS DETALHE FROM (SELECT *, 0020_UNIQ_ID AS CHAVE_IT, 5000_flg_shrhldr_not_rsltn_grp AS CAMPO_IT FROM BU_LOANTAPE_WORK.OUT_B0200_MAIN_LIABILITIES WHERE REF_DATE='"&amp; RefDate &amp;"')X GROUP BY 1</v>
      </c>
    </row>
    <row r="40" spans="1:11" x14ac:dyDescent="0.3">
      <c r="A40" s="11" t="s">
        <v>189</v>
      </c>
      <c r="B40" s="11" t="s">
        <v>458</v>
      </c>
      <c r="C40" s="12">
        <v>1</v>
      </c>
      <c r="D40" s="13" t="str">
        <f>+VLOOKUP(A40,Descrição!A:K,11,FALSE)</f>
        <v>Testar se o campo está a missing. O campo deve ser reportado para Non-Resolution Entities.</v>
      </c>
      <c r="E40" s="11" t="s">
        <v>648</v>
      </c>
      <c r="F40" s="11" t="s">
        <v>11</v>
      </c>
      <c r="G40" s="11" t="s">
        <v>381</v>
      </c>
      <c r="H40" s="11" t="s">
        <v>459</v>
      </c>
      <c r="I40" s="12">
        <f t="shared" si="3"/>
        <v>0</v>
      </c>
      <c r="J40" s="14" t="str">
        <f t="shared" si="4"/>
        <v>THEN X.CHAVE_IT ELSE NULL END</v>
      </c>
      <c r="K40" s="11" t="str">
        <f>"--UNION ALL SELECT '"&amp;E40&amp;"' AS REF_DATE, '"&amp;A40&amp;"' AS COD_KPI, '"&amp;F40&amp;"' AS TIPOLOGIA_TESTE, '"&amp;D40&amp;"' AS DESCRIÇÃO, '"&amp;G40&amp;"' AS TABELA, '"&amp;B40&amp;"' AS CAMPO, COUNT(*) AS NUM_REG, SUM(IF("&amp;H40&amp;","&amp;C40&amp;" ,"&amp;I40&amp;")) AS NUM_REG_DIF, GROUP_CONCAT(CASE WHEN "&amp;H40&amp;" "&amp;J40&amp;", '; ') AS DETALHE FROM (SELECT *, 0020_UNIQ_ID AS CHAVE_IT, "&amp;B40&amp;" AS CAMPO_IT FROM "&amp;G40&amp;" WHERE REF_DATE='"&amp;E40&amp;"')X GROUP BY 1"</f>
        <v>--UNION ALL SELECT '"&amp; RefDate &amp;"' AS REF_DATE, 'v_1_0039' AS COD_KPI, 'REGULAMENTAR' AS TIPOLOGIA_TESTE, 'Testar se o campo está a missing. O campo deve ser reportado para Non-Resolution Entities.' AS DESCRIÇÃO, 'BU_LOANTAPE_WORK.OUT_B0200_MAIN_LIABILITIES' AS TABELA, '5010_flg_art21_7a_srmr' AS CAMPO, COUNT(*) AS NUM_REG, SUM(IF((`5010_flg_art21_7a_srmr` IS MISSING or cast(`5010_flg_art21_7a_srmr` as string) = '') AND B99.`0060_orgnl_amnt_fx` = 'Non-Resolution Entity',1 ,0)) AS NUM_REG_DIF, GROUP_CONCAT(CASE WHEN (`5010_flg_art21_7a_srmr` IS MISSING or cast(`5010_flg_art21_7a_srmr` as string) = '') AND B99.`0060_orgnl_amnt_fx` = 'Non-Resolution Entity' THEN X.CHAVE_IT ELSE NULL END, '; ') AS DETALHE FROM (SELECT *, 0020_UNIQ_ID AS CHAVE_IT, 5010_flg_art21_7a_srmr AS CAMPO_IT FROM BU_LOANTAPE_WORK.OUT_B0200_MAIN_LIABILITIES WHERE REF_DATE='"&amp; RefDate &amp;"')X GROUP BY 1</v>
      </c>
    </row>
    <row r="41" spans="1:11" x14ac:dyDescent="0.3">
      <c r="A41" t="s">
        <v>195</v>
      </c>
      <c r="B41" t="s">
        <v>390</v>
      </c>
      <c r="C41" s="7">
        <v>0</v>
      </c>
      <c r="D41" s="1" t="str">
        <f>+VLOOKUP(A41,Descrição!A:K,11,FALSE)</f>
        <v>Se o ID for um ISIN (c0030 = ISIN), então o ID reportado em c0020 deve ter as características de um ISIN, por exemplo, 12 caracteres e começar com 2 letras que significam o código de país ISO.</v>
      </c>
      <c r="E41" t="s">
        <v>648</v>
      </c>
      <c r="F41" t="s">
        <v>11</v>
      </c>
      <c r="G41" t="s">
        <v>381</v>
      </c>
      <c r="H41" t="s">
        <v>460</v>
      </c>
      <c r="I41" s="7">
        <f t="shared" si="3"/>
        <v>1</v>
      </c>
      <c r="J41" s="8" t="str">
        <f t="shared" si="4"/>
        <v>THEN NULL ELSE X.CHAVE_IT END</v>
      </c>
      <c r="K41" s="5" t="str">
        <f t="shared" ref="K41:K55" si="5">"UNION ALL SELECT '"&amp;E41&amp;"' AS REF_DATE, '"&amp;A41&amp;"' AS COD_KPI, '"&amp;F41&amp;"' AS TIPOLOGIA_TESTE, '"&amp;D41&amp;"' AS DESCRIÇÃO, '"&amp;G41&amp;"' AS TABELA, '"&amp;B41&amp;"' AS CAMPO, COUNT(*) AS NUM_REG, SUM(IF("&amp;H41&amp;","&amp;C41&amp;" ,"&amp;I41&amp;")) AS NUM_REG_DIF, GROUP_CONCAT(CASE WHEN "&amp;H41&amp;" "&amp;J41&amp;", '; ') AS DETALHE FROM (SELECT *, 0020_UNIQ_ID AS CHAVE_IT, "&amp;B41&amp;" AS CAMPO_IT FROM "&amp;G41&amp;" WHERE REF_DATE='"&amp;E41&amp;"')X GROUP BY 1"</f>
        <v>UNION ALL SELECT '"&amp; RefDate &amp;"' AS REF_DATE, 'v_2_0001' AS COD_KPI, 'REGULAMENTAR' AS TIPOLOGIA_TESTE, 'Se o ID for um ISIN (c0030 = ISIN), então o ID reportado em c0020 deve ter as características de um ISIN, por exemplo, 12 caracteres e começar com 2 letras que significam o código de país ISO.' AS DESCRIÇÃO, 'BU_LOANTAPE_WORK.OUT_B0200_MAIN_LIABILITIES' AS TABELA, '0030_uniq_id_knwn_cntrprty' AS CAMPO, COUNT(*) AS NUM_REG, SUM(IF(`0040_typ_uniq_id_knwn_cntrprty` = 'ISIN' AND LENGTH(`0030_uniq_id_knwn_cntrprty`) &lt;= 12 AND SUBSTR(`0030_uniq_id_knwn_cntrprty`, 1, 2) RLIKE '[A-Za-z]$',0 ,1)) AS NUM_REG_DIF, GROUP_CONCAT(CASE WHEN `0040_typ_uniq_id_knwn_cntrprty` = 'ISIN' AND LENGTH(`0030_uniq_id_knwn_cntrprty`) &lt;= 12 AND SUBSTR(`0030_uniq_id_knwn_cntrprty`, 1, 2) RLIKE '[A-Za-z]$' THEN NULL ELSE X.CHAVE_IT END, '; ') AS DETALHE FROM (SELECT *, 0020_UNIQ_ID AS CHAVE_IT, 0030_uniq_id_knwn_cntrprty AS CAMPO_IT FROM BU_LOANTAPE_WORK.OUT_B0200_MAIN_LIABILITIES WHERE REF_DATE='"&amp; RefDate &amp;"')X GROUP BY 1</v>
      </c>
    </row>
    <row r="42" spans="1:11" x14ac:dyDescent="0.3">
      <c r="A42" t="s">
        <v>199</v>
      </c>
      <c r="B42" t="s">
        <v>394</v>
      </c>
      <c r="C42" s="7">
        <v>1</v>
      </c>
      <c r="D42" s="1" t="str">
        <f>+VLOOKUP(A42,Descrição!A:K,11,FALSE)</f>
        <v>As moedas devem ser reportadas usando o código ISO 4217 de 3 letras.</v>
      </c>
      <c r="E42" t="s">
        <v>648</v>
      </c>
      <c r="F42" t="s">
        <v>11</v>
      </c>
      <c r="G42" t="s">
        <v>381</v>
      </c>
      <c r="H42" t="s">
        <v>462</v>
      </c>
      <c r="I42" s="7">
        <f t="shared" si="3"/>
        <v>0</v>
      </c>
      <c r="J42" s="8" t="str">
        <f t="shared" si="4"/>
        <v>THEN X.CHAVE_IT ELSE NULL END</v>
      </c>
      <c r="K42" s="5" t="str">
        <f t="shared" si="5"/>
        <v>UNION ALL SELECT '"&amp; RefDate &amp;"' AS REF_DATE, 'v_2_0003' AS COD_KPI, 'REGULAMENTAR' AS TIPOLOGIA_TESTE, 'As moedas devem ser reportadas usando o código ISO 4217 de 3 letras.' AS DESCRIÇÃO, 'BU_LOANTAPE_WORK.OUT_B0200_MAIN_LIABILITIES' AS TABELA, '0070_cntrct_crrncy' AS CAMPO, COUNT(*) AS NUM_REG, SUM(IF(`0020_uniq_id` NOT IN ('NCNP', 'NCBP') AND `0070_cntrct_crrncy` NOT IN ('AFN', 'EUR', 'ALL', 'DZD', 'USD', 'EUR', 'AOA', 'XCD', 'XCD', 'XAD', 'ARS', 'AMD', 'AWG', 'AUD', 'EUR', 'AZN', 'BSD', 'BHD', 'BDT', 'BBD', 'BYN', 'EUR', 'BZD', 'XOF', 'BMD', 'INR', 'BTN', 'BOB', 'BOV', 'USD', 'BAM', 'BWP', 'NOK', 'BRL', 'USD', 'BND', 'BGN', 'XOF', 'BIF', 'CVE', 'KHR', 'XAF', 'CAD', 'KYD', 'XAF', 'XAF', 'CLP', 'CLF', 'CNY', 'CNH', 'AUD', 'AUD', 'COP', 'COU', 'KMF', 'CDF', 'XAF', 'NZD', 'CRC', 'XOF', 'EUR', 'CUP', 'XCG', 'EUR', 'CZK', 'DKK', 'DJF', 'XCD', 'DOP', 'USD', 'EGP', 'SVC', 'USD', 'XAF', 'ERN', 'EUR', 'SZL', 'ETB', 'EUR', 'FKP', 'DKK', 'FJD', 'EUR', 'EUR', 'EUR', 'XPF', 'EUR', 'XAF', 'GMD', 'GEL', 'EUR', 'GHS', 'GIP', 'EUR', 'DKK', 'XCD', 'EUR', 'USD', 'GTQ', 'GBP', 'GNF', 'XOF', 'GYD', 'HTG', 'USD', 'AUD', 'EUR', 'HNL', 'HKD', 'HUF', 'ISK', 'INR', 'IDR', 'XDR', 'IRR', 'IQD', 'EUR', 'GBP', 'ILS', 'EUR', 'JMD', 'JPY', 'GBP', 'JOD', 'KZT', 'KES', 'AUD', 'KPW', 'KRW', 'KWD', 'KGS', 'LAK', 'EUR', 'LBP', 'LSL', 'ZAR', 'LRD', 'LYD', 'CHF', 'EUR', 'EUR', 'MOP', 'MGA', 'MWK', 'MYR', 'MVR', 'XOF', 'EUR', 'USD', 'EUR', 'MRU', 'MUR', 'EUR', 'XUA', 'MXN', 'MXV', 'USD', 'MDL', 'EUR', 'MNT', 'EUR', 'XCD', 'MAD', 'MZN', 'MMK', 'NAD', 'ZAR', 'AUD', 'NPR', 'EUR', 'XPF', 'NZD', 'NIO', 'XOF', 'NGN', 'NZD', 'AUD', 'MKD', 'USD', 'NOK', 'OMR', 'PKR', 'USD', 'PAB', 'USD', 'PGK', 'PYG', 'PEN', 'PHP', 'NZD', 'PLN', 'EUR', 'USD', 'QAR', 'EUR', 'RON', 'RUB', 'RWF', 'EUR', 'SHP', 'XCD', 'XCD', 'EUR', 'EUR', 'XCD', 'WST', 'EUR', 'STN', 'SAR', 'XOF', 'RSD', 'SCR', 'SLE', 'SGD', 'XCG', 'XSU', 'EUR', 'EUR', 'SBD', 'SOS', 'ZAR', 'SSP', 'EUR', 'LKR', 'SDG', 'SRD', 'NOK', 'SEK', 'CHF', 'CHE', 'CHW', 'SYP', 'TWD', 'TJS', 'TZS', 'THB', 'USD', 'XOF', 'NZD', 'TOP', 'TTD', 'TND', 'TRY', 'TMT', 'USD', 'AUD', 'UGX', 'UAH', 'AED', 'GBP', 'USD', 'USD', 'USN', 'UYU', 'UYI', 'UYW', 'UZS', 'VUV', 'VES', 'VED', 'VND', 'USD', 'USD', 'XPF', 'MAD', 'YER', 'ZMW', 'ZWG', 'XBA', 'XBB', 'XBC', 'XBD', 'XTS', 'XXX', 'XAU', 'XPD', 'XPT', 'XAG'),1 ,0)) AS NUM_REG_DIF, GROUP_CONCAT(CASE WHEN `0020_uniq_id` NOT IN ('NCNP', 'NCBP') AND `0070_cntrct_crrncy` NOT IN ('AFN', 'EUR', 'ALL', 'DZD', 'USD', 'EUR', 'AOA', 'XCD', 'XCD', 'XAD', 'ARS', 'AMD', 'AWG', 'AUD', 'EUR', 'AZN', 'BSD', 'BHD', 'BDT', 'BBD', 'BYN', 'EUR', 'BZD', 'XOF', 'BMD', 'INR', 'BTN', 'BOB', 'BOV', 'USD', 'BAM', 'BWP', 'NOK', 'BRL', 'USD', 'BND', 'BGN', 'XOF', 'BIF', 'CVE', 'KHR', 'XAF', 'CAD', 'KYD', 'XAF', 'XAF', 'CLP', 'CLF', 'CNY', 'CNH', 'AUD', 'AUD', 'COP', 'COU', 'KMF', 'CDF', 'XAF', 'NZD', 'CRC', 'XOF', 'EUR', 'CUP', 'XCG', 'EUR', 'CZK', 'DKK', 'DJF', 'XCD', 'DOP', 'USD', 'EGP', 'SVC', 'USD', 'XAF', 'ERN', 'EUR', 'SZL', 'ETB', 'EUR', 'FKP', 'DKK', 'FJD', 'EUR', 'EUR', 'EUR', 'XPF', 'EUR', 'XAF', 'GMD', 'GEL', 'EUR', 'GHS', 'GIP', 'EUR', 'DKK', 'XCD', 'EUR', 'USD', 'GTQ', 'GBP', 'GNF', 'XOF', 'GYD', 'HTG', 'USD', 'AUD', 'EUR', 'HNL', 'HKD', 'HUF', 'ISK', 'INR', 'IDR', 'XDR', 'IRR', 'IQD', 'EUR', 'GBP', 'ILS', 'EUR', 'JMD', 'JPY', 'GBP', 'JOD', 'KZT', 'KES', 'AUD', 'KPW', 'KRW', 'KWD', 'KGS', 'LAK', 'EUR', 'LBP', 'LSL', 'ZAR', 'LRD', 'LYD', 'CHF', 'EUR', 'EUR', 'MOP', 'MGA', 'MWK', 'MYR', 'MVR', 'XOF', 'EUR', 'USD', 'EUR', 'MRU', 'MUR', 'EUR', 'XUA', 'MXN', 'MXV', 'USD', 'MDL', 'EUR', 'MNT', 'EUR', 'XCD', 'MAD', 'MZN', 'MMK', 'NAD', 'ZAR', 'AUD', 'NPR', 'EUR', 'XPF', 'NZD', 'NIO', 'XOF', 'NGN', 'NZD', 'AUD', 'MKD', 'USD', 'NOK', 'OMR', 'PKR', 'USD', 'PAB', 'USD', 'PGK', 'PYG', 'PEN', 'PHP', 'NZD', 'PLN', 'EUR', 'USD', 'QAR', 'EUR', 'RON', 'RUB', 'RWF', 'EUR', 'SHP', 'XCD', 'XCD', 'EUR', 'EUR', 'XCD', 'WST', 'EUR', 'STN', 'SAR', 'XOF', 'RSD', 'SCR', 'SLE', 'SGD', 'XCG', 'XSU', 'EUR', 'EUR', 'SBD', 'SOS', 'ZAR', 'SSP', 'EUR', 'LKR', 'SDG', 'SRD', 'NOK', 'SEK', 'CHF', 'CHE', 'CHW', 'SYP', 'TWD', 'TJS', 'TZS', 'THB', 'USD', 'XOF', 'NZD', 'TOP', 'TTD', 'TND', 'TRY', 'TMT', 'USD', 'AUD', 'UGX', 'UAH', 'AED', 'GBP', 'USD', 'USD', 'USN', 'UYU', 'UYI', 'UYW', 'UZS', 'VUV', 'VES', 'VED', 'VND', 'USD', 'USD', 'XPF', 'MAD', 'YER', 'ZMW', 'ZWG', 'XBA', 'XBB', 'XBC', 'XBD', 'XTS', 'XXX', 'XAU', 'XPD', 'XPT', 'XAG') THEN X.CHAVE_IT ELSE NULL END, '; ') AS DETALHE FROM (SELECT *, 0020_UNIQ_ID AS CHAVE_IT, 0070_cntrct_crrncy AS CAMPO_IT FROM BU_LOANTAPE_WORK.OUT_B0200_MAIN_LIABILITIES WHERE REF_DATE='"&amp; RefDate &amp;"')X GROUP BY 1</v>
      </c>
    </row>
    <row r="43" spans="1:11" x14ac:dyDescent="0.3">
      <c r="A43" t="s">
        <v>203</v>
      </c>
      <c r="B43" t="s">
        <v>396</v>
      </c>
      <c r="C43" s="7">
        <v>1</v>
      </c>
      <c r="D43" s="1" t="str">
        <f>+VLOOKUP(A43,Descrição!A:K,11,FALSE)</f>
        <v>Alerta: o valor declarado deve, em geral, ser positivo.</v>
      </c>
      <c r="E43" t="s">
        <v>648</v>
      </c>
      <c r="F43" t="s">
        <v>11</v>
      </c>
      <c r="G43" t="s">
        <v>381</v>
      </c>
      <c r="H43" t="s">
        <v>463</v>
      </c>
      <c r="I43" s="7">
        <f t="shared" si="3"/>
        <v>0</v>
      </c>
      <c r="J43" s="8" t="str">
        <f t="shared" si="4"/>
        <v>THEN X.CHAVE_IT ELSE NULL END</v>
      </c>
      <c r="K43" s="5" t="str">
        <f t="shared" si="5"/>
        <v>UNION ALL SELECT '"&amp; RefDate &amp;"' AS REF_DATE, 'v_2_0004' AS COD_KPI, 'REGULAMENTAR' AS TIPOLOGIA_TESTE, 'Alerta: o valor declarado deve, em geral, ser positivo.' AS DESCRIÇÃO, 'BU_LOANTAPE_WORK.OUT_B0200_MAIN_LIABILITIES' AS TABELA, '0080_otstndng_prncpl_amnt' AS CAMPO, COUNT(*) AS NUM_REG, SUM(IF(`0080_otstndng_prncpl_amnt` &lt;= 0,1 ,0)) AS NUM_REG_DIF, GROUP_CONCAT(CASE WHEN `0080_otstndng_prncpl_amnt` &lt;= 0 THEN X.CHAVE_IT ELSE NULL END, '; ') AS DETALHE FROM (SELECT *, 0020_UNIQ_ID AS CHAVE_IT, 0080_otstndng_prncpl_amnt AS CAMPO_IT FROM BU_LOANTAPE_WORK.OUT_B0200_MAIN_LIABILITIES WHERE REF_DATE='"&amp; RefDate &amp;"')X GROUP BY 1</v>
      </c>
    </row>
    <row r="44" spans="1:11" x14ac:dyDescent="0.3">
      <c r="A44" t="s">
        <v>206</v>
      </c>
      <c r="B44" t="s">
        <v>399</v>
      </c>
      <c r="C44" s="7">
        <v>1</v>
      </c>
      <c r="D44" s="1" t="str">
        <f>+VLOOKUP(A44,Descrição!A:K,11,FALSE)</f>
        <v>O valor declarado deve ser positivo ou zero.</v>
      </c>
      <c r="E44" t="s">
        <v>648</v>
      </c>
      <c r="F44" t="s">
        <v>11</v>
      </c>
      <c r="G44" t="s">
        <v>381</v>
      </c>
      <c r="H44" t="s">
        <v>464</v>
      </c>
      <c r="I44" s="7">
        <f t="shared" si="3"/>
        <v>0</v>
      </c>
      <c r="J44" s="8" t="str">
        <f t="shared" si="4"/>
        <v>THEN X.CHAVE_IT ELSE NULL END</v>
      </c>
      <c r="K44" s="5" t="str">
        <f t="shared" si="5"/>
        <v>UNION ALL SELECT '"&amp; RefDate &amp;"' AS REF_DATE, 'v_2_0005' AS COD_KPI, 'REGULAMENTAR' AS TIPOLOGIA_TESTE, 'O valor declarado deve ser positivo ou zero.' AS DESCRIÇÃO, 'BU_LOANTAPE_WORK.OUT_B0200_MAIN_LIABILITIES' AS TABELA, '0090_prtn_amnt_rprtng_entty' AS CAMPO, COUNT(*) AS NUM_REG, SUM(IF(`0090_prtn_amnt_rprtng_entty` &lt;0 AND `0040_typ_uniq_id_knwn_cntrprty` = 'ISIN',1 ,0)) AS NUM_REG_DIF, GROUP_CONCAT(CASE WHEN `0090_prtn_amnt_rprtng_entty` &lt;0 AND `0040_typ_uniq_id_knwn_cntrprty` = 'ISIN' THEN X.CHAVE_IT ELSE NULL END, '; ') AS DETALHE FROM (SELECT *, 0020_UNIQ_ID AS CHAVE_IT, 0090_prtn_amnt_rprtng_entty AS CAMPO_IT FROM BU_LOANTAPE_WORK.OUT_B0200_MAIN_LIABILITIES WHERE REF_DATE='"&amp; RefDate &amp;"')X GROUP BY 1</v>
      </c>
    </row>
    <row r="45" spans="1:11" x14ac:dyDescent="0.3">
      <c r="A45" t="s">
        <v>209</v>
      </c>
      <c r="B45" t="s">
        <v>402</v>
      </c>
      <c r="C45" s="7">
        <v>1</v>
      </c>
      <c r="D45" s="1" t="str">
        <f>+VLOOKUP(A45,Descrição!A:K,11,FALSE)</f>
        <v>Alerta: o valor declarado deve ser positivo ou zero. No entanto, juros acumulados negativos são, em princípio, permitidos, se devidamente justificados pela entidade reportante.</v>
      </c>
      <c r="E45" t="s">
        <v>648</v>
      </c>
      <c r="F45" t="s">
        <v>11</v>
      </c>
      <c r="G45" t="s">
        <v>381</v>
      </c>
      <c r="H45" t="s">
        <v>465</v>
      </c>
      <c r="I45" s="7">
        <f t="shared" si="3"/>
        <v>0</v>
      </c>
      <c r="J45" s="8" t="str">
        <f t="shared" si="4"/>
        <v>THEN X.CHAVE_IT ELSE NULL END</v>
      </c>
      <c r="K45" s="5" t="str">
        <f t="shared" si="5"/>
        <v>UNION ALL SELECT '"&amp; RefDate &amp;"' AS REF_DATE, 'v_2_0006' AS COD_KPI, 'REGULAMENTAR' AS TIPOLOGIA_TESTE, 'Alerta: o valor declarado deve ser positivo ou zero. No entanto, juros acumulados negativos são, em princípio, permitidos, se devidamente justificados pela entidade reportante.' AS DESCRIÇÃO, 'BU_LOANTAPE_WORK.OUT_B0200_MAIN_LIABILITIES' AS TABELA, '0100_accrd_intrst_instrmnt' AS CAMPO, COUNT(*) AS NUM_REG, SUM(IF(`0100_accrd_intrst_instrmnt` &lt;0,1 ,0)) AS NUM_REG_DIF, GROUP_CONCAT(CASE WHEN `0100_accrd_intrst_instrmnt` &lt;0 THEN X.CHAVE_IT ELSE NULL END, '; ') AS DETALHE FROM (SELECT *, 0020_UNIQ_ID AS CHAVE_IT, 0100_accrd_intrst_instrmnt AS CAMPO_IT FROM BU_LOANTAPE_WORK.OUT_B0200_MAIN_LIABILITIES WHERE REF_DATE='"&amp; RefDate &amp;"')X GROUP BY 1</v>
      </c>
    </row>
    <row r="46" spans="1:11" x14ac:dyDescent="0.3">
      <c r="A46" t="s">
        <v>212</v>
      </c>
      <c r="B46" t="s">
        <v>467</v>
      </c>
      <c r="C46" s="7">
        <v>1</v>
      </c>
      <c r="D46" s="1" t="str">
        <f>+VLOOKUP(A46,Descrição!A:K,11,FALSE)</f>
        <v>Alerta: o valor declarado deve ser, em geral, positivo ou zero.</v>
      </c>
      <c r="E46" t="s">
        <v>648</v>
      </c>
      <c r="F46" t="s">
        <v>11</v>
      </c>
      <c r="G46" t="s">
        <v>381</v>
      </c>
      <c r="H46" t="s">
        <v>466</v>
      </c>
      <c r="I46" s="7">
        <f t="shared" si="3"/>
        <v>0</v>
      </c>
      <c r="J46" s="8" t="str">
        <f t="shared" si="4"/>
        <v>THEN X.CHAVE_IT ELSE NULL END</v>
      </c>
      <c r="K46" s="5" t="str">
        <f t="shared" si="5"/>
        <v>UNION ALL SELECT '"&amp; RefDate &amp;"' AS REF_DATE, 'v_2_0007' AS COD_KPI, 'REGULAMENTAR' AS TIPOLOGIA_TESTE, 'Alerta: o valor declarado deve ser, em geral, positivo ou zero.' AS DESCRIÇÃO, 'BU_LOANTAPE_WORK.OUT_B0200_MAIN_LIABILITIES' AS TABELA, '0110_applcbl_fees_charges' AS CAMPO, COUNT(*) AS NUM_REG, SUM(IF(`0110_applcbl_fees_charges` &lt; 0,1 ,0)) AS NUM_REG_DIF, GROUP_CONCAT(CASE WHEN `0110_applcbl_fees_charges` &lt; 0 THEN X.CHAVE_IT ELSE NULL END, '; ') AS DETALHE FROM (SELECT *, 0020_UNIQ_ID AS CHAVE_IT, 0110_applcbl_fees_charges AS CAMPO_IT FROM BU_LOANTAPE_WORK.OUT_B0200_MAIN_LIABILITIES WHERE REF_DATE='"&amp; RefDate &amp;"')X GROUP BY 1</v>
      </c>
    </row>
    <row r="47" spans="1:11" x14ac:dyDescent="0.3">
      <c r="A47" t="s">
        <v>216</v>
      </c>
      <c r="B47" t="s">
        <v>405</v>
      </c>
      <c r="C47" s="7">
        <v>1</v>
      </c>
      <c r="D47" s="1" t="str">
        <f>+VLOOKUP(A47,Descrição!A:K,11,FALSE)</f>
        <v>O valor reportado deve ser positivo.</v>
      </c>
      <c r="E47" t="s">
        <v>648</v>
      </c>
      <c r="F47" t="s">
        <v>11</v>
      </c>
      <c r="G47" t="s">
        <v>381</v>
      </c>
      <c r="H47" t="s">
        <v>468</v>
      </c>
      <c r="I47" s="7">
        <f t="shared" si="3"/>
        <v>0</v>
      </c>
      <c r="J47" s="8" t="str">
        <f t="shared" si="4"/>
        <v>THEN X.CHAVE_IT ELSE NULL END</v>
      </c>
      <c r="K47" s="5" t="str">
        <f t="shared" si="5"/>
        <v>UNION ALL SELECT '"&amp; RefDate &amp;"' AS REF_DATE, 'v_2_0008' AS COD_KPI, 'REGULAMENTAR' AS TIPOLOGIA_TESTE, 'O valor reportado deve ser positivo.' AS DESCRIÇÃO, 'BU_LOANTAPE_WORK.OUT_B0200_MAIN_LIABILITIES' AS TABELA, '0120_otstndng_amnt' AS CAMPO, COUNT(*) AS NUM_REG, SUM(IF(`0120_otstndng_amnt` &gt;=0,1 ,0)) AS NUM_REG_DIF, GROUP_CONCAT(CASE WHEN `0120_otstndng_amnt` &gt;=0 THEN X.CHAVE_IT ELSE NULL END, '; ') AS DETALHE FROM (SELECT *, 0020_UNIQ_ID AS CHAVE_IT, 0120_otstndng_amnt AS CAMPO_IT FROM BU_LOANTAPE_WORK.OUT_B0200_MAIN_LIABILITIES WHERE REF_DATE='"&amp; RefDate &amp;"')X GROUP BY 1</v>
      </c>
    </row>
    <row r="48" spans="1:11" x14ac:dyDescent="0.3">
      <c r="A48" t="s">
        <v>218</v>
      </c>
      <c r="B48" t="s">
        <v>405</v>
      </c>
      <c r="C48" s="7">
        <v>1</v>
      </c>
      <c r="D48" s="1" t="str">
        <f>+VLOOKUP(A48,Descrição!A:K,11,FALSE)</f>
        <v>O valor declarado deve ser igual a: c0080 + c0100 + c0110.</v>
      </c>
      <c r="E48" t="s">
        <v>648</v>
      </c>
      <c r="F48" t="s">
        <v>11</v>
      </c>
      <c r="G48" t="s">
        <v>381</v>
      </c>
      <c r="H48" t="s">
        <v>469</v>
      </c>
      <c r="I48" s="7">
        <f t="shared" si="3"/>
        <v>0</v>
      </c>
      <c r="J48" s="8" t="str">
        <f t="shared" si="4"/>
        <v>THEN X.CHAVE_IT ELSE NULL END</v>
      </c>
      <c r="K48" s="5" t="str">
        <f t="shared" si="5"/>
        <v>UNION ALL SELECT '"&amp; RefDate &amp;"' AS REF_DATE, 'v_2_0009' AS COD_KPI, 'REGULAMENTAR' AS TIPOLOGIA_TESTE, 'O valor declarado deve ser igual a: c0080 + c0100 + c0110.' AS DESCRIÇÃO, 'BU_LOANTAPE_WORK.OUT_B0200_MAIN_LIABILITIES' AS TABELA, '0120_otstndng_amnt' AS CAMPO, COUNT(*) AS NUM_REG, SUM(IF(`0120_otstndng_amnt` != (`0080_otstndng_prncpl_amnt`+`0100_accrd_intrst_instrmnt`+`0110_applcbl_fees_charges`),1 ,0)) AS NUM_REG_DIF, GROUP_CONCAT(CASE WHEN `0120_otstndng_amnt` != (`0080_otstndng_prncpl_amnt`+`0100_accrd_intrst_instrmnt`+`0110_applcbl_fees_charges`) THEN X.CHAVE_IT ELSE NULL END, '; ') AS DETALHE FROM (SELECT *, 0020_UNIQ_ID AS CHAVE_IT, 0120_otstndng_amnt AS CAMPO_IT FROM BU_LOANTAPE_WORK.OUT_B0200_MAIN_LIABILITIES WHERE REF_DATE='"&amp; RefDate &amp;"')X GROUP BY 1</v>
      </c>
    </row>
    <row r="49" spans="1:11" x14ac:dyDescent="0.3">
      <c r="A49" t="s">
        <v>221</v>
      </c>
      <c r="B49" t="s">
        <v>408</v>
      </c>
      <c r="C49" s="7">
        <v>1</v>
      </c>
      <c r="D49" s="1" t="str">
        <f>+VLOOKUP(A49,Descrição!A:K,11,FALSE)</f>
        <v>O montante declarado deve ser igual a: c0120 - c0300 - c0320, exceto para Zero Coupon Bonds para as quais se possam aplicar disposições específicas.</v>
      </c>
      <c r="E49" t="s">
        <v>648</v>
      </c>
      <c r="F49" t="s">
        <v>11</v>
      </c>
      <c r="G49" t="s">
        <v>381</v>
      </c>
      <c r="H49" t="s">
        <v>470</v>
      </c>
      <c r="I49" s="7">
        <f t="shared" si="3"/>
        <v>0</v>
      </c>
      <c r="J49" s="8" t="str">
        <f t="shared" si="4"/>
        <v>THEN X.CHAVE_IT ELSE NULL END</v>
      </c>
      <c r="K49" s="5" t="str">
        <f t="shared" si="5"/>
        <v>UNION ALL SELECT '"&amp; RefDate &amp;"' AS REF_DATE, 'v_2_0011' AS COD_KPI, 'REGULAMENTAR' AS TIPOLOGIA_TESTE, 'O montante declarado deve ser igual a: c0120 - c0300 - c0320, exceto para Zero Coupon Bonds para as quais se possam aplicar disposições específicas.' AS DESCRIÇÃO, 'BU_LOANTAPE_WORK.OUT_B0200_MAIN_LIABILITIES' AS TABELA, '0130_rlvnt_amnt_wdc' AS CAMPO, COUNT(*) AS NUM_REG, SUM(IF(`0130_rlvnt_amnt_wdc` != GREATEST(0, `0120_otstndng_amnt`-`0300_amnt_cvrd_elgbl_dpsts`-`0320_amnt_clltrl`) AND `0250_strctrd_prdct` IN ('Non-structured/Vanilla', 'Other non-standard terms') AND `0240_zero_coupon` != 'ZCB issued at discount',1 ,0)) AS NUM_REG_DIF, GROUP_CONCAT(CASE WHEN `0130_rlvnt_amnt_wdc` != GREATEST(0, `0120_otstndng_amnt`-`0300_amnt_cvrd_elgbl_dpsts`-`0320_amnt_clltrl`) AND `0250_strctrd_prdct` IN ('Non-structured/Vanilla', 'Other non-standard terms') AND `0240_zero_coupon` != 'ZCB issued at discount' THEN X.CHAVE_IT ELSE NULL END, '; ') AS DETALHE FROM (SELECT *, 0020_UNIQ_ID AS CHAVE_IT, 0130_rlvnt_amnt_wdc AS CAMPO_IT FROM BU_LOANTAPE_WORK.OUT_B0200_MAIN_LIABILITIES WHERE REF_DATE='"&amp; RefDate &amp;"')X GROUP BY 1</v>
      </c>
    </row>
    <row r="50" spans="1:11" x14ac:dyDescent="0.3">
      <c r="A50" t="s">
        <v>225</v>
      </c>
      <c r="B50" t="s">
        <v>408</v>
      </c>
      <c r="C50" s="7">
        <v>1</v>
      </c>
      <c r="D50" s="1" t="str">
        <f>+VLOOKUP(A50,Descrição!A:K,11,FALSE)</f>
        <v>Para produtos estruturados, o montante declarado deve ser igual a: (c0270 - c0300 - c0320) se o valor justo for utilizado para apoiar a determinação do montante relevante para o bail-in, OU (c0120 - c0300 - c0320) caso contrário.</v>
      </c>
      <c r="E50" t="s">
        <v>648</v>
      </c>
      <c r="F50" t="s">
        <v>11</v>
      </c>
      <c r="G50" t="s">
        <v>381</v>
      </c>
      <c r="H50" t="s">
        <v>471</v>
      </c>
      <c r="I50" s="7">
        <f t="shared" si="3"/>
        <v>0</v>
      </c>
      <c r="J50" s="8" t="str">
        <f t="shared" si="4"/>
        <v>THEN X.CHAVE_IT ELSE NULL END</v>
      </c>
      <c r="K50" s="5" t="str">
        <f t="shared" si="5"/>
        <v>UNION ALL SELECT '"&amp; RefDate &amp;"' AS REF_DATE, 'v_2_0012' AS COD_KPI, 'REGULAMENTAR' AS TIPOLOGIA_TESTE, 'Para produtos estruturados, o montante declarado deve ser igual a: (c0270 - c0300 - c0320) se o valor justo for utilizado para apoiar a determinação do montante relevante para o bail-in, OU (c0120 - c0300 - c0320) caso contrário.' AS DESCRIÇÃO, 'BU_LOANTAPE_WORK.OUT_B0200_MAIN_LIABILITIES' AS TABELA, '0130_rlvnt_amnt_wdc' AS CAMPO, COUNT(*) AS NUM_REG, SUM(IF(`0130_rlvnt_amnt_wdc` != GREATEST(0, `0270_fv_amnt_strctrd_prdct`-`0300_amnt_cvrd_elgbl_dpsts`-`0320_amnt_clltrl`) AND `0130_rlvnt_amnt_wdc` != GREATEST(0, `0120_otstndng_amnt`-`0300_amnt_cvrd_elgbl_dpsts`-`0320_amnt_clltrl`) AND `0250_strctrd_prdct` IN ('Structured', 'Structured coupon only'),1 ,0)) AS NUM_REG_DIF, GROUP_CONCAT(CASE WHEN `0130_rlvnt_amnt_wdc` != GREATEST(0, `0270_fv_amnt_strctrd_prdct`-`0300_amnt_cvrd_elgbl_dpsts`-`0320_amnt_clltrl`) AND `0130_rlvnt_amnt_wdc` != GREATEST(0, `0120_otstndng_amnt`-`0300_amnt_cvrd_elgbl_dpsts`-`0320_amnt_clltrl`) AND `0250_strctrd_prdct` IN ('Structured', 'Structured coupon only') THEN X.CHAVE_IT ELSE NULL END, '; ') AS DETALHE FROM (SELECT *, 0020_UNIQ_ID AS CHAVE_IT, 0130_rlvnt_amnt_wdc AS CAMPO_IT FROM BU_LOANTAPE_WORK.OUT_B0200_MAIN_LIABILITIES WHERE REF_DATE='"&amp; RefDate &amp;"')X GROUP BY 1</v>
      </c>
    </row>
    <row r="51" spans="1:11" x14ac:dyDescent="0.3">
      <c r="A51" t="s">
        <v>229</v>
      </c>
      <c r="B51" t="s">
        <v>410</v>
      </c>
      <c r="C51" s="7">
        <v>1</v>
      </c>
      <c r="D51" s="1" t="str">
        <f>+VLOOKUP(A51,Descrição!A:K,11,FALSE)</f>
        <v>Os valores dos dropdowns devem ser respeitados.</v>
      </c>
      <c r="E51" t="s">
        <v>648</v>
      </c>
      <c r="F51" t="s">
        <v>11</v>
      </c>
      <c r="G51" t="s">
        <v>381</v>
      </c>
      <c r="H51" t="s">
        <v>472</v>
      </c>
      <c r="I51" s="7">
        <f t="shared" si="3"/>
        <v>0</v>
      </c>
      <c r="J51" s="8" t="str">
        <f t="shared" si="4"/>
        <v>THEN X.CHAVE_IT ELSE NULL END</v>
      </c>
      <c r="K51" s="5" t="str">
        <f t="shared" si="5"/>
        <v>UNION ALL SELECT '"&amp; RefDate &amp;"' AS REF_DATE, 'v_2_0013' AS COD_KPI, 'REGULAMENTAR' AS TIPOLOGIA_TESTE, 'Os valores dos dropdowns devem ser respeitados.' AS DESCRIÇÃO, 'BU_LOANTAPE_WORK.OUT_B0200_MAIN_LIABILITIES' AS TABELA, '0140_ntr_lblty' AS CAMPO, COUNT(*) AS NUM_REG, SUM(IF(`0140_ntr_lblty` NOT IN ('Registered Bond', 'Bearer Bond', 'Borrower Note Loan', 'Certificate of Deposit / Commercial paper', 'Title of ownership', 'Cash account/saving account', 'Term deposit', 'Loan', 'Bill of exchange ', 'Other'),1 ,0)) AS NUM_REG_DIF, GROUP_CONCAT(CASE WHEN `0140_ntr_lblty` NOT IN ('Registered Bond', 'Bearer Bond', 'Borrower Note Loan', 'Certificate of Deposit / Commercial paper', 'Title of ownership', 'Cash account/saving account', 'Term deposit', 'Loan', 'Bill of exchange ', 'Other') THEN X.CHAVE_IT ELSE NULL END, '; ') AS DETALHE FROM (SELECT *, 0020_UNIQ_ID AS CHAVE_IT, 0140_ntr_lblty AS CAMPO_IT FROM BU_LOANTAPE_WORK.OUT_B0200_MAIN_LIABILITIES WHERE REF_DATE='"&amp; RefDate &amp;"')X GROUP BY 1</v>
      </c>
    </row>
    <row r="52" spans="1:11" x14ac:dyDescent="0.3">
      <c r="A52" t="s">
        <v>232</v>
      </c>
      <c r="B52" t="s">
        <v>414</v>
      </c>
      <c r="C52" s="7">
        <v>1</v>
      </c>
      <c r="D52" s="1" t="str">
        <f>+VLOOKUP(A52,Descrição!A:K,11,FALSE)</f>
        <v>Os valores numéricos a partir de 1 devem ser reportados.</v>
      </c>
      <c r="E52" t="s">
        <v>648</v>
      </c>
      <c r="F52" t="s">
        <v>11</v>
      </c>
      <c r="G52" t="s">
        <v>381</v>
      </c>
      <c r="H52" t="s">
        <v>473</v>
      </c>
      <c r="I52" s="7">
        <f t="shared" si="3"/>
        <v>0</v>
      </c>
      <c r="J52" s="8" t="str">
        <f t="shared" si="4"/>
        <v>THEN X.CHAVE_IT ELSE NULL END</v>
      </c>
      <c r="K52" s="5" t="str">
        <f t="shared" si="5"/>
        <v>UNION ALL SELECT '"&amp; RefDate &amp;"' AS REF_DATE, 'v_2_0014' AS COD_KPI, 'REGULAMENTAR' AS TIPOLOGIA_TESTE, 'Os valores numéricos a partir de 1 devem ser reportados.' AS DESCRIÇÃO, 'BU_LOANTAPE_WORK.OUT_B0200_MAIN_LIABILITIES' AS TABELA, '0160_rank_insolv' AS CAMPO, COUNT(*) AS NUM_REG, SUM(IF(CAST(`0160_rank_insolv` AS STRING) NOT REGEXP '^-?[0-9]+$',1 ,0)) AS NUM_REG_DIF, GROUP_CONCAT(CASE WHEN CAST(`0160_rank_insolv` AS STRING) NOT REGEXP '^-?[0-9]+$' THEN X.CHAVE_IT ELSE NULL END, '; ') AS DETALHE FROM (SELECT *, 0020_UNIQ_ID AS CHAVE_IT, 0160_rank_insolv AS CAMPO_IT FROM BU_LOANTAPE_WORK.OUT_B0200_MAIN_LIABILITIES WHERE REF_DATE='"&amp; RefDate &amp;"')X GROUP BY 1</v>
      </c>
    </row>
    <row r="53" spans="1:11" x14ac:dyDescent="0.3">
      <c r="A53" t="s">
        <v>235</v>
      </c>
      <c r="B53" t="s">
        <v>475</v>
      </c>
      <c r="C53" s="7">
        <v>1</v>
      </c>
      <c r="D53" s="1" t="str">
        <f>+VLOOKUP(A53,Descrição!A:K,11,FALSE)</f>
        <v>O valor reportado deve ser uma data (yyy-mm-dd).</v>
      </c>
      <c r="E53" t="s">
        <v>648</v>
      </c>
      <c r="F53" t="s">
        <v>11</v>
      </c>
      <c r="G53" t="s">
        <v>381</v>
      </c>
      <c r="H53" t="s">
        <v>474</v>
      </c>
      <c r="I53" s="7">
        <f t="shared" si="3"/>
        <v>0</v>
      </c>
      <c r="J53" s="8" t="str">
        <f t="shared" si="4"/>
        <v>THEN X.CHAVE_IT ELSE NULL END</v>
      </c>
      <c r="K53" s="5" t="str">
        <f t="shared" si="5"/>
        <v>UNION ALL SELECT '"&amp; RefDate &amp;"' AS REF_DATE, 'v_2_0015' AS COD_KPI, 'REGULAMENTAR' AS TIPOLOGIA_TESTE, 'O valor reportado deve ser uma data (yyy-mm-dd).' AS DESCRIÇÃO, 'BU_LOANTAPE_WORK.OUT_B0200_MAIN_LIABILITIES' AS TABELA, '0170_dt_incptn' AS CAMPO, COUNT(*) AS NUM_REG, SUM(IF(`0170_dt_incptn` NOT REGEXP '^[0-9]{4}-[0-9]{2}-[0-9]{2}$' AND `0020_uniq_id` NOT IN ('NCNP', 'NCBP'),1 ,0)) AS NUM_REG_DIF, GROUP_CONCAT(CASE WHEN `0170_dt_incptn` NOT REGEXP '^[0-9]{4}-[0-9]{2}-[0-9]{2}$' AND `0020_uniq_id` NOT IN ('NCNP', 'NCBP') THEN X.CHAVE_IT ELSE NULL END, '; ') AS DETALHE FROM (SELECT *, 0020_UNIQ_ID AS CHAVE_IT, 0170_dt_incptn AS CAMPO_IT FROM BU_LOANTAPE_WORK.OUT_B0200_MAIN_LIABILITIES WHERE REF_DATE='"&amp; RefDate &amp;"')X GROUP BY 1</v>
      </c>
    </row>
    <row r="54" spans="1:11" x14ac:dyDescent="0.3">
      <c r="A54" t="s">
        <v>240</v>
      </c>
      <c r="B54" t="s">
        <v>475</v>
      </c>
      <c r="C54" s="7">
        <v>1</v>
      </c>
      <c r="D54" s="1" t="str">
        <f>+VLOOKUP(A54,Descrição!A:K,11,FALSE)</f>
        <v>O valor declarado deve ser anterior à Data do próximo pagamento (parcial) de resgate (c0190) e à data de resgate mais antiga (c0200).</v>
      </c>
      <c r="E54" t="s">
        <v>648</v>
      </c>
      <c r="F54" t="s">
        <v>11</v>
      </c>
      <c r="G54" t="s">
        <v>381</v>
      </c>
      <c r="H54" t="s">
        <v>476</v>
      </c>
      <c r="I54" s="7">
        <f t="shared" si="3"/>
        <v>0</v>
      </c>
      <c r="J54" s="8" t="str">
        <f t="shared" si="4"/>
        <v>THEN X.CHAVE_IT ELSE NULL END</v>
      </c>
      <c r="K54" s="5" t="str">
        <f t="shared" si="5"/>
        <v>UNION ALL SELECT '"&amp; RefDate &amp;"' AS REF_DATE, 'v_2_0016' AS COD_KPI, 'REGULAMENTAR' AS TIPOLOGIA_TESTE, 'O valor declarado deve ser anterior à Data do próximo pagamento (parcial) de resgate (c0190) e à data de resgate mais antiga (c0200).' AS DESCRIÇÃO, 'BU_LOANTAPE_WORK.OUT_B0200_MAIN_LIABILITIES' AS TABELA, '0170_dt_incptn' AS CAMPO, COUNT(*) AS NUM_REG, SUM(IF(`0170_dt_incptn` &gt;= `0190_dt_nxt_rdmptn_pymnt` AND `0170_dt_incptn` &gt;= `0200_dt_erlst_rdmptn` AND `0170_dt_incptn` != '0001-01-01' AND (`0190_dt_nxt_rdmptn_pymnt` != '0001-01-01' AND `0200_dt_erlst_rdmptn` != '0001-01-01') AND `0020_uniq_id` NOT IN ('NCNP', 'NCBP'),1 ,0)) AS NUM_REG_DIF, GROUP_CONCAT(CASE WHEN `0170_dt_incptn` &gt;= `0190_dt_nxt_rdmptn_pymnt` AND `0170_dt_incptn` &gt;= `0200_dt_erlst_rdmptn` AND `0170_dt_incptn` != '0001-01-01' AND (`0190_dt_nxt_rdmptn_pymnt` != '0001-01-01' AND `0200_dt_erlst_rdmptn` != '0001-01-01') AND `0020_uniq_id` NOT IN ('NCNP', 'NCBP') THEN X.CHAVE_IT ELSE NULL END, '; ') AS DETALHE FROM (SELECT *, 0020_UNIQ_ID AS CHAVE_IT, 0170_dt_incptn AS CAMPO_IT FROM BU_LOANTAPE_WORK.OUT_B0200_MAIN_LIABILITIES WHERE REF_DATE='"&amp; RefDate &amp;"')X GROUP BY 1</v>
      </c>
    </row>
    <row r="55" spans="1:11" x14ac:dyDescent="0.3">
      <c r="A55" t="s">
        <v>243</v>
      </c>
      <c r="B55" t="s">
        <v>418</v>
      </c>
      <c r="C55" s="7">
        <v>1</v>
      </c>
      <c r="D55" s="1" t="str">
        <f>+VLOOKUP(A55,Descrição!A:K,11,FALSE)</f>
        <v>O valor reportado deve ser uma data (yyy-mm-dd).</v>
      </c>
      <c r="E55" t="s">
        <v>648</v>
      </c>
      <c r="F55" t="s">
        <v>11</v>
      </c>
      <c r="G55" t="s">
        <v>381</v>
      </c>
      <c r="H55" t="s">
        <v>477</v>
      </c>
      <c r="I55" s="7">
        <f t="shared" si="3"/>
        <v>0</v>
      </c>
      <c r="J55" s="8" t="str">
        <f t="shared" si="4"/>
        <v>THEN X.CHAVE_IT ELSE NULL END</v>
      </c>
      <c r="K55" s="5" t="str">
        <f t="shared" si="5"/>
        <v>UNION ALL SELECT '"&amp; RefDate &amp;"' AS REF_DATE, 'v_2_0017' AS COD_KPI, 'REGULAMENTAR' AS TIPOLOGIA_TESTE, 'O valor reportado deve ser uma data (yyy-mm-dd).' AS DESCRIÇÃO, 'BU_LOANTAPE_WORK.OUT_B0200_MAIN_LIABILITIES' AS TABELA, '0180_dt_nxt_intrst_pymnt' AS CAMPO, COUNT(*) AS NUM_REG, SUM(IF(`0180_dt_nxt_intrst_pymnt` NOT REGEXP '^[0-9]{4}-[0-9]{2}-[0-9]{2}$' AND `0020_uniq_id` NOT IN ('NCNP', 'NCBP'),1 ,0)) AS NUM_REG_DIF, GROUP_CONCAT(CASE WHEN `0180_dt_nxt_intrst_pymnt` NOT REGEXP '^[0-9]{4}-[0-9]{2}-[0-9]{2}$' AND `0020_uniq_id` NOT IN ('NCNP', 'NCBP') THEN X.CHAVE_IT ELSE NULL END, '; ') AS DETALHE FROM (SELECT *, 0020_UNIQ_ID AS CHAVE_IT, 0180_dt_nxt_intrst_pymnt AS CAMPO_IT FROM BU_LOANTAPE_WORK.OUT_B0200_MAIN_LIABILITIES WHERE REF_DATE='"&amp; RefDate &amp;"')X GROUP BY 1</v>
      </c>
    </row>
    <row r="56" spans="1:11" x14ac:dyDescent="0.3">
      <c r="A56" s="11" t="s">
        <v>244</v>
      </c>
      <c r="B56" s="11" t="s">
        <v>418</v>
      </c>
      <c r="C56" s="12">
        <v>0</v>
      </c>
      <c r="D56" s="13" t="str">
        <f>+VLOOKUP(A56,Descrição!A:K,11,FALSE)</f>
        <v>O valor declarado deve ser posterior à data de referência reportada em B99.00 (c0070).</v>
      </c>
      <c r="E56" s="11" t="s">
        <v>648</v>
      </c>
      <c r="F56" s="11" t="s">
        <v>11</v>
      </c>
      <c r="G56" s="11" t="s">
        <v>381</v>
      </c>
      <c r="H56" s="11" t="s">
        <v>478</v>
      </c>
      <c r="I56" s="12">
        <f t="shared" si="3"/>
        <v>1</v>
      </c>
      <c r="J56" s="14" t="str">
        <f t="shared" si="4"/>
        <v>THEN NULL ELSE X.CHAVE_IT END</v>
      </c>
      <c r="K56" s="11" t="str">
        <f>"--UNION ALL SELECT '"&amp;E56&amp;"' AS REF_DATE, '"&amp;A56&amp;"' AS COD_KPI, '"&amp;F56&amp;"' AS TIPOLOGIA_TESTE, '"&amp;D56&amp;"' AS DESCRIÇÃO, '"&amp;G56&amp;"' AS TABELA, '"&amp;B56&amp;"' AS CAMPO, COUNT(*) AS NUM_REG, SUM(IF("&amp;H56&amp;","&amp;C56&amp;" ,"&amp;I56&amp;")) AS NUM_REG_DIF, GROUP_CONCAT(CASE WHEN "&amp;H56&amp;" "&amp;J56&amp;", '; ') AS DETALHE FROM (SELECT *, 0020_UNIQ_ID AS CHAVE_IT, "&amp;B56&amp;" AS CAMPO_IT FROM "&amp;G56&amp;" WHERE REF_DATE='"&amp;E56&amp;"')X GROUP BY 1"</f>
        <v>--UNION ALL SELECT '"&amp; RefDate &amp;"' AS REF_DATE, 'v_2_0018' AS COD_KPI, 'REGULAMENTAR' AS TIPOLOGIA_TESTE, 'O valor declarado deve ser posterior à data de referência reportada em B99.00 (c0070).' AS DESCRIÇÃO, 'BU_LOANTAPE_WORK.OUT_B0200_MAIN_LIABILITIES' AS TABELA, '0180_dt_nxt_intrst_pymnt' AS CAMPO, COUNT(*) AS NUM_REG, SUM(IF((`0180_dt_nxt_intrst_pymnt` &gt; `0070_cntrct_crrncy` AND `0070_cntrct_crrncy` != '' AND `0020_uniq_id` NOT IN ('NCNP', 'NCBP')) OR `0180_dt_nxt_intrst_pymnt` IN ('0001-01-01', ''),0 ,1)) AS NUM_REG_DIF, GROUP_CONCAT(CASE WHEN (`0180_dt_nxt_intrst_pymnt` &gt; `0070_cntrct_crrncy` AND `0070_cntrct_crrncy` != '' AND `0020_uniq_id` NOT IN ('NCNP', 'NCBP')) OR `0180_dt_nxt_intrst_pymnt` IN ('0001-01-01', '') THEN NULL ELSE X.CHAVE_IT END, '; ') AS DETALHE FROM (SELECT *, 0020_UNIQ_ID AS CHAVE_IT, 0180_dt_nxt_intrst_pymnt AS CAMPO_IT FROM BU_LOANTAPE_WORK.OUT_B0200_MAIN_LIABILITIES WHERE REF_DATE='"&amp; RefDate &amp;"')X GROUP BY 1</v>
      </c>
    </row>
    <row r="57" spans="1:11" x14ac:dyDescent="0.3">
      <c r="A57" t="s">
        <v>247</v>
      </c>
      <c r="B57" t="s">
        <v>421</v>
      </c>
      <c r="C57" s="7">
        <v>1</v>
      </c>
      <c r="D57" s="1" t="str">
        <f>+VLOOKUP(A57,Descrição!A:K,11,FALSE)</f>
        <v>O valor reportado deve ser uma data (yyy-mm-dd).</v>
      </c>
      <c r="E57" t="s">
        <v>648</v>
      </c>
      <c r="F57" t="s">
        <v>11</v>
      </c>
      <c r="G57" t="s">
        <v>381</v>
      </c>
      <c r="H57" t="s">
        <v>479</v>
      </c>
      <c r="I57" s="7">
        <f t="shared" si="3"/>
        <v>0</v>
      </c>
      <c r="J57" s="8" t="str">
        <f t="shared" si="4"/>
        <v>THEN X.CHAVE_IT ELSE NULL END</v>
      </c>
      <c r="K57" s="5" t="str">
        <f>"UNION ALL SELECT '"&amp;E57&amp;"' AS REF_DATE, '"&amp;A57&amp;"' AS COD_KPI, '"&amp;F57&amp;"' AS TIPOLOGIA_TESTE, '"&amp;D57&amp;"' AS DESCRIÇÃO, '"&amp;G57&amp;"' AS TABELA, '"&amp;B57&amp;"' AS CAMPO, COUNT(*) AS NUM_REG, SUM(IF("&amp;H57&amp;","&amp;C57&amp;" ,"&amp;I57&amp;")) AS NUM_REG_DIF, GROUP_CONCAT(CASE WHEN "&amp;H57&amp;" "&amp;J57&amp;", '; ') AS DETALHE FROM (SELECT *, 0020_UNIQ_ID AS CHAVE_IT, "&amp;B57&amp;" AS CAMPO_IT FROM "&amp;G57&amp;" WHERE REF_DATE='"&amp;E57&amp;"')X GROUP BY 1"</f>
        <v>UNION ALL SELECT '"&amp; RefDate &amp;"' AS REF_DATE, 'v_2_0019' AS COD_KPI, 'REGULAMENTAR' AS TIPOLOGIA_TESTE, 'O valor reportado deve ser uma data (yyy-mm-dd).' AS DESCRIÇÃO, 'BU_LOANTAPE_WORK.OUT_B0200_MAIN_LIABILITIES' AS TABELA, '0200_dt_erlst_rdmptn' AS CAMPO, COUNT(*) AS NUM_REG, SUM(IF(`0200_dt_erlst_rdmptn` NOT REGEXP '^[0-9]{4}-[0-9]{2}-[0-9]{2}$' AND `0020_uniq_id` NOT IN ('NCNP', 'NCBP'),1 ,0)) AS NUM_REG_DIF, GROUP_CONCAT(CASE WHEN `0200_dt_erlst_rdmptn` NOT REGEXP '^[0-9]{4}-[0-9]{2}-[0-9]{2}$' AND `0020_uniq_id` NOT IN ('NCNP', 'NCBP') THEN X.CHAVE_IT ELSE NULL END, '; ') AS DETALHE FROM (SELECT *, 0020_UNIQ_ID AS CHAVE_IT, 0200_dt_erlst_rdmptn AS CAMPO_IT FROM BU_LOANTAPE_WORK.OUT_B0200_MAIN_LIABILITIES WHERE REF_DATE='"&amp; RefDate &amp;"')X GROUP BY 1</v>
      </c>
    </row>
    <row r="58" spans="1:11" x14ac:dyDescent="0.3">
      <c r="A58" s="11" t="s">
        <v>248</v>
      </c>
      <c r="B58" s="11" t="s">
        <v>421</v>
      </c>
      <c r="C58" s="12">
        <v>0</v>
      </c>
      <c r="D58" s="13" t="str">
        <f>+VLOOKUP(A58,Descrição!A:K,11,FALSE)</f>
        <v>O valor declarado deve ser posterior à data de referência reportada em B99.00 (c0070).</v>
      </c>
      <c r="E58" s="11" t="s">
        <v>648</v>
      </c>
      <c r="F58" s="11" t="s">
        <v>11</v>
      </c>
      <c r="G58" s="11" t="s">
        <v>381</v>
      </c>
      <c r="H58" s="11" t="s">
        <v>480</v>
      </c>
      <c r="I58" s="12">
        <f t="shared" si="3"/>
        <v>1</v>
      </c>
      <c r="J58" s="14" t="str">
        <f t="shared" si="4"/>
        <v>THEN NULL ELSE X.CHAVE_IT END</v>
      </c>
      <c r="K58" s="11" t="str">
        <f>"--UNION ALL SELECT '"&amp;E58&amp;"' AS REF_DATE, '"&amp;A58&amp;"' AS COD_KPI, '"&amp;F58&amp;"' AS TIPOLOGIA_TESTE, '"&amp;D58&amp;"' AS DESCRIÇÃO, '"&amp;G58&amp;"' AS TABELA, '"&amp;B58&amp;"' AS CAMPO, COUNT(*) AS NUM_REG, SUM(IF("&amp;H58&amp;","&amp;C58&amp;" ,"&amp;I58&amp;")) AS NUM_REG_DIF, GROUP_CONCAT(CASE WHEN "&amp;H58&amp;" "&amp;J58&amp;", '; ') AS DETALHE FROM (SELECT *, 0020_UNIQ_ID AS CHAVE_IT, "&amp;B58&amp;" AS CAMPO_IT FROM "&amp;G58&amp;" WHERE REF_DATE='"&amp;E58&amp;"')X GROUP BY 1"</f>
        <v>--UNION ALL SELECT '"&amp; RefDate &amp;"' AS REF_DATE, 'v_2_0020' AS COD_KPI, 'REGULAMENTAR' AS TIPOLOGIA_TESTE, 'O valor declarado deve ser posterior à data de referência reportada em B99.00 (c0070).' AS DESCRIÇÃO, 'BU_LOANTAPE_WORK.OUT_B0200_MAIN_LIABILITIES' AS TABELA, '0200_dt_erlst_rdmptn' AS CAMPO, COUNT(*) AS NUM_REG, SUM(IF((`0200_dt_erlst_rdmptn` &gt; `0070_cntrct_crrncy` AND `0070_cntrct_crrncy` != '' AND `0020_uniq_id` NOT IN ('NCNP', 'NCBP')) OR `0200_dt_erlst_rdmptn` IN ('0001-01-01'),0 ,1)) AS NUM_REG_DIF, GROUP_CONCAT(CASE WHEN (`0200_dt_erlst_rdmptn` &gt; `0070_cntrct_crrncy` AND `0070_cntrct_crrncy` != '' AND `0020_uniq_id` NOT IN ('NCNP', 'NCBP')) OR `0200_dt_erlst_rdmptn` IN ('0001-01-01') THEN NULL ELSE X.CHAVE_IT END, '; ') AS DETALHE FROM (SELECT *, 0020_UNIQ_ID AS CHAVE_IT, 0200_dt_erlst_rdmptn AS CAMPO_IT FROM BU_LOANTAPE_WORK.OUT_B0200_MAIN_LIABILITIES WHERE REF_DATE='"&amp; RefDate &amp;"')X GROUP BY 1</v>
      </c>
    </row>
    <row r="59" spans="1:11" x14ac:dyDescent="0.3">
      <c r="A59" t="s">
        <v>249</v>
      </c>
      <c r="B59" t="s">
        <v>423</v>
      </c>
      <c r="C59" s="7">
        <v>1</v>
      </c>
      <c r="D59" s="1" t="str">
        <f>+VLOOKUP(A59,Descrição!A:K,11,FALSE)</f>
        <v>O valor reportado deve ser uma data (yyy-mm-dd).</v>
      </c>
      <c r="E59" t="s">
        <v>648</v>
      </c>
      <c r="F59" t="s">
        <v>11</v>
      </c>
      <c r="G59" t="s">
        <v>381</v>
      </c>
      <c r="H59" t="s">
        <v>481</v>
      </c>
      <c r="I59" s="7">
        <f t="shared" si="3"/>
        <v>0</v>
      </c>
      <c r="J59" s="8" t="str">
        <f t="shared" si="4"/>
        <v>THEN X.CHAVE_IT ELSE NULL END</v>
      </c>
      <c r="K59" s="5" t="str">
        <f>"UNION ALL SELECT '"&amp;E59&amp;"' AS REF_DATE, '"&amp;A59&amp;"' AS COD_KPI, '"&amp;F59&amp;"' AS TIPOLOGIA_TESTE, '"&amp;D59&amp;"' AS DESCRIÇÃO, '"&amp;G59&amp;"' AS TABELA, '"&amp;B59&amp;"' AS CAMPO, COUNT(*) AS NUM_REG, SUM(IF("&amp;H59&amp;","&amp;C59&amp;" ,"&amp;I59&amp;")) AS NUM_REG_DIF, GROUP_CONCAT(CASE WHEN "&amp;H59&amp;" "&amp;J59&amp;", '; ') AS DETALHE FROM (SELECT *, 0020_UNIQ_ID AS CHAVE_IT, "&amp;B59&amp;" AS CAMPO_IT FROM "&amp;G59&amp;" WHERE REF_DATE='"&amp;E59&amp;"')X GROUP BY 1"</f>
        <v>UNION ALL SELECT '"&amp; RefDate &amp;"' AS REF_DATE, 'v_2_0021' AS COD_KPI, 'REGULAMENTAR' AS TIPOLOGIA_TESTE, 'O valor reportado deve ser uma data (yyy-mm-dd).' AS DESCRIÇÃO, 'BU_LOANTAPE_WORK.OUT_B0200_MAIN_LIABILITIES' AS TABELA, '0210_dt_lgl_fnl_mtrty' AS CAMPO, COUNT(*) AS NUM_REG, SUM(IF(`0210_dt_lgl_fnl_mtrty` NOT REGEXP '^[0-9]{4}-[0-9]{2}-[0-9]{2}$' AND `0020_uniq_id` NOT IN ('NCNP', 'NCBP'),1 ,0)) AS NUM_REG_DIF, GROUP_CONCAT(CASE WHEN `0210_dt_lgl_fnl_mtrty` NOT REGEXP '^[0-9]{4}-[0-9]{2}-[0-9]{2}$' AND `0020_uniq_id` NOT IN ('NCNP', 'NCBP') THEN X.CHAVE_IT ELSE NULL END, '; ') AS DETALHE FROM (SELECT *, 0020_UNIQ_ID AS CHAVE_IT, 0210_dt_lgl_fnl_mtrty AS CAMPO_IT FROM BU_LOANTAPE_WORK.OUT_B0200_MAIN_LIABILITIES WHERE REF_DATE='"&amp; RefDate &amp;"')X GROUP BY 1</v>
      </c>
    </row>
    <row r="60" spans="1:11" x14ac:dyDescent="0.3">
      <c r="A60" s="11" t="s">
        <v>250</v>
      </c>
      <c r="B60" s="11" t="s">
        <v>423</v>
      </c>
      <c r="C60" s="12">
        <v>0</v>
      </c>
      <c r="D60" s="13" t="str">
        <f>+VLOOKUP(A60,Descrição!A:K,11,FALSE)</f>
        <v>O valor declarado deve ser posterior à data de referência reportada em B99.00 (c0070).</v>
      </c>
      <c r="E60" s="11" t="s">
        <v>648</v>
      </c>
      <c r="F60" s="11" t="s">
        <v>11</v>
      </c>
      <c r="G60" s="11" t="s">
        <v>381</v>
      </c>
      <c r="H60" s="11" t="s">
        <v>482</v>
      </c>
      <c r="I60" s="12">
        <f t="shared" si="3"/>
        <v>1</v>
      </c>
      <c r="J60" s="14" t="str">
        <f t="shared" si="4"/>
        <v>THEN NULL ELSE X.CHAVE_IT END</v>
      </c>
      <c r="K60" s="11" t="str">
        <f>"--UNION ALL SELECT '"&amp;E60&amp;"' AS REF_DATE, '"&amp;A60&amp;"' AS COD_KPI, '"&amp;F60&amp;"' AS TIPOLOGIA_TESTE, '"&amp;D60&amp;"' AS DESCRIÇÃO, '"&amp;G60&amp;"' AS TABELA, '"&amp;B60&amp;"' AS CAMPO, COUNT(*) AS NUM_REG, SUM(IF("&amp;H60&amp;","&amp;C60&amp;" ,"&amp;I60&amp;")) AS NUM_REG_DIF, GROUP_CONCAT(CASE WHEN "&amp;H60&amp;" "&amp;J60&amp;", '; ') AS DETALHE FROM (SELECT *, 0020_UNIQ_ID AS CHAVE_IT, "&amp;B60&amp;" AS CAMPO_IT FROM "&amp;G60&amp;" WHERE REF_DATE='"&amp;E60&amp;"')X GROUP BY 1"</f>
        <v>--UNION ALL SELECT '"&amp; RefDate &amp;"' AS REF_DATE, 'v_2_0022' AS COD_KPI, 'REGULAMENTAR' AS TIPOLOGIA_TESTE, 'O valor declarado deve ser posterior à data de referência reportada em B99.00 (c0070).' AS DESCRIÇÃO, 'BU_LOANTAPE_WORK.OUT_B0200_MAIN_LIABILITIES' AS TABELA, '0210_dt_lgl_fnl_mtrty' AS CAMPO, COUNT(*) AS NUM_REG, SUM(IF(`0210_dt_lgl_fnl_mtrty` &gt; `0070_cntrct_crrncy` AND `0070_cntrct_crrncy` != '' AND `0020_uniq_id` NOT IN ('NCNP', 'NCBP'),0 ,1)) AS NUM_REG_DIF, GROUP_CONCAT(CASE WHEN `0210_dt_lgl_fnl_mtrty` &gt; `0070_cntrct_crrncy` AND `0070_cntrct_crrncy` != '' AND `0020_uniq_id` NOT IN ('NCNP', 'NCBP') THEN NULL ELSE X.CHAVE_IT END, '; ') AS DETALHE FROM (SELECT *, 0020_UNIQ_ID AS CHAVE_IT, 0210_dt_lgl_fnl_mtrty AS CAMPO_IT FROM BU_LOANTAPE_WORK.OUT_B0200_MAIN_LIABILITIES WHERE REF_DATE='"&amp; RefDate &amp;"')X GROUP BY 1</v>
      </c>
    </row>
    <row r="61" spans="1:11" x14ac:dyDescent="0.3">
      <c r="A61" t="s">
        <v>251</v>
      </c>
      <c r="B61" t="s">
        <v>425</v>
      </c>
      <c r="C61" s="7">
        <v>1</v>
      </c>
      <c r="D61" s="1" t="str">
        <f>+VLOOKUP(A61,Descrição!A:K,11,FALSE)</f>
        <v>A legislação aplicável deve ser reportada utilizando o código ISO 3166-1 alpha-2.</v>
      </c>
      <c r="E61" t="s">
        <v>648</v>
      </c>
      <c r="F61" t="s">
        <v>11</v>
      </c>
      <c r="G61" t="s">
        <v>381</v>
      </c>
      <c r="H61" t="s">
        <v>483</v>
      </c>
      <c r="I61" s="7">
        <f t="shared" si="3"/>
        <v>0</v>
      </c>
      <c r="J61" s="8" t="str">
        <f t="shared" si="4"/>
        <v>THEN X.CHAVE_IT ELSE NULL END</v>
      </c>
      <c r="K61" s="5" t="str">
        <f t="shared" ref="K61:K92" si="6">"UNION ALL SELECT '"&amp;E61&amp;"' AS REF_DATE, '"&amp;A61&amp;"' AS COD_KPI, '"&amp;F61&amp;"' AS TIPOLOGIA_TESTE, '"&amp;D61&amp;"' AS DESCRIÇÃO, '"&amp;G61&amp;"' AS TABELA, '"&amp;B61&amp;"' AS CAMPO, COUNT(*) AS NUM_REG, SUM(IF("&amp;H61&amp;","&amp;C61&amp;" ,"&amp;I61&amp;")) AS NUM_REG_DIF, GROUP_CONCAT(CASE WHEN "&amp;H61&amp;" "&amp;J61&amp;", '; ') AS DETALHE FROM (SELECT *, 0020_UNIQ_ID AS CHAVE_IT, "&amp;B61&amp;" AS CAMPO_IT FROM "&amp;G61&amp;" WHERE REF_DATE='"&amp;E61&amp;"')X GROUP BY 1"</f>
        <v>UNION ALL SELECT '"&amp; RefDate &amp;"' AS REF_DATE, 'v_2_0023' AS COD_KPI, 'REGULAMENTAR' AS TIPOLOGIA_TESTE, 'A legislação aplicável deve ser reportada utilizando o código ISO 3166-1 alpha-2.' AS DESCRIÇÃO, 'BU_LOANTAPE_WORK.OUT_B0200_MAIN_LIABILITIES' AS TABELA, '0220_governing_law' AS CAMPO, COUNT(*) AS NUM_REG, SUM(IF(`0020_uniq_id` NOT IN ('NCNP', 'NCBP') AND `0220_governing_law` NOT IN ('AF','AX','AL','DZ','AS','AD','AO','AI','AQ','AG','AR','AM','AW','AU','AT','AZ','BS','BH','BD','BB','BY','BE','BZ','BJ','BM','BT','BO','BQ','BA','BW','BV','BR','IO','BN','BG','BF','BI','CV','KH','CM','CA','KY','CF','TD','CL','CN','CX','CC','CO','KM','CG','CD','CK','CR','CI','HR','CU','CW','CY','CZ','DK','DJ','DM','DO','EC','EG','SV','GQ','ER','EE','SZ','ET','FK','FO','FJ','FI','FR','GF','PF','TF','GA','GM','GE','DE','GH','GI','GR','GL','GD','GP','GU','GT','GG','GN','GW','GY','HT','HM','VA','HN','HK','HU','IS','IN','ID','IR','IQ','IE','IM','IL','IT','JM','JP','JE','JO','KZ','KE','KI','KP','KR','KW','KG','LA','LV','LB','LS','LR','LY','LI','LT','LU','MO','MG','MW','MY','MV','ML','MT','MH','MQ','MR','MU','YT','MX','FM','MD','MC','MN','ME','MS','MA','MZ','MM','NA','NR','NP','NL','NC','NZ','NI','NE','NG','NU','NF','MK','MP','NO','OM','PK','PW','PS','PA','PG','PY','PE','PH','PN','PL','PT','PR','QA','RE','RO','RU','RW','BL','SH','KN','LC','MF','PM','VC','WS','SM','ST','SA','SN','RS','SC','SL','SG','SX','SK','SI','SB','SO','ZA','GS','SS','ES','LK','SD','SR','SJ','SE','CH','SY','TW','TJ','TZ','TH','TL','TG','TK','TO','TT','TN','TR','TM','TC','TV','UG','UA','AE','GB','US','UM','UY','UZ','VU','VE','VN','VG','VI','WF','EH','YE','ZM','ZW'),1 ,0)) AS NUM_REG_DIF, GROUP_CONCAT(CASE WHEN `0020_uniq_id` NOT IN ('NCNP', 'NCBP') AND `0220_governing_law` NOT IN ('AF','AX','AL','DZ','AS','AD','AO','AI','AQ','AG','AR','AM','AW','AU','AT','AZ','BS','BH','BD','BB','BY','BE','BZ','BJ','BM','BT','BO','BQ','BA','BW','BV','BR','IO','BN','BG','BF','BI','CV','KH','CM','CA','KY','CF','TD','CL','CN','CX','CC','CO','KM','CG','CD','CK','CR','CI','HR','CU','CW','CY','CZ','DK','DJ','DM','DO','EC','EG','SV','GQ','ER','EE','SZ','ET','FK','FO','FJ','FI','FR','GF','PF','TF','GA','GM','GE','DE','GH','GI','GR','GL','GD','GP','GU','GT','GG','GN','GW','GY','HT','HM','VA','HN','HK','HU','IS','IN','ID','IR','IQ','IE','IM','IL','IT','JM','JP','JE','JO','KZ','KE','KI','KP','KR','KW','KG','LA','LV','LB','LS','LR','LY','LI','LT','LU','MO','MG','MW','MY','MV','ML','MT','MH','MQ','MR','MU','YT','MX','FM','MD','MC','MN','ME','MS','MA','MZ','MM','NA','NR','NP','NL','NC','NZ','NI','NE','NG','NU','NF','MK','MP','NO','OM','PK','PW','PS','PA','PG','PY','PE','PH','PN','PL','PT','PR','QA','RE','RO','RU','RW','BL','SH','KN','LC','MF','PM','VC','WS','SM','ST','SA','SN','RS','SC','SL','SG','SX','SK','SI','SB','SO','ZA','GS','SS','ES','LK','SD','SR','SJ','SE','CH','SY','TW','TJ','TZ','TH','TL','TG','TK','TO','TT','TN','TR','TM','TC','TV','UG','UA','AE','GB','US','UM','UY','UZ','VU','VE','VN','VG','VI','WF','EH','YE','ZM','ZW') THEN X.CHAVE_IT ELSE NULL END, '; ') AS DETALHE FROM (SELECT *, 0020_UNIQ_ID AS CHAVE_IT, 0220_governing_law AS CAMPO_IT FROM BU_LOANTAPE_WORK.OUT_B0200_MAIN_LIABILITIES WHERE REF_DATE='"&amp; RefDate &amp;"')X GROUP BY 1</v>
      </c>
    </row>
    <row r="62" spans="1:11" x14ac:dyDescent="0.3">
      <c r="A62" t="s">
        <v>254</v>
      </c>
      <c r="B62" t="s">
        <v>485</v>
      </c>
      <c r="C62" s="7">
        <v>1</v>
      </c>
      <c r="D62" s="1" t="str">
        <f>+VLOOKUP(A62,Descrição!A:K,11,FALSE)</f>
        <v>Os valores dos dropdowns devem ser respeitados.</v>
      </c>
      <c r="E62" t="s">
        <v>648</v>
      </c>
      <c r="F62" t="s">
        <v>11</v>
      </c>
      <c r="G62" t="s">
        <v>381</v>
      </c>
      <c r="H62" t="s">
        <v>484</v>
      </c>
      <c r="I62" s="7">
        <f t="shared" si="3"/>
        <v>0</v>
      </c>
      <c r="J62" s="8" t="str">
        <f t="shared" si="4"/>
        <v>THEN X.CHAVE_IT ELSE NULL END</v>
      </c>
      <c r="K62" s="5" t="str">
        <f t="shared" si="6"/>
        <v>UNION ALL SELECT '"&amp; RefDate &amp;"' AS REF_DATE, 'v_2_0024' AS COD_KPI, 'REGULAMENTAR' AS TIPOLOGIA_TESTE, 'Os valores dos dropdowns devem ser respeitados.' AS DESCRIÇÃO, 'BU_LOANTAPE_WORK.OUT_B0200_MAIN_LIABILITIES' AS TABELA, '0230_bail_in_rcgntn_cls' AS CAMPO, COUNT(*) AS NUM_REG, SUM(IF(`0230_bail_in_rcgntn_cls` NOT IN ('Yes, supported by Legal Opinion', 'Yes, not supported by Legal Opinion', 'No', 'Not applicable', 'Aggregated') AND `0020_uniq_id` NOT IN ('NCNP', 'NCBP'),1 ,0)) AS NUM_REG_DIF, GROUP_CONCAT(CASE WHEN `0230_bail_in_rcgntn_cls` NOT IN ('Yes, supported by Legal Opinion', 'Yes, not supported by Legal Opinion', 'No', 'Not applicable', 'Aggregated') AND `0020_uniq_id` NOT IN ('NCNP', 'NCBP') THEN X.CHAVE_IT ELSE NULL END, '; ') AS DETALHE FROM (SELECT *, 0020_UNIQ_ID AS CHAVE_IT, 0230_bail_in_rcgntn_cls AS CAMPO_IT FROM BU_LOANTAPE_WORK.OUT_B0200_MAIN_LIABILITIES WHERE REF_DATE='"&amp; RefDate &amp;"')X GROUP BY 1</v>
      </c>
    </row>
    <row r="63" spans="1:11" x14ac:dyDescent="0.3">
      <c r="A63" t="s">
        <v>257</v>
      </c>
      <c r="B63" t="s">
        <v>427</v>
      </c>
      <c r="C63" s="7">
        <v>1</v>
      </c>
      <c r="D63" s="1" t="str">
        <f>+VLOOKUP(A63,Descrição!A:K,11,FALSE)</f>
        <v>Os valores dos dropdowns devem ser respeitados.</v>
      </c>
      <c r="E63" t="s">
        <v>648</v>
      </c>
      <c r="F63" t="s">
        <v>11</v>
      </c>
      <c r="G63" t="s">
        <v>381</v>
      </c>
      <c r="H63" t="s">
        <v>486</v>
      </c>
      <c r="I63" s="7">
        <f t="shared" si="3"/>
        <v>0</v>
      </c>
      <c r="J63" s="8" t="str">
        <f t="shared" si="4"/>
        <v>THEN X.CHAVE_IT ELSE NULL END</v>
      </c>
      <c r="K63" s="5" t="str">
        <f t="shared" si="6"/>
        <v>UNION ALL SELECT '"&amp; RefDate &amp;"' AS REF_DATE, 'v_2_0025' AS COD_KPI, 'REGULAMENTAR' AS TIPOLOGIA_TESTE, 'Os valores dos dropdowns devem ser respeitados.' AS DESCRIÇÃO, 'BU_LOANTAPE_WORK.OUT_B0200_MAIN_LIABILITIES' AS TABELA, '0250_strctrd_prdct' AS CAMPO, COUNT(*) AS NUM_REG, SUM(IF(`0250_strctrd_prdct` NOT IN ('Non-structured/Vanilla', 'Structured', 'Other non-standard terms', 'Only structured coupon', 'Aggregated'),1 ,0)) AS NUM_REG_DIF, GROUP_CONCAT(CASE WHEN `0250_strctrd_prdct` NOT IN ('Non-structured/Vanilla', 'Structured', 'Other non-standard terms', 'Only structured coupon', 'Aggregated') THEN X.CHAVE_IT ELSE NULL END, '; ') AS DETALHE FROM (SELECT *, 0020_UNIQ_ID AS CHAVE_IT, 0250_strctrd_prdct AS CAMPO_IT FROM BU_LOANTAPE_WORK.OUT_B0200_MAIN_LIABILITIES WHERE REF_DATE='"&amp; RefDate &amp;"')X GROUP BY 1</v>
      </c>
    </row>
    <row r="64" spans="1:11" x14ac:dyDescent="0.3">
      <c r="A64" t="s">
        <v>258</v>
      </c>
      <c r="B64" t="s">
        <v>435</v>
      </c>
      <c r="C64" s="7">
        <v>1</v>
      </c>
      <c r="D64" s="1" t="str">
        <f>+VLOOKUP(A64,Descrição!A:K,11,FALSE)</f>
        <v>Os valores dos dropdowns devem ser respeitados.</v>
      </c>
      <c r="E64" t="s">
        <v>648</v>
      </c>
      <c r="F64" t="s">
        <v>11</v>
      </c>
      <c r="G64" t="s">
        <v>381</v>
      </c>
      <c r="H64" t="s">
        <v>487</v>
      </c>
      <c r="I64" s="7">
        <f t="shared" si="3"/>
        <v>0</v>
      </c>
      <c r="J64" s="8" t="str">
        <f t="shared" si="4"/>
        <v>THEN X.CHAVE_IT ELSE NULL END</v>
      </c>
      <c r="K64" s="5" t="str">
        <f t="shared" si="6"/>
        <v>UNION ALL SELECT '"&amp; RefDate &amp;"' AS REF_DATE, 'v_2_0026' AS COD_KPI, 'REGULAMENTAR' AS TIPOLOGIA_TESTE, 'Os valores dos dropdowns devem ser respeitados.' AS DESCRIÇÃO, 'BU_LOANTAPE_WORK.OUT_B0200_MAIN_LIABILITIES' AS TABELA, '0310_flg_clltrl_agrmnts' AS CAMPO, COUNT(*) AS NUM_REG, SUM(IF(`0310_flg_clltrl_agrmnts` NOT IN ('Secured', 'Unsecured'),1 ,0)) AS NUM_REG_DIF, GROUP_CONCAT(CASE WHEN `0310_flg_clltrl_agrmnts` NOT IN ('Secured', 'Unsecured') THEN X.CHAVE_IT ELSE NULL END, '; ') AS DETALHE FROM (SELECT *, 0020_UNIQ_ID AS CHAVE_IT, 0310_flg_clltrl_agrmnts AS CAMPO_IT FROM BU_LOANTAPE_WORK.OUT_B0200_MAIN_LIABILITIES WHERE REF_DATE='"&amp; RefDate &amp;"')X GROUP BY 1</v>
      </c>
    </row>
    <row r="65" spans="1:12" x14ac:dyDescent="0.3">
      <c r="A65" t="s">
        <v>259</v>
      </c>
      <c r="B65" t="s">
        <v>439</v>
      </c>
      <c r="C65" s="7">
        <v>1</v>
      </c>
      <c r="D65" s="1" t="str">
        <f>+VLOOKUP(A65,Descrição!A:K,11,FALSE)</f>
        <v>O campo reportado deve ser igual a: c0120 - c0320.</v>
      </c>
      <c r="E65" t="s">
        <v>648</v>
      </c>
      <c r="F65" t="s">
        <v>11</v>
      </c>
      <c r="G65" t="s">
        <v>381</v>
      </c>
      <c r="H65" t="s">
        <v>488</v>
      </c>
      <c r="I65" s="7">
        <f t="shared" si="3"/>
        <v>0</v>
      </c>
      <c r="J65" s="8" t="str">
        <f t="shared" si="4"/>
        <v>THEN X.CHAVE_IT ELSE NULL END</v>
      </c>
      <c r="K65" s="5" t="str">
        <f t="shared" si="6"/>
        <v>UNION ALL SELECT '"&amp; RefDate &amp;"' AS REF_DATE, 'v_2_0027' AS COD_KPI, 'REGULAMENTAR' AS TIPOLOGIA_TESTE, 'O campo reportado deve ser igual a: c0120 - c0320.' AS DESCRIÇÃO, 'BU_LOANTAPE_WORK.OUT_B0200_MAIN_LIABILITIES' AS TABELA, '0330_amnt_unclltrlzd' AS CAMPO, COUNT(*) AS NUM_REG, SUM(IF(`0330_amnt_unclltrlzd` != GREATEST(0, `0120_otstndng_amnt`-`0320_amnt_clltrl`) AND `0310_flg_clltrl_agrmnts` = 'Secured' AND `0250_strctrd_prdct` IN ('Non-structured/Vanilla', 'Other non-standard terms') AND `0240_zero_coupon` != 'ZCB issued at discount' ,1 ,0)) AS NUM_REG_DIF, GROUP_CONCAT(CASE WHEN `0330_amnt_unclltrlzd` != GREATEST(0, `0120_otstndng_amnt`-`0320_amnt_clltrl`) AND `0310_flg_clltrl_agrmnts` = 'Secured' AND `0250_strctrd_prdct` IN ('Non-structured/Vanilla', 'Other non-standard terms') AND `0240_zero_coupon` != 'ZCB issued at discount'  THEN X.CHAVE_IT ELSE NULL END, '; ') AS DETALHE FROM (SELECT *, 0020_UNIQ_ID AS CHAVE_IT, 0330_amnt_unclltrlzd AS CAMPO_IT FROM BU_LOANTAPE_WORK.OUT_B0200_MAIN_LIABILITIES WHERE REF_DATE='"&amp; RefDate &amp;"')X GROUP BY 1</v>
      </c>
    </row>
    <row r="66" spans="1:12" x14ac:dyDescent="0.3">
      <c r="A66" t="s">
        <v>263</v>
      </c>
      <c r="B66" t="s">
        <v>439</v>
      </c>
      <c r="C66" s="7">
        <v>1</v>
      </c>
      <c r="D66" s="1" t="str">
        <f>+VLOOKUP(A66,Descrição!A:K,11,FALSE)</f>
        <v>O campo reportado deve ser igual a (c0270 - c0320) se for utilizado o valor justo, ou igual a (c0120 - c0320) caso contrário.</v>
      </c>
      <c r="E66" t="s">
        <v>648</v>
      </c>
      <c r="F66" t="s">
        <v>11</v>
      </c>
      <c r="G66" t="s">
        <v>381</v>
      </c>
      <c r="H66" t="s">
        <v>489</v>
      </c>
      <c r="I66" s="7">
        <f t="shared" ref="I66:I97" si="7">+IF(C66=1,0,1)</f>
        <v>0</v>
      </c>
      <c r="J66" s="8" t="str">
        <f t="shared" ref="J66:J97" si="8">+IF(C66=0,"THEN NULL ELSE X.CHAVE_IT END","THEN X.CHAVE_IT ELSE NULL END")</f>
        <v>THEN X.CHAVE_IT ELSE NULL END</v>
      </c>
      <c r="K66" s="5" t="str">
        <f t="shared" si="6"/>
        <v>UNION ALL SELECT '"&amp; RefDate &amp;"' AS REF_DATE, 'v_2_0028' AS COD_KPI, 'REGULAMENTAR' AS TIPOLOGIA_TESTE, 'O campo reportado deve ser igual a (c0270 - c0320) se for utilizado o valor justo, ou igual a (c0120 - c0320) caso contrário.' AS DESCRIÇÃO, 'BU_LOANTAPE_WORK.OUT_B0200_MAIN_LIABILITIES' AS TABELA, '0330_amnt_unclltrlzd' AS CAMPO, COUNT(*) AS NUM_REG, SUM(IF((`0330_amnt_unclltrlzd` != GREATEST(0, `0270_fv_amnt_strctrd_prdct`-`0320_amnt_clltrl`) AND `0330_amnt_unclltrlzd` != GREATEST(0, `0120_otstndng_amnt`-`0320_amnt_clltrl`)) AND `0310_flg_clltrl_agrmnts` = 'Secured' AND `0250_strctrd_prdct` IN ('Structured', 'Only structured coupon') AND `0240_zero_coupon` != 'ZCB issued at discount',1 ,0)) AS NUM_REG_DIF, GROUP_CONCAT(CASE WHEN (`0330_amnt_unclltrlzd` != GREATEST(0, `0270_fv_amnt_strctrd_prdct`-`0320_amnt_clltrl`) AND `0330_amnt_unclltrlzd` != GREATEST(0, `0120_otstndng_amnt`-`0320_amnt_clltrl`)) AND `0310_flg_clltrl_agrmnts` = 'Secured' AND `0250_strctrd_prdct` IN ('Structured', 'Only structured coupon') AND `0240_zero_coupon` != 'ZCB issued at discount' THEN X.CHAVE_IT ELSE NULL END, '; ') AS DETALHE FROM (SELECT *, 0020_UNIQ_ID AS CHAVE_IT, 0330_amnt_unclltrlzd AS CAMPO_IT FROM BU_LOANTAPE_WORK.OUT_B0200_MAIN_LIABILITIES WHERE REF_DATE='"&amp; RefDate &amp;"')X GROUP BY 1</v>
      </c>
    </row>
    <row r="67" spans="1:12" x14ac:dyDescent="0.3">
      <c r="A67" t="s">
        <v>267</v>
      </c>
      <c r="B67" t="s">
        <v>441</v>
      </c>
      <c r="C67" s="7">
        <v>1</v>
      </c>
      <c r="D67" s="1" t="str">
        <f>+VLOOKUP(A67,Descrição!A:K,11,FALSE)</f>
        <v>Os valores dos dropdowns devem ser respeitados.</v>
      </c>
      <c r="E67" t="s">
        <v>648</v>
      </c>
      <c r="F67" t="s">
        <v>11</v>
      </c>
      <c r="G67" t="s">
        <v>381</v>
      </c>
      <c r="H67" t="s">
        <v>490</v>
      </c>
      <c r="I67" s="7">
        <f t="shared" si="7"/>
        <v>0</v>
      </c>
      <c r="J67" s="8" t="str">
        <f t="shared" si="8"/>
        <v>THEN X.CHAVE_IT ELSE NULL END</v>
      </c>
      <c r="K67" s="5" t="str">
        <f t="shared" si="6"/>
        <v>UNION ALL SELECT '"&amp; RefDate &amp;"' AS REF_DATE, 'v_2_0029' AS COD_KPI, 'REGULAMENTAR' AS TIPOLOGIA_TESTE, 'Os valores dos dropdowns devem ser respeitados.' AS DESCRIÇÃO, 'BU_LOANTAPE_WORK.OUT_B0200_MAIN_LIABILITIES' AS TABELA, '0350_typ_clltrl' AS CAMPO, COUNT(*) AS NUM_REG, SUM(IF(`0350_typ_clltrl` NOT IN ('Real estate', 'Ships', 'Aircraft', 'Financial', 'Other', 'Not applicable'),1 ,0)) AS NUM_REG_DIF, GROUP_CONCAT(CASE WHEN `0350_typ_clltrl` NOT IN ('Real estate', 'Ships', 'Aircraft', 'Financial', 'Other', 'Not applicable') THEN X.CHAVE_IT ELSE NULL END, '; ') AS DETALHE FROM (SELECT *, 0020_UNIQ_ID AS CHAVE_IT, 0350_typ_clltrl AS CAMPO_IT FROM BU_LOANTAPE_WORK.OUT_B0200_MAIN_LIABILITIES WHERE REF_DATE='"&amp; RefDate &amp;"')X GROUP BY 1</v>
      </c>
    </row>
    <row r="68" spans="1:12" x14ac:dyDescent="0.3">
      <c r="A68" t="s">
        <v>268</v>
      </c>
      <c r="B68" t="s">
        <v>441</v>
      </c>
      <c r="C68" s="7">
        <v>1</v>
      </c>
      <c r="D68" s="1" t="str">
        <f>+VLOOKUP(A68,Descrição!A:K,11,FALSE)</f>
        <v>O campo deve ser Not applicable se o c0310 não estiver seguro.</v>
      </c>
      <c r="E68" t="s">
        <v>648</v>
      </c>
      <c r="F68" t="s">
        <v>11</v>
      </c>
      <c r="G68" t="s">
        <v>381</v>
      </c>
      <c r="H68" t="s">
        <v>491</v>
      </c>
      <c r="I68" s="7">
        <f t="shared" si="7"/>
        <v>0</v>
      </c>
      <c r="J68" s="8" t="str">
        <f t="shared" si="8"/>
        <v>THEN X.CHAVE_IT ELSE NULL END</v>
      </c>
      <c r="K68" s="5" t="str">
        <f t="shared" si="6"/>
        <v>UNION ALL SELECT '"&amp; RefDate &amp;"' AS REF_DATE, 'v_2_0030' AS COD_KPI, 'REGULAMENTAR' AS TIPOLOGIA_TESTE, 'O campo deve ser Not applicable se o c0310 não estiver seguro.' AS DESCRIÇÃO, 'BU_LOANTAPE_WORK.OUT_B0200_MAIN_LIABILITIES' AS TABELA, '0350_typ_clltrl' AS CAMPO, COUNT(*) AS NUM_REG, SUM(IF(`0350_typ_clltrl` != 'Not applicable' AND `0310_flg_clltrl_agrmnts` = 'Unsecured',1 ,0)) AS NUM_REG_DIF, GROUP_CONCAT(CASE WHEN `0350_typ_clltrl` != 'Not applicable' AND `0310_flg_clltrl_agrmnts` = 'Unsecured' THEN X.CHAVE_IT ELSE NULL END, '; ') AS DETALHE FROM (SELECT *, 0020_UNIQ_ID AS CHAVE_IT, 0350_typ_clltrl AS CAMPO_IT FROM BU_LOANTAPE_WORK.OUT_B0200_MAIN_LIABILITIES WHERE REF_DATE='"&amp; RefDate &amp;"')X GROUP BY 1</v>
      </c>
    </row>
    <row r="69" spans="1:12" x14ac:dyDescent="0.3">
      <c r="A69" t="s">
        <v>272</v>
      </c>
      <c r="B69" t="s">
        <v>493</v>
      </c>
      <c r="C69" s="7">
        <v>1</v>
      </c>
      <c r="D69" s="1" t="str">
        <f>+VLOOKUP(A69,Descrição!A:K,11,FALSE)</f>
        <v>Os valores dos dropdowns devem ser respeitados.</v>
      </c>
      <c r="E69" t="s">
        <v>648</v>
      </c>
      <c r="F69" t="s">
        <v>11</v>
      </c>
      <c r="G69" t="s">
        <v>381</v>
      </c>
      <c r="H69" t="s">
        <v>492</v>
      </c>
      <c r="I69" s="7">
        <f t="shared" si="7"/>
        <v>0</v>
      </c>
      <c r="J69" s="8" t="str">
        <f t="shared" si="8"/>
        <v>THEN X.CHAVE_IT ELSE NULL END</v>
      </c>
      <c r="K69" s="5" t="str">
        <f t="shared" si="6"/>
        <v>UNION ALL SELECT '"&amp; RefDate &amp;"' AS REF_DATE, 'v_2_0031' AS COD_KPI, 'REGULAMENTAR' AS TIPOLOGIA_TESTE, 'Os valores dos dropdowns devem ser respeitados.' AS DESCRIÇÃO, 'BU_LOANTAPE_WORK.OUT_B0200_MAIN_LIABILITIES' AS TABELA, '0440_ntr_glbl_nt' AS CAMPO, COUNT(*) AS NUM_REG, SUM(IF(`0440_ntr_glbl_nt` NOT IN ('NGN', 'CGN', 'Not applicable'),1 ,0)) AS NUM_REG_DIF, GROUP_CONCAT(CASE WHEN `0440_ntr_glbl_nt` NOT IN ('NGN', 'CGN', 'Not applicable') THEN X.CHAVE_IT ELSE NULL END, '; ') AS DETALHE FROM (SELECT *, 0020_UNIQ_ID AS CHAVE_IT, 0440_ntr_glbl_nt AS CAMPO_IT FROM BU_LOANTAPE_WORK.OUT_B0200_MAIN_LIABILITIES WHERE REF_DATE='"&amp; RefDate &amp;"')X GROUP BY 1</v>
      </c>
    </row>
    <row r="70" spans="1:12" x14ac:dyDescent="0.3">
      <c r="A70" t="s">
        <v>275</v>
      </c>
      <c r="B70" t="s">
        <v>495</v>
      </c>
      <c r="C70" s="7">
        <v>1</v>
      </c>
      <c r="D70" s="1" t="str">
        <f>+VLOOKUP(A70,Descrição!A:K,11,FALSE)</f>
        <v>Os valores dos dropdowns devem ser respeitados.</v>
      </c>
      <c r="E70" t="s">
        <v>648</v>
      </c>
      <c r="F70" t="s">
        <v>11</v>
      </c>
      <c r="G70" t="s">
        <v>381</v>
      </c>
      <c r="H70" t="s">
        <v>494</v>
      </c>
      <c r="I70" s="7">
        <f t="shared" si="7"/>
        <v>0</v>
      </c>
      <c r="J70" s="8" t="str">
        <f t="shared" si="8"/>
        <v>THEN X.CHAVE_IT ELSE NULL END</v>
      </c>
      <c r="K70" s="5" t="str">
        <f t="shared" si="6"/>
        <v>UNION ALL SELECT '"&amp; RefDate &amp;"' AS REF_DATE, 'v_2_0032' AS COD_KPI, 'REGULAMENTAR' AS TIPOLOGIA_TESTE, 'Os valores dos dropdowns devem ser respeitados.' AS DESCRIÇÃO, 'BU_LOANTAPE_WORK.OUT_B0200_MAIN_LIABILITIES' AS TABELA, '0530_typ_own_fnds_ind_lvl' AS CAMPO, COUNT(*) AS NUM_REG, SUM(IF(`0530_typ_own_fnds_ind_lvl` NOT IN ('T2 in phase-out', 'Grandfathered T2', 'Fully Compliant T2', 'Partially (A)T1 and T2', 'Grandfathered AT1', 'Fully Compliant AT1', 'CET1', 'No'),1 ,0)) AS NUM_REG_DIF, GROUP_CONCAT(CASE WHEN `0530_typ_own_fnds_ind_lvl` NOT IN ('T2 in phase-out', 'Grandfathered T2', 'Fully Compliant T2', 'Partially (A)T1 and T2', 'Grandfathered AT1', 'Fully Compliant AT1', 'CET1', 'No') THEN X.CHAVE_IT ELSE NULL END, '; ') AS DETALHE FROM (SELECT *, 0020_UNIQ_ID AS CHAVE_IT, 0530_typ_own_fnds_ind_lvl AS CAMPO_IT FROM BU_LOANTAPE_WORK.OUT_B0200_MAIN_LIABILITIES WHERE REF_DATE='"&amp; RefDate &amp;"')X GROUP BY 1</v>
      </c>
    </row>
    <row r="71" spans="1:12" x14ac:dyDescent="0.3">
      <c r="A71" t="s">
        <v>278</v>
      </c>
      <c r="B71" t="s">
        <v>497</v>
      </c>
      <c r="C71" s="7">
        <v>1</v>
      </c>
      <c r="D71" s="1" t="str">
        <f>+VLOOKUP(A71,Descrição!A:K,11,FALSE)</f>
        <v>O valor declarado deve ser positivo ou zero.</v>
      </c>
      <c r="E71" t="s">
        <v>648</v>
      </c>
      <c r="F71" t="s">
        <v>11</v>
      </c>
      <c r="G71" t="s">
        <v>381</v>
      </c>
      <c r="H71" t="s">
        <v>496</v>
      </c>
      <c r="I71" s="7">
        <f t="shared" si="7"/>
        <v>0</v>
      </c>
      <c r="J71" s="8" t="str">
        <f t="shared" si="8"/>
        <v>THEN X.CHAVE_IT ELSE NULL END</v>
      </c>
      <c r="K71" s="5" t="str">
        <f t="shared" si="6"/>
        <v>UNION ALL SELECT '"&amp; RefDate &amp;"' AS REF_DATE, 'v_2_0033' AS COD_KPI, 'REGULAMENTAR' AS TIPOLOGIA_TESTE, 'O valor declarado deve ser positivo ou zero.' AS DESCRIÇÃO, 'BU_LOANTAPE_WORK.OUT_B0200_MAIN_LIABILITIES' AS TABELA, '0540_elgbl_amnt_own_fnds_ind_lvl' AS CAMPO, COUNT(*) AS NUM_REG, SUM(IF(`0540_elgbl_amnt_own_fnds_ind_lvl` &lt; 0,1 ,0)) AS NUM_REG_DIF, GROUP_CONCAT(CASE WHEN `0540_elgbl_amnt_own_fnds_ind_lvl` &lt; 0 THEN X.CHAVE_IT ELSE NULL END, '; ') AS DETALHE FROM (SELECT *, 0020_UNIQ_ID AS CHAVE_IT, 0540_elgbl_amnt_own_fnds_ind_lvl AS CAMPO_IT FROM BU_LOANTAPE_WORK.OUT_B0200_MAIN_LIABILITIES WHERE REF_DATE='"&amp; RefDate &amp;"')X GROUP BY 1</v>
      </c>
    </row>
    <row r="72" spans="1:12" x14ac:dyDescent="0.3">
      <c r="A72" t="s">
        <v>282</v>
      </c>
      <c r="B72" t="s">
        <v>499</v>
      </c>
      <c r="C72" s="7">
        <v>1</v>
      </c>
      <c r="D72" s="1" t="str">
        <f>+VLOOKUP(A72,Descrição!A:K,11,FALSE)</f>
        <v>Os valores dos dropdowns devem ser respeitados.</v>
      </c>
      <c r="E72" t="s">
        <v>648</v>
      </c>
      <c r="F72" t="s">
        <v>11</v>
      </c>
      <c r="G72" t="s">
        <v>381</v>
      </c>
      <c r="H72" t="s">
        <v>498</v>
      </c>
      <c r="I72" s="7">
        <f t="shared" si="7"/>
        <v>0</v>
      </c>
      <c r="J72" s="8" t="str">
        <f t="shared" si="8"/>
        <v>THEN X.CHAVE_IT ELSE NULL END</v>
      </c>
      <c r="K72" s="5" t="str">
        <f t="shared" si="6"/>
        <v>UNION ALL SELECT '"&amp; RefDate &amp;"' AS REF_DATE, 'v_2_0034' AS COD_KPI, 'REGULAMENTAR' AS TIPOLOGIA_TESTE, 'Os valores dos dropdowns devem ser respeitados.' AS DESCRIÇÃO, 'BU_LOANTAPE_WORK.OUT_B0200_MAIN_LIABILITIES' AS TABELA, '0550_typ_own_fnds_cnsldtd_lvl' AS CAMPO, COUNT(*) AS NUM_REG, SUM(IF(`0550_typ_own_fnds_cnsldtd_lvl` NOT IN ('T2 in phase-out', 'Grandfathered T2', 'Fully Compliant T2', 'Partially (A)T1 and T2', 'Grandfathered AT1', 'Fully Compliant AT1', 'CET1', 'No'),1 ,0)) AS NUM_REG_DIF, GROUP_CONCAT(CASE WHEN `0550_typ_own_fnds_cnsldtd_lvl` NOT IN ('T2 in phase-out', 'Grandfathered T2', 'Fully Compliant T2', 'Partially (A)T1 and T2', 'Grandfathered AT1', 'Fully Compliant AT1', 'CET1', 'No') THEN X.CHAVE_IT ELSE NULL END, '; ') AS DETALHE FROM (SELECT *, 0020_UNIQ_ID AS CHAVE_IT, 0550_typ_own_fnds_cnsldtd_lvl AS CAMPO_IT FROM BU_LOANTAPE_WORK.OUT_B0200_MAIN_LIABILITIES WHERE REF_DATE='"&amp; RefDate &amp;"')X GROUP BY 1</v>
      </c>
    </row>
    <row r="73" spans="1:12" x14ac:dyDescent="0.3">
      <c r="A73" t="s">
        <v>285</v>
      </c>
      <c r="B73" t="s">
        <v>501</v>
      </c>
      <c r="C73" s="7">
        <v>1</v>
      </c>
      <c r="D73" s="1" t="str">
        <f>+VLOOKUP(A73,Descrição!A:K,11,FALSE)</f>
        <v>O valor declarado deve ser positivo ou zero.</v>
      </c>
      <c r="E73" t="s">
        <v>648</v>
      </c>
      <c r="F73" t="s">
        <v>11</v>
      </c>
      <c r="G73" t="s">
        <v>381</v>
      </c>
      <c r="H73" t="s">
        <v>500</v>
      </c>
      <c r="I73" s="7">
        <f t="shared" si="7"/>
        <v>0</v>
      </c>
      <c r="J73" s="8" t="str">
        <f t="shared" si="8"/>
        <v>THEN X.CHAVE_IT ELSE NULL END</v>
      </c>
      <c r="K73" s="5" t="str">
        <f t="shared" si="6"/>
        <v>UNION ALL SELECT '"&amp; RefDate &amp;"' AS REF_DATE, 'v_2_0035' AS COD_KPI, 'REGULAMENTAR' AS TIPOLOGIA_TESTE, 'O valor declarado deve ser positivo ou zero.' AS DESCRIÇÃO, 'BU_LOANTAPE_WORK.OUT_B0200_MAIN_LIABILITIES' AS TABELA, '0560_elgbl_amnt_own_fnds_cnsldtd_lvl' AS CAMPO, COUNT(*) AS NUM_REG, SUM(IF(`0560_elgbl_amnt_own_fnds_cnsldtd_lvl` &lt; 0,1 ,0)) AS NUM_REG_DIF, GROUP_CONCAT(CASE WHEN `0560_elgbl_amnt_own_fnds_cnsldtd_lvl` &lt; 0 THEN X.CHAVE_IT ELSE NULL END, '; ') AS DETALHE FROM (SELECT *, 0020_UNIQ_ID AS CHAVE_IT, 0560_elgbl_amnt_own_fnds_cnsldtd_lvl AS CAMPO_IT FROM BU_LOANTAPE_WORK.OUT_B0200_MAIN_LIABILITIES WHERE REF_DATE='"&amp; RefDate &amp;"')X GROUP BY 1</v>
      </c>
    </row>
    <row r="74" spans="1:12" x14ac:dyDescent="0.3">
      <c r="A74" t="s">
        <v>288</v>
      </c>
      <c r="B74" t="s">
        <v>503</v>
      </c>
      <c r="C74" s="7">
        <v>1</v>
      </c>
      <c r="D74" s="1" t="str">
        <f>+VLOOKUP(A74,Descrição!A:K,11,FALSE)</f>
        <v>Os valores dos dropdowns devem ser respeitados.</v>
      </c>
      <c r="E74" t="s">
        <v>648</v>
      </c>
      <c r="F74" t="s">
        <v>11</v>
      </c>
      <c r="G74" t="s">
        <v>381</v>
      </c>
      <c r="H74" t="s">
        <v>502</v>
      </c>
      <c r="I74" s="7">
        <f t="shared" si="7"/>
        <v>0</v>
      </c>
      <c r="J74" s="8" t="str">
        <f t="shared" si="8"/>
        <v>THEN X.CHAVE_IT ELSE NULL END</v>
      </c>
      <c r="K74" s="5" t="str">
        <f t="shared" si="6"/>
        <v>UNION ALL SELECT '"&amp; RefDate &amp;"' AS REF_DATE, 'v_2_0036' AS COD_KPI, 'REGULAMENTAR' AS TIPOLOGIA_TESTE, 'Os valores dos dropdowns devem ser respeitados.' AS DESCRIÇÃO, 'BU_LOANTAPE_WORK.OUT_B0200_MAIN_LIABILITIES' AS TABELA, '0590_typ_scrty_intrst_prvdd' AS CAMPO, COUNT(*) AS NUM_REG, SUM(IF(`0590_typ_scrty_intrst_prvdd` NOT IN ('T2 in phase-out', 'Grandfathered T2', 'Fully Compliant T2', 'Partially (A)T1 and T2', 'Grandfathered AT1', 'Fully Compliant AT1', 'CET1', 'No', 'Not applicable'),1 ,0)) AS NUM_REG_DIF, GROUP_CONCAT(CASE WHEN `0590_typ_scrty_intrst_prvdd` NOT IN ('T2 in phase-out', 'Grandfathered T2', 'Fully Compliant T2', 'Partially (A)T1 and T2', 'Grandfathered AT1', 'Fully Compliant AT1', 'CET1', 'No', 'Not applicable') THEN X.CHAVE_IT ELSE NULL END, '; ') AS DETALHE FROM (SELECT *, 0020_UNIQ_ID AS CHAVE_IT, 0590_typ_scrty_intrst_prvdd AS CAMPO_IT FROM BU_LOANTAPE_WORK.OUT_B0200_MAIN_LIABILITIES WHERE REF_DATE='"&amp; RefDate &amp;"')X GROUP BY 1</v>
      </c>
      <c r="L74" t="s">
        <v>295</v>
      </c>
    </row>
    <row r="75" spans="1:12" x14ac:dyDescent="0.3">
      <c r="A75" t="s">
        <v>291</v>
      </c>
      <c r="B75" t="s">
        <v>455</v>
      </c>
      <c r="C75" s="7">
        <v>1</v>
      </c>
      <c r="D75" s="1" t="str">
        <f>+VLOOKUP(A75,Descrição!A:K,11,FALSE)</f>
        <v>O valor declarado deve ser positivo ou zero.</v>
      </c>
      <c r="E75" t="s">
        <v>648</v>
      </c>
      <c r="F75" t="s">
        <v>11</v>
      </c>
      <c r="G75" t="s">
        <v>381</v>
      </c>
      <c r="H75" t="s">
        <v>504</v>
      </c>
      <c r="I75" s="7">
        <f t="shared" si="7"/>
        <v>0</v>
      </c>
      <c r="J75" s="8" t="str">
        <f t="shared" si="8"/>
        <v>THEN X.CHAVE_IT ELSE NULL END</v>
      </c>
      <c r="K75" s="5" t="str">
        <f t="shared" si="6"/>
        <v>UNION ALL SELECT '"&amp; RefDate &amp;"' AS REF_DATE, 'v_2_0037' AS COD_KPI, 'REGULAMENTAR' AS TIPOLOGIA_TESTE, 'O valor declarado deve ser positivo ou zero.' AS DESCRIÇÃO, 'BU_LOANTAPE_WORK.OUT_B0200_MAIN_LIABILITIES' AS TABELA, '0610_crryng_amnt_ifrs' AS CAMPO, COUNT(*) AS NUM_REG, SUM(IF(`0610_crryng_amnt_ifrs` &lt; 0,1 ,0)) AS NUM_REG_DIF, GROUP_CONCAT(CASE WHEN `0610_crryng_amnt_ifrs` &lt; 0 THEN X.CHAVE_IT ELSE NULL END, '; ') AS DETALHE FROM (SELECT *, 0020_UNIQ_ID AS CHAVE_IT, 0610_crryng_amnt_ifrs AS CAMPO_IT FROM BU_LOANTAPE_WORK.OUT_B0200_MAIN_LIABILITIES WHERE REF_DATE='"&amp; RefDate &amp;"')X GROUP BY 1</v>
      </c>
      <c r="L75" t="s">
        <v>295</v>
      </c>
    </row>
    <row r="76" spans="1:12" x14ac:dyDescent="0.3">
      <c r="A76" t="s">
        <v>292</v>
      </c>
      <c r="B76" t="s">
        <v>506</v>
      </c>
      <c r="C76" s="7">
        <v>1</v>
      </c>
      <c r="D76" s="1" t="str">
        <f>+VLOOKUP(A76,Descrição!A:K,11,FALSE)</f>
        <v>Os valores dos dropdowns devem ser respeitados.</v>
      </c>
      <c r="E76" t="s">
        <v>648</v>
      </c>
      <c r="F76" t="s">
        <v>11</v>
      </c>
      <c r="G76" t="s">
        <v>381</v>
      </c>
      <c r="H76" t="s">
        <v>505</v>
      </c>
      <c r="I76" s="7">
        <f t="shared" si="7"/>
        <v>0</v>
      </c>
      <c r="J76" s="8" t="str">
        <f t="shared" si="8"/>
        <v>THEN X.CHAVE_IT ELSE NULL END</v>
      </c>
      <c r="K76" s="5" t="str">
        <f t="shared" si="6"/>
        <v>UNION ALL SELECT '"&amp; RefDate &amp;"' AS REF_DATE, 'v_2_0038' AS COD_KPI, 'REGULAMENTAR' AS TIPOLOGIA_TESTE, 'Os valores dos dropdowns devem ser respeitados.' AS DESCRIÇÃO, 'BU_LOANTAPE_WORK.OUT_B0200_MAIN_LIABILITIES' AS TABELA, '0620_blnc_sht_ifrs' AS CAMPO, COUNT(*) AS NUM_REG, SUM(IF(`0620_blnc_sht_ifrs` NOT IN ('010 Financial liabilities held for trading', '070 Financial liabilities at fair value through profit or loss', '110 Financial liabilities at amortized cost', '280 Other liabilities', '300 Total equity'),1 ,0)) AS NUM_REG_DIF, GROUP_CONCAT(CASE WHEN `0620_blnc_sht_ifrs` NOT IN ('010 Financial liabilities held for trading', '070 Financial liabilities at fair value through profit or loss', '110 Financial liabilities at amortized cost', '280 Other liabilities', '300 Total equity') THEN X.CHAVE_IT ELSE NULL END, '; ') AS DETALHE FROM (SELECT *, 0020_UNIQ_ID AS CHAVE_IT, 0620_blnc_sht_ifrs AS CAMPO_IT FROM BU_LOANTAPE_WORK.OUT_B0200_MAIN_LIABILITIES WHERE REF_DATE='"&amp; RefDate &amp;"')X GROUP BY 1</v>
      </c>
    </row>
    <row r="77" spans="1:12" x14ac:dyDescent="0.3">
      <c r="A77" t="str">
        <f t="shared" ref="A77:A108" si="9">"FRMT_"&amp;MID(G77,22,5)&amp;"_C"&amp;LEFT(B77,4)</f>
        <v>FRMT_B0200_C0010</v>
      </c>
      <c r="B77" t="s">
        <v>327</v>
      </c>
      <c r="C77" s="7">
        <v>0</v>
      </c>
      <c r="D77" s="1" t="s">
        <v>382</v>
      </c>
      <c r="E77" t="s">
        <v>648</v>
      </c>
      <c r="F77" t="s">
        <v>11</v>
      </c>
      <c r="G77" t="s">
        <v>381</v>
      </c>
      <c r="H77" t="s">
        <v>507</v>
      </c>
      <c r="I77" s="7">
        <f t="shared" si="7"/>
        <v>1</v>
      </c>
      <c r="J77" s="8" t="str">
        <f t="shared" si="8"/>
        <v>THEN NULL ELSE X.CHAVE_IT END</v>
      </c>
      <c r="K77" s="5" t="str">
        <f t="shared" si="6"/>
        <v>UNION ALL SELECT '"&amp; RefDate &amp;"' AS REF_DATE, 'FRMT_B0200_C0010' AS COD_KPI, 'REGULAMENTAR' AS TIPOLOGIA_TESTE, 'O campo deve ser reportado com formato numérico inteiro.' AS DESCRIÇÃO, 'BU_LOANTAPE_WORK.OUT_B0200_MAIN_LIABILITIES' AS TABELA, '0010_row_nmbr' AS CAMPO, COUNT(*) AS NUM_REG, SUM(IF(cast(`0010_row_nmbr` as string) RLIKE '^[0-9]+$' AND CAST(`0010_row_nmbr` AS STRING) NOT IN ('N/A','11111111111','11111111111.00','11111111111.000000','1111-11-11','0000-00-00','0001-01-01','9999-12-31','MISS','00000','99999999999.00','99999999999.000000','-9999.9999','','Not applicable','XXX'),0 ,1)) AS NUM_REG_DIF, GROUP_CONCAT(CASE WHEN cast(`0010_row_nmbr` as string) RLIKE '^[0-9]+$' AND CAST(`0010_row_nmbr` AS STRING) NOT IN ('N/A','11111111111','11111111111.00','11111111111.000000','1111-11-11','0000-00-00','0001-01-01','9999-12-31','MISS','00000','99999999999.00','99999999999.000000','-9999.9999','','Not applicable','XXX') THEN NULL ELSE X.CHAVE_IT END, '; ') AS DETALHE FROM (SELECT *, 0020_UNIQ_ID AS CHAVE_IT, 0010_row_nmbr AS CAMPO_IT FROM BU_LOANTAPE_WORK.OUT_B0200_MAIN_LIABILITIES WHERE REF_DATE='"&amp; RefDate &amp;"')X GROUP BY 1</v>
      </c>
    </row>
    <row r="78" spans="1:12" x14ac:dyDescent="0.3">
      <c r="A78" t="str">
        <f t="shared" si="9"/>
        <v>FRMT_B0200_C0020</v>
      </c>
      <c r="B78" t="s">
        <v>461</v>
      </c>
      <c r="C78" s="7">
        <v>0</v>
      </c>
      <c r="D78" s="1" t="s">
        <v>383</v>
      </c>
      <c r="E78" t="s">
        <v>648</v>
      </c>
      <c r="F78" t="s">
        <v>11</v>
      </c>
      <c r="G78" t="s">
        <v>381</v>
      </c>
      <c r="H78" t="s">
        <v>508</v>
      </c>
      <c r="I78" s="7">
        <f t="shared" si="7"/>
        <v>1</v>
      </c>
      <c r="J78" s="8" t="str">
        <f t="shared" si="8"/>
        <v>THEN NULL ELSE X.CHAVE_IT END</v>
      </c>
      <c r="K78" s="5" t="str">
        <f t="shared" si="6"/>
        <v>UNION ALL SELECT '"&amp; RefDate &amp;"' AS REF_DATE, 'FRMT_B0200_C0020' AS COD_KPI, 'REGULAMENTAR' AS TIPOLOGIA_TESTE, 'O campo deve ser reportado com formato texto livre.' AS DESCRIÇÃO, 'BU_LOANTAPE_WORK.OUT_B0200_MAIN_LIABILITIES' AS TABELA, '0020_uniq_id' AS CAMPO, COUNT(*) AS NUM_REG, SUM(IF(`0020_uniq_id` RLIKE '[A-Za-z]' and `0020_uniq_id` NOT IN ('N/A','11111111111','11111111111.00','11111111111.000000','1111-11-11','0000-00-00','0001-01-01','9999-12-31','MISS','00000','99999999999','999999999999999','99999999999.00','99999999999.000000','-9999.9999','','Not applicable','XXX'),0 ,1)) AS NUM_REG_DIF, GROUP_CONCAT(CASE WHEN `0020_uniq_id` RLIKE '[A-Za-z]' and `0020_uniq_id` NOT IN ('N/A','11111111111','11111111111.00','11111111111.000000','1111-11-11','0000-00-00','0001-01-01','9999-12-31','MISS','00000','99999999999','999999999999999','99999999999.00','99999999999.000000','-9999.9999','','Not applicable','XXX') THEN NULL ELSE X.CHAVE_IT END, '; ') AS DETALHE FROM (SELECT *, 0020_UNIQ_ID AS CHAVE_IT, 0020_uniq_id AS CAMPO_IT FROM BU_LOANTAPE_WORK.OUT_B0200_MAIN_LIABILITIES WHERE REF_DATE='"&amp; RefDate &amp;"')X GROUP BY 1</v>
      </c>
    </row>
    <row r="79" spans="1:12" x14ac:dyDescent="0.3">
      <c r="A79" t="str">
        <f t="shared" si="9"/>
        <v>FRMT_B0200_C0030</v>
      </c>
      <c r="B79" t="s">
        <v>390</v>
      </c>
      <c r="C79" s="7">
        <v>0</v>
      </c>
      <c r="D79" s="1" t="s">
        <v>383</v>
      </c>
      <c r="E79" t="s">
        <v>648</v>
      </c>
      <c r="F79" t="s">
        <v>11</v>
      </c>
      <c r="G79" t="s">
        <v>381</v>
      </c>
      <c r="H79" t="s">
        <v>509</v>
      </c>
      <c r="I79" s="7">
        <f t="shared" si="7"/>
        <v>1</v>
      </c>
      <c r="J79" s="8" t="str">
        <f t="shared" si="8"/>
        <v>THEN NULL ELSE X.CHAVE_IT END</v>
      </c>
      <c r="K79" s="5" t="str">
        <f t="shared" si="6"/>
        <v>UNION ALL SELECT '"&amp; RefDate &amp;"' AS REF_DATE, 'FRMT_B0200_C0030' AS COD_KPI, 'REGULAMENTAR' AS TIPOLOGIA_TESTE, 'O campo deve ser reportado com formato texto livre.' AS DESCRIÇÃO, 'BU_LOANTAPE_WORK.OUT_B0200_MAIN_LIABILITIES' AS TABELA, '0030_uniq_id_knwn_cntrprty' AS CAMPO, COUNT(*) AS NUM_REG, SUM(IF(`0030_uniq_id_knwn_cntrprty` RLIKE '[A-Za-z]' and `0030_uniq_id_knwn_cntrprty` NOT IN ('N/A','11111111111','11111111111.00','11111111111.000000','1111-11-11','0000-00-00','0001-01-01','9999-12-31','MISS','00000','99999999999','999999999999999','99999999999.00','99999999999.000000','-9999.9999','','Not applicable','XXX'),0 ,1)) AS NUM_REG_DIF, GROUP_CONCAT(CASE WHEN `0030_uniq_id_knwn_cntrprty` RLIKE '[A-Za-z]' and `0030_uniq_id_knwn_cntrprty` NOT IN ('N/A','11111111111','11111111111.00','11111111111.000000','1111-11-11','0000-00-00','0001-01-01','9999-12-31','MISS','00000','99999999999','999999999999999','99999999999.00','99999999999.000000','-9999.9999','','Not applicable','XXX') THEN NULL ELSE X.CHAVE_IT END, '; ') AS DETALHE FROM (SELECT *, 0020_UNIQ_ID AS CHAVE_IT, 0030_uniq_id_knwn_cntrprty AS CAMPO_IT FROM BU_LOANTAPE_WORK.OUT_B0200_MAIN_LIABILITIES WHERE REF_DATE='"&amp; RefDate &amp;"')X GROUP BY 1</v>
      </c>
    </row>
    <row r="80" spans="1:12" x14ac:dyDescent="0.3">
      <c r="A80" t="str">
        <f t="shared" si="9"/>
        <v>FRMT_B0200_C0040</v>
      </c>
      <c r="B80" t="s">
        <v>392</v>
      </c>
      <c r="C80" s="7">
        <v>0</v>
      </c>
      <c r="D80" s="1" t="s">
        <v>383</v>
      </c>
      <c r="E80" t="s">
        <v>648</v>
      </c>
      <c r="F80" t="s">
        <v>11</v>
      </c>
      <c r="G80" t="s">
        <v>381</v>
      </c>
      <c r="H80" t="s">
        <v>510</v>
      </c>
      <c r="I80" s="7">
        <f t="shared" si="7"/>
        <v>1</v>
      </c>
      <c r="J80" s="8" t="str">
        <f t="shared" si="8"/>
        <v>THEN NULL ELSE X.CHAVE_IT END</v>
      </c>
      <c r="K80" s="5" t="str">
        <f t="shared" si="6"/>
        <v>UNION ALL SELECT '"&amp; RefDate &amp;"' AS REF_DATE, 'FRMT_B0200_C0040' AS COD_KPI, 'REGULAMENTAR' AS TIPOLOGIA_TESTE, 'O campo deve ser reportado com formato texto livre.' AS DESCRIÇÃO, 'BU_LOANTAPE_WORK.OUT_B0200_MAIN_LIABILITIES' AS TABELA, '0040_typ_uniq_id_knwn_cntrprty' AS CAMPO, COUNT(*) AS NUM_REG, SUM(IF(`0040_typ_uniq_id_knwn_cntrprty` RLIKE '[A-Za-z]' AND `0040_typ_uniq_id_knwn_cntrprty` NOT IN ('N/A','11111111111','11111111111.00','11111111111.000000','1111-11-11','0000-00-00','0001-01-01','9999-12-31','MISS','00000','99999999999','999999999999999','99999999999.00','99999999999.000000','-9999.9999','','Not applicable','XXX'),0 ,1)) AS NUM_REG_DIF, GROUP_CONCAT(CASE WHEN `0040_typ_uniq_id_knwn_cntrprty` RLIKE '[A-Za-z]' AND `0040_typ_uniq_id_knwn_cntrprty` NOT IN ('N/A','11111111111','11111111111.00','11111111111.000000','1111-11-11','0000-00-00','0001-01-01','9999-12-31','MISS','00000','99999999999','999999999999999','99999999999.00','99999999999.000000','-9999.9999','','Not applicable','XXX') THEN NULL ELSE X.CHAVE_IT END, '; ') AS DETALHE FROM (SELECT *, 0020_UNIQ_ID AS CHAVE_IT, 0040_typ_uniq_id_knwn_cntrprty AS CAMPO_IT FROM BU_LOANTAPE_WORK.OUT_B0200_MAIN_LIABILITIES WHERE REF_DATE='"&amp; RefDate &amp;"')X GROUP BY 1</v>
      </c>
    </row>
    <row r="81" spans="1:12" x14ac:dyDescent="0.3">
      <c r="A81" t="str">
        <f t="shared" si="9"/>
        <v>FRMT_B0200_C0050</v>
      </c>
      <c r="B81" t="s">
        <v>514</v>
      </c>
      <c r="C81" s="7">
        <v>0</v>
      </c>
      <c r="D81" s="1" t="s">
        <v>386</v>
      </c>
      <c r="E81" t="s">
        <v>648</v>
      </c>
      <c r="F81" t="s">
        <v>11</v>
      </c>
      <c r="G81" t="s">
        <v>381</v>
      </c>
      <c r="H81" t="s">
        <v>513</v>
      </c>
      <c r="I81" s="7">
        <f t="shared" si="7"/>
        <v>1</v>
      </c>
      <c r="J81" s="8" t="str">
        <f t="shared" si="8"/>
        <v>THEN NULL ELSE X.CHAVE_IT END</v>
      </c>
      <c r="K81" s="5" t="str">
        <f t="shared" si="6"/>
        <v>UNION ALL SELECT '"&amp; RefDate &amp;"' AS REF_DATE, 'FRMT_B0200_C0050' AS COD_KPI, 'REGULAMENTAR' AS TIPOLOGIA_TESTE, 'O campo deve ser reportado com formato numérico com 2 casas decimais.' AS DESCRIÇÃO, 'BU_LOANTAPE_WORK.OUT_B0200_MAIN_LIABILITIES' AS TABELA, '0050_orgnl_amnt_eur' AS CAMPO, COUNT(*) AS NUM_REG, SUM(IF((CAST(ROUND(`0050_orgnl_amnt_eur`, 2) AS STRING) = CAST(`0050_orgnl_amnt_eur` AS STRING) AND CAST(`0050_orgnl_amnt_eur` AS STRING) NOT IN ('N/A','11111111111','11111111111.00','11111111111.000000','1111-11-11','0000-00-00','0001-01-01','9999-12-31','MISS','00000','99999999999','99999999999.00','99999999999.000000','-9999.9999','','Not applicable','XXX')) OR `0050_orgnl_amnt_eur`= 999999999999999.00 ,0 ,1)) AS NUM_REG_DIF, GROUP_CONCAT(CASE WHEN (CAST(ROUND(`0050_orgnl_amnt_eur`, 2) AS STRING) = CAST(`0050_orgnl_amnt_eur` AS STRING) AND CAST(`0050_orgnl_amnt_eur` AS STRING) NOT IN ('N/A','11111111111','11111111111.00','11111111111.000000','1111-11-11','0000-00-00','0001-01-01','9999-12-31','MISS','00000','99999999999','99999999999.00','99999999999.000000','-9999.9999','','Not applicable','XXX')) OR `0050_orgnl_amnt_eur`= 999999999999999.00  THEN NULL ELSE X.CHAVE_IT END, '; ') AS DETALHE FROM (SELECT *, 0020_UNIQ_ID AS CHAVE_IT, 0050_orgnl_amnt_eur AS CAMPO_IT FROM BU_LOANTAPE_WORK.OUT_B0200_MAIN_LIABILITIES WHERE REF_DATE='"&amp; RefDate &amp;"')X GROUP BY 1</v>
      </c>
    </row>
    <row r="82" spans="1:12" x14ac:dyDescent="0.3">
      <c r="A82" t="str">
        <f t="shared" si="9"/>
        <v>FRMT_B0200_C0060</v>
      </c>
      <c r="B82" t="s">
        <v>512</v>
      </c>
      <c r="C82" s="7">
        <v>0</v>
      </c>
      <c r="D82" s="1" t="s">
        <v>386</v>
      </c>
      <c r="E82" t="s">
        <v>648</v>
      </c>
      <c r="F82" t="s">
        <v>11</v>
      </c>
      <c r="G82" t="s">
        <v>381</v>
      </c>
      <c r="H82" t="s">
        <v>511</v>
      </c>
      <c r="I82" s="7">
        <f t="shared" si="7"/>
        <v>1</v>
      </c>
      <c r="J82" s="8" t="str">
        <f t="shared" si="8"/>
        <v>THEN NULL ELSE X.CHAVE_IT END</v>
      </c>
      <c r="K82" s="5" t="str">
        <f t="shared" si="6"/>
        <v>UNION ALL SELECT '"&amp; RefDate &amp;"' AS REF_DATE, 'FRMT_B0200_C0060' AS COD_KPI, 'REGULAMENTAR' AS TIPOLOGIA_TESTE, 'O campo deve ser reportado com formato numérico com 2 casas decimais.' AS DESCRIÇÃO, 'BU_LOANTAPE_WORK.OUT_B0200_MAIN_LIABILITIES' AS TABELA, '0060_orgnl_amnt_fx' AS CAMPO, COUNT(*) AS NUM_REG, SUM(IF((CAST(ROUND(`0060_orgnl_amnt_fx`, 2) AS STRING) = CAST(`0060_orgnl_amnt_fx` AS STRING) AND CAST(`0060_orgnl_amnt_fx` AS STRING) NOT IN ('N/A','11111111111','11111111111.00','11111111111.000000','1111-11-11','0000-00-00','0001-01-01','9999-12-31','MISS','00000','99999999999','99999999999.00','99999999999.000000','-9999.9999','','Not applicable','XXX')) OR `0060_orgnl_amnt_fx`= 999999999999999.00 ,0 ,1)) AS NUM_REG_DIF, GROUP_CONCAT(CASE WHEN (CAST(ROUND(`0060_orgnl_amnt_fx`, 2) AS STRING) = CAST(`0060_orgnl_amnt_fx` AS STRING) AND CAST(`0060_orgnl_amnt_fx` AS STRING) NOT IN ('N/A','11111111111','11111111111.00','11111111111.000000','1111-11-11','0000-00-00','0001-01-01','9999-12-31','MISS','00000','99999999999','99999999999.00','99999999999.000000','-9999.9999','','Not applicable','XXX')) OR `0060_orgnl_amnt_fx`= 999999999999999.00  THEN NULL ELSE X.CHAVE_IT END, '; ') AS DETALHE FROM (SELECT *, 0020_UNIQ_ID AS CHAVE_IT, 0060_orgnl_amnt_fx AS CAMPO_IT FROM BU_LOANTAPE_WORK.OUT_B0200_MAIN_LIABILITIES WHERE REF_DATE='"&amp; RefDate &amp;"')X GROUP BY 1</v>
      </c>
    </row>
    <row r="83" spans="1:12" x14ac:dyDescent="0.3">
      <c r="A83" t="str">
        <f t="shared" si="9"/>
        <v>FRMT_B0200_C0070</v>
      </c>
      <c r="B83" t="s">
        <v>394</v>
      </c>
      <c r="C83" s="7">
        <v>0</v>
      </c>
      <c r="D83" t="s">
        <v>620</v>
      </c>
      <c r="E83" t="s">
        <v>648</v>
      </c>
      <c r="F83" t="s">
        <v>11</v>
      </c>
      <c r="G83" t="s">
        <v>381</v>
      </c>
      <c r="H83" t="s">
        <v>515</v>
      </c>
      <c r="I83" s="7">
        <f t="shared" si="7"/>
        <v>1</v>
      </c>
      <c r="J83" s="8" t="str">
        <f t="shared" si="8"/>
        <v>THEN NULL ELSE X.CHAVE_IT END</v>
      </c>
      <c r="K83" s="5" t="str">
        <f t="shared" si="6"/>
        <v>UNION ALL SELECT '"&amp; RefDate &amp;"' AS REF_DATE, 'FRMT_B0200_C0070' AS COD_KPI, 'REGULAMENTAR' AS TIPOLOGIA_TESTE, 'O campo deve ser reportado usando o código 3-letra ISO 4217.' AS DESCRIÇÃO, 'BU_LOANTAPE_WORK.OUT_B0200_MAIN_LIABILITIES' AS TABELA, '0070_cntrct_crrncy' AS CAMPO, COUNT(*) AS NUM_REG, SUM(IF((LENGTH(`0070_cntrct_crrncy`) = 3 AND `0070_cntrct_crrncy` NOT IN ('N/A','11111111111','11111111111.00','11111111111.000000','1111-11-11','0000-00-00','0001-01-01','9999-12-31','MISS','00000','99999999999','99999999999.00','99999999999.000000','-9999.9999','','Not applicable')) OR `0070_cntrct_crrncy`='XXX',0 ,1)) AS NUM_REG_DIF, GROUP_CONCAT(CASE WHEN (LENGTH(`0070_cntrct_crrncy`) = 3 AND `0070_cntrct_crrncy` NOT IN ('N/A','11111111111','11111111111.00','11111111111.000000','1111-11-11','0000-00-00','0001-01-01','9999-12-31','MISS','00000','99999999999','99999999999.00','99999999999.000000','-9999.9999','','Not applicable')) OR `0070_cntrct_crrncy`='XXX' THEN NULL ELSE X.CHAVE_IT END, '; ') AS DETALHE FROM (SELECT *, 0020_UNIQ_ID AS CHAVE_IT, 0070_cntrct_crrncy AS CAMPO_IT FROM BU_LOANTAPE_WORK.OUT_B0200_MAIN_LIABILITIES WHERE REF_DATE='"&amp; RefDate &amp;"')X GROUP BY 1</v>
      </c>
    </row>
    <row r="84" spans="1:12" x14ac:dyDescent="0.3">
      <c r="A84" t="str">
        <f t="shared" si="9"/>
        <v>FRMT_B0200_C0080</v>
      </c>
      <c r="B84" t="s">
        <v>396</v>
      </c>
      <c r="C84" s="7">
        <v>0</v>
      </c>
      <c r="D84" s="1" t="s">
        <v>386</v>
      </c>
      <c r="E84" t="s">
        <v>648</v>
      </c>
      <c r="F84" t="s">
        <v>11</v>
      </c>
      <c r="G84" t="s">
        <v>381</v>
      </c>
      <c r="H84" t="s">
        <v>516</v>
      </c>
      <c r="I84" s="7">
        <f t="shared" si="7"/>
        <v>1</v>
      </c>
      <c r="J84" s="8" t="str">
        <f t="shared" si="8"/>
        <v>THEN NULL ELSE X.CHAVE_IT END</v>
      </c>
      <c r="K84" s="5" t="str">
        <f t="shared" si="6"/>
        <v>UNION ALL SELECT '"&amp; RefDate &amp;"' AS REF_DATE, 'FRMT_B0200_C0080' AS COD_KPI, 'REGULAMENTAR' AS TIPOLOGIA_TESTE, 'O campo deve ser reportado com formato numérico com 2 casas decimais.' AS DESCRIÇÃO, 'BU_LOANTAPE_WORK.OUT_B0200_MAIN_LIABILITIES' AS TABELA, '0080_otstndng_prncpl_amnt' AS CAMPO, COUNT(*) AS NUM_REG, SUM(IF(CAST(ROUND(`0080_otstndng_prncpl_amnt`, 2) AS STRING) = CAST(`0080_otstndng_prncpl_amnt` AS STRING) AND CAST(`0080_otstndng_prncpl_amnt` AS STRING) NOT IN ('N/A','11111111111','11111111111.00','11111111111.000000','1111-11-11','0000-00-00','0001-01-01','9999-12-31','MISS','00000','99999999999','99999999999.00','99999999999.000000','-9999.9999','','Not applicable','XXX'),0 ,1)) AS NUM_REG_DIF, GROUP_CONCAT(CASE WHEN CAST(ROUND(`0080_otstndng_prncpl_amnt`, 2) AS STRING) = CAST(`0080_otstndng_prncpl_amnt` AS STRING) AND CAST(`0080_otstndng_prncpl_amnt` AS STRING) NOT IN ('N/A','11111111111','11111111111.00','11111111111.000000','1111-11-11','0000-00-00','0001-01-01','9999-12-31','MISS','00000','99999999999','99999999999.00','99999999999.000000','-9999.9999','','Not applicable','XXX') THEN NULL ELSE X.CHAVE_IT END, '; ') AS DETALHE FROM (SELECT *, 0020_UNIQ_ID AS CHAVE_IT, 0080_otstndng_prncpl_amnt AS CAMPO_IT FROM BU_LOANTAPE_WORK.OUT_B0200_MAIN_LIABILITIES WHERE REF_DATE='"&amp; RefDate &amp;"')X GROUP BY 1</v>
      </c>
    </row>
    <row r="85" spans="1:12" x14ac:dyDescent="0.3">
      <c r="A85" t="str">
        <f t="shared" si="9"/>
        <v>FRMT_B0200_C0090</v>
      </c>
      <c r="B85" t="s">
        <v>399</v>
      </c>
      <c r="C85" s="7">
        <v>0</v>
      </c>
      <c r="D85" s="1" t="s">
        <v>386</v>
      </c>
      <c r="E85" t="s">
        <v>648</v>
      </c>
      <c r="F85" t="s">
        <v>11</v>
      </c>
      <c r="G85" t="s">
        <v>381</v>
      </c>
      <c r="H85" t="s">
        <v>517</v>
      </c>
      <c r="I85" s="7">
        <f t="shared" si="7"/>
        <v>1</v>
      </c>
      <c r="J85" s="8" t="str">
        <f t="shared" si="8"/>
        <v>THEN NULL ELSE X.CHAVE_IT END</v>
      </c>
      <c r="K85" s="5" t="str">
        <f t="shared" si="6"/>
        <v>UNION ALL SELECT '"&amp; RefDate &amp;"' AS REF_DATE, 'FRMT_B0200_C0090' AS COD_KPI, 'REGULAMENTAR' AS TIPOLOGIA_TESTE, 'O campo deve ser reportado com formato numérico com 2 casas decimais.' AS DESCRIÇÃO, 'BU_LOANTAPE_WORK.OUT_B0200_MAIN_LIABILITIES' AS TABELA, '0090_prtn_amnt_rprtng_entty' AS CAMPO, COUNT(*) AS NUM_REG, SUM(IF((CAST(ROUND(`0090_prtn_amnt_rprtng_entty`, 2) AS STRING) = CAST(`0090_prtn_amnt_rprtng_entty` AS STRING) AND CAST(`0090_prtn_amnt_rprtng_entty` AS STRING) NOT IN ('N/A','11111111111','11111111111.00','11111111111.000000','1111-11-11','0000-00-00','0001-01-01','9999-12-31','MISS','00000','99999999999','99999999999.00','99999999999.000000','-9999.9999','','Not applicable','XXX')) OR `0090_prtn_amnt_rprtng_entty`= 999999999999999.00 ,0 ,1)) AS NUM_REG_DIF, GROUP_CONCAT(CASE WHEN (CAST(ROUND(`0090_prtn_amnt_rprtng_entty`, 2) AS STRING) = CAST(`0090_prtn_amnt_rprtng_entty` AS STRING) AND CAST(`0090_prtn_amnt_rprtng_entty` AS STRING) NOT IN ('N/A','11111111111','11111111111.00','11111111111.000000','1111-11-11','0000-00-00','0001-01-01','9999-12-31','MISS','00000','99999999999','99999999999.00','99999999999.000000','-9999.9999','','Not applicable','XXX')) OR `0090_prtn_amnt_rprtng_entty`= 999999999999999.00  THEN NULL ELSE X.CHAVE_IT END, '; ') AS DETALHE FROM (SELECT *, 0020_UNIQ_ID AS CHAVE_IT, 0090_prtn_amnt_rprtng_entty AS CAMPO_IT FROM BU_LOANTAPE_WORK.OUT_B0200_MAIN_LIABILITIES WHERE REF_DATE='"&amp; RefDate &amp;"')X GROUP BY 1</v>
      </c>
    </row>
    <row r="86" spans="1:12" x14ac:dyDescent="0.3">
      <c r="A86" t="str">
        <f t="shared" si="9"/>
        <v>FRMT_B0200_C0100</v>
      </c>
      <c r="B86" t="s">
        <v>402</v>
      </c>
      <c r="C86" s="7">
        <v>0</v>
      </c>
      <c r="D86" s="1" t="s">
        <v>386</v>
      </c>
      <c r="E86" t="s">
        <v>648</v>
      </c>
      <c r="F86" t="s">
        <v>11</v>
      </c>
      <c r="G86" t="s">
        <v>381</v>
      </c>
      <c r="H86" t="s">
        <v>518</v>
      </c>
      <c r="I86" s="7">
        <f t="shared" si="7"/>
        <v>1</v>
      </c>
      <c r="J86" s="8" t="str">
        <f t="shared" si="8"/>
        <v>THEN NULL ELSE X.CHAVE_IT END</v>
      </c>
      <c r="K86" s="5" t="str">
        <f t="shared" si="6"/>
        <v>UNION ALL SELECT '"&amp; RefDate &amp;"' AS REF_DATE, 'FRMT_B0200_C0100' AS COD_KPI, 'REGULAMENTAR' AS TIPOLOGIA_TESTE, 'O campo deve ser reportado com formato numérico com 2 casas decimais.' AS DESCRIÇÃO, 'BU_LOANTAPE_WORK.OUT_B0200_MAIN_LIABILITIES' AS TABELA, '0100_accrd_intrst_instrmnt' AS CAMPO, COUNT(*) AS NUM_REG, SUM(IF((CAST(ROUND(`0100_accrd_intrst_instrmnt`, 2) AS STRING) = CAST(`0100_accrd_intrst_instrmnt` AS STRING) AND CAST(`0100_accrd_intrst_instrmnt` AS STRING) NOT IN ('N/A','11111111111','11111111111.00','11111111111.000000','1111-11-11','0000-00-00','0001-01-01','9999-12-31','MISS','00000','99999999999','99999999999.00','99999999999.000000','-9999.9999','Not applicable','XXX')) OR `0100_accrd_intrst_instrmnt` = 999999999999999 OR CAST(`0100_accrd_intrst_instrmnt` AS STRING) = '',0 ,1)) AS NUM_REG_DIF, GROUP_CONCAT(CASE WHEN (CAST(ROUND(`0100_accrd_intrst_instrmnt`, 2) AS STRING) = CAST(`0100_accrd_intrst_instrmnt` AS STRING) AND CAST(`0100_accrd_intrst_instrmnt` AS STRING) NOT IN ('N/A','11111111111','11111111111.00','11111111111.000000','1111-11-11','0000-00-00','0001-01-01','9999-12-31','MISS','00000','99999999999','99999999999.00','99999999999.000000','-9999.9999','Not applicable','XXX')) OR `0100_accrd_intrst_instrmnt` = 999999999999999 OR CAST(`0100_accrd_intrst_instrmnt` AS STRING) = '' THEN NULL ELSE X.CHAVE_IT END, '; ') AS DETALHE FROM (SELECT *, 0020_UNIQ_ID AS CHAVE_IT, 0100_accrd_intrst_instrmnt AS CAMPO_IT FROM BU_LOANTAPE_WORK.OUT_B0200_MAIN_LIABILITIES WHERE REF_DATE='"&amp; RefDate &amp;"')X GROUP BY 1</v>
      </c>
    </row>
    <row r="87" spans="1:12" x14ac:dyDescent="0.3">
      <c r="A87" t="str">
        <f t="shared" si="9"/>
        <v>FRMT_B0200_C0110</v>
      </c>
      <c r="B87" t="s">
        <v>467</v>
      </c>
      <c r="C87" s="7">
        <v>0</v>
      </c>
      <c r="D87" s="1" t="s">
        <v>386</v>
      </c>
      <c r="E87" t="s">
        <v>648</v>
      </c>
      <c r="F87" t="s">
        <v>11</v>
      </c>
      <c r="G87" t="s">
        <v>381</v>
      </c>
      <c r="H87" t="s">
        <v>519</v>
      </c>
      <c r="I87" s="7">
        <f t="shared" si="7"/>
        <v>1</v>
      </c>
      <c r="J87" s="8" t="str">
        <f t="shared" si="8"/>
        <v>THEN NULL ELSE X.CHAVE_IT END</v>
      </c>
      <c r="K87" s="5" t="str">
        <f t="shared" si="6"/>
        <v>UNION ALL SELECT '"&amp; RefDate &amp;"' AS REF_DATE, 'FRMT_B0200_C0110' AS COD_KPI, 'REGULAMENTAR' AS TIPOLOGIA_TESTE, 'O campo deve ser reportado com formato numérico com 2 casas decimais.' AS DESCRIÇÃO, 'BU_LOANTAPE_WORK.OUT_B0200_MAIN_LIABILITIES' AS TABELA, '0110_applcbl_fees_charges' AS CAMPO, COUNT(*) AS NUM_REG, SUM(IF((CAST(ROUND(`0110_applcbl_fees_charges`, 2) AS STRING) = CAST(`0110_applcbl_fees_charges` AS STRING) AND CAST(`0110_applcbl_fees_charges` AS STRING) NOT IN ('N/A','11111111111','11111111111.00','11111111111.000000','1111-11-11','0000-00-00','0001-01-01','9999-12-31','MISS','00000','99999999999','99999999999.00','99999999999.000000','-9999.9999','Not applicable','XXX')) OR `0110_applcbl_fees_charges` = 999999999999999 OR CAST(`0110_applcbl_fees_charges` AS STRING) = '',0 ,1)) AS NUM_REG_DIF, GROUP_CONCAT(CASE WHEN (CAST(ROUND(`0110_applcbl_fees_charges`, 2) AS STRING) = CAST(`0110_applcbl_fees_charges` AS STRING) AND CAST(`0110_applcbl_fees_charges` AS STRING) NOT IN ('N/A','11111111111','11111111111.00','11111111111.000000','1111-11-11','0000-00-00','0001-01-01','9999-12-31','MISS','00000','99999999999','99999999999.00','99999999999.000000','-9999.9999','Not applicable','XXX')) OR `0110_applcbl_fees_charges` = 999999999999999 OR CAST(`0110_applcbl_fees_charges` AS STRING) = '' THEN NULL ELSE X.CHAVE_IT END, '; ') AS DETALHE FROM (SELECT *, 0020_UNIQ_ID AS CHAVE_IT, 0110_applcbl_fees_charges AS CAMPO_IT FROM BU_LOANTAPE_WORK.OUT_B0200_MAIN_LIABILITIES WHERE REF_DATE='"&amp; RefDate &amp;"')X GROUP BY 1</v>
      </c>
    </row>
    <row r="88" spans="1:12" x14ac:dyDescent="0.3">
      <c r="A88" t="str">
        <f t="shared" si="9"/>
        <v>FRMT_B0200_C0120</v>
      </c>
      <c r="B88" t="s">
        <v>405</v>
      </c>
      <c r="C88" s="7">
        <v>0</v>
      </c>
      <c r="D88" s="1" t="s">
        <v>386</v>
      </c>
      <c r="E88" t="s">
        <v>648</v>
      </c>
      <c r="F88" t="s">
        <v>11</v>
      </c>
      <c r="G88" t="s">
        <v>381</v>
      </c>
      <c r="H88" t="s">
        <v>520</v>
      </c>
      <c r="I88" s="7">
        <f t="shared" si="7"/>
        <v>1</v>
      </c>
      <c r="J88" s="8" t="str">
        <f t="shared" si="8"/>
        <v>THEN NULL ELSE X.CHAVE_IT END</v>
      </c>
      <c r="K88" s="5" t="str">
        <f t="shared" si="6"/>
        <v>UNION ALL SELECT '"&amp; RefDate &amp;"' AS REF_DATE, 'FRMT_B0200_C0120' AS COD_KPI, 'REGULAMENTAR' AS TIPOLOGIA_TESTE, 'O campo deve ser reportado com formato numérico com 2 casas decimais.' AS DESCRIÇÃO, 'BU_LOANTAPE_WORK.OUT_B0200_MAIN_LIABILITIES' AS TABELA, '0120_otstndng_amnt' AS CAMPO, COUNT(*) AS NUM_REG, SUM(IF((CAST(ROUND(`0120_otstndng_amnt`, 2) AS STRING) = CAST(`0120_otstndng_amnt` AS STRING) AND CAST(`0120_otstndng_amnt` AS STRING) NOT IN ('N/A','11111111111','11111111111.00','11111111111.000000','1111-11-11','0000-00-00','0001-01-01','9999-12-31','MISS','00000','99999999999','99999999999.00','99999999999.000000','-9999.9999','','Not applicable','XXX')) OR `0120_otstndng_amnt`= 999999999999999.00,0 ,1)) AS NUM_REG_DIF, GROUP_CONCAT(CASE WHEN (CAST(ROUND(`0120_otstndng_amnt`, 2) AS STRING) = CAST(`0120_otstndng_amnt` AS STRING) AND CAST(`0120_otstndng_amnt` AS STRING) NOT IN ('N/A','11111111111','11111111111.00','11111111111.000000','1111-11-11','0000-00-00','0001-01-01','9999-12-31','MISS','00000','99999999999','99999999999.00','99999999999.000000','-9999.9999','','Not applicable','XXX')) OR `0120_otstndng_amnt`= 999999999999999.00 THEN NULL ELSE X.CHAVE_IT END, '; ') AS DETALHE FROM (SELECT *, 0020_UNIQ_ID AS CHAVE_IT, 0120_otstndng_amnt AS CAMPO_IT FROM BU_LOANTAPE_WORK.OUT_B0200_MAIN_LIABILITIES WHERE REF_DATE='"&amp; RefDate &amp;"')X GROUP BY 1</v>
      </c>
    </row>
    <row r="89" spans="1:12" x14ac:dyDescent="0.3">
      <c r="A89" t="str">
        <f t="shared" si="9"/>
        <v>FRMT_B0200_C0130</v>
      </c>
      <c r="B89" t="s">
        <v>408</v>
      </c>
      <c r="C89" s="7">
        <v>0</v>
      </c>
      <c r="D89" s="1" t="s">
        <v>386</v>
      </c>
      <c r="E89" t="s">
        <v>648</v>
      </c>
      <c r="F89" t="s">
        <v>11</v>
      </c>
      <c r="G89" t="s">
        <v>381</v>
      </c>
      <c r="H89" t="s">
        <v>521</v>
      </c>
      <c r="I89" s="7">
        <f t="shared" si="7"/>
        <v>1</v>
      </c>
      <c r="J89" s="8" t="str">
        <f t="shared" si="8"/>
        <v>THEN NULL ELSE X.CHAVE_IT END</v>
      </c>
      <c r="K89" s="5" t="str">
        <f t="shared" si="6"/>
        <v>UNION ALL SELECT '"&amp; RefDate &amp;"' AS REF_DATE, 'FRMT_B0200_C0130' AS COD_KPI, 'REGULAMENTAR' AS TIPOLOGIA_TESTE, 'O campo deve ser reportado com formato numérico com 2 casas decimais.' AS DESCRIÇÃO, 'BU_LOANTAPE_WORK.OUT_B0200_MAIN_LIABILITIES' AS TABELA, '0130_rlvnt_amnt_wdc' AS CAMPO, COUNT(*) AS NUM_REG, SUM(IF(CAST(ROUND(`0130_rlvnt_amnt_wdc`, 2) AS STRING) = CAST(`0130_rlvnt_amnt_wdc` AS STRING) AND CAST(`0130_rlvnt_amnt_wdc` AS STRING) NOT IN ('N/A','11111111111','11111111111.00','11111111111.000000','1111-11-11','0000-00-00','0001-01-01','9999-12-31','MISS','00000','99999999999','99999999999.00','99999999999.000000','-9999.9999','','Not applicable','XXX'),0 ,1)) AS NUM_REG_DIF, GROUP_CONCAT(CASE WHEN CAST(ROUND(`0130_rlvnt_amnt_wdc`, 2) AS STRING) = CAST(`0130_rlvnt_amnt_wdc` AS STRING) AND CAST(`0130_rlvnt_amnt_wdc` AS STRING) NOT IN ('N/A','11111111111','11111111111.00','11111111111.000000','1111-11-11','0000-00-00','0001-01-01','9999-12-31','MISS','00000','99999999999','99999999999.00','99999999999.000000','-9999.9999','','Not applicable','XXX') THEN NULL ELSE X.CHAVE_IT END, '; ') AS DETALHE FROM (SELECT *, 0020_UNIQ_ID AS CHAVE_IT, 0130_rlvnt_amnt_wdc AS CAMPO_IT FROM BU_LOANTAPE_WORK.OUT_B0200_MAIN_LIABILITIES WHERE REF_DATE='"&amp; RefDate &amp;"')X GROUP BY 1</v>
      </c>
    </row>
    <row r="90" spans="1:12" x14ac:dyDescent="0.3">
      <c r="A90" t="str">
        <f t="shared" si="9"/>
        <v>FRMT_B0200_C0140</v>
      </c>
      <c r="B90" t="s">
        <v>410</v>
      </c>
      <c r="C90" s="7">
        <v>0</v>
      </c>
      <c r="D90" t="s">
        <v>385</v>
      </c>
      <c r="E90" t="s">
        <v>648</v>
      </c>
      <c r="F90" t="s">
        <v>11</v>
      </c>
      <c r="G90" t="s">
        <v>381</v>
      </c>
      <c r="H90" t="s">
        <v>522</v>
      </c>
      <c r="I90" s="7">
        <f t="shared" si="7"/>
        <v>1</v>
      </c>
      <c r="J90" s="8" t="str">
        <f t="shared" si="8"/>
        <v>THEN NULL ELSE X.CHAVE_IT END</v>
      </c>
      <c r="K90" s="5" t="str">
        <f t="shared" si="6"/>
        <v>UNION ALL SELECT '"&amp; RefDate &amp;"' AS REF_DATE, 'FRMT_B0200_C0140' AS COD_KPI, 'REGULAMENTAR' AS TIPOLOGIA_TESTE, 'Os valores dos dropdowns devem ser respeitados.' AS DESCRIÇÃO, 'BU_LOANTAPE_WORK.OUT_B0200_MAIN_LIABILITIES' AS TABELA, '0140_ntr_lblty' AS CAMPO, COUNT(*) AS NUM_REG, SUM(IF(`0140_ntr_lblty` IN ('Registered Bond', 'Bearer Bond', 'Borrower Note Loan', 'Certificate of Deposit / Commercial paper', 'Title of ownership', 'Cash account/saving account', 'Term deposit', 'Loan', 'Bill of exchange ', 'Other'),0 ,1)) AS NUM_REG_DIF, GROUP_CONCAT(CASE WHEN `0140_ntr_lblty` IN ('Registered Bond', 'Bearer Bond', 'Borrower Note Loan', 'Certificate of Deposit / Commercial paper', 'Title of ownership', 'Cash account/saving account', 'Term deposit', 'Loan', 'Bill of exchange ', 'Other') THEN NULL ELSE X.CHAVE_IT END, '; ') AS DETALHE FROM (SELECT *, 0020_UNIQ_ID AS CHAVE_IT, 0140_ntr_lblty AS CAMPO_IT FROM BU_LOANTAPE_WORK.OUT_B0200_MAIN_LIABILITIES WHERE REF_DATE='"&amp; RefDate &amp;"')X GROUP BY 1</v>
      </c>
    </row>
    <row r="91" spans="1:12" x14ac:dyDescent="0.3">
      <c r="A91" t="str">
        <f t="shared" si="9"/>
        <v>FRMT_B0200_C0141</v>
      </c>
      <c r="B91" t="s">
        <v>412</v>
      </c>
      <c r="C91" s="7">
        <v>0</v>
      </c>
      <c r="D91" s="1" t="s">
        <v>383</v>
      </c>
      <c r="E91" t="s">
        <v>648</v>
      </c>
      <c r="F91" t="s">
        <v>11</v>
      </c>
      <c r="G91" t="s">
        <v>381</v>
      </c>
      <c r="H91" t="s">
        <v>523</v>
      </c>
      <c r="I91" s="7">
        <f t="shared" si="7"/>
        <v>1</v>
      </c>
      <c r="J91" s="8" t="str">
        <f t="shared" si="8"/>
        <v>THEN NULL ELSE X.CHAVE_IT END</v>
      </c>
      <c r="K91" s="5" t="str">
        <f t="shared" si="6"/>
        <v>UNION ALL SELECT '"&amp; RefDate &amp;"' AS REF_DATE, 'FRMT_B0200_C0141' AS COD_KPI, 'REGULAMENTAR' AS TIPOLOGIA_TESTE, 'O campo deve ser reportado com formato texto livre.' AS DESCRIÇÃO, 'BU_LOANTAPE_WORK.OUT_B0200_MAIN_LIABILITIES' AS TABELA, '0141_ntr_lblty_othr' AS CAMPO, COUNT(*) AS NUM_REG, SUM(IF(`0141_ntr_lblty_othr` RLIKE '[A-Za-z]' AND `0141_ntr_lblty_othr` NOT IN ('N/A','11111111111','11111111111.00','11111111111.000000','1111-11-11','0000-00-00','0001-01-01','9999-12-31','MISS','00000','99999999999','999999999999999','99999999999.00','99999999999.000000','-9999.9999','','Not applicable','XXX'),0 ,1)) AS NUM_REG_DIF, GROUP_CONCAT(CASE WHEN `0141_ntr_lblty_othr` RLIKE '[A-Za-z]' AND `0141_ntr_lblty_othr` NOT IN ('N/A','11111111111','11111111111.00','11111111111.000000','1111-11-11','0000-00-00','0001-01-01','9999-12-31','MISS','00000','99999999999','999999999999999','99999999999.00','99999999999.000000','-9999.9999','','Not applicable','XXX') THEN NULL ELSE X.CHAVE_IT END, '; ') AS DETALHE FROM (SELECT *, 0020_UNIQ_ID AS CHAVE_IT, 0141_ntr_lblty_othr AS CAMPO_IT FROM BU_LOANTAPE_WORK.OUT_B0200_MAIN_LIABILITIES WHERE REF_DATE='"&amp; RefDate &amp;"')X GROUP BY 1</v>
      </c>
      <c r="L91" t="s">
        <v>295</v>
      </c>
    </row>
    <row r="92" spans="1:12" x14ac:dyDescent="0.3">
      <c r="A92" t="str">
        <f t="shared" si="9"/>
        <v>FRMT_B0200_C0150</v>
      </c>
      <c r="B92" t="s">
        <v>625</v>
      </c>
      <c r="C92" s="7">
        <v>0</v>
      </c>
      <c r="D92" t="s">
        <v>384</v>
      </c>
      <c r="E92" t="s">
        <v>648</v>
      </c>
      <c r="F92" t="s">
        <v>11</v>
      </c>
      <c r="G92" t="s">
        <v>381</v>
      </c>
      <c r="H92" t="s">
        <v>624</v>
      </c>
      <c r="I92" s="7">
        <f t="shared" si="7"/>
        <v>1</v>
      </c>
      <c r="J92" s="8" t="str">
        <f t="shared" si="8"/>
        <v>THEN NULL ELSE X.CHAVE_IT END</v>
      </c>
      <c r="K92" s="5" t="str">
        <f t="shared" si="6"/>
        <v>UNION ALL SELECT '"&amp; RefDate &amp;"' AS REF_DATE, 'FRMT_B0200_C0150' AS COD_KPI, 'REGULAMENTAR' AS TIPOLOGIA_TESTE, 'O campo deve ser reportado usando TRUE ou FALSE.' AS DESCRIÇÃO, 'BU_LOANTAPE_WORK.OUT_B0200_MAIN_LIABILITIES' AS TABELA, '0150_flg_strctrlly_sbrdntd' AS CAMPO, COUNT(*) AS NUM_REG, SUM(IF(`0150_flg_strctrlly_sbrdntd` IN ('TRUE', 'FALSE'),0 ,1)) AS NUM_REG_DIF, GROUP_CONCAT(CASE WHEN `0150_flg_strctrlly_sbrdntd` IN ('TRUE', 'FALSE') THEN NULL ELSE X.CHAVE_IT END, '; ') AS DETALHE FROM (SELECT *, 0020_UNIQ_ID AS CHAVE_IT, 0150_flg_strctrlly_sbrdntd AS CAMPO_IT FROM BU_LOANTAPE_WORK.OUT_B0200_MAIN_LIABILITIES WHERE REF_DATE='"&amp; RefDate &amp;"')X GROUP BY 1</v>
      </c>
    </row>
    <row r="93" spans="1:12" x14ac:dyDescent="0.3">
      <c r="A93" t="str">
        <f t="shared" si="9"/>
        <v>FRMT_B0200_C0160</v>
      </c>
      <c r="B93" t="s">
        <v>414</v>
      </c>
      <c r="C93" s="7">
        <v>0</v>
      </c>
      <c r="D93" s="1" t="s">
        <v>382</v>
      </c>
      <c r="E93" t="s">
        <v>648</v>
      </c>
      <c r="F93" t="s">
        <v>11</v>
      </c>
      <c r="G93" t="s">
        <v>381</v>
      </c>
      <c r="H93" t="s">
        <v>524</v>
      </c>
      <c r="I93" s="7">
        <f t="shared" si="7"/>
        <v>1</v>
      </c>
      <c r="J93" s="8" t="str">
        <f t="shared" si="8"/>
        <v>THEN NULL ELSE X.CHAVE_IT END</v>
      </c>
      <c r="K93" s="5" t="str">
        <f t="shared" ref="K93:K124" si="10">"UNION ALL SELECT '"&amp;E93&amp;"' AS REF_DATE, '"&amp;A93&amp;"' AS COD_KPI, '"&amp;F93&amp;"' AS TIPOLOGIA_TESTE, '"&amp;D93&amp;"' AS DESCRIÇÃO, '"&amp;G93&amp;"' AS TABELA, '"&amp;B93&amp;"' AS CAMPO, COUNT(*) AS NUM_REG, SUM(IF("&amp;H93&amp;","&amp;C93&amp;" ,"&amp;I93&amp;")) AS NUM_REG_DIF, GROUP_CONCAT(CASE WHEN "&amp;H93&amp;" "&amp;J93&amp;", '; ') AS DETALHE FROM (SELECT *, 0020_UNIQ_ID AS CHAVE_IT, "&amp;B93&amp;" AS CAMPO_IT FROM "&amp;G93&amp;" WHERE REF_DATE='"&amp;E93&amp;"')X GROUP BY 1"</f>
        <v>UNION ALL SELECT '"&amp; RefDate &amp;"' AS REF_DATE, 'FRMT_B0200_C0160' AS COD_KPI, 'REGULAMENTAR' AS TIPOLOGIA_TESTE, 'O campo deve ser reportado com formato numérico inteiro.' AS DESCRIÇÃO, 'BU_LOANTAPE_WORK.OUT_B0200_MAIN_LIABILITIES' AS TABELA, '0160_rank_insolv' AS CAMPO, COUNT(*) AS NUM_REG, SUM(IF(CAST(`0160_rank_insolv` AS STRING) RLIKE '^[0-9]+$' AND CAST(`0160_rank_insolv` AS STRING) NOT IN ('N/A','11111111111','11111111111.00','11111111111.000000','1111-11-11','0000-00-00','0001-01-01','9999-12-31','MISS','00000','99999999999','999999999999999','99999999999.00','99999999999.000000','-9999.9999','','Not applicable','XXX'),0 ,1)) AS NUM_REG_DIF, GROUP_CONCAT(CASE WHEN CAST(`0160_rank_insolv` AS STRING) RLIKE '^[0-9]+$' AND CAST(`0160_rank_insolv` AS STRING) NOT IN ('N/A','11111111111','11111111111.00','11111111111.000000','1111-11-11','0000-00-00','0001-01-01','9999-12-31','MISS','00000','99999999999','999999999999999','99999999999.00','99999999999.000000','-9999.9999','','Not applicable','XXX') THEN NULL ELSE X.CHAVE_IT END, '; ') AS DETALHE FROM (SELECT *, 0020_UNIQ_ID AS CHAVE_IT, 0160_rank_insolv AS CAMPO_IT FROM BU_LOANTAPE_WORK.OUT_B0200_MAIN_LIABILITIES WHERE REF_DATE='"&amp; RefDate &amp;"')X GROUP BY 1</v>
      </c>
      <c r="L93" t="s">
        <v>295</v>
      </c>
    </row>
    <row r="94" spans="1:12" x14ac:dyDescent="0.3">
      <c r="A94" t="str">
        <f t="shared" si="9"/>
        <v>FRMT_B0200_C0161</v>
      </c>
      <c r="B94" t="s">
        <v>526</v>
      </c>
      <c r="C94" s="7">
        <v>0</v>
      </c>
      <c r="D94" s="1" t="s">
        <v>386</v>
      </c>
      <c r="E94" t="s">
        <v>648</v>
      </c>
      <c r="F94" t="s">
        <v>11</v>
      </c>
      <c r="G94" t="s">
        <v>381</v>
      </c>
      <c r="H94" t="s">
        <v>525</v>
      </c>
      <c r="I94" s="7">
        <f t="shared" si="7"/>
        <v>1</v>
      </c>
      <c r="J94" s="8" t="str">
        <f t="shared" si="8"/>
        <v>THEN NULL ELSE X.CHAVE_IT END</v>
      </c>
      <c r="K94" s="5" t="str">
        <f t="shared" si="10"/>
        <v>UNION ALL SELECT '"&amp; RefDate &amp;"' AS REF_DATE, 'FRMT_B0200_C0161' AS COD_KPI, 'REGULAMENTAR' AS TIPOLOGIA_TESTE, 'O campo deve ser reportado com formato numérico com 2 casas decimais.' AS DESCRIÇÃO, 'BU_LOANTAPE_WORK.OUT_B0200_MAIN_LIABILITIES' AS TABELA, '0161_cntrctl_sbrdntn' AS CAMPO, COUNT(*) AS NUM_REG, SUM(IF((CAST(ROUND(`0161_cntrctl_sbrdntn`, 2) AS STRING) = CAST(`0161_cntrctl_sbrdntn` AS STRING) AND CAST(`0161_cntrctl_sbrdntn` AS STRING) NOT IN ('N/A','11111111111','11111111111.00','11111111111.000000','1111-11-11','0000-00-00','0001-01-01','9999-12-31','MISS','00000','99999999999','99999999999.00','99999999999.000000','-9999.9999','','Not applicable','XXX')) OR `0161_cntrctl_sbrdntn`= 999999999999999.00,0 ,1)) AS NUM_REG_DIF, GROUP_CONCAT(CASE WHEN (CAST(ROUND(`0161_cntrctl_sbrdntn`, 2) AS STRING) = CAST(`0161_cntrctl_sbrdntn` AS STRING) AND CAST(`0161_cntrctl_sbrdntn` AS STRING) NOT IN ('N/A','11111111111','11111111111.00','11111111111.000000','1111-11-11','0000-00-00','0001-01-01','9999-12-31','MISS','00000','99999999999','99999999999.00','99999999999.000000','-9999.9999','','Not applicable','XXX')) OR `0161_cntrctl_sbrdntn`= 999999999999999.00 THEN NULL ELSE X.CHAVE_IT END, '; ') AS DETALHE FROM (SELECT *, 0020_UNIQ_ID AS CHAVE_IT, 0161_cntrctl_sbrdntn AS CAMPO_IT FROM BU_LOANTAPE_WORK.OUT_B0200_MAIN_LIABILITIES WHERE REF_DATE='"&amp; RefDate &amp;"')X GROUP BY 1</v>
      </c>
    </row>
    <row r="95" spans="1:12" x14ac:dyDescent="0.3">
      <c r="A95" t="str">
        <f t="shared" si="9"/>
        <v>FRMT_B0200_C0162</v>
      </c>
      <c r="B95" t="s">
        <v>416</v>
      </c>
      <c r="C95" s="7">
        <v>0</v>
      </c>
      <c r="D95" t="s">
        <v>621</v>
      </c>
      <c r="E95" t="s">
        <v>648</v>
      </c>
      <c r="F95" t="s">
        <v>11</v>
      </c>
      <c r="G95" t="s">
        <v>381</v>
      </c>
      <c r="H95" t="s">
        <v>527</v>
      </c>
      <c r="I95" s="7">
        <f t="shared" si="7"/>
        <v>1</v>
      </c>
      <c r="J95" s="8" t="str">
        <f t="shared" si="8"/>
        <v>THEN NULL ELSE X.CHAVE_IT END</v>
      </c>
      <c r="K95" s="5" t="str">
        <f t="shared" si="10"/>
        <v>UNION ALL SELECT '"&amp; RefDate &amp;"' AS REF_DATE, 'FRMT_B0200_C0162' AS COD_KPI, 'REGULAMENTAR' AS TIPOLOGIA_TESTE, 'O campo deve ser reportado usando os valores fixos.' AS DESCRIÇÃO, 'BU_LOANTAPE_WORK.OUT_B0200_MAIN_LIABILITIES' AS TABELA, '0162_bail_in_cascade' AS CAMPO, COUNT(*) AS NUM_REG, SUM(IF(`0162_bail_in_cascade` in ('1','2','3','4','5','6','7','8','9','10','11','12','13','14','14','15','16','17','18','19','20'),0 ,1)) AS NUM_REG_DIF, GROUP_CONCAT(CASE WHEN `0162_bail_in_cascade` in ('1','2','3','4','5','6','7','8','9','10','11','12','13','14','14','15','16','17','18','19','20') THEN NULL ELSE X.CHAVE_IT END, '; ') AS DETALHE FROM (SELECT *, 0020_UNIQ_ID AS CHAVE_IT, 0162_bail_in_cascade AS CAMPO_IT FROM BU_LOANTAPE_WORK.OUT_B0200_MAIN_LIABILITIES WHERE REF_DATE='"&amp; RefDate &amp;"')X GROUP BY 1</v>
      </c>
      <c r="L95" t="s">
        <v>295</v>
      </c>
    </row>
    <row r="96" spans="1:12" x14ac:dyDescent="0.3">
      <c r="A96" t="str">
        <f t="shared" si="9"/>
        <v>FRMT_B0200_C0170</v>
      </c>
      <c r="B96" t="s">
        <v>475</v>
      </c>
      <c r="C96" s="7">
        <v>0</v>
      </c>
      <c r="D96" s="1" t="s">
        <v>387</v>
      </c>
      <c r="E96" t="s">
        <v>648</v>
      </c>
      <c r="F96" t="s">
        <v>11</v>
      </c>
      <c r="G96" t="s">
        <v>381</v>
      </c>
      <c r="H96" t="s">
        <v>528</v>
      </c>
      <c r="I96" s="7">
        <f t="shared" si="7"/>
        <v>1</v>
      </c>
      <c r="J96" s="8" t="str">
        <f t="shared" si="8"/>
        <v>THEN NULL ELSE X.CHAVE_IT END</v>
      </c>
      <c r="K96" s="5" t="str">
        <f t="shared" si="10"/>
        <v>UNION ALL SELECT '"&amp; RefDate &amp;"' AS REF_DATE, 'FRMT_B0200_C0170' AS COD_KPI, 'REGULAMENTAR' AS TIPOLOGIA_TESTE, 'O campo deve ser reportado com formato yyyy-mm-dd.' AS DESCRIÇÃO, 'BU_LOANTAPE_WORK.OUT_B0200_MAIN_LIABILITIES' AS TABELA, '0170_dt_incptn' AS CAMPO, COUNT(*) AS NUM_REG, SUM(IF(`0170_dt_incptn` REGEXP '^[0-9]{4}-[0-9]{2}-[0-9]{2}$' and `0170_dt_incptn` NOT IN ('N/A','11111111111','11111111111.00','11111111111.000000','1111-11-11','0000-00-00','0001-01-01','9999-12-31','MISS','00000','99999999999','999999999999999','99999999999.00','99999999999.000000','-9999.9999','','Not applicable','XXX'),0 ,1)) AS NUM_REG_DIF, GROUP_CONCAT(CASE WHEN `0170_dt_incptn` REGEXP '^[0-9]{4}-[0-9]{2}-[0-9]{2}$' and `0170_dt_incptn` NOT IN ('N/A','11111111111','11111111111.00','11111111111.000000','1111-11-11','0000-00-00','0001-01-01','9999-12-31','MISS','00000','99999999999','999999999999999','99999999999.00','99999999999.000000','-9999.9999','','Not applicable','XXX') THEN NULL ELSE X.CHAVE_IT END, '; ') AS DETALHE FROM (SELECT *, 0020_UNIQ_ID AS CHAVE_IT, 0170_dt_incptn AS CAMPO_IT FROM BU_LOANTAPE_WORK.OUT_B0200_MAIN_LIABILITIES WHERE REF_DATE='"&amp; RefDate &amp;"')X GROUP BY 1</v>
      </c>
    </row>
    <row r="97" spans="1:11" x14ac:dyDescent="0.3">
      <c r="A97" t="str">
        <f t="shared" si="9"/>
        <v>FRMT_B0200_C0180</v>
      </c>
      <c r="B97" t="s">
        <v>418</v>
      </c>
      <c r="C97" s="7">
        <v>0</v>
      </c>
      <c r="D97" s="1" t="s">
        <v>387</v>
      </c>
      <c r="E97" t="s">
        <v>648</v>
      </c>
      <c r="F97" t="s">
        <v>11</v>
      </c>
      <c r="G97" t="s">
        <v>381</v>
      </c>
      <c r="H97" t="s">
        <v>529</v>
      </c>
      <c r="I97" s="7">
        <f t="shared" si="7"/>
        <v>1</v>
      </c>
      <c r="J97" s="8" t="str">
        <f t="shared" si="8"/>
        <v>THEN NULL ELSE X.CHAVE_IT END</v>
      </c>
      <c r="K97" s="5" t="str">
        <f t="shared" si="10"/>
        <v>UNION ALL SELECT '"&amp; RefDate &amp;"' AS REF_DATE, 'FRMT_B0200_C0180' AS COD_KPI, 'REGULAMENTAR' AS TIPOLOGIA_TESTE, 'O campo deve ser reportado com formato yyyy-mm-dd.' AS DESCRIÇÃO, 'BU_LOANTAPE_WORK.OUT_B0200_MAIN_LIABILITIES' AS TABELA, '0180_dt_nxt_intrst_pymnt' AS CAMPO, COUNT(*) AS NUM_REG, SUM(IF((`0180_dt_nxt_intrst_pymnt` REGEXP '^[0-9]{4}-[0-9]{2}-[0-9]{2}$' and `0180_dt_nxt_intrst_pymnt` NOT IN ('N/A','11111111111','11111111111.00','11111111111.000000','1111-11-11','0000-00-00','9999-12-31','MISS','00000','99999999999','999999999999999','99999999999.00','99999999999.000000','-9999.9999','Not applicable','XXX')) OR `0180_dt_nxt_intrst_pymnt` IN ('0001-01-01', ''),0 ,1)) AS NUM_REG_DIF, GROUP_CONCAT(CASE WHEN (`0180_dt_nxt_intrst_pymnt` REGEXP '^[0-9]{4}-[0-9]{2}-[0-9]{2}$' and `0180_dt_nxt_intrst_pymnt` NOT IN ('N/A','11111111111','11111111111.00','11111111111.000000','1111-11-11','0000-00-00','9999-12-31','MISS','00000','99999999999','999999999999999','99999999999.00','99999999999.000000','-9999.9999','Not applicable','XXX')) OR `0180_dt_nxt_intrst_pymnt` IN ('0001-01-01', '') THEN NULL ELSE X.CHAVE_IT END, '; ') AS DETALHE FROM (SELECT *, 0020_UNIQ_ID AS CHAVE_IT, 0180_dt_nxt_intrst_pymnt AS CAMPO_IT FROM BU_LOANTAPE_WORK.OUT_B0200_MAIN_LIABILITIES WHERE REF_DATE='"&amp; RefDate &amp;"')X GROUP BY 1</v>
      </c>
    </row>
    <row r="98" spans="1:11" x14ac:dyDescent="0.3">
      <c r="A98" t="str">
        <f t="shared" si="9"/>
        <v>FRMT_B0200_C0190</v>
      </c>
      <c r="B98" t="s">
        <v>531</v>
      </c>
      <c r="C98" s="7">
        <v>0</v>
      </c>
      <c r="D98" s="1" t="s">
        <v>387</v>
      </c>
      <c r="E98" t="s">
        <v>648</v>
      </c>
      <c r="F98" t="s">
        <v>11</v>
      </c>
      <c r="G98" t="s">
        <v>381</v>
      </c>
      <c r="H98" t="s">
        <v>530</v>
      </c>
      <c r="I98" s="7">
        <f t="shared" ref="I98:I129" si="11">+IF(C98=1,0,1)</f>
        <v>1</v>
      </c>
      <c r="J98" s="8" t="str">
        <f t="shared" ref="J98:J129" si="12">+IF(C98=0,"THEN NULL ELSE X.CHAVE_IT END","THEN X.CHAVE_IT ELSE NULL END")</f>
        <v>THEN NULL ELSE X.CHAVE_IT END</v>
      </c>
      <c r="K98" s="5" t="str">
        <f t="shared" si="10"/>
        <v>UNION ALL SELECT '"&amp; RefDate &amp;"' AS REF_DATE, 'FRMT_B0200_C0190' AS COD_KPI, 'REGULAMENTAR' AS TIPOLOGIA_TESTE, 'O campo deve ser reportado com formato yyyy-mm-dd.' AS DESCRIÇÃO, 'BU_LOANTAPE_WORK.OUT_B0200_MAIN_LIABILITIES' AS TABELA, '0190_dt_nxt_rdmptn_pymnt' AS CAMPO, COUNT(*) AS NUM_REG, SUM(IF((`0190_dt_nxt_rdmptn_pymnt` REGEXP '^[0-9]{4}-[0-9]{2}-[0-9]{2}$' AND `0190_dt_nxt_rdmptn_pymnt` NOT IN ('N/A','11111111111','11111111111.00','11111111111.000000','1111-11-11','0000-00-00','0001-01-01','9999-12-31','MISS','00000','99999999999','999999999999999','99999999999.00','99999999999.000000','-9999.9999','','Not applicable','XXX')) OR `0190_dt_nxt_rdmptn_pymnt` = `0210_dt_lgl_fnl_mtrty`,0 ,1)) AS NUM_REG_DIF, GROUP_CONCAT(CASE WHEN (`0190_dt_nxt_rdmptn_pymnt` REGEXP '^[0-9]{4}-[0-9]{2}-[0-9]{2}$' AND `0190_dt_nxt_rdmptn_pymnt` NOT IN ('N/A','11111111111','11111111111.00','11111111111.000000','1111-11-11','0000-00-00','0001-01-01','9999-12-31','MISS','00000','99999999999','999999999999999','99999999999.00','99999999999.000000','-9999.9999','','Not applicable','XXX')) OR `0190_dt_nxt_rdmptn_pymnt` = `0210_dt_lgl_fnl_mtrty` THEN NULL ELSE X.CHAVE_IT END, '; ') AS DETALHE FROM (SELECT *, 0020_UNIQ_ID AS CHAVE_IT, 0190_dt_nxt_rdmptn_pymnt AS CAMPO_IT FROM BU_LOANTAPE_WORK.OUT_B0200_MAIN_LIABILITIES WHERE REF_DATE='"&amp; RefDate &amp;"')X GROUP BY 1</v>
      </c>
    </row>
    <row r="99" spans="1:11" x14ac:dyDescent="0.3">
      <c r="A99" t="str">
        <f t="shared" si="9"/>
        <v>FRMT_B0200_C0200</v>
      </c>
      <c r="B99" t="s">
        <v>421</v>
      </c>
      <c r="C99" s="7">
        <v>0</v>
      </c>
      <c r="D99" s="1" t="s">
        <v>387</v>
      </c>
      <c r="E99" t="s">
        <v>648</v>
      </c>
      <c r="F99" t="s">
        <v>11</v>
      </c>
      <c r="G99" t="s">
        <v>381</v>
      </c>
      <c r="H99" t="s">
        <v>532</v>
      </c>
      <c r="I99" s="7">
        <f t="shared" si="11"/>
        <v>1</v>
      </c>
      <c r="J99" s="8" t="str">
        <f t="shared" si="12"/>
        <v>THEN NULL ELSE X.CHAVE_IT END</v>
      </c>
      <c r="K99" s="5" t="str">
        <f t="shared" si="10"/>
        <v>UNION ALL SELECT '"&amp; RefDate &amp;"' AS REF_DATE, 'FRMT_B0200_C0200' AS COD_KPI, 'REGULAMENTAR' AS TIPOLOGIA_TESTE, 'O campo deve ser reportado com formato yyyy-mm-dd.' AS DESCRIÇÃO, 'BU_LOANTAPE_WORK.OUT_B0200_MAIN_LIABILITIES' AS TABELA, '0200_dt_erlst_rdmptn' AS CAMPO, COUNT(*) AS NUM_REG, SUM(IF((`0200_dt_erlst_rdmptn` REGEXP '^[0-9]{4}-[0-9]{2}-[0-9]{2}$' and `0200_dt_erlst_rdmptn` NOT IN ('N/A','11111111111','11111111111.00','11111111111.000000','1111-11-11','0000-00-00','9999-12-31','MISS','00000','99999999999','999999999999999','99999999999.00','99999999999.000000','-9999.9999','Not applicable','XXX')) OR `0200_dt_erlst_rdmptn` IN ('0001-01-01', ''),0 ,1)) AS NUM_REG_DIF, GROUP_CONCAT(CASE WHEN (`0200_dt_erlst_rdmptn` REGEXP '^[0-9]{4}-[0-9]{2}-[0-9]{2}$' and `0200_dt_erlst_rdmptn` NOT IN ('N/A','11111111111','11111111111.00','11111111111.000000','1111-11-11','0000-00-00','9999-12-31','MISS','00000','99999999999','999999999999999','99999999999.00','99999999999.000000','-9999.9999','Not applicable','XXX')) OR `0200_dt_erlst_rdmptn` IN ('0001-01-01', '') THEN NULL ELSE X.CHAVE_IT END, '; ') AS DETALHE FROM (SELECT *, 0020_UNIQ_ID AS CHAVE_IT, 0200_dt_erlst_rdmptn AS CAMPO_IT FROM BU_LOANTAPE_WORK.OUT_B0200_MAIN_LIABILITIES WHERE REF_DATE='"&amp; RefDate &amp;"')X GROUP BY 1</v>
      </c>
    </row>
    <row r="100" spans="1:11" x14ac:dyDescent="0.3">
      <c r="A100" t="str">
        <f t="shared" si="9"/>
        <v>FRMT_B0200_C0210</v>
      </c>
      <c r="B100" t="s">
        <v>423</v>
      </c>
      <c r="C100" s="7">
        <v>0</v>
      </c>
      <c r="D100" s="1" t="s">
        <v>387</v>
      </c>
      <c r="E100" t="s">
        <v>648</v>
      </c>
      <c r="F100" t="s">
        <v>11</v>
      </c>
      <c r="G100" t="s">
        <v>381</v>
      </c>
      <c r="H100" t="s">
        <v>627</v>
      </c>
      <c r="I100" s="7">
        <f t="shared" si="11"/>
        <v>1</v>
      </c>
      <c r="J100" s="8" t="str">
        <f t="shared" si="12"/>
        <v>THEN NULL ELSE X.CHAVE_IT END</v>
      </c>
      <c r="K100" s="5" t="str">
        <f t="shared" si="10"/>
        <v>UNION ALL SELECT '"&amp; RefDate &amp;"' AS REF_DATE, 'FRMT_B0200_C0210' AS COD_KPI, 'REGULAMENTAR' AS TIPOLOGIA_TESTE, 'O campo deve ser reportado com formato yyyy-mm-dd.' AS DESCRIÇÃO, 'BU_LOANTAPE_WORK.OUT_B0200_MAIN_LIABILITIES' AS TABELA, '0210_dt_lgl_fnl_mtrty' AS CAMPO, COUNT(*) AS NUM_REG, SUM(IF((`0210_dt_lgl_fnl_mtrty` REGEXP '^[0-9]{4}-[0-9]{2}-[0-9]{2}$' and `0210_dt_lgl_fnl_mtrty` NOT IN ('N/A','11111111111','11111111111.00','11111111111.000000','1111-11-11','0000-00-00','9999-12-31','MISS','00000','99999999999','999999999999999','99999999999.00','99999999999.000000','-9999.9999','Not applicable','XXX')) OR `0210_dt_lgl_fnl_mtrty` IN ('0001-01-01', ''),0 ,1)) AS NUM_REG_DIF, GROUP_CONCAT(CASE WHEN (`0210_dt_lgl_fnl_mtrty` REGEXP '^[0-9]{4}-[0-9]{2}-[0-9]{2}$' and `0210_dt_lgl_fnl_mtrty` NOT IN ('N/A','11111111111','11111111111.00','11111111111.000000','1111-11-11','0000-00-00','9999-12-31','MISS','00000','99999999999','999999999999999','99999999999.00','99999999999.000000','-9999.9999','Not applicable','XXX')) OR `0210_dt_lgl_fnl_mtrty` IN ('0001-01-01', '') THEN NULL ELSE X.CHAVE_IT END, '; ') AS DETALHE FROM (SELECT *, 0020_UNIQ_ID AS CHAVE_IT, 0210_dt_lgl_fnl_mtrty AS CAMPO_IT FROM BU_LOANTAPE_WORK.OUT_B0200_MAIN_LIABILITIES WHERE REF_DATE='"&amp; RefDate &amp;"')X GROUP BY 1</v>
      </c>
    </row>
    <row r="101" spans="1:11" x14ac:dyDescent="0.3">
      <c r="A101" t="str">
        <f t="shared" si="9"/>
        <v>FRMT_B0200_C0220</v>
      </c>
      <c r="B101" t="s">
        <v>425</v>
      </c>
      <c r="C101" s="7">
        <v>0</v>
      </c>
      <c r="D101" t="s">
        <v>344</v>
      </c>
      <c r="E101" t="s">
        <v>648</v>
      </c>
      <c r="F101" t="s">
        <v>11</v>
      </c>
      <c r="G101" t="s">
        <v>381</v>
      </c>
      <c r="H101" t="s">
        <v>626</v>
      </c>
      <c r="I101" s="7">
        <f t="shared" si="11"/>
        <v>1</v>
      </c>
      <c r="J101" s="8" t="str">
        <f t="shared" si="12"/>
        <v>THEN NULL ELSE X.CHAVE_IT END</v>
      </c>
      <c r="K101" s="5" t="str">
        <f t="shared" si="10"/>
        <v>UNION ALL SELECT '"&amp; RefDate &amp;"' AS REF_DATE, 'FRMT_B0200_C0220' AS COD_KPI, 'REGULAMENTAR' AS TIPOLOGIA_TESTE, 'O campo deve ser reportado usando o código ISO 3166-1 alpha-2.' AS DESCRIÇÃO, 'BU_LOANTAPE_WORK.OUT_B0200_MAIN_LIABILITIES' AS TABELA, '0220_governing_law' AS CAMPO, COUNT(*) AS NUM_REG, SUM(IF(LENGTH(`0220_governing_law`) = 2 OR `0220_governing_law` = 'XX',0 ,1)) AS NUM_REG_DIF, GROUP_CONCAT(CASE WHEN LENGTH(`0220_governing_law`) = 2 OR `0220_governing_law` = 'XX' THEN NULL ELSE X.CHAVE_IT END, '; ') AS DETALHE FROM (SELECT *, 0020_UNIQ_ID AS CHAVE_IT, 0220_governing_law AS CAMPO_IT FROM BU_LOANTAPE_WORK.OUT_B0200_MAIN_LIABILITIES WHERE REF_DATE='"&amp; RefDate &amp;"')X GROUP BY 1</v>
      </c>
    </row>
    <row r="102" spans="1:11" x14ac:dyDescent="0.3">
      <c r="A102" t="str">
        <f t="shared" si="9"/>
        <v>FRMT_B0200_C0230</v>
      </c>
      <c r="B102" t="s">
        <v>485</v>
      </c>
      <c r="C102" s="7">
        <v>0</v>
      </c>
      <c r="D102" t="s">
        <v>385</v>
      </c>
      <c r="E102" t="s">
        <v>648</v>
      </c>
      <c r="F102" t="s">
        <v>11</v>
      </c>
      <c r="G102" t="s">
        <v>381</v>
      </c>
      <c r="H102" t="s">
        <v>533</v>
      </c>
      <c r="I102" s="7">
        <f t="shared" si="11"/>
        <v>1</v>
      </c>
      <c r="J102" s="8" t="str">
        <f t="shared" si="12"/>
        <v>THEN NULL ELSE X.CHAVE_IT END</v>
      </c>
      <c r="K102" s="5" t="str">
        <f t="shared" si="10"/>
        <v>UNION ALL SELECT '"&amp; RefDate &amp;"' AS REF_DATE, 'FRMT_B0200_C0230' AS COD_KPI, 'REGULAMENTAR' AS TIPOLOGIA_TESTE, 'Os valores dos dropdowns devem ser respeitados.' AS DESCRIÇÃO, 'BU_LOANTAPE_WORK.OUT_B0200_MAIN_LIABILITIES' AS TABELA, '0230_bail_in_rcgntn_cls' AS CAMPO, COUNT(*) AS NUM_REG, SUM(IF(`0230_bail_in_rcgntn_cls` IN ('Yes, supported by Legal Opinion', 'Yes, not supported by Legal Opinion', 'No', 'Not applicable', 'Aggregated', 'Not applicable'),0 ,1)) AS NUM_REG_DIF, GROUP_CONCAT(CASE WHEN `0230_bail_in_rcgntn_cls` IN ('Yes, supported by Legal Opinion', 'Yes, not supported by Legal Opinion', 'No', 'Not applicable', 'Aggregated', 'Not applicable') THEN NULL ELSE X.CHAVE_IT END, '; ') AS DETALHE FROM (SELECT *, 0020_UNIQ_ID AS CHAVE_IT, 0230_bail_in_rcgntn_cls AS CAMPO_IT FROM BU_LOANTAPE_WORK.OUT_B0200_MAIN_LIABILITIES WHERE REF_DATE='"&amp; RefDate &amp;"')X GROUP BY 1</v>
      </c>
    </row>
    <row r="103" spans="1:11" x14ac:dyDescent="0.3">
      <c r="A103" t="str">
        <f t="shared" si="9"/>
        <v>FRMT_B0200_C0240</v>
      </c>
      <c r="B103" t="s">
        <v>535</v>
      </c>
      <c r="C103" s="7">
        <v>0</v>
      </c>
      <c r="D103" t="s">
        <v>385</v>
      </c>
      <c r="E103" t="s">
        <v>648</v>
      </c>
      <c r="F103" t="s">
        <v>11</v>
      </c>
      <c r="G103" t="s">
        <v>381</v>
      </c>
      <c r="H103" t="s">
        <v>534</v>
      </c>
      <c r="I103" s="7">
        <f t="shared" si="11"/>
        <v>1</v>
      </c>
      <c r="J103" s="8" t="str">
        <f t="shared" si="12"/>
        <v>THEN NULL ELSE X.CHAVE_IT END</v>
      </c>
      <c r="K103" s="5" t="str">
        <f t="shared" si="10"/>
        <v>UNION ALL SELECT '"&amp; RefDate &amp;"' AS REF_DATE, 'FRMT_B0200_C0240' AS COD_KPI, 'REGULAMENTAR' AS TIPOLOGIA_TESTE, 'Os valores dos dropdowns devem ser respeitados.' AS DESCRIÇÃO, 'BU_LOANTAPE_WORK.OUT_B0200_MAIN_LIABILITIES' AS TABELA, '0240_zero_coupon' AS CAMPO, COUNT(*) AS NUM_REG, SUM(IF(`0240_zero_coupon` IN ('ZCB issued at discount', 'ZCB not issued at discount', 'No ZCB', 'Aggregated'),0 ,1)) AS NUM_REG_DIF, GROUP_CONCAT(CASE WHEN `0240_zero_coupon` IN ('ZCB issued at discount', 'ZCB not issued at discount', 'No ZCB', 'Aggregated') THEN NULL ELSE X.CHAVE_IT END, '; ') AS DETALHE FROM (SELECT *, 0020_UNIQ_ID AS CHAVE_IT, 0240_zero_coupon AS CAMPO_IT FROM BU_LOANTAPE_WORK.OUT_B0200_MAIN_LIABILITIES WHERE REF_DATE='"&amp; RefDate &amp;"')X GROUP BY 1</v>
      </c>
    </row>
    <row r="104" spans="1:11" x14ac:dyDescent="0.3">
      <c r="A104" t="str">
        <f t="shared" si="9"/>
        <v>FRMT_B0200_C0250</v>
      </c>
      <c r="B104" t="s">
        <v>427</v>
      </c>
      <c r="C104" s="7">
        <v>0</v>
      </c>
      <c r="D104" t="s">
        <v>385</v>
      </c>
      <c r="E104" t="s">
        <v>648</v>
      </c>
      <c r="F104" t="s">
        <v>11</v>
      </c>
      <c r="G104" t="s">
        <v>381</v>
      </c>
      <c r="H104" t="s">
        <v>536</v>
      </c>
      <c r="I104" s="7">
        <f t="shared" si="11"/>
        <v>1</v>
      </c>
      <c r="J104" s="8" t="str">
        <f t="shared" si="12"/>
        <v>THEN NULL ELSE X.CHAVE_IT END</v>
      </c>
      <c r="K104" s="5" t="str">
        <f t="shared" si="10"/>
        <v>UNION ALL SELECT '"&amp; RefDate &amp;"' AS REF_DATE, 'FRMT_B0200_C0250' AS COD_KPI, 'REGULAMENTAR' AS TIPOLOGIA_TESTE, 'Os valores dos dropdowns devem ser respeitados.' AS DESCRIÇÃO, 'BU_LOANTAPE_WORK.OUT_B0200_MAIN_LIABILITIES' AS TABELA, '0250_strctrd_prdct' AS CAMPO, COUNT(*) AS NUM_REG, SUM(IF(`0250_strctrd_prdct` IN ('Non-structured/Vanilla', 'Structured', 'Other non-standard terms', 'Only structured coupon', 'Aggregated'),0 ,1)) AS NUM_REG_DIF, GROUP_CONCAT(CASE WHEN `0250_strctrd_prdct` IN ('Non-structured/Vanilla', 'Structured', 'Other non-standard terms', 'Only structured coupon', 'Aggregated') THEN NULL ELSE X.CHAVE_IT END, '; ') AS DETALHE FROM (SELECT *, 0020_UNIQ_ID AS CHAVE_IT, 0250_strctrd_prdct AS CAMPO_IT FROM BU_LOANTAPE_WORK.OUT_B0200_MAIN_LIABILITIES WHERE REF_DATE='"&amp; RefDate &amp;"')X GROUP BY 1</v>
      </c>
    </row>
    <row r="105" spans="1:11" x14ac:dyDescent="0.3">
      <c r="A105" t="str">
        <f t="shared" si="9"/>
        <v>FRMT_B0200_C0260</v>
      </c>
      <c r="B105" t="s">
        <v>429</v>
      </c>
      <c r="C105" s="7">
        <v>0</v>
      </c>
      <c r="D105" s="1" t="s">
        <v>386</v>
      </c>
      <c r="E105" t="s">
        <v>648</v>
      </c>
      <c r="F105" t="s">
        <v>11</v>
      </c>
      <c r="G105" t="s">
        <v>381</v>
      </c>
      <c r="H105" t="s">
        <v>537</v>
      </c>
      <c r="I105" s="7">
        <f t="shared" si="11"/>
        <v>1</v>
      </c>
      <c r="J105" s="8" t="str">
        <f t="shared" si="12"/>
        <v>THEN NULL ELSE X.CHAVE_IT END</v>
      </c>
      <c r="K105" s="5" t="str">
        <f t="shared" si="10"/>
        <v>UNION ALL SELECT '"&amp; RefDate &amp;"' AS REF_DATE, 'FRMT_B0200_C0260' AS COD_KPI, 'REGULAMENTAR' AS TIPOLOGIA_TESTE, 'O campo deve ser reportado com formato numérico com 2 casas decimais.' AS DESCRIÇÃO, 'BU_LOANTAPE_WORK.OUT_B0200_MAIN_LIABILITIES' AS TABELA, '0260_grntd_min_amnt_strctrd_prdct' AS CAMPO, COUNT(*) AS NUM_REG, SUM(IF(CAST(ROUND(`0260_grntd_min_amnt_strctrd_prdct`, 2) AS STRING) = CAST(`0260_grntd_min_amnt_strctrd_prdct` AS STRING) AND CAST(`0260_grntd_min_amnt_strctrd_prdct` AS STRING) NOT IN ('N/A','11111111111','11111111111.00','11111111111.000000','1111-11-11','0000-00-00','0001-01-01','9999-12-31','MISS','00000','99999999999','99999999999.00','99999999999.000000','-9999.9999','','Not applicable','XXX'),0 ,1)) AS NUM_REG_DIF, GROUP_CONCAT(CASE WHEN CAST(ROUND(`0260_grntd_min_amnt_strctrd_prdct`, 2) AS STRING) = CAST(`0260_grntd_min_amnt_strctrd_prdct` AS STRING) AND CAST(`0260_grntd_min_amnt_strctrd_prdct` AS STRING) NOT IN ('N/A','11111111111','11111111111.00','11111111111.000000','1111-11-11','0000-00-00','0001-01-01','9999-12-31','MISS','00000','99999999999','99999999999.00','99999999999.000000','-9999.9999','','Not applicable','XXX') THEN NULL ELSE X.CHAVE_IT END, '; ') AS DETALHE FROM (SELECT *, 0020_UNIQ_ID AS CHAVE_IT, 0260_grntd_min_amnt_strctrd_prdct AS CAMPO_IT FROM BU_LOANTAPE_WORK.OUT_B0200_MAIN_LIABILITIES WHERE REF_DATE='"&amp; RefDate &amp;"')X GROUP BY 1</v>
      </c>
    </row>
    <row r="106" spans="1:11" x14ac:dyDescent="0.3">
      <c r="A106" t="str">
        <f t="shared" si="9"/>
        <v>FRMT_B0200_C0270</v>
      </c>
      <c r="B106" t="s">
        <v>431</v>
      </c>
      <c r="C106" s="7">
        <v>0</v>
      </c>
      <c r="D106" s="1" t="s">
        <v>386</v>
      </c>
      <c r="E106" t="s">
        <v>648</v>
      </c>
      <c r="F106" t="s">
        <v>11</v>
      </c>
      <c r="G106" t="s">
        <v>381</v>
      </c>
      <c r="H106" t="s">
        <v>538</v>
      </c>
      <c r="I106" s="7">
        <f t="shared" si="11"/>
        <v>1</v>
      </c>
      <c r="J106" s="8" t="str">
        <f t="shared" si="12"/>
        <v>THEN NULL ELSE X.CHAVE_IT END</v>
      </c>
      <c r="K106" s="5" t="str">
        <f t="shared" si="10"/>
        <v>UNION ALL SELECT '"&amp; RefDate &amp;"' AS REF_DATE, 'FRMT_B0200_C0270' AS COD_KPI, 'REGULAMENTAR' AS TIPOLOGIA_TESTE, 'O campo deve ser reportado com formato numérico com 2 casas decimais.' AS DESCRIÇÃO, 'BU_LOANTAPE_WORK.OUT_B0200_MAIN_LIABILITIES' AS TABELA, '0270_fv_amnt_strctrd_prdct' AS CAMPO, COUNT(*) AS NUM_REG, SUM(IF(CAST(ROUND(`0270_fv_amnt_strctrd_prdct`, 2) AS STRING) = CAST(`0270_fv_amnt_strctrd_prdct` AS STRING) AND CAST(`0270_fv_amnt_strctrd_prdct` AS STRING) NOT IN ('N/A','11111111111','11111111111.00','11111111111.000000','1111-11-11','0000-00-00','0001-01-01','9999-12-31','MISS','00000','99999999999','99999999999.00','99999999999.000000','-9999.9999','','Not applicable','XXX'),0 ,1)) AS NUM_REG_DIF, GROUP_CONCAT(CASE WHEN CAST(ROUND(`0270_fv_amnt_strctrd_prdct`, 2) AS STRING) = CAST(`0270_fv_amnt_strctrd_prdct` AS STRING) AND CAST(`0270_fv_amnt_strctrd_prdct` AS STRING) NOT IN ('N/A','11111111111','11111111111.00','11111111111.000000','1111-11-11','0000-00-00','0001-01-01','9999-12-31','MISS','00000','99999999999','99999999999.00','99999999999.000000','-9999.9999','','Not applicable','XXX') THEN NULL ELSE X.CHAVE_IT END, '; ') AS DETALHE FROM (SELECT *, 0020_UNIQ_ID AS CHAVE_IT, 0270_fv_amnt_strctrd_prdct AS CAMPO_IT FROM BU_LOANTAPE_WORK.OUT_B0200_MAIN_LIABILITIES WHERE REF_DATE='"&amp; RefDate &amp;"')X GROUP BY 1</v>
      </c>
    </row>
    <row r="107" spans="1:11" x14ac:dyDescent="0.3">
      <c r="A107" t="str">
        <f t="shared" si="9"/>
        <v>FRMT_B0200_C0280</v>
      </c>
      <c r="B107" t="s">
        <v>540</v>
      </c>
      <c r="C107" s="7">
        <v>0</v>
      </c>
      <c r="D107" t="s">
        <v>384</v>
      </c>
      <c r="E107" t="s">
        <v>648</v>
      </c>
      <c r="F107" t="s">
        <v>11</v>
      </c>
      <c r="G107" t="s">
        <v>381</v>
      </c>
      <c r="H107" t="s">
        <v>539</v>
      </c>
      <c r="I107" s="7">
        <f t="shared" si="11"/>
        <v>1</v>
      </c>
      <c r="J107" s="8" t="str">
        <f t="shared" si="12"/>
        <v>THEN NULL ELSE X.CHAVE_IT END</v>
      </c>
      <c r="K107" s="5" t="str">
        <f t="shared" si="10"/>
        <v>UNION ALL SELECT '"&amp; RefDate &amp;"' AS REF_DATE, 'FRMT_B0200_C0280' AS COD_KPI, 'REGULAMENTAR' AS TIPOLOGIA_TESTE, 'O campo deve ser reportado usando TRUE ou FALSE.' AS DESCRIÇÃO, 'BU_LOANTAPE_WORK.OUT_B0200_MAIN_LIABILITIES' AS TABELA, '0280_flg_ncnp_dpsts' AS CAMPO, COUNT(*) AS NUM_REG, SUM(IF(`0280_flg_ncnp_dpsts` IN ('TRUE', 'FALSE'),0 ,1)) AS NUM_REG_DIF, GROUP_CONCAT(CASE WHEN `0280_flg_ncnp_dpsts` IN ('TRUE', 'FALSE') THEN NULL ELSE X.CHAVE_IT END, '; ') AS DETALHE FROM (SELECT *, 0020_UNIQ_ID AS CHAVE_IT, 0280_flg_ncnp_dpsts AS CAMPO_IT FROM BU_LOANTAPE_WORK.OUT_B0200_MAIN_LIABILITIES WHERE REF_DATE='"&amp; RefDate &amp;"')X GROUP BY 1</v>
      </c>
    </row>
    <row r="108" spans="1:11" x14ac:dyDescent="0.3">
      <c r="A108" t="str">
        <f t="shared" si="9"/>
        <v>FRMT_B0200_C0290</v>
      </c>
      <c r="B108" t="s">
        <v>542</v>
      </c>
      <c r="C108" s="7">
        <v>0</v>
      </c>
      <c r="D108" t="s">
        <v>384</v>
      </c>
      <c r="E108" t="s">
        <v>648</v>
      </c>
      <c r="F108" t="s">
        <v>11</v>
      </c>
      <c r="G108" t="s">
        <v>381</v>
      </c>
      <c r="H108" t="s">
        <v>541</v>
      </c>
      <c r="I108" s="7">
        <f t="shared" si="11"/>
        <v>1</v>
      </c>
      <c r="J108" s="8" t="str">
        <f t="shared" si="12"/>
        <v>THEN NULL ELSE X.CHAVE_IT END</v>
      </c>
      <c r="K108" s="5" t="str">
        <f t="shared" si="10"/>
        <v>UNION ALL SELECT '"&amp; RefDate &amp;"' AS REF_DATE, 'FRMT_B0200_C0290' AS COD_KPI, 'REGULAMENTAR' AS TIPOLOGIA_TESTE, 'O campo deve ser reportado usando TRUE ou FALSE.' AS DESCRIÇÃO, 'BU_LOANTAPE_WORK.OUT_B0200_MAIN_LIABILITIES' AS TABELA, '0290_flg_ncbp_dpsts' AS CAMPO, COUNT(*) AS NUM_REG, SUM(IF(`0290_flg_ncbp_dpsts` IN ('TRUE', 'FALSE'),0 ,1)) AS NUM_REG_DIF, GROUP_CONCAT(CASE WHEN `0290_flg_ncbp_dpsts` IN ('TRUE', 'FALSE') THEN NULL ELSE X.CHAVE_IT END, '; ') AS DETALHE FROM (SELECT *, 0020_UNIQ_ID AS CHAVE_IT, 0290_flg_ncbp_dpsts AS CAMPO_IT FROM BU_LOANTAPE_WORK.OUT_B0200_MAIN_LIABILITIES WHERE REF_DATE='"&amp; RefDate &amp;"')X GROUP BY 1</v>
      </c>
    </row>
    <row r="109" spans="1:11" x14ac:dyDescent="0.3">
      <c r="A109" t="str">
        <f t="shared" ref="A109:A140" si="13">"FRMT_"&amp;MID(G109,22,5)&amp;"_C"&amp;LEFT(B109,4)</f>
        <v>FRMT_B0200_C0300</v>
      </c>
      <c r="B109" t="s">
        <v>433</v>
      </c>
      <c r="C109" s="7">
        <v>0</v>
      </c>
      <c r="D109" s="1" t="s">
        <v>386</v>
      </c>
      <c r="E109" t="s">
        <v>648</v>
      </c>
      <c r="F109" t="s">
        <v>11</v>
      </c>
      <c r="G109" t="s">
        <v>381</v>
      </c>
      <c r="H109" t="s">
        <v>543</v>
      </c>
      <c r="I109" s="7">
        <f t="shared" si="11"/>
        <v>1</v>
      </c>
      <c r="J109" s="8" t="str">
        <f t="shared" si="12"/>
        <v>THEN NULL ELSE X.CHAVE_IT END</v>
      </c>
      <c r="K109" s="5" t="str">
        <f t="shared" si="10"/>
        <v>UNION ALL SELECT '"&amp; RefDate &amp;"' AS REF_DATE, 'FRMT_B0200_C0300' AS COD_KPI, 'REGULAMENTAR' AS TIPOLOGIA_TESTE, 'O campo deve ser reportado com formato numérico com 2 casas decimais.' AS DESCRIÇÃO, 'BU_LOANTAPE_WORK.OUT_B0200_MAIN_LIABILITIES' AS TABELA, '0300_amnt_cvrd_elgbl_dpsts' AS CAMPO, COUNT(*) AS NUM_REG, SUM(IF(CAST(ROUND(`0300_amnt_cvrd_elgbl_dpsts`, 2) AS STRING) = CAST(`0300_amnt_cvrd_elgbl_dpsts` AS STRING) AND CAST(`0300_amnt_cvrd_elgbl_dpsts` AS STRING) NOT IN ('N/A','11111111111','11111111111.00','11111111111.000000','1111-11-11','0000-00-00','0001-01-01','9999-12-31','MISS','00000','99999999999','99999999999.00','99999999999.000000','-9999.9999','','Not applicable','XXX'),0 ,1)) AS NUM_REG_DIF, GROUP_CONCAT(CASE WHEN CAST(ROUND(`0300_amnt_cvrd_elgbl_dpsts`, 2) AS STRING) = CAST(`0300_amnt_cvrd_elgbl_dpsts` AS STRING) AND CAST(`0300_amnt_cvrd_elgbl_dpsts` AS STRING) NOT IN ('N/A','11111111111','11111111111.00','11111111111.000000','1111-11-11','0000-00-00','0001-01-01','9999-12-31','MISS','00000','99999999999','99999999999.00','99999999999.000000','-9999.9999','','Not applicable','XXX') THEN NULL ELSE X.CHAVE_IT END, '; ') AS DETALHE FROM (SELECT *, 0020_UNIQ_ID AS CHAVE_IT, 0300_amnt_cvrd_elgbl_dpsts AS CAMPO_IT FROM BU_LOANTAPE_WORK.OUT_B0200_MAIN_LIABILITIES WHERE REF_DATE='"&amp; RefDate &amp;"')X GROUP BY 1</v>
      </c>
    </row>
    <row r="110" spans="1:11" x14ac:dyDescent="0.3">
      <c r="A110" t="str">
        <f t="shared" si="13"/>
        <v>FRMT_B0200_C0310</v>
      </c>
      <c r="B110" t="s">
        <v>435</v>
      </c>
      <c r="C110" s="7">
        <v>0</v>
      </c>
      <c r="D110" t="s">
        <v>385</v>
      </c>
      <c r="E110" t="s">
        <v>648</v>
      </c>
      <c r="F110" t="s">
        <v>11</v>
      </c>
      <c r="G110" t="s">
        <v>381</v>
      </c>
      <c r="H110" t="s">
        <v>544</v>
      </c>
      <c r="I110" s="7">
        <f t="shared" si="11"/>
        <v>1</v>
      </c>
      <c r="J110" s="8" t="str">
        <f t="shared" si="12"/>
        <v>THEN NULL ELSE X.CHAVE_IT END</v>
      </c>
      <c r="K110" s="5" t="str">
        <f t="shared" si="10"/>
        <v>UNION ALL SELECT '"&amp; RefDate &amp;"' AS REF_DATE, 'FRMT_B0200_C0310' AS COD_KPI, 'REGULAMENTAR' AS TIPOLOGIA_TESTE, 'Os valores dos dropdowns devem ser respeitados.' AS DESCRIÇÃO, 'BU_LOANTAPE_WORK.OUT_B0200_MAIN_LIABILITIES' AS TABELA, '0310_flg_clltrl_agrmnts' AS CAMPO, COUNT(*) AS NUM_REG, SUM(IF(`0310_flg_clltrl_agrmnts` IN ('Secured', 'Unsecured'),0 ,1)) AS NUM_REG_DIF, GROUP_CONCAT(CASE WHEN `0310_flg_clltrl_agrmnts` IN ('Secured', 'Unsecured') THEN NULL ELSE X.CHAVE_IT END, '; ') AS DETALHE FROM (SELECT *, 0020_UNIQ_ID AS CHAVE_IT, 0310_flg_clltrl_agrmnts AS CAMPO_IT FROM BU_LOANTAPE_WORK.OUT_B0200_MAIN_LIABILITIES WHERE REF_DATE='"&amp; RefDate &amp;"')X GROUP BY 1</v>
      </c>
    </row>
    <row r="111" spans="1:11" x14ac:dyDescent="0.3">
      <c r="A111" t="str">
        <f t="shared" si="13"/>
        <v>FRMT_B0200_C0320</v>
      </c>
      <c r="B111" t="s">
        <v>437</v>
      </c>
      <c r="C111" s="7">
        <v>0</v>
      </c>
      <c r="D111" s="1" t="s">
        <v>386</v>
      </c>
      <c r="E111" t="s">
        <v>648</v>
      </c>
      <c r="F111" t="s">
        <v>11</v>
      </c>
      <c r="G111" t="s">
        <v>381</v>
      </c>
      <c r="H111" t="s">
        <v>545</v>
      </c>
      <c r="I111" s="7">
        <f t="shared" si="11"/>
        <v>1</v>
      </c>
      <c r="J111" s="8" t="str">
        <f t="shared" si="12"/>
        <v>THEN NULL ELSE X.CHAVE_IT END</v>
      </c>
      <c r="K111" s="5" t="str">
        <f t="shared" si="10"/>
        <v>UNION ALL SELECT '"&amp; RefDate &amp;"' AS REF_DATE, 'FRMT_B0200_C0320' AS COD_KPI, 'REGULAMENTAR' AS TIPOLOGIA_TESTE, 'O campo deve ser reportado com formato numérico com 2 casas decimais.' AS DESCRIÇÃO, 'BU_LOANTAPE_WORK.OUT_B0200_MAIN_LIABILITIES' AS TABELA, '0320_amnt_clltrl' AS CAMPO, COUNT(*) AS NUM_REG, SUM(IF(CAST(ROUND(`0320_amnt_clltrl`, 2) AS STRING) = CAST(`0320_amnt_clltrl` AS STRING) AND CAST(`0320_amnt_clltrl` AS STRING) NOT IN ('N/A','11111111111','11111111111.00','11111111111.000000','1111-11-11','0000-00-00','0001-01-01','9999-12-31','MISS','00000','99999999999','99999999999.00','99999999999.000000','-9999.9999','','Not applicable','XXX'),0 ,1)) AS NUM_REG_DIF, GROUP_CONCAT(CASE WHEN CAST(ROUND(`0320_amnt_clltrl`, 2) AS STRING) = CAST(`0320_amnt_clltrl` AS STRING) AND CAST(`0320_amnt_clltrl` AS STRING) NOT IN ('N/A','11111111111','11111111111.00','11111111111.000000','1111-11-11','0000-00-00','0001-01-01','9999-12-31','MISS','00000','99999999999','99999999999.00','99999999999.000000','-9999.9999','','Not applicable','XXX') THEN NULL ELSE X.CHAVE_IT END, '; ') AS DETALHE FROM (SELECT *, 0020_UNIQ_ID AS CHAVE_IT, 0320_amnt_clltrl AS CAMPO_IT FROM BU_LOANTAPE_WORK.OUT_B0200_MAIN_LIABILITIES WHERE REF_DATE='"&amp; RefDate &amp;"')X GROUP BY 1</v>
      </c>
    </row>
    <row r="112" spans="1:11" x14ac:dyDescent="0.3">
      <c r="A112" t="str">
        <f t="shared" si="13"/>
        <v>FRMT_B0200_C0330</v>
      </c>
      <c r="B112" t="s">
        <v>439</v>
      </c>
      <c r="C112" s="7">
        <v>0</v>
      </c>
      <c r="D112" s="1" t="s">
        <v>386</v>
      </c>
      <c r="E112" t="s">
        <v>648</v>
      </c>
      <c r="F112" t="s">
        <v>11</v>
      </c>
      <c r="G112" t="s">
        <v>381</v>
      </c>
      <c r="H112" t="s">
        <v>546</v>
      </c>
      <c r="I112" s="7">
        <f t="shared" si="11"/>
        <v>1</v>
      </c>
      <c r="J112" s="8" t="str">
        <f t="shared" si="12"/>
        <v>THEN NULL ELSE X.CHAVE_IT END</v>
      </c>
      <c r="K112" s="5" t="str">
        <f t="shared" si="10"/>
        <v>UNION ALL SELECT '"&amp; RefDate &amp;"' AS REF_DATE, 'FRMT_B0200_C0330' AS COD_KPI, 'REGULAMENTAR' AS TIPOLOGIA_TESTE, 'O campo deve ser reportado com formato numérico com 2 casas decimais.' AS DESCRIÇÃO, 'BU_LOANTAPE_WORK.OUT_B0200_MAIN_LIABILITIES' AS TABELA, '0330_amnt_unclltrlzd' AS CAMPO, COUNT(*) AS NUM_REG, SUM(IF((CAST(ROUND(`0330_amnt_unclltrlzd`, 2) AS STRING) = CAST(`0330_amnt_unclltrlzd` AS STRING) and cast(`0170_dt_incptn` as string) NOT IN ('N/A','11111111111','11111111111.00','11111111111.000000','1111-11-11','0000-00-00','0001-01-01','9999-12-31','MISS','00000','99999999999','999999999999999','99999999999.00','99999999999.000000','-9999.9999','Not applicable','XXX')) or CAST(`0330_amnt_unclltrlzd` AS STRING) = '',0 ,1)) AS NUM_REG_DIF, GROUP_CONCAT(CASE WHEN (CAST(ROUND(`0330_amnt_unclltrlzd`, 2) AS STRING) = CAST(`0330_amnt_unclltrlzd` AS STRING) and cast(`0170_dt_incptn` as string) NOT IN ('N/A','11111111111','11111111111.00','11111111111.000000','1111-11-11','0000-00-00','0001-01-01','9999-12-31','MISS','00000','99999999999','999999999999999','99999999999.00','99999999999.000000','-9999.9999','Not applicable','XXX')) or CAST(`0330_amnt_unclltrlzd` AS STRING) = '' THEN NULL ELSE X.CHAVE_IT END, '; ') AS DETALHE FROM (SELECT *, 0020_UNIQ_ID AS CHAVE_IT, 0330_amnt_unclltrlzd AS CAMPO_IT FROM BU_LOANTAPE_WORK.OUT_B0200_MAIN_LIABILITIES WHERE REF_DATE='"&amp; RefDate &amp;"')X GROUP BY 1</v>
      </c>
    </row>
    <row r="113" spans="1:11" x14ac:dyDescent="0.3">
      <c r="A113" t="str">
        <f t="shared" si="13"/>
        <v>FRMT_B0200_C0340</v>
      </c>
      <c r="B113" t="s">
        <v>548</v>
      </c>
      <c r="C113" s="7">
        <v>0</v>
      </c>
      <c r="D113" s="1" t="s">
        <v>383</v>
      </c>
      <c r="E113" t="s">
        <v>648</v>
      </c>
      <c r="F113" t="s">
        <v>11</v>
      </c>
      <c r="G113" t="s">
        <v>381</v>
      </c>
      <c r="H113" t="s">
        <v>547</v>
      </c>
      <c r="I113" s="7">
        <f t="shared" si="11"/>
        <v>1</v>
      </c>
      <c r="J113" s="8" t="str">
        <f t="shared" si="12"/>
        <v>THEN NULL ELSE X.CHAVE_IT END</v>
      </c>
      <c r="K113" s="5" t="str">
        <f t="shared" si="10"/>
        <v>UNION ALL SELECT '"&amp; RefDate &amp;"' AS REF_DATE, 'FRMT_B0200_C0340' AS COD_KPI, 'REGULAMENTAR' AS TIPOLOGIA_TESTE, 'O campo deve ser reportado com formato texto livre.' AS DESCRIÇÃO, 'BU_LOANTAPE_WORK.OUT_B0200_MAIN_LIABILITIES' AS TABELA, '0340_id_clltrl' AS CAMPO, COUNT(*) AS NUM_REG, SUM(IF(`0340_id_clltrl` RLIKE '[A-Za-z]' AND `0340_id_clltrl` NOT IN ('N/A','11111111111','11111111111.00','11111111111.000000','1111-11-11','0000-00-00','0001-01-01','9999-12-31','MISS','00000','99999999999','999999999999999','99999999999.00','99999999999.000000','-9999.9999','','Not applicable','XXX'),0 ,1)) AS NUM_REG_DIF, GROUP_CONCAT(CASE WHEN `0340_id_clltrl` RLIKE '[A-Za-z]' AND `0340_id_clltrl` NOT IN ('N/A','11111111111','11111111111.00','11111111111.000000','1111-11-11','0000-00-00','0001-01-01','9999-12-31','MISS','00000','99999999999','999999999999999','99999999999.00','99999999999.000000','-9999.9999','','Not applicable','XXX') THEN NULL ELSE X.CHAVE_IT END, '; ') AS DETALHE FROM (SELECT *, 0020_UNIQ_ID AS CHAVE_IT, 0340_id_clltrl AS CAMPO_IT FROM BU_LOANTAPE_WORK.OUT_B0200_MAIN_LIABILITIES WHERE REF_DATE='"&amp; RefDate &amp;"')X GROUP BY 1</v>
      </c>
    </row>
    <row r="114" spans="1:11" x14ac:dyDescent="0.3">
      <c r="A114" t="str">
        <f t="shared" si="13"/>
        <v>FRMT_B0200_C0350</v>
      </c>
      <c r="B114" t="s">
        <v>441</v>
      </c>
      <c r="C114" s="7">
        <v>0</v>
      </c>
      <c r="D114" t="s">
        <v>385</v>
      </c>
      <c r="E114" t="s">
        <v>648</v>
      </c>
      <c r="F114" t="s">
        <v>11</v>
      </c>
      <c r="G114" t="s">
        <v>381</v>
      </c>
      <c r="H114" t="s">
        <v>549</v>
      </c>
      <c r="I114" s="7">
        <f t="shared" si="11"/>
        <v>1</v>
      </c>
      <c r="J114" s="8" t="str">
        <f t="shared" si="12"/>
        <v>THEN NULL ELSE X.CHAVE_IT END</v>
      </c>
      <c r="K114" s="5" t="str">
        <f t="shared" si="10"/>
        <v>UNION ALL SELECT '"&amp; RefDate &amp;"' AS REF_DATE, 'FRMT_B0200_C0350' AS COD_KPI, 'REGULAMENTAR' AS TIPOLOGIA_TESTE, 'Os valores dos dropdowns devem ser respeitados.' AS DESCRIÇÃO, 'BU_LOANTAPE_WORK.OUT_B0200_MAIN_LIABILITIES' AS TABELA, '0350_typ_clltrl' AS CAMPO, COUNT(*) AS NUM_REG, SUM(IF(`0350_typ_clltrl` IN ('Real estate', 'Ships', 'Aircraft', 'Financial', 'Other', 'Not applicable', ''),0 ,1)) AS NUM_REG_DIF, GROUP_CONCAT(CASE WHEN `0350_typ_clltrl` IN ('Real estate', 'Ships', 'Aircraft', 'Financial', 'Other', 'Not applicable', '') THEN NULL ELSE X.CHAVE_IT END, '; ') AS DETALHE FROM (SELECT *, 0020_UNIQ_ID AS CHAVE_IT, 0350_typ_clltrl AS CAMPO_IT FROM BU_LOANTAPE_WORK.OUT_B0200_MAIN_LIABILITIES WHERE REF_DATE='"&amp; RefDate &amp;"')X GROUP BY 1</v>
      </c>
    </row>
    <row r="115" spans="1:11" x14ac:dyDescent="0.3">
      <c r="A115" t="str">
        <f t="shared" si="13"/>
        <v>FRMT_B0200_C0351</v>
      </c>
      <c r="B115" t="s">
        <v>443</v>
      </c>
      <c r="C115" s="7">
        <v>0</v>
      </c>
      <c r="D115" s="1" t="s">
        <v>383</v>
      </c>
      <c r="E115" t="s">
        <v>648</v>
      </c>
      <c r="F115" t="s">
        <v>11</v>
      </c>
      <c r="G115" t="s">
        <v>381</v>
      </c>
      <c r="H115" t="s">
        <v>550</v>
      </c>
      <c r="I115" s="7">
        <f t="shared" si="11"/>
        <v>1</v>
      </c>
      <c r="J115" s="8" t="str">
        <f t="shared" si="12"/>
        <v>THEN NULL ELSE X.CHAVE_IT END</v>
      </c>
      <c r="K115" s="5" t="str">
        <f t="shared" si="10"/>
        <v>UNION ALL SELECT '"&amp; RefDate &amp;"' AS REF_DATE, 'FRMT_B0200_C0351' AS COD_KPI, 'REGULAMENTAR' AS TIPOLOGIA_TESTE, 'O campo deve ser reportado com formato texto livre.' AS DESCRIÇÃO, 'BU_LOANTAPE_WORK.OUT_B0200_MAIN_LIABILITIES' AS TABELA, '0351_typ_clltrl_othr' AS CAMPO, COUNT(*) AS NUM_REG, SUM(IF(`0351_typ_clltrl_othr` RLIKE '[A-Za-z]' AND `0351_typ_clltrl_othr` NOT IN ('N/A','11111111111','11111111111.00','11111111111.000000','1111-11-11','0000-00-00','0001-01-01','9999-12-31','MISS','00000','99999999999','999999999999999','99999999999.00','99999999999.000000','-9999.9999','','Not applicable','XXX'),0 ,1)) AS NUM_REG_DIF, GROUP_CONCAT(CASE WHEN `0351_typ_clltrl_othr` RLIKE '[A-Za-z]' AND `0351_typ_clltrl_othr` NOT IN ('N/A','11111111111','11111111111.00','11111111111.000000','1111-11-11','0000-00-00','0001-01-01','9999-12-31','MISS','00000','99999999999','999999999999999','99999999999.00','99999999999.000000','-9999.9999','','Not applicable','XXX') THEN NULL ELSE X.CHAVE_IT END, '; ') AS DETALHE FROM (SELECT *, 0020_UNIQ_ID AS CHAVE_IT, 0351_typ_clltrl_othr AS CAMPO_IT FROM BU_LOANTAPE_WORK.OUT_B0200_MAIN_LIABILITIES WHERE REF_DATE='"&amp; RefDate &amp;"')X GROUP BY 1</v>
      </c>
    </row>
    <row r="116" spans="1:11" x14ac:dyDescent="0.3">
      <c r="A116" t="str">
        <f t="shared" si="13"/>
        <v>FRMT_B0200_C0360</v>
      </c>
      <c r="B116" t="s">
        <v>552</v>
      </c>
      <c r="C116" s="7">
        <v>0</v>
      </c>
      <c r="D116" t="s">
        <v>385</v>
      </c>
      <c r="E116" t="s">
        <v>648</v>
      </c>
      <c r="F116" t="s">
        <v>11</v>
      </c>
      <c r="G116" t="s">
        <v>381</v>
      </c>
      <c r="H116" t="s">
        <v>551</v>
      </c>
      <c r="I116" s="7">
        <f t="shared" si="11"/>
        <v>1</v>
      </c>
      <c r="J116" s="8" t="str">
        <f t="shared" si="12"/>
        <v>THEN NULL ELSE X.CHAVE_IT END</v>
      </c>
      <c r="K116" s="5" t="str">
        <f t="shared" si="10"/>
        <v>UNION ALL SELECT '"&amp; RefDate &amp;"' AS REF_DATE, 'FRMT_B0200_C0360' AS COD_KPI, 'REGULAMENTAR' AS TIPOLOGIA_TESTE, 'Os valores dos dropdowns devem ser respeitados.' AS DESCRIÇÃO, 'BU_LOANTAPE_WORK.OUT_B0200_MAIN_LIABILITIES' AS TABELA, '0360_trdng_mthd' AS CAMPO, COUNT(*) AS NUM_REG, SUM(IF(`0360_trdng_mthd` IN ('Nominal', 'Unit', 'Not applicable'),0 ,1)) AS NUM_REG_DIF, GROUP_CONCAT(CASE WHEN `0360_trdng_mthd` IN ('Nominal', 'Unit', 'Not applicable') THEN NULL ELSE X.CHAVE_IT END, '; ') AS DETALHE FROM (SELECT *, 0020_UNIQ_ID AS CHAVE_IT, 0360_trdng_mthd AS CAMPO_IT FROM BU_LOANTAPE_WORK.OUT_B0200_MAIN_LIABILITIES WHERE REF_DATE='"&amp; RefDate &amp;"')X GROUP BY 1</v>
      </c>
    </row>
    <row r="117" spans="1:11" x14ac:dyDescent="0.3">
      <c r="A117" t="str">
        <f t="shared" si="13"/>
        <v>FRMT_B0200_C0370</v>
      </c>
      <c r="B117" t="s">
        <v>445</v>
      </c>
      <c r="C117" s="7">
        <v>0</v>
      </c>
      <c r="D117" s="1" t="s">
        <v>386</v>
      </c>
      <c r="E117" t="s">
        <v>648</v>
      </c>
      <c r="F117" t="s">
        <v>11</v>
      </c>
      <c r="G117" t="s">
        <v>381</v>
      </c>
      <c r="H117" t="s">
        <v>553</v>
      </c>
      <c r="I117" s="7">
        <f t="shared" si="11"/>
        <v>1</v>
      </c>
      <c r="J117" s="8" t="str">
        <f t="shared" si="12"/>
        <v>THEN NULL ELSE X.CHAVE_IT END</v>
      </c>
      <c r="K117" s="5" t="str">
        <f t="shared" si="10"/>
        <v>UNION ALL SELECT '"&amp; RefDate &amp;"' AS REF_DATE, 'FRMT_B0200_C0370' AS COD_KPI, 'REGULAMENTAR' AS TIPOLOGIA_TESTE, 'O campo deve ser reportado com formato numérico com 2 casas decimais.' AS DESCRIÇÃO, 'BU_LOANTAPE_WORK.OUT_B0200_MAIN_LIABILITIES' AS TABELA, '0370_amnt_scrty_eur' AS CAMPO, COUNT(*) AS NUM_REG, SUM(IF(CAST(ROUND(`0370_amnt_scrty_eur`, 2) AS STRING) = CAST(`0370_amnt_scrty_eur` AS STRING) AND CAST(`0370_amnt_scrty_eur` AS STRING) NOT IN ('N/A','11111111111','11111111111.00','11111111111.000000','1111-11-11','0000-00-00','0001-01-01','9999-12-31','MISS','00000','99999999999','99999999999.00','99999999999.000000','-9999.9999','','Not applicable','XXX'),0 ,1)) AS NUM_REG_DIF, GROUP_CONCAT(CASE WHEN CAST(ROUND(`0370_amnt_scrty_eur`, 2) AS STRING) = CAST(`0370_amnt_scrty_eur` AS STRING) AND CAST(`0370_amnt_scrty_eur` AS STRING) NOT IN ('N/A','11111111111','11111111111.00','11111111111.000000','1111-11-11','0000-00-00','0001-01-01','9999-12-31','MISS','00000','99999999999','99999999999.00','99999999999.000000','-9999.9999','','Not applicable','XXX') THEN NULL ELSE X.CHAVE_IT END, '; ') AS DETALHE FROM (SELECT *, 0020_UNIQ_ID AS CHAVE_IT, 0370_amnt_scrty_eur AS CAMPO_IT FROM BU_LOANTAPE_WORK.OUT_B0200_MAIN_LIABILITIES WHERE REF_DATE='"&amp; RefDate &amp;"')X GROUP BY 1</v>
      </c>
    </row>
    <row r="118" spans="1:11" x14ac:dyDescent="0.3">
      <c r="A118" t="str">
        <f t="shared" si="13"/>
        <v>FRMT_B0200_C0380</v>
      </c>
      <c r="B118" t="s">
        <v>555</v>
      </c>
      <c r="C118" s="7">
        <v>0</v>
      </c>
      <c r="D118" s="1" t="s">
        <v>386</v>
      </c>
      <c r="E118" t="s">
        <v>648</v>
      </c>
      <c r="F118" t="s">
        <v>11</v>
      </c>
      <c r="G118" t="s">
        <v>381</v>
      </c>
      <c r="H118" t="s">
        <v>554</v>
      </c>
      <c r="I118" s="7">
        <f t="shared" si="11"/>
        <v>1</v>
      </c>
      <c r="J118" s="8" t="str">
        <f t="shared" si="12"/>
        <v>THEN NULL ELSE X.CHAVE_IT END</v>
      </c>
      <c r="K118" s="5" t="str">
        <f t="shared" si="10"/>
        <v>UNION ALL SELECT '"&amp; RefDate &amp;"' AS REF_DATE, 'FRMT_B0200_C0380' AS COD_KPI, 'REGULAMENTAR' AS TIPOLOGIA_TESTE, 'O campo deve ser reportado com formato numérico com 2 casas decimais.' AS DESCRIÇÃO, 'BU_LOANTAPE_WORK.OUT_B0200_MAIN_LIABILITIES' AS TABELA, '0380_amnt_scrty_fx' AS CAMPO, COUNT(*) AS NUM_REG, SUM(IF(CAST(ROUND(`0380_amnt_scrty_fx`, 2) AS STRING) = CAST(`0380_amnt_scrty_fx` AS STRING) AND CAST(`0380_amnt_scrty_fx` AS STRING) NOT IN ('N/A','11111111111','11111111111.00','11111111111.000000','1111-11-11','0000-00-00','0001-01-01','9999-12-31','MISS','00000','99999999999','99999999999.00','99999999999.000000','-9999.9999','','Not applicable','XXX'),0 ,1)) AS NUM_REG_DIF, GROUP_CONCAT(CASE WHEN CAST(ROUND(`0380_amnt_scrty_fx`, 2) AS STRING) = CAST(`0380_amnt_scrty_fx` AS STRING) AND CAST(`0380_amnt_scrty_fx` AS STRING) NOT IN ('N/A','11111111111','11111111111.00','11111111111.000000','1111-11-11','0000-00-00','0001-01-01','9999-12-31','MISS','00000','99999999999','99999999999.00','99999999999.000000','-9999.9999','','Not applicable','XXX') THEN NULL ELSE X.CHAVE_IT END, '; ') AS DETALHE FROM (SELECT *, 0020_UNIQ_ID AS CHAVE_IT, 0380_amnt_scrty_fx AS CAMPO_IT FROM BU_LOANTAPE_WORK.OUT_B0200_MAIN_LIABILITIES WHERE REF_DATE='"&amp; RefDate &amp;"')X GROUP BY 1</v>
      </c>
    </row>
    <row r="119" spans="1:11" x14ac:dyDescent="0.3">
      <c r="A119" t="str">
        <f t="shared" si="13"/>
        <v>FRMT_B0200_C0390</v>
      </c>
      <c r="B119" t="s">
        <v>448</v>
      </c>
      <c r="C119" s="7">
        <v>0</v>
      </c>
      <c r="D119" s="1" t="s">
        <v>382</v>
      </c>
      <c r="E119" t="s">
        <v>648</v>
      </c>
      <c r="F119" t="s">
        <v>11</v>
      </c>
      <c r="G119" t="s">
        <v>381</v>
      </c>
      <c r="H119" t="s">
        <v>556</v>
      </c>
      <c r="I119" s="7">
        <f t="shared" si="11"/>
        <v>1</v>
      </c>
      <c r="J119" s="8" t="str">
        <f t="shared" si="12"/>
        <v>THEN NULL ELSE X.CHAVE_IT END</v>
      </c>
      <c r="K119" s="5" t="str">
        <f t="shared" si="10"/>
        <v>UNION ALL SELECT '"&amp; RefDate &amp;"' AS REF_DATE, 'FRMT_B0200_C0390' AS COD_KPI, 'REGULAMENTAR' AS TIPOLOGIA_TESTE, 'O campo deve ser reportado com formato numérico inteiro.' AS DESCRIÇÃO, 'BU_LOANTAPE_WORK.OUT_B0200_MAIN_LIABILITIES' AS TABELA, '0390_nmbr_scrts_not_rprtng_entty' AS CAMPO, COUNT(*) AS NUM_REG, SUM(IF(CAST(`0390_nmbr_scrts_not_rprtng_entty` AS STRING) RLIKE '^[0-9]+$' AND CAST(`0390_nmbr_scrts_not_rprtng_entty` AS STRING) NOT IN ('N/A','11111111111','11111111111.00','11111111111.000000','1111-11-11','0000-00-00','0001-01-01','9999-12-31','MISS','00000','99999999999','999999999999999','99999999999.00','99999999999.000000','-9999.9999','','Not applicable','XXX'),0 ,1)) AS NUM_REG_DIF, GROUP_CONCAT(CASE WHEN CAST(`0390_nmbr_scrts_not_rprtng_entty` AS STRING) RLIKE '^[0-9]+$' AND CAST(`0390_nmbr_scrts_not_rprtng_entty` AS STRING) NOT IN ('N/A','11111111111','11111111111.00','11111111111.000000','1111-11-11','0000-00-00','0001-01-01','9999-12-31','MISS','00000','99999999999','999999999999999','99999999999.00','99999999999.000000','-9999.9999','','Not applicable','XXX') THEN NULL ELSE X.CHAVE_IT END, '; ') AS DETALHE FROM (SELECT *, 0020_UNIQ_ID AS CHAVE_IT, 0390_nmbr_scrts_not_rprtng_entty AS CAMPO_IT FROM BU_LOANTAPE_WORK.OUT_B0200_MAIN_LIABILITIES WHERE REF_DATE='"&amp; RefDate &amp;"')X GROUP BY 1</v>
      </c>
    </row>
    <row r="120" spans="1:11" x14ac:dyDescent="0.3">
      <c r="A120" t="str">
        <f t="shared" si="13"/>
        <v>FRMT_B0200_C0391</v>
      </c>
      <c r="B120" t="s">
        <v>450</v>
      </c>
      <c r="C120" s="7">
        <v>0</v>
      </c>
      <c r="D120" s="1" t="s">
        <v>382</v>
      </c>
      <c r="E120" t="s">
        <v>648</v>
      </c>
      <c r="F120" t="s">
        <v>11</v>
      </c>
      <c r="G120" t="s">
        <v>381</v>
      </c>
      <c r="H120" t="s">
        <v>557</v>
      </c>
      <c r="I120" s="7">
        <f t="shared" si="11"/>
        <v>1</v>
      </c>
      <c r="J120" s="8" t="str">
        <f t="shared" si="12"/>
        <v>THEN NULL ELSE X.CHAVE_IT END</v>
      </c>
      <c r="K120" s="5" t="str">
        <f t="shared" si="10"/>
        <v>UNION ALL SELECT '"&amp; RefDate &amp;"' AS REF_DATE, 'FRMT_B0200_C0391' AS COD_KPI, 'REGULAMENTAR' AS TIPOLOGIA_TESTE, 'O campo deve ser reportado com formato numérico inteiro.' AS DESCRIÇÃO, 'BU_LOANTAPE_WORK.OUT_B0200_MAIN_LIABILITIES' AS TABELA, '0391_nmbr_scrts_rprtng_entty' AS CAMPO, COUNT(*) AS NUM_REG, SUM(IF(CAST(`0391_nmbr_scrts_rprtng_entty` AS STRING) RLIKE '^[0-9]+$' AND CAST(`0391_nmbr_scrts_rprtng_entty` AS STRING) NOT IN ('N/A','11111111111','11111111111.00','11111111111.000000','1111-11-11','0000-00-00','0001-01-01','9999-12-31','MISS','00000','99999999999','999999999999999','99999999999.00','99999999999.000000','-9999.9999','','Not applicable','XXX'),0 ,1)) AS NUM_REG_DIF, GROUP_CONCAT(CASE WHEN CAST(`0391_nmbr_scrts_rprtng_entty` AS STRING) RLIKE '^[0-9]+$' AND CAST(`0391_nmbr_scrts_rprtng_entty` AS STRING) NOT IN ('N/A','11111111111','11111111111.00','11111111111.000000','1111-11-11','0000-00-00','0001-01-01','9999-12-31','MISS','00000','99999999999','999999999999999','99999999999.00','99999999999.000000','-9999.9999','','Not applicable','XXX') THEN NULL ELSE X.CHAVE_IT END, '; ') AS DETALHE FROM (SELECT *, 0020_UNIQ_ID AS CHAVE_IT, 0391_nmbr_scrts_rprtng_entty AS CAMPO_IT FROM BU_LOANTAPE_WORK.OUT_B0200_MAIN_LIABILITIES WHERE REF_DATE='"&amp; RefDate &amp;"')X GROUP BY 1</v>
      </c>
    </row>
    <row r="121" spans="1:11" x14ac:dyDescent="0.3">
      <c r="A121" t="str">
        <f t="shared" si="13"/>
        <v>FRMT_B0200_C0400</v>
      </c>
      <c r="B121" t="s">
        <v>452</v>
      </c>
      <c r="C121" s="7">
        <v>0</v>
      </c>
      <c r="D121" s="1" t="s">
        <v>622</v>
      </c>
      <c r="E121" t="s">
        <v>648</v>
      </c>
      <c r="F121" t="s">
        <v>11</v>
      </c>
      <c r="G121" t="s">
        <v>381</v>
      </c>
      <c r="H121" t="s">
        <v>558</v>
      </c>
      <c r="I121" s="7">
        <f t="shared" si="11"/>
        <v>1</v>
      </c>
      <c r="J121" s="8" t="str">
        <f t="shared" si="12"/>
        <v>THEN NULL ELSE X.CHAVE_IT END</v>
      </c>
      <c r="K121" s="5" t="str">
        <f t="shared" si="10"/>
        <v>UNION ALL SELECT '"&amp; RefDate &amp;"' AS REF_DATE, 'FRMT_B0200_C0400' AS COD_KPI, 'REGULAMENTAR' AS TIPOLOGIA_TESTE, 'O campo deve ser reportado com formato numérico com 4 casas decimais.' AS DESCRIÇÃO, 'BU_LOANTAPE_WORK.OUT_B0200_MAIN_LIABILITIES' AS TABELA, '0400_accrd_intrst_scrty' AS CAMPO, COUNT(*) AS NUM_REG, SUM(IF(CAST(ROUND(`0400_accrd_intrst_scrty`, 4) AS STRING) = CAST(`0400_accrd_intrst_scrty` AS STRING) and cast(`0400_accrd_intrst_scrty` as string) NOT IN ('N/A','11111111111','11111111111.00','11111111111.000000','1111-11-11','0000-00-00','0001-01-01','9999-12-31','MISS','00000','99999999999','999999999999999','99999999999.00','99999999999.000000','-9999.9999','','Not applicable','XXX'),0 ,1)) AS NUM_REG_DIF, GROUP_CONCAT(CASE WHEN CAST(ROUND(`0400_accrd_intrst_scrty`, 4) AS STRING) = CAST(`0400_accrd_intrst_scrty` AS STRING) and cast(`0400_accrd_intrst_scrty` as string) NOT IN ('N/A','11111111111','11111111111.00','11111111111.000000','1111-11-11','0000-00-00','0001-01-01','9999-12-31','MISS','00000','99999999999','999999999999999','99999999999.00','99999999999.000000','-9999.9999','','Not applicable','XXX') THEN NULL ELSE X.CHAVE_IT END, '; ') AS DETALHE FROM (SELECT *, 0020_UNIQ_ID AS CHAVE_IT, 0400_accrd_intrst_scrty AS CAMPO_IT FROM BU_LOANTAPE_WORK.OUT_B0200_MAIN_LIABILITIES WHERE REF_DATE='"&amp; RefDate &amp;"')X GROUP BY 1</v>
      </c>
    </row>
    <row r="122" spans="1:11" x14ac:dyDescent="0.3">
      <c r="A122" t="str">
        <f t="shared" si="13"/>
        <v>FRMT_B0200_C0410</v>
      </c>
      <c r="B122" t="s">
        <v>560</v>
      </c>
      <c r="C122" s="7">
        <v>0</v>
      </c>
      <c r="D122" s="1" t="s">
        <v>622</v>
      </c>
      <c r="E122" t="s">
        <v>648</v>
      </c>
      <c r="F122" t="s">
        <v>11</v>
      </c>
      <c r="G122" t="s">
        <v>381</v>
      </c>
      <c r="H122" t="s">
        <v>559</v>
      </c>
      <c r="I122" s="7">
        <f t="shared" si="11"/>
        <v>1</v>
      </c>
      <c r="J122" s="8" t="str">
        <f t="shared" si="12"/>
        <v>THEN NULL ELSE X.CHAVE_IT END</v>
      </c>
      <c r="K122" s="5" t="str">
        <f t="shared" si="10"/>
        <v>UNION ALL SELECT '"&amp; RefDate &amp;"' AS REF_DATE, 'FRMT_B0200_C0410' AS COD_KPI, 'REGULAMENTAR' AS TIPOLOGIA_TESTE, 'O campo deve ser reportado com formato numérico com 4 casas decimais.' AS DESCRIÇÃO, 'BU_LOANTAPE_WORK.OUT_B0200_MAIN_LIABILITIES' AS TABELA, '0410_fees_charges_scrty' AS CAMPO, COUNT(*) AS NUM_REG, SUM(IF(CAST(ROUND(`0410_fees_charges_scrty`, 4) AS STRING) = CAST(`0410_fees_charges_scrty` AS STRING) and cast(`0410_fees_charges_scrty` as string) NOT IN ('N/A','11111111111','11111111111.00','11111111111.000000','1111-11-11','0000-00-00','0001-01-01','9999-12-31','MISS','00000','99999999999','999999999999999','99999999999.00','99999999999.000000','-9999.9999','','Not applicable','XXX'),0 ,1)) AS NUM_REG_DIF, GROUP_CONCAT(CASE WHEN CAST(ROUND(`0410_fees_charges_scrty`, 4) AS STRING) = CAST(`0410_fees_charges_scrty` AS STRING) and cast(`0410_fees_charges_scrty` as string) NOT IN ('N/A','11111111111','11111111111.00','11111111111.000000','1111-11-11','0000-00-00','0001-01-01','9999-12-31','MISS','00000','99999999999','999999999999999','99999999999.00','99999999999.000000','-9999.9999','','Not applicable','XXX') THEN NULL ELSE X.CHAVE_IT END, '; ') AS DETALHE FROM (SELECT *, 0020_UNIQ_ID AS CHAVE_IT, 0410_fees_charges_scrty AS CAMPO_IT FROM BU_LOANTAPE_WORK.OUT_B0200_MAIN_LIABILITIES WHERE REF_DATE='"&amp; RefDate &amp;"')X GROUP BY 1</v>
      </c>
    </row>
    <row r="123" spans="1:11" x14ac:dyDescent="0.3">
      <c r="A123" t="str">
        <f t="shared" si="13"/>
        <v>FRMT_B0200_C0420</v>
      </c>
      <c r="B123" t="s">
        <v>562</v>
      </c>
      <c r="C123" s="7">
        <v>0</v>
      </c>
      <c r="D123" s="1" t="s">
        <v>622</v>
      </c>
      <c r="E123" t="s">
        <v>648</v>
      </c>
      <c r="F123" t="s">
        <v>11</v>
      </c>
      <c r="G123" t="s">
        <v>381</v>
      </c>
      <c r="H123" t="s">
        <v>561</v>
      </c>
      <c r="I123" s="7">
        <f t="shared" si="11"/>
        <v>1</v>
      </c>
      <c r="J123" s="8" t="str">
        <f t="shared" si="12"/>
        <v>THEN NULL ELSE X.CHAVE_IT END</v>
      </c>
      <c r="K123" s="5" t="str">
        <f t="shared" si="10"/>
        <v>UNION ALL SELECT '"&amp; RefDate &amp;"' AS REF_DATE, 'FRMT_B0200_C0420' AS COD_KPI, 'REGULAMENTAR' AS TIPOLOGIA_TESTE, 'O campo deve ser reportado com formato numérico com 4 casas decimais.' AS DESCRIÇÃO, 'BU_LOANTAPE_WORK.OUT_B0200_MAIN_LIABILITIES' AS TABELA, '0420_fv_amnt_scrty' AS CAMPO, COUNT(*) AS NUM_REG, SUM(IF(CAST(ROUND(`0420_fv_amnt_scrty`, 4) AS STRING) = CAST(`0420_fv_amnt_scrty` AS STRING) and cast(`0420_fv_amnt_scrty` as string) NOT IN ('N/A','11111111111','11111111111.00','11111111111.000000','1111-11-11','0000-00-00','0001-01-01','9999-12-31','MISS','00000','99999999999','999999999999999','99999999999.00','99999999999.000000','-9999.9999','','Not applicable','XXX'),0 ,1)) AS NUM_REG_DIF, GROUP_CONCAT(CASE WHEN CAST(ROUND(`0420_fv_amnt_scrty`, 4) AS STRING) = CAST(`0420_fv_amnt_scrty` AS STRING) and cast(`0420_fv_amnt_scrty` as string) NOT IN ('N/A','11111111111','11111111111.00','11111111111.000000','1111-11-11','0000-00-00','0001-01-01','9999-12-31','MISS','00000','99999999999','999999999999999','99999999999.00','99999999999.000000','-9999.9999','','Not applicable','XXX') THEN NULL ELSE X.CHAVE_IT END, '; ') AS DETALHE FROM (SELECT *, 0020_UNIQ_ID AS CHAVE_IT, 0420_fv_amnt_scrty AS CAMPO_IT FROM BU_LOANTAPE_WORK.OUT_B0200_MAIN_LIABILITIES WHERE REF_DATE='"&amp; RefDate &amp;"')X GROUP BY 1</v>
      </c>
    </row>
    <row r="124" spans="1:11" x14ac:dyDescent="0.3">
      <c r="A124" t="str">
        <f t="shared" si="13"/>
        <v>FRMT_B0200_C0430</v>
      </c>
      <c r="B124" t="s">
        <v>564</v>
      </c>
      <c r="C124" s="7">
        <v>0</v>
      </c>
      <c r="D124" s="1" t="s">
        <v>386</v>
      </c>
      <c r="E124" t="s">
        <v>648</v>
      </c>
      <c r="F124" t="s">
        <v>11</v>
      </c>
      <c r="G124" t="s">
        <v>381</v>
      </c>
      <c r="H124" t="s">
        <v>563</v>
      </c>
      <c r="I124" s="7">
        <f t="shared" si="11"/>
        <v>1</v>
      </c>
      <c r="J124" s="8" t="str">
        <f t="shared" si="12"/>
        <v>THEN NULL ELSE X.CHAVE_IT END</v>
      </c>
      <c r="K124" s="5" t="str">
        <f t="shared" si="10"/>
        <v>UNION ALL SELECT '"&amp; RefDate &amp;"' AS REF_DATE, 'FRMT_B0200_C0430' AS COD_KPI, 'REGULAMENTAR' AS TIPOLOGIA_TESTE, 'O campo deve ser reportado com formato numérico com 2 casas decimais.' AS DESCRIÇÃO, 'BU_LOANTAPE_WORK.OUT_B0200_MAIN_LIABILITIES' AS TABELA, '0430_prncpl_amnt_glbl_nt_eur' AS CAMPO, COUNT(*) AS NUM_REG, SUM(IF((CAST(ROUND(`0430_prncpl_amnt_glbl_nt_eur`, 2) AS STRING) = CAST(`0430_prncpl_amnt_glbl_nt_eur` AS STRING) AND CAST(`0430_prncpl_amnt_glbl_nt_eur` AS STRING) NOT IN ('N/A','11111111111','11111111111.00','11111111111.000000','1111-11-11','0000-00-00','0001-01-01','9999-12-31','MISS','00000','99999999999','99999999999.00','99999999999.000000','-9999.9999','','Not applicable','XXX')) OR `0430_prncpl_amnt_glbl_nt_eur`= 999999999999999.00 ,0 ,1)) AS NUM_REG_DIF, GROUP_CONCAT(CASE WHEN (CAST(ROUND(`0430_prncpl_amnt_glbl_nt_eur`, 2) AS STRING) = CAST(`0430_prncpl_amnt_glbl_nt_eur` AS STRING) AND CAST(`0430_prncpl_amnt_glbl_nt_eur` AS STRING) NOT IN ('N/A','11111111111','11111111111.00','11111111111.000000','1111-11-11','0000-00-00','0001-01-01','9999-12-31','MISS','00000','99999999999','99999999999.00','99999999999.000000','-9999.9999','','Not applicable','XXX')) OR `0430_prncpl_amnt_glbl_nt_eur`= 999999999999999.00  THEN NULL ELSE X.CHAVE_IT END, '; ') AS DETALHE FROM (SELECT *, 0020_UNIQ_ID AS CHAVE_IT, 0430_prncpl_amnt_glbl_nt_eur AS CAMPO_IT FROM BU_LOANTAPE_WORK.OUT_B0200_MAIN_LIABILITIES WHERE REF_DATE='"&amp; RefDate &amp;"')X GROUP BY 1</v>
      </c>
    </row>
    <row r="125" spans="1:11" x14ac:dyDescent="0.3">
      <c r="A125" t="str">
        <f t="shared" si="13"/>
        <v>FRMT_B0200_C0431</v>
      </c>
      <c r="B125" t="s">
        <v>566</v>
      </c>
      <c r="C125" s="7">
        <v>0</v>
      </c>
      <c r="D125" s="1" t="s">
        <v>386</v>
      </c>
      <c r="E125" t="s">
        <v>648</v>
      </c>
      <c r="F125" t="s">
        <v>11</v>
      </c>
      <c r="G125" t="s">
        <v>381</v>
      </c>
      <c r="H125" t="s">
        <v>565</v>
      </c>
      <c r="I125" s="7">
        <f t="shared" si="11"/>
        <v>1</v>
      </c>
      <c r="J125" s="8" t="str">
        <f t="shared" si="12"/>
        <v>THEN NULL ELSE X.CHAVE_IT END</v>
      </c>
      <c r="K125" s="5" t="str">
        <f t="shared" ref="K125:K156" si="14">"UNION ALL SELECT '"&amp;E125&amp;"' AS REF_DATE, '"&amp;A125&amp;"' AS COD_KPI, '"&amp;F125&amp;"' AS TIPOLOGIA_TESTE, '"&amp;D125&amp;"' AS DESCRIÇÃO, '"&amp;G125&amp;"' AS TABELA, '"&amp;B125&amp;"' AS CAMPO, COUNT(*) AS NUM_REG, SUM(IF("&amp;H125&amp;","&amp;C125&amp;" ,"&amp;I125&amp;")) AS NUM_REG_DIF, GROUP_CONCAT(CASE WHEN "&amp;H125&amp;" "&amp;J125&amp;", '; ') AS DETALHE FROM (SELECT *, 0020_UNIQ_ID AS CHAVE_IT, "&amp;B125&amp;" AS CAMPO_IT FROM "&amp;G125&amp;" WHERE REF_DATE='"&amp;E125&amp;"')X GROUP BY 1"</f>
        <v>UNION ALL SELECT '"&amp; RefDate &amp;"' AS REF_DATE, 'FRMT_B0200_C0431' AS COD_KPI, 'REGULAMENTAR' AS TIPOLOGIA_TESTE, 'O campo deve ser reportado com formato numérico com 2 casas decimais.' AS DESCRIÇÃO, 'BU_LOANTAPE_WORK.OUT_B0200_MAIN_LIABILITIES' AS TABELA, '0431_prncpl_amnt_glbl_nt_fx' AS CAMPO, COUNT(*) AS NUM_REG, SUM(IF((CAST(ROUND(`0431_prncpl_amnt_glbl_nt_fx`, 2) AS STRING) = CAST(`0431_prncpl_amnt_glbl_nt_fx` AS STRING) AND CAST(`0431_prncpl_amnt_glbl_nt_fx` AS STRING) NOT IN ('N/A','11111111111','11111111111.00','11111111111.000000','1111-11-11','0000-00-00','0001-01-01','9999-12-31','MISS','00000','99999999999','99999999999.00','99999999999.000000','-9999.9999','','Not applicable','XXX')) OR `0431_prncpl_amnt_glbl_nt_fx`= 999999999999999.00,0 ,1)) AS NUM_REG_DIF, GROUP_CONCAT(CASE WHEN (CAST(ROUND(`0431_prncpl_amnt_glbl_nt_fx`, 2) AS STRING) = CAST(`0431_prncpl_amnt_glbl_nt_fx` AS STRING) AND CAST(`0431_prncpl_amnt_glbl_nt_fx` AS STRING) NOT IN ('N/A','11111111111','11111111111.00','11111111111.000000','1111-11-11','0000-00-00','0001-01-01','9999-12-31','MISS','00000','99999999999','99999999999.00','99999999999.000000','-9999.9999','','Not applicable','XXX')) OR `0431_prncpl_amnt_glbl_nt_fx`= 999999999999999.00 THEN NULL ELSE X.CHAVE_IT END, '; ') AS DETALHE FROM (SELECT *, 0020_UNIQ_ID AS CHAVE_IT, 0431_prncpl_amnt_glbl_nt_fx AS CAMPO_IT FROM BU_LOANTAPE_WORK.OUT_B0200_MAIN_LIABILITIES WHERE REF_DATE='"&amp; RefDate &amp;"')X GROUP BY 1</v>
      </c>
    </row>
    <row r="126" spans="1:11" x14ac:dyDescent="0.3">
      <c r="A126" t="str">
        <f t="shared" si="13"/>
        <v>FRMT_B0200_C0440</v>
      </c>
      <c r="B126" t="s">
        <v>493</v>
      </c>
      <c r="C126" s="7">
        <v>0</v>
      </c>
      <c r="D126" t="s">
        <v>385</v>
      </c>
      <c r="E126" t="s">
        <v>648</v>
      </c>
      <c r="F126" t="s">
        <v>11</v>
      </c>
      <c r="G126" t="s">
        <v>381</v>
      </c>
      <c r="H126" t="s">
        <v>567</v>
      </c>
      <c r="I126" s="7">
        <f t="shared" si="11"/>
        <v>1</v>
      </c>
      <c r="J126" s="8" t="str">
        <f t="shared" si="12"/>
        <v>THEN NULL ELSE X.CHAVE_IT END</v>
      </c>
      <c r="K126" s="5" t="str">
        <f t="shared" si="14"/>
        <v>UNION ALL SELECT '"&amp; RefDate &amp;"' AS REF_DATE, 'FRMT_B0200_C0440' AS COD_KPI, 'REGULAMENTAR' AS TIPOLOGIA_TESTE, 'Os valores dos dropdowns devem ser respeitados.' AS DESCRIÇÃO, 'BU_LOANTAPE_WORK.OUT_B0200_MAIN_LIABILITIES' AS TABELA, '0440_ntr_glbl_nt' AS CAMPO, COUNT(*) AS NUM_REG, SUM(IF(`0440_ntr_glbl_nt` IN ('NGN', 'CGN', 'Not applicable'),0 ,1)) AS NUM_REG_DIF, GROUP_CONCAT(CASE WHEN `0440_ntr_glbl_nt` IN ('NGN', 'CGN', 'Not applicable') THEN NULL ELSE X.CHAVE_IT END, '; ') AS DETALHE FROM (SELECT *, 0020_UNIQ_ID AS CHAVE_IT, 0440_ntr_glbl_nt AS CAMPO_IT FROM BU_LOANTAPE_WORK.OUT_B0200_MAIN_LIABILITIES WHERE REF_DATE='"&amp; RefDate &amp;"')X GROUP BY 1</v>
      </c>
    </row>
    <row r="127" spans="1:11" x14ac:dyDescent="0.3">
      <c r="A127" t="str">
        <f t="shared" si="13"/>
        <v>FRMT_B0200_C0450</v>
      </c>
      <c r="B127" t="s">
        <v>569</v>
      </c>
      <c r="C127" s="7">
        <v>0</v>
      </c>
      <c r="D127" s="1" t="s">
        <v>623</v>
      </c>
      <c r="E127" t="s">
        <v>648</v>
      </c>
      <c r="F127" t="s">
        <v>11</v>
      </c>
      <c r="G127" t="s">
        <v>381</v>
      </c>
      <c r="H127" t="s">
        <v>568</v>
      </c>
      <c r="I127" s="7">
        <f t="shared" si="11"/>
        <v>1</v>
      </c>
      <c r="J127" s="8" t="str">
        <f t="shared" si="12"/>
        <v>THEN NULL ELSE X.CHAVE_IT END</v>
      </c>
      <c r="K127" s="5" t="str">
        <f t="shared" si="14"/>
        <v>UNION ALL SELECT '"&amp; RefDate &amp;"' AS REF_DATE, 'FRMT_B0200_C0450' AS COD_KPI, 'REGULAMENTAR' AS TIPOLOGIA_TESTE, 'O campo deve ser reportado com formato numérico entre 0 e 1, com 9 casas decimais.' AS DESCRIÇÃO, 'BU_LOANTAPE_WORK.OUT_B0200_MAIN_LIABILITIES' AS TABELA, '0450_crrnt_pool_fctr' AS CAMPO, COUNT(*) AS NUM_REG, SUM(IF((CAST(`0450_crrnt_pool_fctr` AS STRING) RLIKE '^0\\.[0-9]{1,9}$' AND (`0450_crrnt_pool_fctr` &gt;=0 AND `0450_crrnt_pool_fctr`&lt;=1) and cast(`0450_crrnt_pool_fctr` as string) NOT IN ('N/A','11111111111','11111111111.00','11111111111.000000','1111-11-11','0000-00-00','0001-01-01','9999-12-31','MISS','00000','99999999999','999999999999999','99999999999.00','99999999999.000000','-9999.9999','','Not applicable','XXX')) OR `0450_crrnt_pool_fctr`=-9999.999999999,0 ,1)) AS NUM_REG_DIF, GROUP_CONCAT(CASE WHEN (CAST(`0450_crrnt_pool_fctr` AS STRING) RLIKE '^0\\.[0-9]{1,9}$' AND (`0450_crrnt_pool_fctr` &gt;=0 AND `0450_crrnt_pool_fctr`&lt;=1) and cast(`0450_crrnt_pool_fctr` as string) NOT IN ('N/A','11111111111','11111111111.00','11111111111.000000','1111-11-11','0000-00-00','0001-01-01','9999-12-31','MISS','00000','99999999999','999999999999999','99999999999.00','99999999999.000000','-9999.9999','','Not applicable','XXX')) OR `0450_crrnt_pool_fctr`=-9999.999999999 THEN NULL ELSE X.CHAVE_IT END, '; ') AS DETALHE FROM (SELECT *, 0020_UNIQ_ID AS CHAVE_IT, 0450_crrnt_pool_fctr AS CAMPO_IT FROM BU_LOANTAPE_WORK.OUT_B0200_MAIN_LIABILITIES WHERE REF_DATE='"&amp; RefDate &amp;"')X GROUP BY 1</v>
      </c>
    </row>
    <row r="128" spans="1:11" x14ac:dyDescent="0.3">
      <c r="A128" t="str">
        <f t="shared" si="13"/>
        <v>FRMT_B0200_C0460</v>
      </c>
      <c r="B128" t="s">
        <v>571</v>
      </c>
      <c r="C128" s="7">
        <v>0</v>
      </c>
      <c r="D128" t="s">
        <v>621</v>
      </c>
      <c r="E128" t="s">
        <v>648</v>
      </c>
      <c r="F128" t="s">
        <v>11</v>
      </c>
      <c r="G128" t="s">
        <v>381</v>
      </c>
      <c r="H128" t="s">
        <v>570</v>
      </c>
      <c r="I128" s="7">
        <f t="shared" si="11"/>
        <v>1</v>
      </c>
      <c r="J128" s="8" t="str">
        <f t="shared" si="12"/>
        <v>THEN NULL ELSE X.CHAVE_IT END</v>
      </c>
      <c r="K128" s="5" t="str">
        <f t="shared" si="14"/>
        <v>UNION ALL SELECT '"&amp; RefDate &amp;"' AS REF_DATE, 'FRMT_B0200_C0460' AS COD_KPI, 'REGULAMENTAR' AS TIPOLOGIA_TESTE, 'O campo deve ser reportado usando os valores fixos.' AS DESCRIÇÃO, 'BU_LOANTAPE_WORK.OUT_B0200_MAIN_LIABILITIES' AS TABELA, '0460_csd' AS CAMPO, COUNT(*) AS NUM_REG, SUM(IF(`0460_csd` = 'INTERBOLSA_PT',0 ,1)) AS NUM_REG_DIF, GROUP_CONCAT(CASE WHEN `0460_csd` = 'INTERBOLSA_PT' THEN NULL ELSE X.CHAVE_IT END, '; ') AS DETALHE FROM (SELECT *, 0020_UNIQ_ID AS CHAVE_IT, 0460_csd AS CAMPO_IT FROM BU_LOANTAPE_WORK.OUT_B0200_MAIN_LIABILITIES WHERE REF_DATE='"&amp; RefDate &amp;"')X GROUP BY 1</v>
      </c>
    </row>
    <row r="129" spans="1:11" x14ac:dyDescent="0.3">
      <c r="A129" t="str">
        <f t="shared" si="13"/>
        <v>FRMT_B0200_C0461</v>
      </c>
      <c r="B129" t="s">
        <v>573</v>
      </c>
      <c r="C129" s="7">
        <v>0</v>
      </c>
      <c r="D129" s="1" t="s">
        <v>383</v>
      </c>
      <c r="E129" t="s">
        <v>648</v>
      </c>
      <c r="F129" t="s">
        <v>11</v>
      </c>
      <c r="G129" t="s">
        <v>381</v>
      </c>
      <c r="H129" t="s">
        <v>572</v>
      </c>
      <c r="I129" s="7">
        <f t="shared" si="11"/>
        <v>1</v>
      </c>
      <c r="J129" s="8" t="str">
        <f t="shared" si="12"/>
        <v>THEN NULL ELSE X.CHAVE_IT END</v>
      </c>
      <c r="K129" s="5" t="str">
        <f t="shared" si="14"/>
        <v>UNION ALL SELECT '"&amp; RefDate &amp;"' AS REF_DATE, 'FRMT_B0200_C0461' AS COD_KPI, 'REGULAMENTAR' AS TIPOLOGIA_TESTE, 'O campo deve ser reportado com formato texto livre.' AS DESCRIÇÃO, 'BU_LOANTAPE_WORK.OUT_B0200_MAIN_LIABILITIES' AS TABELA, '0461_csd_lei' AS CAMPO, COUNT(*) AS NUM_REG, SUM(IF(`0461_csd_lei` RLIKE '[A-Za-z]' and `0461_csd_lei` NOT IN ('N/A','11111111111','11111111111.00','11111111111.000000','1111-11-11','0000-00-00','0001-01-01','9999-12-31','MISS','00000','99999999999','999999999999999','99999999999.00','99999999999.000000','-9999.9999','','Not applicable','XXX'),0 ,1)) AS NUM_REG_DIF, GROUP_CONCAT(CASE WHEN `0461_csd_lei` RLIKE '[A-Za-z]' and `0461_csd_lei` NOT IN ('N/A','11111111111','11111111111.00','11111111111.000000','1111-11-11','0000-00-00','0001-01-01','9999-12-31','MISS','00000','99999999999','999999999999999','99999999999.00','99999999999.000000','-9999.9999','','Not applicable','XXX') THEN NULL ELSE X.CHAVE_IT END, '; ') AS DETALHE FROM (SELECT *, 0020_UNIQ_ID AS CHAVE_IT, 0461_csd_lei AS CAMPO_IT FROM BU_LOANTAPE_WORK.OUT_B0200_MAIN_LIABILITIES WHERE REF_DATE='"&amp; RefDate &amp;"')X GROUP BY 1</v>
      </c>
    </row>
    <row r="130" spans="1:11" x14ac:dyDescent="0.3">
      <c r="A130" t="str">
        <f t="shared" si="13"/>
        <v>FRMT_B0200_C0462</v>
      </c>
      <c r="B130" t="s">
        <v>575</v>
      </c>
      <c r="C130" s="7">
        <v>0</v>
      </c>
      <c r="D130" s="1" t="s">
        <v>383</v>
      </c>
      <c r="E130" t="s">
        <v>648</v>
      </c>
      <c r="F130" t="s">
        <v>11</v>
      </c>
      <c r="G130" t="s">
        <v>381</v>
      </c>
      <c r="H130" t="s">
        <v>574</v>
      </c>
      <c r="I130" s="7">
        <f t="shared" ref="I130:I161" si="15">+IF(C130=1,0,1)</f>
        <v>1</v>
      </c>
      <c r="J130" s="8" t="str">
        <f t="shared" ref="J130:J161" si="16">+IF(C130=0,"THEN NULL ELSE X.CHAVE_IT END","THEN X.CHAVE_IT ELSE NULL END")</f>
        <v>THEN NULL ELSE X.CHAVE_IT END</v>
      </c>
      <c r="K130" s="5" t="str">
        <f t="shared" si="14"/>
        <v>UNION ALL SELECT '"&amp; RefDate &amp;"' AS REF_DATE, 'FRMT_B0200_C0462' AS COD_KPI, 'REGULAMENTAR' AS TIPOLOGIA_TESTE, 'O campo deve ser reportado com formato texto livre.' AS DESCRIÇÃO, 'BU_LOANTAPE_WORK.OUT_B0200_MAIN_LIABILITIES' AS TABELA, '0462_csd_othr' AS CAMPO, COUNT(*) AS NUM_REG, SUM(IF(`0462_csd_othr` RLIKE '[A-Za-z]' and `0462_csd_othr` NOT IN ('N/A','11111111111','11111111111.00','11111111111.000000','1111-11-11','0000-00-00','0001-01-01','9999-12-31','MISS','00000','99999999999','999999999999999','99999999999.00','99999999999.000000','-9999.9999','','Not applicable','XXX'),0 ,1)) AS NUM_REG_DIF, GROUP_CONCAT(CASE WHEN `0462_csd_othr` RLIKE '[A-Za-z]' and `0462_csd_othr` NOT IN ('N/A','11111111111','11111111111.00','11111111111.000000','1111-11-11','0000-00-00','0001-01-01','9999-12-31','MISS','00000','99999999999','999999999999999','99999999999.00','99999999999.000000','-9999.9999','','Not applicable','XXX') THEN NULL ELSE X.CHAVE_IT END, '; ') AS DETALHE FROM (SELECT *, 0020_UNIQ_ID AS CHAVE_IT, 0462_csd_othr AS CAMPO_IT FROM BU_LOANTAPE_WORK.OUT_B0200_MAIN_LIABILITIES WHERE REF_DATE='"&amp; RefDate &amp;"')X GROUP BY 1</v>
      </c>
    </row>
    <row r="131" spans="1:11" x14ac:dyDescent="0.3">
      <c r="A131" t="str">
        <f t="shared" si="13"/>
        <v>FRMT_B0200_C0470</v>
      </c>
      <c r="B131" t="s">
        <v>577</v>
      </c>
      <c r="C131" s="7">
        <v>0</v>
      </c>
      <c r="D131" s="1" t="s">
        <v>383</v>
      </c>
      <c r="E131" t="s">
        <v>648</v>
      </c>
      <c r="F131" t="s">
        <v>11</v>
      </c>
      <c r="G131" t="s">
        <v>381</v>
      </c>
      <c r="H131" t="s">
        <v>576</v>
      </c>
      <c r="I131" s="7">
        <f t="shared" si="15"/>
        <v>1</v>
      </c>
      <c r="J131" s="8" t="str">
        <f t="shared" si="16"/>
        <v>THEN NULL ELSE X.CHAVE_IT END</v>
      </c>
      <c r="K131" s="5" t="str">
        <f t="shared" si="14"/>
        <v>UNION ALL SELECT '"&amp; RefDate &amp;"' AS REF_DATE, 'FRMT_B0200_C0470' AS COD_KPI, 'REGULAMENTAR' AS TIPOLOGIA_TESTE, 'O campo deve ser reportado com formato texto livre.' AS DESCRIÇÃO, 'BU_LOANTAPE_WORK.OUT_B0200_MAIN_LIABILITIES' AS TABELA, '0470_pyng_agnt' AS CAMPO, COUNT(*) AS NUM_REG, SUM(IF((`0470_pyng_agnt` RLIKE '[A-Za-z]' and `0470_pyng_agnt` NOT IN ('N/A','11111111111','11111111111.00','11111111111.000000','1111-11-11','0000-00-00','0001-01-01','9999-12-31','MISS','00000','99999999999','999999999999999','99999999999.00','99999999999.000000','-9999.9999','','XXX')) OR `0470_pyng_agnt` = 'Not applicable',0 ,1)) AS NUM_REG_DIF, GROUP_CONCAT(CASE WHEN (`0470_pyng_agnt` RLIKE '[A-Za-z]' and `0470_pyng_agnt` NOT IN ('N/A','11111111111','11111111111.00','11111111111.000000','1111-11-11','0000-00-00','0001-01-01','9999-12-31','MISS','00000','99999999999','999999999999999','99999999999.00','99999999999.000000','-9999.9999','','XXX')) OR `0470_pyng_agnt` = 'Not applicable' THEN NULL ELSE X.CHAVE_IT END, '; ') AS DETALHE FROM (SELECT *, 0020_UNIQ_ID AS CHAVE_IT, 0470_pyng_agnt AS CAMPO_IT FROM BU_LOANTAPE_WORK.OUT_B0200_MAIN_LIABILITIES WHERE REF_DATE='"&amp; RefDate &amp;"')X GROUP BY 1</v>
      </c>
    </row>
    <row r="132" spans="1:11" x14ac:dyDescent="0.3">
      <c r="A132" t="str">
        <f t="shared" si="13"/>
        <v>FRMT_B0200_C0471</v>
      </c>
      <c r="B132" t="s">
        <v>579</v>
      </c>
      <c r="C132" s="7">
        <v>0</v>
      </c>
      <c r="D132" s="1" t="s">
        <v>383</v>
      </c>
      <c r="E132" t="s">
        <v>648</v>
      </c>
      <c r="F132" t="s">
        <v>11</v>
      </c>
      <c r="G132" t="s">
        <v>381</v>
      </c>
      <c r="H132" t="s">
        <v>578</v>
      </c>
      <c r="I132" s="7">
        <f t="shared" si="15"/>
        <v>1</v>
      </c>
      <c r="J132" s="8" t="str">
        <f t="shared" si="16"/>
        <v>THEN NULL ELSE X.CHAVE_IT END</v>
      </c>
      <c r="K132" s="5" t="str">
        <f t="shared" si="14"/>
        <v>UNION ALL SELECT '"&amp; RefDate &amp;"' AS REF_DATE, 'FRMT_B0200_C0471' AS COD_KPI, 'REGULAMENTAR' AS TIPOLOGIA_TESTE, 'O campo deve ser reportado com formato texto livre.' AS DESCRIÇÃO, 'BU_LOANTAPE_WORK.OUT_B0200_MAIN_LIABILITIES' AS TABELA, '0471_pyng_agnt_lei' AS CAMPO, COUNT(*) AS NUM_REG, SUM(IF((`0471_pyng_agnt_lei` RLIKE '[A-Za-z]' and `0471_pyng_agnt_lei` NOT IN ('N/A','11111111111','11111111111.00','11111111111.000000','1111-11-11','0000-00-00','0001-01-01','9999-12-31','MISS','00000','99999999999','999999999999999','99999999999.00','99999999999.000000','-9999.9999','','XXX')) OR `0471_pyng_agnt_lei` = 'Not applicable',0 ,1)) AS NUM_REG_DIF, GROUP_CONCAT(CASE WHEN (`0471_pyng_agnt_lei` RLIKE '[A-Za-z]' and `0471_pyng_agnt_lei` NOT IN ('N/A','11111111111','11111111111.00','11111111111.000000','1111-11-11','0000-00-00','0001-01-01','9999-12-31','MISS','00000','99999999999','999999999999999','99999999999.00','99999999999.000000','-9999.9999','','XXX')) OR `0471_pyng_agnt_lei` = 'Not applicable' THEN NULL ELSE X.CHAVE_IT END, '; ') AS DETALHE FROM (SELECT *, 0020_UNIQ_ID AS CHAVE_IT, 0471_pyng_agnt_lei AS CAMPO_IT FROM BU_LOANTAPE_WORK.OUT_B0200_MAIN_LIABILITIES WHERE REF_DATE='"&amp; RefDate &amp;"')X GROUP BY 1</v>
      </c>
    </row>
    <row r="133" spans="1:11" x14ac:dyDescent="0.3">
      <c r="A133" t="str">
        <f t="shared" si="13"/>
        <v>FRMT_B0200_C0480</v>
      </c>
      <c r="B133" t="s">
        <v>581</v>
      </c>
      <c r="C133" s="7">
        <v>0</v>
      </c>
      <c r="D133" s="1" t="s">
        <v>383</v>
      </c>
      <c r="E133" t="s">
        <v>648</v>
      </c>
      <c r="F133" t="s">
        <v>11</v>
      </c>
      <c r="G133" t="s">
        <v>381</v>
      </c>
      <c r="H133" t="s">
        <v>580</v>
      </c>
      <c r="I133" s="7">
        <f t="shared" si="15"/>
        <v>1</v>
      </c>
      <c r="J133" s="8" t="str">
        <f t="shared" si="16"/>
        <v>THEN NULL ELSE X.CHAVE_IT END</v>
      </c>
      <c r="K133" s="5" t="str">
        <f t="shared" si="14"/>
        <v>UNION ALL SELECT '"&amp; RefDate &amp;"' AS REF_DATE, 'FRMT_B0200_C0480' AS COD_KPI, 'REGULAMENTAR' AS TIPOLOGIA_TESTE, 'O campo deve ser reportado com formato texto livre.' AS DESCRIÇÃO, 'BU_LOANTAPE_WORK.OUT_B0200_MAIN_LIABILITIES' AS TABELA, '0480_trdng_vn' AS CAMPO, COUNT(*) AS NUM_REG, SUM(IF((`0480_trdng_vn` RLIKE '[A-Za-z]' and `0480_trdng_vn` NOT IN ('N/A','11111111111','11111111111.00','11111111111.000000','1111-11-11','0000-00-00','0001-01-01','9999-12-31','MISS','00000','99999999999','999999999999999','99999999999.00','99999999999.000000','-9999.9999','','XXX')) OR `0480_trdng_vn` = 'Not applicable',0 ,1)) AS NUM_REG_DIF, GROUP_CONCAT(CASE WHEN (`0480_trdng_vn` RLIKE '[A-Za-z]' and `0480_trdng_vn` NOT IN ('N/A','11111111111','11111111111.00','11111111111.000000','1111-11-11','0000-00-00','0001-01-01','9999-12-31','MISS','00000','99999999999','999999999999999','99999999999.00','99999999999.000000','-9999.9999','','XXX')) OR `0480_trdng_vn` = 'Not applicable' THEN NULL ELSE X.CHAVE_IT END, '; ') AS DETALHE FROM (SELECT *, 0020_UNIQ_ID AS CHAVE_IT, 0480_trdng_vn AS CAMPO_IT FROM BU_LOANTAPE_WORK.OUT_B0200_MAIN_LIABILITIES WHERE REF_DATE='"&amp; RefDate &amp;"')X GROUP BY 1</v>
      </c>
    </row>
    <row r="134" spans="1:11" x14ac:dyDescent="0.3">
      <c r="A134" t="str">
        <f t="shared" si="13"/>
        <v>FRMT_B0200_C0481</v>
      </c>
      <c r="B134" t="s">
        <v>583</v>
      </c>
      <c r="C134" s="7">
        <v>0</v>
      </c>
      <c r="D134" s="1" t="s">
        <v>383</v>
      </c>
      <c r="E134" t="s">
        <v>648</v>
      </c>
      <c r="F134" t="s">
        <v>11</v>
      </c>
      <c r="G134" t="s">
        <v>381</v>
      </c>
      <c r="H134" t="s">
        <v>582</v>
      </c>
      <c r="I134" s="7">
        <f t="shared" si="15"/>
        <v>1</v>
      </c>
      <c r="J134" s="8" t="str">
        <f t="shared" si="16"/>
        <v>THEN NULL ELSE X.CHAVE_IT END</v>
      </c>
      <c r="K134" s="5" t="str">
        <f t="shared" si="14"/>
        <v>UNION ALL SELECT '"&amp; RefDate &amp;"' AS REF_DATE, 'FRMT_B0200_C0481' AS COD_KPI, 'REGULAMENTAR' AS TIPOLOGIA_TESTE, 'O campo deve ser reportado com formato texto livre.' AS DESCRIÇÃO, 'BU_LOANTAPE_WORK.OUT_B0200_MAIN_LIABILITIES' AS TABELA, '0481_trdng_vn_lei' AS CAMPO, COUNT(*) AS NUM_REG, SUM(IF((`0481_trdng_vn_lei` RLIKE '[A-Za-z]' and `0481_trdng_vn_lei` NOT IN ('N/A','11111111111','11111111111.00','11111111111.000000','1111-11-11','0000-00-00','0001-01-01','9999-12-31','MISS','00000','99999999999','999999999999999','99999999999.00','99999999999.000000','-9999.9999','','XXX')) OR `0481_trdng_vn_lei` = 'Not applicable',0 ,1)) AS NUM_REG_DIF, GROUP_CONCAT(CASE WHEN (`0481_trdng_vn_lei` RLIKE '[A-Za-z]' and `0481_trdng_vn_lei` NOT IN ('N/A','11111111111','11111111111.00','11111111111.000000','1111-11-11','0000-00-00','0001-01-01','9999-12-31','MISS','00000','99999999999','999999999999999','99999999999.00','99999999999.000000','-9999.9999','','XXX')) OR `0481_trdng_vn_lei` = 'Not applicable' THEN NULL ELSE X.CHAVE_IT END, '; ') AS DETALHE FROM (SELECT *, 0020_UNIQ_ID AS CHAVE_IT, 0481_trdng_vn_lei AS CAMPO_IT FROM BU_LOANTAPE_WORK.OUT_B0200_MAIN_LIABILITIES WHERE REF_DATE='"&amp; RefDate &amp;"')X GROUP BY 1</v>
      </c>
    </row>
    <row r="135" spans="1:11" x14ac:dyDescent="0.3">
      <c r="A135" t="str">
        <f t="shared" si="13"/>
        <v>FRMT_B0200_C0490</v>
      </c>
      <c r="B135" t="s">
        <v>585</v>
      </c>
      <c r="C135" s="7">
        <v>0</v>
      </c>
      <c r="D135" s="1" t="s">
        <v>383</v>
      </c>
      <c r="E135" t="s">
        <v>648</v>
      </c>
      <c r="F135" t="s">
        <v>11</v>
      </c>
      <c r="G135" t="s">
        <v>381</v>
      </c>
      <c r="H135" t="s">
        <v>584</v>
      </c>
      <c r="I135" s="7">
        <f t="shared" si="15"/>
        <v>1</v>
      </c>
      <c r="J135" s="8" t="str">
        <f t="shared" si="16"/>
        <v>THEN NULL ELSE X.CHAVE_IT END</v>
      </c>
      <c r="K135" s="5" t="str">
        <f t="shared" si="14"/>
        <v>UNION ALL SELECT '"&amp; RefDate &amp;"' AS REF_DATE, 'FRMT_B0200_C0490' AS COD_KPI, 'REGULAMENTAR' AS TIPOLOGIA_TESTE, 'O campo deve ser reportado com formato texto livre.' AS DESCRIÇÃO, 'BU_LOANTAPE_WORK.OUT_B0200_MAIN_LIABILITIES' AS TABELA, '0490_rgstrr' AS CAMPO, COUNT(*) AS NUM_REG, SUM(IF((`0490_rgstrr` RLIKE '[A-Za-z]' and `0490_rgstrr` NOT IN ('N/A','11111111111','11111111111.00','11111111111.000000','1111-11-11','0000-00-00','0001-01-01','9999-12-31','MISS','00000','99999999999','999999999999999','99999999999.00','99999999999.000000','-9999.9999','','XXX')) OR `0490_rgstrr` = 'Not applicable',0 ,1)) AS NUM_REG_DIF, GROUP_CONCAT(CASE WHEN (`0490_rgstrr` RLIKE '[A-Za-z]' and `0490_rgstrr` NOT IN ('N/A','11111111111','11111111111.00','11111111111.000000','1111-11-11','0000-00-00','0001-01-01','9999-12-31','MISS','00000','99999999999','999999999999999','99999999999.00','99999999999.000000','-9999.9999','','XXX')) OR `0490_rgstrr` = 'Not applicable' THEN NULL ELSE X.CHAVE_IT END, '; ') AS DETALHE FROM (SELECT *, 0020_UNIQ_ID AS CHAVE_IT, 0490_rgstrr AS CAMPO_IT FROM BU_LOANTAPE_WORK.OUT_B0200_MAIN_LIABILITIES WHERE REF_DATE='"&amp; RefDate &amp;"')X GROUP BY 1</v>
      </c>
    </row>
    <row r="136" spans="1:11" x14ac:dyDescent="0.3">
      <c r="A136" t="str">
        <f t="shared" si="13"/>
        <v>FRMT_B0200_C0491</v>
      </c>
      <c r="B136" t="s">
        <v>587</v>
      </c>
      <c r="C136" s="7">
        <v>0</v>
      </c>
      <c r="D136" s="1" t="s">
        <v>383</v>
      </c>
      <c r="E136" t="s">
        <v>648</v>
      </c>
      <c r="F136" t="s">
        <v>11</v>
      </c>
      <c r="G136" t="s">
        <v>381</v>
      </c>
      <c r="H136" t="s">
        <v>586</v>
      </c>
      <c r="I136" s="7">
        <f t="shared" si="15"/>
        <v>1</v>
      </c>
      <c r="J136" s="8" t="str">
        <f t="shared" si="16"/>
        <v>THEN NULL ELSE X.CHAVE_IT END</v>
      </c>
      <c r="K136" s="5" t="str">
        <f t="shared" si="14"/>
        <v>UNION ALL SELECT '"&amp; RefDate &amp;"' AS REF_DATE, 'FRMT_B0200_C0491' AS COD_KPI, 'REGULAMENTAR' AS TIPOLOGIA_TESTE, 'O campo deve ser reportado com formato texto livre.' AS DESCRIÇÃO, 'BU_LOANTAPE_WORK.OUT_B0200_MAIN_LIABILITIES' AS TABELA, '0491_rgstrr_lei' AS CAMPO, COUNT(*) AS NUM_REG, SUM(IF((`0491_rgstrr_lei` RLIKE '[A-Za-z]' and `0491_rgstrr_lei` NOT IN ('N/A','11111111111','11111111111.00','11111111111.000000','1111-11-11','0000-00-00','0001-01-01','9999-12-31','MISS','00000','99999999999','999999999999999','99999999999.00','99999999999.000000','-9999.9999','','XXX')) OR `0491_rgstrr_lei` = 'Not applicable',0 ,1)) AS NUM_REG_DIF, GROUP_CONCAT(CASE WHEN (`0491_rgstrr_lei` RLIKE '[A-Za-z]' and `0491_rgstrr_lei` NOT IN ('N/A','11111111111','11111111111.00','11111111111.000000','1111-11-11','0000-00-00','0001-01-01','9999-12-31','MISS','00000','99999999999','999999999999999','99999999999.00','99999999999.000000','-9999.9999','','XXX')) OR `0491_rgstrr_lei` = 'Not applicable' THEN NULL ELSE X.CHAVE_IT END, '; ') AS DETALHE FROM (SELECT *, 0020_UNIQ_ID AS CHAVE_IT, 0491_rgstrr_lei AS CAMPO_IT FROM BU_LOANTAPE_WORK.OUT_B0200_MAIN_LIABILITIES WHERE REF_DATE='"&amp; RefDate &amp;"')X GROUP BY 1</v>
      </c>
    </row>
    <row r="137" spans="1:11" x14ac:dyDescent="0.3">
      <c r="A137" t="str">
        <f t="shared" si="13"/>
        <v>FRMT_B0200_C0500</v>
      </c>
      <c r="B137" t="s">
        <v>589</v>
      </c>
      <c r="C137" s="7">
        <v>0</v>
      </c>
      <c r="D137" s="1" t="s">
        <v>383</v>
      </c>
      <c r="E137" t="s">
        <v>648</v>
      </c>
      <c r="F137" t="s">
        <v>11</v>
      </c>
      <c r="G137" t="s">
        <v>381</v>
      </c>
      <c r="H137" t="s">
        <v>588</v>
      </c>
      <c r="I137" s="7">
        <f t="shared" si="15"/>
        <v>1</v>
      </c>
      <c r="J137" s="8" t="str">
        <f t="shared" si="16"/>
        <v>THEN NULL ELSE X.CHAVE_IT END</v>
      </c>
      <c r="K137" s="5" t="str">
        <f t="shared" si="14"/>
        <v>UNION ALL SELECT '"&amp; RefDate &amp;"' AS REF_DATE, 'FRMT_B0200_C0500' AS COD_KPI, 'REGULAMENTAR' AS TIPOLOGIA_TESTE, 'O campo deve ser reportado com formato texto livre.' AS DESCRIÇÃO, 'BU_LOANTAPE_WORK.OUT_B0200_MAIN_LIABILITIES' AS TABELA, '0500_nna' AS CAMPO, COUNT(*) AS NUM_REG, SUM(IF((`0500_nna` RLIKE '[A-Za-z]' and `0500_nna` NOT IN ('N/A','11111111111','11111111111.00','11111111111.000000','1111-11-11','0000-00-00','0001-01-01','9999-12-31','MISS','00000','99999999999','999999999999999','99999999999.00','99999999999.000000','-9999.9999','','XXX')) OR `0500_nna` = 'Not applicable',0 ,1)) AS NUM_REG_DIF, GROUP_CONCAT(CASE WHEN (`0500_nna` RLIKE '[A-Za-z]' and `0500_nna` NOT IN ('N/A','11111111111','11111111111.00','11111111111.000000','1111-11-11','0000-00-00','0001-01-01','9999-12-31','MISS','00000','99999999999','999999999999999','99999999999.00','99999999999.000000','-9999.9999','','XXX')) OR `0500_nna` = 'Not applicable' THEN NULL ELSE X.CHAVE_IT END, '; ') AS DETALHE FROM (SELECT *, 0020_UNIQ_ID AS CHAVE_IT, 0500_nna AS CAMPO_IT FROM BU_LOANTAPE_WORK.OUT_B0200_MAIN_LIABILITIES WHERE REF_DATE='"&amp; RefDate &amp;"')X GROUP BY 1</v>
      </c>
    </row>
    <row r="138" spans="1:11" x14ac:dyDescent="0.3">
      <c r="A138" t="str">
        <f t="shared" si="13"/>
        <v>FRMT_B0200_C0501</v>
      </c>
      <c r="B138" t="s">
        <v>591</v>
      </c>
      <c r="C138" s="7">
        <v>0</v>
      </c>
      <c r="D138" s="1" t="s">
        <v>383</v>
      </c>
      <c r="E138" t="s">
        <v>648</v>
      </c>
      <c r="F138" t="s">
        <v>11</v>
      </c>
      <c r="G138" t="s">
        <v>381</v>
      </c>
      <c r="H138" t="s">
        <v>590</v>
      </c>
      <c r="I138" s="7">
        <f t="shared" si="15"/>
        <v>1</v>
      </c>
      <c r="J138" s="8" t="str">
        <f t="shared" si="16"/>
        <v>THEN NULL ELSE X.CHAVE_IT END</v>
      </c>
      <c r="K138" s="5" t="str">
        <f t="shared" si="14"/>
        <v>UNION ALL SELECT '"&amp; RefDate &amp;"' AS REF_DATE, 'FRMT_B0200_C0501' AS COD_KPI, 'REGULAMENTAR' AS TIPOLOGIA_TESTE, 'O campo deve ser reportado com formato texto livre.' AS DESCRIÇÃO, 'BU_LOANTAPE_WORK.OUT_B0200_MAIN_LIABILITIES' AS TABELA, '0501_nna_lei' AS CAMPO, COUNT(*) AS NUM_REG, SUM(IF((`0501_nna_lei` RLIKE '[A-Za-z]' and `0501_nna_lei` NOT IN ('N/A','11111111111','11111111111.00','11111111111.000000','1111-11-11','0000-00-00','0001-01-01','9999-12-31','MISS','00000','99999999999','999999999999999','99999999999.00','99999999999.000000','-9999.9999','','XXX')) OR `0501_nna_lei` = 'Not applicable',0 ,1)) AS NUM_REG_DIF, GROUP_CONCAT(CASE WHEN (`0501_nna_lei` RLIKE '[A-Za-z]' and `0501_nna_lei` NOT IN ('N/A','11111111111','11111111111.00','11111111111.000000','1111-11-11','0000-00-00','0001-01-01','9999-12-31','MISS','00000','99999999999','999999999999999','99999999999.00','99999999999.000000','-9999.9999','','XXX')) OR `0501_nna_lei` = 'Not applicable' THEN NULL ELSE X.CHAVE_IT END, '; ') AS DETALHE FROM (SELECT *, 0020_UNIQ_ID AS CHAVE_IT, 0501_nna_lei AS CAMPO_IT FROM BU_LOANTAPE_WORK.OUT_B0200_MAIN_LIABILITIES WHERE REF_DATE='"&amp; RefDate &amp;"')X GROUP BY 1</v>
      </c>
    </row>
    <row r="139" spans="1:11" x14ac:dyDescent="0.3">
      <c r="A139" t="str">
        <f t="shared" si="13"/>
        <v>FRMT_B0200_C0510</v>
      </c>
      <c r="B139" t="s">
        <v>593</v>
      </c>
      <c r="C139" s="7">
        <v>0</v>
      </c>
      <c r="D139" s="1" t="s">
        <v>383</v>
      </c>
      <c r="E139" t="s">
        <v>648</v>
      </c>
      <c r="F139" t="s">
        <v>11</v>
      </c>
      <c r="G139" t="s">
        <v>381</v>
      </c>
      <c r="H139" t="s">
        <v>592</v>
      </c>
      <c r="I139" s="7">
        <f t="shared" si="15"/>
        <v>1</v>
      </c>
      <c r="J139" s="8" t="str">
        <f t="shared" si="16"/>
        <v>THEN NULL ELSE X.CHAVE_IT END</v>
      </c>
      <c r="K139" s="5" t="str">
        <f t="shared" si="14"/>
        <v>UNION ALL SELECT '"&amp; RefDate &amp;"' AS REF_DATE, 'FRMT_B0200_C0510' AS COD_KPI, 'REGULAMENTAR' AS TIPOLOGIA_TESTE, 'O campo deve ser reportado com formato texto livre.' AS DESCRIÇÃO, 'BU_LOANTAPE_WORK.OUT_B0200_MAIN_LIABILITIES' AS TABELA, '0510_cmmn_dpstry' AS CAMPO, COUNT(*) AS NUM_REG, SUM(IF((`0510_cmmn_dpstry` RLIKE '[A-Za-z]' and `0510_cmmn_dpstry` NOT IN ('N/A','11111111111','11111111111.00','11111111111.000000','1111-11-11','0000-00-00','0001-01-01','9999-12-31','MISS','00000','99999999999','999999999999999','99999999999.00','99999999999.000000','-9999.9999','','XXX')) OR `0510_cmmn_dpstry` = 'Not applicable',0 ,1)) AS NUM_REG_DIF, GROUP_CONCAT(CASE WHEN (`0510_cmmn_dpstry` RLIKE '[A-Za-z]' and `0510_cmmn_dpstry` NOT IN ('N/A','11111111111','11111111111.00','11111111111.000000','1111-11-11','0000-00-00','0001-01-01','9999-12-31','MISS','00000','99999999999','999999999999999','99999999999.00','99999999999.000000','-9999.9999','','XXX')) OR `0510_cmmn_dpstry` = 'Not applicable' THEN NULL ELSE X.CHAVE_IT END, '; ') AS DETALHE FROM (SELECT *, 0020_UNIQ_ID AS CHAVE_IT, 0510_cmmn_dpstry AS CAMPO_IT FROM BU_LOANTAPE_WORK.OUT_B0200_MAIN_LIABILITIES WHERE REF_DATE='"&amp; RefDate &amp;"')X GROUP BY 1</v>
      </c>
    </row>
    <row r="140" spans="1:11" x14ac:dyDescent="0.3">
      <c r="A140" t="str">
        <f t="shared" si="13"/>
        <v>FRMT_B0200_C0511</v>
      </c>
      <c r="B140" t="s">
        <v>595</v>
      </c>
      <c r="C140" s="7">
        <v>0</v>
      </c>
      <c r="D140" s="1" t="s">
        <v>383</v>
      </c>
      <c r="E140" t="s">
        <v>648</v>
      </c>
      <c r="F140" t="s">
        <v>11</v>
      </c>
      <c r="G140" t="s">
        <v>381</v>
      </c>
      <c r="H140" t="s">
        <v>594</v>
      </c>
      <c r="I140" s="7">
        <f t="shared" si="15"/>
        <v>1</v>
      </c>
      <c r="J140" s="8" t="str">
        <f t="shared" si="16"/>
        <v>THEN NULL ELSE X.CHAVE_IT END</v>
      </c>
      <c r="K140" s="5" t="str">
        <f t="shared" si="14"/>
        <v>UNION ALL SELECT '"&amp; RefDate &amp;"' AS REF_DATE, 'FRMT_B0200_C0511' AS COD_KPI, 'REGULAMENTAR' AS TIPOLOGIA_TESTE, 'O campo deve ser reportado com formato texto livre.' AS DESCRIÇÃO, 'BU_LOANTAPE_WORK.OUT_B0200_MAIN_LIABILITIES' AS TABELA, '0511_cmmn_dpstry_lei' AS CAMPO, COUNT(*) AS NUM_REG, SUM(IF((`0511_cmmn_dpstry_lei` RLIKE '[A-Za-z]' and `0511_cmmn_dpstry_lei` NOT IN ('N/A','11111111111','11111111111.00','11111111111.000000','1111-11-11','0000-00-00','0001-01-01','9999-12-31','MISS','00000','99999999999','999999999999999','99999999999.00','99999999999.000000','-9999.9999','','XXX')) OR `0511_cmmn_dpstry_lei` = 'Not applicable',0 ,1)) AS NUM_REG_DIF, GROUP_CONCAT(CASE WHEN (`0511_cmmn_dpstry_lei` RLIKE '[A-Za-z]' and `0511_cmmn_dpstry_lei` NOT IN ('N/A','11111111111','11111111111.00','11111111111.000000','1111-11-11','0000-00-00','0001-01-01','9999-12-31','MISS','00000','99999999999','999999999999999','99999999999.00','99999999999.000000','-9999.9999','','XXX')) OR `0511_cmmn_dpstry_lei` = 'Not applicable' THEN NULL ELSE X.CHAVE_IT END, '; ') AS DETALHE FROM (SELECT *, 0020_UNIQ_ID AS CHAVE_IT, 0511_cmmn_dpstry_lei AS CAMPO_IT FROM BU_LOANTAPE_WORK.OUT_B0200_MAIN_LIABILITIES WHERE REF_DATE='"&amp; RefDate &amp;"')X GROUP BY 1</v>
      </c>
    </row>
    <row r="141" spans="1:11" x14ac:dyDescent="0.3">
      <c r="A141" t="str">
        <f t="shared" ref="A141:A157" si="17">"FRMT_"&amp;MID(G141,22,5)&amp;"_C"&amp;LEFT(B141,4)</f>
        <v>FRMT_B0200_C0520</v>
      </c>
      <c r="B141" t="s">
        <v>597</v>
      </c>
      <c r="C141" s="7">
        <v>0</v>
      </c>
      <c r="D141" s="1" t="s">
        <v>383</v>
      </c>
      <c r="E141" t="s">
        <v>648</v>
      </c>
      <c r="F141" t="s">
        <v>11</v>
      </c>
      <c r="G141" t="s">
        <v>381</v>
      </c>
      <c r="H141" t="s">
        <v>596</v>
      </c>
      <c r="I141" s="7">
        <f t="shared" si="15"/>
        <v>1</v>
      </c>
      <c r="J141" s="8" t="str">
        <f t="shared" si="16"/>
        <v>THEN NULL ELSE X.CHAVE_IT END</v>
      </c>
      <c r="K141" s="5" t="str">
        <f t="shared" si="14"/>
        <v>UNION ALL SELECT '"&amp; RefDate &amp;"' AS REF_DATE, 'FRMT_B0200_C0520' AS COD_KPI, 'REGULAMENTAR' AS TIPOLOGIA_TESTE, 'O campo deve ser reportado com formato texto livre.' AS DESCRIÇÃO, 'BU_LOANTAPE_WORK.OUT_B0200_MAIN_LIABILITIES' AS TABELA, '0520_cmmn_srvc_prvdr' AS CAMPO, COUNT(*) AS NUM_REG, SUM(IF((`0520_cmmn_srvc_prvdr` RLIKE '[A-Za-z]' and `0520_cmmn_srvc_prvdr` NOT IN ('N/A','11111111111','11111111111.00','11111111111.000000','1111-11-11','0000-00-00','0001-01-01','9999-12-31','MISS','00000','99999999999','999999999999999','99999999999.00','99999999999.000000','-9999.9999','','XXX')) OR `0520_cmmn_srvc_prvdr` = 'Not applicable',0 ,1)) AS NUM_REG_DIF, GROUP_CONCAT(CASE WHEN (`0520_cmmn_srvc_prvdr` RLIKE '[A-Za-z]' and `0520_cmmn_srvc_prvdr` NOT IN ('N/A','11111111111','11111111111.00','11111111111.000000','1111-11-11','0000-00-00','0001-01-01','9999-12-31','MISS','00000','99999999999','999999999999999','99999999999.00','99999999999.000000','-9999.9999','','XXX')) OR `0520_cmmn_srvc_prvdr` = 'Not applicable' THEN NULL ELSE X.CHAVE_IT END, '; ') AS DETALHE FROM (SELECT *, 0020_UNIQ_ID AS CHAVE_IT, 0520_cmmn_srvc_prvdr AS CAMPO_IT FROM BU_LOANTAPE_WORK.OUT_B0200_MAIN_LIABILITIES WHERE REF_DATE='"&amp; RefDate &amp;"')X GROUP BY 1</v>
      </c>
    </row>
    <row r="142" spans="1:11" x14ac:dyDescent="0.3">
      <c r="A142" t="str">
        <f t="shared" si="17"/>
        <v>FRMT_B0200_C0521</v>
      </c>
      <c r="B142" t="s">
        <v>599</v>
      </c>
      <c r="C142" s="7">
        <v>0</v>
      </c>
      <c r="D142" s="1" t="s">
        <v>383</v>
      </c>
      <c r="E142" t="s">
        <v>648</v>
      </c>
      <c r="F142" t="s">
        <v>11</v>
      </c>
      <c r="G142" t="s">
        <v>381</v>
      </c>
      <c r="H142" t="s">
        <v>598</v>
      </c>
      <c r="I142" s="7">
        <f t="shared" si="15"/>
        <v>1</v>
      </c>
      <c r="J142" s="8" t="str">
        <f t="shared" si="16"/>
        <v>THEN NULL ELSE X.CHAVE_IT END</v>
      </c>
      <c r="K142" s="5" t="str">
        <f t="shared" si="14"/>
        <v>UNION ALL SELECT '"&amp; RefDate &amp;"' AS REF_DATE, 'FRMT_B0200_C0521' AS COD_KPI, 'REGULAMENTAR' AS TIPOLOGIA_TESTE, 'O campo deve ser reportado com formato texto livre.' AS DESCRIÇÃO, 'BU_LOANTAPE_WORK.OUT_B0200_MAIN_LIABILITIES' AS TABELA, '0521_cmmn_srvc_prvdr_lei' AS CAMPO, COUNT(*) AS NUM_REG, SUM(IF((`0521_cmmn_srvc_prvdr_lei` RLIKE '[A-Za-z]' and `0521_cmmn_srvc_prvdr_lei` NOT IN ('N/A','11111111111','11111111111.00','11111111111.000000','1111-11-11','0000-00-00','0001-01-01','9999-12-31','MISS','00000','99999999999','999999999999999','99999999999.00','99999999999.000000','-9999.9999','','XXX')) OR `0521_cmmn_srvc_prvdr_lei` = 'Not applicable',0 ,1)) AS NUM_REG_DIF, GROUP_CONCAT(CASE WHEN (`0521_cmmn_srvc_prvdr_lei` RLIKE '[A-Za-z]' and `0521_cmmn_srvc_prvdr_lei` NOT IN ('N/A','11111111111','11111111111.00','11111111111.000000','1111-11-11','0000-00-00','0001-01-01','9999-12-31','MISS','00000','99999999999','999999999999999','99999999999.00','99999999999.000000','-9999.9999','','XXX')) OR `0521_cmmn_srvc_prvdr_lei` = 'Not applicable' THEN NULL ELSE X.CHAVE_IT END, '; ') AS DETALHE FROM (SELECT *, 0020_UNIQ_ID AS CHAVE_IT, 0521_cmmn_srvc_prvdr_lei AS CAMPO_IT FROM BU_LOANTAPE_WORK.OUT_B0200_MAIN_LIABILITIES WHERE REF_DATE='"&amp; RefDate &amp;"')X GROUP BY 1</v>
      </c>
    </row>
    <row r="143" spans="1:11" x14ac:dyDescent="0.3">
      <c r="A143" t="str">
        <f t="shared" si="17"/>
        <v>FRMT_B0200_C0530</v>
      </c>
      <c r="B143" t="s">
        <v>495</v>
      </c>
      <c r="C143" s="7">
        <v>0</v>
      </c>
      <c r="D143" t="s">
        <v>385</v>
      </c>
      <c r="E143" t="s">
        <v>648</v>
      </c>
      <c r="F143" t="s">
        <v>11</v>
      </c>
      <c r="G143" t="s">
        <v>381</v>
      </c>
      <c r="H143" t="s">
        <v>600</v>
      </c>
      <c r="I143" s="7">
        <f t="shared" si="15"/>
        <v>1</v>
      </c>
      <c r="J143" s="8" t="str">
        <f t="shared" si="16"/>
        <v>THEN NULL ELSE X.CHAVE_IT END</v>
      </c>
      <c r="K143" s="5" t="str">
        <f t="shared" si="14"/>
        <v>UNION ALL SELECT '"&amp; RefDate &amp;"' AS REF_DATE, 'FRMT_B0200_C0530' AS COD_KPI, 'REGULAMENTAR' AS TIPOLOGIA_TESTE, 'Os valores dos dropdowns devem ser respeitados.' AS DESCRIÇÃO, 'BU_LOANTAPE_WORK.OUT_B0200_MAIN_LIABILITIES' AS TABELA, '0530_typ_own_fnds_ind_lvl' AS CAMPO, COUNT(*) AS NUM_REG, SUM(IF(`0530_typ_own_fnds_ind_lvl` IN ('T2 in phase-out', 'Grandfathered T2', 'Fully Compliant T2', 'Partially (A)T1 and T2', 'Grandfathered AT1', 'Fully Compliant AT1', 'CET1', 'No', 'Not applicable') ,0 ,1)) AS NUM_REG_DIF, GROUP_CONCAT(CASE WHEN `0530_typ_own_fnds_ind_lvl` IN ('T2 in phase-out', 'Grandfathered T2', 'Fully Compliant T2', 'Partially (A)T1 and T2', 'Grandfathered AT1', 'Fully Compliant AT1', 'CET1', 'No', 'Not applicable')  THEN NULL ELSE X.CHAVE_IT END, '; ') AS DETALHE FROM (SELECT *, 0020_UNIQ_ID AS CHAVE_IT, 0530_typ_own_fnds_ind_lvl AS CAMPO_IT FROM BU_LOANTAPE_WORK.OUT_B0200_MAIN_LIABILITIES WHERE REF_DATE='"&amp; RefDate &amp;"')X GROUP BY 1</v>
      </c>
    </row>
    <row r="144" spans="1:11" x14ac:dyDescent="0.3">
      <c r="A144" t="str">
        <f t="shared" si="17"/>
        <v>FRMT_B0200_C0540</v>
      </c>
      <c r="B144" t="s">
        <v>497</v>
      </c>
      <c r="C144" s="7">
        <v>0</v>
      </c>
      <c r="D144" s="1" t="s">
        <v>386</v>
      </c>
      <c r="E144" t="s">
        <v>648</v>
      </c>
      <c r="F144" t="s">
        <v>11</v>
      </c>
      <c r="G144" t="s">
        <v>381</v>
      </c>
      <c r="H144" t="s">
        <v>628</v>
      </c>
      <c r="I144" s="7">
        <f t="shared" si="15"/>
        <v>1</v>
      </c>
      <c r="J144" s="8" t="str">
        <f t="shared" si="16"/>
        <v>THEN NULL ELSE X.CHAVE_IT END</v>
      </c>
      <c r="K144" s="5" t="str">
        <f t="shared" si="14"/>
        <v>UNION ALL SELECT '"&amp; RefDate &amp;"' AS REF_DATE, 'FRMT_B0200_C0540' AS COD_KPI, 'REGULAMENTAR' AS TIPOLOGIA_TESTE, 'O campo deve ser reportado com formato numérico com 2 casas decimais.' AS DESCRIÇÃO, 'BU_LOANTAPE_WORK.OUT_B0200_MAIN_LIABILITIES' AS TABELA, '0540_elgbl_amnt_own_fnds_ind_lvl' AS CAMPO, COUNT(*) AS NUM_REG, SUM(IF((CAST(ROUND(`0540_elgbl_amnt_own_fnds_ind_lvl`, 2) AS STRING) = CAST(`0540_elgbl_amnt_own_fnds_ind_lvl` AS STRING) AND CAST(`0540_elgbl_amnt_own_fnds_ind_lvl` AS STRING) NOT IN ('N/A','11111111111','11111111111.00','11111111111.000000','1111-11-11','0000-00-00','0001-01-01','9999-12-31','MISS','00000','99999999999','99999999999.00','99999999999.000000','-9999.9999','','Not applicable','XXX')) OR `0540_elgbl_amnt_own_fnds_ind_lvl`= 999999999999999.00,0 ,1)) AS NUM_REG_DIF, GROUP_CONCAT(CASE WHEN (CAST(ROUND(`0540_elgbl_amnt_own_fnds_ind_lvl`, 2) AS STRING) = CAST(`0540_elgbl_amnt_own_fnds_ind_lvl` AS STRING) AND CAST(`0540_elgbl_amnt_own_fnds_ind_lvl` AS STRING) NOT IN ('N/A','11111111111','11111111111.00','11111111111.000000','1111-11-11','0000-00-00','0001-01-01','9999-12-31','MISS','00000','99999999999','99999999999.00','99999999999.000000','-9999.9999','','Not applicable','XXX')) OR `0540_elgbl_amnt_own_fnds_ind_lvl`= 999999999999999.00 THEN NULL ELSE X.CHAVE_IT END, '; ') AS DETALHE FROM (SELECT *, 0020_UNIQ_ID AS CHAVE_IT, 0540_elgbl_amnt_own_fnds_ind_lvl AS CAMPO_IT FROM BU_LOANTAPE_WORK.OUT_B0200_MAIN_LIABILITIES WHERE REF_DATE='"&amp; RefDate &amp;"')X GROUP BY 1</v>
      </c>
    </row>
    <row r="145" spans="1:11" x14ac:dyDescent="0.3">
      <c r="A145" t="str">
        <f t="shared" si="17"/>
        <v>FRMT_B0200_C0550</v>
      </c>
      <c r="B145" t="s">
        <v>499</v>
      </c>
      <c r="C145" s="7">
        <v>0</v>
      </c>
      <c r="D145" t="s">
        <v>385</v>
      </c>
      <c r="E145" t="s">
        <v>648</v>
      </c>
      <c r="F145" t="s">
        <v>11</v>
      </c>
      <c r="G145" t="s">
        <v>381</v>
      </c>
      <c r="H145" t="s">
        <v>601</v>
      </c>
      <c r="I145" s="7">
        <f t="shared" si="15"/>
        <v>1</v>
      </c>
      <c r="J145" s="8" t="str">
        <f t="shared" si="16"/>
        <v>THEN NULL ELSE X.CHAVE_IT END</v>
      </c>
      <c r="K145" s="5" t="str">
        <f t="shared" si="14"/>
        <v>UNION ALL SELECT '"&amp; RefDate &amp;"' AS REF_DATE, 'FRMT_B0200_C0550' AS COD_KPI, 'REGULAMENTAR' AS TIPOLOGIA_TESTE, 'Os valores dos dropdowns devem ser respeitados.' AS DESCRIÇÃO, 'BU_LOANTAPE_WORK.OUT_B0200_MAIN_LIABILITIES' AS TABELA, '0550_typ_own_fnds_cnsldtd_lvl' AS CAMPO, COUNT(*) AS NUM_REG, SUM(IF(`0550_typ_own_fnds_cnsldtd_lvl` IN ('T2 in phase-out', 'Grandfathered T2', 'Fully Compliant T2', 'Partially (A)T1 and T2', 'Grandfathered AT1', 'Fully Compliant AT1', 'CET1', 'No', 'Not applicable'),0 ,1)) AS NUM_REG_DIF, GROUP_CONCAT(CASE WHEN `0550_typ_own_fnds_cnsldtd_lvl` IN ('T2 in phase-out', 'Grandfathered T2', 'Fully Compliant T2', 'Partially (A)T1 and T2', 'Grandfathered AT1', 'Fully Compliant AT1', 'CET1', 'No', 'Not applicable') THEN NULL ELSE X.CHAVE_IT END, '; ') AS DETALHE FROM (SELECT *, 0020_UNIQ_ID AS CHAVE_IT, 0550_typ_own_fnds_cnsldtd_lvl AS CAMPO_IT FROM BU_LOANTAPE_WORK.OUT_B0200_MAIN_LIABILITIES WHERE REF_DATE='"&amp; RefDate &amp;"')X GROUP BY 1</v>
      </c>
    </row>
    <row r="146" spans="1:11" x14ac:dyDescent="0.3">
      <c r="A146" t="str">
        <f t="shared" si="17"/>
        <v>FRMT_B0200_C0560</v>
      </c>
      <c r="B146" t="s">
        <v>501</v>
      </c>
      <c r="C146" s="7">
        <v>0</v>
      </c>
      <c r="D146" s="1" t="s">
        <v>386</v>
      </c>
      <c r="E146" t="s">
        <v>648</v>
      </c>
      <c r="F146" t="s">
        <v>11</v>
      </c>
      <c r="G146" t="s">
        <v>381</v>
      </c>
      <c r="H146" t="s">
        <v>602</v>
      </c>
      <c r="I146" s="7">
        <f t="shared" si="15"/>
        <v>1</v>
      </c>
      <c r="J146" s="8" t="str">
        <f t="shared" si="16"/>
        <v>THEN NULL ELSE X.CHAVE_IT END</v>
      </c>
      <c r="K146" s="5" t="str">
        <f t="shared" si="14"/>
        <v>UNION ALL SELECT '"&amp; RefDate &amp;"' AS REF_DATE, 'FRMT_B0200_C0560' AS COD_KPI, 'REGULAMENTAR' AS TIPOLOGIA_TESTE, 'O campo deve ser reportado com formato numérico com 2 casas decimais.' AS DESCRIÇÃO, 'BU_LOANTAPE_WORK.OUT_B0200_MAIN_LIABILITIES' AS TABELA, '0560_elgbl_amnt_own_fnds_cnsldtd_lvl' AS CAMPO, COUNT(*) AS NUM_REG, SUM(IF((CAST(ROUND(`0560_elgbl_amnt_own_fnds_cnsldtd_lvl`, 2) AS STRING) = CAST(`0560_elgbl_amnt_own_fnds_cnsldtd_lvl` AS STRING) AND CAST(`0560_elgbl_amnt_own_fnds_cnsldtd_lvl` AS STRING) NOT IN ('N/A','11111111111','11111111111.00','11111111111.000000','1111-11-11','0000-00-00','0001-01-01','9999-12-31','MISS','00000','99999999999','99999999999.00','99999999999.000000','-9999.9999','','Not applicable','XXX')) OR `0560_elgbl_amnt_own_fnds_cnsldtd_lvl`= 999999999999999.00,0 ,1)) AS NUM_REG_DIF, GROUP_CONCAT(CASE WHEN (CAST(ROUND(`0560_elgbl_amnt_own_fnds_cnsldtd_lvl`, 2) AS STRING) = CAST(`0560_elgbl_amnt_own_fnds_cnsldtd_lvl` AS STRING) AND CAST(`0560_elgbl_amnt_own_fnds_cnsldtd_lvl` AS STRING) NOT IN ('N/A','11111111111','11111111111.00','11111111111.000000','1111-11-11','0000-00-00','0001-01-01','9999-12-31','MISS','00000','99999999999','99999999999.00','99999999999.000000','-9999.9999','','Not applicable','XXX')) OR `0560_elgbl_amnt_own_fnds_cnsldtd_lvl`= 999999999999999.00 THEN NULL ELSE X.CHAVE_IT END, '; ') AS DETALHE FROM (SELECT *, 0020_UNIQ_ID AS CHAVE_IT, 0560_elgbl_amnt_own_fnds_cnsldtd_lvl AS CAMPO_IT FROM BU_LOANTAPE_WORK.OUT_B0200_MAIN_LIABILITIES WHERE REF_DATE='"&amp; RefDate &amp;"')X GROUP BY 1</v>
      </c>
    </row>
    <row r="147" spans="1:11" x14ac:dyDescent="0.3">
      <c r="A147" t="str">
        <f t="shared" si="17"/>
        <v>FRMT_B0200_C0570</v>
      </c>
      <c r="B147" t="s">
        <v>604</v>
      </c>
      <c r="C147" s="7">
        <v>0</v>
      </c>
      <c r="D147" s="1" t="s">
        <v>386</v>
      </c>
      <c r="E147" t="s">
        <v>648</v>
      </c>
      <c r="F147" t="s">
        <v>11</v>
      </c>
      <c r="G147" t="s">
        <v>381</v>
      </c>
      <c r="H147" t="s">
        <v>603</v>
      </c>
      <c r="I147" s="7">
        <f t="shared" si="15"/>
        <v>1</v>
      </c>
      <c r="J147" s="8" t="str">
        <f t="shared" si="16"/>
        <v>THEN NULL ELSE X.CHAVE_IT END</v>
      </c>
      <c r="K147" s="5" t="str">
        <f t="shared" si="14"/>
        <v>UNION ALL SELECT '"&amp; RefDate &amp;"' AS REF_DATE, 'FRMT_B0200_C0570' AS COD_KPI, 'REGULAMENTAR' AS TIPOLOGIA_TESTE, 'O campo deve ser reportado com formato numérico com 2 casas decimais.' AS DESCRIÇÃO, 'BU_LOANTAPE_WORK.OUT_B0200_MAIN_LIABILITIES' AS TABELA, '0570_amnt_scrty_intrst_prvdd' AS CAMPO, COUNT(*) AS NUM_REG, SUM(IF(CAST(ROUND(`0570_amnt_scrty_intrst_prvdd`, 2) AS STRING) = CAST(`0570_amnt_scrty_intrst_prvdd` AS STRING) AND CAST(`0570_amnt_scrty_intrst_prvdd` AS STRING) NOT IN ('N/A','11111111111','11111111111.00','11111111111.000000','1111-11-11','0000-00-00','0001-01-01','9999-12-31','MISS','00000','99999999999','99999999999.00','99999999999.000000','-9999.9999','','Not applicable','XXX'),0 ,1)) AS NUM_REG_DIF, GROUP_CONCAT(CASE WHEN CAST(ROUND(`0570_amnt_scrty_intrst_prvdd`, 2) AS STRING) = CAST(`0570_amnt_scrty_intrst_prvdd` AS STRING) AND CAST(`0570_amnt_scrty_intrst_prvdd` AS STRING) NOT IN ('N/A','11111111111','11111111111.00','11111111111.000000','1111-11-11','0000-00-00','0001-01-01','9999-12-31','MISS','00000','99999999999','99999999999.00','99999999999.000000','-9999.9999','','Not applicable','XXX') THEN NULL ELSE X.CHAVE_IT END, '; ') AS DETALHE FROM (SELECT *, 0020_UNIQ_ID AS CHAVE_IT, 0570_amnt_scrty_intrst_prvdd AS CAMPO_IT FROM BU_LOANTAPE_WORK.OUT_B0200_MAIN_LIABILITIES WHERE REF_DATE='"&amp; RefDate &amp;"')X GROUP BY 1</v>
      </c>
    </row>
    <row r="148" spans="1:11" x14ac:dyDescent="0.3">
      <c r="A148" t="str">
        <f t="shared" si="17"/>
        <v>FRMT_B0200_C0580</v>
      </c>
      <c r="B148" t="s">
        <v>606</v>
      </c>
      <c r="C148" s="7">
        <v>0</v>
      </c>
      <c r="D148" s="1" t="s">
        <v>383</v>
      </c>
      <c r="E148" t="s">
        <v>648</v>
      </c>
      <c r="F148" t="s">
        <v>11</v>
      </c>
      <c r="G148" t="s">
        <v>381</v>
      </c>
      <c r="H148" t="s">
        <v>605</v>
      </c>
      <c r="I148" s="7">
        <f t="shared" si="15"/>
        <v>1</v>
      </c>
      <c r="J148" s="8" t="str">
        <f t="shared" si="16"/>
        <v>THEN NULL ELSE X.CHAVE_IT END</v>
      </c>
      <c r="K148" s="5" t="str">
        <f t="shared" si="14"/>
        <v>UNION ALL SELECT '"&amp; RefDate &amp;"' AS REF_DATE, 'FRMT_B0200_C0580' AS COD_KPI, 'REGULAMENTAR' AS TIPOLOGIA_TESTE, 'O campo deve ser reportado com formato texto livre.' AS DESCRIÇÃO, 'BU_LOANTAPE_WORK.OUT_B0200_MAIN_LIABILITIES' AS TABELA, '0580_scrty_intrst_prvdr' AS CAMPO, COUNT(*) AS NUM_REG, SUM(IF((`0580_scrty_intrst_prvdr` RLIKE '[A-Za-z]' and `0580_scrty_intrst_prvdr` NOT IN ('N/A','11111111111','11111111111.00','11111111111.000000','1111-11-11','0000-00-00','0001-01-01','9999-12-31','MISS','00000','99999999999','999999999999999','99999999999.00','99999999999.000000','-9999.9999','','XXX')) OR `0580_scrty_intrst_prvdr` = 'Not applicable',0 ,1)) AS NUM_REG_DIF, GROUP_CONCAT(CASE WHEN (`0580_scrty_intrst_prvdr` RLIKE '[A-Za-z]' and `0580_scrty_intrst_prvdr` NOT IN ('N/A','11111111111','11111111111.00','11111111111.000000','1111-11-11','0000-00-00','0001-01-01','9999-12-31','MISS','00000','99999999999','999999999999999','99999999999.00','99999999999.000000','-9999.9999','','XXX')) OR `0580_scrty_intrst_prvdr` = 'Not applicable' THEN NULL ELSE X.CHAVE_IT END, '; ') AS DETALHE FROM (SELECT *, 0020_UNIQ_ID AS CHAVE_IT, 0580_scrty_intrst_prvdr AS CAMPO_IT FROM BU_LOANTAPE_WORK.OUT_B0200_MAIN_LIABILITIES WHERE REF_DATE='"&amp; RefDate &amp;"')X GROUP BY 1</v>
      </c>
    </row>
    <row r="149" spans="1:11" x14ac:dyDescent="0.3">
      <c r="A149" t="str">
        <f t="shared" si="17"/>
        <v>FRMT_B0200_C0581</v>
      </c>
      <c r="B149" t="s">
        <v>608</v>
      </c>
      <c r="C149" s="7">
        <v>0</v>
      </c>
      <c r="D149" s="1" t="s">
        <v>383</v>
      </c>
      <c r="E149" t="s">
        <v>648</v>
      </c>
      <c r="F149" t="s">
        <v>11</v>
      </c>
      <c r="G149" t="s">
        <v>381</v>
      </c>
      <c r="H149" t="s">
        <v>607</v>
      </c>
      <c r="I149" s="7">
        <f t="shared" si="15"/>
        <v>1</v>
      </c>
      <c r="J149" s="8" t="str">
        <f t="shared" si="16"/>
        <v>THEN NULL ELSE X.CHAVE_IT END</v>
      </c>
      <c r="K149" s="5" t="str">
        <f t="shared" si="14"/>
        <v>UNION ALL SELECT '"&amp; RefDate &amp;"' AS REF_DATE, 'FRMT_B0200_C0581' AS COD_KPI, 'REGULAMENTAR' AS TIPOLOGIA_TESTE, 'O campo deve ser reportado com formato texto livre.' AS DESCRIÇÃO, 'BU_LOANTAPE_WORK.OUT_B0200_MAIN_LIABILITIES' AS TABELA, '0581_scrty_intrst_prvdr_lei' AS CAMPO, COUNT(*) AS NUM_REG, SUM(IF((`0581_scrty_intrst_prvdr_lei` RLIKE '[A-Za-z]' and `0581_scrty_intrst_prvdr_lei` NOT IN ('N/A','11111111111','11111111111.00','11111111111.000000','1111-11-11','0000-00-00','0001-01-01','9999-12-31','MISS','00000','99999999999','999999999999999','99999999999.00','99999999999.000000','-9999.9999','','XXX')) OR `0581_scrty_intrst_prvdr_lei` = 'Not applicable',0 ,1)) AS NUM_REG_DIF, GROUP_CONCAT(CASE WHEN (`0581_scrty_intrst_prvdr_lei` RLIKE '[A-Za-z]' and `0581_scrty_intrst_prvdr_lei` NOT IN ('N/A','11111111111','11111111111.00','11111111111.000000','1111-11-11','0000-00-00','0001-01-01','9999-12-31','MISS','00000','99999999999','999999999999999','99999999999.00','99999999999.000000','-9999.9999','','XXX')) OR `0581_scrty_intrst_prvdr_lei` = 'Not applicable' THEN NULL ELSE X.CHAVE_IT END, '; ') AS DETALHE FROM (SELECT *, 0020_UNIQ_ID AS CHAVE_IT, 0581_scrty_intrst_prvdr_lei AS CAMPO_IT FROM BU_LOANTAPE_WORK.OUT_B0200_MAIN_LIABILITIES WHERE REF_DATE='"&amp; RefDate &amp;"')X GROUP BY 1</v>
      </c>
    </row>
    <row r="150" spans="1:11" x14ac:dyDescent="0.3">
      <c r="A150" t="str">
        <f t="shared" si="17"/>
        <v>FRMT_B0200_C0590</v>
      </c>
      <c r="B150" t="s">
        <v>503</v>
      </c>
      <c r="C150" s="7">
        <v>0</v>
      </c>
      <c r="D150" t="s">
        <v>385</v>
      </c>
      <c r="E150" t="s">
        <v>648</v>
      </c>
      <c r="F150" t="s">
        <v>11</v>
      </c>
      <c r="G150" t="s">
        <v>381</v>
      </c>
      <c r="H150" t="s">
        <v>609</v>
      </c>
      <c r="I150" s="7">
        <f t="shared" si="15"/>
        <v>1</v>
      </c>
      <c r="J150" s="8" t="str">
        <f t="shared" si="16"/>
        <v>THEN NULL ELSE X.CHAVE_IT END</v>
      </c>
      <c r="K150" s="5" t="str">
        <f t="shared" si="14"/>
        <v>UNION ALL SELECT '"&amp; RefDate &amp;"' AS REF_DATE, 'FRMT_B0200_C0590' AS COD_KPI, 'REGULAMENTAR' AS TIPOLOGIA_TESTE, 'Os valores dos dropdowns devem ser respeitados.' AS DESCRIÇÃO, 'BU_LOANTAPE_WORK.OUT_B0200_MAIN_LIABILITIES' AS TABELA, '0590_typ_scrty_intrst_prvdd' AS CAMPO, COUNT(*) AS NUM_REG, SUM(IF(`0590_typ_scrty_intrst_prvdd` IN ('Lien', 'Guarantee', 'Surety', 'Guarantee obligation', 'Other', 'Not applicable', 'Aggregated'),0 ,1)) AS NUM_REG_DIF, GROUP_CONCAT(CASE WHEN `0590_typ_scrty_intrst_prvdd` IN ('Lien', 'Guarantee', 'Surety', 'Guarantee obligation', 'Other', 'Not applicable', 'Aggregated') THEN NULL ELSE X.CHAVE_IT END, '; ') AS DETALHE FROM (SELECT *, 0020_UNIQ_ID AS CHAVE_IT, 0590_typ_scrty_intrst_prvdd AS CAMPO_IT FROM BU_LOANTAPE_WORK.OUT_B0200_MAIN_LIABILITIES WHERE REF_DATE='"&amp; RefDate &amp;"')X GROUP BY 1</v>
      </c>
    </row>
    <row r="151" spans="1:11" x14ac:dyDescent="0.3">
      <c r="A151" t="str">
        <f t="shared" si="17"/>
        <v>FRMT_B0200_C0600</v>
      </c>
      <c r="B151" t="s">
        <v>611</v>
      </c>
      <c r="C151" s="7">
        <v>0</v>
      </c>
      <c r="D151" t="s">
        <v>384</v>
      </c>
      <c r="E151" t="s">
        <v>648</v>
      </c>
      <c r="F151" t="s">
        <v>11</v>
      </c>
      <c r="G151" t="s">
        <v>381</v>
      </c>
      <c r="H151" t="s">
        <v>610</v>
      </c>
      <c r="I151" s="7">
        <f t="shared" si="15"/>
        <v>1</v>
      </c>
      <c r="J151" s="8" t="str">
        <f t="shared" si="16"/>
        <v>THEN NULL ELSE X.CHAVE_IT END</v>
      </c>
      <c r="K151" s="5" t="str">
        <f t="shared" si="14"/>
        <v>UNION ALL SELECT '"&amp; RefDate &amp;"' AS REF_DATE, 'FRMT_B0200_C0600' AS COD_KPI, 'REGULAMENTAR' AS TIPOLOGIA_TESTE, 'O campo deve ser reportado usando TRUE ou FALSE.' AS DESCRIÇÃO, 'BU_LOANTAPE_WORK.OUT_B0200_MAIN_LIABILITIES' AS TABELA, '0600_flg_clltrl_asst_pstn' AS CAMPO, COUNT(*) AS NUM_REG, SUM(IF(`0600_flg_clltrl_asst_pstn` IN ('TRUE', 'FALSE', 'Not applicable'),0 ,1)) AS NUM_REG_DIF, GROUP_CONCAT(CASE WHEN `0600_flg_clltrl_asst_pstn` IN ('TRUE', 'FALSE', 'Not applicable') THEN NULL ELSE X.CHAVE_IT END, '; ') AS DETALHE FROM (SELECT *, 0020_UNIQ_ID AS CHAVE_IT, 0600_flg_clltrl_asst_pstn AS CAMPO_IT FROM BU_LOANTAPE_WORK.OUT_B0200_MAIN_LIABILITIES WHERE REF_DATE='"&amp; RefDate &amp;"')X GROUP BY 1</v>
      </c>
    </row>
    <row r="152" spans="1:11" x14ac:dyDescent="0.3">
      <c r="A152" t="str">
        <f t="shared" si="17"/>
        <v>FRMT_B0200_C0610</v>
      </c>
      <c r="B152" t="s">
        <v>455</v>
      </c>
      <c r="C152" s="7">
        <v>0</v>
      </c>
      <c r="D152" s="1" t="s">
        <v>386</v>
      </c>
      <c r="E152" t="s">
        <v>648</v>
      </c>
      <c r="F152" t="s">
        <v>11</v>
      </c>
      <c r="G152" t="s">
        <v>381</v>
      </c>
      <c r="H152" t="s">
        <v>612</v>
      </c>
      <c r="I152" s="7">
        <f t="shared" si="15"/>
        <v>1</v>
      </c>
      <c r="J152" s="8" t="str">
        <f t="shared" si="16"/>
        <v>THEN NULL ELSE X.CHAVE_IT END</v>
      </c>
      <c r="K152" s="5" t="str">
        <f t="shared" si="14"/>
        <v>UNION ALL SELECT '"&amp; RefDate &amp;"' AS REF_DATE, 'FRMT_B0200_C0610' AS COD_KPI, 'REGULAMENTAR' AS TIPOLOGIA_TESTE, 'O campo deve ser reportado com formato numérico com 2 casas decimais.' AS DESCRIÇÃO, 'BU_LOANTAPE_WORK.OUT_B0200_MAIN_LIABILITIES' AS TABELA, '0610_crryng_amnt_ifrs' AS CAMPO, COUNT(*) AS NUM_REG, SUM(IF(CAST(ROUND(`0610_crryng_amnt_ifrs`, 2) AS STRING) = CAST(`0610_crryng_amnt_ifrs` AS STRING) AND CAST(`0610_crryng_amnt_ifrs` AS STRING) NOT IN ('N/A','11111111111','11111111111.00','11111111111.000000','1111-11-11','0000-00-00','0001-01-01','9999-12-31','MISS','00000','99999999999','99999999999.00','99999999999.000000','-9999.9999','','Not applicable','XXX'),0 ,1)) AS NUM_REG_DIF, GROUP_CONCAT(CASE WHEN CAST(ROUND(`0610_crryng_amnt_ifrs`, 2) AS STRING) = CAST(`0610_crryng_amnt_ifrs` AS STRING) AND CAST(`0610_crryng_amnt_ifrs` AS STRING) NOT IN ('N/A','11111111111','11111111111.00','11111111111.000000','1111-11-11','0000-00-00','0001-01-01','9999-12-31','MISS','00000','99999999999','99999999999.00','99999999999.000000','-9999.9999','','Not applicable','XXX') THEN NULL ELSE X.CHAVE_IT END, '; ') AS DETALHE FROM (SELECT *, 0020_UNIQ_ID AS CHAVE_IT, 0610_crryng_amnt_ifrs AS CAMPO_IT FROM BU_LOANTAPE_WORK.OUT_B0200_MAIN_LIABILITIES WHERE REF_DATE='"&amp; RefDate &amp;"')X GROUP BY 1</v>
      </c>
    </row>
    <row r="153" spans="1:11" x14ac:dyDescent="0.3">
      <c r="A153" t="str">
        <f t="shared" si="17"/>
        <v>FRMT_B0200_C0620</v>
      </c>
      <c r="B153" t="s">
        <v>506</v>
      </c>
      <c r="C153" s="7">
        <v>0</v>
      </c>
      <c r="D153" t="s">
        <v>385</v>
      </c>
      <c r="E153" t="s">
        <v>648</v>
      </c>
      <c r="F153" t="s">
        <v>11</v>
      </c>
      <c r="G153" t="s">
        <v>381</v>
      </c>
      <c r="H153" t="s">
        <v>613</v>
      </c>
      <c r="I153" s="7">
        <f t="shared" si="15"/>
        <v>1</v>
      </c>
      <c r="J153" s="8" t="str">
        <f t="shared" si="16"/>
        <v>THEN NULL ELSE X.CHAVE_IT END</v>
      </c>
      <c r="K153" s="5" t="str">
        <f t="shared" si="14"/>
        <v>UNION ALL SELECT '"&amp; RefDate &amp;"' AS REF_DATE, 'FRMT_B0200_C0620' AS COD_KPI, 'REGULAMENTAR' AS TIPOLOGIA_TESTE, 'Os valores dos dropdowns devem ser respeitados.' AS DESCRIÇÃO, 'BU_LOANTAPE_WORK.OUT_B0200_MAIN_LIABILITIES' AS TABELA, '0620_blnc_sht_ifrs' AS CAMPO, COUNT(*) AS NUM_REG, SUM(IF(`0620_blnc_sht_ifrs` IN ('010 Financial liabilities held for trading', '070 Financial liabilities at fair value through profit or loss', '110 Financial liabilities at amortized cost', '280 Other liabilities', '300 Total equity'),0 ,1)) AS NUM_REG_DIF, GROUP_CONCAT(CASE WHEN `0620_blnc_sht_ifrs` IN ('010 Financial liabilities held for trading', '070 Financial liabilities at fair value through profit or loss', '110 Financial liabilities at amortized cost', '280 Other liabilities', '300 Total equity') THEN NULL ELSE X.CHAVE_IT END, '; ') AS DETALHE FROM (SELECT *, 0020_UNIQ_ID AS CHAVE_IT, 0620_blnc_sht_ifrs AS CAMPO_IT FROM BU_LOANTAPE_WORK.OUT_B0200_MAIN_LIABILITIES WHERE REF_DATE='"&amp; RefDate &amp;"')X GROUP BY 1</v>
      </c>
    </row>
    <row r="154" spans="1:11" x14ac:dyDescent="0.3">
      <c r="A154" t="str">
        <f t="shared" si="17"/>
        <v>FRMT_B0200_C0630</v>
      </c>
      <c r="B154" t="s">
        <v>615</v>
      </c>
      <c r="C154" s="7">
        <v>0</v>
      </c>
      <c r="D154" s="1" t="s">
        <v>386</v>
      </c>
      <c r="E154" t="s">
        <v>648</v>
      </c>
      <c r="F154" t="s">
        <v>11</v>
      </c>
      <c r="G154" t="s">
        <v>381</v>
      </c>
      <c r="H154" t="s">
        <v>614</v>
      </c>
      <c r="I154" s="7">
        <f t="shared" si="15"/>
        <v>1</v>
      </c>
      <c r="J154" s="8" t="str">
        <f t="shared" si="16"/>
        <v>THEN NULL ELSE X.CHAVE_IT END</v>
      </c>
      <c r="K154" s="5" t="str">
        <f t="shared" si="14"/>
        <v>UNION ALL SELECT '"&amp; RefDate &amp;"' AS REF_DATE, 'FRMT_B0200_C0630' AS COD_KPI, 'REGULAMENTAR' AS TIPOLOGIA_TESTE, 'O campo deve ser reportado com formato numérico com 2 casas decimais.' AS DESCRIÇÃO, 'BU_LOANTAPE_WORK.OUT_B0200_MAIN_LIABILITIES' AS TABELA, '0630_crrying_amnt_ngaap' AS CAMPO, COUNT(*) AS NUM_REG, SUM(IF(CAST(ROUND(`0630_crrying_amnt_ngaap`, 2) AS STRING) = CAST(`0630_crrying_amnt_ngaap` AS STRING) AND CAST(`0630_crrying_amnt_ngaap` AS STRING) NOT IN ('N/A','11111111111','11111111111.00','11111111111.000000','1111-11-11','0000-00-00','0001-01-01','9999-12-31','MISS','00000','99999999999','99999999999.00','99999999999.000000','-9999.9999','','Not applicable','XXX'),0 ,1)) AS NUM_REG_DIF, GROUP_CONCAT(CASE WHEN CAST(ROUND(`0630_crrying_amnt_ngaap`, 2) AS STRING) = CAST(`0630_crrying_amnt_ngaap` AS STRING) AND CAST(`0630_crrying_amnt_ngaap` AS STRING) NOT IN ('N/A','11111111111','11111111111.00','11111111111.000000','1111-11-11','0000-00-00','0001-01-01','9999-12-31','MISS','00000','99999999999','99999999999.00','99999999999.000000','-9999.9999','','Not applicable','XXX') THEN NULL ELSE X.CHAVE_IT END, '; ') AS DETALHE FROM (SELECT *, 0020_UNIQ_ID AS CHAVE_IT, 0630_crrying_amnt_ngaap AS CAMPO_IT FROM BU_LOANTAPE_WORK.OUT_B0200_MAIN_LIABILITIES WHERE REF_DATE='"&amp; RefDate &amp;"')X GROUP BY 1</v>
      </c>
    </row>
    <row r="155" spans="1:11" x14ac:dyDescent="0.3">
      <c r="A155" t="str">
        <f t="shared" si="17"/>
        <v>FRMT_B0200_C0640</v>
      </c>
      <c r="B155" t="s">
        <v>617</v>
      </c>
      <c r="C155" s="7">
        <v>0</v>
      </c>
      <c r="D155" s="1" t="s">
        <v>383</v>
      </c>
      <c r="E155" t="s">
        <v>648</v>
      </c>
      <c r="F155" t="s">
        <v>11</v>
      </c>
      <c r="G155" t="s">
        <v>381</v>
      </c>
      <c r="H155" t="s">
        <v>616</v>
      </c>
      <c r="I155" s="7">
        <f t="shared" si="15"/>
        <v>1</v>
      </c>
      <c r="J155" s="8" t="str">
        <f t="shared" si="16"/>
        <v>THEN NULL ELSE X.CHAVE_IT END</v>
      </c>
      <c r="K155" s="5" t="str">
        <f t="shared" si="14"/>
        <v>UNION ALL SELECT '"&amp; RefDate &amp;"' AS REF_DATE, 'FRMT_B0200_C0640' AS COD_KPI, 'REGULAMENTAR' AS TIPOLOGIA_TESTE, 'O campo deve ser reportado com formato texto livre.' AS DESCRIÇÃO, 'BU_LOANTAPE_WORK.OUT_B0200_MAIN_LIABILITIES' AS TABELA, '0640_blnc_sht_ngaap' AS CAMPO, COUNT(*) AS NUM_REG, SUM(IF(`0640_blnc_sht_ngaap` RLIKE '[A-Za-z]' and `0580_scrty_intrst_prvdr` NOT IN ('N/A','11111111111','11111111111.00','11111111111.000000','1111-11-11','0000-00-00','0001-01-01','9999-12-31','MISS','00000','99999999999','999999999999999','99999999999.00','99999999999.000000','-9999.9999','','Not applicable','XXX'),0 ,1)) AS NUM_REG_DIF, GROUP_CONCAT(CASE WHEN `0640_blnc_sht_ngaap` RLIKE '[A-Za-z]' and `0580_scrty_intrst_prvdr` NOT IN ('N/A','11111111111','11111111111.00','11111111111.000000','1111-11-11','0000-00-00','0001-01-01','9999-12-31','MISS','00000','99999999999','999999999999999','99999999999.00','99999999999.000000','-9999.9999','','Not applicable','XXX') THEN NULL ELSE X.CHAVE_IT END, '; ') AS DETALHE FROM (SELECT *, 0020_UNIQ_ID AS CHAVE_IT, 0640_blnc_sht_ngaap AS CAMPO_IT FROM BU_LOANTAPE_WORK.OUT_B0200_MAIN_LIABILITIES WHERE REF_DATE='"&amp; RefDate &amp;"')X GROUP BY 1</v>
      </c>
    </row>
    <row r="156" spans="1:11" x14ac:dyDescent="0.3">
      <c r="A156" t="str">
        <f t="shared" si="17"/>
        <v>FRMT_B0200_C5000</v>
      </c>
      <c r="B156" t="s">
        <v>457</v>
      </c>
      <c r="C156" s="7">
        <v>0</v>
      </c>
      <c r="D156" t="s">
        <v>384</v>
      </c>
      <c r="E156" t="s">
        <v>648</v>
      </c>
      <c r="F156" t="s">
        <v>11</v>
      </c>
      <c r="G156" t="s">
        <v>381</v>
      </c>
      <c r="H156" t="s">
        <v>618</v>
      </c>
      <c r="I156" s="7">
        <f t="shared" si="15"/>
        <v>1</v>
      </c>
      <c r="J156" s="8" t="str">
        <f t="shared" si="16"/>
        <v>THEN NULL ELSE X.CHAVE_IT END</v>
      </c>
      <c r="K156" s="5" t="str">
        <f t="shared" si="14"/>
        <v>UNION ALL SELECT '"&amp; RefDate &amp;"' AS REF_DATE, 'FRMT_B0200_C5000' AS COD_KPI, 'REGULAMENTAR' AS TIPOLOGIA_TESTE, 'O campo deve ser reportado usando TRUE ou FALSE.' AS DESCRIÇÃO, 'BU_LOANTAPE_WORK.OUT_B0200_MAIN_LIABILITIES' AS TABELA, '5000_flg_shrhldr_not_rsltn_grp' AS CAMPO, COUNT(*) AS NUM_REG, SUM(IF(`5000_flg_shrhldr_not_rsltn_grp` IN ('TRUE', 'FALSE'),0 ,1)) AS NUM_REG_DIF, GROUP_CONCAT(CASE WHEN `5000_flg_shrhldr_not_rsltn_grp` IN ('TRUE', 'FALSE') THEN NULL ELSE X.CHAVE_IT END, '; ') AS DETALHE FROM (SELECT *, 0020_UNIQ_ID AS CHAVE_IT, 5000_flg_shrhldr_not_rsltn_grp AS CAMPO_IT FROM BU_LOANTAPE_WORK.OUT_B0200_MAIN_LIABILITIES WHERE REF_DATE='"&amp; RefDate &amp;"')X GROUP BY 1</v>
      </c>
    </row>
    <row r="157" spans="1:11" x14ac:dyDescent="0.3">
      <c r="A157" t="str">
        <f t="shared" si="17"/>
        <v>FRMT_B0200_C5010</v>
      </c>
      <c r="B157" t="s">
        <v>458</v>
      </c>
      <c r="C157" s="7">
        <v>0</v>
      </c>
      <c r="D157" t="s">
        <v>384</v>
      </c>
      <c r="E157" t="s">
        <v>648</v>
      </c>
      <c r="F157" t="s">
        <v>11</v>
      </c>
      <c r="G157" t="s">
        <v>381</v>
      </c>
      <c r="H157" t="s">
        <v>619</v>
      </c>
      <c r="I157" s="7">
        <f t="shared" si="15"/>
        <v>1</v>
      </c>
      <c r="J157" s="8" t="str">
        <f t="shared" si="16"/>
        <v>THEN NULL ELSE X.CHAVE_IT END</v>
      </c>
      <c r="K157" s="5" t="str">
        <f t="shared" ref="K157" si="18">"UNION ALL SELECT '"&amp;E157&amp;"' AS REF_DATE, '"&amp;A157&amp;"' AS COD_KPI, '"&amp;F157&amp;"' AS TIPOLOGIA_TESTE, '"&amp;D157&amp;"' AS DESCRIÇÃO, '"&amp;G157&amp;"' AS TABELA, '"&amp;B157&amp;"' AS CAMPO, COUNT(*) AS NUM_REG, SUM(IF("&amp;H157&amp;","&amp;C157&amp;" ,"&amp;I157&amp;")) AS NUM_REG_DIF, GROUP_CONCAT(CASE WHEN "&amp;H157&amp;" "&amp;J157&amp;", '; ') AS DETALHE FROM (SELECT *, 0020_UNIQ_ID AS CHAVE_IT, "&amp;B157&amp;" AS CAMPO_IT FROM "&amp;G157&amp;" WHERE REF_DATE='"&amp;E157&amp;"')X GROUP BY 1"</f>
        <v>UNION ALL SELECT '"&amp; RefDate &amp;"' AS REF_DATE, 'FRMT_B0200_C5010' AS COD_KPI, 'REGULAMENTAR' AS TIPOLOGIA_TESTE, 'O campo deve ser reportado usando TRUE ou FALSE.' AS DESCRIÇÃO, 'BU_LOANTAPE_WORK.OUT_B0200_MAIN_LIABILITIES' AS TABELA, '5010_flg_art21_7a_srmr' AS CAMPO, COUNT(*) AS NUM_REG, SUM(IF(`5010_flg_art21_7a_srmr` IN ('TRUE', 'FALSE'),0 ,1)) AS NUM_REG_DIF, GROUP_CONCAT(CASE WHEN `5010_flg_art21_7a_srmr` IN ('TRUE', 'FALSE') THEN NULL ELSE X.CHAVE_IT END, '; ') AS DETALHE FROM (SELECT *, 0020_UNIQ_ID AS CHAVE_IT, 5010_flg_art21_7a_srmr AS CAMPO_IT FROM BU_LOANTAPE_WORK.OUT_B0200_MAIN_LIABILITIES WHERE REF_DATE='"&amp; RefDate &amp;"')X GROUP BY 1</v>
      </c>
    </row>
    <row r="158" spans="1:11" x14ac:dyDescent="0.3">
      <c r="A158" t="s">
        <v>296</v>
      </c>
      <c r="B158" t="s">
        <v>349</v>
      </c>
      <c r="C158" s="7">
        <v>1</v>
      </c>
      <c r="D158" s="1" t="str">
        <f>+VLOOKUP(A158,Descrição!A:K,11,FALSE)</f>
        <v>O campo deve ser reportado usando o código ISO 3166-1 alfa-2 ou 3166-2.</v>
      </c>
      <c r="E158" t="s">
        <v>648</v>
      </c>
      <c r="F158" t="s">
        <v>11</v>
      </c>
      <c r="G158" t="s">
        <v>347</v>
      </c>
      <c r="H158" t="s">
        <v>348</v>
      </c>
      <c r="I158" s="7">
        <f t="shared" si="15"/>
        <v>0</v>
      </c>
      <c r="J158" s="8" t="str">
        <f t="shared" si="16"/>
        <v>THEN X.CHAVE_IT ELSE NULL END</v>
      </c>
      <c r="K158" s="10" t="str">
        <f t="shared" ref="K158:K177" si="19">"UNION ALL SELECT '"&amp;E158&amp;"' AS REF_DATE, '"&amp;A158&amp;"' AS COD_KPI, '"&amp;F158&amp;"' AS TIPOLOGIA_TESTE, '"&amp;D158&amp;"' AS DESCRIÇÃO, '"&amp;G158&amp;"' AS TABELA, '"&amp;B158&amp;"' AS CAMPO, COUNT(*) AS NUM_REG, SUM(IF("&amp;H158&amp;","&amp;C158&amp;" ,"&amp;I158&amp;")) AS NUM_REG_DIF, GROUP_CONCAT(CASE WHEN "&amp;H158&amp;" "&amp;J158&amp;", '; ') AS DETALHE FROM (SELECT *, 0020_UNIQ_ID_GUARANTEE AS CHAVE_IT, "&amp;B158&amp;" AS CAMPO_IT FROM "&amp;G158&amp;" WHERE REF_DATE='"&amp;E158&amp;"')X GROUP BY 1"</f>
        <v>UNION ALL SELECT '"&amp; RefDate &amp;"' AS REF_DATE, 'v_2_0053' AS COD_KPI, 'REGULAMENTAR' AS TIPOLOGIA_TESTE, 'O campo deve ser reportado usando o código ISO 3166-1 alfa-2 ou 3166-2.' AS DESCRIÇÃO, 'BU_LOANTAPE_WORK.OUT_B0500_GUARANTEES' AS TABELA, '0030_governing_law' AS CAMPO, COUNT(*) AS NUM_REG, SUM(IF(`0030_governing_law` NOT IN ('AF','AX','AL','DZ','AS','AD','AO','AI','AQ','AG','AR','AM','AW','AU','AT','AZ','BS','BH','BD','BB','BY','BE','BZ','BJ','BM','BT','BO','BQ','BA','BW','BV','BR','IO','BN','BG','BF','BI','CV','KH','CM','CA','KY','CF','TD','CL','CN','CX','CC','CO','KM','CG','CD','CK','CR','CI','HR','CU','CW','CY','CZ','DK','DJ','DM','DO','EC','EG','SV','GQ','ER','EE','SZ','ET','FK','FO','FJ','FI','FR','GF','PF','TF','GA','GM','GE','DE','GH','GI','GR','GL','GD','GP','GU','GT','GG','GN','GW','GY','HT','HM','VA','HN','HK','HU','IS','IN','ID','IR','IQ','IE','IM','IL','IT','JM','JP','JE','JO','KZ','KE','KI','KP','KR','KW','KG','LA','LV','LB','LS','LR','LY','LI','LT','LU','MO','MG','MW','MY','MV','ML','MT','MH','MQ','MR','MU','YT','MX','FM','MD','MC','MN','ME','MS','MA','MZ','MM','NA','NR','NP','NL','NC','NZ','NI','NE','NG','NU','NF','MK','MP','NO','OM','PK','PW','PS','PA','PG','PY','PE','PH','PN','PL','PT','PR','QA','RE','RO','RU','RW','BL','SH','KN','LC','MF','PM','VC','WS','SM','ST','SA','SN','RS','SC','SL','SG','SX','SK','SI','SB','SO','ZA','GS','SS','ES','LK','SD','SR','SJ','SE','CH','SY','TW','TJ','TZ','TH','TL','TG','TK','TO','TT','TN','TR','TM','TC','TV','UG','UA','AE','GB','US','UM','UY','UZ','VU','VE','VN','VG','VI','WF','EH','YE','ZM','ZW'),1 ,0)) AS NUM_REG_DIF, GROUP_CONCAT(CASE WHEN `0030_governing_law` NOT IN ('AF','AX','AL','DZ','AS','AD','AO','AI','AQ','AG','AR','AM','AW','AU','AT','AZ','BS','BH','BD','BB','BY','BE','BZ','BJ','BM','BT','BO','BQ','BA','BW','BV','BR','IO','BN','BG','BF','BI','CV','KH','CM','CA','KY','CF','TD','CL','CN','CX','CC','CO','KM','CG','CD','CK','CR','CI','HR','CU','CW','CY','CZ','DK','DJ','DM','DO','EC','EG','SV','GQ','ER','EE','SZ','ET','FK','FO','FJ','FI','FR','GF','PF','TF','GA','GM','GE','DE','GH','GI','GR','GL','GD','GP','GU','GT','GG','GN','GW','GY','HT','HM','VA','HN','HK','HU','IS','IN','ID','IR','IQ','IE','IM','IL','IT','JM','JP','JE','JO','KZ','KE','KI','KP','KR','KW','KG','LA','LV','LB','LS','LR','LY','LI','LT','LU','MO','MG','MW','MY','MV','ML','MT','MH','MQ','MR','MU','YT','MX','FM','MD','MC','MN','ME','MS','MA','MZ','MM','NA','NR','NP','NL','NC','NZ','NI','NE','NG','NU','NF','MK','MP','NO','OM','PK','PW','PS','PA','PG','PY','PE','PH','PN','PL','PT','PR','QA','RE','RO','RU','RW','BL','SH','KN','LC','MF','PM','VC','WS','SM','ST','SA','SN','RS','SC','SL','SG','SX','SK','SI','SB','SO','ZA','GS','SS','ES','LK','SD','SR','SJ','SE','CH','SY','TW','TJ','TZ','TH','TL','TG','TK','TO','TT','TN','TR','TM','TC','TV','UG','UA','AE','GB','US','UM','UY','UZ','VU','VE','VN','VG','VI','WF','EH','YE','ZM','ZW') THEN X.CHAVE_IT ELSE NULL END, '; ') AS DETALHE FROM (SELECT *, 0020_UNIQ_ID_GUARANTEE AS CHAVE_IT, 0030_governing_law AS CAMPO_IT FROM BU_LOANTAPE_WORK.OUT_B0500_GUARANTEES WHERE REF_DATE='"&amp; RefDate &amp;"')X GROUP BY 1</v>
      </c>
    </row>
    <row r="159" spans="1:11" x14ac:dyDescent="0.3">
      <c r="A159" t="s">
        <v>299</v>
      </c>
      <c r="B159" t="s">
        <v>350</v>
      </c>
      <c r="C159" s="7">
        <v>1</v>
      </c>
      <c r="D159" s="1" t="str">
        <f>+VLOOKUP(A159,Descrição!A:K,11,FALSE)</f>
        <v>Os valores dos dropdowns devem ser respeitados.</v>
      </c>
      <c r="E159" t="s">
        <v>648</v>
      </c>
      <c r="F159" t="s">
        <v>11</v>
      </c>
      <c r="G159" t="s">
        <v>347</v>
      </c>
      <c r="H159" t="s">
        <v>351</v>
      </c>
      <c r="I159" s="7">
        <f t="shared" si="15"/>
        <v>0</v>
      </c>
      <c r="J159" s="8" t="str">
        <f t="shared" si="16"/>
        <v>THEN X.CHAVE_IT ELSE NULL END</v>
      </c>
      <c r="K159" s="10" t="str">
        <f t="shared" si="19"/>
        <v>UNION ALL SELECT '"&amp; RefDate &amp;"' AS REF_DATE, 'v_2_0054' AS COD_KPI, 'REGULAMENTAR' AS TIPOLOGIA_TESTE, 'Os valores dos dropdowns devem ser respeitados.' AS DESCRIÇÃO, 'BU_LOANTAPE_WORK.OUT_B0500_GUARANTEES' AS TABELA, '0050_typ_guarantee' AS CAMPO, COUNT(*) AS NUM_REG, SUM(IF(`0050_typ_guarantee` NOT IN ('Issuance', 'Counterparty', 'Unlimited', 'Other types of guarantee than issuance guarantees, counterparty guarantees and unlimited guarantees'),1 ,0)) AS NUM_REG_DIF, GROUP_CONCAT(CASE WHEN `0050_typ_guarantee` NOT IN ('Issuance', 'Counterparty', 'Unlimited', 'Other types of guarantee than issuance guarantees, counterparty guarantees and unlimited guarantees') THEN X.CHAVE_IT ELSE NULL END, '; ') AS DETALHE FROM (SELECT *, 0020_UNIQ_ID_GUARANTEE AS CHAVE_IT, 0050_typ_guarantee AS CAMPO_IT FROM BU_LOANTAPE_WORK.OUT_B0500_GUARANTEES WHERE REF_DATE='"&amp; RefDate &amp;"')X GROUP BY 1</v>
      </c>
    </row>
    <row r="160" spans="1:11" x14ac:dyDescent="0.3">
      <c r="A160" t="s">
        <v>303</v>
      </c>
      <c r="B160" t="s">
        <v>353</v>
      </c>
      <c r="C160" s="7">
        <v>1</v>
      </c>
      <c r="D160" s="1" t="str">
        <f>+VLOOKUP(A160,Descrição!A:K,11,FALSE)</f>
        <v>O valor declarado deve ser positivo ou zero.</v>
      </c>
      <c r="E160" t="s">
        <v>648</v>
      </c>
      <c r="F160" t="s">
        <v>11</v>
      </c>
      <c r="G160" t="s">
        <v>347</v>
      </c>
      <c r="H160" t="s">
        <v>352</v>
      </c>
      <c r="I160" s="7">
        <f t="shared" si="15"/>
        <v>0</v>
      </c>
      <c r="J160" s="8" t="str">
        <f t="shared" si="16"/>
        <v>THEN X.CHAVE_IT ELSE NULL END</v>
      </c>
      <c r="K160" s="10" t="str">
        <f t="shared" si="19"/>
        <v>UNION ALL SELECT '"&amp; RefDate &amp;"' AS REF_DATE, 'v_2_0055' AS COD_KPI, 'REGULAMENTAR' AS TIPOLOGIA_TESTE, 'O valor declarado deve ser positivo ou zero.' AS DESCRIÇÃO, 'BU_LOANTAPE_WORK.OUT_B0500_GUARANTEES' AS TABELA, '0060_max_amnt_guarantee' AS CAMPO, COUNT(*) AS NUM_REG, SUM(IF(`0060_max_amnt_guarantee` &lt; 0,1 ,0)) AS NUM_REG_DIF, GROUP_CONCAT(CASE WHEN `0060_max_amnt_guarantee` &lt; 0 THEN X.CHAVE_IT ELSE NULL END, '; ') AS DETALHE FROM (SELECT *, 0020_UNIQ_ID_GUARANTEE AS CHAVE_IT, 0060_max_amnt_guarantee AS CAMPO_IT FROM BU_LOANTAPE_WORK.OUT_B0500_GUARANTEES WHERE REF_DATE='"&amp; RefDate &amp;"')X GROUP BY 1</v>
      </c>
    </row>
    <row r="161" spans="1:11" x14ac:dyDescent="0.3">
      <c r="A161" t="s">
        <v>306</v>
      </c>
      <c r="B161" t="s">
        <v>355</v>
      </c>
      <c r="C161" s="7">
        <v>0</v>
      </c>
      <c r="D161" s="1" t="str">
        <f>+VLOOKUP(A161,Descrição!A:K,11,FALSE)</f>
        <v>Os valores dos dropdowns devem ser respeitados.</v>
      </c>
      <c r="E161" t="s">
        <v>648</v>
      </c>
      <c r="F161" t="s">
        <v>11</v>
      </c>
      <c r="G161" t="s">
        <v>347</v>
      </c>
      <c r="H161" t="s">
        <v>354</v>
      </c>
      <c r="I161" s="7">
        <f t="shared" si="15"/>
        <v>1</v>
      </c>
      <c r="J161" s="8" t="str">
        <f t="shared" si="16"/>
        <v>THEN NULL ELSE X.CHAVE_IT END</v>
      </c>
      <c r="K161" s="10" t="str">
        <f t="shared" si="19"/>
        <v>UNION ALL SELECT '"&amp; RefDate &amp;"' AS REF_DATE, 'v_2_0056' AS COD_KPI, 'REGULAMENTAR' AS TIPOLOGIA_TESTE, 'Os valores dos dropdowns devem ser respeitados.' AS DESCRIÇÃO, 'BU_LOANTAPE_WORK.OUT_B0500_GUARANTEES' AS TABELA, '0070_flg_scrd' AS CAMPO, COUNT(*) AS NUM_REG, SUM(IF(`0070_flg_scrd` IN ('Issuance', 'Counterparty', 'Unlimited', 'Other types of guarantee than issuance guarantees, counterparty guarantees and unlimited guarantees'),0 ,1)) AS NUM_REG_DIF, GROUP_CONCAT(CASE WHEN `0070_flg_scrd` IN ('Issuance', 'Counterparty', 'Unlimited', 'Other types of guarantee than issuance guarantees, counterparty guarantees and unlimited guarantees') THEN NULL ELSE X.CHAVE_IT END, '; ') AS DETALHE FROM (SELECT *, 0020_UNIQ_ID_GUARANTEE AS CHAVE_IT, 0070_flg_scrd AS CAMPO_IT FROM BU_LOANTAPE_WORK.OUT_B0500_GUARANTEES WHERE REF_DATE='"&amp; RefDate &amp;"')X GROUP BY 1</v>
      </c>
    </row>
    <row r="162" spans="1:11" x14ac:dyDescent="0.3">
      <c r="A162" t="s">
        <v>308</v>
      </c>
      <c r="B162" t="s">
        <v>357</v>
      </c>
      <c r="C162" s="7">
        <v>1</v>
      </c>
      <c r="D162" s="1" t="str">
        <f>+VLOOKUP(A162,Descrição!A:K,11,FALSE)</f>
        <v>O valor declarado deve ser positivo ou zero.</v>
      </c>
      <c r="E162" t="s">
        <v>648</v>
      </c>
      <c r="F162" t="s">
        <v>11</v>
      </c>
      <c r="G162" t="s">
        <v>347</v>
      </c>
      <c r="H162" t="s">
        <v>356</v>
      </c>
      <c r="I162" s="7">
        <f t="shared" ref="I162:I192" si="20">+IF(C162=1,0,1)</f>
        <v>0</v>
      </c>
      <c r="J162" s="8" t="str">
        <f t="shared" ref="J162:J192" si="21">+IF(C162=0,"THEN NULL ELSE X.CHAVE_IT END","THEN X.CHAVE_IT ELSE NULL END")</f>
        <v>THEN X.CHAVE_IT ELSE NULL END</v>
      </c>
      <c r="K162" s="10" t="str">
        <f t="shared" si="19"/>
        <v>UNION ALL SELECT '"&amp; RefDate &amp;"' AS REF_DATE, 'v_2_0057' AS COD_KPI, 'REGULAMENTAR' AS TIPOLOGIA_TESTE, 'O valor declarado deve ser positivo ou zero.' AS DESCRIÇÃO, 'BU_LOANTAPE_WORK.OUT_B0500_GUARANTEES' AS TABELA, '0080_amnt_clltrl' AS CAMPO, COUNT(*) AS NUM_REG, SUM(IF(`0080_amnt_clltrl` &lt; 0 AND `0070_flg_scrd` = 'Secured',1 ,0)) AS NUM_REG_DIF, GROUP_CONCAT(CASE WHEN `0080_amnt_clltrl` &lt; 0 AND `0070_flg_scrd` = 'Secured' THEN X.CHAVE_IT ELSE NULL END, '; ') AS DETALHE FROM (SELECT *, 0020_UNIQ_ID_GUARANTEE AS CHAVE_IT, 0080_amnt_clltrl AS CAMPO_IT FROM BU_LOANTAPE_WORK.OUT_B0500_GUARANTEES WHERE REF_DATE='"&amp; RefDate &amp;"')X GROUP BY 1</v>
      </c>
    </row>
    <row r="163" spans="1:11" x14ac:dyDescent="0.3">
      <c r="A163" t="str">
        <f t="shared" ref="A163:A177" si="22">"FRMT_"&amp;MID(G163,22,5)&amp;"_C"&amp;LEFT(B163,4)</f>
        <v>FRMT_B0500_C0010</v>
      </c>
      <c r="B163" t="s">
        <v>327</v>
      </c>
      <c r="C163" s="7">
        <v>1</v>
      </c>
      <c r="D163" s="1" t="s">
        <v>382</v>
      </c>
      <c r="E163" t="s">
        <v>648</v>
      </c>
      <c r="F163" t="s">
        <v>11</v>
      </c>
      <c r="G163" t="s">
        <v>347</v>
      </c>
      <c r="H163" t="s">
        <v>358</v>
      </c>
      <c r="I163" s="7">
        <f t="shared" si="20"/>
        <v>0</v>
      </c>
      <c r="J163" s="8" t="str">
        <f t="shared" si="21"/>
        <v>THEN X.CHAVE_IT ELSE NULL END</v>
      </c>
      <c r="K163" s="10" t="str">
        <f t="shared" si="19"/>
        <v>UNION ALL SELECT '"&amp; RefDate &amp;"' AS REF_DATE, 'FRMT_B0500_C0010' AS COD_KPI, 'REGULAMENTAR' AS TIPOLOGIA_TESTE, 'O campo deve ser reportado com formato numérico inteiro.' AS DESCRIÇÃO, 'BU_LOANTAPE_WORK.OUT_B0500_GUARANTEES' AS TABELA, '0010_row_nmbr' AS CAMPO, COUNT(*) AS NUM_REG, SUM(IF(CAST(`0010_row_nmbr` AS STRING) NOT RLIKE '^[0-9]+$',1 ,0)) AS NUM_REG_DIF, GROUP_CONCAT(CASE WHEN CAST(`0010_row_nmbr` AS STRING) NOT RLIKE '^[0-9]+$' THEN X.CHAVE_IT ELSE NULL END, '; ') AS DETALHE FROM (SELECT *, 0020_UNIQ_ID_GUARANTEE AS CHAVE_IT, 0010_row_nmbr AS CAMPO_IT FROM BU_LOANTAPE_WORK.OUT_B0500_GUARANTEES WHERE REF_DATE='"&amp; RefDate &amp;"')X GROUP BY 1</v>
      </c>
    </row>
    <row r="164" spans="1:11" x14ac:dyDescent="0.3">
      <c r="A164" t="str">
        <f t="shared" si="22"/>
        <v>FRMT_B0500_C0020</v>
      </c>
      <c r="B164" t="s">
        <v>360</v>
      </c>
      <c r="C164" s="7">
        <v>1</v>
      </c>
      <c r="D164" s="1" t="s">
        <v>383</v>
      </c>
      <c r="E164" t="s">
        <v>648</v>
      </c>
      <c r="F164" t="s">
        <v>11</v>
      </c>
      <c r="G164" t="s">
        <v>347</v>
      </c>
      <c r="H164" t="s">
        <v>359</v>
      </c>
      <c r="I164" s="7">
        <f t="shared" si="20"/>
        <v>0</v>
      </c>
      <c r="J164" s="8" t="str">
        <f t="shared" si="21"/>
        <v>THEN X.CHAVE_IT ELSE NULL END</v>
      </c>
      <c r="K164" s="10" t="str">
        <f t="shared" si="19"/>
        <v>UNION ALL SELECT '"&amp; RefDate &amp;"' AS REF_DATE, 'FRMT_B0500_C0020' AS COD_KPI, 'REGULAMENTAR' AS TIPOLOGIA_TESTE, 'O campo deve ser reportado com formato texto livre.' AS DESCRIÇÃO, 'BU_LOANTAPE_WORK.OUT_B0500_GUARANTEES' AS TABELA, '0020_uniq_id_guarantee' AS CAMPO, COUNT(*) AS NUM_REG, SUM(IF(`0020_uniq_id_guarantee` NOT RLIKE '[A-Za-z]',1 ,0)) AS NUM_REG_DIF, GROUP_CONCAT(CASE WHEN `0020_uniq_id_guarantee` NOT RLIKE '[A-Za-z]' THEN X.CHAVE_IT ELSE NULL END, '; ') AS DETALHE FROM (SELECT *, 0020_UNIQ_ID_GUARANTEE AS CHAVE_IT, 0020_uniq_id_guarantee AS CAMPO_IT FROM BU_LOANTAPE_WORK.OUT_B0500_GUARANTEES WHERE REF_DATE='"&amp; RefDate &amp;"')X GROUP BY 1</v>
      </c>
    </row>
    <row r="165" spans="1:11" x14ac:dyDescent="0.3">
      <c r="A165" t="str">
        <f t="shared" si="22"/>
        <v>FRMT_B0500_C0030</v>
      </c>
      <c r="B165" t="s">
        <v>349</v>
      </c>
      <c r="C165" s="7">
        <v>1</v>
      </c>
      <c r="D165" t="s">
        <v>344</v>
      </c>
      <c r="E165" t="s">
        <v>648</v>
      </c>
      <c r="F165" t="s">
        <v>11</v>
      </c>
      <c r="G165" t="s">
        <v>347</v>
      </c>
      <c r="H165" t="s">
        <v>361</v>
      </c>
      <c r="I165" s="7">
        <f t="shared" si="20"/>
        <v>0</v>
      </c>
      <c r="J165" s="8" t="str">
        <f t="shared" si="21"/>
        <v>THEN X.CHAVE_IT ELSE NULL END</v>
      </c>
      <c r="K165" s="10" t="str">
        <f t="shared" si="19"/>
        <v>UNION ALL SELECT '"&amp; RefDate &amp;"' AS REF_DATE, 'FRMT_B0500_C0030' AS COD_KPI, 'REGULAMENTAR' AS TIPOLOGIA_TESTE, 'O campo deve ser reportado usando o código ISO 3166-1 alpha-2.' AS DESCRIÇÃO, 'BU_LOANTAPE_WORK.OUT_B0500_GUARANTEES' AS TABELA, '0030_governing_law' AS CAMPO, COUNT(*) AS NUM_REG, SUM(IF(LENGTH(`0030_governing_law`) != 2,1 ,0)) AS NUM_REG_DIF, GROUP_CONCAT(CASE WHEN LENGTH(`0030_governing_law`) != 2 THEN X.CHAVE_IT ELSE NULL END, '; ') AS DETALHE FROM (SELECT *, 0020_UNIQ_ID_GUARANTEE AS CHAVE_IT, 0030_governing_law AS CAMPO_IT FROM BU_LOANTAPE_WORK.OUT_B0500_GUARANTEES WHERE REF_DATE='"&amp; RefDate &amp;"')X GROUP BY 1</v>
      </c>
    </row>
    <row r="166" spans="1:11" x14ac:dyDescent="0.3">
      <c r="A166" t="str">
        <f t="shared" si="22"/>
        <v>FRMT_B0500_C0040</v>
      </c>
      <c r="B166" t="s">
        <v>363</v>
      </c>
      <c r="C166" s="7">
        <v>1</v>
      </c>
      <c r="D166" t="s">
        <v>384</v>
      </c>
      <c r="E166" t="s">
        <v>648</v>
      </c>
      <c r="F166" t="s">
        <v>11</v>
      </c>
      <c r="G166" t="s">
        <v>347</v>
      </c>
      <c r="H166" t="s">
        <v>362</v>
      </c>
      <c r="I166" s="7">
        <f t="shared" si="20"/>
        <v>0</v>
      </c>
      <c r="J166" s="8" t="str">
        <f t="shared" si="21"/>
        <v>THEN X.CHAVE_IT ELSE NULL END</v>
      </c>
      <c r="K166" s="10" t="str">
        <f t="shared" si="19"/>
        <v>UNION ALL SELECT '"&amp; RefDate &amp;"' AS REF_DATE, 'FRMT_B0500_C0040' AS COD_KPI, 'REGULAMENTAR' AS TIPOLOGIA_TESTE, 'O campo deve ser reportado usando TRUE ou FALSE.' AS DESCRIÇÃO, 'BU_LOANTAPE_WORK.OUT_B0500_GUARANTEES' AS TABELA, '0040_flg_art12g_3_srmr' AS CAMPO, COUNT(*) AS NUM_REG, SUM(IF(`0040_flg_art12g_3_srmr` NOT IN ('TRUE', 'FALSE'),1 ,0)) AS NUM_REG_DIF, GROUP_CONCAT(CASE WHEN `0040_flg_art12g_3_srmr` NOT IN ('TRUE', 'FALSE') THEN X.CHAVE_IT ELSE NULL END, '; ') AS DETALHE FROM (SELECT *, 0020_UNIQ_ID_GUARANTEE AS CHAVE_IT, 0040_flg_art12g_3_srmr AS CAMPO_IT FROM BU_LOANTAPE_WORK.OUT_B0500_GUARANTEES WHERE REF_DATE='"&amp; RefDate &amp;"')X GROUP BY 1</v>
      </c>
    </row>
    <row r="167" spans="1:11" x14ac:dyDescent="0.3">
      <c r="A167" t="str">
        <f t="shared" si="22"/>
        <v>FRMT_B0500_C0050</v>
      </c>
      <c r="B167" t="s">
        <v>350</v>
      </c>
      <c r="C167" s="7">
        <v>1</v>
      </c>
      <c r="D167" t="s">
        <v>385</v>
      </c>
      <c r="E167" t="s">
        <v>648</v>
      </c>
      <c r="F167" t="s">
        <v>11</v>
      </c>
      <c r="G167" t="s">
        <v>347</v>
      </c>
      <c r="H167" t="s">
        <v>351</v>
      </c>
      <c r="I167" s="7">
        <f t="shared" si="20"/>
        <v>0</v>
      </c>
      <c r="J167" s="8" t="str">
        <f t="shared" si="21"/>
        <v>THEN X.CHAVE_IT ELSE NULL END</v>
      </c>
      <c r="K167" s="10" t="str">
        <f t="shared" si="19"/>
        <v>UNION ALL SELECT '"&amp; RefDate &amp;"' AS REF_DATE, 'FRMT_B0500_C0050' AS COD_KPI, 'REGULAMENTAR' AS TIPOLOGIA_TESTE, 'Os valores dos dropdowns devem ser respeitados.' AS DESCRIÇÃO, 'BU_LOANTAPE_WORK.OUT_B0500_GUARANTEES' AS TABELA, '0050_typ_guarantee' AS CAMPO, COUNT(*) AS NUM_REG, SUM(IF(`0050_typ_guarantee` NOT IN ('Issuance', 'Counterparty', 'Unlimited', 'Other types of guarantee than issuance guarantees, counterparty guarantees and unlimited guarantees'),1 ,0)) AS NUM_REG_DIF, GROUP_CONCAT(CASE WHEN `0050_typ_guarantee` NOT IN ('Issuance', 'Counterparty', 'Unlimited', 'Other types of guarantee than issuance guarantees, counterparty guarantees and unlimited guarantees') THEN X.CHAVE_IT ELSE NULL END, '; ') AS DETALHE FROM (SELECT *, 0020_UNIQ_ID_GUARANTEE AS CHAVE_IT, 0050_typ_guarantee AS CAMPO_IT FROM BU_LOANTAPE_WORK.OUT_B0500_GUARANTEES WHERE REF_DATE='"&amp; RefDate &amp;"')X GROUP BY 1</v>
      </c>
    </row>
    <row r="168" spans="1:11" x14ac:dyDescent="0.3">
      <c r="A168" t="str">
        <f t="shared" si="22"/>
        <v>FRMT_B0500_C0060</v>
      </c>
      <c r="B168" t="s">
        <v>353</v>
      </c>
      <c r="C168" s="7">
        <v>1</v>
      </c>
      <c r="D168" s="1" t="s">
        <v>386</v>
      </c>
      <c r="E168" t="s">
        <v>648</v>
      </c>
      <c r="F168" t="s">
        <v>11</v>
      </c>
      <c r="G168" t="s">
        <v>347</v>
      </c>
      <c r="H168" t="s">
        <v>364</v>
      </c>
      <c r="I168" s="7">
        <f t="shared" si="20"/>
        <v>0</v>
      </c>
      <c r="J168" s="8" t="str">
        <f t="shared" si="21"/>
        <v>THEN X.CHAVE_IT ELSE NULL END</v>
      </c>
      <c r="K168" s="10" t="str">
        <f t="shared" si="19"/>
        <v>UNION ALL SELECT '"&amp; RefDate &amp;"' AS REF_DATE, 'FRMT_B0500_C0060' AS COD_KPI, 'REGULAMENTAR' AS TIPOLOGIA_TESTE, 'O campo deve ser reportado com formato numérico com 2 casas decimais.' AS DESCRIÇÃO, 'BU_LOANTAPE_WORK.OUT_B0500_GUARANTEES' AS TABELA, '0060_max_amnt_guarantee' AS CAMPO, COUNT(*) AS NUM_REG, SUM(IF( CAST(ROUND(`0060_max_amnt_guarantee`, 2) AS STRING) != CAST(`0060_max_amnt_guarantee` AS STRING),1 ,0)) AS NUM_REG_DIF, GROUP_CONCAT(CASE WHEN  CAST(ROUND(`0060_max_amnt_guarantee`, 2) AS STRING) != CAST(`0060_max_amnt_guarantee` AS STRING) THEN X.CHAVE_IT ELSE NULL END, '; ') AS DETALHE FROM (SELECT *, 0020_UNIQ_ID_GUARANTEE AS CHAVE_IT, 0060_max_amnt_guarantee AS CAMPO_IT FROM BU_LOANTAPE_WORK.OUT_B0500_GUARANTEES WHERE REF_DATE='"&amp; RefDate &amp;"')X GROUP BY 1</v>
      </c>
    </row>
    <row r="169" spans="1:11" x14ac:dyDescent="0.3">
      <c r="A169" t="str">
        <f t="shared" si="22"/>
        <v>FRMT_B0500_C0070</v>
      </c>
      <c r="B169" t="s">
        <v>355</v>
      </c>
      <c r="C169" s="7">
        <v>1</v>
      </c>
      <c r="D169" t="s">
        <v>385</v>
      </c>
      <c r="E169" t="s">
        <v>648</v>
      </c>
      <c r="F169" t="s">
        <v>11</v>
      </c>
      <c r="G169" t="s">
        <v>347</v>
      </c>
      <c r="H169" t="s">
        <v>365</v>
      </c>
      <c r="I169" s="7">
        <f t="shared" si="20"/>
        <v>0</v>
      </c>
      <c r="J169" s="8" t="str">
        <f t="shared" si="21"/>
        <v>THEN X.CHAVE_IT ELSE NULL END</v>
      </c>
      <c r="K169" s="10" t="str">
        <f t="shared" si="19"/>
        <v>UNION ALL SELECT '"&amp; RefDate &amp;"' AS REF_DATE, 'FRMT_B0500_C0070' AS COD_KPI, 'REGULAMENTAR' AS TIPOLOGIA_TESTE, 'Os valores dos dropdowns devem ser respeitados.' AS DESCRIÇÃO, 'BU_LOANTAPE_WORK.OUT_B0500_GUARANTEES' AS TABELA, '0070_flg_scrd' AS CAMPO, COUNT(*) AS NUM_REG, SUM(IF(`0070_flg_scrd` NOT IN ('Secured', 'Unsecured'),1 ,0)) AS NUM_REG_DIF, GROUP_CONCAT(CASE WHEN `0070_flg_scrd` NOT IN ('Secured', 'Unsecured') THEN X.CHAVE_IT ELSE NULL END, '; ') AS DETALHE FROM (SELECT *, 0020_UNIQ_ID_GUARANTEE AS CHAVE_IT, 0070_flg_scrd AS CAMPO_IT FROM BU_LOANTAPE_WORK.OUT_B0500_GUARANTEES WHERE REF_DATE='"&amp; RefDate &amp;"')X GROUP BY 1</v>
      </c>
    </row>
    <row r="170" spans="1:11" x14ac:dyDescent="0.3">
      <c r="A170" t="str">
        <f t="shared" si="22"/>
        <v>FRMT_B0500_C0080</v>
      </c>
      <c r="B170" t="s">
        <v>357</v>
      </c>
      <c r="C170" s="7">
        <v>1</v>
      </c>
      <c r="D170" s="1" t="s">
        <v>386</v>
      </c>
      <c r="E170" t="s">
        <v>648</v>
      </c>
      <c r="F170" t="s">
        <v>11</v>
      </c>
      <c r="G170" t="s">
        <v>347</v>
      </c>
      <c r="H170" t="s">
        <v>366</v>
      </c>
      <c r="I170" s="7">
        <f t="shared" si="20"/>
        <v>0</v>
      </c>
      <c r="J170" s="8" t="str">
        <f t="shared" si="21"/>
        <v>THEN X.CHAVE_IT ELSE NULL END</v>
      </c>
      <c r="K170" s="10" t="str">
        <f t="shared" si="19"/>
        <v>UNION ALL SELECT '"&amp; RefDate &amp;"' AS REF_DATE, 'FRMT_B0500_C0080' AS COD_KPI, 'REGULAMENTAR' AS TIPOLOGIA_TESTE, 'O campo deve ser reportado com formato numérico com 2 casas decimais.' AS DESCRIÇÃO, 'BU_LOANTAPE_WORK.OUT_B0500_GUARANTEES' AS TABELA, '0080_amnt_clltrl' AS CAMPO, COUNT(*) AS NUM_REG, SUM(IF(CAST(ROUND(`0080_amnt_clltrl`, 2) AS STRING) != CAST(`0080_amnt_clltrl` AS STRING),1 ,0)) AS NUM_REG_DIF, GROUP_CONCAT(CASE WHEN CAST(ROUND(`0080_amnt_clltrl`, 2) AS STRING) != CAST(`0080_amnt_clltrl` AS STRING) THEN X.CHAVE_IT ELSE NULL END, '; ') AS DETALHE FROM (SELECT *, 0020_UNIQ_ID_GUARANTEE AS CHAVE_IT, 0080_amnt_clltrl AS CAMPO_IT FROM BU_LOANTAPE_WORK.OUT_B0500_GUARANTEES WHERE REF_DATE='"&amp; RefDate &amp;"')X GROUP BY 1</v>
      </c>
    </row>
    <row r="171" spans="1:11" x14ac:dyDescent="0.3">
      <c r="A171" t="str">
        <f t="shared" si="22"/>
        <v>FRMT_B0500_C0090</v>
      </c>
      <c r="B171" t="s">
        <v>368</v>
      </c>
      <c r="C171" s="7">
        <v>1</v>
      </c>
      <c r="D171" t="s">
        <v>675</v>
      </c>
      <c r="E171" t="s">
        <v>648</v>
      </c>
      <c r="F171" t="s">
        <v>11</v>
      </c>
      <c r="G171" t="s">
        <v>347</v>
      </c>
      <c r="H171" t="s">
        <v>367</v>
      </c>
      <c r="I171" s="7">
        <f t="shared" si="20"/>
        <v>0</v>
      </c>
      <c r="J171" s="8" t="str">
        <f t="shared" si="21"/>
        <v>THEN X.CHAVE_IT ELSE NULL END</v>
      </c>
      <c r="K171" s="10" t="str">
        <f t="shared" si="19"/>
        <v>UNION ALL SELECT '"&amp; RefDate &amp;"' AS REF_DATE, 'FRMT_B0500_C0090' AS COD_KPI, 'REGULAMENTAR' AS TIPOLOGIA_TESTE, 'O campo deve ser reportado usando o valor fixo Default.' AS DESCRIÇÃO, 'BU_LOANTAPE_WORK.OUT_B0500_GUARANTEES' AS TABELA, '0090_guarantee_trggr' AS CAMPO, COUNT(*) AS NUM_REG, SUM(IF(`0090_guarantee_trggr` != 'Default',1 ,0)) AS NUM_REG_DIF, GROUP_CONCAT(CASE WHEN `0090_guarantee_trggr` != 'Default' THEN X.CHAVE_IT ELSE NULL END, '; ') AS DETALHE FROM (SELECT *, 0020_UNIQ_ID_GUARANTEE AS CHAVE_IT, 0090_guarantee_trggr AS CAMPO_IT FROM BU_LOANTAPE_WORK.OUT_B0500_GUARANTEES WHERE REF_DATE='"&amp; RefDate &amp;"')X GROUP BY 1</v>
      </c>
    </row>
    <row r="172" spans="1:11" x14ac:dyDescent="0.3">
      <c r="A172" t="str">
        <f t="shared" si="22"/>
        <v>FRMT_B0500_C0100</v>
      </c>
      <c r="B172" t="s">
        <v>370</v>
      </c>
      <c r="C172" s="7">
        <v>1</v>
      </c>
      <c r="D172" s="1" t="s">
        <v>387</v>
      </c>
      <c r="E172" t="s">
        <v>648</v>
      </c>
      <c r="F172" t="s">
        <v>11</v>
      </c>
      <c r="G172" t="s">
        <v>347</v>
      </c>
      <c r="H172" t="s">
        <v>369</v>
      </c>
      <c r="I172" s="7">
        <f t="shared" si="20"/>
        <v>0</v>
      </c>
      <c r="J172" s="8" t="str">
        <f t="shared" si="21"/>
        <v>THEN X.CHAVE_IT ELSE NULL END</v>
      </c>
      <c r="K172" s="10" t="str">
        <f t="shared" si="19"/>
        <v>UNION ALL SELECT '"&amp; RefDate &amp;"' AS REF_DATE, 'FRMT_B0500_C0100' AS COD_KPI, 'REGULAMENTAR' AS TIPOLOGIA_TESTE, 'O campo deve ser reportado com formato yyyy-mm-dd.' AS DESCRIÇÃO, 'BU_LOANTAPE_WORK.OUT_B0500_GUARANTEES' AS TABELA, '0100_dt_mtrty_clltrl' AS CAMPO, COUNT(*) AS NUM_REG, SUM(IF(`0100_dt_mtrty_clltrl` NOT REGEXP '^[0-9]{4}-[0-9]{2}-[0-9]{2}$' ,1 ,0)) AS NUM_REG_DIF, GROUP_CONCAT(CASE WHEN `0100_dt_mtrty_clltrl` NOT REGEXP '^[0-9]{4}-[0-9]{2}-[0-9]{2}$'  THEN X.CHAVE_IT ELSE NULL END, '; ') AS DETALHE FROM (SELECT *, 0020_UNIQ_ID_GUARANTEE AS CHAVE_IT, 0100_dt_mtrty_clltrl AS CAMPO_IT FROM BU_LOANTAPE_WORK.OUT_B0500_GUARANTEES WHERE REF_DATE='"&amp; RefDate &amp;"')X GROUP BY 1</v>
      </c>
    </row>
    <row r="173" spans="1:11" x14ac:dyDescent="0.3">
      <c r="A173" t="str">
        <f t="shared" si="22"/>
        <v>FRMT_B0500_C0110</v>
      </c>
      <c r="B173" t="s">
        <v>372</v>
      </c>
      <c r="C173" s="7">
        <v>1</v>
      </c>
      <c r="D173" s="1" t="s">
        <v>383</v>
      </c>
      <c r="E173" t="s">
        <v>648</v>
      </c>
      <c r="F173" t="s">
        <v>11</v>
      </c>
      <c r="G173" t="s">
        <v>347</v>
      </c>
      <c r="H173" t="s">
        <v>371</v>
      </c>
      <c r="I173" s="7">
        <f t="shared" si="20"/>
        <v>0</v>
      </c>
      <c r="J173" s="8" t="str">
        <f t="shared" si="21"/>
        <v>THEN X.CHAVE_IT ELSE NULL END</v>
      </c>
      <c r="K173" s="10" t="str">
        <f t="shared" si="19"/>
        <v>UNION ALL SELECT '"&amp; RefDate &amp;"' AS REF_DATE, 'FRMT_B0500_C0110' AS COD_KPI, 'REGULAMENTAR' AS TIPOLOGIA_TESTE, 'O campo deve ser reportado com formato texto livre.' AS DESCRIÇÃO, 'BU_LOANTAPE_WORK.OUT_B0500_GUARANTEES' AS TABELA, '0110_scrts_clltrl_id' AS CAMPO, COUNT(*) AS NUM_REG, SUM(IF(`0110_scrts_clltrl_id` NOT RLIKE '[A-Za-z]',1 ,0)) AS NUM_REG_DIF, GROUP_CONCAT(CASE WHEN `0110_scrts_clltrl_id` NOT RLIKE '[A-Za-z]' THEN X.CHAVE_IT ELSE NULL END, '; ') AS DETALHE FROM (SELECT *, 0020_UNIQ_ID_GUARANTEE AS CHAVE_IT, 0110_scrts_clltrl_id AS CAMPO_IT FROM BU_LOANTAPE_WORK.OUT_B0500_GUARANTEES WHERE REF_DATE='"&amp; RefDate &amp;"')X GROUP BY 1</v>
      </c>
    </row>
    <row r="174" spans="1:11" x14ac:dyDescent="0.3">
      <c r="A174" t="str">
        <f t="shared" si="22"/>
        <v>FRMT_B0500_C0120</v>
      </c>
      <c r="B174" t="s">
        <v>374</v>
      </c>
      <c r="C174" s="7">
        <v>1</v>
      </c>
      <c r="D174" s="1" t="s">
        <v>383</v>
      </c>
      <c r="E174" t="s">
        <v>648</v>
      </c>
      <c r="F174" t="s">
        <v>11</v>
      </c>
      <c r="G174" t="s">
        <v>347</v>
      </c>
      <c r="H174" t="s">
        <v>373</v>
      </c>
      <c r="I174" s="7">
        <f t="shared" si="20"/>
        <v>0</v>
      </c>
      <c r="J174" s="8" t="str">
        <f t="shared" si="21"/>
        <v>THEN X.CHAVE_IT ELSE NULL END</v>
      </c>
      <c r="K174" s="10" t="str">
        <f t="shared" si="19"/>
        <v>UNION ALL SELECT '"&amp; RefDate &amp;"' AS REF_DATE, 'FRMT_B0500_C0120' AS COD_KPI, 'REGULAMENTAR' AS TIPOLOGIA_TESTE, 'O campo deve ser reportado com formato texto livre.' AS DESCRIÇÃO, 'BU_LOANTAPE_WORK.OUT_B0500_GUARANTEES' AS TABELA, '0120_typ_clltrlztn' AS CAMPO, COUNT(*) AS NUM_REG, SUM(IF(`0120_typ_clltrlztn` NOT RLIKE '[A-Za-z]',1 ,0)) AS NUM_REG_DIF, GROUP_CONCAT(CASE WHEN `0120_typ_clltrlztn` NOT RLIKE '[A-Za-z]' THEN X.CHAVE_IT ELSE NULL END, '; ') AS DETALHE FROM (SELECT *, 0020_UNIQ_ID_GUARANTEE AS CHAVE_IT, 0120_typ_clltrlztn AS CAMPO_IT FROM BU_LOANTAPE_WORK.OUT_B0500_GUARANTEES WHERE REF_DATE='"&amp; RefDate &amp;"')X GROUP BY 1</v>
      </c>
    </row>
    <row r="175" spans="1:11" x14ac:dyDescent="0.3">
      <c r="A175" t="str">
        <f t="shared" si="22"/>
        <v>FRMT_B0500_C0130</v>
      </c>
      <c r="B175" t="s">
        <v>376</v>
      </c>
      <c r="C175" s="7">
        <v>1</v>
      </c>
      <c r="D175" t="s">
        <v>385</v>
      </c>
      <c r="E175" t="s">
        <v>648</v>
      </c>
      <c r="F175" t="s">
        <v>11</v>
      </c>
      <c r="G175" t="s">
        <v>347</v>
      </c>
      <c r="H175" t="s">
        <v>375</v>
      </c>
      <c r="I175" s="7">
        <f t="shared" si="20"/>
        <v>0</v>
      </c>
      <c r="J175" s="8" t="str">
        <f t="shared" si="21"/>
        <v>THEN X.CHAVE_IT ELSE NULL END</v>
      </c>
      <c r="K175" s="10" t="str">
        <f t="shared" si="19"/>
        <v>UNION ALL SELECT '"&amp; RefDate &amp;"' AS REF_DATE, 'FRMT_B0500_C0130' AS COD_KPI, 'REGULAMENTAR' AS TIPOLOGIA_TESTE, 'Os valores dos dropdowns devem ser respeitados.' AS DESCRIÇÃO, 'BU_LOANTAPE_WORK.OUT_B0500_GUARANTEES' AS TABELA, '0130_typ_prtctn_vl' AS CAMPO, COUNT(*) AS NUM_REG, SUM(IF(`0130_typ_prtctn_vl` NOT IN ('Notional amount', 'Fair value','Market value','Long-term sustainable value','Other protection value') ,1 ,0)) AS NUM_REG_DIF, GROUP_CONCAT(CASE WHEN `0130_typ_prtctn_vl` NOT IN ('Notional amount', 'Fair value','Market value','Long-term sustainable value','Other protection value')  THEN X.CHAVE_IT ELSE NULL END, '; ') AS DETALHE FROM (SELECT *, 0020_UNIQ_ID_GUARANTEE AS CHAVE_IT, 0130_typ_prtctn_vl AS CAMPO_IT FROM BU_LOANTAPE_WORK.OUT_B0500_GUARANTEES WHERE REF_DATE='"&amp; RefDate &amp;"')X GROUP BY 1</v>
      </c>
    </row>
    <row r="176" spans="1:11" x14ac:dyDescent="0.3">
      <c r="A176" t="str">
        <f t="shared" si="22"/>
        <v>FRMT_B0500_C0140</v>
      </c>
      <c r="B176" t="s">
        <v>378</v>
      </c>
      <c r="C176" s="7">
        <v>1</v>
      </c>
      <c r="D176" s="1" t="s">
        <v>387</v>
      </c>
      <c r="E176" t="s">
        <v>648</v>
      </c>
      <c r="F176" t="s">
        <v>11</v>
      </c>
      <c r="G176" t="s">
        <v>347</v>
      </c>
      <c r="H176" t="s">
        <v>377</v>
      </c>
      <c r="I176" s="7">
        <f t="shared" si="20"/>
        <v>0</v>
      </c>
      <c r="J176" s="8" t="str">
        <f t="shared" si="21"/>
        <v>THEN X.CHAVE_IT ELSE NULL END</v>
      </c>
      <c r="K176" s="10" t="str">
        <f t="shared" si="19"/>
        <v>UNION ALL SELECT '"&amp; RefDate &amp;"' AS REF_DATE, 'FRMT_B0500_C0140' AS COD_KPI, 'REGULAMENTAR' AS TIPOLOGIA_TESTE, 'O campo deve ser reportado com formato yyyy-mm-dd.' AS DESCRIÇÃO, 'BU_LOANTAPE_WORK.OUT_B0500_GUARANTEES' AS TABELA, '0140_dt_vltn_scrty' AS CAMPO, COUNT(*) AS NUM_REG, SUM(IF(`0140_dt_vltn_scrty` NOT REGEXP '^[0-9]{4}-[0-9]{2}-[0-9]{2}$',1 ,0)) AS NUM_REG_DIF, GROUP_CONCAT(CASE WHEN `0140_dt_vltn_scrty` NOT REGEXP '^[0-9]{4}-[0-9]{2}-[0-9]{2}$' THEN X.CHAVE_IT ELSE NULL END, '; ') AS DETALHE FROM (SELECT *, 0020_UNIQ_ID_GUARANTEE AS CHAVE_IT, 0140_dt_vltn_scrty AS CAMPO_IT FROM BU_LOANTAPE_WORK.OUT_B0500_GUARANTEES WHERE REF_DATE='"&amp; RefDate &amp;"')X GROUP BY 1</v>
      </c>
    </row>
    <row r="177" spans="1:11" x14ac:dyDescent="0.3">
      <c r="A177" t="str">
        <f t="shared" si="22"/>
        <v>FRMT_B0500_C0150</v>
      </c>
      <c r="B177" t="s">
        <v>380</v>
      </c>
      <c r="C177" s="7">
        <v>1</v>
      </c>
      <c r="D177" t="s">
        <v>385</v>
      </c>
      <c r="E177" t="s">
        <v>648</v>
      </c>
      <c r="F177" t="s">
        <v>11</v>
      </c>
      <c r="G177" t="s">
        <v>347</v>
      </c>
      <c r="H177" t="s">
        <v>379</v>
      </c>
      <c r="I177" s="7">
        <f t="shared" si="20"/>
        <v>0</v>
      </c>
      <c r="J177" s="8" t="str">
        <f t="shared" si="21"/>
        <v>THEN X.CHAVE_IT ELSE NULL END</v>
      </c>
      <c r="K177" s="10" t="str">
        <f t="shared" si="19"/>
        <v>UNION ALL SELECT '"&amp; RefDate &amp;"' AS REF_DATE, 'FRMT_B0500_C0150' AS COD_KPI, 'REGULAMENTAR' AS TIPOLOGIA_TESTE, 'Os valores dos dropdowns devem ser respeitados.' AS DESCRIÇÃO, 'BU_LOANTAPE_WORK.OUT_B0500_GUARANTEES' AS TABELA, '0150_prtctn_vltn_apprch' AS CAMPO, COUNT(*) AS NUM_REG, SUM(IF(`0150_prtctn_vltn_apprch` NOT IN ('Mark-to-market valuation', 'Counterparty estimation','Creditor valuation','Third party valuation') ,1 ,0)) AS NUM_REG_DIF, GROUP_CONCAT(CASE WHEN `0150_prtctn_vltn_apprch` NOT IN ('Mark-to-market valuation', 'Counterparty estimation','Creditor valuation','Third party valuation')  THEN X.CHAVE_IT ELSE NULL END, '; ') AS DETALHE FROM (SELECT *, 0020_UNIQ_ID_GUARANTEE AS CHAVE_IT, 0150_prtctn_vltn_apprch AS CAMPO_IT FROM BU_LOANTAPE_WORK.OUT_B0500_GUARANTEES WHERE REF_DATE='"&amp; RefDate &amp;"')X GROUP BY 1</v>
      </c>
    </row>
    <row r="178" spans="1:11" x14ac:dyDescent="0.3">
      <c r="A178" s="1" t="s">
        <v>7</v>
      </c>
      <c r="B178" t="s">
        <v>8</v>
      </c>
      <c r="C178" s="7">
        <v>1</v>
      </c>
      <c r="D178" s="1" t="str">
        <f>+VLOOKUP(A178,Descrição!A:K,11,FALSE)</f>
        <v>Testar se o campo está a missing. O campo tem de ser reportado.</v>
      </c>
      <c r="E178" s="1" t="s">
        <v>648</v>
      </c>
      <c r="F178" s="1" t="s">
        <v>11</v>
      </c>
      <c r="G178" t="s">
        <v>18</v>
      </c>
      <c r="H178" t="s">
        <v>10</v>
      </c>
      <c r="I178" s="7">
        <f t="shared" si="20"/>
        <v>0</v>
      </c>
      <c r="J178" s="8" t="str">
        <f t="shared" si="21"/>
        <v>THEN X.CHAVE_IT ELSE NULL END</v>
      </c>
      <c r="K178" s="9" t="str">
        <f t="shared" ref="K178:K192" si="23">"UNION ALL SELECT '"&amp;E178&amp;"' AS REF_DATE, '"&amp;A178&amp;"' AS COD_KPI, '"&amp;F178&amp;"' AS TIPOLOGIA_TESTE, '"&amp;D178&amp;"' AS DESCRIÇÃO, '"&amp;G178&amp;"' AS TABELA, '"&amp;B178&amp;"' AS CAMPO, COUNT(*) AS NUM_REG, SUM(IF("&amp;H178&amp;","&amp;C178&amp;" ,"&amp;I178&amp;")) AS NUM_REG_DIF, GROUP_CONCAT(CASE WHEN "&amp;H178&amp;" "&amp;J178&amp;", '; ') AS DETALHE FROM (SELECT *, CONCAT(0020_UNIQ_ID_KNWN_CNTRPRTY, ', ', 0070_CNTRPRTY_ID) AS CHAVE_IT, "&amp;B178&amp;" AS CAMPO_IT FROM "&amp;G178&amp;" WHERE REF_DATE='"&amp;E178&amp;"')X GROUP BY 1"</f>
        <v>UNION ALL SELECT '"&amp; RefDate &amp;"' AS REF_DATE, 'v_1_0056' AS COD_KPI, 'REGULAMENTAR' AS TIPOLOGIA_TESTE, 'Testar se o campo está a missing. O campo tem de ser reportado.' AS DESCRIÇÃO, 'BU_LOANTAPE_WORK.OUT_B9000_COUNTERPARTIES' AS TABELA, '0030_cntrprty_rsltn_grp' AS CAMPO, COUNT(*) AS NUM_REG, SUM(IF(`0030_cntrprty_rsltn_grp`= '' OR `0030_cntrprty_rsltn_grp` IS NULL,1 ,0)) AS NUM_REG_DIF, GROUP_CONCAT(CASE WHEN `0030_cntrprty_rsltn_grp`= '' OR `0030_cntrprty_rsltn_grp` IS NULL THEN X.CHAVE_IT ELSE NULL END, '; ') AS DETALHE FROM (SELECT *, CONCAT(0020_UNIQ_ID_KNWN_CNTRPRTY, ', ', 0070_CNTRPRTY_ID) AS CHAVE_IT, 0030_cntrprty_rsltn_grp AS CAMPO_IT FROM BU_LOANTAPE_WORK.OUT_B9000_COUNTERPARTIES WHERE REF_DATE='"&amp; RefDate &amp;"')X GROUP BY 1</v>
      </c>
    </row>
    <row r="179" spans="1:11" x14ac:dyDescent="0.3">
      <c r="A179" s="1" t="s">
        <v>13</v>
      </c>
      <c r="B179" t="s">
        <v>8</v>
      </c>
      <c r="C179" s="7">
        <v>1</v>
      </c>
      <c r="D179" s="1" t="str">
        <f>+VLOOKUP(A179,Descrição!A:K,11,FALSE)</f>
        <v>Os valores dos dropdowns devem ser respeitados.</v>
      </c>
      <c r="E179" t="s">
        <v>648</v>
      </c>
      <c r="F179" t="s">
        <v>11</v>
      </c>
      <c r="G179" t="str">
        <f t="shared" ref="G179:G192" si="24">+G178</f>
        <v>BU_LOANTAPE_WORK.OUT_B9000_COUNTERPARTIES</v>
      </c>
      <c r="H179" t="s">
        <v>12</v>
      </c>
      <c r="I179" s="7">
        <f t="shared" si="20"/>
        <v>0</v>
      </c>
      <c r="J179" s="8" t="str">
        <f t="shared" si="21"/>
        <v>THEN X.CHAVE_IT ELSE NULL END</v>
      </c>
      <c r="K179" s="9" t="str">
        <f t="shared" si="23"/>
        <v>UNION ALL SELECT '"&amp; RefDate &amp;"' AS REF_DATE, 'v_2_0058' AS COD_KPI, 'REGULAMENTAR' AS TIPOLOGIA_TESTE, 'Os valores dos dropdowns devem ser respeitados.' AS DESCRIÇÃO, 'BU_LOANTAPE_WORK.OUT_B9000_COUNTERPARTIES' AS TABELA, '0030_cntrprty_rsltn_grp' AS CAMPO, COUNT(*) AS NUM_REG, SUM(IF(`0030_cntrprty_rsltn_grp` NOT IN ('Intragroup and intra-resolution group', 'Intragroup but not intra-resolution group', 'No'),1 ,0)) AS NUM_REG_DIF, GROUP_CONCAT(CASE WHEN `0030_cntrprty_rsltn_grp` NOT IN ('Intragroup and intra-resolution group', 'Intragroup but not intra-resolution group', 'No') THEN X.CHAVE_IT ELSE NULL END, '; ') AS DETALHE FROM (SELECT *, CONCAT(0020_UNIQ_ID_KNWN_CNTRPRTY, ', ', 0070_CNTRPRTY_ID) AS CHAVE_IT, 0030_cntrprty_rsltn_grp AS CAMPO_IT FROM BU_LOANTAPE_WORK.OUT_B9000_COUNTERPARTIES WHERE REF_DATE='"&amp; RefDate &amp;"')X GROUP BY 1</v>
      </c>
    </row>
    <row r="180" spans="1:11" x14ac:dyDescent="0.3">
      <c r="A180" t="s">
        <v>15</v>
      </c>
      <c r="B180" t="s">
        <v>323</v>
      </c>
      <c r="C180" s="7">
        <v>1</v>
      </c>
      <c r="D180" s="1" t="str">
        <f>+VLOOKUP(A180,Descrição!A:K,11,FALSE)</f>
        <v>Os valores dos dropdowns devem ser respeitados.</v>
      </c>
      <c r="E180" t="s">
        <v>648</v>
      </c>
      <c r="F180" t="s">
        <v>11</v>
      </c>
      <c r="G180" t="str">
        <f t="shared" si="24"/>
        <v>BU_LOANTAPE_WORK.OUT_B9000_COUNTERPARTIES</v>
      </c>
      <c r="H180" t="s">
        <v>14</v>
      </c>
      <c r="I180" s="7">
        <f t="shared" si="20"/>
        <v>0</v>
      </c>
      <c r="J180" s="8" t="str">
        <f t="shared" si="21"/>
        <v>THEN X.CHAVE_IT ELSE NULL END</v>
      </c>
      <c r="K180" s="9" t="str">
        <f t="shared" si="23"/>
        <v>UNION ALL SELECT '"&amp; RefDate &amp;"' AS REF_DATE, 'v_2_0059' AS COD_KPI, 'REGULAMENTAR' AS TIPOLOGIA_TESTE, 'Os valores dos dropdowns devem ser respeitados.' AS DESCRIÇÃO, 'BU_LOANTAPE_WORK.OUT_B9000_COUNTERPARTIES' AS TABELA, '0080_cntrprty_typ' AS CAMPO, COUNT(*) AS NUM_REG, SUM(IF(`0080_cntrprty_typ` NOT IN ('Households', 'Micro &amp; SME', 'Corporates', 'Institutions', 'Other financial corporations', 'Insurance firms &amp; pension funds', 'Government, central banks &amp; supranationals', 'Non identified, listed on an exchange platform', 'Non identified, not listed on an exchange platform'),1 ,0)) AS NUM_REG_DIF, GROUP_CONCAT(CASE WHEN `0080_cntrprty_typ` NOT IN ('Households', 'Micro &amp; SME', 'Corporates', 'Institutions', 'Other financial corporations', 'Insurance firms &amp; pension funds', 'Government, central banks &amp; supranationals', 'Non identified, listed on an exchange platform', 'Non identified, not listed on an exchange platform') THEN X.CHAVE_IT ELSE NULL END, '; ') AS DETALHE FROM (SELECT *, CONCAT(0020_UNIQ_ID_KNWN_CNTRPRTY, ', ', 0070_CNTRPRTY_ID) AS CHAVE_IT, 0080_cntrprty_typ AS CAMPO_IT FROM BU_LOANTAPE_WORK.OUT_B9000_COUNTERPARTIES WHERE REF_DATE='"&amp; RefDate &amp;"')X GROUP BY 1</v>
      </c>
    </row>
    <row r="181" spans="1:11" x14ac:dyDescent="0.3">
      <c r="A181" s="1" t="s">
        <v>312</v>
      </c>
      <c r="B181" t="s">
        <v>325</v>
      </c>
      <c r="C181" s="7">
        <v>1</v>
      </c>
      <c r="D181" s="1" t="str">
        <f>+VLOOKUP(A181,Descrição!A:K,11,FALSE)</f>
        <v>O campo deve ser reportado usando o código ISO 3166-1 alpha-2.</v>
      </c>
      <c r="E181" t="s">
        <v>648</v>
      </c>
      <c r="F181" t="s">
        <v>11</v>
      </c>
      <c r="G181" t="str">
        <f t="shared" si="24"/>
        <v>BU_LOANTAPE_WORK.OUT_B9000_COUNTERPARTIES</v>
      </c>
      <c r="H181" t="s">
        <v>324</v>
      </c>
      <c r="I181" s="7">
        <f t="shared" si="20"/>
        <v>0</v>
      </c>
      <c r="J181" s="8" t="str">
        <f t="shared" si="21"/>
        <v>THEN X.CHAVE_IT ELSE NULL END</v>
      </c>
      <c r="K181" s="9" t="str">
        <f t="shared" si="23"/>
        <v>UNION ALL SELECT '"&amp; RefDate &amp;"' AS REF_DATE, 'v_2_0060' AS COD_KPI, 'REGULAMENTAR' AS TIPOLOGIA_TESTE, 'O campo deve ser reportado usando o código ISO 3166-1 alpha-2.' AS DESCRIÇÃO, 'BU_LOANTAPE_WORK.OUT_B9000_COUNTERPARTIES' AS TABELA, '0090_cntry_cntrprty' AS CAMPO, COUNT(*) AS NUM_REG, SUM(IF(`0080_cntrprty_typ` NOT IN ('XX', '99') AND `0090_cntry_cntrprty` NOT IN ('AF','AX','AL','DZ','AS','AD','AO','AI','AQ','AG','AR','AM','AW','AU','AT','AZ','BS','BH','BD','BB','BY','BE','BZ','BJ','BM','BT','BO','BQ','BA','BW','BV','BR','IO','BN','BG','BF','BI','CV','KH','CM','CA','KY','CF','TD','CL','CN','CX','CC','CO','KM','CG','CD','CK','CR','CI','HR','CU','CW','CY','CZ','DK','DJ','DM','DO','EC','EG','SV','GQ','ER','EE','SZ','ET','FK','FO','FJ','FI','FR','GF','PF','TF','GA','GM','GE','DE','GH','GI','GR','GL','GD','GP','GU','GT','GG','GN','GW','GY','HT','HM','VA','HN','HK','HU','IS','IN','ID','IR','IQ','IE','IM','IL','IT','JM','JP','JE','JO','KZ','KE','KI','KP','KR','KW','KG','LA','LV','LB','LS','LR','LY','LI','LT','LU','MO','MG','MW','MY','MV','ML','MT','MH','MQ','MR','MU','YT','MX','FM','MD','MC','MN','ME','MS','MA','MZ','MM','NA','NR','NP','NL','NC','NZ','NI','NE','NG','NU','NF','MK','MP','NO','OM','PK','PW','PS','PA','PG','PY','PE','PH','PN','PL','PT','PR','QA','RE','RO','RU','RW','BL','SH','KN','LC','MF','PM','VC','WS','SM','ST','SA','SN','RS','SC','SL','SG','SX','SK','SI','SB','SO','ZA','GS','SS','ES','LK','SD','SR','SJ','SE','CH','SY','TW','TJ','TZ','TH','TL','TG','TK','TO','TT','TN','TR','TM','TC','TV','UG','UA','AE','GB','US','UM','UY','UZ','VU','VE','VN','VG','VI','WF','EH','YE','ZM','ZW'),1 ,0)) AS NUM_REG_DIF, GROUP_CONCAT(CASE WHEN `0080_cntrprty_typ` NOT IN ('XX', '99') AND `0090_cntry_cntrprty` NOT IN ('AF','AX','AL','DZ','AS','AD','AO','AI','AQ','AG','AR','AM','AW','AU','AT','AZ','BS','BH','BD','BB','BY','BE','BZ','BJ','BM','BT','BO','BQ','BA','BW','BV','BR','IO','BN','BG','BF','BI','CV','KH','CM','CA','KY','CF','TD','CL','CN','CX','CC','CO','KM','CG','CD','CK','CR','CI','HR','CU','CW','CY','CZ','DK','DJ','DM','DO','EC','EG','SV','GQ','ER','EE','SZ','ET','FK','FO','FJ','FI','FR','GF','PF','TF','GA','GM','GE','DE','GH','GI','GR','GL','GD','GP','GU','GT','GG','GN','GW','GY','HT','HM','VA','HN','HK','HU','IS','IN','ID','IR','IQ','IE','IM','IL','IT','JM','JP','JE','JO','KZ','KE','KI','KP','KR','KW','KG','LA','LV','LB','LS','LR','LY','LI','LT','LU','MO','MG','MW','MY','MV','ML','MT','MH','MQ','MR','MU','YT','MX','FM','MD','MC','MN','ME','MS','MA','MZ','MM','NA','NR','NP','NL','NC','NZ','NI','NE','NG','NU','NF','MK','MP','NO','OM','PK','PW','PS','PA','PG','PY','PE','PH','PN','PL','PT','PR','QA','RE','RO','RU','RW','BL','SH','KN','LC','MF','PM','VC','WS','SM','ST','SA','SN','RS','SC','SL','SG','SX','SK','SI','SB','SO','ZA','GS','SS','ES','LK','SD','SR','SJ','SE','CH','SY','TW','TJ','TZ','TH','TL','TG','TK','TO','TT','TN','TR','TM','TC','TV','UG','UA','AE','GB','US','UM','UY','UZ','VU','VE','VN','VG','VI','WF','EH','YE','ZM','ZW') THEN X.CHAVE_IT ELSE NULL END, '; ') AS DETALHE FROM (SELECT *, CONCAT(0020_UNIQ_ID_KNWN_CNTRPRTY, ', ', 0070_CNTRPRTY_ID) AS CHAVE_IT, 0090_cntry_cntrprty AS CAMPO_IT FROM BU_LOANTAPE_WORK.OUT_B9000_COUNTERPARTIES WHERE REF_DATE='"&amp; RefDate &amp;"')X GROUP BY 1</v>
      </c>
    </row>
    <row r="182" spans="1:11" x14ac:dyDescent="0.3">
      <c r="A182" t="str">
        <f t="shared" ref="A182:A192" si="25">"FRMT_"&amp;MID(G182,22,5)&amp;"_C"&amp;LEFT(B182,4)</f>
        <v>FRMT_B9000_C0010</v>
      </c>
      <c r="B182" t="s">
        <v>327</v>
      </c>
      <c r="C182" s="7">
        <v>1</v>
      </c>
      <c r="D182" s="1" t="s">
        <v>345</v>
      </c>
      <c r="E182" t="s">
        <v>648</v>
      </c>
      <c r="F182" t="s">
        <v>11</v>
      </c>
      <c r="G182" t="str">
        <f t="shared" si="24"/>
        <v>BU_LOANTAPE_WORK.OUT_B9000_COUNTERPARTIES</v>
      </c>
      <c r="H182" t="s">
        <v>326</v>
      </c>
      <c r="I182" s="7">
        <f t="shared" si="20"/>
        <v>0</v>
      </c>
      <c r="J182" s="8" t="str">
        <f t="shared" si="21"/>
        <v>THEN X.CHAVE_IT ELSE NULL END</v>
      </c>
      <c r="K182" s="9" t="str">
        <f t="shared" si="23"/>
        <v>UNION ALL SELECT '"&amp; RefDate &amp;"' AS REF_DATE, 'FRMT_B9000_C0010' AS COD_KPI, 'REGULAMENTAR' AS TIPOLOGIA_TESTE, 'O campo deve ser reportado com formato numérico.' AS DESCRIÇÃO, 'BU_LOANTAPE_WORK.OUT_B9000_COUNTERPARTIES' AS TABELA, '0010_row_nmbr' AS CAMPO, COUNT(*) AS NUM_REG, SUM(IF(`0010_row_nmbr` &lt;= 0,1 ,0)) AS NUM_REG_DIF, GROUP_CONCAT(CASE WHEN `0010_row_nmbr` &lt;= 0 THEN X.CHAVE_IT ELSE NULL END, '; ') AS DETALHE FROM (SELECT *, CONCAT(0020_UNIQ_ID_KNWN_CNTRPRTY, ', ', 0070_CNTRPRTY_ID) AS CHAVE_IT, 0010_row_nmbr AS CAMPO_IT FROM BU_LOANTAPE_WORK.OUT_B9000_COUNTERPARTIES WHERE REF_DATE='"&amp; RefDate &amp;"')X GROUP BY 1</v>
      </c>
    </row>
    <row r="183" spans="1:11" x14ac:dyDescent="0.3">
      <c r="A183" t="str">
        <f t="shared" si="25"/>
        <v>FRMT_B9000_C0011</v>
      </c>
      <c r="B183" t="s">
        <v>329</v>
      </c>
      <c r="C183" s="7">
        <v>1</v>
      </c>
      <c r="D183" s="1" t="s">
        <v>346</v>
      </c>
      <c r="E183" t="s">
        <v>648</v>
      </c>
      <c r="F183" t="s">
        <v>11</v>
      </c>
      <c r="G183" t="str">
        <f t="shared" si="24"/>
        <v>BU_LOANTAPE_WORK.OUT_B9000_COUNTERPARTIES</v>
      </c>
      <c r="H183" t="s">
        <v>328</v>
      </c>
      <c r="I183" s="7">
        <f t="shared" si="20"/>
        <v>0</v>
      </c>
      <c r="J183" s="8" t="str">
        <f t="shared" si="21"/>
        <v>THEN X.CHAVE_IT ELSE NULL END</v>
      </c>
      <c r="K183" s="9" t="str">
        <f t="shared" si="23"/>
        <v>UNION ALL SELECT '"&amp; RefDate &amp;"' AS REF_DATE, 'FRMT_B9000_C0011' AS COD_KPI, 'REGULAMENTAR' AS TIPOLOGIA_TESTE, 'O campo deve ser reportado com formato de texto.' AS DESCRIÇÃO, 'BU_LOANTAPE_WORK.OUT_B9000_COUNTERPARTIES' AS TABELA, '0011_tab_origin' AS CAMPO, COUNT(*) AS NUM_REG, SUM(IF(`0011_tab_origin` NOT IN ('B0200','B0300','B0400','B0500'),1 ,0)) AS NUM_REG_DIF, GROUP_CONCAT(CASE WHEN `0011_tab_origin` NOT IN ('B0200','B0300','B0400','B0500') THEN X.CHAVE_IT ELSE NULL END, '; ') AS DETALHE FROM (SELECT *, CONCAT(0020_UNIQ_ID_KNWN_CNTRPRTY, ', ', 0070_CNTRPRTY_ID) AS CHAVE_IT, 0011_tab_origin AS CAMPO_IT FROM BU_LOANTAPE_WORK.OUT_B9000_COUNTERPARTIES WHERE REF_DATE='"&amp; RefDate &amp;"')X GROUP BY 1</v>
      </c>
    </row>
    <row r="184" spans="1:11" x14ac:dyDescent="0.3">
      <c r="A184" t="str">
        <f t="shared" si="25"/>
        <v>FRMT_B9000_C0020</v>
      </c>
      <c r="B184" t="s">
        <v>331</v>
      </c>
      <c r="C184" s="7">
        <v>1</v>
      </c>
      <c r="D184" s="1" t="s">
        <v>346</v>
      </c>
      <c r="E184" t="s">
        <v>648</v>
      </c>
      <c r="F184" t="s">
        <v>11</v>
      </c>
      <c r="G184" t="str">
        <f t="shared" si="24"/>
        <v>BU_LOANTAPE_WORK.OUT_B9000_COUNTERPARTIES</v>
      </c>
      <c r="H184" t="s">
        <v>330</v>
      </c>
      <c r="I184" s="7">
        <f t="shared" si="20"/>
        <v>0</v>
      </c>
      <c r="J184" s="8" t="str">
        <f t="shared" si="21"/>
        <v>THEN X.CHAVE_IT ELSE NULL END</v>
      </c>
      <c r="K184" s="9" t="str">
        <f t="shared" si="23"/>
        <v>UNION ALL SELECT '"&amp; RefDate &amp;"' AS REF_DATE, 'FRMT_B9000_C0020' AS COD_KPI, 'REGULAMENTAR' AS TIPOLOGIA_TESTE, 'O campo deve ser reportado com formato de texto.' AS DESCRIÇÃO, 'BU_LOANTAPE_WORK.OUT_B9000_COUNTERPARTIES' AS TABELA, '0020_uniq_id_knwn_cntrprty' AS CAMPO, COUNT(*) AS NUM_REG, SUM(IF(`0020_uniq_id_knwn_cntrprty` NOT RLIKE '[A-Za-z]',1 ,0)) AS NUM_REG_DIF, GROUP_CONCAT(CASE WHEN `0020_uniq_id_knwn_cntrprty` NOT RLIKE '[A-Za-z]' THEN X.CHAVE_IT ELSE NULL END, '; ') AS DETALHE FROM (SELECT *, CONCAT(0020_UNIQ_ID_KNWN_CNTRPRTY, ', ', 0070_CNTRPRTY_ID) AS CHAVE_IT, 0020_uniq_id_knwn_cntrprty AS CAMPO_IT FROM BU_LOANTAPE_WORK.OUT_B9000_COUNTERPARTIES WHERE REF_DATE='"&amp; RefDate &amp;"')X GROUP BY 1</v>
      </c>
    </row>
    <row r="185" spans="1:11" x14ac:dyDescent="0.3">
      <c r="A185" t="str">
        <f t="shared" si="25"/>
        <v>FRMT_B9000_C0030</v>
      </c>
      <c r="B185" t="s">
        <v>8</v>
      </c>
      <c r="C185" s="7">
        <v>1</v>
      </c>
      <c r="D185" s="1" t="s">
        <v>346</v>
      </c>
      <c r="E185" t="s">
        <v>648</v>
      </c>
      <c r="F185" t="s">
        <v>11</v>
      </c>
      <c r="G185" t="str">
        <f t="shared" si="24"/>
        <v>BU_LOANTAPE_WORK.OUT_B9000_COUNTERPARTIES</v>
      </c>
      <c r="H185" t="s">
        <v>12</v>
      </c>
      <c r="I185" s="7">
        <f t="shared" si="20"/>
        <v>0</v>
      </c>
      <c r="J185" s="8" t="str">
        <f t="shared" si="21"/>
        <v>THEN X.CHAVE_IT ELSE NULL END</v>
      </c>
      <c r="K185" s="9" t="str">
        <f t="shared" si="23"/>
        <v>UNION ALL SELECT '"&amp; RefDate &amp;"' AS REF_DATE, 'FRMT_B9000_C0030' AS COD_KPI, 'REGULAMENTAR' AS TIPOLOGIA_TESTE, 'O campo deve ser reportado com formato de texto.' AS DESCRIÇÃO, 'BU_LOANTAPE_WORK.OUT_B9000_COUNTERPARTIES' AS TABELA, '0030_cntrprty_rsltn_grp' AS CAMPO, COUNT(*) AS NUM_REG, SUM(IF(`0030_cntrprty_rsltn_grp` NOT IN ('Intragroup and intra-resolution group', 'Intragroup but not intra-resolution group', 'No'),1 ,0)) AS NUM_REG_DIF, GROUP_CONCAT(CASE WHEN `0030_cntrprty_rsltn_grp` NOT IN ('Intragroup and intra-resolution group', 'Intragroup but not intra-resolution group', 'No') THEN X.CHAVE_IT ELSE NULL END, '; ') AS DETALHE FROM (SELECT *, CONCAT(0020_UNIQ_ID_KNWN_CNTRPRTY, ', ', 0070_CNTRPRTY_ID) AS CHAVE_IT, 0030_cntrprty_rsltn_grp AS CAMPO_IT FROM BU_LOANTAPE_WORK.OUT_B9000_COUNTERPARTIES WHERE REF_DATE='"&amp; RefDate &amp;"')X GROUP BY 1</v>
      </c>
    </row>
    <row r="186" spans="1:11" x14ac:dyDescent="0.3">
      <c r="A186" t="str">
        <f t="shared" si="25"/>
        <v>FRMT_B9000_C0040</v>
      </c>
      <c r="B186" t="s">
        <v>333</v>
      </c>
      <c r="C186" s="7">
        <v>0</v>
      </c>
      <c r="D186" s="1" t="s">
        <v>346</v>
      </c>
      <c r="E186" t="s">
        <v>648</v>
      </c>
      <c r="F186" t="s">
        <v>11</v>
      </c>
      <c r="G186" t="str">
        <f t="shared" si="24"/>
        <v>BU_LOANTAPE_WORK.OUT_B9000_COUNTERPARTIES</v>
      </c>
      <c r="H186" t="s">
        <v>332</v>
      </c>
      <c r="I186" s="7">
        <f t="shared" si="20"/>
        <v>1</v>
      </c>
      <c r="J186" s="8" t="str">
        <f t="shared" si="21"/>
        <v>THEN NULL ELSE X.CHAVE_IT END</v>
      </c>
      <c r="K186" s="9" t="str">
        <f t="shared" si="23"/>
        <v>UNION ALL SELECT '"&amp; RefDate &amp;"' AS REF_DATE, 'FRMT_B9000_C0040' AS COD_KPI, 'REGULAMENTAR' AS TIPOLOGIA_TESTE, 'O campo deve ser reportado com formato de texto.' AS DESCRIÇÃO, 'BU_LOANTAPE_WORK.OUT_B9000_COUNTERPARTIES' AS TABELA, '0040_cntrprty_nm' AS CAMPO, COUNT(*) AS NUM_REG, SUM(IF(`0040_cntrprty_nm` != '' OR `0040_cntrprty_nm` = 'Not applicable',0 ,1)) AS NUM_REG_DIF, GROUP_CONCAT(CASE WHEN `0040_cntrprty_nm` != '' OR `0040_cntrprty_nm` = 'Not applicable' THEN NULL ELSE X.CHAVE_IT END, '; ') AS DETALHE FROM (SELECT *, CONCAT(0020_UNIQ_ID_KNWN_CNTRPRTY, ', ', 0070_CNTRPRTY_ID) AS CHAVE_IT, 0040_cntrprty_nm AS CAMPO_IT FROM BU_LOANTAPE_WORK.OUT_B9000_COUNTERPARTIES WHERE REF_DATE='"&amp; RefDate &amp;"')X GROUP BY 1</v>
      </c>
    </row>
    <row r="187" spans="1:11" x14ac:dyDescent="0.3">
      <c r="A187" t="str">
        <f t="shared" si="25"/>
        <v>FRMT_B9000_C0050</v>
      </c>
      <c r="B187" t="s">
        <v>335</v>
      </c>
      <c r="C187" s="7">
        <v>0</v>
      </c>
      <c r="D187" s="1" t="s">
        <v>346</v>
      </c>
      <c r="E187" t="s">
        <v>648</v>
      </c>
      <c r="F187" t="s">
        <v>11</v>
      </c>
      <c r="G187" t="str">
        <f t="shared" si="24"/>
        <v>BU_LOANTAPE_WORK.OUT_B9000_COUNTERPARTIES</v>
      </c>
      <c r="H187" t="s">
        <v>334</v>
      </c>
      <c r="I187" s="7">
        <f t="shared" si="20"/>
        <v>1</v>
      </c>
      <c r="J187" s="8" t="str">
        <f t="shared" si="21"/>
        <v>THEN NULL ELSE X.CHAVE_IT END</v>
      </c>
      <c r="K187" s="9" t="str">
        <f t="shared" si="23"/>
        <v>UNION ALL SELECT '"&amp; RefDate &amp;"' AS REF_DATE, 'FRMT_B9000_C0050' AS COD_KPI, 'REGULAMENTAR' AS TIPOLOGIA_TESTE, 'O campo deve ser reportado com formato de texto.' AS DESCRIÇÃO, 'BU_LOANTAPE_WORK.OUT_B9000_COUNTERPARTIES' AS TABELA, '0050_cntrprty_lei' AS CAMPO, COUNT(*) AS NUM_REG, SUM(IF(`0050_cntrprty_lei` != '' OR `0050_cntrprty_lei` = 'Not applicable',0 ,1)) AS NUM_REG_DIF, GROUP_CONCAT(CASE WHEN `0050_cntrprty_lei` != '' OR `0050_cntrprty_lei` = 'Not applicable' THEN NULL ELSE X.CHAVE_IT END, '; ') AS DETALHE FROM (SELECT *, CONCAT(0020_UNIQ_ID_KNWN_CNTRPRTY, ', ', 0070_CNTRPRTY_ID) AS CHAVE_IT, 0050_cntrprty_lei AS CAMPO_IT FROM BU_LOANTAPE_WORK.OUT_B9000_COUNTERPARTIES WHERE REF_DATE='"&amp; RefDate &amp;"')X GROUP BY 1</v>
      </c>
    </row>
    <row r="188" spans="1:11" x14ac:dyDescent="0.3">
      <c r="A188" t="str">
        <f t="shared" si="25"/>
        <v>FRMT_B9000_C0060</v>
      </c>
      <c r="B188" t="s">
        <v>337</v>
      </c>
      <c r="C188" s="7">
        <v>0</v>
      </c>
      <c r="D188" s="1" t="s">
        <v>346</v>
      </c>
      <c r="E188" t="s">
        <v>648</v>
      </c>
      <c r="F188" t="s">
        <v>11</v>
      </c>
      <c r="G188" t="str">
        <f t="shared" si="24"/>
        <v>BU_LOANTAPE_WORK.OUT_B9000_COUNTERPARTIES</v>
      </c>
      <c r="H188" t="s">
        <v>336</v>
      </c>
      <c r="I188" s="7">
        <f t="shared" si="20"/>
        <v>1</v>
      </c>
      <c r="J188" s="8" t="str">
        <f t="shared" si="21"/>
        <v>THEN NULL ELSE X.CHAVE_IT END</v>
      </c>
      <c r="K188" s="9" t="str">
        <f t="shared" si="23"/>
        <v>UNION ALL SELECT '"&amp; RefDate &amp;"' AS REF_DATE, 'FRMT_B9000_C0060' AS COD_KPI, 'REGULAMENTAR' AS TIPOLOGIA_TESTE, 'O campo deve ser reportado com formato de texto.' AS DESCRIÇÃO, 'BU_LOANTAPE_WORK.OUT_B9000_COUNTERPARTIES' AS TABELA, '0060_typ_cntrprty_id' AS CAMPO, COUNT(*) AS NUM_REG, SUM(IF(`0060_typ_cntrprty_id` != '' OR `0060_typ_cntrprty_id` = 'Not applicable',0 ,1)) AS NUM_REG_DIF, GROUP_CONCAT(CASE WHEN `0060_typ_cntrprty_id` != '' OR `0060_typ_cntrprty_id` = 'Not applicable' THEN NULL ELSE X.CHAVE_IT END, '; ') AS DETALHE FROM (SELECT *, CONCAT(0020_UNIQ_ID_KNWN_CNTRPRTY, ', ', 0070_CNTRPRTY_ID) AS CHAVE_IT, 0060_typ_cntrprty_id AS CAMPO_IT FROM BU_LOANTAPE_WORK.OUT_B9000_COUNTERPARTIES WHERE REF_DATE='"&amp; RefDate &amp;"')X GROUP BY 1</v>
      </c>
    </row>
    <row r="189" spans="1:11" x14ac:dyDescent="0.3">
      <c r="A189" t="str">
        <f t="shared" si="25"/>
        <v>FRMT_B9000_C0070</v>
      </c>
      <c r="B189" t="s">
        <v>339</v>
      </c>
      <c r="C189" s="7">
        <v>0</v>
      </c>
      <c r="D189" s="1" t="s">
        <v>346</v>
      </c>
      <c r="E189" t="s">
        <v>648</v>
      </c>
      <c r="F189" t="s">
        <v>11</v>
      </c>
      <c r="G189" t="str">
        <f t="shared" si="24"/>
        <v>BU_LOANTAPE_WORK.OUT_B9000_COUNTERPARTIES</v>
      </c>
      <c r="H189" t="s">
        <v>338</v>
      </c>
      <c r="I189" s="7">
        <f t="shared" si="20"/>
        <v>1</v>
      </c>
      <c r="J189" s="8" t="str">
        <f t="shared" si="21"/>
        <v>THEN NULL ELSE X.CHAVE_IT END</v>
      </c>
      <c r="K189" s="9" t="str">
        <f t="shared" si="23"/>
        <v>UNION ALL SELECT '"&amp; RefDate &amp;"' AS REF_DATE, 'FRMT_B9000_C0070' AS COD_KPI, 'REGULAMENTAR' AS TIPOLOGIA_TESTE, 'O campo deve ser reportado com formato de texto.' AS DESCRIÇÃO, 'BU_LOANTAPE_WORK.OUT_B9000_COUNTERPARTIES' AS TABELA, '0070_cntrprty_id' AS CAMPO, COUNT(*) AS NUM_REG, SUM(IF(`0070_cntrprty_id` != '' OR `0070_cntrprty_id` = 'Not applicable',0 ,1)) AS NUM_REG_DIF, GROUP_CONCAT(CASE WHEN `0070_cntrprty_id` != '' OR `0070_cntrprty_id` = 'Not applicable' THEN NULL ELSE X.CHAVE_IT END, '; ') AS DETALHE FROM (SELECT *, CONCAT(0020_UNIQ_ID_KNWN_CNTRPRTY, ', ', 0070_CNTRPRTY_ID) AS CHAVE_IT, 0070_cntrprty_id AS CAMPO_IT FROM BU_LOANTAPE_WORK.OUT_B9000_COUNTERPARTIES WHERE REF_DATE='"&amp; RefDate &amp;"')X GROUP BY 1</v>
      </c>
    </row>
    <row r="190" spans="1:11" x14ac:dyDescent="0.3">
      <c r="A190" t="str">
        <f t="shared" si="25"/>
        <v>FRMT_B9000_C0080</v>
      </c>
      <c r="B190" t="s">
        <v>323</v>
      </c>
      <c r="C190" s="7">
        <v>0</v>
      </c>
      <c r="D190" s="1" t="s">
        <v>346</v>
      </c>
      <c r="E190" t="s">
        <v>648</v>
      </c>
      <c r="F190" t="s">
        <v>11</v>
      </c>
      <c r="G190" t="str">
        <f t="shared" si="24"/>
        <v>BU_LOANTAPE_WORK.OUT_B9000_COUNTERPARTIES</v>
      </c>
      <c r="H190" t="s">
        <v>340</v>
      </c>
      <c r="I190" s="7">
        <f t="shared" si="20"/>
        <v>1</v>
      </c>
      <c r="J190" s="8" t="str">
        <f t="shared" si="21"/>
        <v>THEN NULL ELSE X.CHAVE_IT END</v>
      </c>
      <c r="K190" s="9" t="str">
        <f t="shared" si="23"/>
        <v>UNION ALL SELECT '"&amp; RefDate &amp;"' AS REF_DATE, 'FRMT_B9000_C0080' AS COD_KPI, 'REGULAMENTAR' AS TIPOLOGIA_TESTE, 'O campo deve ser reportado com formato de texto.' AS DESCRIÇÃO, 'BU_LOANTAPE_WORK.OUT_B9000_COUNTERPARTIES' AS TABELA, '0080_cntrprty_typ' AS CAMPO, COUNT(*) AS NUM_REG, SUM(IF(`0080_cntrprty_typ` != '' OR `0080_cntrprty_typ` = 'Not applicable',0 ,1)) AS NUM_REG_DIF, GROUP_CONCAT(CASE WHEN `0080_cntrprty_typ` != '' OR `0080_cntrprty_typ` = 'Not applicable' THEN NULL ELSE X.CHAVE_IT END, '; ') AS DETALHE FROM (SELECT *, CONCAT(0020_UNIQ_ID_KNWN_CNTRPRTY, ', ', 0070_CNTRPRTY_ID) AS CHAVE_IT, 0080_cntrprty_typ AS CAMPO_IT FROM BU_LOANTAPE_WORK.OUT_B9000_COUNTERPARTIES WHERE REF_DATE='"&amp; RefDate &amp;"')X GROUP BY 1</v>
      </c>
    </row>
    <row r="191" spans="1:11" x14ac:dyDescent="0.3">
      <c r="A191" t="str">
        <f t="shared" si="25"/>
        <v>FRMT_B9000_C0090</v>
      </c>
      <c r="B191" t="s">
        <v>325</v>
      </c>
      <c r="C191" s="7">
        <v>1</v>
      </c>
      <c r="D191" s="1" t="s">
        <v>346</v>
      </c>
      <c r="E191" t="s">
        <v>648</v>
      </c>
      <c r="F191" t="s">
        <v>11</v>
      </c>
      <c r="G191" t="str">
        <f t="shared" si="24"/>
        <v>BU_LOANTAPE_WORK.OUT_B9000_COUNTERPARTIES</v>
      </c>
      <c r="H191" t="s">
        <v>341</v>
      </c>
      <c r="I191" s="7">
        <f t="shared" si="20"/>
        <v>0</v>
      </c>
      <c r="J191" s="8" t="str">
        <f t="shared" si="21"/>
        <v>THEN X.CHAVE_IT ELSE NULL END</v>
      </c>
      <c r="K191" s="9" t="str">
        <f t="shared" si="23"/>
        <v>UNION ALL SELECT '"&amp; RefDate &amp;"' AS REF_DATE, 'FRMT_B9000_C0090' AS COD_KPI, 'REGULAMENTAR' AS TIPOLOGIA_TESTE, 'O campo deve ser reportado com formato de texto.' AS DESCRIÇÃO, 'BU_LOANTAPE_WORK.OUT_B9000_COUNTERPARTIES' AS TABELA, '0090_cntry_cntrprty' AS CAMPO, COUNT(*) AS NUM_REG, SUM(IF(`0090_cntry_cntrprty` NOT IN ('AF','AX','AL','DZ','AS','AD','AO','AI','AQ','AG','AR','AM','AW','AU','AT','AZ','BS','BH','BD','BB','BY','BE','BZ','BJ','BM','BT','BO','BQ','BA','BW','BV','BR','IO','BN','BG','BF','BI','CV','KH','CM','CA','KY','CF','TD','CL','CN','CX','CC','CO','KM','CG','CD','CK','CR','CI','HR','CU','CW','CY','CZ','DK','DJ','DM','DO','EC','EG','SV','GQ','ER','EE','SZ','ET','FK','FO','FJ','FI','FR','GF','PF','TF','GA','GM','GE','DE','GH','GI','GR','GL','GD','GP','GU','GT','GG','GN','GW','GY','HT','HM','VA','HN','HK','HU','IS','IN','ID','IR','IQ','IE','IM','IL','IT','JM','JP','JE','JO','KZ','KE','KI','KP','KR','KW','KG','LA','LV','LB','LS','LR','LY','LI','LT','LU','MO','MG','MW','MY','MV','ML','MT','MH','MQ','MR','MU','YT','MX','FM','MD','MC','MN','ME','MS','MA','MZ','MM','NA','NR','NP','NL','NC','NZ','NI','NE','NG','NU','NF','MK','MP','NO','OM','PK','PW','PS','PA','PG','PY','PE','PH','PN','PL','PT','PR','QA','RE','RO','RU','RW','BL','SH','KN','LC','MF','PM','VC','WS','SM','ST','SA','SN','RS','SC','SL','SG','SX','SK','SI','SB','SO','ZA','GS','SS','ES','LK','SD','SR','SJ','SE','CH','SY','TW','TJ','TZ','TH','TL','TG','TK','TO','TT','TN','TR','TM','TC','TV','UG','UA','AE','GB','US','UM','UY','UZ','VU','VE','VN','VG','VI','WF','EH','YE','ZM','ZW'),1 ,0)) AS NUM_REG_DIF, GROUP_CONCAT(CASE WHEN `0090_cntry_cntrprty` NOT IN ('AF','AX','AL','DZ','AS','AD','AO','AI','AQ','AG','AR','AM','AW','AU','AT','AZ','BS','BH','BD','BB','BY','BE','BZ','BJ','BM','BT','BO','BQ','BA','BW','BV','BR','IO','BN','BG','BF','BI','CV','KH','CM','CA','KY','CF','TD','CL','CN','CX','CC','CO','KM','CG','CD','CK','CR','CI','HR','CU','CW','CY','CZ','DK','DJ','DM','DO','EC','EG','SV','GQ','ER','EE','SZ','ET','FK','FO','FJ','FI','FR','GF','PF','TF','GA','GM','GE','DE','GH','GI','GR','GL','GD','GP','GU','GT','GG','GN','GW','GY','HT','HM','VA','HN','HK','HU','IS','IN','ID','IR','IQ','IE','IM','IL','IT','JM','JP','JE','JO','KZ','KE','KI','KP','KR','KW','KG','LA','LV','LB','LS','LR','LY','LI','LT','LU','MO','MG','MW','MY','MV','ML','MT','MH','MQ','MR','MU','YT','MX','FM','MD','MC','MN','ME','MS','MA','MZ','MM','NA','NR','NP','NL','NC','NZ','NI','NE','NG','NU','NF','MK','MP','NO','OM','PK','PW','PS','PA','PG','PY','PE','PH','PN','PL','PT','PR','QA','RE','RO','RU','RW','BL','SH','KN','LC','MF','PM','VC','WS','SM','ST','SA','SN','RS','SC','SL','SG','SX','SK','SI','SB','SO','ZA','GS','SS','ES','LK','SD','SR','SJ','SE','CH','SY','TW','TJ','TZ','TH','TL','TG','TK','TO','TT','TN','TR','TM','TC','TV','UG','UA','AE','GB','US','UM','UY','UZ','VU','VE','VN','VG','VI','WF','EH','YE','ZM','ZW') THEN X.CHAVE_IT ELSE NULL END, '; ') AS DETALHE FROM (SELECT *, CONCAT(0020_UNIQ_ID_KNWN_CNTRPRTY, ', ', 0070_CNTRPRTY_ID) AS CHAVE_IT, 0090_cntry_cntrprty AS CAMPO_IT FROM BU_LOANTAPE_WORK.OUT_B9000_COUNTERPARTIES WHERE REF_DATE='"&amp; RefDate &amp;"')X GROUP BY 1</v>
      </c>
    </row>
    <row r="192" spans="1:11" x14ac:dyDescent="0.3">
      <c r="A192" t="str">
        <f t="shared" si="25"/>
        <v>FRMT_B9000_C0100</v>
      </c>
      <c r="B192" t="s">
        <v>343</v>
      </c>
      <c r="C192" s="7">
        <v>1</v>
      </c>
      <c r="D192" s="1" t="s">
        <v>345</v>
      </c>
      <c r="E192" t="s">
        <v>648</v>
      </c>
      <c r="F192" t="s">
        <v>11</v>
      </c>
      <c r="G192" t="str">
        <f t="shared" si="24"/>
        <v>BU_LOANTAPE_WORK.OUT_B9000_COUNTERPARTIES</v>
      </c>
      <c r="H192" t="s">
        <v>342</v>
      </c>
      <c r="I192" s="7">
        <f t="shared" si="20"/>
        <v>0</v>
      </c>
      <c r="J192" s="8" t="str">
        <f t="shared" si="21"/>
        <v>THEN X.CHAVE_IT ELSE NULL END</v>
      </c>
      <c r="K192" s="9" t="str">
        <f t="shared" si="23"/>
        <v>UNION ALL SELECT '"&amp; RefDate &amp;"' AS REF_DATE, 'FRMT_B9000_C0100' AS COD_KPI, 'REGULAMENTAR' AS TIPOLOGIA_TESTE, 'O campo deve ser reportado com formato numérico.' AS DESCRIÇÃO, 'BU_LOANTAPE_WORK.OUT_B9000_COUNTERPARTIES' AS TABELA, '0100_rlvnt_amnt_wdc' AS CAMPO, COUNT(*) AS NUM_REG, SUM(IF(CAST(ROUND(`0100_rlvnt_amnt_wdc`, 2) AS STRING) != CAST(`0100_rlvnt_amnt_wdc` AS STRING),1 ,0)) AS NUM_REG_DIF, GROUP_CONCAT(CASE WHEN CAST(ROUND(`0100_rlvnt_amnt_wdc`, 2) AS STRING) != CAST(`0100_rlvnt_amnt_wdc` AS STRING) THEN X.CHAVE_IT ELSE NULL END, '; ') AS DETALHE FROM (SELECT *, CONCAT(0020_UNIQ_ID_KNWN_CNTRPRTY, ', ', 0070_CNTRPRTY_ID) AS CHAVE_IT, 0100_rlvnt_amnt_wdc AS CAMPO_IT FROM BU_LOANTAPE_WORK.OUT_B9000_COUNTERPARTIES WHERE REF_DATE='"&amp; RefDate &amp;"')X GROUP BY 1</v>
      </c>
    </row>
  </sheetData>
  <autoFilter ref="A1:K192" xr:uid="{E9C25DA1-44CF-4FA5-B1E5-ADE5F9661D1C}"/>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CC354-0499-42CF-83B3-3C320D55460F}">
  <dimension ref="A1:K86"/>
  <sheetViews>
    <sheetView showGridLines="0" workbookViewId="0">
      <selection activeCell="K24" sqref="K24"/>
    </sheetView>
  </sheetViews>
  <sheetFormatPr defaultRowHeight="14.4" x14ac:dyDescent="0.3"/>
  <cols>
    <col min="11" max="11" width="9.109375" bestFit="1" customWidth="1"/>
  </cols>
  <sheetData>
    <row r="1" spans="1:11" x14ac:dyDescent="0.3">
      <c r="A1" s="5" t="s">
        <v>19</v>
      </c>
      <c r="B1" t="s">
        <v>20</v>
      </c>
      <c r="C1" t="s">
        <v>21</v>
      </c>
      <c r="D1" t="s">
        <v>22</v>
      </c>
      <c r="E1" t="s">
        <v>23</v>
      </c>
      <c r="F1" t="s">
        <v>24</v>
      </c>
      <c r="G1" t="s">
        <v>25</v>
      </c>
      <c r="H1" t="s">
        <v>26</v>
      </c>
      <c r="I1" t="s">
        <v>27</v>
      </c>
      <c r="J1" s="5" t="s">
        <v>28</v>
      </c>
      <c r="K1" t="s">
        <v>322</v>
      </c>
    </row>
    <row r="2" spans="1:11" x14ac:dyDescent="0.3">
      <c r="A2" s="5" t="s">
        <v>29</v>
      </c>
      <c r="B2" t="s">
        <v>30</v>
      </c>
      <c r="C2" t="s">
        <v>31</v>
      </c>
      <c r="D2" t="s">
        <v>32</v>
      </c>
      <c r="E2" t="s">
        <v>33</v>
      </c>
      <c r="F2" t="s">
        <v>34</v>
      </c>
      <c r="H2" t="s">
        <v>35</v>
      </c>
      <c r="J2" s="5" t="s">
        <v>36</v>
      </c>
      <c r="K2" t="s">
        <v>652</v>
      </c>
    </row>
    <row r="3" spans="1:11" x14ac:dyDescent="0.3">
      <c r="A3" s="5" t="s">
        <v>37</v>
      </c>
      <c r="B3" t="s">
        <v>30</v>
      </c>
      <c r="C3" t="s">
        <v>38</v>
      </c>
      <c r="D3" t="s">
        <v>39</v>
      </c>
      <c r="E3" t="s">
        <v>40</v>
      </c>
      <c r="F3" t="s">
        <v>34</v>
      </c>
      <c r="H3" t="s">
        <v>41</v>
      </c>
      <c r="J3" s="5" t="s">
        <v>36</v>
      </c>
      <c r="K3" t="s">
        <v>652</v>
      </c>
    </row>
    <row r="4" spans="1:11" x14ac:dyDescent="0.3">
      <c r="A4" s="5" t="s">
        <v>42</v>
      </c>
      <c r="B4" t="s">
        <v>30</v>
      </c>
      <c r="C4" t="s">
        <v>43</v>
      </c>
      <c r="D4" t="s">
        <v>44</v>
      </c>
      <c r="E4" t="s">
        <v>45</v>
      </c>
      <c r="F4" t="s">
        <v>34</v>
      </c>
      <c r="H4" t="s">
        <v>41</v>
      </c>
      <c r="J4" s="5" t="s">
        <v>36</v>
      </c>
      <c r="K4" t="s">
        <v>652</v>
      </c>
    </row>
    <row r="5" spans="1:11" x14ac:dyDescent="0.3">
      <c r="A5" s="5" t="s">
        <v>46</v>
      </c>
      <c r="B5" t="s">
        <v>30</v>
      </c>
      <c r="C5" t="s">
        <v>47</v>
      </c>
      <c r="D5" t="s">
        <v>48</v>
      </c>
      <c r="E5" t="s">
        <v>49</v>
      </c>
      <c r="F5" t="s">
        <v>34</v>
      </c>
      <c r="H5" t="s">
        <v>41</v>
      </c>
      <c r="J5" s="5" t="s">
        <v>36</v>
      </c>
      <c r="K5" t="s">
        <v>652</v>
      </c>
    </row>
    <row r="6" spans="1:11" x14ac:dyDescent="0.3">
      <c r="A6" s="5" t="s">
        <v>50</v>
      </c>
      <c r="B6" t="s">
        <v>30</v>
      </c>
      <c r="C6" t="s">
        <v>51</v>
      </c>
      <c r="D6" t="s">
        <v>52</v>
      </c>
      <c r="E6" t="s">
        <v>53</v>
      </c>
      <c r="F6" t="s">
        <v>34</v>
      </c>
      <c r="H6" t="s">
        <v>41</v>
      </c>
      <c r="I6" t="s">
        <v>54</v>
      </c>
      <c r="J6" s="5" t="s">
        <v>55</v>
      </c>
      <c r="K6" t="s">
        <v>653</v>
      </c>
    </row>
    <row r="7" spans="1:11" x14ac:dyDescent="0.3">
      <c r="A7" s="5" t="s">
        <v>56</v>
      </c>
      <c r="B7" t="s">
        <v>30</v>
      </c>
      <c r="C7" t="s">
        <v>51</v>
      </c>
      <c r="D7" t="s">
        <v>52</v>
      </c>
      <c r="E7" t="s">
        <v>53</v>
      </c>
      <c r="G7" t="s">
        <v>34</v>
      </c>
      <c r="H7" t="s">
        <v>41</v>
      </c>
      <c r="I7" t="s">
        <v>57</v>
      </c>
      <c r="J7" s="5" t="s">
        <v>58</v>
      </c>
      <c r="K7" t="s">
        <v>654</v>
      </c>
    </row>
    <row r="8" spans="1:11" x14ac:dyDescent="0.3">
      <c r="A8" s="5" t="s">
        <v>59</v>
      </c>
      <c r="B8" t="s">
        <v>30</v>
      </c>
      <c r="C8" t="s">
        <v>60</v>
      </c>
      <c r="D8" t="s">
        <v>61</v>
      </c>
      <c r="E8" t="s">
        <v>53</v>
      </c>
      <c r="F8" t="s">
        <v>34</v>
      </c>
      <c r="H8" t="s">
        <v>41</v>
      </c>
      <c r="I8" t="s">
        <v>62</v>
      </c>
      <c r="J8" s="5" t="s">
        <v>63</v>
      </c>
      <c r="K8" t="s">
        <v>655</v>
      </c>
    </row>
    <row r="9" spans="1:11" x14ac:dyDescent="0.3">
      <c r="A9" s="5" t="s">
        <v>64</v>
      </c>
      <c r="B9" t="s">
        <v>30</v>
      </c>
      <c r="C9" t="s">
        <v>65</v>
      </c>
      <c r="D9" t="s">
        <v>66</v>
      </c>
      <c r="E9" t="s">
        <v>53</v>
      </c>
      <c r="F9" t="s">
        <v>34</v>
      </c>
      <c r="H9" t="s">
        <v>41</v>
      </c>
      <c r="I9" t="s">
        <v>67</v>
      </c>
      <c r="J9" s="5" t="s">
        <v>68</v>
      </c>
      <c r="K9" t="s">
        <v>656</v>
      </c>
    </row>
    <row r="10" spans="1:11" x14ac:dyDescent="0.3">
      <c r="A10" s="5" t="s">
        <v>69</v>
      </c>
      <c r="B10" t="s">
        <v>30</v>
      </c>
      <c r="C10" t="s">
        <v>65</v>
      </c>
      <c r="D10" t="s">
        <v>66</v>
      </c>
      <c r="E10" t="s">
        <v>53</v>
      </c>
      <c r="G10" t="s">
        <v>34</v>
      </c>
      <c r="H10" t="s">
        <v>41</v>
      </c>
      <c r="I10" t="s">
        <v>70</v>
      </c>
      <c r="J10" s="5" t="s">
        <v>71</v>
      </c>
      <c r="K10" t="s">
        <v>654</v>
      </c>
    </row>
    <row r="11" spans="1:11" x14ac:dyDescent="0.3">
      <c r="A11" s="5" t="s">
        <v>72</v>
      </c>
      <c r="B11" t="s">
        <v>30</v>
      </c>
      <c r="C11" t="s">
        <v>73</v>
      </c>
      <c r="D11" t="s">
        <v>74</v>
      </c>
      <c r="E11" t="s">
        <v>53</v>
      </c>
      <c r="F11" t="s">
        <v>34</v>
      </c>
      <c r="H11" t="s">
        <v>41</v>
      </c>
      <c r="I11" t="s">
        <v>54</v>
      </c>
      <c r="J11" s="5" t="s">
        <v>75</v>
      </c>
      <c r="K11" t="s">
        <v>657</v>
      </c>
    </row>
    <row r="12" spans="1:11" x14ac:dyDescent="0.3">
      <c r="A12" s="5" t="s">
        <v>76</v>
      </c>
      <c r="B12" t="s">
        <v>30</v>
      </c>
      <c r="C12" t="s">
        <v>73</v>
      </c>
      <c r="D12" t="s">
        <v>74</v>
      </c>
      <c r="E12" t="s">
        <v>53</v>
      </c>
      <c r="G12" t="s">
        <v>34</v>
      </c>
      <c r="H12" t="s">
        <v>41</v>
      </c>
      <c r="I12" t="s">
        <v>70</v>
      </c>
      <c r="J12" s="5" t="s">
        <v>71</v>
      </c>
      <c r="K12" t="s">
        <v>654</v>
      </c>
    </row>
    <row r="13" spans="1:11" x14ac:dyDescent="0.3">
      <c r="A13" s="5" t="s">
        <v>77</v>
      </c>
      <c r="B13" t="s">
        <v>30</v>
      </c>
      <c r="C13" t="s">
        <v>78</v>
      </c>
      <c r="D13" t="s">
        <v>79</v>
      </c>
      <c r="E13" t="s">
        <v>53</v>
      </c>
      <c r="F13" t="s">
        <v>34</v>
      </c>
      <c r="H13" t="s">
        <v>41</v>
      </c>
      <c r="J13" s="5" t="s">
        <v>36</v>
      </c>
      <c r="K13" t="s">
        <v>652</v>
      </c>
    </row>
    <row r="14" spans="1:11" x14ac:dyDescent="0.3">
      <c r="A14" s="5" t="s">
        <v>80</v>
      </c>
      <c r="B14" t="s">
        <v>30</v>
      </c>
      <c r="C14" t="s">
        <v>81</v>
      </c>
      <c r="D14" t="s">
        <v>82</v>
      </c>
      <c r="E14" t="s">
        <v>83</v>
      </c>
      <c r="F14" t="s">
        <v>34</v>
      </c>
      <c r="H14" t="s">
        <v>41</v>
      </c>
      <c r="J14" s="5" t="s">
        <v>36</v>
      </c>
      <c r="K14" t="s">
        <v>652</v>
      </c>
    </row>
    <row r="15" spans="1:11" x14ac:dyDescent="0.3">
      <c r="A15" s="5" t="s">
        <v>84</v>
      </c>
      <c r="B15" t="s">
        <v>30</v>
      </c>
      <c r="C15" t="s">
        <v>85</v>
      </c>
      <c r="D15" t="s">
        <v>86</v>
      </c>
      <c r="E15" t="s">
        <v>40</v>
      </c>
      <c r="F15" t="s">
        <v>34</v>
      </c>
      <c r="H15" t="s">
        <v>41</v>
      </c>
      <c r="I15" t="s">
        <v>87</v>
      </c>
      <c r="J15" s="5" t="s">
        <v>88</v>
      </c>
      <c r="K15" t="s">
        <v>658</v>
      </c>
    </row>
    <row r="16" spans="1:11" x14ac:dyDescent="0.3">
      <c r="A16" s="5" t="s">
        <v>89</v>
      </c>
      <c r="B16" t="s">
        <v>30</v>
      </c>
      <c r="C16" t="s">
        <v>90</v>
      </c>
      <c r="D16" t="s">
        <v>91</v>
      </c>
      <c r="E16" t="s">
        <v>33</v>
      </c>
      <c r="F16" t="s">
        <v>34</v>
      </c>
      <c r="H16" t="s">
        <v>41</v>
      </c>
      <c r="J16" s="5" t="s">
        <v>36</v>
      </c>
      <c r="K16" t="s">
        <v>652</v>
      </c>
    </row>
    <row r="17" spans="1:11" x14ac:dyDescent="0.3">
      <c r="A17" s="5" t="s">
        <v>92</v>
      </c>
      <c r="B17" t="s">
        <v>30</v>
      </c>
      <c r="C17" t="s">
        <v>93</v>
      </c>
      <c r="D17" t="s">
        <v>94</v>
      </c>
      <c r="E17" t="s">
        <v>95</v>
      </c>
      <c r="F17" t="s">
        <v>34</v>
      </c>
      <c r="H17" t="s">
        <v>41</v>
      </c>
      <c r="J17" s="5" t="s">
        <v>36</v>
      </c>
      <c r="K17" t="s">
        <v>652</v>
      </c>
    </row>
    <row r="18" spans="1:11" x14ac:dyDescent="0.3">
      <c r="A18" s="5" t="s">
        <v>96</v>
      </c>
      <c r="B18" t="s">
        <v>30</v>
      </c>
      <c r="C18" t="s">
        <v>97</v>
      </c>
      <c r="D18" t="s">
        <v>98</v>
      </c>
      <c r="E18" t="s">
        <v>99</v>
      </c>
      <c r="F18" t="s">
        <v>34</v>
      </c>
      <c r="H18" t="s">
        <v>41</v>
      </c>
      <c r="I18" t="s">
        <v>100</v>
      </c>
      <c r="J18" s="5" t="s">
        <v>101</v>
      </c>
      <c r="K18" t="s">
        <v>656</v>
      </c>
    </row>
    <row r="19" spans="1:11" x14ac:dyDescent="0.3">
      <c r="A19" s="5" t="s">
        <v>102</v>
      </c>
      <c r="B19" t="s">
        <v>30</v>
      </c>
      <c r="C19" t="s">
        <v>97</v>
      </c>
      <c r="D19" t="s">
        <v>98</v>
      </c>
      <c r="E19" t="s">
        <v>99</v>
      </c>
      <c r="G19" t="s">
        <v>34</v>
      </c>
      <c r="H19" t="s">
        <v>41</v>
      </c>
      <c r="I19" t="s">
        <v>70</v>
      </c>
      <c r="J19" s="5" t="s">
        <v>103</v>
      </c>
      <c r="K19" t="s">
        <v>659</v>
      </c>
    </row>
    <row r="20" spans="1:11" x14ac:dyDescent="0.3">
      <c r="A20" s="5" t="s">
        <v>104</v>
      </c>
      <c r="B20" t="s">
        <v>30</v>
      </c>
      <c r="C20" t="s">
        <v>105</v>
      </c>
      <c r="D20" t="s">
        <v>106</v>
      </c>
      <c r="E20" t="s">
        <v>99</v>
      </c>
      <c r="G20" t="s">
        <v>34</v>
      </c>
      <c r="H20" t="s">
        <v>41</v>
      </c>
      <c r="J20" s="5" t="s">
        <v>107</v>
      </c>
      <c r="K20" t="s">
        <v>660</v>
      </c>
    </row>
    <row r="21" spans="1:11" x14ac:dyDescent="0.3">
      <c r="A21" s="5" t="s">
        <v>108</v>
      </c>
      <c r="B21" t="s">
        <v>30</v>
      </c>
      <c r="C21" t="s">
        <v>109</v>
      </c>
      <c r="D21" t="s">
        <v>110</v>
      </c>
      <c r="E21" t="s">
        <v>99</v>
      </c>
      <c r="F21" t="s">
        <v>34</v>
      </c>
      <c r="H21" t="s">
        <v>41</v>
      </c>
      <c r="I21" t="s">
        <v>111</v>
      </c>
      <c r="J21" s="5" t="s">
        <v>112</v>
      </c>
      <c r="K21" t="s">
        <v>661</v>
      </c>
    </row>
    <row r="22" spans="1:11" x14ac:dyDescent="0.3">
      <c r="A22" s="5" t="s">
        <v>113</v>
      </c>
      <c r="B22" t="s">
        <v>30</v>
      </c>
      <c r="C22" t="s">
        <v>114</v>
      </c>
      <c r="D22" t="s">
        <v>115</v>
      </c>
      <c r="E22" t="s">
        <v>116</v>
      </c>
      <c r="F22" t="s">
        <v>34</v>
      </c>
      <c r="H22" t="s">
        <v>41</v>
      </c>
      <c r="J22" s="5" t="s">
        <v>36</v>
      </c>
      <c r="K22" t="s">
        <v>652</v>
      </c>
    </row>
    <row r="23" spans="1:11" x14ac:dyDescent="0.3">
      <c r="A23" s="5" t="s">
        <v>117</v>
      </c>
      <c r="B23" t="s">
        <v>30</v>
      </c>
      <c r="C23" t="s">
        <v>118</v>
      </c>
      <c r="D23" t="s">
        <v>119</v>
      </c>
      <c r="E23" t="s">
        <v>83</v>
      </c>
      <c r="F23" t="s">
        <v>34</v>
      </c>
      <c r="H23" t="s">
        <v>41</v>
      </c>
      <c r="J23" s="5" t="s">
        <v>36</v>
      </c>
      <c r="K23" t="s">
        <v>652</v>
      </c>
    </row>
    <row r="24" spans="1:11" x14ac:dyDescent="0.3">
      <c r="A24" s="5" t="s">
        <v>120</v>
      </c>
      <c r="B24" t="s">
        <v>30</v>
      </c>
      <c r="C24" t="s">
        <v>121</v>
      </c>
      <c r="D24" t="s">
        <v>122</v>
      </c>
      <c r="E24" t="s">
        <v>53</v>
      </c>
      <c r="G24" t="s">
        <v>34</v>
      </c>
      <c r="H24" t="s">
        <v>41</v>
      </c>
      <c r="I24" t="s">
        <v>194</v>
      </c>
      <c r="J24" s="5" t="s">
        <v>123</v>
      </c>
      <c r="K24" t="s">
        <v>662</v>
      </c>
    </row>
    <row r="25" spans="1:11" x14ac:dyDescent="0.3">
      <c r="A25" s="5" t="s">
        <v>124</v>
      </c>
      <c r="B25" t="s">
        <v>30</v>
      </c>
      <c r="C25" t="s">
        <v>125</v>
      </c>
      <c r="D25" t="s">
        <v>126</v>
      </c>
      <c r="E25" t="s">
        <v>53</v>
      </c>
      <c r="F25" t="s">
        <v>34</v>
      </c>
      <c r="H25" t="s">
        <v>41</v>
      </c>
      <c r="I25" t="s">
        <v>194</v>
      </c>
      <c r="J25" s="5" t="s">
        <v>127</v>
      </c>
      <c r="K25" t="s">
        <v>663</v>
      </c>
    </row>
    <row r="26" spans="1:11" x14ac:dyDescent="0.3">
      <c r="A26" s="5" t="s">
        <v>128</v>
      </c>
      <c r="B26" t="s">
        <v>30</v>
      </c>
      <c r="C26" t="s">
        <v>129</v>
      </c>
      <c r="D26" t="s">
        <v>130</v>
      </c>
      <c r="E26" t="s">
        <v>53</v>
      </c>
      <c r="F26" t="s">
        <v>34</v>
      </c>
      <c r="H26" t="s">
        <v>41</v>
      </c>
      <c r="I26" t="s">
        <v>131</v>
      </c>
      <c r="J26" s="5" t="s">
        <v>132</v>
      </c>
      <c r="K26" t="s">
        <v>664</v>
      </c>
    </row>
    <row r="27" spans="1:11" x14ac:dyDescent="0.3">
      <c r="A27" s="5" t="s">
        <v>133</v>
      </c>
      <c r="B27" t="s">
        <v>30</v>
      </c>
      <c r="C27" t="s">
        <v>134</v>
      </c>
      <c r="D27" t="s">
        <v>135</v>
      </c>
      <c r="E27" t="s">
        <v>83</v>
      </c>
      <c r="F27" t="s">
        <v>34</v>
      </c>
      <c r="H27" t="s">
        <v>41</v>
      </c>
      <c r="J27" s="5" t="s">
        <v>36</v>
      </c>
      <c r="K27" t="s">
        <v>652</v>
      </c>
    </row>
    <row r="28" spans="1:11" x14ac:dyDescent="0.3">
      <c r="A28" s="5" t="s">
        <v>136</v>
      </c>
      <c r="B28" t="s">
        <v>30</v>
      </c>
      <c r="C28" t="s">
        <v>137</v>
      </c>
      <c r="D28" t="s">
        <v>138</v>
      </c>
      <c r="E28" t="s">
        <v>53</v>
      </c>
      <c r="F28" t="s">
        <v>34</v>
      </c>
      <c r="H28" t="s">
        <v>41</v>
      </c>
      <c r="I28" t="s">
        <v>139</v>
      </c>
      <c r="J28" s="5" t="s">
        <v>140</v>
      </c>
      <c r="K28" t="s">
        <v>665</v>
      </c>
    </row>
    <row r="29" spans="1:11" x14ac:dyDescent="0.3">
      <c r="A29" s="5" t="s">
        <v>141</v>
      </c>
      <c r="B29" t="s">
        <v>30</v>
      </c>
      <c r="C29" t="s">
        <v>142</v>
      </c>
      <c r="D29" t="s">
        <v>143</v>
      </c>
      <c r="E29" t="s">
        <v>53</v>
      </c>
      <c r="F29" t="s">
        <v>34</v>
      </c>
      <c r="H29" t="s">
        <v>41</v>
      </c>
      <c r="I29" t="s">
        <v>139</v>
      </c>
      <c r="J29" s="5" t="s">
        <v>144</v>
      </c>
      <c r="K29" t="s">
        <v>666</v>
      </c>
    </row>
    <row r="30" spans="1:11" x14ac:dyDescent="0.3">
      <c r="A30" s="5" t="s">
        <v>145</v>
      </c>
      <c r="B30" t="s">
        <v>30</v>
      </c>
      <c r="C30" t="s">
        <v>146</v>
      </c>
      <c r="D30" t="s">
        <v>147</v>
      </c>
      <c r="E30" t="s">
        <v>83</v>
      </c>
      <c r="F30" t="s">
        <v>34</v>
      </c>
      <c r="H30" t="s">
        <v>41</v>
      </c>
      <c r="I30" t="s">
        <v>139</v>
      </c>
      <c r="J30" s="5" t="s">
        <v>144</v>
      </c>
      <c r="K30" t="s">
        <v>666</v>
      </c>
    </row>
    <row r="31" spans="1:11" x14ac:dyDescent="0.3">
      <c r="A31" s="5" t="s">
        <v>148</v>
      </c>
      <c r="B31" t="s">
        <v>30</v>
      </c>
      <c r="C31" t="s">
        <v>149</v>
      </c>
      <c r="D31" t="s">
        <v>150</v>
      </c>
      <c r="E31" t="s">
        <v>40</v>
      </c>
      <c r="F31" t="s">
        <v>34</v>
      </c>
      <c r="H31" t="s">
        <v>41</v>
      </c>
      <c r="I31" t="s">
        <v>151</v>
      </c>
      <c r="J31" s="5" t="s">
        <v>152</v>
      </c>
      <c r="K31" t="s">
        <v>649</v>
      </c>
    </row>
    <row r="32" spans="1:11" x14ac:dyDescent="0.3">
      <c r="A32" s="5" t="s">
        <v>153</v>
      </c>
      <c r="B32" t="s">
        <v>30</v>
      </c>
      <c r="C32" t="s">
        <v>154</v>
      </c>
      <c r="D32" t="s">
        <v>155</v>
      </c>
      <c r="E32" t="s">
        <v>53</v>
      </c>
      <c r="F32" t="s">
        <v>34</v>
      </c>
      <c r="H32" t="s">
        <v>41</v>
      </c>
      <c r="I32" t="s">
        <v>156</v>
      </c>
      <c r="J32" s="5" t="s">
        <v>157</v>
      </c>
      <c r="K32" t="s">
        <v>667</v>
      </c>
    </row>
    <row r="33" spans="1:11" x14ac:dyDescent="0.3">
      <c r="A33" s="5" t="s">
        <v>158</v>
      </c>
      <c r="B33" t="s">
        <v>30</v>
      </c>
      <c r="C33" t="s">
        <v>154</v>
      </c>
      <c r="D33" t="s">
        <v>155</v>
      </c>
      <c r="E33" t="s">
        <v>53</v>
      </c>
      <c r="G33" t="s">
        <v>34</v>
      </c>
      <c r="I33" t="s">
        <v>159</v>
      </c>
      <c r="J33" s="5" t="s">
        <v>160</v>
      </c>
      <c r="K33" t="s">
        <v>668</v>
      </c>
    </row>
    <row r="34" spans="1:11" x14ac:dyDescent="0.3">
      <c r="A34" s="5" t="s">
        <v>161</v>
      </c>
      <c r="B34" t="s">
        <v>30</v>
      </c>
      <c r="C34" t="s">
        <v>162</v>
      </c>
      <c r="D34" t="s">
        <v>163</v>
      </c>
      <c r="E34" t="s">
        <v>33</v>
      </c>
      <c r="F34" t="s">
        <v>34</v>
      </c>
      <c r="H34" t="s">
        <v>41</v>
      </c>
      <c r="I34" t="s">
        <v>164</v>
      </c>
      <c r="J34" s="5" t="s">
        <v>165</v>
      </c>
      <c r="K34" t="s">
        <v>669</v>
      </c>
    </row>
    <row r="35" spans="1:11" x14ac:dyDescent="0.3">
      <c r="A35" s="5" t="s">
        <v>166</v>
      </c>
      <c r="B35" t="s">
        <v>30</v>
      </c>
      <c r="C35" t="s">
        <v>167</v>
      </c>
      <c r="D35" t="s">
        <v>168</v>
      </c>
      <c r="E35" t="s">
        <v>33</v>
      </c>
      <c r="F35" t="s">
        <v>34</v>
      </c>
      <c r="H35" t="s">
        <v>41</v>
      </c>
      <c r="I35" t="s">
        <v>164</v>
      </c>
      <c r="J35" s="5" t="s">
        <v>169</v>
      </c>
      <c r="K35" t="s">
        <v>670</v>
      </c>
    </row>
    <row r="36" spans="1:11" x14ac:dyDescent="0.3">
      <c r="A36" s="5" t="s">
        <v>170</v>
      </c>
      <c r="B36" t="s">
        <v>30</v>
      </c>
      <c r="C36" t="s">
        <v>171</v>
      </c>
      <c r="D36" t="s">
        <v>172</v>
      </c>
      <c r="E36" t="s">
        <v>173</v>
      </c>
      <c r="F36" t="s">
        <v>34</v>
      </c>
      <c r="H36" t="s">
        <v>41</v>
      </c>
      <c r="I36" t="s">
        <v>174</v>
      </c>
      <c r="J36" s="5" t="s">
        <v>175</v>
      </c>
      <c r="K36" t="s">
        <v>671</v>
      </c>
    </row>
    <row r="37" spans="1:11" x14ac:dyDescent="0.3">
      <c r="A37" s="5" t="s">
        <v>176</v>
      </c>
      <c r="B37" t="s">
        <v>30</v>
      </c>
      <c r="C37" t="s">
        <v>171</v>
      </c>
      <c r="D37" t="s">
        <v>172</v>
      </c>
      <c r="E37" t="s">
        <v>173</v>
      </c>
      <c r="G37" t="s">
        <v>34</v>
      </c>
      <c r="H37" t="s">
        <v>41</v>
      </c>
      <c r="I37" t="s">
        <v>177</v>
      </c>
      <c r="J37" s="5" t="s">
        <v>178</v>
      </c>
      <c r="K37" t="s">
        <v>672</v>
      </c>
    </row>
    <row r="38" spans="1:11" x14ac:dyDescent="0.3">
      <c r="A38" s="5" t="s">
        <v>179</v>
      </c>
      <c r="B38" t="s">
        <v>30</v>
      </c>
      <c r="C38" t="s">
        <v>180</v>
      </c>
      <c r="D38" t="s">
        <v>181</v>
      </c>
      <c r="E38" t="s">
        <v>53</v>
      </c>
      <c r="G38" t="s">
        <v>34</v>
      </c>
      <c r="H38" t="s">
        <v>41</v>
      </c>
      <c r="J38" s="5" t="s">
        <v>182</v>
      </c>
      <c r="K38" t="s">
        <v>673</v>
      </c>
    </row>
    <row r="39" spans="1:11" x14ac:dyDescent="0.3">
      <c r="A39" s="5" t="s">
        <v>183</v>
      </c>
      <c r="B39" t="s">
        <v>30</v>
      </c>
      <c r="C39" t="s">
        <v>184</v>
      </c>
      <c r="D39" t="s">
        <v>185</v>
      </c>
      <c r="E39" t="s">
        <v>186</v>
      </c>
      <c r="F39" t="s">
        <v>34</v>
      </c>
      <c r="H39" t="s">
        <v>41</v>
      </c>
      <c r="I39" t="s">
        <v>187</v>
      </c>
      <c r="J39" s="5" t="s">
        <v>188</v>
      </c>
      <c r="K39" t="s">
        <v>674</v>
      </c>
    </row>
    <row r="40" spans="1:11" x14ac:dyDescent="0.3">
      <c r="A40" s="5" t="s">
        <v>189</v>
      </c>
      <c r="B40" t="s">
        <v>30</v>
      </c>
      <c r="C40" t="s">
        <v>190</v>
      </c>
      <c r="D40" t="s">
        <v>191</v>
      </c>
      <c r="E40" t="s">
        <v>186</v>
      </c>
      <c r="F40" t="s">
        <v>34</v>
      </c>
      <c r="H40" t="s">
        <v>41</v>
      </c>
      <c r="I40" t="s">
        <v>187</v>
      </c>
      <c r="J40" s="5" t="s">
        <v>188</v>
      </c>
      <c r="K40" t="s">
        <v>674</v>
      </c>
    </row>
    <row r="41" spans="1:11" x14ac:dyDescent="0.3">
      <c r="A41" s="5" t="s">
        <v>7</v>
      </c>
      <c r="B41" t="s">
        <v>192</v>
      </c>
      <c r="C41" t="s">
        <v>38</v>
      </c>
      <c r="D41" t="s">
        <v>193</v>
      </c>
      <c r="E41" t="s">
        <v>83</v>
      </c>
      <c r="F41" t="s">
        <v>34</v>
      </c>
      <c r="H41" t="s">
        <v>41</v>
      </c>
      <c r="J41" s="5" t="s">
        <v>36</v>
      </c>
      <c r="K41" t="s">
        <v>652</v>
      </c>
    </row>
    <row r="42" spans="1:11" x14ac:dyDescent="0.3">
      <c r="A42" s="5" t="s">
        <v>195</v>
      </c>
      <c r="B42" t="s">
        <v>30</v>
      </c>
      <c r="C42" t="s">
        <v>38</v>
      </c>
      <c r="D42" t="s">
        <v>39</v>
      </c>
      <c r="E42" t="s">
        <v>40</v>
      </c>
      <c r="F42" t="s">
        <v>34</v>
      </c>
      <c r="H42" t="s">
        <v>196</v>
      </c>
      <c r="I42" t="s">
        <v>197</v>
      </c>
      <c r="J42" s="5" t="s">
        <v>198</v>
      </c>
      <c r="K42" t="s">
        <v>650</v>
      </c>
    </row>
    <row r="43" spans="1:11" x14ac:dyDescent="0.3">
      <c r="A43" s="5" t="s">
        <v>199</v>
      </c>
      <c r="B43" t="s">
        <v>30</v>
      </c>
      <c r="C43" t="s">
        <v>47</v>
      </c>
      <c r="D43" t="s">
        <v>48</v>
      </c>
      <c r="E43" t="s">
        <v>49</v>
      </c>
      <c r="F43" t="s">
        <v>34</v>
      </c>
      <c r="H43" t="s">
        <v>200</v>
      </c>
      <c r="I43" t="s">
        <v>201</v>
      </c>
      <c r="J43" s="5" t="s">
        <v>202</v>
      </c>
      <c r="K43" t="s">
        <v>630</v>
      </c>
    </row>
    <row r="44" spans="1:11" x14ac:dyDescent="0.3">
      <c r="A44" s="5" t="s">
        <v>203</v>
      </c>
      <c r="B44" t="s">
        <v>30</v>
      </c>
      <c r="C44" t="s">
        <v>51</v>
      </c>
      <c r="D44" t="s">
        <v>52</v>
      </c>
      <c r="E44" t="s">
        <v>53</v>
      </c>
      <c r="G44" t="s">
        <v>34</v>
      </c>
      <c r="H44" t="s">
        <v>204</v>
      </c>
      <c r="J44" s="5" t="s">
        <v>205</v>
      </c>
      <c r="K44" t="s">
        <v>641</v>
      </c>
    </row>
    <row r="45" spans="1:11" x14ac:dyDescent="0.3">
      <c r="A45" s="5" t="s">
        <v>206</v>
      </c>
      <c r="B45" t="s">
        <v>30</v>
      </c>
      <c r="C45" t="s">
        <v>60</v>
      </c>
      <c r="D45" t="s">
        <v>61</v>
      </c>
      <c r="E45" t="s">
        <v>53</v>
      </c>
      <c r="F45" t="s">
        <v>34</v>
      </c>
      <c r="H45" t="s">
        <v>207</v>
      </c>
      <c r="I45" t="s">
        <v>197</v>
      </c>
      <c r="J45" s="5" t="s">
        <v>208</v>
      </c>
      <c r="K45" t="s">
        <v>631</v>
      </c>
    </row>
    <row r="46" spans="1:11" x14ac:dyDescent="0.3">
      <c r="A46" s="5" t="s">
        <v>209</v>
      </c>
      <c r="B46" t="s">
        <v>30</v>
      </c>
      <c r="C46" t="s">
        <v>65</v>
      </c>
      <c r="D46" t="s">
        <v>66</v>
      </c>
      <c r="E46" t="s">
        <v>53</v>
      </c>
      <c r="G46" t="s">
        <v>34</v>
      </c>
      <c r="H46" t="s">
        <v>210</v>
      </c>
      <c r="J46" s="5" t="s">
        <v>211</v>
      </c>
      <c r="K46" t="s">
        <v>642</v>
      </c>
    </row>
    <row r="47" spans="1:11" x14ac:dyDescent="0.3">
      <c r="A47" s="5" t="s">
        <v>212</v>
      </c>
      <c r="B47" t="s">
        <v>30</v>
      </c>
      <c r="C47" t="s">
        <v>213</v>
      </c>
      <c r="D47" t="s">
        <v>214</v>
      </c>
      <c r="E47" t="s">
        <v>53</v>
      </c>
      <c r="G47" t="s">
        <v>34</v>
      </c>
      <c r="H47" t="s">
        <v>207</v>
      </c>
      <c r="J47" s="5" t="s">
        <v>215</v>
      </c>
      <c r="K47" t="s">
        <v>643</v>
      </c>
    </row>
    <row r="48" spans="1:11" x14ac:dyDescent="0.3">
      <c r="A48" s="5" t="s">
        <v>216</v>
      </c>
      <c r="B48" t="s">
        <v>30</v>
      </c>
      <c r="C48" t="s">
        <v>73</v>
      </c>
      <c r="D48" t="s">
        <v>74</v>
      </c>
      <c r="E48" t="s">
        <v>53</v>
      </c>
      <c r="F48" t="s">
        <v>34</v>
      </c>
      <c r="H48" t="s">
        <v>204</v>
      </c>
      <c r="J48" s="5" t="s">
        <v>217</v>
      </c>
      <c r="K48" t="s">
        <v>632</v>
      </c>
    </row>
    <row r="49" spans="1:11" x14ac:dyDescent="0.3">
      <c r="A49" s="5" t="s">
        <v>218</v>
      </c>
      <c r="B49" t="s">
        <v>30</v>
      </c>
      <c r="C49" t="s">
        <v>73</v>
      </c>
      <c r="D49" t="s">
        <v>74</v>
      </c>
      <c r="E49" t="s">
        <v>53</v>
      </c>
      <c r="F49" t="s">
        <v>34</v>
      </c>
      <c r="H49" t="s">
        <v>219</v>
      </c>
      <c r="J49" s="5" t="s">
        <v>220</v>
      </c>
      <c r="K49" t="s">
        <v>633</v>
      </c>
    </row>
    <row r="50" spans="1:11" x14ac:dyDescent="0.3">
      <c r="A50" s="5" t="s">
        <v>221</v>
      </c>
      <c r="B50" t="s">
        <v>30</v>
      </c>
      <c r="C50" t="s">
        <v>78</v>
      </c>
      <c r="D50" t="s">
        <v>79</v>
      </c>
      <c r="E50" t="s">
        <v>53</v>
      </c>
      <c r="F50" t="s">
        <v>34</v>
      </c>
      <c r="H50" t="s">
        <v>222</v>
      </c>
      <c r="I50" t="s">
        <v>223</v>
      </c>
      <c r="J50" s="5" t="s">
        <v>224</v>
      </c>
      <c r="K50" t="s">
        <v>647</v>
      </c>
    </row>
    <row r="51" spans="1:11" x14ac:dyDescent="0.3">
      <c r="A51" s="5" t="s">
        <v>225</v>
      </c>
      <c r="B51" t="s">
        <v>30</v>
      </c>
      <c r="C51" t="s">
        <v>78</v>
      </c>
      <c r="D51" t="s">
        <v>79</v>
      </c>
      <c r="E51" t="s">
        <v>53</v>
      </c>
      <c r="F51" t="s">
        <v>34</v>
      </c>
      <c r="H51" t="s">
        <v>226</v>
      </c>
      <c r="I51" t="s">
        <v>227</v>
      </c>
      <c r="J51" s="5" t="s">
        <v>228</v>
      </c>
      <c r="K51" t="s">
        <v>634</v>
      </c>
    </row>
    <row r="52" spans="1:11" x14ac:dyDescent="0.3">
      <c r="A52" s="5" t="s">
        <v>229</v>
      </c>
      <c r="B52" t="s">
        <v>30</v>
      </c>
      <c r="C52" t="s">
        <v>81</v>
      </c>
      <c r="D52" t="s">
        <v>82</v>
      </c>
      <c r="E52" t="s">
        <v>83</v>
      </c>
      <c r="F52" t="s">
        <v>34</v>
      </c>
      <c r="H52" t="s">
        <v>230</v>
      </c>
      <c r="J52" s="5" t="s">
        <v>231</v>
      </c>
      <c r="K52" t="s">
        <v>385</v>
      </c>
    </row>
    <row r="53" spans="1:11" x14ac:dyDescent="0.3">
      <c r="A53" s="5" t="s">
        <v>232</v>
      </c>
      <c r="B53" t="s">
        <v>30</v>
      </c>
      <c r="C53" t="s">
        <v>90</v>
      </c>
      <c r="D53" t="s">
        <v>91</v>
      </c>
      <c r="E53" t="s">
        <v>33</v>
      </c>
      <c r="F53" t="s">
        <v>34</v>
      </c>
      <c r="H53" t="s">
        <v>233</v>
      </c>
      <c r="J53" s="5" t="s">
        <v>234</v>
      </c>
      <c r="K53" t="s">
        <v>635</v>
      </c>
    </row>
    <row r="54" spans="1:11" x14ac:dyDescent="0.3">
      <c r="A54" s="5" t="s">
        <v>235</v>
      </c>
      <c r="B54" t="s">
        <v>30</v>
      </c>
      <c r="C54" t="s">
        <v>236</v>
      </c>
      <c r="D54" t="s">
        <v>237</v>
      </c>
      <c r="E54" t="s">
        <v>99</v>
      </c>
      <c r="F54" t="s">
        <v>34</v>
      </c>
      <c r="H54" t="s">
        <v>238</v>
      </c>
      <c r="I54" t="s">
        <v>239</v>
      </c>
      <c r="J54" s="5" t="s">
        <v>238</v>
      </c>
      <c r="K54" t="s">
        <v>646</v>
      </c>
    </row>
    <row r="55" spans="1:11" x14ac:dyDescent="0.3">
      <c r="A55" s="5" t="s">
        <v>240</v>
      </c>
      <c r="B55" t="s">
        <v>30</v>
      </c>
      <c r="C55" t="s">
        <v>236</v>
      </c>
      <c r="D55" t="s">
        <v>237</v>
      </c>
      <c r="E55" t="s">
        <v>99</v>
      </c>
      <c r="F55" t="s">
        <v>34</v>
      </c>
      <c r="H55" t="s">
        <v>241</v>
      </c>
      <c r="I55" t="s">
        <v>242</v>
      </c>
      <c r="J55" s="5" t="s">
        <v>241</v>
      </c>
      <c r="K55" t="s">
        <v>636</v>
      </c>
    </row>
    <row r="56" spans="1:11" x14ac:dyDescent="0.3">
      <c r="A56" s="5" t="s">
        <v>243</v>
      </c>
      <c r="B56" t="s">
        <v>30</v>
      </c>
      <c r="C56" t="s">
        <v>97</v>
      </c>
      <c r="D56" t="s">
        <v>98</v>
      </c>
      <c r="E56" t="s">
        <v>99</v>
      </c>
      <c r="F56" t="s">
        <v>34</v>
      </c>
      <c r="H56" t="s">
        <v>238</v>
      </c>
      <c r="I56" t="s">
        <v>239</v>
      </c>
      <c r="J56" s="5" t="s">
        <v>238</v>
      </c>
      <c r="K56" t="s">
        <v>646</v>
      </c>
    </row>
    <row r="57" spans="1:11" x14ac:dyDescent="0.3">
      <c r="A57" s="5" t="s">
        <v>244</v>
      </c>
      <c r="B57" t="s">
        <v>30</v>
      </c>
      <c r="C57" t="s">
        <v>97</v>
      </c>
      <c r="D57" t="s">
        <v>98</v>
      </c>
      <c r="E57" t="s">
        <v>99</v>
      </c>
      <c r="F57" t="s">
        <v>34</v>
      </c>
      <c r="H57" t="s">
        <v>245</v>
      </c>
      <c r="I57" t="s">
        <v>246</v>
      </c>
      <c r="J57" s="5" t="s">
        <v>245</v>
      </c>
      <c r="K57" t="s">
        <v>637</v>
      </c>
    </row>
    <row r="58" spans="1:11" x14ac:dyDescent="0.3">
      <c r="A58" s="5" t="s">
        <v>247</v>
      </c>
      <c r="B58" t="s">
        <v>30</v>
      </c>
      <c r="C58" t="s">
        <v>105</v>
      </c>
      <c r="D58" t="s">
        <v>106</v>
      </c>
      <c r="E58" t="s">
        <v>99</v>
      </c>
      <c r="F58" t="s">
        <v>34</v>
      </c>
      <c r="H58" t="s">
        <v>238</v>
      </c>
      <c r="I58" t="s">
        <v>239</v>
      </c>
      <c r="J58" s="5" t="s">
        <v>238</v>
      </c>
      <c r="K58" t="s">
        <v>646</v>
      </c>
    </row>
    <row r="59" spans="1:11" x14ac:dyDescent="0.3">
      <c r="A59" s="5" t="s">
        <v>248</v>
      </c>
      <c r="B59" t="s">
        <v>30</v>
      </c>
      <c r="C59" t="s">
        <v>105</v>
      </c>
      <c r="D59" t="s">
        <v>106</v>
      </c>
      <c r="E59" t="s">
        <v>99</v>
      </c>
      <c r="F59" t="s">
        <v>34</v>
      </c>
      <c r="H59" t="s">
        <v>245</v>
      </c>
      <c r="I59" t="s">
        <v>246</v>
      </c>
      <c r="J59" s="5" t="s">
        <v>245</v>
      </c>
      <c r="K59" t="s">
        <v>637</v>
      </c>
    </row>
    <row r="60" spans="1:11" x14ac:dyDescent="0.3">
      <c r="A60" s="5" t="s">
        <v>249</v>
      </c>
      <c r="B60" t="s">
        <v>30</v>
      </c>
      <c r="C60" t="s">
        <v>109</v>
      </c>
      <c r="D60" t="s">
        <v>110</v>
      </c>
      <c r="E60" t="s">
        <v>99</v>
      </c>
      <c r="F60" t="s">
        <v>34</v>
      </c>
      <c r="H60" t="s">
        <v>238</v>
      </c>
      <c r="I60" t="s">
        <v>239</v>
      </c>
      <c r="J60" s="5" t="s">
        <v>238</v>
      </c>
      <c r="K60" t="s">
        <v>646</v>
      </c>
    </row>
    <row r="61" spans="1:11" x14ac:dyDescent="0.3">
      <c r="A61" s="5" t="s">
        <v>250</v>
      </c>
      <c r="B61" t="s">
        <v>30</v>
      </c>
      <c r="C61" t="s">
        <v>109</v>
      </c>
      <c r="D61" t="s">
        <v>110</v>
      </c>
      <c r="E61" t="s">
        <v>99</v>
      </c>
      <c r="F61" t="s">
        <v>34</v>
      </c>
      <c r="H61" t="s">
        <v>245</v>
      </c>
      <c r="I61" t="s">
        <v>246</v>
      </c>
      <c r="J61" s="5" t="s">
        <v>245</v>
      </c>
      <c r="K61" t="s">
        <v>637</v>
      </c>
    </row>
    <row r="62" spans="1:11" x14ac:dyDescent="0.3">
      <c r="A62" s="5" t="s">
        <v>251</v>
      </c>
      <c r="B62" t="s">
        <v>30</v>
      </c>
      <c r="C62" t="s">
        <v>114</v>
      </c>
      <c r="D62" t="s">
        <v>115</v>
      </c>
      <c r="E62" t="s">
        <v>116</v>
      </c>
      <c r="F62" t="s">
        <v>34</v>
      </c>
      <c r="H62" t="s">
        <v>252</v>
      </c>
      <c r="I62" t="s">
        <v>239</v>
      </c>
      <c r="J62" s="5" t="s">
        <v>253</v>
      </c>
      <c r="K62" t="s">
        <v>638</v>
      </c>
    </row>
    <row r="63" spans="1:11" x14ac:dyDescent="0.3">
      <c r="A63" s="5" t="s">
        <v>254</v>
      </c>
      <c r="B63" t="s">
        <v>30</v>
      </c>
      <c r="C63" t="s">
        <v>255</v>
      </c>
      <c r="D63" t="s">
        <v>256</v>
      </c>
      <c r="E63" t="s">
        <v>83</v>
      </c>
      <c r="F63" t="s">
        <v>34</v>
      </c>
      <c r="H63" t="s">
        <v>230</v>
      </c>
      <c r="I63" t="s">
        <v>239</v>
      </c>
      <c r="J63" s="5" t="s">
        <v>231</v>
      </c>
      <c r="K63" t="s">
        <v>385</v>
      </c>
    </row>
    <row r="64" spans="1:11" x14ac:dyDescent="0.3">
      <c r="A64" s="5" t="s">
        <v>257</v>
      </c>
      <c r="B64" t="s">
        <v>30</v>
      </c>
      <c r="C64" t="s">
        <v>118</v>
      </c>
      <c r="D64" t="s">
        <v>119</v>
      </c>
      <c r="E64" t="s">
        <v>83</v>
      </c>
      <c r="F64" t="s">
        <v>34</v>
      </c>
      <c r="H64" t="s">
        <v>230</v>
      </c>
      <c r="J64" s="5" t="s">
        <v>231</v>
      </c>
      <c r="K64" t="s">
        <v>385</v>
      </c>
    </row>
    <row r="65" spans="1:11" x14ac:dyDescent="0.3">
      <c r="A65" s="5" t="s">
        <v>258</v>
      </c>
      <c r="B65" t="s">
        <v>30</v>
      </c>
      <c r="C65" t="s">
        <v>134</v>
      </c>
      <c r="D65" t="s">
        <v>135</v>
      </c>
      <c r="E65" t="s">
        <v>83</v>
      </c>
      <c r="F65" t="s">
        <v>34</v>
      </c>
      <c r="H65" t="s">
        <v>230</v>
      </c>
      <c r="J65" s="5" t="s">
        <v>231</v>
      </c>
      <c r="K65" t="s">
        <v>385</v>
      </c>
    </row>
    <row r="66" spans="1:11" x14ac:dyDescent="0.3">
      <c r="A66" s="5" t="s">
        <v>259</v>
      </c>
      <c r="B66" t="s">
        <v>30</v>
      </c>
      <c r="C66" t="s">
        <v>142</v>
      </c>
      <c r="D66" t="s">
        <v>143</v>
      </c>
      <c r="E66" t="s">
        <v>53</v>
      </c>
      <c r="F66" t="s">
        <v>34</v>
      </c>
      <c r="H66" t="s">
        <v>260</v>
      </c>
      <c r="I66" t="s">
        <v>261</v>
      </c>
      <c r="J66" s="5" t="s">
        <v>262</v>
      </c>
      <c r="K66" t="s">
        <v>639</v>
      </c>
    </row>
    <row r="67" spans="1:11" x14ac:dyDescent="0.3">
      <c r="A67" s="5" t="s">
        <v>263</v>
      </c>
      <c r="B67" t="s">
        <v>30</v>
      </c>
      <c r="C67" t="s">
        <v>142</v>
      </c>
      <c r="D67" t="s">
        <v>143</v>
      </c>
      <c r="E67" t="s">
        <v>53</v>
      </c>
      <c r="F67" t="s">
        <v>34</v>
      </c>
      <c r="H67" t="s">
        <v>264</v>
      </c>
      <c r="I67" t="s">
        <v>265</v>
      </c>
      <c r="J67" s="5" t="s">
        <v>266</v>
      </c>
      <c r="K67" t="s">
        <v>645</v>
      </c>
    </row>
    <row r="68" spans="1:11" x14ac:dyDescent="0.3">
      <c r="A68" s="5" t="s">
        <v>267</v>
      </c>
      <c r="B68" t="s">
        <v>30</v>
      </c>
      <c r="C68" t="s">
        <v>146</v>
      </c>
      <c r="D68" t="s">
        <v>147</v>
      </c>
      <c r="E68" t="s">
        <v>83</v>
      </c>
      <c r="F68" t="s">
        <v>34</v>
      </c>
      <c r="H68" t="s">
        <v>230</v>
      </c>
      <c r="J68" s="5" t="s">
        <v>231</v>
      </c>
      <c r="K68" t="s">
        <v>385</v>
      </c>
    </row>
    <row r="69" spans="1:11" x14ac:dyDescent="0.3">
      <c r="A69" s="5" t="s">
        <v>268</v>
      </c>
      <c r="B69" t="s">
        <v>30</v>
      </c>
      <c r="C69" t="s">
        <v>146</v>
      </c>
      <c r="D69" t="s">
        <v>147</v>
      </c>
      <c r="E69" t="s">
        <v>83</v>
      </c>
      <c r="F69" t="s">
        <v>34</v>
      </c>
      <c r="H69" t="s">
        <v>269</v>
      </c>
      <c r="I69" t="s">
        <v>270</v>
      </c>
      <c r="J69" s="5" t="s">
        <v>271</v>
      </c>
      <c r="K69" t="s">
        <v>651</v>
      </c>
    </row>
    <row r="70" spans="1:11" x14ac:dyDescent="0.3">
      <c r="A70" s="5" t="s">
        <v>272</v>
      </c>
      <c r="B70" t="s">
        <v>30</v>
      </c>
      <c r="C70" t="s">
        <v>273</v>
      </c>
      <c r="D70" t="s">
        <v>274</v>
      </c>
      <c r="E70" t="s">
        <v>83</v>
      </c>
      <c r="F70" t="s">
        <v>34</v>
      </c>
      <c r="H70" t="s">
        <v>230</v>
      </c>
      <c r="J70" s="5" t="s">
        <v>231</v>
      </c>
      <c r="K70" t="s">
        <v>385</v>
      </c>
    </row>
    <row r="71" spans="1:11" x14ac:dyDescent="0.3">
      <c r="A71" s="5" t="s">
        <v>275</v>
      </c>
      <c r="B71" t="s">
        <v>30</v>
      </c>
      <c r="C71" t="s">
        <v>276</v>
      </c>
      <c r="D71" t="s">
        <v>277</v>
      </c>
      <c r="E71" t="s">
        <v>83</v>
      </c>
      <c r="F71" t="s">
        <v>34</v>
      </c>
      <c r="H71" t="s">
        <v>230</v>
      </c>
      <c r="J71" s="5" t="s">
        <v>231</v>
      </c>
      <c r="K71" t="s">
        <v>385</v>
      </c>
    </row>
    <row r="72" spans="1:11" x14ac:dyDescent="0.3">
      <c r="A72" s="5" t="s">
        <v>278</v>
      </c>
      <c r="B72" t="s">
        <v>30</v>
      </c>
      <c r="C72" t="s">
        <v>279</v>
      </c>
      <c r="D72" t="s">
        <v>280</v>
      </c>
      <c r="E72" t="s">
        <v>53</v>
      </c>
      <c r="F72" t="s">
        <v>34</v>
      </c>
      <c r="H72" t="s">
        <v>207</v>
      </c>
      <c r="J72" s="5" t="s">
        <v>281</v>
      </c>
      <c r="K72" t="s">
        <v>631</v>
      </c>
    </row>
    <row r="73" spans="1:11" x14ac:dyDescent="0.3">
      <c r="A73" s="5" t="s">
        <v>282</v>
      </c>
      <c r="B73" t="s">
        <v>30</v>
      </c>
      <c r="C73" t="s">
        <v>283</v>
      </c>
      <c r="D73" t="s">
        <v>284</v>
      </c>
      <c r="E73" t="s">
        <v>83</v>
      </c>
      <c r="F73" t="s">
        <v>34</v>
      </c>
      <c r="H73" t="s">
        <v>230</v>
      </c>
      <c r="J73" s="5" t="s">
        <v>231</v>
      </c>
      <c r="K73" t="s">
        <v>385</v>
      </c>
    </row>
    <row r="74" spans="1:11" x14ac:dyDescent="0.3">
      <c r="A74" s="5" t="s">
        <v>285</v>
      </c>
      <c r="B74" t="s">
        <v>30</v>
      </c>
      <c r="C74" t="s">
        <v>286</v>
      </c>
      <c r="D74" t="s">
        <v>287</v>
      </c>
      <c r="E74" t="s">
        <v>53</v>
      </c>
      <c r="F74" t="s">
        <v>34</v>
      </c>
      <c r="H74" t="s">
        <v>207</v>
      </c>
      <c r="J74" s="5" t="s">
        <v>281</v>
      </c>
      <c r="K74" t="s">
        <v>631</v>
      </c>
    </row>
    <row r="75" spans="1:11" x14ac:dyDescent="0.3">
      <c r="A75" s="5" t="s">
        <v>288</v>
      </c>
      <c r="B75" t="s">
        <v>30</v>
      </c>
      <c r="C75" t="s">
        <v>289</v>
      </c>
      <c r="D75" t="s">
        <v>290</v>
      </c>
      <c r="E75" t="s">
        <v>83</v>
      </c>
      <c r="F75" t="s">
        <v>34</v>
      </c>
      <c r="H75" t="s">
        <v>230</v>
      </c>
      <c r="J75" s="5" t="s">
        <v>231</v>
      </c>
      <c r="K75" t="s">
        <v>385</v>
      </c>
    </row>
    <row r="76" spans="1:11" x14ac:dyDescent="0.3">
      <c r="A76" s="5" t="s">
        <v>291</v>
      </c>
      <c r="B76" t="s">
        <v>30</v>
      </c>
      <c r="C76" t="s">
        <v>180</v>
      </c>
      <c r="D76" t="s">
        <v>181</v>
      </c>
      <c r="E76" t="s">
        <v>53</v>
      </c>
      <c r="F76" t="s">
        <v>34</v>
      </c>
      <c r="H76" t="s">
        <v>207</v>
      </c>
      <c r="J76" s="5" t="s">
        <v>281</v>
      </c>
      <c r="K76" t="s">
        <v>631</v>
      </c>
    </row>
    <row r="77" spans="1:11" x14ac:dyDescent="0.3">
      <c r="A77" s="5" t="s">
        <v>292</v>
      </c>
      <c r="B77" t="s">
        <v>30</v>
      </c>
      <c r="C77" t="s">
        <v>293</v>
      </c>
      <c r="D77" t="s">
        <v>294</v>
      </c>
      <c r="E77" t="s">
        <v>83</v>
      </c>
      <c r="F77" t="s">
        <v>295</v>
      </c>
      <c r="H77" t="s">
        <v>230</v>
      </c>
      <c r="J77" s="5" t="s">
        <v>231</v>
      </c>
      <c r="K77" t="s">
        <v>385</v>
      </c>
    </row>
    <row r="78" spans="1:11" x14ac:dyDescent="0.3">
      <c r="A78" s="5" t="s">
        <v>296</v>
      </c>
      <c r="B78" t="s">
        <v>297</v>
      </c>
      <c r="C78" t="s">
        <v>38</v>
      </c>
      <c r="D78" t="s">
        <v>115</v>
      </c>
      <c r="E78" t="s">
        <v>116</v>
      </c>
      <c r="F78" t="s">
        <v>34</v>
      </c>
      <c r="H78" t="s">
        <v>252</v>
      </c>
      <c r="J78" s="5" t="s">
        <v>298</v>
      </c>
      <c r="K78" t="s">
        <v>640</v>
      </c>
    </row>
    <row r="79" spans="1:11" x14ac:dyDescent="0.3">
      <c r="A79" s="5" t="s">
        <v>299</v>
      </c>
      <c r="B79" t="s">
        <v>297</v>
      </c>
      <c r="C79" t="s">
        <v>300</v>
      </c>
      <c r="D79" t="s">
        <v>301</v>
      </c>
      <c r="E79" t="s">
        <v>302</v>
      </c>
      <c r="F79" t="s">
        <v>34</v>
      </c>
      <c r="H79" t="s">
        <v>230</v>
      </c>
      <c r="J79" s="5" t="s">
        <v>231</v>
      </c>
      <c r="K79" t="s">
        <v>385</v>
      </c>
    </row>
    <row r="80" spans="1:11" x14ac:dyDescent="0.3">
      <c r="A80" s="5" t="s">
        <v>303</v>
      </c>
      <c r="B80" t="s">
        <v>297</v>
      </c>
      <c r="C80" t="s">
        <v>304</v>
      </c>
      <c r="D80" t="s">
        <v>305</v>
      </c>
      <c r="E80" t="s">
        <v>53</v>
      </c>
      <c r="F80" t="s">
        <v>34</v>
      </c>
      <c r="H80" t="s">
        <v>207</v>
      </c>
      <c r="J80" s="5" t="s">
        <v>281</v>
      </c>
      <c r="K80" t="s">
        <v>631</v>
      </c>
    </row>
    <row r="81" spans="1:11" x14ac:dyDescent="0.3">
      <c r="A81" s="5" t="s">
        <v>306</v>
      </c>
      <c r="B81" t="s">
        <v>297</v>
      </c>
      <c r="C81" t="s">
        <v>47</v>
      </c>
      <c r="D81" t="s">
        <v>307</v>
      </c>
      <c r="E81" t="s">
        <v>302</v>
      </c>
      <c r="F81" t="s">
        <v>34</v>
      </c>
      <c r="H81" t="s">
        <v>230</v>
      </c>
      <c r="J81" s="5" t="s">
        <v>231</v>
      </c>
      <c r="K81" t="s">
        <v>385</v>
      </c>
    </row>
    <row r="82" spans="1:11" x14ac:dyDescent="0.3">
      <c r="A82" s="5" t="s">
        <v>308</v>
      </c>
      <c r="B82" t="s">
        <v>297</v>
      </c>
      <c r="C82" t="s">
        <v>51</v>
      </c>
      <c r="D82" t="s">
        <v>309</v>
      </c>
      <c r="E82" t="s">
        <v>53</v>
      </c>
      <c r="F82" t="s">
        <v>34</v>
      </c>
      <c r="H82" t="s">
        <v>207</v>
      </c>
      <c r="I82" t="s">
        <v>310</v>
      </c>
      <c r="J82" s="5" t="s">
        <v>281</v>
      </c>
      <c r="K82" t="s">
        <v>631</v>
      </c>
    </row>
    <row r="83" spans="1:11" x14ac:dyDescent="0.3">
      <c r="A83" s="5" t="s">
        <v>13</v>
      </c>
      <c r="B83" t="s">
        <v>192</v>
      </c>
      <c r="C83" t="s">
        <v>38</v>
      </c>
      <c r="D83" t="s">
        <v>193</v>
      </c>
      <c r="E83" t="s">
        <v>83</v>
      </c>
      <c r="F83" t="s">
        <v>34</v>
      </c>
      <c r="H83" t="s">
        <v>230</v>
      </c>
      <c r="J83" s="5" t="s">
        <v>231</v>
      </c>
      <c r="K83" t="s">
        <v>385</v>
      </c>
    </row>
    <row r="84" spans="1:11" x14ac:dyDescent="0.3">
      <c r="A84" s="5" t="s">
        <v>15</v>
      </c>
      <c r="B84" t="s">
        <v>192</v>
      </c>
      <c r="C84" t="s">
        <v>51</v>
      </c>
      <c r="D84" t="s">
        <v>311</v>
      </c>
      <c r="E84" t="s">
        <v>83</v>
      </c>
      <c r="F84" t="s">
        <v>34</v>
      </c>
      <c r="H84" t="s">
        <v>230</v>
      </c>
      <c r="J84" s="5" t="s">
        <v>231</v>
      </c>
      <c r="K84" t="s">
        <v>385</v>
      </c>
    </row>
    <row r="85" spans="1:11" x14ac:dyDescent="0.3">
      <c r="A85" s="5" t="s">
        <v>312</v>
      </c>
      <c r="B85" t="s">
        <v>192</v>
      </c>
      <c r="C85" t="s">
        <v>60</v>
      </c>
      <c r="D85" t="s">
        <v>313</v>
      </c>
      <c r="E85" t="s">
        <v>314</v>
      </c>
      <c r="F85" t="s">
        <v>34</v>
      </c>
      <c r="H85" t="s">
        <v>315</v>
      </c>
      <c r="I85" t="s">
        <v>316</v>
      </c>
      <c r="J85" s="5" t="s">
        <v>317</v>
      </c>
      <c r="K85" t="s">
        <v>344</v>
      </c>
    </row>
    <row r="86" spans="1:11" x14ac:dyDescent="0.3">
      <c r="A86" s="5" t="s">
        <v>318</v>
      </c>
      <c r="B86" t="s">
        <v>192</v>
      </c>
      <c r="C86" t="s">
        <v>65</v>
      </c>
      <c r="D86" t="s">
        <v>79</v>
      </c>
      <c r="E86" t="s">
        <v>53</v>
      </c>
      <c r="G86" t="s">
        <v>34</v>
      </c>
      <c r="H86" t="s">
        <v>319</v>
      </c>
      <c r="I86" t="s">
        <v>320</v>
      </c>
      <c r="J86" s="5" t="s">
        <v>321</v>
      </c>
      <c r="K86" t="s">
        <v>644</v>
      </c>
    </row>
  </sheetData>
  <autoFilter ref="A1:K86" xr:uid="{397CC354-0499-42CF-83B3-3C320D55460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D74163-3EEA-40B7-A710-18DF8ECE93CE}">
  <ds:schemaRefs>
    <ds:schemaRef ds:uri="http://schemas.microsoft.com/sharepoint/v3/contenttype/forms"/>
  </ds:schemaRefs>
</ds:datastoreItem>
</file>

<file path=customXml/itemProps2.xml><?xml version="1.0" encoding="utf-8"?>
<ds:datastoreItem xmlns:ds="http://schemas.openxmlformats.org/officeDocument/2006/customXml" ds:itemID="{6438DD84-2F19-4D9C-B3C6-0E6EBA5CFFA5}">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0329D6C8-5C0D-4942-9EE8-D959EC9C876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QUERY BUILDER</vt:lpstr>
      <vt:lpstr>Descrição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Guilherme Beno Jardim</dc:creator>
  <cp:lastModifiedBy>João Guilherme Beno Jardim</cp:lastModifiedBy>
  <dcterms:created xsi:type="dcterms:W3CDTF">2025-12-12T16:54:08Z</dcterms:created>
  <dcterms:modified xsi:type="dcterms:W3CDTF">2025-12-16T17:49:09Z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2025-12-12T16:54:22Z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4de4e104-3f72-43bd-9b9a-2221e3409a48</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y fmtid="{D5CDD505-2E9C-101B-9397-08002B2CF9AE}" pid="10" name="ContentTypeId">
    <vt:lpwstr>0x0101001951051659CE89468EBDA2519EAB1C2D</vt:lpwstr>
  </property>
</Properties>
</file>