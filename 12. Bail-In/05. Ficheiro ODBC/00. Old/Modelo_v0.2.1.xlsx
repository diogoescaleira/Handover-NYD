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00. Old/"/>
    </mc:Choice>
  </mc:AlternateContent>
  <xr:revisionPtr revIDLastSave="224" documentId="8_{4645848E-EF56-4E85-BE9E-C2B533504EE6}" xr6:coauthVersionLast="47" xr6:coauthVersionMax="47" xr10:uidLastSave="{F806613F-2825-49AD-8082-AF26F58D7AD2}"/>
  <bookViews>
    <workbookView xWindow="28680" yWindow="-120" windowWidth="29040" windowHeight="15720" tabRatio="841" activeTab="6" xr2:uid="{DED8A1EF-114B-416A-A2FD-746D90C253E2}"/>
  </bookViews>
  <sheets>
    <sheet name="Instruções" sheetId="10" r:id="rId1"/>
    <sheet name="Param_RefDate" sheetId="13" state="hidden" r:id="rId2"/>
    <sheet name="1. Dashboard" sheetId="1" r:id="rId3"/>
    <sheet name="2. Inputs --&gt;" sheetId="3" r:id="rId4"/>
    <sheet name="2.1. Regulamentares" sheetId="2" r:id="rId5"/>
    <sheet name="2.2. Outros" sheetId="5" r:id="rId6"/>
    <sheet name="Query1" sheetId="12" r:id="rId7"/>
    <sheet name="Query 2" sheetId="15" r:id="rId8"/>
    <sheet name="Append1" sheetId="14" r:id="rId9"/>
    <sheet name="2.2. Outros - TESTE" sheetId="11" state="hidden" r:id="rId10"/>
    <sheet name="2.3. Processo" sheetId="7" r:id="rId11"/>
  </sheets>
  <definedNames>
    <definedName name="_xlnm._FilterDatabase" localSheetId="4" hidden="1">'2.1. Regulamentares'!$B$8:$I$198</definedName>
    <definedName name="_xlnm._FilterDatabase" localSheetId="5" hidden="1">'2.2. Outros'!$B$8:$H$154</definedName>
    <definedName name="_xlnm._FilterDatabase" localSheetId="9" hidden="1">'2.2. Outros - TESTE'!$B$8:$H$154</definedName>
    <definedName name="ExternalData_1" localSheetId="1" hidden="1">Param_RefDate!$A$1:$A$2</definedName>
    <definedName name="ExternalData_1" localSheetId="6" hidden="1">Query1!$A$2:$I$161</definedName>
    <definedName name="ExternalData_2" localSheetId="8" hidden="1">Append1!$A$1:$I$346</definedName>
    <definedName name="ExternalData_3" localSheetId="7" hidden="1">'Query 2'!$A$1:$I$187</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L27" i="7"/>
  <c r="K27" i="7"/>
  <c r="M26" i="7"/>
  <c r="L26" i="7"/>
  <c r="K26" i="7"/>
  <c r="M25" i="7"/>
  <c r="L25" i="7"/>
  <c r="K25" i="7"/>
  <c r="M20" i="7"/>
  <c r="L20" i="7"/>
  <c r="K20" i="7"/>
  <c r="M19" i="7"/>
  <c r="L19" i="7"/>
  <c r="K19" i="7"/>
  <c r="M18" i="7"/>
  <c r="L18" i="7"/>
  <c r="K18" i="7"/>
  <c r="M13" i="7"/>
  <c r="L13" i="7"/>
  <c r="K13" i="7"/>
  <c r="M12" i="7"/>
  <c r="L12" i="7"/>
  <c r="K12" i="7"/>
  <c r="M11" i="7"/>
  <c r="L11" i="7"/>
  <c r="K11" i="7"/>
  <c r="J76" i="1"/>
  <c r="J75" i="1"/>
  <c r="J74" i="1"/>
  <c r="J73" i="1"/>
  <c r="J72" i="1"/>
  <c r="J71" i="1"/>
  <c r="H76" i="1"/>
  <c r="H75" i="1"/>
  <c r="H74" i="1"/>
  <c r="H73" i="1"/>
  <c r="H72" i="1"/>
  <c r="H71" i="1"/>
  <c r="F76" i="1"/>
  <c r="F74" i="1"/>
  <c r="F73" i="1"/>
  <c r="F72" i="1"/>
  <c r="F71" i="1"/>
  <c r="I75" i="1"/>
  <c r="G75" i="1"/>
  <c r="E75" i="1"/>
  <c r="F75" i="1" s="1"/>
  <c r="D75" i="1"/>
  <c r="I73" i="1"/>
  <c r="G73" i="1"/>
  <c r="E73" i="1"/>
  <c r="D73" i="1"/>
  <c r="I71" i="1"/>
  <c r="G71" i="1"/>
  <c r="E71" i="1"/>
  <c r="D71"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4" i="1" l="1"/>
  <c r="I54" i="1"/>
  <c r="I44" i="1"/>
  <c r="I62" i="1"/>
  <c r="G64" i="1"/>
  <c r="G54" i="1"/>
  <c r="G44" i="1"/>
  <c r="I52" i="1"/>
  <c r="I63" i="1"/>
  <c r="I53" i="1"/>
  <c r="I43" i="1"/>
  <c r="I42" i="1"/>
  <c r="G63" i="1"/>
  <c r="G53" i="1"/>
  <c r="G43" i="1"/>
  <c r="G51" i="1"/>
  <c r="G62" i="1"/>
  <c r="G52" i="1"/>
  <c r="G42" i="1"/>
  <c r="I61" i="1"/>
  <c r="I51" i="1"/>
  <c r="I41" i="1"/>
  <c r="G61" i="1"/>
  <c r="G60" i="1" s="1"/>
  <c r="G41" i="1"/>
  <c r="D53" i="1"/>
  <c r="D63" i="1"/>
  <c r="D54" i="1"/>
  <c r="D64" i="1"/>
  <c r="D52" i="1"/>
  <c r="E52" i="1"/>
  <c r="E62" i="1"/>
  <c r="F62" i="1" s="1"/>
  <c r="D62" i="1"/>
  <c r="E61" i="1"/>
  <c r="F61" i="1" s="1"/>
  <c r="E53" i="1"/>
  <c r="F53" i="1" s="1"/>
  <c r="E63" i="1"/>
  <c r="F63" i="1" s="1"/>
  <c r="E51" i="1"/>
  <c r="E54" i="1"/>
  <c r="F54" i="1" s="1"/>
  <c r="E64" i="1"/>
  <c r="F64" i="1" s="1"/>
  <c r="D51" i="1"/>
  <c r="D61" i="1"/>
  <c r="D44" i="1"/>
  <c r="D42" i="1"/>
  <c r="E41" i="1"/>
  <c r="D43" i="1"/>
  <c r="E42" i="1"/>
  <c r="E44" i="1"/>
  <c r="F44" i="1" s="1"/>
  <c r="E43" i="1"/>
  <c r="D41"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1" i="1" l="1"/>
  <c r="F43" i="1"/>
  <c r="H41" i="1"/>
  <c r="H51" i="1"/>
  <c r="J52" i="1"/>
  <c r="H61" i="1"/>
  <c r="H43" i="1"/>
  <c r="H44" i="1"/>
  <c r="F42" i="1"/>
  <c r="F52" i="1"/>
  <c r="J41" i="1"/>
  <c r="H53" i="1"/>
  <c r="H54" i="1"/>
  <c r="J51" i="1"/>
  <c r="H63" i="1"/>
  <c r="H64" i="1"/>
  <c r="F51" i="1"/>
  <c r="J61" i="1"/>
  <c r="J42" i="1"/>
  <c r="J62" i="1"/>
  <c r="H42" i="1"/>
  <c r="J43" i="1"/>
  <c r="J44" i="1"/>
  <c r="H52" i="1"/>
  <c r="J53" i="1"/>
  <c r="J54" i="1"/>
  <c r="H62" i="1"/>
  <c r="J63" i="1"/>
  <c r="J64" i="1"/>
  <c r="G50" i="1"/>
  <c r="H50" i="1" s="1"/>
  <c r="I50" i="1"/>
  <c r="E60" i="1"/>
  <c r="F60" i="1" s="1"/>
  <c r="I40" i="1"/>
  <c r="I60" i="1"/>
  <c r="E50" i="1"/>
  <c r="D60" i="1"/>
  <c r="H60" i="1" s="1"/>
  <c r="D50" i="1"/>
  <c r="G40" i="1"/>
  <c r="E40" i="1"/>
  <c r="F40" i="1" s="1"/>
  <c r="D40" i="1"/>
  <c r="F82" i="2"/>
  <c r="F101" i="2"/>
  <c r="F37" i="2"/>
  <c r="F18" i="2"/>
  <c r="H169" i="2"/>
  <c r="F10" i="2"/>
  <c r="H137" i="2"/>
  <c r="H105" i="2"/>
  <c r="F165" i="2"/>
  <c r="H73" i="2"/>
  <c r="F146" i="2"/>
  <c r="H41" i="2"/>
  <c r="F186" i="2"/>
  <c r="G59"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J50" i="1" l="1"/>
  <c r="F50" i="1"/>
  <c r="J60" i="1"/>
  <c r="H40" i="1"/>
  <c r="J40" i="1"/>
  <c r="D49" i="1"/>
  <c r="E39" i="1"/>
  <c r="D39" i="1"/>
  <c r="G48" i="1"/>
  <c r="I48" i="1"/>
  <c r="E48" i="1"/>
  <c r="G47" i="1"/>
  <c r="E57" i="1"/>
  <c r="G57" i="1"/>
  <c r="G38" i="1"/>
  <c r="D37" i="1"/>
  <c r="D47" i="1"/>
  <c r="I37" i="1"/>
  <c r="E49" i="1"/>
  <c r="F49" i="1" s="1"/>
  <c r="G49" i="1"/>
  <c r="H49" i="1" s="1"/>
  <c r="I38" i="1"/>
  <c r="E47" i="1"/>
  <c r="F47" i="1" s="1"/>
  <c r="D58" i="1"/>
  <c r="E58" i="1"/>
  <c r="D48" i="1"/>
  <c r="I49" i="1"/>
  <c r="J49" i="1" s="1"/>
  <c r="I57" i="1"/>
  <c r="E59" i="1"/>
  <c r="E38" i="1"/>
  <c r="I47" i="1"/>
  <c r="J47" i="1" s="1"/>
  <c r="G58" i="1"/>
  <c r="H58" i="1" s="1"/>
  <c r="I58" i="1"/>
  <c r="J58" i="1" s="1"/>
  <c r="D38" i="1"/>
  <c r="G39" i="1"/>
  <c r="I39" i="1"/>
  <c r="D57" i="1"/>
  <c r="I59" i="1"/>
  <c r="E37" i="1"/>
  <c r="D59" i="1"/>
  <c r="H59" i="1" s="1"/>
  <c r="G37" i="1"/>
  <c r="H37" i="1" s="1"/>
  <c r="J39" i="1" l="1"/>
  <c r="H39" i="1"/>
  <c r="J37" i="1"/>
  <c r="J59" i="1"/>
  <c r="J48" i="1"/>
  <c r="H48" i="1"/>
  <c r="F58" i="1"/>
  <c r="H38" i="1"/>
  <c r="F39" i="1"/>
  <c r="H57" i="1"/>
  <c r="F38" i="1"/>
  <c r="J38" i="1"/>
  <c r="F57" i="1"/>
  <c r="D56" i="1"/>
  <c r="D55" i="1" s="1"/>
  <c r="F59" i="1"/>
  <c r="J57" i="1"/>
  <c r="F48" i="1"/>
  <c r="D46" i="1"/>
  <c r="D45" i="1" s="1"/>
  <c r="I36" i="1"/>
  <c r="H47" i="1"/>
  <c r="G46" i="1"/>
  <c r="H46" i="1" s="1"/>
  <c r="I46" i="1"/>
  <c r="E46" i="1"/>
  <c r="F46" i="1" s="1"/>
  <c r="D36" i="1"/>
  <c r="I56" i="1"/>
  <c r="G56" i="1"/>
  <c r="E36" i="1"/>
  <c r="F37" i="1"/>
  <c r="E56" i="1"/>
  <c r="G36" i="1"/>
  <c r="J36" i="1" l="1"/>
  <c r="H56" i="1"/>
  <c r="J56" i="1"/>
  <c r="E55" i="1"/>
  <c r="F55" i="1" s="1"/>
  <c r="F56" i="1"/>
  <c r="G35" i="1"/>
  <c r="H36" i="1"/>
  <c r="J46" i="1"/>
  <c r="D35" i="1"/>
  <c r="G55" i="1"/>
  <c r="H55" i="1" s="1"/>
  <c r="E45" i="1"/>
  <c r="F45" i="1" s="1"/>
  <c r="I55" i="1"/>
  <c r="J55" i="1" s="1"/>
  <c r="I35" i="1"/>
  <c r="I45" i="1"/>
  <c r="J45" i="1" s="1"/>
  <c r="F36" i="1"/>
  <c r="E35" i="1"/>
  <c r="G45" i="1"/>
  <c r="H45" i="1" s="1"/>
  <c r="J35" i="1" l="1"/>
  <c r="F35" i="1"/>
  <c r="H35" i="1"/>
  <c r="I65" i="1"/>
  <c r="E65" i="1"/>
  <c r="D65" i="1"/>
  <c r="F65" i="1" l="1"/>
  <c r="J65" i="1"/>
  <c r="G65" i="1"/>
  <c r="H6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E45E7-124E-4786-B73F-71A8111C945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3" xr16:uid="{271980E6-87CD-4943-99C4-845C5D2358ED}" keepAlive="1" name="Query - Query 2" description="Connection to the 'Query 2' query in the workbook." type="5" refreshedVersion="8" background="1" saveData="1">
    <dbPr connection="Provider=Microsoft.Mashup.OleDb.1;Data Source=$Workbook$;Location=&quot;Query 2&quot;;Extended Properties=&quot;&quot;" command="SELECT * FROM [Query 2]"/>
  </connection>
  <connection id="4"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5"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<sst xmlns="http://schemas.openxmlformats.org/spreadsheetml/2006/main" count="5101" uniqueCount="963">
  <si>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</si>
  <si>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</si>
  <si>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</si>
  <si>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</si>
  <si>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</si>
  <si>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</si>
  <si>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</si>
  <si>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</si>
  <si>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</si>
  <si>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</si>
  <si>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</si>
  <si>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</si>
  <si>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</si>
  <si>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</si>
  <si>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</si>
  <si>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</si>
  <si>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</si>
  <si>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</si>
  <si>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</si>
  <si>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</si>
  <si>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</si>
  <si>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</si>
  <si>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</si>
  <si>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</si>
  <si>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</si>
  <si>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</si>
  <si>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</si>
  <si>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</si>
  <si>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</si>
  <si>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</si>
  <si>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</si>
  <si>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</si>
  <si>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</si>
  <si>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</si>
  <si>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</si>
  <si>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</si>
  <si>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</si>
  <si>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</si>
  <si>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</si>
  <si>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</si>
  <si>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</si>
  <si>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</si>
  <si>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</si>
  <si>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</si>
  <si>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</si>
  <si>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</si>
  <si>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</si>
  <si>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</si>
  <si>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</si>
  <si>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</si>
  <si>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</si>
  <si>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</si>
  <si>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</si>
  <si>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</si>
  <si>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</si>
  <si>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</si>
  <si>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</si>
  <si>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</si>
  <si>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</si>
  <si>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</si>
  <si>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</si>
  <si>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</si>
  <si>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</si>
  <si>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</si>
  <si>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</si>
  <si>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</si>
  <si>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</si>
  <si>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</si>
  <si>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</si>
  <si>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</si>
  <si>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</si>
  <si>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</si>
  <si>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</si>
  <si>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</si>
  <si>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</si>
  <si>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</si>
  <si>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</si>
  <si>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</si>
  <si>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</si>
  <si>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</si>
  <si>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</si>
  <si>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</si>
  <si>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</si>
  <si>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</si>
  <si>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</si>
  <si>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</si>
  <si>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</si>
  <si>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</si>
  <si>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</si>
  <si>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</si>
  <si>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</si>
  <si>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</si>
  <si>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</si>
  <si>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</si>
  <si>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</si>
  <si>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</si>
  <si>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</si>
  <si>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</si>
  <si>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</si>
  <si>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</si>
  <si>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</si>
  <si>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</si>
  <si>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</si>
  <si>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</si>
  <si>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</si>
  <si>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</si>
  <si>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</si>
  <si>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</si>
  <si>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</si>
  <si>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</si>
  <si>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</si>
  <si>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</si>
  <si>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</si>
  <si>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</si>
  <si>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</si>
  <si>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</si>
  <si>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</si>
  <si>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</si>
  <si>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</si>
  <si>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</si>
  <si>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</si>
  <si>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</si>
  <si>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</si>
  <si>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</si>
  <si>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</si>
  <si>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</si>
  <si>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</si>
  <si>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</si>
  <si>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</si>
  <si>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</si>
  <si>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</si>
  <si>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</si>
  <si>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</si>
  <si>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</si>
  <si>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</si>
  <si>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</si>
  <si>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</si>
  <si>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</si>
  <si>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</si>
  <si>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</si>
  <si>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</si>
  <si>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</si>
  <si>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</si>
  <si>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</si>
  <si>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</si>
  <si>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</si>
  <si>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</si>
  <si>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</si>
  <si>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</si>
  <si>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</si>
  <si>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</si>
  <si>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</si>
  <si>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</si>
  <si>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</si>
  <si>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</si>
  <si>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</si>
  <si>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</si>
  <si>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</si>
  <si>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</si>
  <si>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</si>
  <si>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</si>
  <si>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</si>
  <si>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</si>
  <si>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</si>
  <si>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</si>
  <si>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</si>
  <si>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</si>
  <si>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</si>
  <si>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</si>
  <si>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</si>
  <si>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</si>
  <si>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</si>
  <si>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</si>
  <si>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</si>
  <si>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</si>
  <si>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</si>
  <si>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</si>
  <si>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</si>
  <si>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</si>
  <si>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</si>
  <si>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</si>
  <si>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</si>
  <si>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</si>
  <si>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</si>
  <si>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</si>
  <si>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</si>
  <si>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</si>
  <si>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</si>
  <si>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</si>
  <si>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</si>
  <si>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</si>
  <si>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</si>
  <si>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</si>
  <si>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</si>
  <si>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</si>
  <si>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</si>
  <si>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</si>
  <si>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</si>
  <si>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</si>
  <si>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</si>
  <si>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</si>
  <si>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</si>
  <si>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</si>
  <si>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</si>
  <si>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</si>
  <si>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</si>
  <si>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</si>
  <si>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</si>
  <si>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</si>
  <si>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</si>
  <si>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</si>
  <si>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</si>
  <si>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</si>
  <si>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</si>
  <si>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</si>
  <si>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</si>
  <si>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</si>
  <si>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</si>
  <si>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</si>
  <si>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</si>
  <si>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</si>
  <si>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</si>
  <si>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</si>
  <si>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</si>
  <si>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</si>
  <si>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</si>
  <si>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</si>
  <si>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</si>
  <si>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</si>
  <si>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</si>
  <si>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</si>
  <si>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</si>
  <si>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</si>
  <si>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</si>
  <si>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</si>
  <si>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</si>
  <si>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</si>
  <si>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</si>
  <si>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</si>
  <si>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</si>
  <si>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</si>
  <si>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</si>
  <si>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</si>
  <si>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</si>
  <si>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</si>
  <si>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</si>
  <si>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</si>
  <si>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</si>
  <si>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</si>
  <si>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</si>
  <si>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</si>
  <si>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</si>
  <si>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</si>
  <si>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</si>
  <si>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</si>
  <si>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</si>
  <si>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</si>
  <si>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</si>
  <si>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</si>
  <si>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</si>
  <si>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</si>
  <si>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</si>
  <si>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</si>
  <si>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</si>
  <si>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</si>
  <si>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</si>
  <si>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</si>
  <si>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</si>
  <si>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</si>
  <si>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</si>
  <si>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</si>
  <si>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</si>
  <si>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</si>
  <si>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</si>
  <si>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</si>
  <si>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</si>
  <si>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</si>
  <si>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</si>
  <si>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</si>
  <si>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</si>
  <si>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</si>
  <si>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</si>
  <si>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</si>
  <si>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</si>
  <si>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</si>
  <si>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</si>
  <si>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</si>
  <si>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</si>
  <si>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</si>
  <si>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</si>
  <si>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</si>
  <si>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</si>
  <si>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</si>
  <si>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</si>
  <si>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</si>
  <si>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</si>
  <si>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</si>
  <si>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</si>
  <si>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</si>
  <si>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</si>
  <si>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</si>
  <si>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</si>
  <si>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</si>
  <si>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</si>
  <si>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</si>
  <si>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</si>
  <si>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</si>
  <si>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</si>
  <si>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</si>
  <si>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</si>
  <si>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</si>
  <si>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</si>
  <si>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</si>
  <si>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</si>
  <si>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</si>
  <si>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</si>
  <si>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</si>
  <si>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</si>
  <si>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</si>
  <si>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</si>
  <si>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</si>
  <si>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</si>
  <si>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</si>
  <si>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</si>
  <si>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</si>
  <si>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</si>
  <si>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</si>
  <si>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</si>
  <si>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</si>
  <si>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</si>
  <si>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</si>
  <si>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</si>
  <si>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</si>
  <si>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</si>
  <si>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</si>
  <si>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</si>
  <si>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</si>
  <si>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</si>
  <si>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</si>
  <si>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</si>
  <si>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</si>
  <si>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</si>
  <si>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</si>
  <si>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</si>
  <si>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</si>
  <si>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</si>
  <si>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</si>
  <si>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</si>
  <si>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</si>
  <si>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</si>
  <si>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</si>
  <si>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</si>
  <si>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</si>
  <si>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</si>
  <si>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</si>
  <si>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</si>
  <si>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</si>
  <si>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</si>
  <si>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</si>
  <si>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</si>
  <si>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</si>
  <si>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</si>
  <si>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</si>
  <si>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</si>
  <si>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</si>
  <si>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</si>
  <si>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</si>
  <si>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</si>
  <si>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</si>
  <si>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</si>
  <si>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</si>
  <si>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</si>
  <si>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</si>
  <si>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</si>
  <si>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</si>
  <si>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</si>
  <si>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</si>
  <si>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</si>
  <si>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</si>
  <si>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</si>
  <si>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</si>
  <si>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</si>
  <si>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</si>
  <si>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</si>
  <si>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</si>
  <si>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</si>
  <si>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</si>
  <si>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</si>
  <si>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</si>
  <si>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</si>
  <si>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</si>
  <si>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</si>
  <si>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</si>
  <si>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</si>
  <si>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</si>
  <si>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</si>
  <si>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</si>
  <si>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</si>
  <si>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</si>
  <si>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</si>
  <si>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</si>
  <si>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</si>
  <si>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</si>
  <si>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</si>
  <si>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</si>
  <si>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</si>
  <si>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</si>
  <si>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</si>
  <si>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</si>
  <si>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</si>
  <si>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</si>
  <si>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</si>
  <si>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</si>
  <si>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</si>
  <si>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</si>
  <si>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</si>
  <si>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</si>
  <si>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</si>
  <si>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</si>
  <si>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</si>
  <si>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</si>
  <si>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</si>
  <si>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</si>
  <si>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</si>
  <si>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</si>
  <si>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</si>
  <si>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</si>
  <si>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</si>
  <si>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</si>
  <si>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</si>
  <si>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</si>
  <si>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</si>
  <si>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</si>
  <si>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</si>
  <si>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</si>
  <si>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</si>
  <si>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</si>
  <si>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</si>
  <si>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</si>
  <si>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</si>
  <si>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</si>
  <si>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</si>
  <si>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</si>
  <si>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</si>
  <si>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</si>
  <si>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</si>
  <si>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</si>
  <si>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</si>
  <si>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</si>
  <si>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</si>
  <si>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</si>
  <si>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</si>
  <si>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</si>
  <si>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</si>
  <si>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</si>
  <si>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</si>
  <si>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</si>
  <si>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</si>
  <si>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</si>
  <si>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</si>
  <si>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</si>
  <si>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</si>
  <si>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</si>
  <si>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</si>
  <si>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</si>
  <si>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</si>
  <si>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</si>
  <si>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</si>
  <si>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</si>
  <si>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</si>
  <si>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</si>
  <si>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</si>
  <si>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</si>
  <si>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</si>
  <si>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</si>
  <si>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</si>
  <si>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</si>
  <si>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</si>
  <si>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</si>
  <si>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</si>
  <si>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</si>
  <si>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</si>
  <si>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</si>
  <si>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</si>
  <si>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</si>
  <si>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</si>
  <si>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</si>
  <si>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</si>
  <si>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</si>
  <si>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</si>
  <si>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</si>
  <si>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</si>
  <si>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</si>
  <si>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</si>
  <si>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</si>
  <si>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</si>
  <si>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</si>
  <si>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</si>
  <si>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</si>
  <si>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</si>
  <si>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</si>
  <si>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</si>
  <si>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</si>
  <si>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</si>
  <si>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</si>
  <si>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</si>
  <si>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</si>
  <si>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</si>
  <si>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</si>
  <si>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</si>
  <si>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</si>
  <si>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</si>
  <si>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</si>
  <si>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</si>
  <si>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</si>
  <si>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</si>
  <si>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</si>
  <si>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</si>
  <si>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</si>
  <si>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</si>
  <si>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</si>
  <si>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</si>
  <si>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</si>
  <si>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</si>
  <si>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</si>
  <si>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</si>
  <si>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</si>
  <si>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</si>
  <si>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</si>
  <si>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</si>
  <si>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</si>
  <si>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</si>
  <si>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</si>
  <si>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</si>
  <si>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</si>
  <si>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</si>
  <si>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</si>
  <si>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</si>
  <si>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</si>
  <si>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</si>
  <si>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</si>
  <si>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</si>
  <si>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</si>
  <si>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</si>
  <si>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</si>
  <si>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</si>
  <si>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</si>
  <si>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</si>
  <si>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</si>
  <si>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</si>
  <si>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</si>
  <si>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</si>
  <si>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</si>
  <si>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</si>
  <si>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</si>
  <si>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</si>
  <si>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</si>
  <si>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</si>
  <si>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</si>
  <si>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</si>
  <si>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</si>
  <si>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</si>
  <si>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</si>
  <si>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</si>
  <si>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</si>
  <si>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</si>
  <si>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</si>
  <si>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</si>
  <si>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</si>
  <si>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</si>
  <si>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</si>
  <si>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</si>
  <si>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</si>
  <si>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</si>
  <si>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</si>
  <si>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</si>
  <si>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</si>
  <si>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</si>
  <si>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</si>
  <si>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</si>
  <si>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</si>
  <si>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</si>
  <si>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</si>
  <si>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</si>
  <si>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</si>
  <si>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</si>
  <si>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</si>
  <si>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</si>
  <si>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</si>
  <si>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</si>
  <si>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</si>
  <si>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</si>
  <si>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</si>
  <si>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</si>
  <si>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</si>
  <si>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</si>
  <si>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</si>
  <si>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</si>
  <si>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</si>
  <si>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</si>
  <si>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</si>
  <si>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</si>
  <si>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</si>
  <si>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</si>
  <si>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</si>
  <si>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</si>
  <si>
    <t>v_1_0001</t>
  </si>
  <si>
    <t>REGULAMENTAR</t>
  </si>
  <si>
    <t>0010_row_nmbr</t>
  </si>
  <si>
    <t>v_1_0002</t>
  </si>
  <si>
    <t>0030_uniq_id_knwn_cntrprty</t>
  </si>
  <si>
    <t>v_1_0003</t>
  </si>
  <si>
    <t>0040_typ_uniq_id_knwn_cntrprty</t>
  </si>
  <si>
    <t>v_1_0004</t>
  </si>
  <si>
    <t>0070_cntrct_crrncy</t>
  </si>
  <si>
    <t>v_1_0005</t>
  </si>
  <si>
    <t>0080_otstndng_prncpl_amnt</t>
  </si>
  <si>
    <t>v_1_0006</t>
  </si>
  <si>
    <t>v_1_0007</t>
  </si>
  <si>
    <t>0090_prtn_amnt_rprtng_entty</t>
  </si>
  <si>
    <t>v_1_0008</t>
  </si>
  <si>
    <t>0100_accrd_intrst_instrmnt</t>
  </si>
  <si>
    <t>v_1_0009</t>
  </si>
  <si>
    <t>v_1_0010</t>
  </si>
  <si>
    <t>0120_otstndng_amnt</t>
  </si>
  <si>
    <t>Testar se o campo está a missing. O campo tem de ser reportado.</t>
  </si>
  <si>
    <t>Testar se o campo está a missing. O campo deve ser reportado para passivos não estruturados.</t>
  </si>
  <si>
    <t>Alerta: Testar se o campo está a missing. Para passivos estruturados, o campo tem de ser reportado se a informação existir.</t>
  </si>
  <si>
    <t>Testar se o campo está a missing. O campo deve ser reportado para valores mobiliários.</t>
  </si>
  <si>
    <t>Testar se o campo está a missing. Para passivos não estruturados que não sejam zero coupon bonds emitidas com desconto, este campo deve ser reportado.</t>
  </si>
  <si>
    <t>Testar se o campo está a missing. Para passivos não estruturados, este campo deve ser declarado.</t>
  </si>
  <si>
    <t>v_1_0011</t>
  </si>
  <si>
    <t>v_1_0012</t>
  </si>
  <si>
    <t>0130_rlvnt_amnt_wdc</t>
  </si>
  <si>
    <t>v_1_0013</t>
  </si>
  <si>
    <t>0140_ntr_lblty</t>
  </si>
  <si>
    <t>v_1_0014</t>
  </si>
  <si>
    <t>Testar se o campo está a missing. O campo deve ser reportado se a opção Other tiver sido selecionada em c0140.</t>
  </si>
  <si>
    <t>0141_ntr_lblty_othr</t>
  </si>
  <si>
    <t>v_1_0015</t>
  </si>
  <si>
    <t>0160_rank_insolv</t>
  </si>
  <si>
    <t>v_1_0016</t>
  </si>
  <si>
    <t>0162_bail_in_cascade</t>
  </si>
  <si>
    <t>v_1_0017</t>
  </si>
  <si>
    <t>0180_dt_nxt_intrst_pymnt</t>
  </si>
  <si>
    <t>v_1_0018</t>
  </si>
  <si>
    <t>Alerta: Testar se o campo está a missing. Para passivos estruturados, este campo só deve ser reportado se a informação existir.</t>
  </si>
  <si>
    <t>v_1_0019</t>
  </si>
  <si>
    <t>Alerta: Testar se o campo está a missing.  Este campo precisa de ser reportado se a informação existir.</t>
  </si>
  <si>
    <t>0200_dt_erlst_rdmptn</t>
  </si>
  <si>
    <t>v_1_0020</t>
  </si>
  <si>
    <t>Testar se o campo está a missing. Para passivos que não sejam do tipo Cash account/saving account, o campo deve ser reportado.</t>
  </si>
  <si>
    <t>0210_dt_lgl_fnl_mtrty</t>
  </si>
  <si>
    <t>v_1_0021</t>
  </si>
  <si>
    <t>0220_governing_law</t>
  </si>
  <si>
    <t>v_1_0022</t>
  </si>
  <si>
    <t>0250_strctrd_prdct</t>
  </si>
  <si>
    <t>v_1_0023</t>
  </si>
  <si>
    <t>Alerta: Testar se o campo está a missing. Para passivos estruturados, este campo deve ser reportado se a informação existir.</t>
  </si>
  <si>
    <t>0260_grntd_min_amnt_strctrd_prdct</t>
  </si>
  <si>
    <t>v_1_0024</t>
  </si>
  <si>
    <t>Testar se o campo está a missing. O campo deve ser reportado para produtos estruturados.</t>
  </si>
  <si>
    <t>0270_fv_amnt_strctrd_prdct</t>
  </si>
  <si>
    <t>v_1_0025</t>
  </si>
  <si>
    <t>Testar se o campo está a missing. O campo deve ser reportado para depósitos elegíveis. Se o valor for zero, deve ser introduzido 0.</t>
  </si>
  <si>
    <t>0300_amnt_cvrd_elgbl_dpsts</t>
  </si>
  <si>
    <t>v_1_0026</t>
  </si>
  <si>
    <t>0310_flg_clltrl_agrmnts</t>
  </si>
  <si>
    <t>v_1_0027</t>
  </si>
  <si>
    <t>Testar se o campo está a missing. O campo deve ser reportado para produtos protegidos. Se o valor for zero, deve ser introduzido 0.</t>
  </si>
  <si>
    <t>0320_amnt_clltrl</t>
  </si>
  <si>
    <t>v_1_0028</t>
  </si>
  <si>
    <t>Testar se o campo está a missing. O campo deve ser reportado para produtos protegidos.</t>
  </si>
  <si>
    <t>0330_amnt_unclltrlzd</t>
  </si>
  <si>
    <t>v_1_0029</t>
  </si>
  <si>
    <t>0350_typ_clltrl</t>
  </si>
  <si>
    <t>v_1_0030</t>
  </si>
  <si>
    <t>Valor em falta (aviso). O campo deve ser reportado se c0350 = Other.</t>
  </si>
  <si>
    <t>0351_typ_clltrl_othr</t>
  </si>
  <si>
    <t>v_1_0031</t>
  </si>
  <si>
    <t>Testar se o campo está a missing. O campo deve ser reportado para valores mobiliários com método de negociação = Nominal.</t>
  </si>
  <si>
    <t>0370_amnt_scrty_eur</t>
  </si>
  <si>
    <t>v_1_0032</t>
  </si>
  <si>
    <t>Alerta: Testar se o campo está a missing. O campo deve ser reportado para securities com método de negociação = Unit se a informação existir.</t>
  </si>
  <si>
    <t>v_1_0033</t>
  </si>
  <si>
    <t>Testar se o campo está a missing. O campo deve ser reportado quando c0040 = ISIN. Se o valor for zero, deve ser introduzido 0.</t>
  </si>
  <si>
    <t>0390_nmbr_scrts_not_rprtng_entty</t>
  </si>
  <si>
    <t>v_1_0034</t>
  </si>
  <si>
    <t>Testar se o campo está a missing. O campo deve ser reportado para valores mobiliários. Se o valor for zero, deve ser introduzido 0.</t>
  </si>
  <si>
    <t>0391_nmbr_scrts_rprtng_entty</t>
  </si>
  <si>
    <t>v_1_0035</t>
  </si>
  <si>
    <t>Testar se o campo está a missing. O campo deve ser reportado para títulos não estruturados que não sejam zero coupon bonds emitidas com desconto.</t>
  </si>
  <si>
    <t>0400_accrd_intrst_scrty</t>
  </si>
  <si>
    <t>v_1_0036</t>
  </si>
  <si>
    <t>Alerta: Testar se o campo está a missing. Este campo deve ser reportado para securities estruturados se a informação existir.</t>
  </si>
  <si>
    <t>v_1_0037</t>
  </si>
  <si>
    <t>Alerta: Testar se o campo está a missing. O campo deve ser reportado se a informação existir, ou seja, se a entidade reportar em IFRS.</t>
  </si>
  <si>
    <t>0610_crryng_amnt_ifrs</t>
  </si>
  <si>
    <t>v_2_0001</t>
  </si>
  <si>
    <t>Se o ID for um ISIN (c0030 = ISIN), então o ID reportado em c0020 deve ter as características de um ISIN, por exemplo, 12 caracteres e começar com 2 letras que significam o código de país ISO.</t>
  </si>
  <si>
    <t>v_2_0003</t>
  </si>
  <si>
    <t>As moedas devem ser reportadas usando o código ISO 4217 de 3 letras.</t>
  </si>
  <si>
    <t>v_2_0004</t>
  </si>
  <si>
    <t>Alerta: o valor declarado deve, em geral, ser positivo.</t>
  </si>
  <si>
    <t>v_2_0005</t>
  </si>
  <si>
    <t>O valor declarado deve ser positivo ou zero.</t>
  </si>
  <si>
    <t>v_2_0006</t>
  </si>
  <si>
    <t>Alerta: o valor declarado deve ser positivo ou zero. No entanto, juros acumulados negativos são, em princípio, permitidos, se devidamente justificados pela entidade reportante.</t>
  </si>
  <si>
    <t>v_2_0007</t>
  </si>
  <si>
    <t>Alerta: o valor declarado deve ser, em geral, positivo ou zero.</t>
  </si>
  <si>
    <t>0110_applcbl_fees_charges</t>
  </si>
  <si>
    <t>v_2_0008</t>
  </si>
  <si>
    <t>O valor reportado deve ser positivo.</t>
  </si>
  <si>
    <t>v_2_0009</t>
  </si>
  <si>
    <t>O valor declarado deve ser igual a: c0080 + c0100 + c0110.</t>
  </si>
  <si>
    <t>v_2_0011</t>
  </si>
  <si>
    <t>O montante declarado deve ser igual a: c0120 - c0300 - c0320, exceto para Zero Coupon Bonds para as quais se possam aplicar disposições específicas.</t>
  </si>
  <si>
    <t>v_2_0012</t>
  </si>
  <si>
    <t>Para produtos estruturados, o montante declarado deve ser igual a: (c0270 - c0300 - c0320) se o valor justo for utilizado para apoiar a determinação do montante relevante para o bail-in, OU (c0120 - c0300 - c0320) caso contrário.</t>
  </si>
  <si>
    <t>v_2_0013</t>
  </si>
  <si>
    <t>Os valores dos dropdowns devem ser respeitados.</t>
  </si>
  <si>
    <t>31641600000000000PTBSREOM0028000; 31641600000000000PTSTOEOM0021000; 31641600000000000PTSTOFOM0004000; 31641600000000000PTSTOHOM0002000</t>
  </si>
  <si>
    <t>v_2_0014</t>
  </si>
  <si>
    <t>Os valores numéricos a partir de 1 devem ser reportados.</t>
  </si>
  <si>
    <t>v_2_0015</t>
  </si>
  <si>
    <t>O valor reportado deve ser uma data (yyy-mm-dd).</t>
  </si>
  <si>
    <t>0170_dt_incptn</t>
  </si>
  <si>
    <t>v_2_0016</t>
  </si>
  <si>
    <t>O valor declarado deve ser anterior à Data do próximo pagamento (parcial) de resgate (c0190) e à data de resgate mais antiga (c0200).</t>
  </si>
  <si>
    <t>v_2_0017</t>
  </si>
  <si>
    <t>31641600005800007PTCPP0AM0007000</t>
  </si>
  <si>
    <t>v_2_0019</t>
  </si>
  <si>
    <t>v_2_0021</t>
  </si>
  <si>
    <t>v_2_0023</t>
  </si>
  <si>
    <t>A legislação aplicável deve ser reportada utilizando o código ISO 3166-1 alpha-2.</t>
  </si>
  <si>
    <t>v_2_0024</t>
  </si>
  <si>
    <t>0230_bail_in_rcgntn_cls</t>
  </si>
  <si>
    <t>v_2_0025</t>
  </si>
  <si>
    <t>v_2_0026</t>
  </si>
  <si>
    <t>v_2_0027</t>
  </si>
  <si>
    <t>O campo reportado deve ser igual a: c0120 - c0320.</t>
  </si>
  <si>
    <t>v_2_0028</t>
  </si>
  <si>
    <t>O campo reportado deve ser igual a (c0270 - c0320) se for utilizado o valor justo, ou igual a (c0120 - c0320) caso contrário.</t>
  </si>
  <si>
    <t>v_2_0029</t>
  </si>
  <si>
    <t>v_2_0030</t>
  </si>
  <si>
    <t>O campo deve ser Not applicable se o c0310 não estiver seguro.</t>
  </si>
  <si>
    <t>v_2_0031</t>
  </si>
  <si>
    <t>0440_ntr_glbl_nt</t>
  </si>
  <si>
    <t>v_2_0032</t>
  </si>
  <si>
    <t>0530_typ_own_fnds_ind_lvl</t>
  </si>
  <si>
    <t>v_2_0033</t>
  </si>
  <si>
    <t>0540_elgbl_amnt_own_fnds_ind_lvl</t>
  </si>
  <si>
    <t>v_2_0034</t>
  </si>
  <si>
    <t>0550_typ_own_fnds_cnsldtd_lvl</t>
  </si>
  <si>
    <t>v_2_0035</t>
  </si>
  <si>
    <t>0560_elgbl_amnt_own_fnds_cnsldtd_lvl</t>
  </si>
  <si>
    <t>v_2_0036</t>
  </si>
  <si>
    <t>0590_typ_scrty_intrst_prvdd</t>
  </si>
  <si>
    <t>v_2_0037</t>
  </si>
  <si>
    <t>v_2_0038</t>
  </si>
  <si>
    <t>0620_blnc_sht_ifrs</t>
  </si>
  <si>
    <t>FRMT_B0200_C0010</t>
  </si>
  <si>
    <t>O campo deve ser reportado com formato numérico inteiro.</t>
  </si>
  <si>
    <t>FRMT_B0200_C0020</t>
  </si>
  <si>
    <t>O campo deve ser reportado com formato texto livre.</t>
  </si>
  <si>
    <t>0020_uniq_id</t>
  </si>
  <si>
    <t>FRMT_B0200_C0030</t>
  </si>
  <si>
    <t>FRMT_B0200_C0040</t>
  </si>
  <si>
    <t>FRMT_B0200_C0050</t>
  </si>
  <si>
    <t>O campo deve ser reportado com formato numérico com 2 casas decimais.</t>
  </si>
  <si>
    <t>0050_orgnl_amnt_eur</t>
  </si>
  <si>
    <t>FRMT_B0200_C0060</t>
  </si>
  <si>
    <t>0060_orgnl_amnt_fx</t>
  </si>
  <si>
    <t>FRMT_B0200_C0070</t>
  </si>
  <si>
    <t>O campo deve ser reportado usando o código 3-letra ISO 4217.</t>
  </si>
  <si>
    <t>FRMT_B0200_C0080</t>
  </si>
  <si>
    <t>FRMT_B0200_C0090</t>
  </si>
  <si>
    <t>FRMT_B0200_C0100</t>
  </si>
  <si>
    <t>FRMT_B0200_C0110</t>
  </si>
  <si>
    <t>FRMT_B0200_C0120</t>
  </si>
  <si>
    <t>FRMT_B0200_C0130</t>
  </si>
  <si>
    <t>FRMT_B0200_C0140</t>
  </si>
  <si>
    <t>FRMT_B0200_C0141</t>
  </si>
  <si>
    <t>FRMT_B0200_C0150</t>
  </si>
  <si>
    <t>O campo deve ser reportado usando TRUE ou FALSE.</t>
  </si>
  <si>
    <t>0150_flg_strctrlly_sbrdntd</t>
  </si>
  <si>
    <t>FRMT_B0200_C0160</t>
  </si>
  <si>
    <t>FRMT_B0200_C0161</t>
  </si>
  <si>
    <t>0161_cntrctl_sbrdntn</t>
  </si>
  <si>
    <t>FRMT_B0200_C0162</t>
  </si>
  <si>
    <t>O campo deve ser reportado usando os valores fixos.</t>
  </si>
  <si>
    <t>FRMT_B0200_C0170</t>
  </si>
  <si>
    <t>O campo deve ser reportado com formato yyyy-mm-dd.</t>
  </si>
  <si>
    <t>FRMT_B0200_C0180</t>
  </si>
  <si>
    <t>FRMT_B0200_C0190</t>
  </si>
  <si>
    <t>0190_dt_nxt_rdmptn_pymnt</t>
  </si>
  <si>
    <t>FRMT_B0200_C0200</t>
  </si>
  <si>
    <t>FRMT_B0200_C0210</t>
  </si>
  <si>
    <t>FRMT_B0200_C0220</t>
  </si>
  <si>
    <t>O campo deve ser reportado usando o código ISO 3166-1 alpha-2.</t>
  </si>
  <si>
    <t>FRMT_B0200_C0230</t>
  </si>
  <si>
    <t>FRMT_B0200_C0240</t>
  </si>
  <si>
    <t>0240_zero_coupon</t>
  </si>
  <si>
    <t>FRMT_B0200_C0250</t>
  </si>
  <si>
    <t>FRMT_B0200_C0260</t>
  </si>
  <si>
    <t>FRMT_B0200_C0270</t>
  </si>
  <si>
    <t>FRMT_B0200_C0280</t>
  </si>
  <si>
    <t>0280_flg_ncnp_dpsts</t>
  </si>
  <si>
    <t>FRMT_B0200_C0290</t>
  </si>
  <si>
    <t>0290_flg_ncbp_dpsts</t>
  </si>
  <si>
    <t>FRMT_B0200_C0300</t>
  </si>
  <si>
    <t>FRMT_B0200_C0310</t>
  </si>
  <si>
    <t>FRMT_B0200_C0320</t>
  </si>
  <si>
    <t>FRMT_B0200_C0330</t>
  </si>
  <si>
    <t>FRMT_B0200_C0340</t>
  </si>
  <si>
    <t>0340_id_clltrl</t>
  </si>
  <si>
    <t>FRMT_B0200_C0350</t>
  </si>
  <si>
    <t>FRMT_B0200_C0351</t>
  </si>
  <si>
    <t>FRMT_B0200_C0360</t>
  </si>
  <si>
    <t>0360_trdng_mthd</t>
  </si>
  <si>
    <t>FRMT_B0200_C0370</t>
  </si>
  <si>
    <t>FRMT_B0200_C0380</t>
  </si>
  <si>
    <t>0380_amnt_scrty_fx</t>
  </si>
  <si>
    <t>FRMT_B0200_C0390</t>
  </si>
  <si>
    <t>FRMT_B0200_C0391</t>
  </si>
  <si>
    <t>FRMT_B0200_C0400</t>
  </si>
  <si>
    <t>O campo deve ser reportado com formato numérico com 4 casas decimais.</t>
  </si>
  <si>
    <t>FRMT_B0200_C0410</t>
  </si>
  <si>
    <t>0410_fees_charges_scrty</t>
  </si>
  <si>
    <t>FRMT_B0200_C0420</t>
  </si>
  <si>
    <t>0420_fv_amnt_scrty</t>
  </si>
  <si>
    <t>FRMT_B0200_C0430</t>
  </si>
  <si>
    <t>0430_prncpl_amnt_glbl_nt_eur</t>
  </si>
  <si>
    <t>FRMT_B0200_C0431</t>
  </si>
  <si>
    <t>0431_prncpl_amnt_glbl_nt_fx</t>
  </si>
  <si>
    <t>FRMT_B0200_C0440</t>
  </si>
  <si>
    <t>FRMT_B0200_C0450</t>
  </si>
  <si>
    <t>O campo deve ser reportado com formato numérico entre 0 e 1, com 9 casas decimais.</t>
  </si>
  <si>
    <t>0450_crrnt_pool_fctr</t>
  </si>
  <si>
    <t>FRMT_B0200_C0460</t>
  </si>
  <si>
    <t>0460_csd</t>
  </si>
  <si>
    <t>FRMT_B0200_C0461</t>
  </si>
  <si>
    <t>0461_csd_lei</t>
  </si>
  <si>
    <t>FRMT_B0200_C0462</t>
  </si>
  <si>
    <t>0462_csd_othr</t>
  </si>
  <si>
    <t>FRMT_B0200_C0470</t>
  </si>
  <si>
    <t>0470_pyng_agnt</t>
  </si>
  <si>
    <t>FRMT_B0200_C0471</t>
  </si>
  <si>
    <t>0471_pyng_agnt_lei</t>
  </si>
  <si>
    <t>FRMT_B0200_C0480</t>
  </si>
  <si>
    <t>0480_trdng_vn</t>
  </si>
  <si>
    <t>FRMT_B0200_C0481</t>
  </si>
  <si>
    <t>0481_trdng_vn_lei</t>
  </si>
  <si>
    <t>FRMT_B0200_C0490</t>
  </si>
  <si>
    <t>0490_rgstrr</t>
  </si>
  <si>
    <t>FRMT_B0200_C0491</t>
  </si>
  <si>
    <t>0491_rgstrr_lei</t>
  </si>
  <si>
    <t>FRMT_B0200_C0500</t>
  </si>
  <si>
    <t>0500_nna</t>
  </si>
  <si>
    <t>FRMT_B0200_C0501</t>
  </si>
  <si>
    <t>0501_nna_lei</t>
  </si>
  <si>
    <t>FRMT_B0200_C0510</t>
  </si>
  <si>
    <t>0510_cmmn_dpstry</t>
  </si>
  <si>
    <t>FRMT_B0200_C0511</t>
  </si>
  <si>
    <t>0511_cmmn_dpstry_lei</t>
  </si>
  <si>
    <t>FRMT_B0200_C0520</t>
  </si>
  <si>
    <t>0520_cmmn_srvc_prvdr</t>
  </si>
  <si>
    <t>FRMT_B0200_C0521</t>
  </si>
  <si>
    <t>0521_cmmn_srvc_prvdr_lei</t>
  </si>
  <si>
    <t>FRMT_B0200_C0530</t>
  </si>
  <si>
    <t>FRMT_B0200_C0540</t>
  </si>
  <si>
    <t>FRMT_B0200_C0550</t>
  </si>
  <si>
    <t>FRMT_B0200_C0560</t>
  </si>
  <si>
    <t>FRMT_B0200_C0570</t>
  </si>
  <si>
    <t>0570_amnt_scrty_intrst_prvdd</t>
  </si>
  <si>
    <t>FRMT_B0200_C0580</t>
  </si>
  <si>
    <t>0580_scrty_intrst_prvdr</t>
  </si>
  <si>
    <t>FRMT_B0200_C0581</t>
  </si>
  <si>
    <t>0581_scrty_intrst_prvdr_lei</t>
  </si>
  <si>
    <t>FRMT_B0200_C0590</t>
  </si>
  <si>
    <t>FRMT_B0200_C0600</t>
  </si>
  <si>
    <t>0600_flg_clltrl_asst_pstn</t>
  </si>
  <si>
    <t>FRMT_B0200_C0610</t>
  </si>
  <si>
    <t>FRMT_B0200_C0620</t>
  </si>
  <si>
    <t>FRMT_B0200_C0630</t>
  </si>
  <si>
    <t>0630_crrying_amnt_ngaap</t>
  </si>
  <si>
    <t>FRMT_B0200_C0640</t>
  </si>
  <si>
    <t>0640_blnc_sht_ngaap</t>
  </si>
  <si>
    <t>FRMT_B0200_C5000</t>
  </si>
  <si>
    <t>5000_flg_shrhldr_not_rsltn_grp</t>
  </si>
  <si>
    <t>FRMT_B0200_C5010</t>
  </si>
  <si>
    <t>5010_flg_art21_7a_srmr</t>
  </si>
  <si>
    <t>v_2_0053</t>
  </si>
  <si>
    <t>O campo deve ser reportado usando o código ISO 3166-1 alfa-2 ou 3166-2.</t>
  </si>
  <si>
    <t>0030_governing_law</t>
  </si>
  <si>
    <t>v_2_0054</t>
  </si>
  <si>
    <t>0050_typ_guarantee</t>
  </si>
  <si>
    <t>v_2_0055</t>
  </si>
  <si>
    <t>0060_max_amnt_guarantee</t>
  </si>
  <si>
    <t>v_2_0056</t>
  </si>
  <si>
    <t>0070_flg_scrd</t>
  </si>
  <si>
    <t>v_2_0057</t>
  </si>
  <si>
    <t>0080_amnt_clltrl</t>
  </si>
  <si>
    <t>FRMT_B0500_C0010</t>
  </si>
  <si>
    <t>FRMT_B0500_C0020</t>
  </si>
  <si>
    <t>0020_uniq_id_guarantee</t>
  </si>
  <si>
    <t>FRMT_B0500_C0030</t>
  </si>
  <si>
    <t>FRMT_B0500_C0040</t>
  </si>
  <si>
    <t>0040_flg_art12g_3_srmr</t>
  </si>
  <si>
    <t>FRMT_B0500_C0050</t>
  </si>
  <si>
    <t>FRMT_B0500_C0060</t>
  </si>
  <si>
    <t>FRMT_B0500_C0070</t>
  </si>
  <si>
    <t>FRMT_B0500_C0080</t>
  </si>
  <si>
    <t>FRMT_B0500_C0090</t>
  </si>
  <si>
    <t>O campo deve ser reportado usando o valor fixo Default.</t>
  </si>
  <si>
    <t>0090_guarantee_trggr</t>
  </si>
  <si>
    <t>FRMT_B0500_C0100</t>
  </si>
  <si>
    <t>0100_dt_mtrty_clltrl</t>
  </si>
  <si>
    <t>FRMT_B0500_C0110</t>
  </si>
  <si>
    <t>0110_scrts_clltrl_id</t>
  </si>
  <si>
    <t>FRMT_B0500_C0120</t>
  </si>
  <si>
    <t>0120_typ_clltrlztn</t>
  </si>
  <si>
    <t>FRMT_B0500_C0130</t>
  </si>
  <si>
    <t>0130_typ_prtctn_vl</t>
  </si>
  <si>
    <t>FRMT_B0500_C0140</t>
  </si>
  <si>
    <t>0140_dt_vltn_scrty</t>
  </si>
  <si>
    <t>FRMT_B0500_C0150</t>
  </si>
  <si>
    <t>0150_prtctn_vltn_apprch</t>
  </si>
  <si>
    <t>v_1_0056</t>
  </si>
  <si>
    <t>0030_cntrprty_rsltn_grp</t>
  </si>
  <si>
    <t>v_2_0058</t>
  </si>
  <si>
    <t>v_2_0059</t>
  </si>
  <si>
    <t>0080_cntrprty_typ</t>
  </si>
  <si>
    <t>v_2_0060</t>
  </si>
  <si>
    <t>0090_cntry_cntrprty</t>
  </si>
  <si>
    <t>FRMT_B9000_C0010</t>
  </si>
  <si>
    <t>O campo deve ser reportado com formato numérico.</t>
  </si>
  <si>
    <t>FRMT_B9000_C0011</t>
  </si>
  <si>
    <t>O campo deve ser reportado com formato de texto.</t>
  </si>
  <si>
    <t>0011_tab_origin</t>
  </si>
  <si>
    <t>FRMT_B9000_C0020</t>
  </si>
  <si>
    <t>0020_uniq_id_knwn_cntrprty</t>
  </si>
  <si>
    <t>FRMT_B9000_C0030</t>
  </si>
  <si>
    <t>FRMT_B9000_C0040</t>
  </si>
  <si>
    <t>0040_cntrprty_nm</t>
  </si>
  <si>
    <t>FRMT_B9000_C0050</t>
  </si>
  <si>
    <t>0050_cntrprty_lei</t>
  </si>
  <si>
    <t>FRMT_B9000_C0060</t>
  </si>
  <si>
    <t>0060_typ_cntrprty_id</t>
  </si>
  <si>
    <t>FRMT_B9000_C0070</t>
  </si>
  <si>
    <t>0070_cntrprty_id</t>
  </si>
  <si>
    <t>FRMT_B9000_C0080</t>
  </si>
  <si>
    <t>FRMT_B9000_C0090</t>
  </si>
  <si>
    <t>FRMT_B9000_C0100</t>
  </si>
  <si>
    <t>0100_rlvnt_amnt_wdc</t>
  </si>
  <si>
    <t>31000307530917096000000000000000153114739853147326403031521, NULL; 31000315970428096000000000000000153114739853147326403031521, NULL; 31000315970121096000000000000000153114739853147326403031521, NULL; 3100031597989009600000000000000015320433022114122210, NULL; 31000315970188096000000000000000153114739853147326403031521, NULL; 31000311450813096000000000000000153304730221141403152, NULL; 3100031829309009700000000000000015321403985324032640403001, NULL; 3100031854200909700000000000000015311403985314032640303001, NULL; 3100031597031109600000000000000015310473251221141222159, NULL; 31000315970212096000000000000000153104730221141222159, NULL; 31000315970329096000000000000000153104730221141222159, NULL; 31000315970402096000000000000000153114739853147326403031521, NULL; 3100030704489309600000000000000015310473251221141222159, NULL; 31000315970469096000000000000000153114739853147326403031521, NULL; 31000315970121096000000000000000153104730221141222159, NULL; 3100031597027909600000000000000015310473251221141222159, NULL; 31000307044893096000000000000000153104730221141222159, NULL; 310003159798900960000000000000001532043325122114122210, NULL; 31000313517171096000000000000000153114739853147326403031521, NULL; 3100031829309009700000000000000015320403022035122200, NULL; 31000304140330096000000000000000153114719853147126403031201, NULL; 3100031597042809600000000000000015310473251221141222159, NULL; 3100031597046909600000000000000015310473251221141222159, NULL; 3100031597989009600000000000000015321433985324332640403101, NULL; 31000315970188096000000000000000153104730221141222159, NULL; 3100031597032909600000000000000015310473251221141222159, NULL; 3100031597012109600000000000000015310473251221141222159, NULL; 31000311847794096000000000000000153104730221141222159, NULL; 3100031597034509600000000000000015310473251221141222159, NULL; 31000315970238096000000000000000153114739853147326403031521, NULL; 3100031597000609600000000000000015310473251221141222159, NULL; 3100031145081309600000000000000015331047398533047326400031520, NULL; 31000315970469096000000000000000153104730221141222159, NULL; 3100031829309009700000000000000015320403251220304122200, NULL; 31000315970261096000000000000000153114739853147326403031521,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3100031597026109600000000000000015310473251221141222159, NULL; 3100031597018809600000000000000015310473251221141222159, NULL; 31000315970329096000000000000000153114739853147326403031521, NULL; 31000315970279096000000000000000153114739853147326403031521, NULL; 31000315970311096000000000000000153104730221141222159, NULL; 3100031854200909700000000000000015310403022035122200, NULL; 31000315970212096000000000000000153114739853147326403031521, NULL; 3100031597023809600000000000000015310473251221141222159, NULL; 3100031597040209600000000000000015310473251221141222159, NULL; 31000315970139096000000000000000153114739853147326403031521, NULL; 31000315970006096000000000000000153104730221141222159, NULL; 31000311847794096000000000000000153114739853147326403031521, NULL; 31000304140330096000000000000000153104710221141222120, NULL; 31000315970311096000000000000000153114739853147326403031521, NULL; 3100031854200909700000000000000015310403251220304122200, NULL; 31000315970279096000000000000000153104730221141222159, NULL; 3100030414033009600000000000000015310471251221141222120, NULL; 3100031597013909600000000000000015310473251221141222159, NULL; 3100031184779409600000000000000015310473251221141222159, NULL; 31000315970345096000000000000000153114739853147326403031521, NULL; 31000315970139096000000000000000153104730221141222159, NULL; 31000311450813096000000000000000153304730282030501403152, NULL; 31000315970428096000000000000000153104730221141222159, NULL; 31000315970402096000000000000000153104730221141222159, NULL; 31000307530917096000000000000000153104730221141222159, NULL; 31000315970261096000000000000000153104730221141222159, NULL; 31000315970006096000000000000000153114739853147326403031521, NULL; 31000313517171096000000000000000153104730221141222159, NULL; 3100031597021209600000000000000015310473251221141222159, NULL; 31000315970345096000000000000000153104730221141222159, NULL</t>
  </si>
  <si>
    <t>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t>
  </si>
  <si>
    <t>31000315970006096000000000000000; 31000315970345096000000000000000; 31000315970329096000000000000000; 31000315970402096000000000000000; 31000313517171096000000000000000; 31000311847794096000000000000000; 31641600005800007PTCPP0AM0007000; 31000307044893096000000000000000; 31000315970188096000000000000000; 31000315970238096000000000000000; 31000315970428096000000000000000; 31000315970139096000000000000000; 31000315979890096000000000000000; 31000315970469096000000000000000; 31000307530917096000000000000000; 31000315970121096000000000000000; 31000000000000000962304890482490; 31000315970212096000000000000000; 31000315970279096000000000000000; 31000315970261096000000000000000; 31000304140330096000000000000000; 31000315970311096000000000000000; 31000311450813096000000000000000</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</si>
  <si>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t>
  </si>
  <si>
    <t>3100031597018809600000000000000015310473251221141222159, NULL; 3100031597040209600000000000000015310473251221141222159, NULL; 31000315970139096000000000000000153114739853147326403031521, NULL; 31000315970006096000000000000000153104730221141222159, NULL; 3100031854200909700000000000000015310403022035122200, NULL; 31000311847794096000000000000000153114739853147326403031521, NULL; 31000315970311096000000000000000153104730221141222159, NULL; 31000315970212096000000000000000153114739853147326403031521, NULL; 3100031597023809600000000000000015310473251221141222159, NULL; 31000304140330096000000000000000153104710221141222120, NULL; 31000315970329096000000000000000153114739853147326403031521, NULL; 31000315970279096000000000000000153114739853147326403031521, NULL; 31000315970311096000000000000000153114739853147326403031521, NULL; 3100031854200909700000000000000015310403251220304122200, NULL; 31000315970402096000000000000000153104730221141222159, NULL; 3100031184779409600000000000000015310473251221141222159, NULL; 31000315970279096000000000000000153104730221141222159, NULL; 3100030414033009600000000000000015310471251221141222120, NULL; 3100031597013909600000000000000015310473251221141222159, NULL; 31000315970345096000000000000000153114739853147326403031521, NULL; 31000315970428096000000000000000153104730221141222159, NULL; 31000311450813096000000000000000153304730282030501403152, NULL; 31000315970139096000000000000000153104730221141222159, NULL; 31000307044893096000000000000000153104730221141222159, NULL; 310003159798900960000000000000001532043325122114122210, NULL; 31000304140330096000000000000000153114719853147126403031201, NULL; 31000313517171096000000000000000153114739853147326403031521, NULL; 3100031829309009700000000000000015320403022035122200, NULL; 3100031597042809600000000000000015310473251221141222159, NULL; 3100031597046909600000000000000015310473251221141222159, NULL; 3100031597989009600000000000000015321433985324332640403101, NULL; 3100030704489309600000000000000015310473251221141222159, NULL; 31000315970402096000000000000000153114739853147326403031521, NULL; 31000315970329096000000000000000153104730221141222159, NULL; 31000315970469096000000000000000153114739853147326403031521, NULL; 31000315970121096000000000000000153104730221141222159, NULL; 3100031597027909600000000000000015310473251221141222159, NULL; 3100030753091709600000000000000015310473251221141222159, NULL; 3100031145081309600000000000000015331047398533047326400031520, NULL; 31000315970469096000000000000000153104730221141222159, NULL; 31000315970238096000000000000000153104730221141222159, NULL; 3100031597026109600000000000000015310473251221141222159, NULL; 31000307044893096000000000000000153114739853147326403031521, NULL; 3100031351717109600000000000000015310473251221141222159, NULL; 3100031829309009700000000000000015320403251220304122200, NULL; 31000315970261096000000000000000153114739853147326403031521, NULL; 3100031597032909600000000000000015310473251221141222159, NULL; 3100031597012109600000000000000015310473251221141222159, NULL; 31000311847794096000000000000000153104730221141222159, NULL; 31000315970238096000000000000000153114739853147326403031521, NULL; 31000315970188096000000000000000153104730221141222159, NULL; 3100031597034509600000000000000015310473251221141222159, NULL; 3100031597000609600000000000000015310473251221141222159, NULL; 3100031854200909700000000000000015311403985314032640303001, NULL; 31000311450813096000000000000000153304730221141403152, NULL; 3100031829309009700000000000000015321403985324032640403001, NULL; 31000315970188096000000000000000153114739853147326403031521, NULL; 3100031597031109600000000000000015310473251221141222159, NULL; 31000315970212096000000000000000153104730221141222159, NULL; 31000313517171096000000000000000153104730221141222159, NULL; 3100031597021209600000000000000015310473251221141222159, NULL; 31000315970345096000000000000000153104730221141222159, NULL; 31000315970261096000000000000000153104730221141222159, NULL; 31000315970006096000000000000000153114739853147326403031521, NULL; 31000307530917096000000000000000153104730221141222159, NULL; 31000307530917096000000000000000153114739853147326403031521, NULL; 3100031597989009600000000000000015320433022114122210, NULL; 31000315970121096000000000000000153114739853147326403031521, NULL; 31000315970428096000000000000000153114739853147326403031521, NULL</t>
  </si>
  <si>
    <t>89000020240000766001520240650435; 89000020240000766001520240650865; 89000020240000766001520240651198; 89000020240000766001520240651694; 89000020240000766001520250143541; 89000020240000766001520250208877; 89000020240000766001520250211062; 89000020240000766001520250259769; 89000020240000766001520250259867; 89000020240000766001520250260053; 89000020240000766001520250327106; 89000020240000766001520250327129; 89000020240000766001520250327474; 89000020240000766001520250327501; 89000020240000766001520250327526; 89000020240000766001520250327712; 89000020240000766001520250327837; 89000020240000766001520250400624; 89000020240000766001520250400746; 89000020240000766001520250400857; 89000020240000766001520250451286; 89000020240000766001520250451376; 89000020240000766001520250451591; 89000020240000766001520250451700; 89000020240000766001520250507841; 89000020240000766001520250508009; 89000020240000766001520250508053; 89000020240000766001520250508232; 89000020240000766001520250508439; 89000020240000766001520240652377; 89000020240000766001520240654079; 89000020240000766001520250143585; 89000020240000766001520250143925; 89000020240000766001520250208806; 89000020240000766001520250208876; 89000020240000766001520250211045; 89000020240000766001520250327209; 89000020240000766001520250327361; 89000020240000766001520250327492; 89000020240000766001520250327559; 89000020240000766001520250327681; 89000020240000766001520250400713; 89000020240000766001520250451321; 89000020240000766001520250451631; 89000020240000766001520250451773; 89000020240000766001520250451878; 89000020240000766001520250508142; 89000020240000766001520250508413; 89000020240000766001520240649914; 89000020240000766001520250082934; 89000020240000766001520250208672; 89000020240000766001520250211011; 89000020240000766001520250259872; 89000020240000766001520250259959; 89000020240000766001520250260023; 89000020240000766001520250327116; 89000020240000766001520250327329; 89000020240000766001520250327352; 89000020240000766001520250327457; 89000020240000766001520250327761; 89000020240000766001520250327821; 89000020240000766001520250400850; 89000020240000766001520250451471; 89000020240000766001520250451580; 89000020240000766001520250451593; 89000020240000766001520250508442; 89000020240000766001520240650004; 89000020240000766001520240650368; 89000020240000766001520240650979; 89000020240000766001520240653787; 89000020240000766001520240654092; 89000020240000766001520250143949; 89000020240000766001520250208687; 89000020240000766001520250208848; 89000020240000766001520250208929; 89000020240000766001520250210979; 89000020240000766001520250259759; 89000020240000766001520250259833; 89000020240000766001520250259947; 89000020240000766001520250259981; 89000020240000766001520250260178; 89000020240000766001520250327154; 89000020240000766001520250327668; 89000020240000766001520250400724; 89000020240000766001520250451352; 89000020240000766001520250451555; 89000020240000766001520250507958; 89000020240000766001520250508083; 89000020240000766001520250508159; 89000020240000766001520250508168; 89000020240000766001520250508269; 89000020240000766001520250508419; 89000020240000766001520240650485; 89000020240000766001520240650533; 89000020240000766001520240650550; 89000020240000766001520240654459; 89000020240000766001520250082936; 89000020240000766001520250143668; 89000020240000766001520250143808; 89000020240000766001520250208746; 89000020240000766001520250208777; 89000020240000766001520250210955; 89000020240000766001520250210961; 89000020240000766001520250210974; 89000020240000766001520250211006; 89000020240000766001520250259803; 89000020240000766001520250259820; 89000020240000766001520250327234; 89000020240000766001520250327829; 89000020240000766001520250327901; 89000020240000766001520250327926; 89000020240000766001520250451371; 89000020240000766001520250451534; 89000020240000766001520250451558; 89000020240000766001520250451644; 89000020240000766001520250451648; 89000020240000766001520250508019; 89000020240000766001520250508133; 89000020240000766001520250508156; 89000020240000766001520240649911; 89000020240000766001520240650354; 89000020240000766001520240653173; 89000020240000766001520240653175; 89000020240000766001520250082927; 89000020240000766001520250143421; 89000020240000766001520250143775; 89000020240000766001520250143831; 89000020240000766001520250208678; 89000020240000766001520250208775; 89000020240000766001520250211010; 89000020240000766001520250260008; 89000020240000766001520250260193; 89000020240000766001520250327146; 89000020240000766001520250327167; 89000020240000766001520250327371; 89000020240000766001520250327441; 89000020240000766001520250327468; 89000020240000766001520250327722; 89000020240000766001520250327824; 89000020240000766001520250451527; 89000020240000766001520250451667; 89000020240000766001520250451752; 89000020240000766001520250451789; 89000020240000766001520250507939; 89000020240000766001520250508106; 89000020240000766001520250508420; 89000020240000766001520250508453; 89000020240000766001520240650495; 89000020240000766001520240650962; 89000020240000766001520240651699; 89000020240000766001520240654662; 89000020240000766001520250143596; 89000020240000766001520250208838; 89000020240000766001520250210968; 89000020240000766001520250260084; 89000020240000766001520250260229; 89000020240000766001520250327219; 89000020240000766001520250327487; 89000020240000766001520250327516; 89000020240000766001520250327590; 89000020240000766001520250327799; 89000020240000766001520250327876; 89000020240000766001520250400625; 89000020240000766001520250400784; 89000020240000766001520250451294; 89000020240000766001520250451353; 89000020240000766001520250451486; 89000020240000766001520250451570; 89000020240000766001520250451651; 89000020240000766001520250451897; 89000020240000766001520250507927; 89000020240000766001520250508025; 89000020240000766001520250508070; 89000020240000766001520250508112; 89000020240000766001520250508256; 89000020240000766001520250508279; 31000315970121096000000000000000; 89000020240000766001520240650508; 89000020240000766001520240651454; 89000020240000766001520240651709; 89000020240000766001520240652455; 89000020240000766001520240653182; 89000020240000766001520250208689; 89000020240000766001520250208839; 89000020240000766001520250210940; 89000020240000766001520250210989; 89000020240000766001520250211022; 89000020240000766001520250259781; 89000020240000766001520250259806; 89000020240000766001520250327345; 89000020240000766001520250327419; 89000020240000766001520250327523; 89000020240000766001520250327728; 89000020240000766001520250327869; 89000020240000766001520250327883; 89000020240000766001520250327938; 89000020240000766001520250400798; 89000020240000766001520250451454; 89000020240000766001520250451564; 89000020240000766001520250451577; 89000020240000766001520250507864; 89000020240000766001520250507920; 89000020240000766001520250508071; 89000020240000766001520250508215; 89000020240000766001520250508429; 89000020240000766001520240650534; 89000020240000766001520240654422; 89000020240000766001520250143413; 89000020240000766001520250143457; 89000020240000766001520250143684; 89000020240000766001520250208719; 89000020240000766001520250208760; 89000020240000766001520250210954; 89000020240000766001520250259953; 89000020240000766001520250260002; 89000020240000766001520250260080; 89000020240000766001520250260112; 89000020240000766001520250260207; 89000020240000766001520250260261; 89000020240000766001520250327275; 89000020240000766001520250327478; 89000020240000766001520250327745; 89000020240000766001520250400732; 89000020240000766001520250400872; 89000020240000766001520250451317; 89000020240000766001520250451690; 89000020240000766001520250451721; 89000020240000766001520250451819; 89000020240000766001520250451918; 89000020240000766001520250507901; 89000020240000766001520250508015; 89000020240000766001520250508099; 89000020240000766001520250508503; 89000020240000766001520240649827; 89000020240000766001520240650350; 89000020240000766001520240650373; 89000020240000766001520240650404; 89000020240000766001520240650556; 89000020240000766001520240650954; 89000020240000766001520240651708; 89000020240000766001520250143490; 89000020240000766001520250143526; 89000020240000766001520250143593; 89000020240000766001520250208764; 89000020240000766001520250208996; 89000020240000766001520250209002; 89000020240000766001520250210993; 89000020240000766001520250211051; 89000020240000766001520250260017; 89000020240000766001520250260174; 89000020240000766001520250260224; 89000020240000766001520250260244; 89000020240000766001520250327180; 89000020240000766001520250327375; 89000020240000766001520250327388; 89000020240000766001520250327614; 89000020240000766001520250327955; 89000020240000766001520250400883; 89000020240000766001520250451319; 89000020240000766001520250451418; 89000020240000766001520250451480; 89000020240000766001520250451634; 89000020240000766001520250451688; 89000020240000766001520250508037; 89000020240000766001520250508257; 89000020240000766001520240650989; 89000020240000766001520240652448; 89000020240000766001520250082898; 89000020240000766001520250208834; 89000020240000766001520250259776; 89000020240000766001520250259949; 89000020240000766001520250327306; 89000020240000766001520250327356; 89000020240000766001520250327580; 89000020240000766001520250327596; 89000020240000766001520250327702; 89000020240000766001520250327797; 89000020240000766001520250327798; 89000020240000766001520250327835; 89000020240000766001520250327850; 89000020240000766001520250400749; 89000020240000766001520250400790; 89000020240000766001520250451338; 89000020240000766001520250451515; 89000020240000766001520250508266; 89000020240000766001520250508478; 89000020240000766001520240652460; 89000020240000766001520250208814; 89000020240000766001520250208847; 89000020240000766001520250259930; 89000020240000766001520250259933; 89000020240000766001520250259960; 89000020240000766001520250260044; 89000020240000766001520250260227; 89000020240000766001520250327321; 89000020240000766001520250327355; 89000020240000766001520250400778; 89000020240000766001520250451441; 89000020240000766001520250451563; 89000020240000766001520250451635; 89000020240000766001520250508010; 89000020240000766001520240650413; 89000020240000766001520240650480; 89000020240000766001520240652379; 89000020240000766001520240652393; 89000020240000766001520240652446; 89000020240000766001520250143434; 89000020240000766001520250143679; 89000020240000766001520250143905; 89000020240000766001520250143943; 89000020240000766001520250208696; 89000020240000766001520250211015; 89000020240000766001520250259729; 89000020240000766001520250259851; 89000020240000766001520250259873; 89000020240000766001520250260060; 89000020240000766001520250260108; 89000020240000766001520250260250; 89000020240000766001520250327305; 89000020240000766001520250327467; 89000020240000766001520250327543; 89000020240000766001520250327816; 89000020240000766001520250327867; 89000020240000766001520250400662; 89000020240000766001520250451300; 89000020240000766001520250451879; 89000020240000766001520250451926; 89000020240000766001520250507855; 89000020240000766001520250507882; 89000020240000766001520250508078; 89000020240000766001520250508389; 89000020240000766001520250508450; 89000020240000766001520240650531; 89000020240000766001520240650993; 89000020240000766001520240651475; 89000020240000766001520250143632; 89000020240000766001520250143911; 89000020240000766001520250208683; 89000020240000766001520250259835; 89000020240000766001520250260146; 89000020240000766001520250327118; 89000020240000766001520250327148; 89000020240000766001520250327381; 89000020240000766001520250327515; 89000020240000766001520250400841; 89000020240000766001520250451328; 89000020240000766001520250451399; 89000020240000766001520250451439; 89000020240000766001520250451538; 89000020240000766001520250451798; 89000020240000766001520250507981; 89000020240000766001520250507995; 89000020240000766001520250508174; 89000020240000766001520250508292; 89000020240000766001520240650396; 89000020240000766001520240650546; 89000020240000766001520240650549; 89000020240000766001520240650560; 89000020240000766001520240651001; 89000020240000766001520240651411; 89000020240000766001520250082904; 89000020240000766001520250143860; 89000020240000766001520250143862; 89000020240000766001520250143883; 89000020240000766001520250143932; 89000020240000766001520250210936; 89000020240000766001520250210971; 89000020240000766001520250210994; 89000020240000766001520250211076; 89000020240000766001520250259732; 89000020240000766001520250259849; 89000020240000766001520250259918; 89000020240000766001520250259945; 89000020240000766001520250260202; 89000020240000766001520250260283; 89000020240000766001520250327510; 89000020240000766001520250327530; 89000020240000766001520250327604; 89000020240000766001520250327669; 89000020240000766001520250327726; 89000020240000766001520250327727; 89000020240000766001520250327755; 89000020240000766001520250327802; 89000020240000766001520250327937; 89000020240000766001520250400814; 89000020240000766001520250451330; 89000020240000766001520250451410; 89000020240000766001520250451426; 89000020240000766001520250451915; 89000020240000766001520250451952; 89000020240000766001520250507910; 89000020240000766001520250507959; 89000020240000766001520250507988; 89000020240000766001520250508267; 89000020240000766001520250508301; 89000020240000766001520250508312; 89000020240000766001520240650478; 89000020240000766001520240650957; 89000020240000766001520240650987; 89000020240000766001520250143621; 89000020240000766001520250143636; 89000020240000766001520250208844; 89000020240000766001520250259965; 89000020240000766001520250260252; 89000020240000766001520250260272; 89000020240000766001520250327111; 89000020240000766001520250327432; 89000020240000766001520250327447; 89000020240000766001520250327917; 89000020240000766001520250400587; 89000020240000766001520250400600; 89000020240000766001520250400679; 89000020240000766001520250400731; 89000020240000766001520250400747; 89000020240000766001520250451340; 89000020240000766001520250451404; 89000020240000766001520250451476; 89000020240000766001520250451832; 89000020240000766001520250451929; 89000020240000766001520250451942; 89000020240000766001520250507853; 89000020240000766001520250507879; 89000020240000766001520250508167; 89000020240000766001520240650515; 89000020240000766001520240654448; 89000020240000766001520250143486; 89000020240000766001520250210941; 89000020240000766001520250211089; 89000020240000766001520250327198; 89000020240000766001520250400671; 89000020240000766001520250400776; 89000020240000766001520250400786; 89000020240000766001520250451310; 89000020240000766001520250451427; 89000020240000766001520250507847; 89000020240000766001520250508330; 31000000342178002000000000000000; 89000020240000766001520240650352; 89000020240000766001520240654447; 89000020240000766001520250143439; 89000020240000766001520250143469; 89000020240000766001520250143594; 89000020240000766001520250143728; 89000020240000766001520250143848; 89000020240000766001520250208802; 89000020240000766001520250208830; 89000020240000766001520250259813; 89000020240000766001520250327133; 89000020240000766001520250327176; 89000020240000766001520250327207; 89000020240000766001520250327431; 89000020240000766001520250327871; 89000020240000766001520250327918; 89000020240000766001520250400659; 89000020240000766001520250451304; 89000020240000766001520250451445; 89000020240000766001520250451552; 89000020240000766001520250507993; 89000020240000766001520250508014; 89000020240000766001520250508034; 89000020240000766001520250508281; 89000020240000766001520240649916; 89000020240000766001520240649945; 89000020240000766001520240650405; 89000020240000766001520240650504; 89000020240000766001520240651202; 89000020240000766001520240651644; 89000020240000766001520250143610; 89000020240000766001520250208700; 89000020240000766001520250208747; 89000020240000766001520250208799; 89000020240000766001520250208836; 89000020240000766001520250211016; 89000020240000766001520250259751; 89000020240000766001520250259834; 89000020240000766001520250259894; 89000020240000766001520250259924; 89000020240000766001520250259966; 89000020240000766001520250259975; 89000020240000766001520250327337; 89000020240000766001520250327998; 89000020240000766001520250400594; 89000020240000766001520250400777; 89000020240000766001520250400781; 89000020240000766001520250451440; 89000020240000766001520250451488; 89000020240000766001520250451584; 89000020240000766001520250508456; 89000020240000766001520240650356; 89000020240000766001520240650492; 89000020240000766001520240650503; 89000020240000766001520250143501; 89000020240000766001520250143582; 89000020240000766001520250143842; 89000020240000766001520250211072; 89000020240000766001520250259891; 89000020240000766001520250327191; 89000020240000766001520250327679; 89000020240000766001520250327927; 89000020240000766001520250327963; 89000020240000766001520250400743; 89000020240000766001520250451510; 89000020240000766001520250451621; 89000020240000766001520250451622; 89000020240000766001520250451674; 89000020240000766001520250451685; 89000020240000766001520250508056; 89000020240000766001520250508307; 89000020240000766001520250508356; 89000020240000766001520250508471; 89000020240000766001520250508490; 31000000000000000962304890482490; 89000020240000766001520240650976; 89000020240000766001520240652450; 89000020240000766001520240654069; 89000020240000766001520240654453; 89000020240000766001520240654637; 89000020240000766001520240654665; 89000020240000766001520250208859; 89000020240000766001520250208879; 89000020240000766001520250208882; 89000020240000766001520250260063; 89000020240000766001520250260105; 89000020240000766001520250327220; 89000020240000766001520250327856; 89000020240000766001520250400877; 89000020240000766001520250451414; 89000020240000766001520250508023; 89000020240000766001520250508417; 89000020240000766001520250508449; 89000020240000766001520240650385; 89000020240000766001520240650412; 89000020240000766001520240651645; 89000020240000766001520240652371; 89000020240000766001520240652376; 89000020240000766001520240654438; 89000020240000766001520250143517; 89000020240000766001520250143752; 89000020240000766001520250259839; 89000020240000766001520250327206; 89000020240000766001520250400605; 89000020240000766001520250400668; 89000020240000766001520250400835; 89000020240000766001520250400880; 89000020240000766001520250451416; 89000020240000766001520250451678; 89000020240000766001520250451895; 89000020240000766001520250451903; 89000020240000766001520250508368; 89000020240000766001520250508481; 31000315970006096000000000000000; 89000020240000766001520240650488; 89000020240000766001520250143535; 89000020240000766001520250143571; 89000020240000766001520250143592; 89000020240000766001520250143638; 89000020240000766001520250208804; 89000020240000766001520250260210; 89000020240000766001520250327384; 89000020240000766001520250327422; 89000020240000766001520250327458; 89000020240000766001520250327532; 89000020240000766001520250327566; 89000020240000766001520250327787; 89000020240000766001520250327916; 89000020240000766001520250400645; 89000020240000766001520250451312; 89000020240000766001520250451334; 89000020240000766001520250451508; 89000020240000766001520250451625; 89000020240000766001520250451753; 89000020240000766001520250507916; 89000020240000766001520250508264; 89000020240000766001520250508391; 89000020240000766001520240650978; 89000020240000766001520240651715; 89000020240000766001520240652165; 89000020240000766001520250143416; 89000020240000766001520250143534; 89000020240000766001520250143613; 89000020240000766001520250143656; 89000020240000766001520250143756; 89000020240000766001520250143928; 89000020240000766001520250208794; 89000020240000766001520250260246; 89000020240000766001520250327175; 89000020240000766001520250327482; 89000020240000766001520250327763; 89000020240000766001520250327991; 89000020240000766001520250400771; 89000020240000766001520250400809; 89000020240000766001520250451347; 89000020240000766001520250451393; 89000020240000766001520250451396; 89000020240000766001520250451681; 89000020240000766001520250508031; 89000020240000766001520240650410; 89000020240000766001520240653176; 89000020240000766001520240654081; 89000020240000766001520250082900; 89000020240000766001520250143473; 89000020240000766001520250143591; 89000020240000766001520250143599; 89000020240000766001520250143680; 89000020240000766001520250208709; 89000020240000766001520250208982; 89000020240000766001520250211001; 89000020240000766001520250211049; 89000020240000766001520250259793; 89000020240000766001520250260223; 89000020240000766001520250327149; 89000020240000766001520250327578; 89000020240000766001520250327999; 89000020240000766001520250328001; 89000020240000766001520250451536; 89000020240000766001520250451701; 89000020240000766001520250451751; 89000020240000766001520250451860; 89000020240000766001520250451882; 89000020240000766001520250507980; 89000020240000766001520250508349; 89000020240000766001520250508374; 89000020240000766001520240650510; 89000020240000766001520240650973; 89000020240000766001520240652318; 89000020240000766001520250143480; 89000020240000766001520250143522; 89000020240000766001520250143566; 89000020240000766001520250208952; 89000020240000766001520250208994; 89000020240000766001520250210935; 89000020240000766001520250211060; 89000020240000766001520250259850; 89000020240000766001520250259979; 89000020240000766001520250260107; 89000020240000766001520250260162; 89000020240000766001520250260231; 89000020240000766001520250327394; 89000020240000766001520250327486; 89000020240000766001520250327555; 89000020240000766001520250400623; 89000020240000766001520250400710; 89000020240000766001520250400762; 89000020240000766001520250451506; 89000020240000766001520250451611; 89000020240000766001520250451733; 89000020240000766001520250507894; 89000020240000766001520250508045; 89000020240000766001520250508228; 89000020240000766001520250508477; 89000020240000766001520250508484; 89000020240000766001520250143546; 89000020240000766001520250143548; 89000020240000766001520250143589; 89000020240000766001520250143912; 89000020240000766001520250208770; 89000020240000766001520250211069; 89000020240000766001520250259770; 89000020240000766001520250259859; 89000020240000766001520250259861; 89000020240000766001520250327195; 89000020240000766001520250327241; 89000020240000766001520250327658; 89000020240000766001520250400621; 89000020240000766001520250400726; 89000020240000766001520250400837; 89000020240000766001520250451655; 89000020240000766001520250451746; 89000020240000766001520250451757; 89000020240000766001520250451776; 89000020240000766001520250507983; 89000020240000766001520240650358; 89000020240000766001520240654082; 89000020240000766001520240654425; 89000020240000766001520240654431; 89000020240000766001520250082905; 89000020240000766001520250143521; 89000020240000766001520250143615; 89000020240000766001520250143654; 89000020240000766001520250143747; 89000020240000766001520250143833; 89000020240000766001520250208896; 89000020240000766001520250259977; 89000020240000766001520250260100; 89000020240000766001520250260234; 89000020240000766001520250327288; 89000020240000766001520250327380; 89000020240000766001520250327461; 89000020240000766001520250327687; 89000020240000766001520250327688; 89000020240000766001520250327777; 89000020240000766001520250327949; 89000020240000766001520250451380; 89000020240000766001520250451419; 89000020240000766001520250451619; 89000020240000766001520250451629; 89000020240000766001520250451664; 89000020240000766001520250451826; 89000020240000766001520250508285; 89000020240000766001520240649920; 89000020240000766001520240650785; 89000020240000766001520240651410; 89000020240000766001520250143479; 89000020240000766001520250208841; 89000020240000766001520250208858; 89000020240000766001520250208955; 89000020240000766001520250259745; 89000020240000766001520250259807; 89000020240000766001520250259881; 89000020240000766001520250259909; 89000020240000766001520250259976; 89000020240000766001520250327183; 89000020240000766001520250327363; 89000020240000766001520250327527; 89000020240000766001520250327610; 89000020240000766001520250327845; 89000020240000766001520250327920; 89000020240000766001520250400604; 89000020240000766001520250400739; 89000020240000766001520250400844; 89000020240000766001520250451649; 89000020240000766001520250451937; 89000020240000766001520250508405; 89000020240000766001520250508466; 89000020240000766001520240650359; 89000020240000766001520240650416; 89000020240000766001520240650535; 89000020240000766001520240652317; 89000020240000766001520240652372; 89000020240000766001520250143410; 89000020240000766001520250210973; 89000020240000766001520250210998; 89000020240000766001520250259799; 89000020240000766001520250259900; 89000020240000766001520250260203; 89000020240000766001520250260275; 89000020240000766001520250327445; 89000020240000766001520250327453; 89000020240000766001520250327950; 89000020240000766001520250400708; 89000020240000766001520250400715; 89000020240000766001520250400748; 89000020240000766001520250451386; 89000020240000766001520250451521; 89000020240000766001520250451599; 89000020240000766001520250451606; 89000020240000766001520250451743; 89000020240000766001520250451921; 89000020240000766001520250507860; 89000020240000766001520250508115; 89000020240000766001520250508407; 89000020240000766001520250508444; 89000020240000766001520250508458; 89000020240000766001520240652463; 89000020240000766001520240653183; 89000020240000766001520250143453; 89000020240000766001520250208950; 89000020240000766001520250259885; 89000020240000766001520250259980; 89000020240000766001520250259989; 89000020240000766001520250260066; 89000020240000766001520250327885; 89000020240000766001520250327915; 89000020240000766001520250400636; 89000020240000766001520250400795; 89000020240000766001520250451429; 89000020240000766001520250451705; 89000020240000766001520250508366; 89000020240000766001520250508436; 89000020240000766001520240654415; 89000020240000766001520240654424; 89000020240000766001520250208694; 89000020240000766001520250208779; 89000020240000766001520250260195; 89000020240000766001520250260236; 89000020240000766001520250327477; 89000020240000766001520250327506; 89000020240000766001520250327741; 89000020240000766001520250400620; 89000020240000766001520250400774; 89000020240000766001520250451341; 89000020240000766001520250451517; 89000020240000766001520250451825; 89000020240000766001520250451830; 89000020240000766001520250451887; 89000020240000766001520250451947; 89000020240000766001520250451969; 89000020240000766001520250507851; 89000020240000766001520250508309; 89000020240000766001520240650539; 89000020240000766001520240651000; 89000020240000766001520240651409; 89000020240000766001520240654452; 89000020240000766001520250143738; 89000020240000766001520250143776; 89000020240000766001520250143837; 89000020240000766001520250208691; 89000020240000766001520250211014; 89000020240000766001520250211056; 89000020240000766001520250259829; 89000020240000766001520250259926; 89000020240000766001520250259950; 89000020240000766001520250260155; 89000020240000766001520250260164; 89000020240000766001520250327338; 89000020240000766001520250327359; 89000020240000766001520250327376; 89000020240000766001520250327557; 89000020240000766001520250327836; 89000020240000766001520250400770; 89000020240000766001520250451342; 89000020240000766001520250451452; 89000020240000766001520250451466; 89000020240000766001520250451594; 89000020240000766001520250451848; 89000020240000766001520250508127; 89000020240000766001520250508329; 89000020240000766001520250508377; 89000020240000766001520240651004; 89000020240000766001520250143754; 89000020240000766001520250143849; 89000020240000766001520250210995; 89000020240000766001520250211009; 89000020240000766001520250211034; 89000020240000766001520250259869; 89000020240000766001520250259920; 89000020240000766001520250260117; 89000020240000766001520250327236; 89000020240000766001520250327390; 89000020240000766001520250327770; 89000020240000766001520250400789; 89000020240000766001520250451369; 89000020240000766001520250451451; 89000020240000766001520250451505; 89000020240000766001520250451590; 89000020240000766001520250507977; 89000020240000766001520250508008; 89000020240000766001520240649943; 89000020240000766001520240650205; 89000020240000766001520240650513; 89000020240000766001520240651702; 89000020240000766001520240652344; 89000020240000766001520250143669; 89000020240000766001520250143693; 89000020240000766001520250143751; 89000020240000766001520250143825; 89000020240000766001520250259738; 89000020240000766001520250259784; 89000020240000766001520250259801; 89000020240000766001520250327623; 89000020240000766001520250327742; 89000020240000766001520250327905; 89000020240000766001520250400648; 89000020240000766001520250451311; 89000020240000766001520250451523; 89000020240000766001520250451765; 89000020240000766001520250507990; 89000020240000766001520250508059; 89000020240000766001520250508104; 89000020240000766001520250508299; 89000020240000766001520240650974; 89000020240000766001520240651464; 89000020240000766001520240653191; 89000020240000766001520250143470; 89000020240000766001520250143737; 89000020240000766001520250143841; 89000020240000766001520250208845; 89000020240000766001520250208850; 89000020240000766001520250208963; 89000020240000766001520250211042; 89000020240000766001520250327216; 89000020240000766001520250327414; 89000020240000766001520250400740; 89000020240000766001520250400864; 89000020240000766001520250451366; 89000020240000766001520250451513; 89000020240000766001520250507866; 89000020240000766001520250508068; 89000020240000766001520250508284; 89000020240000766001520250508386; 89000020240000766001520240650202; 89000020240000766001520240650423; 89000020240000766001520240650518; 89000020240000766001520240650956; 89000020240000766001520240654416; 89000020240000766001520240654437; 89000020240000766001520250208732; 89000020240000766001520250211084; 89000020240000766001520250211093; 89000020240000766001520250259802; 89000020240000766001520250259928; 89000020240000766001520250260135; 89000020240000766001520250260158; 89000020240000766001520250260263; 89000020240000766001520250400590; 89000020240000766001520250400602; 89000020240000766001520250400635; 89000020240000766001520250451332; 89000020240000766001520250451547; 89000020240000766001520250451561; 89000020240000766001520250451977; 89000020240000766001520250507933; 89000020240000766001520250508103; 89000020240000766001520250508206; 89000020240000766001520240650500; 89000020240000766001520250143545; 89000020240000766001520250208772; 89000020240000766001520250208796; 89000020240000766001520250208927; 89000020240000766001520250211082; 89000020240000766001520250259810; 89000020240000766001520250259888; 89000020240000766001520250259923; 89000020240000766001520250327550; 89000020240000766001520250327700; 89000020240000766001520250327753; 89000020240000766001520250327956; 89000020240000766001520250400683; 89000020240000766001520250451444; 89000020240000766001520250451557; 89000020240000766001520250451836; 89000020240000766001520250451905; 89000020240000766001520250508259; 89000020240000766001520250508350; 89000020240000766001520240650009; 89000020240000766001520240650419; 89000020240000766001520240650997; 89000020240000766001520240651729; 89000020240000766001520250082865; 89000020240000766001520250143586; 89000020240000766001520250143623; 89000020240000766001520250143788; 89000020240000766001520250208666; 89000020240000766001520250208682; 89000020240000766001520250208749; 89000020240000766001520250211000; 89000020240000766001520250211005; 89000020240000766001520250259946; 89000020240000766001520250260030; 89000020240000766001520250260075; 89000020240000766001520250327247; 89000020240000766001520250327261; 89000020240000766001520250327317; 89000020240000766001520250327330; 89000020240000766001520250327643; 89000020240000766001520250327828; 89000020240000766001520250327996; 89000020240000766001520250400876; 89000020240000766001520250451297; 89000020240000766001520250451482; 89000020240000766001520250451525; 89000020240000766001520250451565; 89000020240000766001520250451715; 89000020240000766001520250451716; 89000020240000766001520250451948; 89000020240000766001520250451956; 89000020240000766001520250507998; 89000020240000766001520250508274; 89000020240000766001520250508437; 89000020240000766001520240652392; 89000020240000766001520240654444; 89000020240000766001520250082910; 89000020240000766001520250143472; 89000020240000766001520</t>
  </si>
  <si>
    <t>31000315970006096000000000000000; 31000315970188096000000000000000; 31000000000000000962304890482490; 31000315970121096000000000000000; 31000315970469096000000000000000; 31000307530917096000000000000000; 31000315970279096000000000000000; 31000315970212096000000000000000; 31000315970261096000000000000000; 31000315970238096000000000000000; 31000315970139096000000000000000; 31000315979890096000000000000000; 31000315970428096000000000000000; 31000315970329096000000000000000; 31000313517171096000000000000000; 31000315970402096000000000000000; 31000315970345096000000000000000; 31000311847794096000000000000000; 31641600005800007PTCPP0AM0007000; 31000304140330096000000000000000; 31000315970311096000000000000000; 31000311450813096000000000000000; 31000307044893096000000000000000</t>
  </si>
  <si>
    <t>89000020240000766001520250143424; 89000020240000766001520250208708; 89000020240000766001520250208828; 89000020240000766001520250208867; 89000020240000766001520250211073; 89000020240000766001520250211088; 89000020240000766001520250259992; 89000020240000766001520250260082; 89000020240000766001520250260260; 89000020240000766001520250327413; 89000020240000766001520250327507; 89000020240000766001520250327701; 89000020240000766001520250327719; 89000020240000766001520250327793; 89000020240000766001520250327908; 89000020240000766001520250400673; 89000020240000766001520250400742; 89000020240000766001520250400785; 89000020240000766001520250400787; 89000020240000766001520250451898; 89000020240000766001520250507878; 89000020240000766001520250508000; 89000020240000766001520250508018; 89000020240000766001520250508022; 89000020240000766001520250508039; 89000020240000766001520250508291; 89000020240000766001520250508318; 89000020240000766001520250508408; 89000020240000766001520250508414; 89000020240000766001520240650548; 89000020240000766001520250208671; 89000020240000766001520250208713; 89000020240000766001520250208873; 89000020240000766001520250208993; 89000020240000766001520250210985; 89000020240000766001520250211057; 89000020240000766001520250259825; 89000020240000766001520250259940; 89000020240000766001520250260167; 89000020240000766001520250327153; 89000020240000766001520250327983; 89000020240000766001520250400718; 89000020240000766001520250451354; 89000020240000766001520250451501; 89000020240000766001520250451526; 89000020240000766001520250451531; 89000020240000766001520250451560; 89000020240000766001520250451572; 89000020240000766001520250451927; 89000020240000766001520250451949; 89000020240000766001520250507897; 89000020240000766001520250507941; 89000020240000766001520250507963; 89000020240000766001520240650498; 89000020240000766001520240650788; 89000020240000766001520240654169; 89000020240000766001520240654661; 89000020240000766001520250143686; 89000020240000766001520250143882; 89000020240000766001520250208773; 89000020240000766001520250211043; 89000020240000766001520250259856; 89000020240000766001520250259903; 89000020240000766001520250259908; 89000020240000766001520250327145; 89000020240000766001520250327287; 89000020240000766001520250327426; 89000020240000766001520250327897; 89000020240000766001520250507905; 89000020240000766001520250508171; 89000020240000766001520250508362; 89000020240000766001520250508372; 89000020240000766001520250508492; 89000020240000766001520240650959; 89000020240000766001520240652313; 89000020240000766001520250082902; 89000020240000766001520250143856; 89000020240000766001520250211004; 89000020240000766001520250211012; 89000020240000766001520250259828; 89000020240000766001520250259843; 89000020240000766001520250260189; 89000020240000766001520250400613; 89000020240000766001520250451368; 89000020240000766001520250451612; 89000020240000766001520250451863; 89000020240000766001520250507928; 89000020240000766001520250508048; 89000020240000766001520250508063; 89000020240000766001520250508209; 89000020240000766001520250508221; 89000020240000766001520250508245; 89000020240000766001520250508246; 89000020240000766001520240653187; 89000020240000766001520250143603; 89000020240000766001520250208849; 89000020240000766001520250208857; 89000020240000766001520250208941; 89000020240000766001520250211031; 89000020240000766001520250211068; 89000020240000766001520250259852; 89000020240000766001520250260137; 89000020240000766001520250260253; 89000020240000766001520250327211; 89000020240000766001520250327304; 89000020240000766001520250327346; 89000020240000766001520250327423; 89000020240000766001520250327551; 89000020240000766001520250327558; 89000020240000766001520250327778; 89000020240000766001520250327895; 89000020240000766001520250327957; 89000020240000766001520250400640; 89000020240000766001520250451650; 89000020240000766001520250451677; 89000020240000766001520250451912; 89000020240000766001520250508373; 89000020240000766001520250508504; 89000020240000766001520240650392; 89000020240000766001520240650983; 89000020240000766001520240651005; 89000020240000766001520240652321; 89000020240000766001520250143430; 89000020240000766001520250143602; 89000020240000766001520250211019; 89000020240000766001520250259987; 89000020240000766001520250327117; 89000020240000766001520250327174; 89000020240000766001520250327466; 89000020240000766001520250327639; 89000020240000766001520250327795; 89000020240000766001520250327806; 89000020240000766001520250327875; 89000020240000766001520250327886; 89000020240000766001520250327981; 89000020240000766001520250400703; 89000020240000766001520250400827; 89000020240000766001520250451390; 89000020240000766001520250451433; 89000020240000766001520250451461; 89000020240000766001520250451477; 89000020240000766001520250451595; 89000020240000766001520250451793; 89000020240000766001520250507895; 89000020240000766001520250508155; 89000020240000766001520250508235; 89000020240000766001520250508244; 89000020240000766001520250508320; 89000020240000766001520250508443; 89000020240000766001520250508498; 89000020240000766001520250508530; 89000020240000766001520240650499; 89000020240000766001520240651875; 89000020240000766001520240652451; 89000020240000766001520240654071; 89000020240000766001520250143494; 89000020240000766001520250143500; 89000020240000766001520250143575; 89000020240000766001520250208695; 89000020240000766001520250208715; 89000020240000766001520250208736; 89000020240000766001520250208915; 89000020240000766001520250259785; 89000020240000766001520250260047; 89000020240000766001520250327544; 89000020240000766001520250327870; 89000020240000766001520250327964; 89000020240000766001520250327973; 89000020240000766001520250451639; 89000020240000766001520250451812; 89000020240000766001520250451816; 89000020240000766001520240650869; 89000020240000766001520240652314; 89000020240000766001520250143601; 89000020240000766001520250208790; 89000020240000766001520250208866; 89000020240000766001520250208871; 89000020240000766001520250210947; 89000020240000766001520250259823; 89000020240000766001520250260040; 89000020240000766001520250327113; 89000020240000766001520250327252; 89000020240000766001520250327470; 89000020240000766001520250327575; 89000020240000766001520250327706; 89000020240000766001520250451359; 89000020240000766001520250451397; 89000020240000766001520250451428; 89000020240000766001520250451470; 89000020240000766001520250451497; 89000020240000766001520250451975; 89000020240000766001520250508136; 89000020240000766001520250508543; 89000020240000766001520240651188; 89000020240000766001520240651195; 89000020240000766001520250143650; 89000020240000766001520250143846; 89000020240000766001520250260098; 89000020240000766001520250260190; 89000020240000766001520250327456; 89000020240000766001520250327469; 89000020240000766001520250327503; 89000020240000766001520250327781; 89000020240000766001520250327997; 89000020240000766001520250400658; 89000020240000766001520250451313; 89000020240000766001520250451415; 89000020240000766001520250451545; 89000020240000766001520250451734; 89000020240000766001520250508138; 89000020240000766001520250508203; 89000020240000766001520250508427; 89000020240000766001520250508451; 89000020240000766001520240650011; 89000020240000766001520240651728; 89000020240000766001520250143455; 89000020240000766001520250143805; 89000020240000766001520250143811; 89000020240000766001520250208833; 89000020240000766001520250210938; 89000020240000766001520250259922; 89000020240000766001520250259986; 89000020240000766001520250327246; 89000020240000766001520250327319; 89000020240000766001520250327342; 89000020240000766001520250327568; 89000020240000766001520250327569; 89000020240000766001520250327754; 89000020240000766001520250327861; 89000020240000766001520250327906; 89000020240000766001520250400810; 89000020240000766001520250451858; 89000020240000766001520250451951; 89000020240000766001520250508055; 89000020240000766001520250508224; 89000020240000766001520240651006; 89000020240000766001520240653177; 89000020240000766001520250082916; 89000020240000766001520250143485; 89000020240000766001520250143605; 89000020240000766001520250143659; 89000020240000766001520250259821; 89000020240000766001520250259994; 89000020240000766001520250327374; 89000020240000766001520250327433; 89000020240000766001520250327603; 89000020240000766001520250327771; 89000020240000766001520250327975; 89000020240000766001520250400829; 89000020240000766001520250400848; 89000020240000766001520250451755; 89000020240000766001520250451908; 89000020240000766001520250451913; 89000020240000766001520250508067; 89000020240000766001520250508370; 89000020240000766001520250508404; 89000020240000766001520250508521; 89000020240000766001520240649917; 89000020240000766001520240650367; 89000020240000766001520240651697; 89000020240000766001520250143955; 89000020240000766001520250208948; 89000020240000766001520250211029; 89000020240000766001520250259804; 89000020240000766001520250260071; 89000020240000766001520250327382; 89000020240000766001520250327509; 89000020240000766001520250327661; 89000020240000766001520250327747; 89000020240000766001520250451383; 89000020240000766001520250451785; 89000020240000766001520250507900; 89000020240000766001520250507940; 89000020240000766001520250508217; 89000020240000766001520250508344; 89000020240000766001520250508392; 89000020240000766001520250508467; 89000020240000766001520250508523; 89000020240000766001520240652444; 89000020240000766001520250143567; 89000020240000766001520250143653; 89000020240000766001520250208718; 89000020240000766001520250208766; 89000020240000766001520250208812; 89000020240000766001520250208912; 89000020240000766001520250210999; 89000020240000766001520250211053; 89000020240000766001520250211086; 89000020240000766001520250260077; 89000020240000766001520250327437; 89000020240000766001520250327785; 89000020240000766001520250400706; 89000020240000766001520250400794; 89000020240000766001520250400859; 89000020240000766001520250451395; 89000020240000766001520250451447; 89000020240000766001520250451453; 89000020240000766001520250451740; 89000020240000766001520250451934; 31000315970188096000000000000000; 89000020240000766001520250082860; 89000020240000766001520250143933; 89000020240000766001520250143935; 89000020240000766001520250208974; 89000020240000766001520250208977; 89000020240000766001520250259772; 89000020240000766001520250259796; 89000020240000766001520250259941; 89000020240000766001520250260094; 89000020240000766001520250260113; 89000020240000766001520250327758; 89000020240000766001520250327811; 89000020240000766001520250327839; 89000020240000766001520250400856; 89000020240000766001520250451494; 89000020240000766001520250451605; 89000020240000766001520250451805; 89000020240000766001520250508272; 89000020240000766001520240650787; 89000020240000766001520250143506; 89000020240000766001520250143622; 89000020240000766001520250259972; 89000020240000766001520250260076; 89000020240000766001520250260114; 89000020240000766001520250260142; 89000020240000766001520250260217; 89000020240000766001520250327184; 89000020240000766001520250327315; 89000020240000766001520250327331; 89000020240000766001520250327584; 89000020240000766001520250327616; 89000020240000766001520250327707; 89000020240000766001520250327935; 89000020240000766001520250400610; 89000020240000766001520250400612; 89000020240000766001520250451391; 89000020240000766001520250451520; 89000020240000766001520250451893; 89000020240000766001520250508001; 89000020240000766001520250508140; 89000020240000766001520240653226; 89000020240000766001520250143888; 89000020240000766001520250208774; 89000020240000766001520250259826; 89000020240000766001520250259854; 89000020240000766001520250259907; 89000020240000766001520250260073; 89000020240000766001520250327165; 89000020240000766001520250327172; 89000020240000766001520250327309; 89000020240000766001520250327377; 89000020240000766001520250327459; 89000020240000766001520250327531; 89000020240000766001520250327762; 89000020240000766001520250327814; 89000020240000766001520250327884; 89000020240000766001520250327934; 89000020240000766001520250400793; 89000020240000766001520250400865; 89000020240000766001520250451287; 89000020240000766001520250451392; 89000020240000766001520250451717; 89000020240000766001520250451758; 89000020240000766001520250507869; 89000020240000766001520250508047; 89000020240000766001520250508367; 89000020240000766001520250508403; 89000020240000766001520250508496; 89000020240000766001520240650418; 89000020240000766001520250143924; 89000020240000766001520250143927; 89000020240000766001520250210957; 89000020240000766001520250211013; 89000020240000766001520250259733; 89000020240000766001520250259760; 89000020240000766001520250260061; 89000020240000766001520250327313; 89000020240000766001520250400792; 89000020240000766001520250400862; 89000020240000766001520250451675; 89000020240000766001520250451843; 89000020240000766001520250451968; 89000020240000766001520250507947; 89000020240000766001520250508064; 89000020240000766001520250508065; 89000020240000766001520250508087; 89000020240000766001520250508383; 89000020240000766001520240650192; 89000020240000766001520240650975; 89000020240000766001520240652459; 89000020240000766001520250143687; 89000020240000766001520250208788; 89000020240000766001520250210972; 89000020240000766001520250260015; 89000020240000766001520250260032; 89000020240000766001520250260165; 89000020240000766001520250327874; 89000020240000766001520250327882; 89000020240000766001520250327893; 89000020240000766001520250400765; 89000020240000766001520250400871; 89000020240000766001520250451298; 89000020240000766001520250451603; 89000020240000766001520250451784; 89000020240000766001520250451817; 89000020240000766001520250507929; 89000020240000766001520250508050; 89000020240000766001520250508093; 89000020240000766001520250508219; 89000020240000766001520250508233; 89000020240000766001520250508237; 89000020240000766001520250508426; 89000020240000766001520240650493; 89000020240000766001520240651190; 89000020240000766001520240651696; 89000020240000766001520250143832; 89000020240000766001520250143901; 89000020240000766001520250208670; 89000020240000766001520250208679; 89000020240000766001520250209000; 89000020240000766001520250259919; 89000020240000766001520250259927; 89000020240000766001520250327674; 89000020240000766001520250327825; 89000020240000766001520250327857; 89000020240000766001520250327858; 89000020240000766001520250451301; 89000020240000766001520250451349; 89000020240000766001520250451727; 89000020240000766001520250507850; 89000020240000766001520250507875; 89000020240000766001520240650421; 89000020240000766001520240650482; 89000020240000766001520240650497; 89000020240000766001520240654434; 89000020240000766001520250143676; 89000020240000766001520250208832; 89000020240000766001520250208967; 89000020240000766001520250211037; 89000020240000766001520250259915; 89000020240000766001520250260139; 89000020240000766001520250260140; 89000020240000766001520250327171; 89000020240000766001520250327448; 89000020240000766001520250327619; 89000020240000766001520250327730; 89000020240000766001520250400618; 89000020240000766001520250451292; 89000020240000766001520250451562; 89000020240000766001520250451680; 89000020240000766001520250451708; 89000020240000766001520250507982; 89000020240000766001520250508220; 89000020240000766001520250508358; 89000020240000766001520250508385; 89000020240000766001520250143538; 89000020240000766001520250143689; 89000020240000766001520250143694; 89000020240000766001520250143929; 89000020240000766001520250208765; 89000020240000766001520250210982; 89000020240000766001520250259786; 89000020240000766001520250259899; 89000020240000766001520250260085; 89000020240000766001520250327114; 89000020240000766001520250327541; 89000020240000766001520250327737; 89000020240000766001520250327794; 89000020240000766001520250327819; 89000020240000766001520250327919; 89000020240000766001520250328000; 89000020240000766001520250400646; 89000020240000766001520250451720; 89000020240000766001520250451770; 89000020240000766001520250508230; 89000020240000766001520250508239; 89000020240000766001520240649874; 89000020240000766001520240650375; 89000020240000766001520240650968; 89000020240000766001520240653158; 89000020240000766001520240653225; 89000020240000766001520240654073; 89000020240000766001520250082908; 89000020240000766001520250143475; 89000020240000766001520250143587; 89000020240000766001520250143800; 89000020240000766001520250143922; 89000020240000766001520250208690; 89000020240000766001520250208893; 89000020240000766001520250208965; 89000020240000766001520250210990; 89000020240000766001520250259783; 89000020240000766001520250259864; 89000020240000766001520250259906; 89000020240000766001520250259911; 89000020240000766001520250259958; 89000020240000766001520250327230; 89000020240000766001520250327286; 89000020240000766001520250327912; 89000020240000766001520250400637; 89000020240000766001520250451424; 89000020240000766001520250451462; 89000020240000766001520250451745; 89000020240000766001520250451800; 89000020240000766001520250451907; 89000020240000766001520250507914; 89000020240000766001520250507925; 89000020240000766001520250508098; 89000020240000766001520250508146; 89000020240000766001520250508200; 89000020240000766001520250508249; 89000020240000766001520250508328; 89000020240000766001520250508357; 89000020240000766001520250508485; 89000020240000766001520250508545; 89000020240000766001520240650410; 89000020240000766001520240653176; 89000020240000766001520240654081; 89000020240000766001520250082900; 89000020240000766001520250143473; 89000020240000766001520250143591; 89000020240000766001520250143599; 89000020240000766001520250143680; 89000020240000766001520250208709; 89000020240000766001520250208982; 89000020240000766001520250211001; 89000020240000766001520250211049; 89000020240000766001520250259793; 89000020240000766001520250260223; 89000020240000766001520250327149; 89000020240000766001520250327578; 89000020240000766001520250327999; 89000020240000766001520250328001; 89000020240000766001520250451536; 89000020240000766001520250451701; 89000020240000766001520250451751; 89000020240000766001520250451860; 89000020240000766001520250451882; 89000020240000766001520250507980; 89000020240000766001520250508349; 89000020240000766001520250508374; 89000020240000766001520240650202; 89000020240000766001520240650423; 89000020240000766001520240650518; 89000020240000766001520240650956; 89000020240000766001520240654416; 89000020240000766001520240654437; 89000020240000766001520250208732; 89000020240000766001520250211084; 89000020240000766001520250211093; 89000020240000766001520250259802; 89000020240000766001520250259928; 89000020240000766001520250260135; 89000020240000766001520250260158; 89000020240000766001520250260263; 89000020240000766001520250400590; 89000020240000766001520250400602; 89000020240000766001520250400635; 89000020240000766001520250451332; 89000020240000766001520250451547; 89000020240000766001520250451561; 89000020240000766001520250451977; 89000020240000766001520250507933; 89000020240000766001520250508103; 89000020240000766001520250508206; 89000020240000766001520240649943; 89000020240000766001520240650205; 89000020240000766001520240650513; 89000020240000766001520240651702; 89000020240000766001520240652344; 89000020240000766001520250143669; 89000020240000766001520250143693; 89000020240000766001520250143751; 89000020240000766001520250143825; 89000020240000766001520250259738; 89000020240000766001520250259784; 89000020240000766001520250259801; 89000020240000766001520250327623; 89000020240000766001520250327742; 89000020240000766001520250327905; 89000020240000766001520250400648; 89000020240000766001520250451311; 89000020240000766001520250451523; 89000020240000766001520250451765; 89000020240000766001520250507990; 89000020240000766001520250508059; 89000020240000766001520250508104; 89000020240000766001520250508299; 89000020240000766001520240650978; 89000020240000766001520240651715; 89000020240000766001520240652165; 89000020240000766001520250143416; 89000020240000766001520250143534; 89000020240000766001520250143613; 89000020240000766001520250143656; 89000020240000766001520250143756; 89000020240000766001520250143928; 89000020240000766001520250208794; 89000020240000766001520250260246; 89000020240000766001520250327175; 89000020240000766001520250327482; 89000020240000766001520250327763; 89000020240000766001520250327991; 89000020240000766001520250400771; 89000020240000766001520250400809; 89000020240000766001520250451347; 89000020240000766001520250451393; 89000020240000766001520250451396; 89000020240000766001520250451681; 89000020240000766001520250508031; 89000020240000766001520240650359; 89000020240000766001520240650416; 89000020240000766001520240650535; 89000020240000766001520240652317; 89000020240000766001520240652372; 89000020240000766001520250143410; 89000020240000766001520250210973; 89000020240000766001520250210998; 89000020240000766001520250259799; 89000020240000766001520250259900; 89000020240000766001520250260203; 89000020240000766001520250260275; 89000020240000766001520250327445; 89000020240000766001520250327453; 89000020240000766001520250327950; 89000020240000766001520250400708; 89000020240000766001520250400715; 89000020240000766001520250400748; 89000020240000766001520250451386; 89000020240000766001520250451521; 89000020240000766001520250451599; 89000020240000766001520250451606; 89000020240000766001520250451743; 89000020240000766001520250451921; 89000020240000766001520250507860; 89000020240000766001520250508115; 89000020240000766001520250508407; 89000020240000766001520250508444; 89000020240000766001520250508458; 89000020240000766001520240650539; 89000020240000766001520240651000; 89000020240000766001520240651409; 89000020240000766001520240654452; 89000020240000766001520250143738; 89000020240000766001520250143776; 89000020240000766001520250143837; 89000020240000766001520250208691; 89000020240000766001520250211014; 89000020240000766001520250211056; 89000020240000766001520250259829; 89000020240000766001520250259926; 89000020240000766001520250259950; 89000020240000766001520250260155; 89000020240000766001520250260164; 89000020240000766001520250327338; 89000020240000766001520250327359; 89000020240000766001520250327376; 89000020240000766001520250327557; 89000020240000766001520250327836; 89000020240000766001520250400770; 89000020240000766001520250451342; 89000020240000766001520250451452; 89000020240000766001520250451466; 89000020240000766001520250451594; 89000020240000766001520250451848; 89000020240000766001520250508127; 89000020240000766001520250508329; 89000020240000766001520250508377; 89000020240000766001520240650358; 89000020240000766001520240654082; 89000020240000766001520240654425; 89000020240000766001520240654431; 89000020240000766001520250082905; 89000020240000766001520250143521; 89000020240000766001520250143615; 89000020240000766001520250143654; 89000020240000766001520250143747; 89000020240000766001520250143833; 89000020240000766001520250208896; 89000020240000766001520250259977; 89000020240000766001520250260100; 89000020240000766001520250260234; 89000020240000766001520250327288; 89000020240000766001520250327380; 89000020240000766001520250327461; 89000020240000766001520250327687; 89000020240000766001520250327688; 89000020240000766001520250327777; 89000020240000766001520250327949; 89000020240000766001520250451380; 89000020240000766001520250451419; 89000020240000766001520250451619; 89000020240000766001520250451629; 89000020240000766001520250451664; 89000020240000766001520250451826; 89000020240000766001520250508285; 89000020240000766001520240652463; 89000020240000766001520240653183; 89000020240000766001520250143453; 89000020240000766001520250208950; 89000020240000766001520250259885; 89000020240000766001520250259980; 89000020240000766001520250259989; 89000020240000766001520250260066; 89000020240000766001520250327885; 89000020240000766001520250327915; 89000020240000766001520250400636; 89000020240000766001520250400795; 89000020240000766001520250451429; 89000020240000766001520250451705; 89000020240000766001520250508366; 89000020240000766001520250508436; 89000020240000766001520240650974; 89000020240000766001520240651464; 89000020240000766001520240653191; 89000020240000766001520250143470; 89000020240000766001520250143737; 89000020240000766001520250143841; 89000020240000766001520250208845; 89000020240000766001520250208850; 89000020240000766001520250208963; 89000020240000766001520250211042; 89000020240000766001520250327216; 89000020240000766001520250327414; 89000020240000766001520250400740; 89000020240000766001520250400864; 89000020240000766001520250451366; 89000020240000766001520250451513; 89000020240000766001520250507866; 89000020240000766001520250508068; 89000020240000766001520250508284; 89000020240000766001520250508386; 89000020240000766001520240650362; 89000020240000766001520240650999; 89000020240000766001520240651196; 89000020240000766001520240651643; 89000020240000766001520250143560; 89000020240000766001520250143595; 89000020240000766001520250143597; 89000020240000766001520250143815; 89000020240000766001520250208914; 89000020240000766001520250259878; 89000020240000766001520250259887; 89000020240000766001520250260258; 89000020240000766001520250260267; 89000020240000766001520250327562; 89000020240000766001520250400861; 89000020240000766001520250451978; 89000020240000766001520250507931; 89000020240000766001520250507960; 89000020240000766001520250508384; 89000020240000766001520240651004; 89000020240000766001520250143754; 89000020240000766001520250143849; 89000020240000766001520250210995; 89000020240000766001520250211009; 89000020240000766001520250211034; 89000020240000766001520250259869; 89000020240000766001520250259920; 89000020240000766001520250260117; 89000020240000766001520250327236; 89000020240000766001520250327390; 89000020240000766001520250327770; 89000020240000766001520250400789; 89000020240000766001520250451369; 89000020240000766001520250451451; 89000020240000766001520250451505; 89000020240000766001520250451590; 89000020240000766001520250507977; 89000020240000766001520250508008; 89000020240000766001520240649920; 89000020240000766001520240650785; 89000020240000766001520240651410; 89000020240000766001520250143479; 89000020240000766001520250208841; 89000020240000766001520250208858; 89000020240000766001520250208955; 89000020240000766001520250259745; 89000020240000766001520250259807; 89000020240000766001520250259881; 89000020240000766001520250259909; 89000020240000766001520250259976; 89000020240000766001520250327183; 89000020240000766001520250327363; 89000020240000766001520250327527; 89000020240000766001520250327610; 89000020240000766001520250327845; 89000020240000766001520250327920; 89000020240000766001520250400604; 89000020240000766001520250400739; 89000020240000766001520250400844; 89000020240000766001520250451649; 89000020240000766001520250451937; 89000020240000766001520250508405; 89000020240000766001520250508466; 89000020240000766001520240652392; 89000020240000766001520240654444; 89000020240000766001520250082910; 89000020240000766001520250143472; 89000020240000766001520250143496; 89000020240000766001520250143779; 89000020240000766001520250143937; 89000020240000766001520250210983; 89000020240000766001520250260148; 89000020240000766001520250327429; 89000020240000766001520250327450; 89000020240000766001520250327556; 89000020240000766001520250327625; 89000020240000766001520250327647; 89000020240000766001520250327805; 89000020240000766001520250400626; 89000020240000766001520250400801; 89000020240000766001520250451389; 89000020240000766001520250451511; 89000020240000766001520250451571; 89000020240000766001520250451822; 89000020240000766001520250451857; 89000020240000766001520250508290; 89000020240000766001520240654415; 89000020240000766001520240654424; 89000020240000766001520250208694; 89000020240000766001520250208779; 89000020240000766001520250260195; 89000020240000766001520250260236; 89000020240000766001520250327477; 89000020240000766001520250327506; 89000020240000766001520250327741; 89000020240000766001520250400620; 89000020240000766001520250400774; 89000020240000766001520250451341; 89000020240000766001520250451517; 89000020240000766001520250451825; 89000020240000766001520250451830; 89000020240000766001520250451887; 89000020240000766001520250451947; 89000020240000766001520250451969; 89000020240000766001520250507851; 89000020240000766001520250508309; 31000318542009097000000000000000; 89000020240000766001520250143482; 89000020240000766001520250143569; 89000020240000766001520250143785; 89000020240000766001520250210980; 89000020240000766001520250259735; 89000020240000766001520250260163; 89000020240000766001520250260201; 89000020240000766001520250327186; 89000020240000766001520250327609; 89000020240000766001520250327641; 89000020240000766001520250327847; 89000020240000766001520250400609; 89000020240000766001520250451355; 89000020240000766001520250451363; 89000020240000766001520250451518; 89000020240000766001520250451713; 89000020240000766001520250507856; 89000020240000766001520250507912; 89000020240000766001520250508026; 89000020240000766001520240650009; 89000020240000766001520240650419; 89000020240000766001520240650997; 89000020240000766001520240651729; 89000020240000766001520250082865; 89000020240000766001520250143586; 89000020240000766001520250143623; 89000020240000766001520250143788; 89000020240000766001520250208666; 89000020240000766001520250208682; 89000020240000766001520250208749; 89000020240000766001520250211000; 89000020240000766001520250211005; 89000020240000766001520250259946; 89000020240000766001520250260030; 89000020240000766001520250260075; 89000020240000766001520250327247; 89000020240000766001520250327261; 89000020240000766001520250327317; 89000020240000766001520250327330; 89000020240000766001520250327643; 89000020240000766001520250327828; 89000020240000766001520250327996; 89000020240000766001520250400876; 89000020240000766001520250451297; 89000020240000766001520250451482; 89000020240000766001520250451525; 89000020240000766001520250451565; 89000020240000766001520250451715; 89000020240000766001520250451716; 89000020240000766001520250451948; 89000020240000766001520250451956; 89000020240000766001520250507998; 89000020240000766001520250508274; 89000020240000766001520250508437; 89000020240000766001520240650424; 89000020240000766001520240651716; 89000020240000766001520240652458; 89000020240000766001520250143550; 89000020240000766001520250143936; 89000020240000766001520250208748; 89000020240000766001520250259730; 89000020240000766001520250259790; 89000020240000766001520250260004; 89000020240000766001520250327115; 89000020240000766001520250327152; 89000020240000766001520250327188; 89000020240000766001520250327235; 89000020240000766001520250327561; 89000020240000766001520250327582; 89000020240000766001520250327591; 89000020240000766001520250327684; 89000020240000766001520250327827; 89000020240000766001520250327866; 89000020240000766001520250400632; 89000020240000766001520250400812; 89000020240000766001520250451318; 89000020240000766001520250451546; 89000020240000766001520250451695; 89000020240000766001520250451778; 89000020240000766001520250451844; 89000020240000766001520250451961; 89000020240000766001520250507839; 89000020240000766001520250508211; 89000020240000766001520250508348; 31000315970006096000000000000000; 89000020240000766001520240650488; 89000020240000766001520250143535; 89000020240000766001520250143571; 89000020240000766001520250143592; 89000020240000766001520250143638; 89000020240000766001520250208804; 89000020240000766001520250260210; 89000020240000766001520250327384; 89000020240000766001520250327422; 89000020240000766001520250327458; 89000020240000766001520250327532; 89000020240000766001520250327566; 89000020240000766001520250327787; 89000020240000766001520250327916; 89000020240000766001520250400645; 89000020240000766001520250451312; 89000020240000766001520250451334; 89000020240000766001520250451508; 89000020240000766001520250451625; 89000020240000766001520250451753; 89000020240000766001520250507916; 89000020240000766001520250508264; 89000020240000766001520250508391; 89000020240000766001520240650500; 89000020240000766001520250143545; 89000020240000766001520250208772; 89000020240000766001520250208796; 89000020240000766001520250208927; 89000020240000766001520250211082; 89000020240000766001520250259810; 89000020240000766001520250259888; 89000020240000766001520250259923; 89000020240000766001520250327550; 89000020240000766001520250327700; 89000020240000766001520250327753; 89000020240000766001520250327956; 89000020240000766001520250400683; 89000020240000766001520250451444; 89000020240000766001520250451557; 89000020240000766001520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</si>
</sst>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25">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Dashboard'!$I$34</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Dashboard'!$I$35:$I$64</c15:sqref>
                  </c15:fullRef>
                </c:ext>
              </c:extLst>
              <c:f>('1. Dashboard'!$I$35,'1. Dashboard'!$I$45,'1. Dashboard'!$I$55)</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Dashboard'!$G$34</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Dashboard'!$G$35:$G$64</c15:sqref>
                  </c15:fullRef>
                </c:ext>
              </c:extLst>
              <c:f>('1. Dashboard'!$G$35,'1. Dashboard'!$G$45,'1. Dashboard'!$G$55)</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Dashboard'!$E$34</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Dashboard'!$E$35:$E$64</c15:sqref>
                  </c15:fullRef>
                </c:ext>
              </c:extLst>
              <c:f>('1. Dashboard'!$E$35,'1. Dashboard'!$E$45,'1. Dashboard'!$E$55)</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Dashboard'!$D$34</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uri="{02D57815-91ED-43cb-92C2-25804820EDAC}">
                        <c15:fullRef>
                          <c15:sqref>'1. Dashboard'!$D$35:$D$64</c15:sqref>
                        </c15:fullRef>
                        <c15:formulaRef>
                          <c15:sqref>('1. Dashboard'!$D$35,'1. Dashboard'!$D$45,'1. Dashboard'!$D$55)</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Dashboard'!$F$34</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Dashboard'!$F$35:$F$64</c15:sqref>
                        </c15:fullRef>
                        <c15:formulaRef>
                          <c15:sqref>('1. Dashboard'!$F$35,'1. Dashboard'!$F$45,'1. Dashboard'!$F$55)</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Dashboard'!$H$34</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Dashboard'!$H$35:$H$64</c15:sqref>
                        </c15:fullRef>
                        <c15:formulaRef>
                          <c15:sqref>('1. Dashboard'!$H$35,'1. Dashboard'!$H$45,'1. Dashboard'!$H$55)</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Dashboard'!$J$34</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Dashboard'!$J$35:$J$64</c15:sqref>
                        </c15:fullRef>
                        <c15:formulaRef>
                          <c15:sqref>('1. Dashboard'!$J$35,'1. Dashboard'!$J$45,'1. Dashboard'!$J$55)</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Dashboard'!$F$70</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Dashboard'!$F$71:$F$76</c15:sqref>
                  </c15:fullRef>
                </c:ext>
              </c:extLst>
              <c:f>('1. Dashboard'!$F$71,'1. Dashboard'!$F$73,'1. Dashboard'!$F$75)</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Dashboard'!$H$70</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Dashboard'!$H$71:$H$76</c15:sqref>
                  </c15:fullRef>
                </c:ext>
              </c:extLst>
              <c:f>('1. Dashboard'!$H$71,'1. Dashboard'!$H$73,'1. Dashboard'!$H$75)</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Dashboard'!$J$70</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Dashboard'!$J$71:$J$76</c15:sqref>
                  </c15:fullRef>
                </c:ext>
              </c:extLst>
              <c:f>('1. Dashboard'!$J$71,'1. Dashboard'!$J$73,'1. Dashboard'!$J$75)</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Dashboard'!$D$70</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uri="{02D57815-91ED-43cb-92C2-25804820EDAC}">
                        <c15:fullRef>
                          <c15:sqref>'1. Dashboard'!$D$71:$D$76</c15:sqref>
                        </c15:fullRef>
                        <c15:formulaRef>
                          <c15:sqref>('1. Dashboard'!$D$71,'1. Dashboard'!$D$73,'1. Dashboard'!$D$75)</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Dashboard'!$E$70</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Dashboard'!$E$71:$E$76</c15:sqref>
                        </c15:fullRef>
                        <c15:formulaRef>
                          <c15:sqref>('1. Dashboard'!$E$71,'1. Dashboard'!$E$73,'1. Dashboard'!$E$75)</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Dashboard'!$G$70</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Dashboard'!$G$71:$G$76</c15:sqref>
                        </c15:fullRef>
                        <c15:formulaRef>
                          <c15:sqref>('1. Dashboard'!$G$71,'1. Dashboard'!$G$73,'1. Dashboard'!$G$75)</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Dashboard'!$I$70</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Dashboard'!$I$71:$I$76</c15:sqref>
                        </c15:fullRef>
                        <c15:formulaRef>
                          <c15:sqref>('1. Dashboard'!$I$71,'1. Dashboard'!$I$73,'1. Dashboard'!$I$75)</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Dashboard'!$C$35</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Dashboard'!$D$35:$J$35</c15:sqref>
                  </c15:fullRef>
                </c:ext>
              </c:extLst>
              <c:f>('1. Dashboard'!$F$35,'1. Dashboard'!$H$35,'1. Dashboard'!$J$35)</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Dashboard'!$C$45</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ext>
              </c:extLst>
              <c:f>('1. Dashboard'!$F$45,'1. Dashboard'!$H$45,'1. Dashboard'!$J$45)</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Dashboard'!$C$55</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ext>
              </c:extLst>
              <c:f>('1. Dashboard'!$F$55,'1. Dashboard'!$H$55,'1. Dashboard'!$J$55)</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510623</xdr:colOff>
      <xdr:row>34</xdr:row>
      <xdr:rowOff>154983</xdr:rowOff>
    </xdr:from>
    <xdr:to>
      <xdr:col>17</xdr:col>
      <xdr:colOff>136344</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510623</xdr:colOff>
      <xdr:row>70</xdr:row>
      <xdr:rowOff>1084</xdr:rowOff>
    </xdr:from>
    <xdr:to>
      <xdr:col>18</xdr:col>
      <xdr:colOff>976359</xdr:colOff>
      <xdr:row>85</xdr:row>
      <xdr:rowOff>4621</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6F938C6A-23EC-4202-8F9D-5DD993D4442D}"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57F07B31-8BF9-4321-BD3A-4DCA6C193BBE}"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A2:I161" tableType="queryTable" totalsRowShown="0">
  <autoFilter ref="A2:I161" xr:uid="{1C0715A1-AABC-40CB-AFAC-E6A4491CB880}"/>
  <tableColumns count="9">
    <tableColumn id="7" xr3:uid="{D4F9D360-26D0-459F-B069-A23B2ACEC847}" uniqueName="7" name="ref_date" queryTableFieldId="7" dataDxfId="9"/>
    <tableColumn id="8" xr3:uid="{EC194072-ED3B-4437-9454-90CA47C6C6D7}" uniqueName="8" name="cod_kpi" queryTableFieldId="9" dataDxfId="8"/>
    <tableColumn id="3" xr3:uid="{C806F35C-EC01-4658-B622-B37B143E32BF}" uniqueName="3" name="tipologia_teste" queryTableFieldId="3" dataDxfId="7"/>
    <tableColumn id="9" xr3:uid="{BB2CE20C-3970-4B21-AA6A-2DE9F556085F}" uniqueName="9" name="descrição" queryTableFieldId="10" dataDxfId="6"/>
    <tableColumn id="1" xr3:uid="{8E03818A-FE6E-407A-8308-9158A7C4FCEB}" uniqueName="1" name="tabela" queryTableFieldId="1" dataDxfId="5"/>
    <tableColumn id="2" xr3:uid="{FBF429CB-F460-483B-BF3E-3994F6A15B00}" uniqueName="2" name="campo" queryTableFieldId="2" dataDxfId="4"/>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097386-977D-4D4C-934D-575D6314EAF0}" name="Query_2" displayName="Query_2" ref="A1:I187" tableType="queryTable" totalsRowShown="0">
  <autoFilter ref="A1:I187" xr:uid="{FB097386-977D-4D4C-934D-575D6314EAF0}"/>
  <tableColumns count="9">
    <tableColumn id="1" xr3:uid="{505E6379-A3AF-4C16-8A9C-A89EDF7514CE}" uniqueName="1" name="ref_date" queryTableFieldId="1" dataDxfId="23"/>
    <tableColumn id="2" xr3:uid="{1CF97B64-599D-45D9-AD61-AD92E9D1419C}" uniqueName="2" name="cod_kpi" queryTableFieldId="2" dataDxfId="22"/>
    <tableColumn id="3" xr3:uid="{8F088FDC-FCF2-4A35-A5DE-60D36F5B2B4E}" uniqueName="3" name="tipologia_teste" queryTableFieldId="3" dataDxfId="21"/>
    <tableColumn id="4" xr3:uid="{69D1893F-EBDB-4847-9F7C-31B20DDAEC1D}" uniqueName="4" name="descrição" queryTableFieldId="4" dataDxfId="20"/>
    <tableColumn id="5" xr3:uid="{6D6E9E20-0E9B-460E-80EE-2461D34D4A85}" uniqueName="5" name="tabela" queryTableFieldId="5" dataDxfId="19"/>
    <tableColumn id="6" xr3:uid="{F06CCC45-6700-4F59-8EDC-97C3366B2CEA}" uniqueName="6" name="campo" queryTableFieldId="6" dataDxfId="18"/>
    <tableColumn id="7" xr3:uid="{674CBBB1-58DB-4DE1-AA7C-D7C7312B837D}" uniqueName="7" name="num_reg" queryTableFieldId="7"/>
    <tableColumn id="8" xr3:uid="{3E39B554-60A1-432C-A7E9-E6FCDA2B4D66}" uniqueName="8" name="num_reg_dif" queryTableFieldId="8"/>
    <tableColumn id="9" xr3:uid="{C2DB56DE-DD97-4089-B126-3F2862DC6C7D}" uniqueName="9" name="detalhe" queryTableFieldId="9" dataDxf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A7CEC7-F20C-4771-9CDF-10E125E0924F}" name="Append1" displayName="Append1" ref="A1:I346" tableType="queryTable" totalsRowShown="0">
  <autoFilter ref="A1:I346" xr:uid="{10A7CEC7-F20C-4771-9CDF-10E125E0924F}"/>
  <tableColumns count="9">
    <tableColumn id="1" xr3:uid="{B2FE7314-64CE-44C0-89EA-2F3A0FDD912E}" uniqueName="1" name="ref_date" queryTableFieldId="1" dataDxfId="16"/>
    <tableColumn id="2" xr3:uid="{5448FBA7-4389-428E-8FB7-4364CCE5CAD6}" uniqueName="2" name="cod_kpi" queryTableFieldId="2" dataDxfId="15"/>
    <tableColumn id="3" xr3:uid="{9487EA88-749E-47F9-97A7-11AA4B0AC3EC}" uniqueName="3" name="tipologia_teste" queryTableFieldId="3" dataDxfId="14"/>
    <tableColumn id="4" xr3:uid="{097BD10C-C812-43E6-B087-824AF97718F9}" uniqueName="4" name="descrição" queryTableFieldId="4" dataDxfId="13"/>
    <tableColumn id="5" xr3:uid="{1FA83886-FCD7-4601-B14E-E8A02FF77949}" uniqueName="5" name="tabela" queryTableFieldId="5" dataDxfId="12"/>
    <tableColumn id="6" xr3:uid="{F9E63AF2-07FD-42B7-A7CF-787F8B2D0773}" uniqueName="6" name="campo" queryTableFieldId="6" dataDxfId="11"/>
    <tableColumn id="7" xr3:uid="{A89A0B91-4D7E-4871-BB60-7F6016F5BFA9}" uniqueName="7" name="num_reg" queryTableFieldId="7"/>
    <tableColumn id="8" xr3:uid="{4BDFF061-59F1-41DB-9680-3F0107DC3165}" uniqueName="8" name="num_reg_dif" queryTableFieldId="8"/>
    <tableColumn id="9" xr3:uid="{48B34178-683B-410F-8433-BF2130284FA1}" uniqueName="9" name="detalhe" queryTableFieldId="9"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5" zeroHeight="1" x14ac:dyDescent="0.35"/>
  <cols>
    <col min="1" max="2" width="3.81640625" customWidth="1"/>
    <col min="3" max="21" width="8.90625" customWidth="1"/>
    <col min="22" max="22" width="3.81640625" customWidth="1"/>
    <col min="23" max="16384" width="8.90625" hidden="1"/>
  </cols>
  <sheetData>
    <row r="1" spans="1:22" x14ac:dyDescent="0.35">
      <c r="A1" s="66"/>
      <c r="B1" s="66"/>
      <c r="C1" s="66"/>
      <c r="D1" s="66"/>
      <c r="E1" s="66"/>
      <c r="F1" s="66"/>
      <c r="G1" s="66"/>
      <c r="H1" s="66"/>
      <c r="I1" s="66"/>
      <c r="J1" s="66"/>
      <c r="K1" s="66"/>
      <c r="L1" s="66"/>
      <c r="M1" s="66"/>
      <c r="N1" s="66"/>
      <c r="O1" s="66"/>
      <c r="P1" s="66"/>
      <c r="Q1" s="66"/>
      <c r="R1" s="66"/>
      <c r="S1" s="66"/>
      <c r="T1" s="66"/>
      <c r="U1" s="66"/>
      <c r="V1" s="66"/>
    </row>
    <row r="2" spans="1:22" x14ac:dyDescent="0.35">
      <c r="A2" s="66"/>
      <c r="B2" s="66"/>
      <c r="C2" s="66"/>
      <c r="D2" s="66"/>
      <c r="E2" s="66"/>
      <c r="F2" s="66"/>
      <c r="G2" s="66"/>
      <c r="H2" s="66"/>
      <c r="I2" s="66"/>
      <c r="J2" s="66"/>
      <c r="K2" s="66"/>
      <c r="L2" s="66"/>
      <c r="M2" s="66"/>
      <c r="N2" s="66"/>
      <c r="O2" s="66"/>
      <c r="P2" s="66"/>
      <c r="Q2" s="66"/>
      <c r="R2" s="66"/>
      <c r="S2" s="97"/>
      <c r="T2" s="66"/>
      <c r="U2" s="66"/>
      <c r="V2" s="66"/>
    </row>
    <row r="3" spans="1:22" x14ac:dyDescent="0.35">
      <c r="A3" s="66"/>
      <c r="B3" s="66"/>
      <c r="C3" s="66"/>
      <c r="D3" s="66"/>
      <c r="E3" s="66"/>
      <c r="F3" s="66"/>
      <c r="G3" s="66"/>
      <c r="H3" s="66"/>
      <c r="I3" s="66"/>
      <c r="J3" s="66"/>
      <c r="K3" s="66"/>
      <c r="L3" s="66"/>
      <c r="M3" s="66"/>
      <c r="N3" s="66"/>
      <c r="O3" s="66"/>
      <c r="P3" s="66"/>
      <c r="Q3" s="66"/>
      <c r="R3" s="66"/>
      <c r="S3" s="66"/>
      <c r="T3" s="66"/>
      <c r="U3" s="66"/>
      <c r="V3" s="66"/>
    </row>
    <row r="4" spans="1:22" ht="3" customHeight="1" x14ac:dyDescent="0.35">
      <c r="A4" s="67"/>
      <c r="B4" s="67"/>
      <c r="C4" s="67"/>
      <c r="D4" s="67"/>
      <c r="E4" s="67"/>
      <c r="F4" s="67"/>
      <c r="G4" s="67"/>
      <c r="H4" s="67"/>
      <c r="I4" s="67"/>
      <c r="J4" s="67"/>
      <c r="K4" s="67"/>
      <c r="L4" s="67"/>
      <c r="M4" s="67"/>
      <c r="N4" s="67"/>
      <c r="O4" s="67"/>
      <c r="P4" s="67"/>
      <c r="Q4" s="67"/>
      <c r="R4" s="67"/>
      <c r="S4" s="67"/>
      <c r="T4" s="67"/>
      <c r="U4" s="67"/>
      <c r="V4" s="67"/>
    </row>
    <row r="5" spans="1:22" x14ac:dyDescent="0.35">
      <c r="A5" s="68"/>
      <c r="B5" s="68"/>
      <c r="C5" s="68"/>
      <c r="D5" s="68"/>
      <c r="E5" s="68"/>
      <c r="F5" s="68"/>
      <c r="G5" s="68"/>
      <c r="H5" s="68"/>
      <c r="I5" s="68"/>
      <c r="J5" s="68"/>
      <c r="K5" s="68"/>
      <c r="L5" s="68"/>
      <c r="M5" s="68"/>
      <c r="N5" s="68"/>
      <c r="O5" s="68"/>
      <c r="P5" s="68"/>
      <c r="Q5" s="68"/>
      <c r="R5" s="68"/>
      <c r="S5" s="68"/>
      <c r="T5" s="68"/>
      <c r="U5" s="68"/>
      <c r="V5" s="68"/>
    </row>
    <row r="6" spans="1:22" ht="15" thickBot="1" x14ac:dyDescent="0.4">
      <c r="A6" s="68"/>
      <c r="B6" s="104" t="s">
        <v>325</v>
      </c>
      <c r="C6" s="69"/>
      <c r="D6" s="70"/>
      <c r="E6" s="70"/>
      <c r="F6" s="70"/>
      <c r="G6" s="70"/>
      <c r="H6" s="70"/>
      <c r="I6" s="70"/>
      <c r="J6" s="70"/>
      <c r="K6" s="70"/>
      <c r="L6" s="70"/>
      <c r="M6" s="70"/>
      <c r="N6" s="70"/>
      <c r="O6" s="70"/>
      <c r="P6" s="70"/>
      <c r="Q6" s="70"/>
      <c r="R6" s="70"/>
      <c r="S6" s="70"/>
      <c r="T6" s="70"/>
      <c r="U6" s="70"/>
      <c r="V6" s="68"/>
    </row>
    <row r="7" spans="1:22" x14ac:dyDescent="0.35">
      <c r="A7" s="68"/>
      <c r="B7" s="68"/>
      <c r="C7" s="68"/>
      <c r="D7" s="68"/>
      <c r="E7" s="68"/>
      <c r="F7" s="68"/>
      <c r="G7" s="68"/>
      <c r="H7" s="68"/>
      <c r="I7" s="68"/>
      <c r="J7" s="68"/>
      <c r="K7" s="68"/>
      <c r="L7" s="68"/>
      <c r="M7" s="68"/>
      <c r="N7" s="68"/>
      <c r="O7" s="68"/>
      <c r="P7" s="68"/>
      <c r="Q7" s="68"/>
      <c r="R7" s="68"/>
      <c r="S7" s="68"/>
      <c r="T7" s="68"/>
      <c r="U7" s="68"/>
      <c r="V7" s="68"/>
    </row>
    <row r="8" spans="1:22" x14ac:dyDescent="0.35">
      <c r="C8" t="s">
        <v>347</v>
      </c>
    </row>
    <row r="9" spans="1:22" x14ac:dyDescent="0.35">
      <c r="C9" t="s">
        <v>348</v>
      </c>
    </row>
    <row r="10" spans="1:22" x14ac:dyDescent="0.35">
      <c r="C10" t="s">
        <v>349</v>
      </c>
    </row>
    <row r="11" spans="1:22"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5" x14ac:dyDescent="0.35"/>
  <cols>
    <col min="1" max="1" width="16.6328125" bestFit="1" customWidth="1"/>
  </cols>
  <sheetData>
    <row r="1" spans="1:1" x14ac:dyDescent="0.35">
      <c r="A1" t="s">
        <v>340</v>
      </c>
    </row>
    <row r="2" spans="1:1" x14ac:dyDescent="0.35">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5"/>
  <sheetViews>
    <sheetView showGridLines="0" zoomScale="70" zoomScaleNormal="70" workbookViewId="0"/>
  </sheetViews>
  <sheetFormatPr defaultColWidth="0" defaultRowHeight="14.5" zeroHeight="1" outlineLevelRow="1" x14ac:dyDescent="0.35"/>
  <cols>
    <col min="1" max="2" width="3.81640625" customWidth="1"/>
    <col min="3" max="3" width="28.90625" bestFit="1" customWidth="1"/>
    <col min="4" max="6" width="19.81640625" customWidth="1"/>
    <col min="7" max="7" width="26.54296875" bestFit="1" customWidth="1"/>
    <col min="8" max="8" width="25.08984375" bestFit="1" customWidth="1"/>
    <col min="9" max="12" width="19.81640625" customWidth="1"/>
    <col min="13" max="19" width="15.81640625" customWidth="1"/>
    <col min="20" max="21" width="3.81640625" customWidth="1"/>
    <col min="22" max="16384" width="8.90625" hidden="1"/>
  </cols>
  <sheetData>
    <row r="1" spans="1:21" x14ac:dyDescent="0.35">
      <c r="A1" s="66"/>
      <c r="B1" s="66"/>
      <c r="C1" s="66"/>
      <c r="D1" s="66"/>
      <c r="E1" s="66"/>
      <c r="F1" s="66"/>
      <c r="G1" s="66"/>
      <c r="H1" s="66"/>
      <c r="I1" s="66"/>
      <c r="J1" s="66"/>
      <c r="K1" s="66"/>
      <c r="L1" s="66"/>
      <c r="M1" s="66"/>
      <c r="N1" s="66"/>
      <c r="O1" s="66"/>
      <c r="P1" s="66"/>
      <c r="Q1" s="66"/>
      <c r="R1" s="66"/>
      <c r="S1" s="66"/>
      <c r="T1" s="66"/>
      <c r="U1" s="66"/>
    </row>
    <row r="2" spans="1:21" x14ac:dyDescent="0.35">
      <c r="A2" s="66"/>
      <c r="B2" s="66"/>
      <c r="C2" s="66"/>
      <c r="D2" s="66"/>
      <c r="E2" s="66"/>
      <c r="F2" s="66"/>
      <c r="G2" s="66"/>
      <c r="H2" s="66"/>
      <c r="I2" s="66"/>
      <c r="J2" s="66"/>
      <c r="K2" s="66"/>
      <c r="L2" s="66"/>
      <c r="M2" s="66"/>
      <c r="N2" s="66"/>
      <c r="O2" s="66"/>
      <c r="P2" s="66"/>
      <c r="Q2" s="66"/>
      <c r="R2" s="66"/>
      <c r="S2" s="66"/>
      <c r="T2" s="66"/>
      <c r="U2" s="66"/>
    </row>
    <row r="3" spans="1:21" x14ac:dyDescent="0.35">
      <c r="A3" s="66"/>
      <c r="B3" s="66"/>
      <c r="C3" s="66"/>
      <c r="D3" s="66"/>
      <c r="E3" s="66"/>
      <c r="F3" s="66"/>
      <c r="G3" s="66"/>
      <c r="H3" s="66"/>
      <c r="I3" s="66"/>
      <c r="J3" s="66"/>
      <c r="K3" s="66"/>
      <c r="L3" s="66"/>
      <c r="M3" s="66"/>
      <c r="N3" s="66"/>
      <c r="O3" s="66"/>
      <c r="P3" s="66"/>
      <c r="Q3" s="66"/>
      <c r="R3" s="66"/>
      <c r="S3" s="66"/>
      <c r="T3" s="66"/>
      <c r="U3" s="66"/>
    </row>
    <row r="4" spans="1:21" ht="3" customHeight="1" x14ac:dyDescent="0.35">
      <c r="A4" s="67"/>
      <c r="B4" s="67"/>
      <c r="C4" s="67"/>
      <c r="D4" s="67"/>
      <c r="E4" s="67"/>
      <c r="F4" s="67"/>
      <c r="G4" s="67"/>
      <c r="H4" s="67"/>
      <c r="I4" s="67"/>
      <c r="J4" s="67"/>
      <c r="K4" s="67"/>
      <c r="L4" s="67"/>
      <c r="M4" s="67"/>
      <c r="N4" s="67"/>
      <c r="O4" s="67"/>
      <c r="P4" s="67"/>
      <c r="Q4" s="67"/>
      <c r="R4" s="67"/>
      <c r="S4" s="67"/>
      <c r="T4" s="67"/>
      <c r="U4" s="67"/>
    </row>
    <row r="5" spans="1:21" x14ac:dyDescent="0.35">
      <c r="A5" s="68"/>
      <c r="B5" s="68"/>
      <c r="C5" s="68"/>
      <c r="D5" s="68"/>
      <c r="E5" s="68"/>
      <c r="F5" s="68"/>
      <c r="G5" s="68"/>
      <c r="H5" s="68"/>
      <c r="I5" s="68"/>
      <c r="J5" s="68"/>
      <c r="K5" s="68"/>
      <c r="L5" s="68"/>
      <c r="M5" s="68"/>
      <c r="N5" s="68"/>
      <c r="O5" s="68"/>
      <c r="P5" s="68"/>
      <c r="Q5" s="68"/>
      <c r="R5" s="68"/>
      <c r="S5" s="68"/>
      <c r="T5" s="68"/>
      <c r="U5" s="68"/>
    </row>
    <row r="6" spans="1:21" ht="15" thickBot="1" x14ac:dyDescent="0.4">
      <c r="A6" s="68"/>
      <c r="B6" s="69" t="s">
        <v>29</v>
      </c>
      <c r="C6" s="70"/>
      <c r="D6" s="70"/>
      <c r="E6" s="70"/>
      <c r="F6" s="70"/>
      <c r="G6" s="70"/>
      <c r="H6" s="70"/>
      <c r="I6" s="70"/>
      <c r="J6" s="70"/>
      <c r="K6" s="70"/>
      <c r="L6" s="70"/>
      <c r="M6" s="70"/>
      <c r="N6" s="70"/>
      <c r="O6" s="70"/>
      <c r="P6" s="70"/>
      <c r="Q6" s="70"/>
      <c r="R6" s="70"/>
      <c r="S6" s="70"/>
      <c r="T6" s="70"/>
      <c r="U6" s="68"/>
    </row>
    <row r="7" spans="1:21" x14ac:dyDescent="0.35">
      <c r="A7" s="68"/>
      <c r="B7" s="68"/>
      <c r="C7" s="68"/>
      <c r="D7" s="68"/>
      <c r="E7" s="68"/>
      <c r="F7" s="68"/>
      <c r="G7" s="68"/>
      <c r="H7" s="68"/>
      <c r="I7" s="68"/>
      <c r="J7" s="68"/>
      <c r="K7" s="68"/>
      <c r="L7" s="68"/>
      <c r="M7" s="68"/>
      <c r="N7" s="68"/>
      <c r="O7" s="68"/>
      <c r="P7" s="68"/>
      <c r="Q7" s="68"/>
      <c r="R7" s="68"/>
      <c r="S7" s="68"/>
      <c r="T7" s="68"/>
      <c r="U7" s="68"/>
    </row>
    <row r="8" spans="1:21" x14ac:dyDescent="0.35"/>
    <row r="9" spans="1:21" x14ac:dyDescent="0.35">
      <c r="B9" s="48" t="s">
        <v>0</v>
      </c>
      <c r="C9" s="49"/>
      <c r="D9" s="49"/>
      <c r="E9" s="50"/>
      <c r="F9" s="49"/>
      <c r="G9" s="49"/>
      <c r="H9" s="49"/>
      <c r="I9" s="49"/>
      <c r="J9" s="49"/>
      <c r="K9" s="49"/>
      <c r="L9" s="48"/>
      <c r="M9" s="2"/>
      <c r="N9" s="2"/>
      <c r="O9" s="3"/>
      <c r="P9" s="2"/>
      <c r="Q9" s="2"/>
      <c r="R9" s="2"/>
      <c r="S9" s="2"/>
      <c r="T9" s="2"/>
    </row>
    <row r="10" spans="1:21" ht="5.25" customHeight="1" thickBot="1" x14ac:dyDescent="0.4">
      <c r="B10" s="51"/>
      <c r="C10" s="51"/>
      <c r="D10" s="51"/>
      <c r="E10" s="51"/>
      <c r="F10" s="51"/>
      <c r="G10" s="51"/>
      <c r="H10" s="51"/>
      <c r="I10" s="51"/>
      <c r="J10" s="51"/>
      <c r="K10" s="51"/>
      <c r="L10" s="51"/>
      <c r="M10" s="4"/>
      <c r="N10" s="4"/>
      <c r="O10" s="4"/>
      <c r="P10" s="4"/>
      <c r="Q10" s="4"/>
      <c r="R10" s="4"/>
      <c r="S10" s="4"/>
      <c r="T10" s="4"/>
    </row>
    <row r="11" spans="1:21" ht="15" thickTop="1" x14ac:dyDescent="0.35">
      <c r="B11" s="15"/>
      <c r="C11" s="52"/>
      <c r="D11" s="52"/>
      <c r="E11" s="52"/>
      <c r="F11" s="52"/>
      <c r="G11" s="52"/>
      <c r="H11" s="52"/>
      <c r="I11" s="52"/>
      <c r="J11" s="52"/>
      <c r="K11" s="52"/>
      <c r="L11" s="15"/>
      <c r="M11" s="5"/>
      <c r="N11" s="5"/>
      <c r="O11" s="5"/>
      <c r="P11" s="5"/>
      <c r="Q11" s="5"/>
      <c r="R11" s="5"/>
      <c r="S11" s="5"/>
      <c r="T11" s="5"/>
    </row>
    <row r="12" spans="1:21" x14ac:dyDescent="0.35">
      <c r="B12" s="15"/>
      <c r="C12" s="8" t="s">
        <v>22</v>
      </c>
      <c r="D12" s="64" t="s">
        <v>341</v>
      </c>
      <c r="E12" s="54"/>
      <c r="F12" s="54"/>
      <c r="G12" s="52"/>
      <c r="H12" s="52"/>
      <c r="I12" s="52"/>
      <c r="J12" s="52"/>
      <c r="K12" s="52"/>
      <c r="L12" s="15"/>
      <c r="M12" s="5"/>
      <c r="N12" s="5"/>
      <c r="O12" s="5"/>
      <c r="P12" s="5"/>
      <c r="Q12" s="5"/>
      <c r="R12" s="5"/>
      <c r="S12" s="5"/>
      <c r="T12" s="5"/>
    </row>
    <row r="13" spans="1:21" x14ac:dyDescent="0.35">
      <c r="B13" s="55"/>
      <c r="C13" s="54"/>
      <c r="D13" s="54"/>
      <c r="E13" s="54"/>
      <c r="F13" s="54"/>
      <c r="G13" s="54"/>
      <c r="H13" s="54"/>
      <c r="I13" s="54"/>
      <c r="J13" s="54"/>
      <c r="K13" s="54"/>
      <c r="L13" s="55"/>
      <c r="M13" s="14"/>
      <c r="N13" s="5"/>
      <c r="O13" s="5"/>
      <c r="P13" s="5"/>
      <c r="Q13" s="5"/>
      <c r="R13" s="14"/>
      <c r="S13" s="14"/>
      <c r="T13" s="14"/>
    </row>
    <row r="14" spans="1:21" x14ac:dyDescent="0.35">
      <c r="B14" s="55"/>
      <c r="C14" s="13"/>
      <c r="D14" s="56"/>
      <c r="E14" s="57"/>
      <c r="F14" s="13"/>
      <c r="G14" s="56"/>
      <c r="H14" s="57"/>
      <c r="I14" s="54"/>
      <c r="J14" s="56"/>
      <c r="K14" s="92"/>
      <c r="L14" s="57"/>
      <c r="M14" s="14"/>
      <c r="N14" s="5"/>
      <c r="O14" s="5"/>
      <c r="P14" s="5"/>
      <c r="Q14" s="5"/>
      <c r="R14" s="14"/>
      <c r="S14" s="14"/>
      <c r="T14" s="14"/>
    </row>
    <row r="15" spans="1:21" x14ac:dyDescent="0.35">
      <c r="B15" s="15"/>
      <c r="C15" s="13"/>
      <c r="D15" s="58" t="s">
        <v>7</v>
      </c>
      <c r="E15" s="59"/>
      <c r="F15" s="13"/>
      <c r="G15" s="58" t="s">
        <v>8</v>
      </c>
      <c r="H15" s="59"/>
      <c r="I15" s="13"/>
      <c r="J15" s="58" t="s">
        <v>28</v>
      </c>
      <c r="K15" s="94"/>
      <c r="L15" s="59"/>
      <c r="M15" s="13"/>
      <c r="N15" s="13"/>
      <c r="O15" s="13"/>
      <c r="P15" s="13"/>
      <c r="Q15" s="13"/>
      <c r="R15" s="13"/>
      <c r="S15" s="13"/>
      <c r="T15" s="13"/>
    </row>
    <row r="16" spans="1:21" x14ac:dyDescent="0.35">
      <c r="B16" s="55"/>
      <c r="C16" s="13"/>
      <c r="D16" s="60"/>
      <c r="E16" s="61"/>
      <c r="F16" s="13"/>
      <c r="G16" s="60"/>
      <c r="H16" s="61"/>
      <c r="I16" s="54"/>
      <c r="J16" s="60"/>
      <c r="K16" s="93"/>
      <c r="L16" s="61"/>
      <c r="M16" s="14"/>
      <c r="N16" s="5"/>
      <c r="O16" s="5"/>
      <c r="P16" s="5"/>
      <c r="Q16" s="5"/>
      <c r="R16" s="13"/>
      <c r="S16" s="13"/>
      <c r="T16" s="13"/>
    </row>
    <row r="17" spans="2:20" ht="5" customHeight="1" x14ac:dyDescent="0.35">
      <c r="B17" s="55"/>
      <c r="C17" s="13"/>
      <c r="D17" s="62"/>
      <c r="E17" s="62"/>
      <c r="F17" s="13"/>
      <c r="G17" s="62"/>
      <c r="H17" s="62"/>
      <c r="I17" s="54"/>
      <c r="J17" s="62"/>
      <c r="K17" s="62"/>
      <c r="L17" s="55"/>
      <c r="M17" s="14"/>
      <c r="N17" s="5"/>
      <c r="O17" s="5"/>
      <c r="P17" s="5"/>
      <c r="Q17" s="5"/>
      <c r="R17" s="13"/>
      <c r="S17" s="13"/>
      <c r="T17" s="13"/>
    </row>
    <row r="18" spans="2:20" x14ac:dyDescent="0.35">
      <c r="B18" s="55"/>
      <c r="C18" s="13"/>
      <c r="D18" s="105" t="s">
        <v>9</v>
      </c>
      <c r="E18" s="106"/>
      <c r="F18" s="13"/>
      <c r="G18" s="105" t="s">
        <v>27</v>
      </c>
      <c r="H18" s="106"/>
      <c r="I18" s="54"/>
      <c r="J18" s="105" t="s">
        <v>27</v>
      </c>
      <c r="K18" s="107"/>
      <c r="L18" s="106"/>
      <c r="M18" s="14"/>
      <c r="N18" s="5"/>
      <c r="O18" s="5"/>
      <c r="P18" s="5"/>
      <c r="Q18" s="5"/>
      <c r="R18" s="13"/>
      <c r="S18" s="13"/>
      <c r="T18" s="13"/>
    </row>
    <row r="19" spans="2:20" ht="5" customHeight="1" x14ac:dyDescent="0.35">
      <c r="B19" s="55"/>
      <c r="C19" s="13"/>
      <c r="D19" s="18"/>
      <c r="E19" s="18"/>
      <c r="F19" s="13"/>
      <c r="G19" s="18"/>
      <c r="H19" s="63"/>
      <c r="I19" s="54"/>
      <c r="J19" s="18"/>
      <c r="K19" s="18"/>
      <c r="L19" s="54"/>
      <c r="M19" s="14"/>
      <c r="N19" s="5"/>
      <c r="O19" s="5"/>
      <c r="P19" s="5"/>
      <c r="Q19" s="5"/>
      <c r="R19" s="13"/>
      <c r="S19" s="13"/>
      <c r="T19" s="13"/>
    </row>
    <row r="20" spans="2:20" x14ac:dyDescent="0.35">
      <c r="B20" s="55"/>
      <c r="C20" s="13"/>
      <c r="D20" s="8" t="s">
        <v>350</v>
      </c>
      <c r="E20" s="64" t="s">
        <v>1</v>
      </c>
      <c r="F20" s="13"/>
      <c r="G20" s="8" t="s">
        <v>350</v>
      </c>
      <c r="H20" s="64" t="s">
        <v>1</v>
      </c>
      <c r="I20" s="54"/>
      <c r="J20" s="95" t="s">
        <v>351</v>
      </c>
      <c r="K20" s="96"/>
      <c r="L20" s="53" t="s">
        <v>30</v>
      </c>
      <c r="M20" s="14"/>
      <c r="N20" s="5"/>
      <c r="O20" s="5"/>
      <c r="P20" s="5"/>
      <c r="Q20" s="5"/>
      <c r="R20" s="13"/>
      <c r="S20" s="13"/>
      <c r="T20" s="13"/>
    </row>
    <row r="21" spans="2:20" ht="5" customHeight="1" x14ac:dyDescent="0.35">
      <c r="B21" s="55"/>
      <c r="C21" s="13"/>
      <c r="D21" s="13"/>
      <c r="E21" s="13"/>
      <c r="F21" s="13"/>
      <c r="G21" s="13"/>
      <c r="H21" s="13"/>
      <c r="I21" s="54"/>
      <c r="J21" s="62"/>
      <c r="K21" s="62"/>
      <c r="L21" s="62"/>
      <c r="M21" s="14"/>
      <c r="N21" s="5"/>
      <c r="O21" s="5"/>
      <c r="P21" s="5"/>
      <c r="Q21" s="5"/>
      <c r="R21" s="13"/>
      <c r="S21" s="13"/>
      <c r="T21" s="13"/>
    </row>
    <row r="22" spans="2:20" x14ac:dyDescent="0.35">
      <c r="B22" s="55"/>
      <c r="C22" s="13"/>
      <c r="D22" s="13"/>
      <c r="E22" s="13"/>
      <c r="F22" s="13"/>
      <c r="G22" s="13"/>
      <c r="H22" s="13"/>
      <c r="I22" s="54"/>
      <c r="J22" s="95" t="s">
        <v>352</v>
      </c>
      <c r="K22" s="96"/>
      <c r="L22" s="53" t="s">
        <v>30</v>
      </c>
      <c r="M22" s="14"/>
      <c r="N22" s="5"/>
      <c r="O22" s="5"/>
      <c r="P22" s="5"/>
      <c r="Q22" s="5"/>
      <c r="R22" s="13"/>
      <c r="S22" s="13"/>
      <c r="T22" s="13"/>
    </row>
    <row r="23" spans="2:20" ht="5" customHeight="1" x14ac:dyDescent="0.35">
      <c r="B23" s="55"/>
      <c r="C23" s="13"/>
      <c r="D23" s="13"/>
      <c r="E23" s="13"/>
      <c r="F23" s="13"/>
      <c r="G23" s="13"/>
      <c r="H23" s="13"/>
      <c r="I23" s="54"/>
      <c r="J23" s="13"/>
      <c r="K23" s="13"/>
      <c r="L23" s="13"/>
      <c r="M23" s="14"/>
      <c r="N23" s="5"/>
      <c r="O23" s="5"/>
      <c r="P23" s="5"/>
      <c r="Q23" s="5"/>
      <c r="R23" s="13"/>
      <c r="S23" s="13"/>
      <c r="T23" s="13"/>
    </row>
    <row r="24" spans="2:20" ht="15" thickBot="1" x14ac:dyDescent="0.4">
      <c r="B24" s="6"/>
      <c r="C24" s="7"/>
      <c r="D24" s="7"/>
      <c r="E24" s="7"/>
      <c r="F24" s="7"/>
      <c r="G24" s="7"/>
      <c r="H24" s="7"/>
      <c r="I24" s="7"/>
      <c r="J24" s="7"/>
      <c r="K24" s="7"/>
      <c r="L24" s="6"/>
      <c r="M24" s="7"/>
      <c r="N24" s="7"/>
      <c r="O24" s="7"/>
      <c r="P24" s="7"/>
      <c r="Q24" s="7"/>
      <c r="R24" s="7"/>
      <c r="S24" s="7"/>
      <c r="T24" s="7"/>
    </row>
    <row r="25" spans="2:20" x14ac:dyDescent="0.35">
      <c r="B25" s="9"/>
      <c r="C25" s="10"/>
      <c r="D25" s="1"/>
      <c r="E25" s="1"/>
      <c r="F25" s="1"/>
      <c r="G25" s="1"/>
      <c r="H25" s="1"/>
      <c r="I25" s="1"/>
      <c r="J25" s="1"/>
      <c r="K25" s="1"/>
      <c r="L25" s="9"/>
      <c r="M25" s="10"/>
      <c r="N25" s="1"/>
      <c r="O25" s="1"/>
      <c r="P25" s="1"/>
      <c r="Q25" s="1"/>
      <c r="R25" s="1"/>
      <c r="S25" s="1"/>
      <c r="T25" s="1"/>
    </row>
    <row r="26" spans="2:20" ht="15" thickBot="1" x14ac:dyDescent="0.4">
      <c r="B26" s="4"/>
      <c r="C26" s="4"/>
      <c r="D26" s="4"/>
      <c r="E26" s="4"/>
      <c r="F26" s="4"/>
      <c r="G26" s="4"/>
      <c r="H26" s="4"/>
      <c r="I26" s="4"/>
      <c r="J26" s="4"/>
      <c r="K26" s="4"/>
      <c r="L26" s="4"/>
      <c r="M26" s="4"/>
      <c r="N26" s="4"/>
      <c r="O26" s="4"/>
      <c r="P26" s="4"/>
      <c r="Q26" s="4"/>
      <c r="R26" s="4"/>
      <c r="S26" s="4"/>
      <c r="T26" s="4"/>
    </row>
    <row r="27" spans="2:20" ht="15" thickTop="1" x14ac:dyDescent="0.35">
      <c r="B27" s="12"/>
      <c r="C27" s="5"/>
      <c r="D27" s="5"/>
      <c r="E27" s="5"/>
      <c r="F27" s="5"/>
      <c r="G27" s="5"/>
      <c r="H27" s="5"/>
      <c r="I27" s="5"/>
      <c r="J27" s="5"/>
      <c r="K27" s="5"/>
      <c r="L27" s="12"/>
      <c r="M27" s="5"/>
      <c r="N27" s="5"/>
      <c r="O27" s="5"/>
      <c r="P27" s="5"/>
      <c r="Q27" s="5"/>
      <c r="R27" s="5"/>
      <c r="S27" s="5"/>
      <c r="T27" s="5"/>
    </row>
    <row r="28" spans="2:20" x14ac:dyDescent="0.35">
      <c r="B28" s="12"/>
      <c r="C28" s="5"/>
      <c r="D28" s="5"/>
      <c r="E28" s="5"/>
      <c r="F28" s="5"/>
      <c r="G28" s="5"/>
      <c r="H28" s="19"/>
      <c r="I28" s="43"/>
      <c r="J28" s="43"/>
      <c r="K28" s="28"/>
      <c r="L28" s="29"/>
      <c r="M28" s="20"/>
      <c r="N28" s="5"/>
      <c r="O28" s="5"/>
      <c r="P28" s="5"/>
      <c r="Q28" s="5"/>
      <c r="R28" s="5"/>
      <c r="S28" s="5"/>
      <c r="T28" s="5"/>
    </row>
    <row r="29" spans="2:20" ht="16" x14ac:dyDescent="0.4">
      <c r="B29" s="12"/>
      <c r="C29" s="5"/>
      <c r="D29" s="5"/>
      <c r="E29" s="5"/>
      <c r="F29" s="5"/>
      <c r="G29" s="5"/>
      <c r="H29" s="34" t="s">
        <v>2</v>
      </c>
      <c r="I29" s="44"/>
      <c r="J29" s="65"/>
      <c r="K29" s="26"/>
      <c r="L29" s="25"/>
      <c r="M29" s="27"/>
      <c r="N29" s="5"/>
      <c r="O29" s="5"/>
      <c r="P29" s="5"/>
      <c r="Q29" s="5"/>
      <c r="R29" s="5"/>
      <c r="S29" s="5"/>
      <c r="T29" s="5"/>
    </row>
    <row r="30" spans="2:20" x14ac:dyDescent="0.35">
      <c r="B30" s="12"/>
      <c r="C30" s="5"/>
      <c r="D30" s="5"/>
      <c r="E30" s="5"/>
      <c r="F30" s="5"/>
      <c r="G30" s="5"/>
      <c r="H30" s="30"/>
      <c r="I30" s="45"/>
      <c r="J30" s="45"/>
      <c r="K30" s="31"/>
      <c r="L30" s="32"/>
      <c r="M30" s="33"/>
      <c r="N30" s="5"/>
      <c r="O30" s="5"/>
      <c r="P30" s="5"/>
      <c r="Q30" s="5"/>
      <c r="R30" s="5"/>
      <c r="S30" s="5"/>
      <c r="T30" s="5"/>
    </row>
    <row r="31" spans="2:20" x14ac:dyDescent="0.35">
      <c r="B31" s="12"/>
      <c r="C31" s="5"/>
      <c r="D31" s="5"/>
      <c r="E31" s="5"/>
      <c r="F31" s="5"/>
      <c r="G31" s="5"/>
      <c r="H31" s="5"/>
      <c r="I31" s="5"/>
      <c r="J31" s="5"/>
      <c r="K31" s="5"/>
      <c r="L31" s="5"/>
      <c r="M31" s="5"/>
      <c r="N31" s="5"/>
      <c r="O31" s="5"/>
      <c r="P31" s="5"/>
      <c r="Q31" s="5"/>
      <c r="R31" s="5"/>
      <c r="S31" s="5"/>
      <c r="T31" s="5"/>
    </row>
    <row r="32" spans="2:20" ht="15" thickBot="1" x14ac:dyDescent="0.4">
      <c r="B32" s="13"/>
      <c r="C32" s="87" t="s">
        <v>112</v>
      </c>
      <c r="D32" s="88"/>
      <c r="E32" s="88"/>
      <c r="F32" s="88"/>
      <c r="G32" s="88"/>
      <c r="H32" s="88"/>
      <c r="I32" s="88"/>
      <c r="J32" s="88"/>
      <c r="K32" s="88"/>
      <c r="L32" s="88"/>
      <c r="M32" s="88"/>
      <c r="N32" s="88"/>
      <c r="O32" s="88"/>
      <c r="P32" s="88"/>
      <c r="Q32" s="88"/>
      <c r="R32" s="88"/>
      <c r="S32" s="88"/>
      <c r="T32" s="13"/>
    </row>
    <row r="33" spans="2:20" x14ac:dyDescent="0.35">
      <c r="B33" s="13"/>
      <c r="C33" s="13"/>
      <c r="D33" s="13"/>
      <c r="E33" s="13"/>
      <c r="F33" s="13"/>
      <c r="G33" s="13"/>
      <c r="H33" s="13"/>
      <c r="I33" s="13"/>
      <c r="J33" s="13"/>
      <c r="K33" s="13"/>
      <c r="L33" s="13"/>
      <c r="M33" s="13"/>
      <c r="N33" s="13"/>
      <c r="O33" s="13"/>
      <c r="P33" s="13"/>
      <c r="Q33" s="13"/>
      <c r="R33" s="13"/>
      <c r="S33" s="13"/>
      <c r="T33" s="13"/>
    </row>
    <row r="34" spans="2:20" x14ac:dyDescent="0.35">
      <c r="B34" s="13"/>
      <c r="C34" s="77" t="s">
        <v>13</v>
      </c>
      <c r="D34" s="77" t="s">
        <v>320</v>
      </c>
      <c r="E34" s="77" t="s">
        <v>3</v>
      </c>
      <c r="F34" s="77" t="s">
        <v>5</v>
      </c>
      <c r="G34" s="77" t="s">
        <v>25</v>
      </c>
      <c r="H34" s="77" t="s">
        <v>26</v>
      </c>
      <c r="I34" s="77" t="s">
        <v>4</v>
      </c>
      <c r="J34" s="77" t="s">
        <v>6</v>
      </c>
      <c r="K34" s="13"/>
      <c r="L34" s="13"/>
      <c r="M34" s="13"/>
      <c r="N34" s="13"/>
      <c r="O34" s="13"/>
      <c r="P34" s="13"/>
      <c r="Q34" s="13"/>
      <c r="R34" s="13"/>
      <c r="S34" s="13"/>
      <c r="T34" s="13"/>
    </row>
    <row r="35" spans="2:20" x14ac:dyDescent="0.35">
      <c r="B35" s="13"/>
      <c r="C35" s="71" t="s">
        <v>10</v>
      </c>
      <c r="D35" s="72">
        <f>+SUM(D36,D40)</f>
        <v>304</v>
      </c>
      <c r="E35" s="73">
        <f>+SUM(E36,E40)</f>
        <v>258</v>
      </c>
      <c r="F35" s="74">
        <f>IFERROR(E35/D35,0)</f>
        <v>0.84868421052631582</v>
      </c>
      <c r="G35" s="75">
        <f>+SUM(G36,G40)</f>
        <v>8</v>
      </c>
      <c r="H35" s="74">
        <f t="shared" ref="H35:H46" si="0">IFERROR(G35/D35,0)</f>
        <v>2.6315789473684209E-2</v>
      </c>
      <c r="I35" s="73">
        <f>+SUM(I36,I40)</f>
        <v>33</v>
      </c>
      <c r="J35" s="74">
        <f t="shared" ref="J35:J65" si="1">IFERROR(I35/D35,0)</f>
        <v>0.10855263157894737</v>
      </c>
      <c r="K35" s="13"/>
      <c r="L35" s="13"/>
      <c r="M35" s="13"/>
      <c r="N35" s="13"/>
      <c r="O35" s="13"/>
      <c r="P35" s="13"/>
      <c r="Q35" s="13"/>
      <c r="R35" s="13"/>
      <c r="S35" s="13"/>
      <c r="T35" s="13"/>
    </row>
    <row r="36" spans="2:20" x14ac:dyDescent="0.35">
      <c r="B36" s="13"/>
      <c r="C36" s="78" t="s">
        <v>14</v>
      </c>
      <c r="D36" s="79">
        <f>+SUM(D37:D39)</f>
        <v>156</v>
      </c>
      <c r="E36" s="79">
        <f>+SUM(E37:E39)</f>
        <v>134</v>
      </c>
      <c r="F36" s="81">
        <f t="shared" ref="F36:F37" si="2">IFERROR(E36/D36,0)</f>
        <v>0.85897435897435892</v>
      </c>
      <c r="G36" s="82">
        <f>+SUM(G37:G39)</f>
        <v>6</v>
      </c>
      <c r="H36" s="81">
        <f t="shared" si="0"/>
        <v>3.8461538461538464E-2</v>
      </c>
      <c r="I36" s="83">
        <f>+SUM(I37:I39)</f>
        <v>11</v>
      </c>
      <c r="J36" s="81">
        <f t="shared" si="1"/>
        <v>7.0512820512820512E-2</v>
      </c>
      <c r="K36" s="13"/>
      <c r="L36" s="13"/>
      <c r="M36" s="13"/>
      <c r="N36" s="13"/>
      <c r="O36" s="13"/>
      <c r="P36" s="13"/>
      <c r="Q36" s="13"/>
      <c r="R36" s="13"/>
      <c r="S36" s="13"/>
      <c r="T36" s="13"/>
    </row>
    <row r="37" spans="2:20" outlineLevel="1" x14ac:dyDescent="0.35">
      <c r="B37" s="13"/>
      <c r="C37" s="36" t="s">
        <v>17</v>
      </c>
      <c r="D37" s="21">
        <f>+COUNTIFS('2.1. Regulamentares'!G:G,'1. Dashboard'!$C$35,'2.1. Regulamentares'!F:F,"h")</f>
        <v>63</v>
      </c>
      <c r="E37" s="23">
        <f>+COUNTIFS('2.1. Regulamentares'!G:G,'1. Dashboard'!$C$35,'2.1. Regulamentares'!F:F,"h",'2.1. Regulamentares'!C:C,"=0")</f>
        <v>53</v>
      </c>
      <c r="F37" s="22">
        <f t="shared" si="2"/>
        <v>0.84126984126984128</v>
      </c>
      <c r="G37" s="24">
        <f>+COUNTIFS('2.1. Regulamentares'!G:G,'1. Dashboard'!$C$35,'2.1. Regulamentares'!F:F,"h",'2.1. Regulamentares'!C:C,"&gt;0",'2.1. Regulamentares'!I:I,"&lt;&gt;")</f>
        <v>0</v>
      </c>
      <c r="H37" s="22">
        <f t="shared" si="0"/>
        <v>0</v>
      </c>
      <c r="I37" s="46">
        <f>+COUNTIFS('2.1. Regulamentares'!G:G,'1. Dashboard'!$C$35,'2.1. Regulamentares'!F:F,"h",'2.1. Regulamentares'!C:C,"&gt;0",'2.1. Regulamentares'!I:I,"")</f>
        <v>5</v>
      </c>
      <c r="J37" s="22">
        <f t="shared" si="1"/>
        <v>7.9365079365079361E-2</v>
      </c>
      <c r="K37" s="13"/>
      <c r="L37" s="13"/>
      <c r="M37" s="13"/>
      <c r="N37" s="13"/>
      <c r="O37" s="13"/>
      <c r="P37" s="13"/>
      <c r="Q37" s="13"/>
      <c r="R37" s="13"/>
      <c r="S37" s="13"/>
      <c r="T37" s="13"/>
    </row>
    <row r="38" spans="2:20" outlineLevel="1" x14ac:dyDescent="0.35">
      <c r="B38" s="13"/>
      <c r="C38" s="36" t="s">
        <v>16</v>
      </c>
      <c r="D38" s="21">
        <f>+COUNTIFS('2.1. Regulamentares'!G:G,'1. Dashboard'!$C$35,'2.1. Regulamentares'!F:F,"w")</f>
        <v>12</v>
      </c>
      <c r="E38" s="23">
        <f>+COUNTIFS('2.1. Regulamentares'!G:G,'1. Dashboard'!$C$35,'2.1. Regulamentares'!F:F,"w",'2.1. Regulamentares'!C:C,"=0")</f>
        <v>11</v>
      </c>
      <c r="F38" s="22">
        <f t="shared" ref="F38:F65" si="3">IFERROR(E38/D38,0)</f>
        <v>0.91666666666666663</v>
      </c>
      <c r="G38" s="24">
        <f>+COUNTIFS('2.1. Regulamentares'!G:G,'1. Dashboard'!$C$35,'2.1. Regulamentares'!F:F,"w",'2.1. Regulamentares'!C:C,"&gt;0",'2.1. Regulamentares'!I:I,"&lt;&gt;")</f>
        <v>0</v>
      </c>
      <c r="H38" s="22">
        <f t="shared" si="0"/>
        <v>0</v>
      </c>
      <c r="I38" s="46">
        <f>+COUNTIFS('2.1. Regulamentares'!G:G,'1. Dashboard'!$C$35,'2.1. Regulamentares'!F:F,"w",'2.1. Regulamentares'!C:C,"&gt;0",'2.1. Regulamentares'!I:I,"")</f>
        <v>1</v>
      </c>
      <c r="J38" s="22">
        <f t="shared" si="1"/>
        <v>8.3333333333333329E-2</v>
      </c>
      <c r="K38" s="13"/>
      <c r="L38" s="13"/>
      <c r="M38" s="13"/>
      <c r="N38" s="13"/>
      <c r="O38" s="13"/>
      <c r="P38" s="13"/>
      <c r="Q38" s="13"/>
      <c r="R38" s="13"/>
      <c r="S38" s="13"/>
      <c r="T38" s="13"/>
    </row>
    <row r="39" spans="2:20" outlineLevel="1" x14ac:dyDescent="0.35">
      <c r="B39" s="13"/>
      <c r="C39" s="36" t="s">
        <v>321</v>
      </c>
      <c r="D39" s="21">
        <f>+COUNTIFS('2.1. Regulamentares'!G:G,'1. Dashboard'!$C$35,'2.1. Regulamentares'!F:F,"f")</f>
        <v>81</v>
      </c>
      <c r="E39" s="23">
        <f>+COUNTIFS('2.1. Regulamentares'!G:G,'1. Dashboard'!$C$35,'2.1. Regulamentares'!F:F,"f",'2.1. Regulamentares'!C:C,"=0")</f>
        <v>70</v>
      </c>
      <c r="F39" s="22">
        <f t="shared" si="3"/>
        <v>0.86419753086419748</v>
      </c>
      <c r="G39" s="24">
        <f>+COUNTIFS('2.1. Regulamentares'!G:G,'1. Dashboard'!$C$35,'2.1. Regulamentares'!F:F,"f",'2.1. Regulamentares'!C:C,"&gt;0",'2.1. Regulamentares'!I:I,"&lt;&gt;")</f>
        <v>6</v>
      </c>
      <c r="H39" s="22">
        <f t="shared" si="0"/>
        <v>7.407407407407407E-2</v>
      </c>
      <c r="I39" s="46">
        <f>+COUNTIFS('2.1. Regulamentares'!G:G,'1. Dashboard'!$C$35,'2.1. Regulamentares'!F:F,"f",'2.1. Regulamentares'!C:C,"&gt;0",'2.1. Regulamentares'!I:I,"")</f>
        <v>5</v>
      </c>
      <c r="J39" s="22">
        <f t="shared" si="1"/>
        <v>6.1728395061728392E-2</v>
      </c>
      <c r="K39" s="13"/>
      <c r="L39" s="13"/>
      <c r="M39" s="13"/>
      <c r="N39" s="13"/>
      <c r="O39" s="13"/>
      <c r="P39" s="13"/>
      <c r="Q39" s="13"/>
      <c r="R39" s="13"/>
      <c r="S39" s="13"/>
      <c r="T39" s="13"/>
    </row>
    <row r="40" spans="2:20" x14ac:dyDescent="0.35">
      <c r="B40" s="13"/>
      <c r="C40" s="78" t="s">
        <v>15</v>
      </c>
      <c r="D40" s="79">
        <f>+SUM(D41:D44)</f>
        <v>148</v>
      </c>
      <c r="E40" s="80">
        <f t="shared" ref="E40:I40" si="4">+SUM(E41:E44)</f>
        <v>124</v>
      </c>
      <c r="F40" s="81">
        <f t="shared" si="3"/>
        <v>0.83783783783783783</v>
      </c>
      <c r="G40" s="82">
        <f t="shared" si="4"/>
        <v>2</v>
      </c>
      <c r="H40" s="81">
        <f t="shared" si="0"/>
        <v>1.3513513513513514E-2</v>
      </c>
      <c r="I40" s="83">
        <f t="shared" si="4"/>
        <v>22</v>
      </c>
      <c r="J40" s="81">
        <f t="shared" si="1"/>
        <v>0.14864864864864866</v>
      </c>
      <c r="K40" s="13"/>
      <c r="L40" s="13"/>
      <c r="M40" s="13"/>
      <c r="N40" s="13"/>
      <c r="O40" s="13"/>
      <c r="P40" s="13"/>
      <c r="Q40" s="13"/>
      <c r="R40" s="13"/>
      <c r="S40" s="13"/>
      <c r="T40" s="13"/>
    </row>
    <row r="41" spans="2:20" outlineLevel="1" x14ac:dyDescent="0.35">
      <c r="B41" s="13"/>
      <c r="C41" s="36" t="s">
        <v>20</v>
      </c>
      <c r="D41" s="21">
        <f>+COUNTIFS('2.2. Outros'!H:H,'1. Dashboard'!$C$35,'2.2. Outros'!D:D,"Validade")</f>
        <v>73</v>
      </c>
      <c r="E41" s="23">
        <f>+COUNTIFS('2.2. Outros'!H:H,'1. Dashboard'!$C$35,'2.2. Outros'!D:D,"Validade",'2.2. Outros'!F:F,"0")</f>
        <v>70</v>
      </c>
      <c r="F41" s="22">
        <f t="shared" si="3"/>
        <v>0.95890410958904104</v>
      </c>
      <c r="G41" s="24">
        <f>+COUNTIFS('2.2. Outros'!H:H,'1. Dashboard'!$C$35,'2.2. Outros'!D:D,"Validade",'2.2. Outros'!F:F,"&lt;&gt;0",'2.2. Outros'!I:I,"&lt;&gt;")</f>
        <v>1</v>
      </c>
      <c r="H41" s="22">
        <f t="shared" si="0"/>
        <v>1.3698630136986301E-2</v>
      </c>
      <c r="I41" s="46">
        <f>+COUNTIFS('2.2. Outros'!H:H,'1. Dashboard'!$C$35,'2.2. Outros'!D:D,"Validade",'2.2. Outros'!F:F,"&lt;&gt;0",'2.2. Outros'!I:I,"")</f>
        <v>2</v>
      </c>
      <c r="J41" s="22">
        <f t="shared" si="1"/>
        <v>2.7397260273972601E-2</v>
      </c>
      <c r="K41" s="13"/>
      <c r="L41" s="13"/>
      <c r="M41" s="13"/>
      <c r="N41" s="13"/>
      <c r="O41" s="13"/>
      <c r="P41" s="13"/>
      <c r="Q41" s="13"/>
      <c r="R41" s="13"/>
      <c r="S41" s="13"/>
      <c r="T41" s="13"/>
    </row>
    <row r="42" spans="2:20" outlineLevel="1" x14ac:dyDescent="0.35">
      <c r="B42" s="13"/>
      <c r="C42" s="36" t="s">
        <v>21</v>
      </c>
      <c r="D42" s="21">
        <f>+COUNTIFS('2.2. Outros'!H:H,'1. Dashboard'!$C$35,'2.2. Outros'!D:D,"Not applicable")</f>
        <v>73</v>
      </c>
      <c r="E42" s="23">
        <f>+COUNTIFS('2.2. Outros'!H:H,'1. Dashboard'!$C$35,'2.2. Outros'!D:D,"Not applicable",'2.2. Outros'!F:F,"0")</f>
        <v>52</v>
      </c>
      <c r="F42" s="22">
        <f t="shared" si="3"/>
        <v>0.71232876712328763</v>
      </c>
      <c r="G42" s="24">
        <f>+COUNTIFS('2.2. Outros'!H:H,'1. Dashboard'!$C$35,'2.2. Outros'!D:D,"Not applicable",'2.2. Outros'!F:F,"&lt;&gt;0",'2.2. Outros'!I:I,"&lt;&gt;")</f>
        <v>1</v>
      </c>
      <c r="H42" s="22">
        <f t="shared" si="0"/>
        <v>1.3698630136986301E-2</v>
      </c>
      <c r="I42" s="46">
        <f>+COUNTIFS('2.2. Outros'!H:H,'1. Dashboard'!$C$35,'2.2. Outros'!D:D,"Not applicable",'2.2. Outros'!F:F,"&lt;&gt;0",'2.2. Outros'!I:I,"")</f>
        <v>20</v>
      </c>
      <c r="J42" s="22">
        <f t="shared" si="1"/>
        <v>0.27397260273972601</v>
      </c>
      <c r="K42" s="13"/>
      <c r="L42" s="13"/>
      <c r="M42" s="13"/>
      <c r="N42" s="13"/>
      <c r="O42" s="13"/>
      <c r="P42" s="13"/>
      <c r="Q42" s="13"/>
      <c r="R42" s="13"/>
      <c r="S42" s="13"/>
      <c r="T42" s="13"/>
    </row>
    <row r="43" spans="2:20" outlineLevel="1" x14ac:dyDescent="0.35">
      <c r="B43" s="13"/>
      <c r="C43" s="36" t="s">
        <v>18</v>
      </c>
      <c r="D43" s="21">
        <f>+COUNTIFS('2.2. Outros'!H:H,'1. Dashboard'!$C$35,'2.2. Outros'!D:D,"Duplicados")</f>
        <v>1</v>
      </c>
      <c r="E43" s="23">
        <f>+COUNTIFS('2.2. Outros'!H:H,'1. Dashboard'!$C$35,'2.2. Outros'!D:D,"Duplicados",'2.2. Outros'!F:F,"0")</f>
        <v>1</v>
      </c>
      <c r="F43" s="22">
        <f t="shared" si="3"/>
        <v>1</v>
      </c>
      <c r="G43" s="24">
        <f>+COUNTIFS('2.2. Outros'!H:H,'1. Dashboard'!$C$35,'2.2. Outros'!D:D,"Duplicados",'2.2. Outros'!F:F,"&lt;&gt;0",'2.2. Outros'!I:I,"&lt;&gt;")</f>
        <v>0</v>
      </c>
      <c r="H43" s="22">
        <f t="shared" si="0"/>
        <v>0</v>
      </c>
      <c r="I43" s="46">
        <f>+COUNTIFS('2.2. Outros'!H:H,'1. Dashboard'!$C$35,'2.2. Outros'!D:D,"Duplicados",'2.2. Outros'!F:F,"&lt;&gt;0",'2.2. Outros'!I:I,"")</f>
        <v>0</v>
      </c>
      <c r="J43" s="22">
        <f t="shared" si="1"/>
        <v>0</v>
      </c>
      <c r="K43" s="13"/>
      <c r="L43" s="13"/>
      <c r="M43" s="13"/>
      <c r="N43" s="13"/>
      <c r="O43" s="13"/>
      <c r="P43" s="13"/>
      <c r="Q43" s="13"/>
      <c r="R43" s="13"/>
      <c r="S43" s="13"/>
      <c r="T43" s="13"/>
    </row>
    <row r="44" spans="2:20" outlineLevel="1" x14ac:dyDescent="0.35">
      <c r="B44" s="13"/>
      <c r="C44" s="36" t="s">
        <v>19</v>
      </c>
      <c r="D44" s="21">
        <f>+COUNTIFS('2.2. Outros'!H:H,'1. Dashboard'!$C$35,'2.2. Outros'!D:D,"Integridade")</f>
        <v>1</v>
      </c>
      <c r="E44" s="23">
        <f>+COUNTIFS('2.2. Outros'!H:H,'1. Dashboard'!$C$35,'2.2. Outros'!D:D,"Integridade",'2.2. Outros'!F:F,"0")</f>
        <v>1</v>
      </c>
      <c r="F44" s="22">
        <f t="shared" si="3"/>
        <v>1</v>
      </c>
      <c r="G44" s="24">
        <f>+COUNTIFS('2.2. Outros'!H:H,'1. Dashboard'!$C$35,'2.2. Outros'!D:D,"Integridade",'2.2. Outros'!F:F,"&lt;&gt;0",'2.2. Outros'!I:I,"&lt;&gt;")</f>
        <v>0</v>
      </c>
      <c r="H44" s="22">
        <f t="shared" si="0"/>
        <v>0</v>
      </c>
      <c r="I44" s="46">
        <f>+COUNTIFS('2.2. Outros'!H:H,'1. Dashboard'!$C$35,'2.2. Outros'!D:D,"Integridade",'2.2. Outros'!F:F,"&lt;&gt;0",'2.2. Outros'!I:I,"")</f>
        <v>0</v>
      </c>
      <c r="J44" s="22">
        <f t="shared" si="1"/>
        <v>0</v>
      </c>
      <c r="K44" s="13"/>
      <c r="L44" s="13"/>
      <c r="M44" s="13"/>
      <c r="N44" s="13"/>
      <c r="O44" s="13"/>
      <c r="P44" s="13"/>
      <c r="Q44" s="13"/>
      <c r="R44" s="13"/>
      <c r="S44" s="13"/>
      <c r="T44" s="13"/>
    </row>
    <row r="45" spans="2:20" x14ac:dyDescent="0.35">
      <c r="B45" s="13"/>
      <c r="C45" s="71" t="s">
        <v>11</v>
      </c>
      <c r="D45" s="72">
        <f>+SUM(D46,D50)</f>
        <v>20</v>
      </c>
      <c r="E45" s="73">
        <f>+SUM(E46,E50)</f>
        <v>17</v>
      </c>
      <c r="F45" s="74">
        <f t="shared" si="3"/>
        <v>0.85</v>
      </c>
      <c r="G45" s="75">
        <f>+SUM(G46,G50)</f>
        <v>2</v>
      </c>
      <c r="H45" s="74">
        <f t="shared" si="0"/>
        <v>0.1</v>
      </c>
      <c r="I45" s="73">
        <f>+SUM(I46,I50)</f>
        <v>1</v>
      </c>
      <c r="J45" s="74">
        <f t="shared" si="1"/>
        <v>0.05</v>
      </c>
      <c r="K45" s="13"/>
      <c r="L45" s="13"/>
      <c r="M45" s="13"/>
      <c r="N45" s="13"/>
      <c r="O45" s="13"/>
      <c r="P45" s="13"/>
      <c r="Q45" s="13"/>
      <c r="R45" s="13"/>
      <c r="S45" s="13"/>
      <c r="T45" s="13"/>
    </row>
    <row r="46" spans="2:20" x14ac:dyDescent="0.35">
      <c r="B46" s="13"/>
      <c r="C46" s="78" t="s">
        <v>14</v>
      </c>
      <c r="D46" s="79">
        <f>+SUM(D47:D49)</f>
        <v>19</v>
      </c>
      <c r="E46" s="79">
        <f>+SUM(E47:E49)</f>
        <v>16</v>
      </c>
      <c r="F46" s="81">
        <f t="shared" si="3"/>
        <v>0.84210526315789469</v>
      </c>
      <c r="G46" s="82">
        <f>+SUM(G47:G49)</f>
        <v>2</v>
      </c>
      <c r="H46" s="81">
        <f t="shared" si="0"/>
        <v>0.10526315789473684</v>
      </c>
      <c r="I46" s="83">
        <f>+SUM(I47:I49)</f>
        <v>1</v>
      </c>
      <c r="J46" s="81">
        <f t="shared" si="1"/>
        <v>5.2631578947368418E-2</v>
      </c>
      <c r="K46" s="13"/>
      <c r="L46" s="13"/>
      <c r="M46" s="13"/>
      <c r="N46" s="13"/>
      <c r="O46" s="13"/>
      <c r="P46" s="13"/>
      <c r="Q46" s="13"/>
      <c r="R46" s="13"/>
      <c r="S46" s="13"/>
      <c r="T46" s="13"/>
    </row>
    <row r="47" spans="2:20" outlineLevel="1" x14ac:dyDescent="0.35">
      <c r="B47" s="13"/>
      <c r="C47" s="36" t="s">
        <v>17</v>
      </c>
      <c r="D47" s="21">
        <f>+COUNTIFS('2.1. Regulamentares'!G:G,$C$45,'2.1. Regulamentares'!F:F,"h")</f>
        <v>5</v>
      </c>
      <c r="E47" s="23">
        <f>+COUNTIFS('2.1. Regulamentares'!G:G,$C$45,'2.1. Regulamentares'!F:F,"h",'2.1. Regulamentares'!C:C,"=0")</f>
        <v>4</v>
      </c>
      <c r="F47" s="22">
        <f t="shared" si="3"/>
        <v>0.8</v>
      </c>
      <c r="G47" s="24">
        <f>+COUNTIFS('2.1. Regulamentares'!G:G,$C$45,'2.1. Regulamentares'!F:F,"h",'2.1. Regulamentares'!C:C,"&gt;0",'2.1. Regulamentares'!I:I,"&lt;&gt;")</f>
        <v>0</v>
      </c>
      <c r="H47" s="22">
        <f t="shared" ref="H47" si="5">IFERROR(G47/D47,0)</f>
        <v>0</v>
      </c>
      <c r="I47" s="46">
        <f>+COUNTIFS('2.1. Regulamentares'!G:G,$C$45,'2.1. Regulamentares'!F:F,"h",'2.1. Regulamentares'!C:C,"&gt;0",'2.1. Regulamentares'!I:I,"")</f>
        <v>1</v>
      </c>
      <c r="J47" s="22">
        <f t="shared" si="1"/>
        <v>0.2</v>
      </c>
      <c r="K47" s="13"/>
      <c r="L47" s="13"/>
      <c r="M47" s="13"/>
      <c r="N47" s="13"/>
      <c r="O47" s="13"/>
      <c r="P47" s="13"/>
      <c r="Q47" s="13"/>
      <c r="R47" s="13"/>
      <c r="S47" s="13"/>
      <c r="T47" s="13"/>
    </row>
    <row r="48" spans="2:20" outlineLevel="1" x14ac:dyDescent="0.35">
      <c r="B48" s="13"/>
      <c r="C48" s="37" t="s">
        <v>16</v>
      </c>
      <c r="D48" s="21">
        <f>+COUNTIFS('2.1. Regulamentares'!G:G,$C$45,'2.1. Regulamentares'!F:F,"w")</f>
        <v>0</v>
      </c>
      <c r="E48" s="23">
        <f>+COUNTIFS('2.1. Regulamentares'!G:G,$C$45,'2.1. Regulamentares'!F:F,"w",'2.1. Regulamentares'!C:C,"=0")</f>
        <v>0</v>
      </c>
      <c r="F48" s="22">
        <f t="shared" si="3"/>
        <v>0</v>
      </c>
      <c r="G48" s="24">
        <f>+COUNTIFS('2.1. Regulamentares'!G:G,$C$45,'2.1. Regulamentares'!F:F,"w",'2.1. Regulamentares'!C:C,"&gt;0",'2.1. Regulamentares'!I:I,"&lt;&gt;")</f>
        <v>0</v>
      </c>
      <c r="H48" s="22">
        <f t="shared" ref="H48:H65" si="6">IFERROR(G48/D48,0)</f>
        <v>0</v>
      </c>
      <c r="I48" s="46">
        <f>+COUNTIFS('2.1. Regulamentares'!G:G,$C$45,'2.1. Regulamentares'!F:F,"w",'2.1. Regulamentares'!C:C,"&gt;0",'2.1. Regulamentares'!I:I,"")</f>
        <v>0</v>
      </c>
      <c r="J48" s="22">
        <f t="shared" si="1"/>
        <v>0</v>
      </c>
      <c r="K48" s="13"/>
      <c r="L48" s="13"/>
      <c r="M48" s="16"/>
      <c r="N48" s="17"/>
      <c r="O48" s="17"/>
      <c r="P48" s="17"/>
      <c r="Q48" s="17"/>
      <c r="R48" s="17"/>
      <c r="S48" s="17"/>
      <c r="T48" s="17"/>
    </row>
    <row r="49" spans="2:20" outlineLevel="1" x14ac:dyDescent="0.35">
      <c r="B49" s="13"/>
      <c r="C49" s="37" t="s">
        <v>321</v>
      </c>
      <c r="D49" s="21">
        <f>+COUNTIFS('2.1. Regulamentares'!G:G,$C$45,'2.1. Regulamentares'!F:F,"f")</f>
        <v>14</v>
      </c>
      <c r="E49" s="23">
        <f>+COUNTIFS('2.1. Regulamentares'!G:G,$C$45,'2.1. Regulamentares'!F:F,"f",'2.1. Regulamentares'!C:C,"=0")</f>
        <v>12</v>
      </c>
      <c r="F49" s="22">
        <f t="shared" si="3"/>
        <v>0.8571428571428571</v>
      </c>
      <c r="G49" s="24">
        <f>+COUNTIFS('2.1. Regulamentares'!G:G,$C$45,'2.1. Regulamentares'!F:F,"f",'2.1. Regulamentares'!C:C,"&gt;0",'2.1. Regulamentares'!I:I,"&lt;&gt;")</f>
        <v>2</v>
      </c>
      <c r="H49" s="22">
        <f t="shared" si="6"/>
        <v>0.14285714285714285</v>
      </c>
      <c r="I49" s="46">
        <f>+COUNTIFS('2.1. Regulamentares'!G:G,$C$45,'2.1. Regulamentares'!F:F,"f",'2.1. Regulamentares'!C:C,"&gt;0",'2.1. Regulamentares'!I:I,"")</f>
        <v>0</v>
      </c>
      <c r="J49" s="22">
        <f t="shared" si="1"/>
        <v>0</v>
      </c>
      <c r="K49" s="13"/>
      <c r="L49" s="13"/>
      <c r="M49" s="16"/>
      <c r="N49" s="17"/>
      <c r="O49" s="17"/>
      <c r="P49" s="17"/>
      <c r="Q49" s="17"/>
      <c r="R49" s="17"/>
      <c r="S49" s="17"/>
      <c r="T49" s="17"/>
    </row>
    <row r="50" spans="2:20" x14ac:dyDescent="0.35">
      <c r="B50" s="13"/>
      <c r="C50" s="78" t="s">
        <v>15</v>
      </c>
      <c r="D50" s="79">
        <f t="shared" ref="D50:I50" si="7">+SUM(D51:D54)</f>
        <v>1</v>
      </c>
      <c r="E50" s="80">
        <f t="shared" si="7"/>
        <v>1</v>
      </c>
      <c r="F50" s="81">
        <f t="shared" si="3"/>
        <v>1</v>
      </c>
      <c r="G50" s="82">
        <f t="shared" si="7"/>
        <v>0</v>
      </c>
      <c r="H50" s="81">
        <f t="shared" si="6"/>
        <v>0</v>
      </c>
      <c r="I50" s="83">
        <f t="shared" si="7"/>
        <v>0</v>
      </c>
      <c r="J50" s="81">
        <f t="shared" si="1"/>
        <v>0</v>
      </c>
      <c r="K50" s="13"/>
      <c r="L50" s="13"/>
      <c r="M50" s="16"/>
      <c r="N50" s="17"/>
      <c r="O50" s="17"/>
      <c r="P50" s="17"/>
      <c r="Q50" s="17"/>
      <c r="R50" s="17"/>
      <c r="S50" s="17"/>
      <c r="T50" s="17"/>
    </row>
    <row r="51" spans="2:20" outlineLevel="1" x14ac:dyDescent="0.35">
      <c r="B51" s="13"/>
      <c r="C51" s="36" t="s">
        <v>20</v>
      </c>
      <c r="D51" s="21">
        <f>+COUNTIFS('2.2. Outros'!H:H,$C$45,'2.2. Outros'!D:D,"Validade")</f>
        <v>0</v>
      </c>
      <c r="E51" s="23">
        <f>+COUNTIFS('2.2. Outros'!H:H,$C$45,'2.2. Outros'!D:D,"Validade",'2.2. Outros'!F:F,"0")</f>
        <v>0</v>
      </c>
      <c r="F51" s="22">
        <f t="shared" si="3"/>
        <v>0</v>
      </c>
      <c r="G51" s="24">
        <f>+COUNTIFS('2.2. Outros'!H:H,$C$45,'2.2. Outros'!D:D,"Validade",'2.2. Outros'!F:F,"&lt;&gt;0",'2.2. Outros'!I:I,"&lt;&gt;")</f>
        <v>0</v>
      </c>
      <c r="H51" s="22">
        <f t="shared" si="6"/>
        <v>0</v>
      </c>
      <c r="I51" s="46">
        <f>+COUNTIFS('2.2. Outros'!H:H,$C$45,'2.2. Outros'!D:D,"Validade",'2.2. Outros'!F:F,"&lt;&gt;0",'2.2. Outros'!I:I,"")</f>
        <v>0</v>
      </c>
      <c r="J51" s="22">
        <f t="shared" si="1"/>
        <v>0</v>
      </c>
      <c r="K51" s="13"/>
      <c r="L51" s="13"/>
      <c r="M51" s="16"/>
      <c r="N51" s="17"/>
      <c r="O51" s="17"/>
      <c r="P51" s="17"/>
      <c r="Q51" s="17"/>
      <c r="R51" s="17"/>
      <c r="S51" s="17"/>
      <c r="T51" s="17"/>
    </row>
    <row r="52" spans="2:20" outlineLevel="1" x14ac:dyDescent="0.35">
      <c r="B52" s="13"/>
      <c r="C52" s="36" t="s">
        <v>21</v>
      </c>
      <c r="D52" s="21">
        <f>+COUNTIFS('2.2. Outros'!H:H,$C$45,'2.2. Outros'!D:D,"Not applicable")</f>
        <v>0</v>
      </c>
      <c r="E52" s="23">
        <f>+COUNTIFS('2.2. Outros'!H:H,$C$45,'2.2. Outros'!D:D,"Not applicable",'2.2. Outros'!F:F,"0")</f>
        <v>0</v>
      </c>
      <c r="F52" s="22">
        <f t="shared" si="3"/>
        <v>0</v>
      </c>
      <c r="G52" s="24">
        <f>+COUNTIFS('2.2. Outros'!H:H,$C$45,'2.2. Outros'!D:D,"Not applicable",'2.2. Outros'!F:F,"&lt;&gt;0",'2.2. Outros'!I:I,"&lt;&gt;")</f>
        <v>0</v>
      </c>
      <c r="H52" s="22">
        <f t="shared" si="6"/>
        <v>0</v>
      </c>
      <c r="I52" s="46">
        <f>+COUNTIFS('2.2. Outros'!H:H,$C$45,'2.2. Outros'!D:D,"Not applicable",'2.2. Outros'!F:F,"&lt;&gt;0",'2.2. Outros'!I:I,"")</f>
        <v>0</v>
      </c>
      <c r="J52" s="22">
        <f t="shared" si="1"/>
        <v>0</v>
      </c>
      <c r="K52" s="13"/>
      <c r="L52" s="13"/>
      <c r="M52" s="16"/>
      <c r="N52" s="17"/>
      <c r="O52" s="17"/>
      <c r="P52" s="17"/>
      <c r="Q52" s="17"/>
      <c r="R52" s="17"/>
      <c r="S52" s="17"/>
      <c r="T52" s="17"/>
    </row>
    <row r="53" spans="2:20" outlineLevel="1" x14ac:dyDescent="0.35">
      <c r="B53" s="13"/>
      <c r="C53" s="36" t="s">
        <v>18</v>
      </c>
      <c r="D53" s="21">
        <f>+COUNTIFS('2.2. Outros'!H:H,$C$45,'2.2. Outros'!D:D,"Duplicados")</f>
        <v>0</v>
      </c>
      <c r="E53" s="23">
        <f>+COUNTIFS('2.2. Outros'!H:H,$C$45,'2.2. Outros'!D:D,"Duplicados",'2.2. Outros'!F:F,"0")</f>
        <v>0</v>
      </c>
      <c r="F53" s="22">
        <f t="shared" si="3"/>
        <v>0</v>
      </c>
      <c r="G53" s="24">
        <f>+COUNTIFS('2.2. Outros'!H:H,$C$45,'2.2. Outros'!D:D,"Duplicados",'2.2. Outros'!F:F,"&lt;&gt;0",'2.2. Outros'!I:I,"&lt;&gt;")</f>
        <v>0</v>
      </c>
      <c r="H53" s="22">
        <f t="shared" si="6"/>
        <v>0</v>
      </c>
      <c r="I53" s="46">
        <f>+COUNTIFS('2.2. Outros'!H:H,$C$45,'2.2. Outros'!D:D,"Duplicados",'2.2. Outros'!F:F,"&lt;&gt;0",'2.2. Outros'!I:I,"")</f>
        <v>0</v>
      </c>
      <c r="J53" s="22">
        <f t="shared" si="1"/>
        <v>0</v>
      </c>
      <c r="K53" s="13"/>
      <c r="L53" s="13"/>
      <c r="M53" s="16"/>
      <c r="N53" s="17"/>
      <c r="O53" s="17"/>
      <c r="P53" s="17"/>
      <c r="Q53" s="17"/>
      <c r="R53" s="17"/>
      <c r="S53" s="17"/>
      <c r="T53" s="17"/>
    </row>
    <row r="54" spans="2:20" outlineLevel="1" x14ac:dyDescent="0.35">
      <c r="B54" s="13"/>
      <c r="C54" s="36" t="s">
        <v>19</v>
      </c>
      <c r="D54" s="21">
        <f>+COUNTIFS('2.2. Outros'!H:H,$C$45,'2.2. Outros'!D:D,"Integridade")</f>
        <v>1</v>
      </c>
      <c r="E54" s="23">
        <f>+COUNTIFS('2.2. Outros'!H:H,$C$45,'2.2. Outros'!D:D,"Integridade",'2.2. Outros'!F:F,"0")</f>
        <v>1</v>
      </c>
      <c r="F54" s="22">
        <f t="shared" si="3"/>
        <v>1</v>
      </c>
      <c r="G54" s="24">
        <f>+COUNTIFS('2.2. Outros'!H:H,$C$45,'2.2. Outros'!D:D,"Integridade",'2.2. Outros'!F:F,"&lt;&gt;0",'2.2. Outros'!I:I,"&lt;&gt;")</f>
        <v>0</v>
      </c>
      <c r="H54" s="22">
        <f t="shared" si="6"/>
        <v>0</v>
      </c>
      <c r="I54" s="46">
        <f>+COUNTIFS('2.2. Outros'!H:H,$C$45,'2.2. Outros'!D:D,"Integridade",'2.2. Outros'!F:F,"&lt;&gt;0",'2.2. Outros'!I:I,"")</f>
        <v>0</v>
      </c>
      <c r="J54" s="22">
        <f t="shared" si="1"/>
        <v>0</v>
      </c>
      <c r="K54" s="13"/>
      <c r="L54" s="13"/>
      <c r="M54" s="16"/>
      <c r="N54" s="17"/>
      <c r="O54" s="17"/>
      <c r="P54" s="17"/>
      <c r="Q54" s="17"/>
      <c r="R54" s="17"/>
      <c r="S54" s="17"/>
      <c r="T54" s="17"/>
    </row>
    <row r="55" spans="2:20" x14ac:dyDescent="0.35">
      <c r="B55" s="13"/>
      <c r="C55" s="76" t="s">
        <v>12</v>
      </c>
      <c r="D55" s="72">
        <f>+SUM(D56,D60)</f>
        <v>16</v>
      </c>
      <c r="E55" s="73">
        <f>+SUM(E56,E60)</f>
        <v>13</v>
      </c>
      <c r="F55" s="74">
        <f t="shared" si="3"/>
        <v>0.8125</v>
      </c>
      <c r="G55" s="75">
        <f>+SUM(G56,G60)</f>
        <v>2</v>
      </c>
      <c r="H55" s="74">
        <f t="shared" si="6"/>
        <v>0.125</v>
      </c>
      <c r="I55" s="73">
        <f>+SUM(I56,I60)</f>
        <v>1</v>
      </c>
      <c r="J55" s="74">
        <f t="shared" si="1"/>
        <v>6.25E-2</v>
      </c>
      <c r="K55" s="13"/>
      <c r="L55" s="13"/>
      <c r="M55" s="16"/>
      <c r="N55" s="17"/>
      <c r="O55" s="17"/>
      <c r="P55" s="17"/>
      <c r="Q55" s="17"/>
      <c r="R55" s="17"/>
      <c r="S55" s="17"/>
      <c r="T55" s="17"/>
    </row>
    <row r="56" spans="2:20" x14ac:dyDescent="0.35">
      <c r="B56" s="13"/>
      <c r="C56" s="78" t="s">
        <v>14</v>
      </c>
      <c r="D56" s="79">
        <f>+SUM(D57:D59)</f>
        <v>15</v>
      </c>
      <c r="E56" s="80">
        <f>+SUM(E57:E59)</f>
        <v>12</v>
      </c>
      <c r="F56" s="81">
        <f t="shared" si="3"/>
        <v>0.8</v>
      </c>
      <c r="G56" s="82">
        <f>+SUM(G57:G59)</f>
        <v>2</v>
      </c>
      <c r="H56" s="81">
        <f t="shared" si="6"/>
        <v>0.13333333333333333</v>
      </c>
      <c r="I56" s="83">
        <f>+SUM(I57:I59)</f>
        <v>1</v>
      </c>
      <c r="J56" s="81">
        <f t="shared" si="1"/>
        <v>6.6666666666666666E-2</v>
      </c>
      <c r="K56" s="13"/>
      <c r="L56" s="13"/>
      <c r="M56" s="16"/>
      <c r="N56" s="17"/>
      <c r="O56" s="17"/>
      <c r="P56" s="17"/>
      <c r="Q56" s="17"/>
      <c r="R56" s="17"/>
      <c r="S56" s="17"/>
      <c r="T56" s="17"/>
    </row>
    <row r="57" spans="2:20" outlineLevel="1" x14ac:dyDescent="0.35">
      <c r="B57" s="13"/>
      <c r="C57" s="36" t="s">
        <v>17</v>
      </c>
      <c r="D57" s="21">
        <f>+COUNTIFS('2.1. Regulamentares'!G:G,$C$55,'2.1. Regulamentares'!F:F,"h")</f>
        <v>4</v>
      </c>
      <c r="E57" s="23">
        <f>+COUNTIFS('2.1. Regulamentares'!G:G,$C$55,'2.1. Regulamentares'!F:F,"h",'2.1. Regulamentares'!C:C,"=0")</f>
        <v>2</v>
      </c>
      <c r="F57" s="22">
        <f t="shared" si="3"/>
        <v>0.5</v>
      </c>
      <c r="G57" s="24">
        <f>+COUNTIFS('2.1. Regulamentares'!G:G,$C$55,'2.1. Regulamentares'!F:F,"h",'2.1. Regulamentares'!C:C,"&gt;0",'2.1. Regulamentares'!I:I,"&lt;&gt;")</f>
        <v>1</v>
      </c>
      <c r="H57" s="22">
        <f t="shared" si="6"/>
        <v>0.25</v>
      </c>
      <c r="I57" s="46">
        <f>+COUNTIFS('2.1. Regulamentares'!G:G,$C$55,'2.1. Regulamentares'!F:F,"h",'2.1. Regulamentares'!C:C,"&gt;0",'2.1. Regulamentares'!I:I,"")</f>
        <v>1</v>
      </c>
      <c r="J57" s="22">
        <f t="shared" si="1"/>
        <v>0.25</v>
      </c>
      <c r="K57" s="13"/>
      <c r="L57" s="13"/>
      <c r="M57" s="16"/>
      <c r="N57" s="17"/>
      <c r="O57" s="17"/>
      <c r="P57" s="17"/>
      <c r="Q57" s="17"/>
      <c r="R57" s="17"/>
      <c r="S57" s="17"/>
      <c r="T57" s="17"/>
    </row>
    <row r="58" spans="2:20" outlineLevel="1" x14ac:dyDescent="0.35">
      <c r="B58" s="13"/>
      <c r="C58" s="37" t="s">
        <v>16</v>
      </c>
      <c r="D58" s="21">
        <f>+COUNTIFS('2.1. Regulamentares'!G:G,$C$55,'2.1. Regulamentares'!F:F,"w")</f>
        <v>0</v>
      </c>
      <c r="E58" s="23">
        <f>+COUNTIFS('2.1. Regulamentares'!G:G,$C$55,'2.1. Regulamentares'!F:F,"w",'2.1. Regulamentares'!C:C,"=0")</f>
        <v>0</v>
      </c>
      <c r="F58" s="22">
        <f t="shared" si="3"/>
        <v>0</v>
      </c>
      <c r="G58" s="24">
        <f>+COUNTIFS('2.1. Regulamentares'!G:G,$C$55,'2.1. Regulamentares'!F:F,"w",'2.1. Regulamentares'!C:C,"&gt;0",'2.1. Regulamentares'!I:I,"&lt;&gt;")</f>
        <v>0</v>
      </c>
      <c r="H58" s="22">
        <f t="shared" si="6"/>
        <v>0</v>
      </c>
      <c r="I58" s="46">
        <f>+COUNTIFS('2.1. Regulamentares'!G:G,$C$55,'2.1. Regulamentares'!F:F,"w",'2.1. Regulamentares'!C:C,"&gt;0",'2.1. Regulamentares'!I:I,"")</f>
        <v>0</v>
      </c>
      <c r="J58" s="22">
        <f t="shared" si="1"/>
        <v>0</v>
      </c>
      <c r="K58" s="13"/>
      <c r="L58" s="13"/>
      <c r="M58" s="16"/>
      <c r="N58" s="17"/>
      <c r="O58" s="17"/>
      <c r="P58" s="17"/>
      <c r="Q58" s="17"/>
      <c r="R58" s="17"/>
      <c r="S58" s="17"/>
      <c r="T58" s="17"/>
    </row>
    <row r="59" spans="2:20" outlineLevel="1" x14ac:dyDescent="0.35">
      <c r="B59" s="13"/>
      <c r="C59" s="37" t="s">
        <v>321</v>
      </c>
      <c r="D59" s="21">
        <f>+COUNTIFS('2.1. Regulamentares'!G:G,$C$55,'2.1. Regulamentares'!F:F,"f")</f>
        <v>11</v>
      </c>
      <c r="E59" s="23">
        <f>+COUNTIFS('2.1. Regulamentares'!G:G,$C$55,'2.1. Regulamentares'!F:F,"f",'2.1. Regulamentares'!C:C,"=0")</f>
        <v>10</v>
      </c>
      <c r="F59" s="22">
        <f t="shared" si="3"/>
        <v>0.90909090909090906</v>
      </c>
      <c r="G59" s="24">
        <f>+COUNTIFS('2.1. Regulamentares'!G:G,$C$55,'2.1. Regulamentares'!F:F,"f",'2.1. Regulamentares'!C:C,"&gt;0",'2.1. Regulamentares'!I:I,"&lt;&gt;")</f>
        <v>1</v>
      </c>
      <c r="H59" s="22">
        <f t="shared" si="6"/>
        <v>9.0909090909090912E-2</v>
      </c>
      <c r="I59" s="46">
        <f>+COUNTIFS('2.1. Regulamentares'!G:G,$C$55,'2.1. Regulamentares'!F:F,"f",'2.1. Regulamentares'!C:C,"&gt;0",'2.1. Regulamentares'!I:I,"")</f>
        <v>0</v>
      </c>
      <c r="J59" s="22">
        <f t="shared" si="1"/>
        <v>0</v>
      </c>
      <c r="K59" s="13"/>
      <c r="L59" s="13"/>
      <c r="M59" s="16"/>
      <c r="N59" s="17"/>
      <c r="O59" s="17"/>
      <c r="P59" s="17"/>
      <c r="Q59" s="17"/>
      <c r="R59" s="17"/>
      <c r="S59" s="17"/>
      <c r="T59" s="17"/>
    </row>
    <row r="60" spans="2:20" x14ac:dyDescent="0.35">
      <c r="B60" s="13"/>
      <c r="C60" s="78" t="s">
        <v>15</v>
      </c>
      <c r="D60" s="79">
        <f t="shared" ref="D60:I60" si="8">+SUM(D61:D64)</f>
        <v>1</v>
      </c>
      <c r="E60" s="80">
        <f t="shared" si="8"/>
        <v>1</v>
      </c>
      <c r="F60" s="81">
        <f t="shared" si="3"/>
        <v>1</v>
      </c>
      <c r="G60" s="82">
        <f t="shared" si="8"/>
        <v>0</v>
      </c>
      <c r="H60" s="81">
        <f t="shared" si="6"/>
        <v>0</v>
      </c>
      <c r="I60" s="83">
        <f t="shared" si="8"/>
        <v>0</v>
      </c>
      <c r="J60" s="81">
        <f t="shared" si="1"/>
        <v>0</v>
      </c>
      <c r="K60" s="13"/>
      <c r="L60" s="13"/>
      <c r="M60" s="16"/>
      <c r="N60" s="17"/>
      <c r="O60" s="17"/>
      <c r="P60" s="17"/>
      <c r="Q60" s="17"/>
      <c r="R60" s="17"/>
      <c r="S60" s="17"/>
      <c r="T60" s="17"/>
    </row>
    <row r="61" spans="2:20" outlineLevel="1" x14ac:dyDescent="0.35">
      <c r="B61" s="13"/>
      <c r="C61" s="36" t="s">
        <v>20</v>
      </c>
      <c r="D61" s="21">
        <f>+COUNTIFS('2.2. Outros'!H:H,$C$55,'2.2. Outros'!D:D,"Validade")</f>
        <v>0</v>
      </c>
      <c r="E61" s="23">
        <f>+COUNTIFS('2.2. Outros'!H:H,$C$55,'2.2. Outros'!D:D,"Validade",'2.2. Outros'!F:F,"0")</f>
        <v>0</v>
      </c>
      <c r="F61" s="22">
        <f t="shared" si="3"/>
        <v>0</v>
      </c>
      <c r="G61" s="24">
        <f>+COUNTIFS('2.2. Outros'!H:H,$C$55,'2.2. Outros'!D:D,"Validade",'2.2. Outros'!F:F,"&lt;&gt;0",'2.2. Outros'!I:I,"&lt;&gt;")</f>
        <v>0</v>
      </c>
      <c r="H61" s="22">
        <f t="shared" si="6"/>
        <v>0</v>
      </c>
      <c r="I61" s="46">
        <f>+COUNTIFS('2.2. Outros'!H:H,$C$55,'2.2. Outros'!D:D,"Validade",'2.2. Outros'!F:F,"&lt;&gt;0",'2.2. Outros'!I:I,"")</f>
        <v>0</v>
      </c>
      <c r="J61" s="22">
        <f t="shared" si="1"/>
        <v>0</v>
      </c>
      <c r="K61" s="13"/>
      <c r="L61" s="13"/>
      <c r="M61" s="16"/>
      <c r="N61" s="17"/>
      <c r="O61" s="17"/>
      <c r="P61" s="17"/>
      <c r="Q61" s="17"/>
      <c r="R61" s="17"/>
      <c r="S61" s="17"/>
      <c r="T61" s="17"/>
    </row>
    <row r="62" spans="2:20" outlineLevel="1" x14ac:dyDescent="0.35">
      <c r="B62" s="13"/>
      <c r="C62" s="36" t="s">
        <v>21</v>
      </c>
      <c r="D62" s="21">
        <f>+COUNTIFS('2.2. Outros'!H:H,$C$55,'2.2. Outros'!D:D,"Not applicable")</f>
        <v>0</v>
      </c>
      <c r="E62" s="23">
        <f>+COUNTIFS('2.2. Outros'!H:H,$C$55,'2.2. Outros'!D:D,"Not applicable",'2.2. Outros'!F:F,"0")</f>
        <v>0</v>
      </c>
      <c r="F62" s="22">
        <f t="shared" si="3"/>
        <v>0</v>
      </c>
      <c r="G62" s="24">
        <f>+COUNTIFS('2.2. Outros'!H:H,$C$55,'2.2. Outros'!D:D,"Not applicable",'2.2. Outros'!F:F,"&lt;&gt;0",'2.2. Outros'!I:I,"&lt;&gt;")</f>
        <v>0</v>
      </c>
      <c r="H62" s="22">
        <f t="shared" si="6"/>
        <v>0</v>
      </c>
      <c r="I62" s="46">
        <f>+COUNTIFS('2.2. Outros'!H:H,$C$55,'2.2. Outros'!D:D,"Not applicable",'2.2. Outros'!F:F,"&lt;&gt;0",'2.2. Outros'!I:I,"")</f>
        <v>0</v>
      </c>
      <c r="J62" s="22">
        <f t="shared" si="1"/>
        <v>0</v>
      </c>
      <c r="K62" s="13"/>
      <c r="L62" s="13"/>
      <c r="M62" s="16"/>
      <c r="N62" s="17"/>
      <c r="O62" s="17"/>
      <c r="P62" s="17"/>
      <c r="Q62" s="17"/>
      <c r="R62" s="17"/>
      <c r="S62" s="17"/>
      <c r="T62" s="17"/>
    </row>
    <row r="63" spans="2:20" outlineLevel="1" x14ac:dyDescent="0.35">
      <c r="B63" s="13"/>
      <c r="C63" s="36" t="s">
        <v>18</v>
      </c>
      <c r="D63" s="21">
        <f>+COUNTIFS('2.2. Outros'!H:H,$C$55,'2.2. Outros'!D:D,"Duplicados")</f>
        <v>0</v>
      </c>
      <c r="E63" s="23">
        <f>+COUNTIFS('2.2. Outros'!H:H,$C$55,'2.2. Outros'!D:D,"Duplicados",'2.2. Outros'!F:F,"0")</f>
        <v>0</v>
      </c>
      <c r="F63" s="22">
        <f t="shared" si="3"/>
        <v>0</v>
      </c>
      <c r="G63" s="24">
        <f>+COUNTIFS('2.2. Outros'!H:H,$C$55,'2.2. Outros'!D:D,"Duplicados",'2.2. Outros'!F:F,"&lt;&gt;0",'2.2. Outros'!I:I,"&lt;&gt;")</f>
        <v>0</v>
      </c>
      <c r="H63" s="22">
        <f t="shared" si="6"/>
        <v>0</v>
      </c>
      <c r="I63" s="46">
        <f>+COUNTIFS('2.2. Outros'!H:H,$C$55,'2.2. Outros'!D:D,"Duplicados",'2.2. Outros'!F:F,"&lt;&gt;0",'2.2. Outros'!I:I,"")</f>
        <v>0</v>
      </c>
      <c r="J63" s="22">
        <f t="shared" si="1"/>
        <v>0</v>
      </c>
      <c r="K63" s="13"/>
      <c r="L63" s="13"/>
      <c r="M63" s="16"/>
      <c r="N63" s="17"/>
      <c r="O63" s="17"/>
      <c r="P63" s="17"/>
      <c r="Q63" s="17"/>
      <c r="R63" s="17"/>
      <c r="S63" s="17"/>
      <c r="T63" s="17"/>
    </row>
    <row r="64" spans="2:20" outlineLevel="1" x14ac:dyDescent="0.35">
      <c r="B64" s="13"/>
      <c r="C64" s="36" t="s">
        <v>19</v>
      </c>
      <c r="D64" s="21">
        <f>+COUNTIFS('2.2. Outros'!H:H,$C$55,'2.2. Outros'!D:D,"Integridade")</f>
        <v>1</v>
      </c>
      <c r="E64" s="23">
        <f>+COUNTIFS('2.2. Outros'!H:H,$C$55,'2.2. Outros'!D:D,"Integridade",'2.2. Outros'!F:F,"0")</f>
        <v>1</v>
      </c>
      <c r="F64" s="22">
        <f t="shared" si="3"/>
        <v>1</v>
      </c>
      <c r="G64" s="24">
        <f>+COUNTIFS('2.2. Outros'!H:H,$C$55,'2.2. Outros'!D:D,"Integridade",'2.2. Outros'!F:F,"&lt;&gt;0",'2.2. Outros'!I:I,"&lt;&gt;")</f>
        <v>0</v>
      </c>
      <c r="H64" s="22">
        <f t="shared" si="6"/>
        <v>0</v>
      </c>
      <c r="I64" s="46">
        <f>+COUNTIFS('2.2. Outros'!H:H,$C$55,'2.2. Outros'!D:D,"Integridade",'2.2. Outros'!F:F,"&lt;&gt;0",'2.2. Outros'!I:I,"")</f>
        <v>0</v>
      </c>
      <c r="J64" s="22">
        <f t="shared" si="1"/>
        <v>0</v>
      </c>
      <c r="K64" s="13"/>
      <c r="L64" s="13"/>
      <c r="M64" s="16"/>
      <c r="N64" s="17"/>
      <c r="O64" s="17"/>
      <c r="P64" s="17"/>
      <c r="Q64" s="17"/>
      <c r="R64" s="17"/>
      <c r="S64" s="17"/>
      <c r="T64" s="17"/>
    </row>
    <row r="65" spans="2:20" x14ac:dyDescent="0.35">
      <c r="B65" s="16"/>
      <c r="C65" s="38" t="s">
        <v>24</v>
      </c>
      <c r="D65" s="39">
        <f>SUM(D55,D45,D35)</f>
        <v>340</v>
      </c>
      <c r="E65" s="40">
        <f t="shared" ref="E65:G65" si="9">SUM(E55,E45,E35)</f>
        <v>288</v>
      </c>
      <c r="F65" s="41">
        <f t="shared" si="3"/>
        <v>0.84705882352941175</v>
      </c>
      <c r="G65" s="42">
        <f t="shared" si="9"/>
        <v>12</v>
      </c>
      <c r="H65" s="41">
        <f t="shared" si="6"/>
        <v>3.5294117647058823E-2</v>
      </c>
      <c r="I65" s="47">
        <f>SUM(I55,I45,I35)</f>
        <v>35</v>
      </c>
      <c r="J65" s="41">
        <f t="shared" si="1"/>
        <v>0.10294117647058823</v>
      </c>
      <c r="K65" s="13"/>
      <c r="L65" s="13"/>
      <c r="M65" s="16"/>
      <c r="N65" s="17"/>
      <c r="O65" s="17"/>
      <c r="P65" s="17"/>
      <c r="Q65" s="17"/>
      <c r="R65" s="17"/>
      <c r="S65" s="17"/>
      <c r="T65" s="17"/>
    </row>
    <row r="66" spans="2:20" x14ac:dyDescent="0.35">
      <c r="B66" s="16"/>
      <c r="C66" s="16"/>
      <c r="D66" s="17"/>
      <c r="E66" s="17"/>
      <c r="F66" s="17"/>
      <c r="G66" s="17"/>
      <c r="H66" s="17"/>
      <c r="I66" s="17"/>
      <c r="J66" s="17"/>
      <c r="K66" s="13"/>
      <c r="L66" s="13"/>
      <c r="M66" s="16"/>
      <c r="N66" s="17"/>
      <c r="O66" s="17"/>
      <c r="P66" s="17"/>
      <c r="Q66" s="17"/>
      <c r="R66" s="17"/>
      <c r="S66" s="17"/>
      <c r="T66" s="17"/>
    </row>
    <row r="67" spans="2:20" x14ac:dyDescent="0.35">
      <c r="B67" s="16"/>
      <c r="C67" s="16"/>
      <c r="D67" s="17"/>
      <c r="E67" s="17"/>
      <c r="F67" s="17"/>
      <c r="G67" s="17"/>
      <c r="H67" s="17"/>
      <c r="I67" s="17"/>
      <c r="J67" s="17"/>
      <c r="K67" s="13"/>
      <c r="L67" s="13"/>
      <c r="M67" s="16"/>
      <c r="N67" s="17"/>
      <c r="O67" s="17"/>
      <c r="P67" s="17"/>
      <c r="Q67" s="17"/>
      <c r="R67" s="17"/>
      <c r="S67" s="17"/>
      <c r="T67" s="17"/>
    </row>
    <row r="68" spans="2:20" ht="15" thickBot="1" x14ac:dyDescent="0.4">
      <c r="B68" s="16"/>
      <c r="C68" s="87" t="s">
        <v>113</v>
      </c>
      <c r="D68" s="88"/>
      <c r="E68" s="88"/>
      <c r="F68" s="88"/>
      <c r="G68" s="88"/>
      <c r="H68" s="88"/>
      <c r="I68" s="88"/>
      <c r="J68" s="88"/>
      <c r="K68" s="88"/>
      <c r="L68" s="88"/>
      <c r="M68" s="88"/>
      <c r="N68" s="88"/>
      <c r="O68" s="88"/>
      <c r="P68" s="88"/>
      <c r="Q68" s="88"/>
      <c r="R68" s="88"/>
      <c r="S68" s="88"/>
      <c r="T68" s="17"/>
    </row>
    <row r="69" spans="2:20" x14ac:dyDescent="0.35">
      <c r="B69" s="16"/>
      <c r="C69" s="16"/>
      <c r="D69" s="17"/>
      <c r="E69" s="17"/>
      <c r="F69" s="17"/>
      <c r="G69" s="17"/>
      <c r="H69" s="17"/>
      <c r="I69" s="17"/>
      <c r="J69" s="17"/>
      <c r="K69" s="13"/>
      <c r="L69" s="13"/>
      <c r="M69" s="16"/>
      <c r="N69" s="17"/>
      <c r="O69" s="17"/>
      <c r="P69" s="17"/>
      <c r="Q69" s="17"/>
      <c r="R69" s="17"/>
      <c r="S69" s="17"/>
      <c r="T69" s="17"/>
    </row>
    <row r="70" spans="2:20" x14ac:dyDescent="0.35">
      <c r="B70" s="13"/>
      <c r="C70" s="77" t="s">
        <v>13</v>
      </c>
      <c r="D70" s="77" t="s">
        <v>320</v>
      </c>
      <c r="E70" s="77" t="s">
        <v>3</v>
      </c>
      <c r="F70" s="77" t="s">
        <v>5</v>
      </c>
      <c r="G70" s="77" t="s">
        <v>25</v>
      </c>
      <c r="H70" s="77" t="s">
        <v>26</v>
      </c>
      <c r="I70" s="77" t="s">
        <v>4</v>
      </c>
      <c r="J70" s="77" t="s">
        <v>6</v>
      </c>
      <c r="K70" s="13"/>
      <c r="L70" s="13"/>
      <c r="M70" s="16"/>
      <c r="N70" s="17"/>
      <c r="O70" s="17"/>
      <c r="P70" s="17"/>
      <c r="Q70" s="17"/>
      <c r="R70" s="17"/>
      <c r="S70" s="17"/>
      <c r="T70" s="17"/>
    </row>
    <row r="71" spans="2:20" x14ac:dyDescent="0.35">
      <c r="B71" s="13"/>
      <c r="C71" s="71" t="s">
        <v>10</v>
      </c>
      <c r="D71" s="72">
        <f>+D72</f>
        <v>20</v>
      </c>
      <c r="E71" s="73">
        <f t="shared" ref="E71:I71" si="10">+E72</f>
        <v>16</v>
      </c>
      <c r="F71" s="74">
        <f>+E71/$D71</f>
        <v>0.8</v>
      </c>
      <c r="G71" s="75">
        <f t="shared" si="10"/>
        <v>3</v>
      </c>
      <c r="H71" s="74">
        <f t="shared" ref="H71:H76" si="11">+G71/$D71</f>
        <v>0.15</v>
      </c>
      <c r="I71" s="75">
        <f t="shared" si="10"/>
        <v>1</v>
      </c>
      <c r="J71" s="74">
        <f>+I71/$D71</f>
        <v>0.05</v>
      </c>
      <c r="K71" s="13"/>
      <c r="L71" s="13"/>
      <c r="M71" s="16"/>
      <c r="N71" s="17"/>
      <c r="O71" s="17"/>
      <c r="P71" s="17"/>
      <c r="Q71" s="17"/>
      <c r="R71" s="17"/>
      <c r="S71" s="17"/>
      <c r="T71" s="17"/>
    </row>
    <row r="72" spans="2:20" x14ac:dyDescent="0.35">
      <c r="B72" s="15"/>
      <c r="C72" s="35" t="s">
        <v>23</v>
      </c>
      <c r="D72" s="21">
        <v>20</v>
      </c>
      <c r="E72" s="23">
        <v>16</v>
      </c>
      <c r="F72" s="22">
        <f t="shared" ref="F72:F76" si="12">+E72/$D72</f>
        <v>0.8</v>
      </c>
      <c r="G72" s="24">
        <v>3</v>
      </c>
      <c r="H72" s="22">
        <f t="shared" si="11"/>
        <v>0.15</v>
      </c>
      <c r="I72" s="24">
        <v>1</v>
      </c>
      <c r="J72" s="22">
        <f t="shared" ref="J72:J76" si="13">+I72/$D72</f>
        <v>0.05</v>
      </c>
      <c r="K72" s="13"/>
      <c r="L72" s="15"/>
      <c r="M72" s="16"/>
      <c r="N72" s="17"/>
      <c r="O72" s="17"/>
      <c r="P72" s="17"/>
      <c r="Q72" s="17"/>
      <c r="R72" s="17"/>
      <c r="S72" s="17"/>
      <c r="T72" s="17"/>
    </row>
    <row r="73" spans="2:20" x14ac:dyDescent="0.35">
      <c r="B73" s="15"/>
      <c r="C73" s="71" t="s">
        <v>11</v>
      </c>
      <c r="D73" s="72">
        <f t="shared" ref="D73:I73" si="14">+D74</f>
        <v>15</v>
      </c>
      <c r="E73" s="73">
        <f t="shared" si="14"/>
        <v>10</v>
      </c>
      <c r="F73" s="74">
        <f t="shared" si="12"/>
        <v>0.66666666666666663</v>
      </c>
      <c r="G73" s="75">
        <f t="shared" si="14"/>
        <v>2</v>
      </c>
      <c r="H73" s="74">
        <f t="shared" si="11"/>
        <v>0.13333333333333333</v>
      </c>
      <c r="I73" s="75">
        <f t="shared" si="14"/>
        <v>3</v>
      </c>
      <c r="J73" s="74">
        <f t="shared" si="13"/>
        <v>0.2</v>
      </c>
      <c r="K73" s="13"/>
      <c r="L73" s="15"/>
      <c r="M73" s="16"/>
      <c r="N73" s="17"/>
      <c r="O73" s="17"/>
      <c r="P73" s="17"/>
      <c r="Q73" s="17"/>
      <c r="R73" s="17"/>
      <c r="S73" s="17"/>
      <c r="T73" s="17"/>
    </row>
    <row r="74" spans="2:20" x14ac:dyDescent="0.35">
      <c r="B74" s="15"/>
      <c r="C74" s="35" t="s">
        <v>23</v>
      </c>
      <c r="D74" s="21">
        <v>15</v>
      </c>
      <c r="E74" s="23">
        <v>10</v>
      </c>
      <c r="F74" s="22">
        <f t="shared" si="12"/>
        <v>0.66666666666666663</v>
      </c>
      <c r="G74" s="24">
        <v>2</v>
      </c>
      <c r="H74" s="22">
        <f t="shared" si="11"/>
        <v>0.13333333333333333</v>
      </c>
      <c r="I74" s="24">
        <v>3</v>
      </c>
      <c r="J74" s="22">
        <f t="shared" si="13"/>
        <v>0.2</v>
      </c>
      <c r="K74" s="13"/>
      <c r="L74" s="15"/>
      <c r="M74" s="16"/>
      <c r="N74" s="17"/>
      <c r="O74" s="17"/>
      <c r="P74" s="17"/>
      <c r="Q74" s="17"/>
      <c r="R74" s="17"/>
      <c r="S74" s="17"/>
      <c r="T74" s="17"/>
    </row>
    <row r="75" spans="2:20" x14ac:dyDescent="0.35">
      <c r="B75" s="15"/>
      <c r="C75" s="76" t="s">
        <v>12</v>
      </c>
      <c r="D75" s="72">
        <f t="shared" ref="D75:I75" si="15">+D76</f>
        <v>20</v>
      </c>
      <c r="E75" s="73">
        <f t="shared" si="15"/>
        <v>12</v>
      </c>
      <c r="F75" s="74">
        <f t="shared" si="12"/>
        <v>0.6</v>
      </c>
      <c r="G75" s="75">
        <f t="shared" si="15"/>
        <v>4</v>
      </c>
      <c r="H75" s="74">
        <f t="shared" si="11"/>
        <v>0.2</v>
      </c>
      <c r="I75" s="75">
        <f t="shared" si="15"/>
        <v>4</v>
      </c>
      <c r="J75" s="74">
        <f t="shared" si="13"/>
        <v>0.2</v>
      </c>
      <c r="K75" s="13"/>
      <c r="L75" s="15"/>
      <c r="M75" s="16"/>
      <c r="N75" s="17"/>
      <c r="O75" s="17"/>
      <c r="P75" s="17"/>
      <c r="Q75" s="17"/>
      <c r="R75" s="17"/>
      <c r="S75" s="17"/>
      <c r="T75" s="17"/>
    </row>
    <row r="76" spans="2:20" x14ac:dyDescent="0.35">
      <c r="B76" s="15"/>
      <c r="C76" s="35" t="s">
        <v>23</v>
      </c>
      <c r="D76" s="21">
        <v>20</v>
      </c>
      <c r="E76" s="23">
        <v>12</v>
      </c>
      <c r="F76" s="22">
        <f t="shared" si="12"/>
        <v>0.6</v>
      </c>
      <c r="G76" s="24">
        <v>4</v>
      </c>
      <c r="H76" s="22">
        <f t="shared" si="11"/>
        <v>0.2</v>
      </c>
      <c r="I76" s="24">
        <v>4</v>
      </c>
      <c r="J76" s="22">
        <f t="shared" si="13"/>
        <v>0.2</v>
      </c>
      <c r="K76" s="13"/>
      <c r="L76" s="15"/>
      <c r="M76" s="16"/>
      <c r="N76" s="17"/>
      <c r="O76" s="17"/>
      <c r="P76" s="17"/>
      <c r="Q76" s="17"/>
      <c r="R76" s="17"/>
      <c r="S76" s="17"/>
      <c r="T76" s="17"/>
    </row>
    <row r="77" spans="2:20" x14ac:dyDescent="0.35">
      <c r="B77" s="15"/>
      <c r="C77" s="16"/>
      <c r="D77" s="17"/>
      <c r="E77" s="17"/>
      <c r="F77" s="17"/>
      <c r="G77" s="17"/>
      <c r="H77" s="17"/>
      <c r="I77" s="17"/>
      <c r="J77" s="17"/>
      <c r="K77" s="13"/>
      <c r="L77" s="15"/>
      <c r="M77" s="16"/>
      <c r="N77" s="17"/>
      <c r="O77" s="17"/>
      <c r="P77" s="17"/>
      <c r="Q77" s="17"/>
      <c r="R77" s="17"/>
      <c r="S77" s="17"/>
      <c r="T77" s="17"/>
    </row>
    <row r="78" spans="2:20" x14ac:dyDescent="0.35">
      <c r="B78" s="15"/>
      <c r="C78" s="16"/>
      <c r="D78" s="17"/>
      <c r="E78" s="17"/>
      <c r="F78" s="17"/>
      <c r="G78" s="17"/>
      <c r="H78" s="17"/>
      <c r="I78" s="17"/>
      <c r="J78" s="17"/>
      <c r="K78" s="13"/>
      <c r="L78" s="15"/>
      <c r="M78" s="16"/>
      <c r="N78" s="17"/>
      <c r="O78" s="17"/>
      <c r="P78" s="17"/>
      <c r="Q78" s="17"/>
      <c r="R78" s="17"/>
      <c r="S78" s="17"/>
      <c r="T78" s="17"/>
    </row>
    <row r="79" spans="2:20" x14ac:dyDescent="0.35">
      <c r="B79" s="15"/>
      <c r="C79" s="16"/>
      <c r="D79" s="17"/>
      <c r="E79" s="17"/>
      <c r="F79" s="17"/>
      <c r="G79" s="17"/>
      <c r="H79" s="17"/>
      <c r="I79" s="17"/>
      <c r="J79" s="17"/>
      <c r="K79" s="13"/>
      <c r="L79" s="15"/>
      <c r="M79" s="16"/>
      <c r="N79" s="17"/>
      <c r="O79" s="17"/>
      <c r="P79" s="17"/>
      <c r="Q79" s="17"/>
      <c r="R79" s="17"/>
      <c r="S79" s="17"/>
      <c r="T79" s="17"/>
    </row>
    <row r="80" spans="2:20" x14ac:dyDescent="0.35">
      <c r="B80" s="15"/>
      <c r="C80" s="16"/>
      <c r="D80" s="17"/>
      <c r="E80" s="17"/>
      <c r="F80" s="17"/>
      <c r="G80" s="17"/>
      <c r="H80" s="17"/>
      <c r="I80" s="17"/>
      <c r="J80" s="17"/>
      <c r="K80" s="13"/>
      <c r="L80" s="15"/>
      <c r="M80" s="16"/>
      <c r="N80" s="17"/>
      <c r="O80" s="17"/>
      <c r="P80" s="17"/>
      <c r="Q80" s="17"/>
      <c r="R80" s="17"/>
      <c r="S80" s="17"/>
      <c r="T80" s="17"/>
    </row>
    <row r="81" spans="2:20" x14ac:dyDescent="0.35">
      <c r="B81" s="15"/>
      <c r="C81" s="16"/>
      <c r="D81" s="17"/>
      <c r="E81" s="17"/>
      <c r="F81" s="17"/>
      <c r="G81" s="17"/>
      <c r="H81" s="17"/>
      <c r="I81" s="17"/>
      <c r="J81" s="17"/>
      <c r="K81" s="13"/>
      <c r="L81" s="15"/>
      <c r="M81" s="16"/>
      <c r="N81" s="17"/>
      <c r="O81" s="17"/>
      <c r="P81" s="17"/>
      <c r="Q81" s="17"/>
      <c r="R81" s="17"/>
      <c r="S81" s="17"/>
      <c r="T81" s="17"/>
    </row>
    <row r="82" spans="2:20" x14ac:dyDescent="0.35">
      <c r="B82" s="15"/>
      <c r="C82" s="16"/>
      <c r="D82" s="17"/>
      <c r="E82" s="17"/>
      <c r="F82" s="17"/>
      <c r="G82" s="17"/>
      <c r="H82" s="17"/>
      <c r="I82" s="17"/>
      <c r="J82" s="17"/>
      <c r="K82" s="13"/>
      <c r="L82" s="15"/>
      <c r="M82" s="16"/>
      <c r="N82" s="17"/>
      <c r="O82" s="17"/>
      <c r="P82" s="17"/>
      <c r="Q82" s="17"/>
      <c r="R82" s="17"/>
      <c r="S82" s="17"/>
      <c r="T82" s="17"/>
    </row>
    <row r="83" spans="2:20" x14ac:dyDescent="0.35">
      <c r="B83" s="15"/>
      <c r="C83" s="16"/>
      <c r="D83" s="17"/>
      <c r="E83" s="17"/>
      <c r="F83" s="17"/>
      <c r="G83" s="17"/>
      <c r="H83" s="17"/>
      <c r="I83" s="17"/>
      <c r="J83" s="17"/>
      <c r="K83" s="13"/>
      <c r="L83" s="15"/>
      <c r="M83" s="16"/>
      <c r="N83" s="17"/>
      <c r="O83" s="17"/>
      <c r="P83" s="17"/>
      <c r="Q83" s="17"/>
      <c r="R83" s="17"/>
      <c r="S83" s="17"/>
      <c r="T83" s="17"/>
    </row>
    <row r="84" spans="2:20" x14ac:dyDescent="0.35">
      <c r="B84" s="15"/>
      <c r="C84" s="16"/>
      <c r="D84" s="17"/>
      <c r="E84" s="17"/>
      <c r="F84" s="17"/>
      <c r="G84" s="17"/>
      <c r="H84" s="17"/>
      <c r="I84" s="17"/>
      <c r="J84" s="17"/>
      <c r="K84" s="13"/>
      <c r="L84" s="15"/>
      <c r="M84" s="16"/>
      <c r="N84" s="17"/>
      <c r="O84" s="17"/>
      <c r="P84" s="17"/>
      <c r="Q84" s="17"/>
      <c r="R84" s="17"/>
      <c r="S84" s="17"/>
      <c r="T84" s="17"/>
    </row>
    <row r="85" spans="2:20" x14ac:dyDescent="0.35">
      <c r="B85" s="15"/>
      <c r="C85" s="16"/>
      <c r="D85" s="17"/>
      <c r="E85" s="17"/>
      <c r="F85" s="17"/>
      <c r="G85" s="17"/>
      <c r="H85" s="17"/>
      <c r="I85" s="17"/>
      <c r="J85" s="17"/>
      <c r="K85" s="13"/>
      <c r="L85" s="15"/>
      <c r="M85" s="16"/>
      <c r="N85" s="17"/>
      <c r="O85" s="17"/>
      <c r="P85" s="17"/>
      <c r="Q85" s="17"/>
      <c r="R85" s="17"/>
      <c r="S85" s="17"/>
      <c r="T85" s="17"/>
    </row>
    <row r="86" spans="2:20" ht="15" thickBot="1" x14ac:dyDescent="0.4">
      <c r="B86" s="6"/>
      <c r="C86" s="7"/>
      <c r="D86" s="7"/>
      <c r="E86" s="7"/>
      <c r="F86" s="7"/>
      <c r="G86" s="7"/>
      <c r="H86" s="7"/>
      <c r="I86" s="7"/>
      <c r="J86" s="7"/>
      <c r="K86" s="7"/>
      <c r="L86" s="6"/>
      <c r="M86" s="7"/>
      <c r="N86" s="7"/>
      <c r="O86" s="7"/>
      <c r="P86" s="7"/>
      <c r="Q86" s="7"/>
      <c r="R86" s="7"/>
      <c r="S86" s="7"/>
      <c r="T86" s="7"/>
    </row>
    <row r="87" spans="2:20" x14ac:dyDescent="0.35">
      <c r="D87" s="11"/>
      <c r="E87" s="1"/>
      <c r="F87" s="1"/>
      <c r="G87" s="1"/>
      <c r="H87" s="1"/>
      <c r="I87" s="1"/>
      <c r="J87" s="1"/>
      <c r="N87" s="11"/>
      <c r="O87" s="1"/>
      <c r="P87" s="1"/>
      <c r="Q87" s="1"/>
      <c r="R87" s="1"/>
      <c r="S87" s="1"/>
      <c r="T87" s="1"/>
    </row>
    <row r="88" spans="2:20" hidden="1" x14ac:dyDescent="0.35">
      <c r="D88" s="11"/>
      <c r="E88" s="1"/>
      <c r="F88" s="1"/>
      <c r="G88" s="1"/>
      <c r="H88" s="1"/>
      <c r="I88" s="1"/>
      <c r="J88" s="1"/>
      <c r="N88" s="11"/>
      <c r="O88" s="1"/>
      <c r="P88" s="1"/>
      <c r="Q88" s="1"/>
      <c r="R88" s="1"/>
      <c r="S88" s="1"/>
      <c r="T88" s="1"/>
    </row>
    <row r="89" spans="2:20" hidden="1" x14ac:dyDescent="0.35">
      <c r="D89" s="11"/>
      <c r="E89" s="1"/>
      <c r="F89" s="1"/>
      <c r="G89" s="1"/>
      <c r="H89" s="1"/>
      <c r="I89" s="1"/>
      <c r="J89" s="1"/>
      <c r="N89" s="11"/>
      <c r="O89" s="1"/>
      <c r="P89" s="1"/>
      <c r="Q89" s="1"/>
      <c r="R89" s="1"/>
      <c r="S89" s="1"/>
      <c r="T89" s="1"/>
    </row>
    <row r="90" spans="2:20" hidden="1" x14ac:dyDescent="0.35">
      <c r="D90" s="11"/>
      <c r="E90" s="1"/>
      <c r="F90" s="1"/>
      <c r="G90" s="1"/>
      <c r="H90" s="1"/>
      <c r="I90" s="1"/>
      <c r="J90" s="1"/>
      <c r="N90" s="11"/>
      <c r="O90" s="1"/>
      <c r="P90" s="1"/>
      <c r="Q90" s="1"/>
      <c r="R90" s="1"/>
      <c r="S90" s="1"/>
      <c r="T90" s="1"/>
    </row>
    <row r="91" spans="2:20" hidden="1" x14ac:dyDescent="0.35">
      <c r="D91" s="11"/>
      <c r="E91" s="1"/>
      <c r="F91" s="1"/>
      <c r="G91" s="1"/>
      <c r="H91" s="1"/>
      <c r="I91" s="1"/>
      <c r="J91" s="1"/>
      <c r="N91" s="11"/>
      <c r="O91" s="1"/>
      <c r="P91" s="1"/>
      <c r="Q91" s="1"/>
      <c r="R91" s="1"/>
      <c r="S91" s="1"/>
      <c r="T91" s="1"/>
    </row>
    <row r="92" spans="2:20" hidden="1" x14ac:dyDescent="0.35">
      <c r="D92" s="11"/>
      <c r="E92" s="1"/>
      <c r="F92" s="1"/>
      <c r="G92" s="1"/>
      <c r="H92" s="1"/>
      <c r="I92" s="1"/>
      <c r="J92" s="1"/>
      <c r="N92" s="11"/>
      <c r="O92" s="1"/>
      <c r="P92" s="1"/>
      <c r="Q92" s="1"/>
      <c r="R92" s="1"/>
      <c r="S92" s="1"/>
      <c r="T92" s="1"/>
    </row>
    <row r="93" spans="2:20" hidden="1" x14ac:dyDescent="0.35">
      <c r="D93" s="11"/>
      <c r="E93" s="1"/>
      <c r="F93" s="1"/>
      <c r="G93" s="1"/>
      <c r="H93" s="1"/>
      <c r="I93" s="1"/>
      <c r="J93" s="1"/>
      <c r="N93" s="11"/>
      <c r="O93" s="1"/>
      <c r="P93" s="1"/>
      <c r="Q93" s="1"/>
      <c r="R93" s="1"/>
      <c r="S93" s="1"/>
      <c r="T93" s="1"/>
    </row>
    <row r="94" spans="2:20" hidden="1" x14ac:dyDescent="0.35">
      <c r="D94" s="11"/>
      <c r="E94" s="1"/>
      <c r="F94" s="1"/>
      <c r="G94" s="1"/>
      <c r="H94" s="1"/>
      <c r="I94" s="1"/>
      <c r="J94" s="1"/>
      <c r="N94" s="11"/>
      <c r="O94" s="1"/>
      <c r="P94" s="1"/>
      <c r="Q94" s="1"/>
      <c r="R94" s="1"/>
      <c r="S94" s="1"/>
      <c r="T94" s="1"/>
    </row>
    <row r="95" spans="2:20" hidden="1" x14ac:dyDescent="0.35">
      <c r="D95" s="11"/>
      <c r="E95" s="1"/>
      <c r="F95" s="1"/>
      <c r="G95" s="1"/>
      <c r="H95" s="1"/>
      <c r="I95" s="1"/>
      <c r="J95" s="1"/>
      <c r="N95" s="11"/>
      <c r="O95" s="1"/>
      <c r="P95" s="1"/>
      <c r="Q95" s="1"/>
      <c r="R95" s="1"/>
      <c r="S95" s="1"/>
      <c r="T95"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5" zeroHeight="1" x14ac:dyDescent="0.35"/>
  <cols>
    <col min="1" max="16384" width="8.9062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activeCell="A8" sqref="A8"/>
    </sheetView>
  </sheetViews>
  <sheetFormatPr defaultRowHeight="14.5" x14ac:dyDescent="0.35"/>
  <cols>
    <col min="1" max="1" width="3.81640625" customWidth="1"/>
    <col min="2" max="2" width="48.54296875" customWidth="1"/>
    <col min="3" max="3" width="7.81640625" bestFit="1" customWidth="1"/>
    <col min="4" max="4" width="36" customWidth="1"/>
    <col min="5" max="5" width="5.453125" bestFit="1" customWidth="1"/>
    <col min="6" max="6" width="30" bestFit="1" customWidth="1"/>
    <col min="7" max="7" width="6.90625" bestFit="1" customWidth="1"/>
    <col min="8" max="8" width="36" customWidth="1"/>
    <col min="9" max="9" width="48.54296875" customWidth="1"/>
    <col min="10" max="10" width="3.81640625" customWidth="1"/>
  </cols>
  <sheetData>
    <row r="1" spans="1:10" x14ac:dyDescent="0.35">
      <c r="A1" s="66"/>
      <c r="B1" s="66"/>
      <c r="C1" s="66"/>
      <c r="D1" s="66"/>
      <c r="E1" s="66"/>
      <c r="F1" s="66"/>
      <c r="G1" s="66"/>
      <c r="H1" s="66"/>
      <c r="I1" s="66"/>
      <c r="J1" s="66"/>
    </row>
    <row r="2" spans="1:10" x14ac:dyDescent="0.35">
      <c r="A2" s="66"/>
      <c r="B2" s="66"/>
      <c r="C2" s="66"/>
      <c r="D2" s="66"/>
      <c r="E2" s="66"/>
      <c r="F2" s="66"/>
      <c r="G2" s="66"/>
      <c r="H2" s="66"/>
      <c r="I2" s="66"/>
      <c r="J2" s="66"/>
    </row>
    <row r="3" spans="1:10" x14ac:dyDescent="0.35">
      <c r="A3" s="66"/>
      <c r="B3" s="66"/>
      <c r="C3" s="66"/>
      <c r="D3" s="66"/>
      <c r="E3" s="66"/>
      <c r="F3" s="66"/>
      <c r="G3" s="66"/>
      <c r="H3" s="66"/>
      <c r="I3" s="66"/>
      <c r="J3" s="66"/>
    </row>
    <row r="4" spans="1:10" ht="3" customHeight="1" x14ac:dyDescent="0.35">
      <c r="A4" s="67"/>
      <c r="B4" s="67"/>
      <c r="C4" s="67"/>
      <c r="D4" s="67"/>
      <c r="E4" s="67"/>
      <c r="F4" s="67"/>
      <c r="G4" s="67"/>
      <c r="H4" s="67"/>
      <c r="I4" s="67"/>
      <c r="J4" s="67"/>
    </row>
    <row r="5" spans="1:10" x14ac:dyDescent="0.35">
      <c r="A5" s="68"/>
      <c r="B5" s="68"/>
      <c r="C5" s="68"/>
      <c r="D5" s="68"/>
      <c r="E5" s="68"/>
      <c r="F5" s="68"/>
      <c r="G5" s="68"/>
      <c r="H5" s="68"/>
      <c r="I5" s="68"/>
      <c r="J5" s="68"/>
    </row>
    <row r="6" spans="1:10" ht="15" thickBot="1" x14ac:dyDescent="0.4">
      <c r="A6" s="68"/>
      <c r="B6" s="69" t="s">
        <v>319</v>
      </c>
      <c r="C6" s="70"/>
      <c r="D6" s="70"/>
      <c r="E6" s="70"/>
      <c r="F6" s="70"/>
      <c r="G6" s="70"/>
      <c r="H6" s="70"/>
      <c r="I6" s="70"/>
      <c r="J6" s="68"/>
    </row>
    <row r="7" spans="1:10" ht="14.4" customHeight="1" x14ac:dyDescent="0.35">
      <c r="A7" s="68"/>
      <c r="B7" s="68"/>
      <c r="C7" s="68"/>
      <c r="D7" s="68"/>
      <c r="E7" s="68"/>
      <c r="F7" s="68"/>
      <c r="G7" s="68"/>
      <c r="H7" s="68"/>
      <c r="I7" s="68"/>
      <c r="J7" s="68"/>
    </row>
    <row r="8" spans="1:10" ht="14.4" customHeight="1" x14ac:dyDescent="0.35">
      <c r="B8" s="84" t="s">
        <v>114</v>
      </c>
      <c r="C8" s="84" t="s">
        <v>115</v>
      </c>
      <c r="D8" s="84" t="s">
        <v>336</v>
      </c>
      <c r="E8" s="91" t="s">
        <v>116</v>
      </c>
      <c r="F8" s="91" t="s">
        <v>117</v>
      </c>
      <c r="G8" s="91" t="s">
        <v>118</v>
      </c>
      <c r="H8" s="91" t="s">
        <v>119</v>
      </c>
      <c r="I8" s="84" t="s">
        <v>120</v>
      </c>
    </row>
    <row r="9" spans="1:10" x14ac:dyDescent="0.35">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5">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5">
      <c r="B11" s="85" t="s">
        <v>123</v>
      </c>
      <c r="C11" s="86">
        <v>0</v>
      </c>
      <c r="D11" s="86"/>
      <c r="E11" s="86" t="str">
        <f t="shared" si="0"/>
        <v>lvl1</v>
      </c>
      <c r="F11" s="86" t="str">
        <f t="shared" si="1"/>
        <v>h</v>
      </c>
      <c r="G11" s="86" t="str">
        <f t="shared" si="2"/>
        <v>b02.00</v>
      </c>
      <c r="H11" s="86" t="str">
        <f t="shared" si="3"/>
        <v>0040_typ_uniq_id_knwn_cntrprty</v>
      </c>
      <c r="I11" s="86"/>
    </row>
    <row r="12" spans="1:10" x14ac:dyDescent="0.35">
      <c r="B12" s="85" t="s">
        <v>124</v>
      </c>
      <c r="C12" s="86">
        <v>0</v>
      </c>
      <c r="D12" s="86"/>
      <c r="E12" s="86" t="str">
        <f t="shared" si="0"/>
        <v>lvl1</v>
      </c>
      <c r="F12" s="86" t="str">
        <f t="shared" si="1"/>
        <v>h</v>
      </c>
      <c r="G12" s="86" t="str">
        <f t="shared" si="2"/>
        <v>b02.00</v>
      </c>
      <c r="H12" s="86" t="str">
        <f t="shared" si="3"/>
        <v>0070_cntrct_crrncy</v>
      </c>
      <c r="I12" s="86"/>
    </row>
    <row r="13" spans="1:10" x14ac:dyDescent="0.35">
      <c r="B13" s="85" t="s">
        <v>125</v>
      </c>
      <c r="C13" s="86">
        <v>0</v>
      </c>
      <c r="D13" s="86"/>
      <c r="E13" s="86" t="str">
        <f t="shared" si="0"/>
        <v>lvl1</v>
      </c>
      <c r="F13" s="86" t="str">
        <f t="shared" si="1"/>
        <v>h</v>
      </c>
      <c r="G13" s="86" t="str">
        <f t="shared" si="2"/>
        <v>b02.00</v>
      </c>
      <c r="H13" s="86" t="str">
        <f t="shared" si="3"/>
        <v>0080_otstndng_prncpl_amnt</v>
      </c>
      <c r="I13" s="86"/>
    </row>
    <row r="14" spans="1:10" x14ac:dyDescent="0.35">
      <c r="B14" s="85" t="s">
        <v>126</v>
      </c>
      <c r="C14" s="86">
        <v>0</v>
      </c>
      <c r="D14" s="86"/>
      <c r="E14" s="86" t="str">
        <f t="shared" si="0"/>
        <v>lvl1</v>
      </c>
      <c r="F14" s="86" t="str">
        <f t="shared" si="1"/>
        <v>w</v>
      </c>
      <c r="G14" s="86" t="str">
        <f t="shared" si="2"/>
        <v>b02.00</v>
      </c>
      <c r="H14" s="86" t="str">
        <f t="shared" si="3"/>
        <v>0080_otstndng_prncpl_amnt</v>
      </c>
      <c r="I14" s="86"/>
    </row>
    <row r="15" spans="1:10" x14ac:dyDescent="0.35">
      <c r="B15" s="85" t="s">
        <v>127</v>
      </c>
      <c r="C15" s="86">
        <v>0</v>
      </c>
      <c r="D15" s="86"/>
      <c r="E15" s="86" t="str">
        <f t="shared" si="0"/>
        <v>lvl1</v>
      </c>
      <c r="F15" s="86" t="str">
        <f t="shared" si="1"/>
        <v>h</v>
      </c>
      <c r="G15" s="86" t="str">
        <f t="shared" si="2"/>
        <v>b02.00</v>
      </c>
      <c r="H15" s="86" t="str">
        <f t="shared" si="3"/>
        <v>0090_prtn_amnt_rprtng_entty</v>
      </c>
      <c r="I15" s="86"/>
    </row>
    <row r="16" spans="1:10" x14ac:dyDescent="0.35">
      <c r="B16" s="85" t="s">
        <v>128</v>
      </c>
      <c r="C16" s="86">
        <v>0</v>
      </c>
      <c r="D16" s="86"/>
      <c r="E16" s="86" t="str">
        <f t="shared" si="0"/>
        <v>lvl1</v>
      </c>
      <c r="F16" s="86" t="str">
        <f t="shared" si="1"/>
        <v>h</v>
      </c>
      <c r="G16" s="86" t="str">
        <f t="shared" si="2"/>
        <v>b02.00</v>
      </c>
      <c r="H16" s="86" t="str">
        <f t="shared" si="3"/>
        <v>0100_accrd_intrst_instrmnt</v>
      </c>
      <c r="I16" s="86"/>
    </row>
    <row r="17" spans="2:9" x14ac:dyDescent="0.35">
      <c r="B17" s="85" t="s">
        <v>129</v>
      </c>
      <c r="C17" s="86">
        <v>0</v>
      </c>
      <c r="D17" s="86"/>
      <c r="E17" s="86" t="str">
        <f t="shared" si="0"/>
        <v>lvl1</v>
      </c>
      <c r="F17" s="86" t="str">
        <f t="shared" si="1"/>
        <v>w</v>
      </c>
      <c r="G17" s="86" t="str">
        <f t="shared" si="2"/>
        <v>b02.00</v>
      </c>
      <c r="H17" s="86" t="str">
        <f t="shared" si="3"/>
        <v>0100_accrd_intrst_instrmnt</v>
      </c>
      <c r="I17" s="86"/>
    </row>
    <row r="18" spans="2:9" x14ac:dyDescent="0.35">
      <c r="B18" s="85" t="s">
        <v>130</v>
      </c>
      <c r="C18" s="86">
        <v>0</v>
      </c>
      <c r="D18" s="86"/>
      <c r="E18" s="86" t="str">
        <f t="shared" si="0"/>
        <v>lvl1</v>
      </c>
      <c r="F18" s="86" t="str">
        <f t="shared" si="1"/>
        <v>h</v>
      </c>
      <c r="G18" s="86" t="str">
        <f t="shared" si="2"/>
        <v>b02.00</v>
      </c>
      <c r="H18" s="86" t="str">
        <f t="shared" si="3"/>
        <v>0120_otstndng_amnt</v>
      </c>
      <c r="I18" s="86"/>
    </row>
    <row r="19" spans="2:9" x14ac:dyDescent="0.35">
      <c r="B19" s="85" t="s">
        <v>131</v>
      </c>
      <c r="C19" s="86">
        <v>8</v>
      </c>
      <c r="D19" s="86"/>
      <c r="E19" s="86" t="str">
        <f t="shared" si="0"/>
        <v>lvl1</v>
      </c>
      <c r="F19" s="86" t="str">
        <f t="shared" si="1"/>
        <v>w</v>
      </c>
      <c r="G19" s="86" t="str">
        <f t="shared" si="2"/>
        <v>b02.00</v>
      </c>
      <c r="H19" s="86" t="str">
        <f t="shared" si="3"/>
        <v>0120_otstndng_amnt</v>
      </c>
      <c r="I19" s="86"/>
    </row>
    <row r="20" spans="2:9" x14ac:dyDescent="0.35">
      <c r="B20" s="85" t="s">
        <v>132</v>
      </c>
      <c r="C20" s="86">
        <v>8</v>
      </c>
      <c r="D20" s="86"/>
      <c r="E20" s="86" t="str">
        <f t="shared" si="0"/>
        <v>lvl1</v>
      </c>
      <c r="F20" s="86" t="str">
        <f t="shared" si="1"/>
        <v>h</v>
      </c>
      <c r="G20" s="86" t="str">
        <f t="shared" si="2"/>
        <v>b02.00</v>
      </c>
      <c r="H20" s="86" t="str">
        <f t="shared" si="3"/>
        <v>0130_rlvnt_amnt_wdc</v>
      </c>
      <c r="I20" s="86"/>
    </row>
    <row r="21" spans="2:9" x14ac:dyDescent="0.35">
      <c r="B21" s="85" t="s">
        <v>133</v>
      </c>
      <c r="C21" s="86">
        <v>0</v>
      </c>
      <c r="D21" s="86"/>
      <c r="E21" s="86" t="str">
        <f t="shared" si="0"/>
        <v>lvl1</v>
      </c>
      <c r="F21" s="86" t="str">
        <f t="shared" si="1"/>
        <v>h</v>
      </c>
      <c r="G21" s="86" t="str">
        <f t="shared" si="2"/>
        <v>b02.00</v>
      </c>
      <c r="H21" s="86" t="str">
        <f t="shared" si="3"/>
        <v>0140_ntr_lblty</v>
      </c>
      <c r="I21" s="86"/>
    </row>
    <row r="22" spans="2:9" x14ac:dyDescent="0.35">
      <c r="B22" s="85" t="s">
        <v>134</v>
      </c>
      <c r="C22" s="86">
        <v>0</v>
      </c>
      <c r="D22" s="86"/>
      <c r="E22" s="86" t="str">
        <f t="shared" si="0"/>
        <v>lvl1</v>
      </c>
      <c r="F22" s="86" t="str">
        <f t="shared" si="1"/>
        <v>h</v>
      </c>
      <c r="G22" s="86" t="str">
        <f t="shared" si="2"/>
        <v>b02.00</v>
      </c>
      <c r="H22" s="86" t="str">
        <f t="shared" si="3"/>
        <v>0141_ntr_lblty_othr</v>
      </c>
      <c r="I22" s="86"/>
    </row>
    <row r="23" spans="2:9" x14ac:dyDescent="0.35">
      <c r="B23" s="85" t="s">
        <v>135</v>
      </c>
      <c r="C23" s="86">
        <v>0</v>
      </c>
      <c r="D23" s="86"/>
      <c r="E23" s="86" t="str">
        <f t="shared" si="0"/>
        <v>lvl1</v>
      </c>
      <c r="F23" s="86" t="str">
        <f t="shared" si="1"/>
        <v>h</v>
      </c>
      <c r="G23" s="86" t="str">
        <f t="shared" si="2"/>
        <v>b02.00</v>
      </c>
      <c r="H23" s="86" t="str">
        <f t="shared" si="3"/>
        <v>0160_rank_insolv</v>
      </c>
      <c r="I23" s="86"/>
    </row>
    <row r="24" spans="2:9" x14ac:dyDescent="0.35">
      <c r="B24" s="85" t="s">
        <v>136</v>
      </c>
      <c r="C24" s="86">
        <v>0</v>
      </c>
      <c r="D24" s="86"/>
      <c r="E24" s="86" t="str">
        <f t="shared" si="0"/>
        <v>lvl1</v>
      </c>
      <c r="F24" s="86" t="str">
        <f t="shared" si="1"/>
        <v>h</v>
      </c>
      <c r="G24" s="86" t="str">
        <f t="shared" si="2"/>
        <v>b02.00</v>
      </c>
      <c r="H24" s="86" t="str">
        <f t="shared" si="3"/>
        <v>0162_bail_in_cascade</v>
      </c>
      <c r="I24" s="86"/>
    </row>
    <row r="25" spans="2:9" x14ac:dyDescent="0.35">
      <c r="B25" s="85" t="s">
        <v>137</v>
      </c>
      <c r="C25" s="86">
        <v>0</v>
      </c>
      <c r="D25" s="86"/>
      <c r="E25" s="86" t="str">
        <f t="shared" si="0"/>
        <v>lvl1</v>
      </c>
      <c r="F25" s="86" t="str">
        <f t="shared" si="1"/>
        <v>h</v>
      </c>
      <c r="G25" s="86" t="str">
        <f t="shared" si="2"/>
        <v>b02.00</v>
      </c>
      <c r="H25" s="86" t="str">
        <f t="shared" si="3"/>
        <v>0180_dt_nxt_intrst_pymnt</v>
      </c>
      <c r="I25" s="86"/>
    </row>
    <row r="26" spans="2:9" x14ac:dyDescent="0.35">
      <c r="B26" s="85" t="s">
        <v>138</v>
      </c>
      <c r="C26" s="86">
        <v>0</v>
      </c>
      <c r="D26" s="86"/>
      <c r="E26" s="86" t="str">
        <f t="shared" si="0"/>
        <v>lvl1</v>
      </c>
      <c r="F26" s="86" t="str">
        <f t="shared" si="1"/>
        <v>w</v>
      </c>
      <c r="G26" s="86" t="str">
        <f t="shared" si="2"/>
        <v>b02.00</v>
      </c>
      <c r="H26" s="86" t="str">
        <f t="shared" si="3"/>
        <v>0180_dt_nxt_intrst_pymnt</v>
      </c>
      <c r="I26" s="86"/>
    </row>
    <row r="27" spans="2:9" x14ac:dyDescent="0.35">
      <c r="B27" s="85" t="s">
        <v>139</v>
      </c>
      <c r="C27" s="86">
        <v>0</v>
      </c>
      <c r="D27" s="86"/>
      <c r="E27" s="86" t="str">
        <f t="shared" si="0"/>
        <v>lvl1</v>
      </c>
      <c r="F27" s="86" t="str">
        <f t="shared" si="1"/>
        <v>w</v>
      </c>
      <c r="G27" s="86" t="str">
        <f t="shared" si="2"/>
        <v>b02.00</v>
      </c>
      <c r="H27" s="86" t="str">
        <f t="shared" si="3"/>
        <v>0200_dt_erlst_rdmptn</v>
      </c>
      <c r="I27" s="86"/>
    </row>
    <row r="28" spans="2:9" x14ac:dyDescent="0.35">
      <c r="B28" s="85" t="s">
        <v>140</v>
      </c>
      <c r="C28" s="86">
        <v>0</v>
      </c>
      <c r="D28" s="86"/>
      <c r="E28" s="86" t="str">
        <f t="shared" si="0"/>
        <v>lvl1</v>
      </c>
      <c r="F28" s="86" t="str">
        <f t="shared" si="1"/>
        <v>h</v>
      </c>
      <c r="G28" s="86" t="str">
        <f t="shared" si="2"/>
        <v>b02.00</v>
      </c>
      <c r="H28" s="86" t="str">
        <f t="shared" si="3"/>
        <v>0210_dt_lgl_fnl_mtrty</v>
      </c>
      <c r="I28" s="86"/>
    </row>
    <row r="29" spans="2:9" x14ac:dyDescent="0.35">
      <c r="B29" s="85" t="s">
        <v>141</v>
      </c>
      <c r="C29" s="86">
        <v>0</v>
      </c>
      <c r="D29" s="101"/>
      <c r="E29" s="86" t="str">
        <f t="shared" si="0"/>
        <v>lvl1</v>
      </c>
      <c r="F29" s="86" t="str">
        <f t="shared" si="1"/>
        <v>h</v>
      </c>
      <c r="G29" s="86" t="str">
        <f t="shared" si="2"/>
        <v>b02.00</v>
      </c>
      <c r="H29" s="86" t="str">
        <f t="shared" si="3"/>
        <v>0220_governing_law</v>
      </c>
      <c r="I29" s="86"/>
    </row>
    <row r="30" spans="2:9" x14ac:dyDescent="0.35">
      <c r="B30" s="85" t="s">
        <v>142</v>
      </c>
      <c r="C30" s="86">
        <v>0</v>
      </c>
      <c r="D30" s="86"/>
      <c r="E30" s="86" t="str">
        <f t="shared" si="0"/>
        <v>lvl1</v>
      </c>
      <c r="F30" s="86" t="str">
        <f t="shared" si="1"/>
        <v>h</v>
      </c>
      <c r="G30" s="86" t="str">
        <f t="shared" si="2"/>
        <v>b02.00</v>
      </c>
      <c r="H30" s="86" t="str">
        <f t="shared" si="3"/>
        <v>0250_strctrd_prdct</v>
      </c>
      <c r="I30" s="86"/>
    </row>
    <row r="31" spans="2:9" x14ac:dyDescent="0.35">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5">
      <c r="B32" s="85" t="s">
        <v>144</v>
      </c>
      <c r="C32" s="86">
        <v>0</v>
      </c>
      <c r="D32" s="86"/>
      <c r="E32" s="86" t="str">
        <f t="shared" si="0"/>
        <v>lvl1</v>
      </c>
      <c r="F32" s="86" t="str">
        <f t="shared" si="1"/>
        <v>h</v>
      </c>
      <c r="G32" s="86" t="str">
        <f t="shared" si="2"/>
        <v>b02.00</v>
      </c>
      <c r="H32" s="86" t="str">
        <f t="shared" si="3"/>
        <v>0270_fv_amnt_strctrd_prdct</v>
      </c>
      <c r="I32" s="86"/>
    </row>
    <row r="33" spans="2:9" x14ac:dyDescent="0.35">
      <c r="B33" s="85" t="s">
        <v>145</v>
      </c>
      <c r="C33" s="86">
        <v>0</v>
      </c>
      <c r="D33" s="86"/>
      <c r="E33" s="86" t="str">
        <f t="shared" si="0"/>
        <v>lvl1</v>
      </c>
      <c r="F33" s="86" t="str">
        <f t="shared" si="1"/>
        <v>h</v>
      </c>
      <c r="G33" s="86" t="str">
        <f t="shared" si="2"/>
        <v>b02.00</v>
      </c>
      <c r="H33" s="86" t="str">
        <f t="shared" si="3"/>
        <v>0300_amnt_cvrd_elgbl_dpsts</v>
      </c>
      <c r="I33" s="86"/>
    </row>
    <row r="34" spans="2:9" x14ac:dyDescent="0.35">
      <c r="B34" s="85" t="s">
        <v>146</v>
      </c>
      <c r="C34" s="86">
        <v>0</v>
      </c>
      <c r="D34" s="86"/>
      <c r="E34" s="86" t="str">
        <f t="shared" si="0"/>
        <v>lvl1</v>
      </c>
      <c r="F34" s="86" t="str">
        <f t="shared" si="1"/>
        <v>h</v>
      </c>
      <c r="G34" s="86" t="str">
        <f t="shared" si="2"/>
        <v>b02.00</v>
      </c>
      <c r="H34" s="86" t="str">
        <f t="shared" si="3"/>
        <v>0310_flg_clltrl_agrmnts</v>
      </c>
      <c r="I34" s="86"/>
    </row>
    <row r="35" spans="2:9" x14ac:dyDescent="0.35">
      <c r="B35" s="85" t="s">
        <v>147</v>
      </c>
      <c r="C35" s="86">
        <v>0</v>
      </c>
      <c r="D35" s="86"/>
      <c r="E35" s="86" t="str">
        <f t="shared" si="0"/>
        <v>lvl1</v>
      </c>
      <c r="F35" s="86" t="str">
        <f t="shared" si="1"/>
        <v>h</v>
      </c>
      <c r="G35" s="86" t="str">
        <f t="shared" si="2"/>
        <v>b02.00</v>
      </c>
      <c r="H35" s="86" t="str">
        <f t="shared" si="3"/>
        <v>0320_amnt_clltrl</v>
      </c>
      <c r="I35" s="86"/>
    </row>
    <row r="36" spans="2:9" x14ac:dyDescent="0.35">
      <c r="B36" s="85" t="s">
        <v>148</v>
      </c>
      <c r="C36" s="86">
        <v>0</v>
      </c>
      <c r="D36" s="86"/>
      <c r="E36" s="86" t="str">
        <f t="shared" si="0"/>
        <v>lvl1</v>
      </c>
      <c r="F36" s="86" t="str">
        <f t="shared" si="1"/>
        <v>h</v>
      </c>
      <c r="G36" s="86" t="str">
        <f t="shared" si="2"/>
        <v>b02.00</v>
      </c>
      <c r="H36" s="86" t="str">
        <f t="shared" si="3"/>
        <v>0330_amnt_unclltrlzd</v>
      </c>
      <c r="I36" s="86"/>
    </row>
    <row r="37" spans="2:9" x14ac:dyDescent="0.35">
      <c r="B37" s="85" t="s">
        <v>149</v>
      </c>
      <c r="C37" s="86">
        <v>0</v>
      </c>
      <c r="D37" s="86"/>
      <c r="E37" s="86" t="str">
        <f t="shared" si="0"/>
        <v>lvl1</v>
      </c>
      <c r="F37" s="86" t="str">
        <f t="shared" si="1"/>
        <v>h</v>
      </c>
      <c r="G37" s="86" t="str">
        <f t="shared" si="2"/>
        <v>b02.00</v>
      </c>
      <c r="H37" s="86" t="str">
        <f t="shared" si="3"/>
        <v>0350_typ_clltrl</v>
      </c>
      <c r="I37" s="86"/>
    </row>
    <row r="38" spans="2:9" x14ac:dyDescent="0.35">
      <c r="B38" s="85" t="s">
        <v>150</v>
      </c>
      <c r="C38" s="86">
        <v>0</v>
      </c>
      <c r="D38" s="86"/>
      <c r="E38" s="86" t="str">
        <f t="shared" si="0"/>
        <v>lvl1</v>
      </c>
      <c r="F38" s="86" t="str">
        <f t="shared" si="1"/>
        <v>h</v>
      </c>
      <c r="G38" s="86" t="str">
        <f t="shared" si="2"/>
        <v>b02.00</v>
      </c>
      <c r="H38" s="86" t="str">
        <f t="shared" si="3"/>
        <v>0351_typ_clltrl_othr</v>
      </c>
      <c r="I38" s="86"/>
    </row>
    <row r="39" spans="2:9" x14ac:dyDescent="0.35">
      <c r="B39" s="85" t="s">
        <v>151</v>
      </c>
      <c r="C39" s="86">
        <v>0</v>
      </c>
      <c r="D39" s="86"/>
      <c r="E39" s="86" t="str">
        <f t="shared" si="0"/>
        <v>lvl1</v>
      </c>
      <c r="F39" s="86" t="str">
        <f t="shared" si="1"/>
        <v>h</v>
      </c>
      <c r="G39" s="86" t="str">
        <f t="shared" si="2"/>
        <v>b02.00</v>
      </c>
      <c r="H39" s="86" t="str">
        <f t="shared" si="3"/>
        <v>0370_amnt_scrty_eur</v>
      </c>
      <c r="I39" s="86"/>
    </row>
    <row r="40" spans="2:9" x14ac:dyDescent="0.35">
      <c r="B40" s="85" t="s">
        <v>152</v>
      </c>
      <c r="C40" s="86">
        <v>0</v>
      </c>
      <c r="D40" s="86"/>
      <c r="E40" s="86" t="str">
        <f t="shared" si="0"/>
        <v>lvl1</v>
      </c>
      <c r="F40" s="86" t="str">
        <f t="shared" si="1"/>
        <v>w</v>
      </c>
      <c r="G40" s="86" t="str">
        <f t="shared" si="2"/>
        <v>b02.00</v>
      </c>
      <c r="H40" s="86" t="str">
        <f t="shared" si="3"/>
        <v>0370_amnt_scrty_eur</v>
      </c>
      <c r="I40" s="86"/>
    </row>
    <row r="41" spans="2:9" x14ac:dyDescent="0.35">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5">
      <c r="B42" s="85" t="s">
        <v>154</v>
      </c>
      <c r="C42" s="86">
        <v>8</v>
      </c>
      <c r="D42" s="86"/>
      <c r="E42" s="86" t="str">
        <f t="shared" si="0"/>
        <v>lvl1</v>
      </c>
      <c r="F42" s="86" t="str">
        <f t="shared" si="1"/>
        <v>h</v>
      </c>
      <c r="G42" s="86" t="str">
        <f t="shared" si="2"/>
        <v>b02.00</v>
      </c>
      <c r="H42" s="86" t="str">
        <f t="shared" si="3"/>
        <v>0391_nmbr_scrts_rprtng_entty</v>
      </c>
      <c r="I42" s="86"/>
    </row>
    <row r="43" spans="2:9" x14ac:dyDescent="0.35">
      <c r="B43" s="85" t="s">
        <v>155</v>
      </c>
      <c r="C43" s="86">
        <v>0</v>
      </c>
      <c r="D43" s="86"/>
      <c r="E43" s="86" t="str">
        <f t="shared" si="0"/>
        <v>lvl1</v>
      </c>
      <c r="F43" s="86" t="str">
        <f t="shared" si="1"/>
        <v>h</v>
      </c>
      <c r="G43" s="86" t="str">
        <f t="shared" si="2"/>
        <v>b02.00</v>
      </c>
      <c r="H43" s="86" t="str">
        <f t="shared" si="3"/>
        <v>0400_accrd_intrst_scrty</v>
      </c>
      <c r="I43" s="86"/>
    </row>
    <row r="44" spans="2:9" x14ac:dyDescent="0.35">
      <c r="B44" s="85" t="s">
        <v>156</v>
      </c>
      <c r="C44" s="86">
        <v>0</v>
      </c>
      <c r="D44" s="86"/>
      <c r="E44" s="86" t="str">
        <f t="shared" si="0"/>
        <v>lvl1</v>
      </c>
      <c r="F44" s="86" t="str">
        <f t="shared" si="1"/>
        <v>w</v>
      </c>
      <c r="G44" s="86" t="str">
        <f t="shared" si="2"/>
        <v>b02.00</v>
      </c>
      <c r="H44" s="86" t="str">
        <f t="shared" si="3"/>
        <v>0400_accrd_intrst_scrty</v>
      </c>
      <c r="I44" s="86"/>
    </row>
    <row r="45" spans="2:9" x14ac:dyDescent="0.35">
      <c r="B45" s="85" t="s">
        <v>157</v>
      </c>
      <c r="C45" s="86">
        <v>0</v>
      </c>
      <c r="D45" s="86"/>
      <c r="E45" s="86" t="str">
        <f t="shared" si="0"/>
        <v>lvl1</v>
      </c>
      <c r="F45" s="86" t="str">
        <f t="shared" si="1"/>
        <v>w</v>
      </c>
      <c r="G45" s="86" t="str">
        <f t="shared" si="2"/>
        <v>b02.00</v>
      </c>
      <c r="H45" s="86" t="str">
        <f t="shared" si="3"/>
        <v>0610_crryng_amnt_ifrs</v>
      </c>
      <c r="I45" s="86"/>
    </row>
    <row r="46" spans="2:9" x14ac:dyDescent="0.35">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5">
      <c r="B47" s="85" t="s">
        <v>159</v>
      </c>
      <c r="C47" s="86">
        <v>-9999</v>
      </c>
      <c r="D47" s="86"/>
      <c r="E47" s="86" t="str">
        <f t="shared" si="0"/>
        <v>lvl1</v>
      </c>
      <c r="F47" s="86" t="str">
        <f t="shared" si="1"/>
        <v>h</v>
      </c>
      <c r="G47" s="86" t="str">
        <f t="shared" si="2"/>
        <v>b02.00</v>
      </c>
      <c r="H47" s="86" t="str">
        <f t="shared" si="3"/>
        <v>5010_flg_art21_7a_srmr</v>
      </c>
      <c r="I47" s="86"/>
    </row>
    <row r="48" spans="2:9" x14ac:dyDescent="0.35">
      <c r="B48" s="85" t="s">
        <v>160</v>
      </c>
      <c r="C48" s="86">
        <v>0</v>
      </c>
      <c r="D48" s="86"/>
      <c r="E48" s="86" t="str">
        <f t="shared" si="0"/>
        <v>lvl2</v>
      </c>
      <c r="F48" s="86" t="str">
        <f t="shared" si="1"/>
        <v>h</v>
      </c>
      <c r="G48" s="86" t="str">
        <f t="shared" si="2"/>
        <v>b02.00</v>
      </c>
      <c r="H48" s="86" t="str">
        <f t="shared" si="3"/>
        <v>0030_uniq_id_knwn_cntrprty</v>
      </c>
      <c r="I48" s="86"/>
    </row>
    <row r="49" spans="2:9" x14ac:dyDescent="0.35">
      <c r="B49" s="85" t="s">
        <v>161</v>
      </c>
      <c r="C49" s="86">
        <v>0</v>
      </c>
      <c r="D49" s="86"/>
      <c r="E49" s="86" t="str">
        <f t="shared" si="0"/>
        <v>lvl2</v>
      </c>
      <c r="F49" s="86" t="str">
        <f t="shared" si="1"/>
        <v>h</v>
      </c>
      <c r="G49" s="86" t="str">
        <f t="shared" si="2"/>
        <v>b02.00</v>
      </c>
      <c r="H49" s="86" t="str">
        <f t="shared" si="3"/>
        <v>0070_cntrct_crrncy</v>
      </c>
      <c r="I49" s="86"/>
    </row>
    <row r="50" spans="2:9" x14ac:dyDescent="0.35">
      <c r="B50" s="85" t="s">
        <v>162</v>
      </c>
      <c r="C50" s="86">
        <v>0</v>
      </c>
      <c r="D50" s="86"/>
      <c r="E50" s="86" t="str">
        <f t="shared" si="0"/>
        <v>lvl2</v>
      </c>
      <c r="F50" s="86" t="str">
        <f t="shared" si="1"/>
        <v>w</v>
      </c>
      <c r="G50" s="86" t="str">
        <f t="shared" si="2"/>
        <v>b02.00</v>
      </c>
      <c r="H50" s="86" t="str">
        <f t="shared" si="3"/>
        <v>0080_otstndng_prncpl_amnt</v>
      </c>
      <c r="I50" s="86"/>
    </row>
    <row r="51" spans="2:9" x14ac:dyDescent="0.35">
      <c r="B51" s="85" t="s">
        <v>163</v>
      </c>
      <c r="C51" s="86">
        <v>0</v>
      </c>
      <c r="D51" s="86"/>
      <c r="E51" s="86" t="str">
        <f t="shared" si="0"/>
        <v>lvl2</v>
      </c>
      <c r="F51" s="86" t="str">
        <f t="shared" si="1"/>
        <v>h</v>
      </c>
      <c r="G51" s="86" t="str">
        <f t="shared" si="2"/>
        <v>b02.00</v>
      </c>
      <c r="H51" s="86" t="str">
        <f t="shared" si="3"/>
        <v>0090_prtn_amnt_rprtng_entty</v>
      </c>
      <c r="I51" s="86"/>
    </row>
    <row r="52" spans="2:9" x14ac:dyDescent="0.35">
      <c r="B52" s="85" t="s">
        <v>164</v>
      </c>
      <c r="C52" s="86">
        <v>0</v>
      </c>
      <c r="D52" s="86"/>
      <c r="E52" s="86" t="str">
        <f t="shared" si="0"/>
        <v>lvl2</v>
      </c>
      <c r="F52" s="86" t="str">
        <f t="shared" si="1"/>
        <v>w</v>
      </c>
      <c r="G52" s="86" t="str">
        <f t="shared" si="2"/>
        <v>b02.00</v>
      </c>
      <c r="H52" s="86" t="str">
        <f t="shared" si="3"/>
        <v>0100_accrd_intrst_instrmnt</v>
      </c>
      <c r="I52" s="86"/>
    </row>
    <row r="53" spans="2:9" x14ac:dyDescent="0.35">
      <c r="B53" s="85" t="s">
        <v>165</v>
      </c>
      <c r="C53" s="86">
        <v>0</v>
      </c>
      <c r="D53" s="86"/>
      <c r="E53" s="86" t="str">
        <f t="shared" si="0"/>
        <v>lvl2</v>
      </c>
      <c r="F53" s="86" t="str">
        <f t="shared" si="1"/>
        <v>w</v>
      </c>
      <c r="G53" s="86" t="str">
        <f t="shared" si="2"/>
        <v>b02.00</v>
      </c>
      <c r="H53" s="86" t="str">
        <f t="shared" si="3"/>
        <v>0110_applcbl_fees_charges</v>
      </c>
      <c r="I53" s="86"/>
    </row>
    <row r="54" spans="2:9" x14ac:dyDescent="0.35">
      <c r="B54" s="85" t="s">
        <v>166</v>
      </c>
      <c r="C54" s="86">
        <v>8</v>
      </c>
      <c r="D54" s="86"/>
      <c r="E54" s="86" t="str">
        <f t="shared" si="0"/>
        <v>lvl2</v>
      </c>
      <c r="F54" s="86" t="str">
        <f t="shared" si="1"/>
        <v>h</v>
      </c>
      <c r="G54" s="86" t="str">
        <f t="shared" si="2"/>
        <v>b02.00</v>
      </c>
      <c r="H54" s="86" t="str">
        <f t="shared" si="3"/>
        <v>0120_otstndng_amnt</v>
      </c>
      <c r="I54" s="86"/>
    </row>
    <row r="55" spans="2:9" x14ac:dyDescent="0.35">
      <c r="B55" s="85" t="s">
        <v>167</v>
      </c>
      <c r="C55" s="86">
        <v>0</v>
      </c>
      <c r="D55" s="86"/>
      <c r="E55" s="86" t="str">
        <f t="shared" si="0"/>
        <v>lvl2</v>
      </c>
      <c r="F55" s="86" t="str">
        <f t="shared" si="1"/>
        <v>h</v>
      </c>
      <c r="G55" s="86" t="str">
        <f t="shared" si="2"/>
        <v>b02.00</v>
      </c>
      <c r="H55" s="86" t="str">
        <f t="shared" si="3"/>
        <v>0120_otstndng_amnt</v>
      </c>
      <c r="I55" s="86"/>
    </row>
    <row r="56" spans="2:9" x14ac:dyDescent="0.35">
      <c r="B56" s="85" t="s">
        <v>168</v>
      </c>
      <c r="C56" s="86">
        <v>0</v>
      </c>
      <c r="D56" s="86"/>
      <c r="E56" s="86" t="str">
        <f t="shared" si="0"/>
        <v>lvl2</v>
      </c>
      <c r="F56" s="86" t="str">
        <f t="shared" si="1"/>
        <v>h</v>
      </c>
      <c r="G56" s="86" t="str">
        <f t="shared" si="2"/>
        <v>b02.00</v>
      </c>
      <c r="H56" s="86" t="str">
        <f t="shared" si="3"/>
        <v>0130_rlvnt_amnt_wdc</v>
      </c>
      <c r="I56" s="86"/>
    </row>
    <row r="57" spans="2:9" x14ac:dyDescent="0.35">
      <c r="B57" s="85" t="s">
        <v>169</v>
      </c>
      <c r="C57" s="86">
        <v>0</v>
      </c>
      <c r="D57" s="86"/>
      <c r="E57" s="86" t="str">
        <f t="shared" si="0"/>
        <v>lvl2</v>
      </c>
      <c r="F57" s="86" t="str">
        <f t="shared" si="1"/>
        <v>h</v>
      </c>
      <c r="G57" s="86" t="str">
        <f t="shared" si="2"/>
        <v>b02.00</v>
      </c>
      <c r="H57" s="86" t="str">
        <f t="shared" si="3"/>
        <v>0130_rlvnt_amnt_wdc</v>
      </c>
      <c r="I57" s="86"/>
    </row>
    <row r="58" spans="2:9" x14ac:dyDescent="0.35">
      <c r="B58" s="85" t="s">
        <v>170</v>
      </c>
      <c r="C58" s="86">
        <v>4</v>
      </c>
      <c r="D58" s="86"/>
      <c r="E58" s="86" t="str">
        <f t="shared" si="0"/>
        <v>lvl2</v>
      </c>
      <c r="F58" s="86" t="str">
        <f t="shared" si="1"/>
        <v>h</v>
      </c>
      <c r="G58" s="86" t="str">
        <f t="shared" si="2"/>
        <v>b02.00</v>
      </c>
      <c r="H58" s="86" t="str">
        <f t="shared" si="3"/>
        <v>0140_ntr_lblty</v>
      </c>
      <c r="I58" s="86"/>
    </row>
    <row r="59" spans="2:9" x14ac:dyDescent="0.35">
      <c r="B59" s="85" t="s">
        <v>171</v>
      </c>
      <c r="C59" s="86">
        <v>0</v>
      </c>
      <c r="D59" s="86"/>
      <c r="E59" s="86" t="str">
        <f t="shared" si="0"/>
        <v>lvl2</v>
      </c>
      <c r="F59" s="86" t="str">
        <f t="shared" si="1"/>
        <v>h</v>
      </c>
      <c r="G59" s="86" t="str">
        <f t="shared" si="2"/>
        <v>b02.00</v>
      </c>
      <c r="H59" s="86" t="str">
        <f t="shared" si="3"/>
        <v>0160_rank_insolv</v>
      </c>
      <c r="I59" s="86"/>
    </row>
    <row r="60" spans="2:9" x14ac:dyDescent="0.35">
      <c r="B60" s="85" t="s">
        <v>172</v>
      </c>
      <c r="C60" s="86">
        <v>0</v>
      </c>
      <c r="D60" s="86"/>
      <c r="E60" s="86" t="str">
        <f t="shared" si="0"/>
        <v>lvl2</v>
      </c>
      <c r="F60" s="86" t="str">
        <f t="shared" si="1"/>
        <v>h</v>
      </c>
      <c r="G60" s="86" t="str">
        <f t="shared" si="2"/>
        <v>b02.00</v>
      </c>
      <c r="H60" s="86" t="str">
        <f t="shared" si="3"/>
        <v>0170_dt_incptn</v>
      </c>
      <c r="I60" s="86"/>
    </row>
    <row r="61" spans="2:9" x14ac:dyDescent="0.35">
      <c r="B61" s="85" t="s">
        <v>173</v>
      </c>
      <c r="C61" s="86">
        <v>0</v>
      </c>
      <c r="D61" s="86"/>
      <c r="E61" s="86" t="str">
        <f t="shared" si="0"/>
        <v>lvl2</v>
      </c>
      <c r="F61" s="86" t="str">
        <f t="shared" si="1"/>
        <v>h</v>
      </c>
      <c r="G61" s="86" t="str">
        <f t="shared" si="2"/>
        <v>b02.00</v>
      </c>
      <c r="H61" s="86" t="str">
        <f t="shared" si="3"/>
        <v>0170_dt_incptn</v>
      </c>
      <c r="I61" s="86"/>
    </row>
    <row r="62" spans="2:9" x14ac:dyDescent="0.35">
      <c r="B62" s="85" t="s">
        <v>174</v>
      </c>
      <c r="C62" s="86">
        <v>8</v>
      </c>
      <c r="D62" s="86"/>
      <c r="E62" s="86" t="str">
        <f t="shared" si="0"/>
        <v>lvl2</v>
      </c>
      <c r="F62" s="86" t="str">
        <f t="shared" si="1"/>
        <v>h</v>
      </c>
      <c r="G62" s="86" t="str">
        <f t="shared" si="2"/>
        <v>b02.00</v>
      </c>
      <c r="H62" s="86" t="str">
        <f t="shared" si="3"/>
        <v>0180_dt_nxt_intrst_pymnt</v>
      </c>
      <c r="I62" s="86"/>
    </row>
    <row r="63" spans="2:9" x14ac:dyDescent="0.35">
      <c r="B63" s="85" t="s">
        <v>175</v>
      </c>
      <c r="C63" s="86">
        <v>-9999</v>
      </c>
      <c r="D63" s="86"/>
      <c r="E63" s="86" t="str">
        <f t="shared" si="0"/>
        <v>lvl2</v>
      </c>
      <c r="F63" s="86" t="str">
        <f t="shared" si="1"/>
        <v>h</v>
      </c>
      <c r="G63" s="86" t="str">
        <f t="shared" si="2"/>
        <v>b02.00</v>
      </c>
      <c r="H63" s="86" t="str">
        <f t="shared" si="3"/>
        <v>0180_dt_nxt_intrst_pymnt</v>
      </c>
      <c r="I63" s="86"/>
    </row>
    <row r="64" spans="2:9" x14ac:dyDescent="0.35">
      <c r="B64" s="85" t="s">
        <v>176</v>
      </c>
      <c r="C64" s="86">
        <v>0</v>
      </c>
      <c r="D64" s="86"/>
      <c r="E64" s="86" t="str">
        <f t="shared" si="0"/>
        <v>lvl2</v>
      </c>
      <c r="F64" s="86" t="str">
        <f t="shared" si="1"/>
        <v>h</v>
      </c>
      <c r="G64" s="86" t="str">
        <f t="shared" si="2"/>
        <v>b02.00</v>
      </c>
      <c r="H64" s="86" t="str">
        <f t="shared" si="3"/>
        <v>0200_dt_erlst_rdmptn</v>
      </c>
      <c r="I64" s="86"/>
    </row>
    <row r="65" spans="2:9" x14ac:dyDescent="0.35">
      <c r="B65" s="85" t="s">
        <v>177</v>
      </c>
      <c r="C65" s="86">
        <v>-9999</v>
      </c>
      <c r="D65" s="86"/>
      <c r="E65" s="86" t="str">
        <f t="shared" si="0"/>
        <v>lvl2</v>
      </c>
      <c r="F65" s="86" t="str">
        <f t="shared" si="1"/>
        <v>h</v>
      </c>
      <c r="G65" s="86" t="str">
        <f t="shared" si="2"/>
        <v>b02.00</v>
      </c>
      <c r="H65" s="86" t="str">
        <f t="shared" si="3"/>
        <v>0200_dt_erlst_rdmptn</v>
      </c>
      <c r="I65" s="86"/>
    </row>
    <row r="66" spans="2:9" x14ac:dyDescent="0.35">
      <c r="B66" s="85" t="s">
        <v>178</v>
      </c>
      <c r="C66" s="86">
        <v>0</v>
      </c>
      <c r="D66" s="86"/>
      <c r="E66" s="86" t="str">
        <f t="shared" si="0"/>
        <v>lvl2</v>
      </c>
      <c r="F66" s="86" t="str">
        <f t="shared" si="1"/>
        <v>h</v>
      </c>
      <c r="G66" s="86" t="str">
        <f t="shared" si="2"/>
        <v>b02.00</v>
      </c>
      <c r="H66" s="86" t="str">
        <f t="shared" si="3"/>
        <v>0210_dt_lgl_fnl_mtrty</v>
      </c>
      <c r="I66" s="86"/>
    </row>
    <row r="67" spans="2:9" x14ac:dyDescent="0.35">
      <c r="B67" s="85" t="s">
        <v>179</v>
      </c>
      <c r="C67" s="86">
        <v>-9999</v>
      </c>
      <c r="D67" s="86"/>
      <c r="E67" s="86" t="str">
        <f t="shared" si="0"/>
        <v>lvl2</v>
      </c>
      <c r="F67" s="86" t="str">
        <f t="shared" si="1"/>
        <v>h</v>
      </c>
      <c r="G67" s="86" t="str">
        <f t="shared" si="2"/>
        <v>b02.00</v>
      </c>
      <c r="H67" s="86" t="str">
        <f t="shared" si="3"/>
        <v>0210_dt_lgl_fnl_mtrty</v>
      </c>
      <c r="I67" s="86"/>
    </row>
    <row r="68" spans="2:9" x14ac:dyDescent="0.35">
      <c r="B68" s="85" t="s">
        <v>180</v>
      </c>
      <c r="C68" s="86">
        <v>0</v>
      </c>
      <c r="D68" s="86"/>
      <c r="E68" s="86" t="str">
        <f t="shared" si="0"/>
        <v>lvl2</v>
      </c>
      <c r="F68" s="86" t="str">
        <f t="shared" si="1"/>
        <v>h</v>
      </c>
      <c r="G68" s="86" t="str">
        <f t="shared" si="2"/>
        <v>b02.00</v>
      </c>
      <c r="H68" s="86" t="str">
        <f t="shared" si="3"/>
        <v>0220_governing_law</v>
      </c>
      <c r="I68" s="86"/>
    </row>
    <row r="69" spans="2:9" x14ac:dyDescent="0.35">
      <c r="B69" s="85" t="s">
        <v>181</v>
      </c>
      <c r="C69" s="86">
        <v>0</v>
      </c>
      <c r="D69" s="86"/>
      <c r="E69" s="86" t="str">
        <f t="shared" si="0"/>
        <v>lvl2</v>
      </c>
      <c r="F69" s="86" t="str">
        <f t="shared" si="1"/>
        <v>h</v>
      </c>
      <c r="G69" s="86" t="str">
        <f t="shared" si="2"/>
        <v>b02.00</v>
      </c>
      <c r="H69" s="86" t="str">
        <f t="shared" si="3"/>
        <v>0230_bail_in_rcgntn_cls</v>
      </c>
      <c r="I69" s="86"/>
    </row>
    <row r="70" spans="2:9" x14ac:dyDescent="0.35">
      <c r="B70" s="85" t="s">
        <v>182</v>
      </c>
      <c r="C70" s="86">
        <v>0</v>
      </c>
      <c r="D70" s="86"/>
      <c r="E70" s="86" t="str">
        <f t="shared" si="0"/>
        <v>lvl2</v>
      </c>
      <c r="F70" s="86" t="str">
        <f t="shared" si="1"/>
        <v>h</v>
      </c>
      <c r="G70" s="86" t="str">
        <f t="shared" si="2"/>
        <v>b02.00</v>
      </c>
      <c r="H70" s="86" t="str">
        <f t="shared" si="3"/>
        <v>0250_strctrd_prdct</v>
      </c>
      <c r="I70" s="86"/>
    </row>
    <row r="71" spans="2:9" x14ac:dyDescent="0.35">
      <c r="B71" s="85" t="s">
        <v>183</v>
      </c>
      <c r="C71" s="86">
        <v>0</v>
      </c>
      <c r="D71" s="86"/>
      <c r="E71" s="86" t="str">
        <f t="shared" si="0"/>
        <v>lvl2</v>
      </c>
      <c r="F71" s="86" t="str">
        <f t="shared" si="1"/>
        <v>h</v>
      </c>
      <c r="G71" s="86" t="str">
        <f t="shared" si="2"/>
        <v>b02.00</v>
      </c>
      <c r="H71" s="86" t="str">
        <f t="shared" si="3"/>
        <v>0310_flg_clltrl_agrmnts</v>
      </c>
      <c r="I71" s="86"/>
    </row>
    <row r="72" spans="2:9" x14ac:dyDescent="0.35">
      <c r="B72" s="85" t="s">
        <v>184</v>
      </c>
      <c r="C72" s="86">
        <v>0</v>
      </c>
      <c r="D72" s="86"/>
      <c r="E72" s="86" t="str">
        <f t="shared" si="0"/>
        <v>lvl2</v>
      </c>
      <c r="F72" s="86" t="str">
        <f t="shared" si="1"/>
        <v>h</v>
      </c>
      <c r="G72" s="86" t="str">
        <f t="shared" si="2"/>
        <v>b02.00</v>
      </c>
      <c r="H72" s="86" t="str">
        <f t="shared" si="3"/>
        <v>0330_amnt_unclltrlzd</v>
      </c>
      <c r="I72" s="86"/>
    </row>
    <row r="73" spans="2:9" x14ac:dyDescent="0.35">
      <c r="B73" s="85" t="s">
        <v>185</v>
      </c>
      <c r="C73" s="86">
        <v>0</v>
      </c>
      <c r="D73" s="86"/>
      <c r="E73" s="86" t="str">
        <f t="shared" si="0"/>
        <v>lvl2</v>
      </c>
      <c r="F73" s="86" t="str">
        <f t="shared" si="1"/>
        <v>h</v>
      </c>
      <c r="G73" s="86" t="str">
        <f t="shared" si="2"/>
        <v>b02.00</v>
      </c>
      <c r="H73" s="86" t="str">
        <f t="shared" si="3"/>
        <v>0330_amnt_unclltrlzd</v>
      </c>
      <c r="I73" s="86"/>
    </row>
    <row r="74" spans="2:9" x14ac:dyDescent="0.35">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5">
      <c r="B75" s="85" t="s">
        <v>187</v>
      </c>
      <c r="C75" s="86">
        <v>0</v>
      </c>
      <c r="D75" s="86"/>
      <c r="E75" s="86" t="str">
        <f t="shared" si="4"/>
        <v>lvl2</v>
      </c>
      <c r="F75" s="86" t="str">
        <f t="shared" si="5"/>
        <v>h</v>
      </c>
      <c r="G75" s="86" t="str">
        <f t="shared" si="6"/>
        <v>b02.00</v>
      </c>
      <c r="H75" s="86" t="str">
        <f t="shared" si="7"/>
        <v>0350_typ_clltrl</v>
      </c>
      <c r="I75" s="86"/>
    </row>
    <row r="76" spans="2:9" x14ac:dyDescent="0.35">
      <c r="B76" s="85" t="s">
        <v>188</v>
      </c>
      <c r="C76" s="86">
        <v>0</v>
      </c>
      <c r="D76" s="86"/>
      <c r="E76" s="86" t="str">
        <f t="shared" si="4"/>
        <v>lvl2</v>
      </c>
      <c r="F76" s="86" t="str">
        <f t="shared" si="5"/>
        <v>h</v>
      </c>
      <c r="G76" s="86" t="str">
        <f t="shared" si="6"/>
        <v>b02.00</v>
      </c>
      <c r="H76" s="86" t="str">
        <f t="shared" si="7"/>
        <v>0440_ntr_glbl_nt</v>
      </c>
      <c r="I76" s="86"/>
    </row>
    <row r="77" spans="2:9" x14ac:dyDescent="0.35">
      <c r="B77" s="85" t="s">
        <v>189</v>
      </c>
      <c r="C77" s="86">
        <v>0</v>
      </c>
      <c r="D77" s="86"/>
      <c r="E77" s="86" t="str">
        <f t="shared" si="4"/>
        <v>lvl2</v>
      </c>
      <c r="F77" s="86" t="str">
        <f t="shared" si="5"/>
        <v>h</v>
      </c>
      <c r="G77" s="86" t="str">
        <f t="shared" si="6"/>
        <v>b02.00</v>
      </c>
      <c r="H77" s="86" t="str">
        <f t="shared" si="7"/>
        <v>0530_typ_own_fnds_ind_lvl</v>
      </c>
      <c r="I77" s="86"/>
    </row>
    <row r="78" spans="2:9" x14ac:dyDescent="0.35">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5">
      <c r="B79" s="85" t="s">
        <v>191</v>
      </c>
      <c r="C79" s="86">
        <v>0</v>
      </c>
      <c r="D79" s="86"/>
      <c r="E79" s="86" t="str">
        <f t="shared" si="4"/>
        <v>lvl2</v>
      </c>
      <c r="F79" s="86" t="str">
        <f t="shared" si="5"/>
        <v>h</v>
      </c>
      <c r="G79" s="86" t="str">
        <f t="shared" si="6"/>
        <v>b02.00</v>
      </c>
      <c r="H79" s="86" t="str">
        <f t="shared" si="7"/>
        <v>0550_typ_own_fnds_cnsldtd_lvl</v>
      </c>
      <c r="I79" s="86"/>
    </row>
    <row r="80" spans="2:9" x14ac:dyDescent="0.35">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5">
      <c r="B81" s="85" t="s">
        <v>193</v>
      </c>
      <c r="C81" s="86">
        <v>0</v>
      </c>
      <c r="D81" s="86"/>
      <c r="E81" s="86" t="str">
        <f t="shared" si="4"/>
        <v>lvl2</v>
      </c>
      <c r="F81" s="86" t="str">
        <f t="shared" si="5"/>
        <v>h</v>
      </c>
      <c r="G81" s="86" t="str">
        <f t="shared" si="6"/>
        <v>b02.00</v>
      </c>
      <c r="H81" s="86" t="str">
        <f t="shared" si="7"/>
        <v>0590_typ_scrty_intrst_prvdd</v>
      </c>
      <c r="I81" s="86"/>
    </row>
    <row r="82" spans="2:9" x14ac:dyDescent="0.35">
      <c r="B82" s="85" t="s">
        <v>194</v>
      </c>
      <c r="C82" s="86">
        <v>0</v>
      </c>
      <c r="D82" s="86"/>
      <c r="E82" s="86" t="str">
        <f t="shared" si="4"/>
        <v>lvl2</v>
      </c>
      <c r="F82" s="86" t="str">
        <f t="shared" si="5"/>
        <v>h</v>
      </c>
      <c r="G82" s="86" t="str">
        <f t="shared" si="6"/>
        <v>b02.00</v>
      </c>
      <c r="H82" s="86" t="str">
        <f t="shared" si="7"/>
        <v>0610_crryng_amnt_ifrs</v>
      </c>
      <c r="I82" s="86"/>
    </row>
    <row r="83" spans="2:9" x14ac:dyDescent="0.35">
      <c r="B83" s="85" t="s">
        <v>195</v>
      </c>
      <c r="C83" s="86">
        <v>0</v>
      </c>
      <c r="D83" s="86"/>
      <c r="E83" s="86" t="str">
        <f t="shared" si="4"/>
        <v>lvl2</v>
      </c>
      <c r="F83" s="86" t="str">
        <f t="shared" si="5"/>
        <v>h</v>
      </c>
      <c r="G83" s="86" t="str">
        <f t="shared" si="6"/>
        <v>b02.00</v>
      </c>
      <c r="H83" s="86" t="str">
        <f t="shared" si="7"/>
        <v>0620_blnc_sht_ifrs</v>
      </c>
      <c r="I83" s="86"/>
    </row>
    <row r="84" spans="2:9" x14ac:dyDescent="0.35">
      <c r="B84" s="85" t="s">
        <v>196</v>
      </c>
      <c r="C84" s="86">
        <v>0</v>
      </c>
      <c r="D84" s="86"/>
      <c r="E84" s="86" t="str">
        <f t="shared" si="4"/>
        <v>frmt</v>
      </c>
      <c r="F84" s="86" t="str">
        <f t="shared" si="5"/>
        <v>f</v>
      </c>
      <c r="G84" s="86" t="str">
        <f t="shared" si="6"/>
        <v>b02.00</v>
      </c>
      <c r="H84" s="86" t="str">
        <f t="shared" si="7"/>
        <v>0010_row_nmbr</v>
      </c>
      <c r="I84" s="86"/>
    </row>
    <row r="85" spans="2:9" x14ac:dyDescent="0.35">
      <c r="B85" s="85" t="s">
        <v>197</v>
      </c>
      <c r="C85" s="86">
        <v>0</v>
      </c>
      <c r="D85" s="86"/>
      <c r="E85" s="86" t="str">
        <f t="shared" si="4"/>
        <v>frmt</v>
      </c>
      <c r="F85" s="86" t="str">
        <f t="shared" si="5"/>
        <v>f</v>
      </c>
      <c r="G85" s="86" t="str">
        <f t="shared" si="6"/>
        <v>b02.00</v>
      </c>
      <c r="H85" s="86" t="str">
        <f t="shared" si="7"/>
        <v>0020_uniq_id</v>
      </c>
      <c r="I85" s="86"/>
    </row>
    <row r="86" spans="2:9" x14ac:dyDescent="0.35">
      <c r="B86" s="85" t="s">
        <v>198</v>
      </c>
      <c r="C86" s="86">
        <v>0</v>
      </c>
      <c r="D86" s="86"/>
      <c r="E86" s="86" t="str">
        <f t="shared" si="4"/>
        <v>frmt</v>
      </c>
      <c r="F86" s="86" t="str">
        <f t="shared" si="5"/>
        <v>f</v>
      </c>
      <c r="G86" s="86" t="str">
        <f t="shared" si="6"/>
        <v>b02.00</v>
      </c>
      <c r="H86" s="86" t="str">
        <f t="shared" si="7"/>
        <v>0030_uniq_id_knwn_cntrprty</v>
      </c>
      <c r="I86" s="86"/>
    </row>
    <row r="87" spans="2:9" x14ac:dyDescent="0.35">
      <c r="B87" s="85" t="s">
        <v>199</v>
      </c>
      <c r="C87" s="86">
        <v>0</v>
      </c>
      <c r="D87" s="86"/>
      <c r="E87" s="86" t="str">
        <f t="shared" si="4"/>
        <v>frmt</v>
      </c>
      <c r="F87" s="86" t="str">
        <f t="shared" si="5"/>
        <v>f</v>
      </c>
      <c r="G87" s="86" t="str">
        <f t="shared" si="6"/>
        <v>b02.00</v>
      </c>
      <c r="H87" s="86" t="str">
        <f t="shared" si="7"/>
        <v>0040_typ_uniq_id_knwn_cntrprty</v>
      </c>
      <c r="I87" s="86"/>
    </row>
    <row r="88" spans="2:9" x14ac:dyDescent="0.35">
      <c r="B88" s="85" t="s">
        <v>200</v>
      </c>
      <c r="C88" s="86">
        <v>0</v>
      </c>
      <c r="D88" s="86"/>
      <c r="E88" s="86" t="str">
        <f t="shared" si="4"/>
        <v>frmt</v>
      </c>
      <c r="F88" s="86" t="str">
        <f t="shared" si="5"/>
        <v>f</v>
      </c>
      <c r="G88" s="86" t="str">
        <f t="shared" si="6"/>
        <v>b02.00</v>
      </c>
      <c r="H88" s="86" t="str">
        <f t="shared" si="7"/>
        <v>0050_orgnl_amnt_eur</v>
      </c>
      <c r="I88" s="86"/>
    </row>
    <row r="89" spans="2:9" x14ac:dyDescent="0.35">
      <c r="B89" s="85" t="s">
        <v>201</v>
      </c>
      <c r="C89" s="86">
        <v>0</v>
      </c>
      <c r="D89" s="86"/>
      <c r="E89" s="86" t="str">
        <f t="shared" si="4"/>
        <v>frmt</v>
      </c>
      <c r="F89" s="86" t="str">
        <f t="shared" si="5"/>
        <v>f</v>
      </c>
      <c r="G89" s="86" t="str">
        <f t="shared" si="6"/>
        <v>b02.00</v>
      </c>
      <c r="H89" s="86" t="str">
        <f t="shared" si="7"/>
        <v>0060_orgnl_amnt_fx</v>
      </c>
      <c r="I89" s="86"/>
    </row>
    <row r="90" spans="2:9" x14ac:dyDescent="0.35">
      <c r="B90" s="85" t="s">
        <v>202</v>
      </c>
      <c r="C90" s="86">
        <v>0</v>
      </c>
      <c r="D90" s="86"/>
      <c r="E90" s="86" t="str">
        <f t="shared" si="4"/>
        <v>frmt</v>
      </c>
      <c r="F90" s="86" t="str">
        <f t="shared" si="5"/>
        <v>f</v>
      </c>
      <c r="G90" s="86" t="str">
        <f t="shared" si="6"/>
        <v>b02.00</v>
      </c>
      <c r="H90" s="86" t="str">
        <f t="shared" si="7"/>
        <v>0070_cntrct_crrncy</v>
      </c>
      <c r="I90" s="86"/>
    </row>
    <row r="91" spans="2:9" x14ac:dyDescent="0.35">
      <c r="B91" s="85" t="s">
        <v>203</v>
      </c>
      <c r="C91" s="86">
        <v>0</v>
      </c>
      <c r="D91" s="86"/>
      <c r="E91" s="86" t="str">
        <f t="shared" si="4"/>
        <v>frmt</v>
      </c>
      <c r="F91" s="86" t="str">
        <f t="shared" si="5"/>
        <v>f</v>
      </c>
      <c r="G91" s="86" t="str">
        <f t="shared" si="6"/>
        <v>b02.00</v>
      </c>
      <c r="H91" s="86" t="str">
        <f t="shared" si="7"/>
        <v>0080_otstndng_prncpl_amnt</v>
      </c>
      <c r="I91" s="86"/>
    </row>
    <row r="92" spans="2:9" x14ac:dyDescent="0.35">
      <c r="B92" s="85" t="s">
        <v>204</v>
      </c>
      <c r="C92" s="86">
        <v>0</v>
      </c>
      <c r="D92" s="86"/>
      <c r="E92" s="86" t="str">
        <f t="shared" si="4"/>
        <v>frmt</v>
      </c>
      <c r="F92" s="86" t="str">
        <f t="shared" si="5"/>
        <v>f</v>
      </c>
      <c r="G92" s="86" t="str">
        <f t="shared" si="6"/>
        <v>b02.00</v>
      </c>
      <c r="H92" s="86" t="str">
        <f t="shared" si="7"/>
        <v>0090_prtn_amnt_rprtng_entty</v>
      </c>
      <c r="I92" s="86"/>
    </row>
    <row r="93" spans="2:9" x14ac:dyDescent="0.35">
      <c r="B93" s="85" t="s">
        <v>205</v>
      </c>
      <c r="C93" s="86">
        <v>0</v>
      </c>
      <c r="D93" s="86"/>
      <c r="E93" s="86" t="str">
        <f t="shared" si="4"/>
        <v>frmt</v>
      </c>
      <c r="F93" s="86" t="str">
        <f t="shared" si="5"/>
        <v>f</v>
      </c>
      <c r="G93" s="86" t="str">
        <f t="shared" si="6"/>
        <v>b02.00</v>
      </c>
      <c r="H93" s="86" t="str">
        <f t="shared" si="7"/>
        <v>0100_accrd_intrst_instrmnt</v>
      </c>
      <c r="I93" s="86"/>
    </row>
    <row r="94" spans="2:9" x14ac:dyDescent="0.35">
      <c r="B94" s="85" t="s">
        <v>206</v>
      </c>
      <c r="C94" s="86">
        <v>0</v>
      </c>
      <c r="D94" s="86"/>
      <c r="E94" s="86" t="str">
        <f t="shared" si="4"/>
        <v>frmt</v>
      </c>
      <c r="F94" s="86" t="str">
        <f t="shared" si="5"/>
        <v>f</v>
      </c>
      <c r="G94" s="86" t="str">
        <f t="shared" si="6"/>
        <v>b02.00</v>
      </c>
      <c r="H94" s="86" t="str">
        <f t="shared" si="7"/>
        <v>0110_applcbl_fees_charges</v>
      </c>
      <c r="I94" s="86"/>
    </row>
    <row r="95" spans="2:9" x14ac:dyDescent="0.35">
      <c r="B95" s="85" t="s">
        <v>207</v>
      </c>
      <c r="C95" s="86">
        <v>8</v>
      </c>
      <c r="D95" s="86"/>
      <c r="E95" s="86" t="str">
        <f t="shared" si="4"/>
        <v>frmt</v>
      </c>
      <c r="F95" s="86" t="str">
        <f t="shared" si="5"/>
        <v>f</v>
      </c>
      <c r="G95" s="86" t="str">
        <f t="shared" si="6"/>
        <v>b02.00</v>
      </c>
      <c r="H95" s="86" t="str">
        <f t="shared" si="7"/>
        <v>0120_otstndng_amnt</v>
      </c>
      <c r="I95" s="86"/>
    </row>
    <row r="96" spans="2:9" x14ac:dyDescent="0.35">
      <c r="B96" s="85" t="s">
        <v>208</v>
      </c>
      <c r="C96" s="86">
        <v>8</v>
      </c>
      <c r="D96" s="86"/>
      <c r="E96" s="86" t="str">
        <f t="shared" si="4"/>
        <v>frmt</v>
      </c>
      <c r="F96" s="86" t="str">
        <f t="shared" si="5"/>
        <v>f</v>
      </c>
      <c r="G96" s="86" t="str">
        <f t="shared" si="6"/>
        <v>b02.00</v>
      </c>
      <c r="H96" s="86" t="str">
        <f t="shared" si="7"/>
        <v>0130_rlvnt_amnt_wdc</v>
      </c>
      <c r="I96" s="86"/>
    </row>
    <row r="97" spans="2:9" x14ac:dyDescent="0.35">
      <c r="B97" s="85" t="s">
        <v>209</v>
      </c>
      <c r="C97" s="86">
        <v>4</v>
      </c>
      <c r="D97" s="86"/>
      <c r="E97" s="86" t="str">
        <f t="shared" si="4"/>
        <v>frmt</v>
      </c>
      <c r="F97" s="86" t="str">
        <f t="shared" si="5"/>
        <v>f</v>
      </c>
      <c r="G97" s="86" t="str">
        <f t="shared" si="6"/>
        <v>b02.00</v>
      </c>
      <c r="H97" s="86" t="str">
        <f t="shared" si="7"/>
        <v>0140_ntr_lblty</v>
      </c>
      <c r="I97" s="86"/>
    </row>
    <row r="98" spans="2:9" x14ac:dyDescent="0.35">
      <c r="B98" s="85" t="s">
        <v>210</v>
      </c>
      <c r="C98" s="86">
        <v>8</v>
      </c>
      <c r="D98" s="86"/>
      <c r="E98" s="86" t="str">
        <f t="shared" si="4"/>
        <v>frmt</v>
      </c>
      <c r="F98" s="86" t="str">
        <f t="shared" si="5"/>
        <v>f</v>
      </c>
      <c r="G98" s="86" t="str">
        <f t="shared" si="6"/>
        <v>b02.00</v>
      </c>
      <c r="H98" s="86" t="str">
        <f t="shared" si="7"/>
        <v>0141_ntr_lblty_othr</v>
      </c>
      <c r="I98" s="89" t="s">
        <v>211</v>
      </c>
    </row>
    <row r="99" spans="2:9" x14ac:dyDescent="0.35">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5">
      <c r="B100" s="85" t="s">
        <v>214</v>
      </c>
      <c r="C100" s="86">
        <v>0</v>
      </c>
      <c r="D100" s="86"/>
      <c r="E100" s="86" t="str">
        <f t="shared" si="4"/>
        <v>frmt</v>
      </c>
      <c r="F100" s="86" t="str">
        <f t="shared" si="5"/>
        <v>f</v>
      </c>
      <c r="G100" s="86" t="str">
        <f t="shared" si="6"/>
        <v>b02.00</v>
      </c>
      <c r="H100" s="86" t="str">
        <f t="shared" si="7"/>
        <v>0160_rank_insolv</v>
      </c>
      <c r="I100" s="86"/>
    </row>
    <row r="101" spans="2:9" x14ac:dyDescent="0.35">
      <c r="B101" s="85" t="s">
        <v>215</v>
      </c>
      <c r="C101" s="86">
        <v>0</v>
      </c>
      <c r="D101" s="86"/>
      <c r="E101" s="86" t="str">
        <f t="shared" si="4"/>
        <v>frmt</v>
      </c>
      <c r="F101" s="86" t="str">
        <f t="shared" si="5"/>
        <v>f</v>
      </c>
      <c r="G101" s="86" t="str">
        <f t="shared" si="6"/>
        <v>b02.00</v>
      </c>
      <c r="H101" s="86" t="str">
        <f t="shared" si="7"/>
        <v>0161_cntrctl_sbrdntn</v>
      </c>
      <c r="I101" s="86"/>
    </row>
    <row r="102" spans="2:9" x14ac:dyDescent="0.35">
      <c r="B102" s="85" t="s">
        <v>216</v>
      </c>
      <c r="C102" s="86">
        <v>0</v>
      </c>
      <c r="D102" s="86"/>
      <c r="E102" s="86" t="str">
        <f t="shared" si="4"/>
        <v>frmt</v>
      </c>
      <c r="F102" s="86" t="str">
        <f t="shared" si="5"/>
        <v>f</v>
      </c>
      <c r="G102" s="86" t="str">
        <f t="shared" si="6"/>
        <v>b02.00</v>
      </c>
      <c r="H102" s="86" t="str">
        <f t="shared" si="7"/>
        <v>0162_bail_in_cascade</v>
      </c>
      <c r="I102" s="86"/>
    </row>
    <row r="103" spans="2:9" x14ac:dyDescent="0.35">
      <c r="B103" s="85" t="s">
        <v>217</v>
      </c>
      <c r="C103" s="86">
        <v>0</v>
      </c>
      <c r="D103" s="86"/>
      <c r="E103" s="86" t="str">
        <f t="shared" si="4"/>
        <v>frmt</v>
      </c>
      <c r="F103" s="86" t="str">
        <f t="shared" si="5"/>
        <v>f</v>
      </c>
      <c r="G103" s="86" t="str">
        <f t="shared" si="6"/>
        <v>b02.00</v>
      </c>
      <c r="H103" s="86" t="str">
        <f t="shared" si="7"/>
        <v>0170_dt_incptn</v>
      </c>
      <c r="I103" s="86"/>
    </row>
    <row r="104" spans="2:9" x14ac:dyDescent="0.35">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5">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5">
      <c r="B106" s="85" t="s">
        <v>220</v>
      </c>
      <c r="C106" s="86">
        <v>0</v>
      </c>
      <c r="D106" s="86"/>
      <c r="E106" s="86" t="str">
        <f t="shared" si="4"/>
        <v>frmt</v>
      </c>
      <c r="F106" s="86" t="str">
        <f t="shared" si="5"/>
        <v>f</v>
      </c>
      <c r="G106" s="86" t="str">
        <f t="shared" si="6"/>
        <v>b02.00</v>
      </c>
      <c r="H106" s="86" t="str">
        <f t="shared" si="7"/>
        <v>0200_dt_erlst_rdmptn</v>
      </c>
      <c r="I106" s="86"/>
    </row>
    <row r="107" spans="2:9" x14ac:dyDescent="0.35">
      <c r="B107" s="85" t="s">
        <v>221</v>
      </c>
      <c r="C107" s="86">
        <v>0</v>
      </c>
      <c r="D107" s="86"/>
      <c r="E107" s="86" t="str">
        <f t="shared" si="4"/>
        <v>frmt</v>
      </c>
      <c r="F107" s="86" t="str">
        <f t="shared" si="5"/>
        <v>f</v>
      </c>
      <c r="G107" s="86" t="str">
        <f t="shared" si="6"/>
        <v>b02.00</v>
      </c>
      <c r="H107" s="86" t="str">
        <f t="shared" si="7"/>
        <v>0210_dt_lgl_fnl_mtrty</v>
      </c>
      <c r="I107" s="86"/>
    </row>
    <row r="108" spans="2:9" x14ac:dyDescent="0.35">
      <c r="B108" s="85" t="s">
        <v>222</v>
      </c>
      <c r="C108" s="86">
        <v>0</v>
      </c>
      <c r="D108" s="86"/>
      <c r="E108" s="86" t="str">
        <f t="shared" si="4"/>
        <v>frmt</v>
      </c>
      <c r="F108" s="86" t="str">
        <f t="shared" si="5"/>
        <v>f</v>
      </c>
      <c r="G108" s="86" t="str">
        <f t="shared" si="6"/>
        <v>b02.00</v>
      </c>
      <c r="H108" s="86" t="str">
        <f t="shared" si="7"/>
        <v>0220_governing_law</v>
      </c>
      <c r="I108" s="86"/>
    </row>
    <row r="109" spans="2:9" x14ac:dyDescent="0.35">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5">
      <c r="B110" s="85" t="s">
        <v>224</v>
      </c>
      <c r="C110" s="86">
        <v>0</v>
      </c>
      <c r="D110" s="86"/>
      <c r="E110" s="86" t="str">
        <f t="shared" si="4"/>
        <v>frmt</v>
      </c>
      <c r="F110" s="86" t="str">
        <f t="shared" si="5"/>
        <v>f</v>
      </c>
      <c r="G110" s="86" t="str">
        <f t="shared" si="6"/>
        <v>b02.00</v>
      </c>
      <c r="H110" s="86" t="str">
        <f t="shared" si="7"/>
        <v>0240_zero_coupon</v>
      </c>
      <c r="I110" s="86"/>
    </row>
    <row r="111" spans="2:9" x14ac:dyDescent="0.35">
      <c r="B111" s="85" t="s">
        <v>225</v>
      </c>
      <c r="C111" s="86">
        <v>0</v>
      </c>
      <c r="D111" s="86"/>
      <c r="E111" s="86" t="str">
        <f t="shared" si="4"/>
        <v>frmt</v>
      </c>
      <c r="F111" s="86" t="str">
        <f t="shared" si="5"/>
        <v>f</v>
      </c>
      <c r="G111" s="86" t="str">
        <f t="shared" si="6"/>
        <v>b02.00</v>
      </c>
      <c r="H111" s="86" t="str">
        <f t="shared" si="7"/>
        <v>0250_strctrd_prdct</v>
      </c>
      <c r="I111" s="86"/>
    </row>
    <row r="112" spans="2:9" x14ac:dyDescent="0.35">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5">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5">
      <c r="B114" s="85" t="s">
        <v>228</v>
      </c>
      <c r="C114" s="86">
        <v>0</v>
      </c>
      <c r="D114" s="86"/>
      <c r="E114" s="86" t="str">
        <f t="shared" si="4"/>
        <v>frmt</v>
      </c>
      <c r="F114" s="86" t="str">
        <f t="shared" si="5"/>
        <v>f</v>
      </c>
      <c r="G114" s="86" t="str">
        <f t="shared" si="6"/>
        <v>b02.00</v>
      </c>
      <c r="H114" s="86" t="str">
        <f t="shared" si="7"/>
        <v>0280_flg_ncnp_dpsts</v>
      </c>
      <c r="I114" s="86"/>
    </row>
    <row r="115" spans="2:9" x14ac:dyDescent="0.35">
      <c r="B115" s="85" t="s">
        <v>229</v>
      </c>
      <c r="C115" s="86">
        <v>0</v>
      </c>
      <c r="D115" s="86"/>
      <c r="E115" s="86" t="str">
        <f t="shared" si="4"/>
        <v>frmt</v>
      </c>
      <c r="F115" s="86" t="str">
        <f t="shared" si="5"/>
        <v>f</v>
      </c>
      <c r="G115" s="86" t="str">
        <f t="shared" si="6"/>
        <v>b02.00</v>
      </c>
      <c r="H115" s="86" t="str">
        <f t="shared" si="7"/>
        <v>0290_flg_ncbp_dpsts</v>
      </c>
      <c r="I115" s="86"/>
    </row>
    <row r="116" spans="2:9" x14ac:dyDescent="0.35">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5">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5">
      <c r="B118" s="85" t="s">
        <v>232</v>
      </c>
      <c r="C118" s="86">
        <v>0</v>
      </c>
      <c r="D118" s="86"/>
      <c r="E118" s="86" t="str">
        <f t="shared" si="4"/>
        <v>frmt</v>
      </c>
      <c r="F118" s="86" t="str">
        <f t="shared" si="5"/>
        <v>f</v>
      </c>
      <c r="G118" s="86" t="str">
        <f t="shared" si="6"/>
        <v>b02.00</v>
      </c>
      <c r="H118" s="86" t="str">
        <f t="shared" si="7"/>
        <v>0320_amnt_clltrl</v>
      </c>
      <c r="I118" s="86"/>
    </row>
    <row r="119" spans="2:9" x14ac:dyDescent="0.35">
      <c r="B119" s="85" t="s">
        <v>233</v>
      </c>
      <c r="C119" s="86">
        <v>0</v>
      </c>
      <c r="D119" s="86"/>
      <c r="E119" s="86" t="str">
        <f t="shared" si="4"/>
        <v>frmt</v>
      </c>
      <c r="F119" s="86" t="str">
        <f t="shared" si="5"/>
        <v>f</v>
      </c>
      <c r="G119" s="86" t="str">
        <f t="shared" si="6"/>
        <v>b02.00</v>
      </c>
      <c r="H119" s="86" t="str">
        <f t="shared" si="7"/>
        <v>0330_amnt_unclltrlzd</v>
      </c>
      <c r="I119" s="86"/>
    </row>
    <row r="120" spans="2:9" x14ac:dyDescent="0.35">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5">
      <c r="B121" s="85" t="s">
        <v>235</v>
      </c>
      <c r="C121" s="86">
        <v>0</v>
      </c>
      <c r="D121" s="86"/>
      <c r="E121" s="86" t="str">
        <f t="shared" si="4"/>
        <v>frmt</v>
      </c>
      <c r="F121" s="86" t="str">
        <f t="shared" si="5"/>
        <v>f</v>
      </c>
      <c r="G121" s="86" t="str">
        <f t="shared" si="6"/>
        <v>b02.00</v>
      </c>
      <c r="H121" s="86" t="str">
        <f t="shared" si="7"/>
        <v>0350_typ_clltrl</v>
      </c>
      <c r="I121" s="86"/>
    </row>
    <row r="122" spans="2:9" x14ac:dyDescent="0.35">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5">
      <c r="B123" s="85" t="s">
        <v>237</v>
      </c>
      <c r="C123" s="86">
        <v>0</v>
      </c>
      <c r="D123" s="86"/>
      <c r="E123" s="86" t="str">
        <f t="shared" si="4"/>
        <v>frmt</v>
      </c>
      <c r="F123" s="86" t="str">
        <f t="shared" si="5"/>
        <v>f</v>
      </c>
      <c r="G123" s="86" t="str">
        <f t="shared" si="6"/>
        <v>b02.00</v>
      </c>
      <c r="H123" s="86" t="str">
        <f t="shared" si="7"/>
        <v>0360_trdng_mthd</v>
      </c>
      <c r="I123" s="86"/>
    </row>
    <row r="124" spans="2:9" x14ac:dyDescent="0.35">
      <c r="B124" s="85" t="s">
        <v>238</v>
      </c>
      <c r="C124" s="86">
        <v>0</v>
      </c>
      <c r="D124" s="86"/>
      <c r="E124" s="86" t="str">
        <f t="shared" si="4"/>
        <v>frmt</v>
      </c>
      <c r="F124" s="86" t="str">
        <f t="shared" si="5"/>
        <v>f</v>
      </c>
      <c r="G124" s="86" t="str">
        <f t="shared" si="6"/>
        <v>b02.00</v>
      </c>
      <c r="H124" s="86" t="str">
        <f t="shared" si="7"/>
        <v>0370_amnt_scrty_eur</v>
      </c>
      <c r="I124" s="86"/>
    </row>
    <row r="125" spans="2:9" x14ac:dyDescent="0.35">
      <c r="B125" s="85" t="s">
        <v>239</v>
      </c>
      <c r="C125" s="86">
        <v>0</v>
      </c>
      <c r="D125" s="86"/>
      <c r="E125" s="86" t="str">
        <f t="shared" si="4"/>
        <v>frmt</v>
      </c>
      <c r="F125" s="86" t="str">
        <f t="shared" si="5"/>
        <v>f</v>
      </c>
      <c r="G125" s="86" t="str">
        <f t="shared" si="6"/>
        <v>b02.00</v>
      </c>
      <c r="H125" s="86" t="str">
        <f t="shared" si="7"/>
        <v>0380_amnt_scrty_fx</v>
      </c>
      <c r="I125" s="86"/>
    </row>
    <row r="126" spans="2:9" x14ac:dyDescent="0.35">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5">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5">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5">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5">
      <c r="B130" s="85" t="s">
        <v>244</v>
      </c>
      <c r="C130" s="86">
        <v>0</v>
      </c>
      <c r="D130" s="86"/>
      <c r="E130" s="86" t="str">
        <f t="shared" si="4"/>
        <v>frmt</v>
      </c>
      <c r="F130" s="86" t="str">
        <f t="shared" si="5"/>
        <v>f</v>
      </c>
      <c r="G130" s="86" t="str">
        <f t="shared" si="6"/>
        <v>b02.00</v>
      </c>
      <c r="H130" s="86" t="str">
        <f t="shared" si="7"/>
        <v>0420_fv_amnt_scrty</v>
      </c>
      <c r="I130" s="86"/>
    </row>
    <row r="131" spans="2:9" x14ac:dyDescent="0.35">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5">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5">
      <c r="B133" s="85" t="s">
        <v>247</v>
      </c>
      <c r="C133" s="86">
        <v>0</v>
      </c>
      <c r="D133" s="86"/>
      <c r="E133" s="86" t="str">
        <f t="shared" si="4"/>
        <v>frmt</v>
      </c>
      <c r="F133" s="86" t="str">
        <f t="shared" si="5"/>
        <v>f</v>
      </c>
      <c r="G133" s="86" t="str">
        <f t="shared" si="6"/>
        <v>b02.00</v>
      </c>
      <c r="H133" s="86" t="str">
        <f t="shared" si="7"/>
        <v>0440_ntr_glbl_nt</v>
      </c>
      <c r="I133" s="86"/>
    </row>
    <row r="134" spans="2:9" x14ac:dyDescent="0.35">
      <c r="B134" s="85" t="s">
        <v>248</v>
      </c>
      <c r="C134" s="86">
        <v>0</v>
      </c>
      <c r="D134" s="86"/>
      <c r="E134" s="86" t="str">
        <f t="shared" si="4"/>
        <v>frmt</v>
      </c>
      <c r="F134" s="86" t="str">
        <f t="shared" si="5"/>
        <v>f</v>
      </c>
      <c r="G134" s="86" t="str">
        <f t="shared" si="6"/>
        <v>b02.00</v>
      </c>
      <c r="H134" s="86" t="str">
        <f t="shared" si="7"/>
        <v>0450_crrnt_pool_fctr</v>
      </c>
      <c r="I134" s="86"/>
    </row>
    <row r="135" spans="2:9" x14ac:dyDescent="0.35">
      <c r="B135" s="85" t="s">
        <v>249</v>
      </c>
      <c r="C135" s="86">
        <v>0</v>
      </c>
      <c r="D135" s="86"/>
      <c r="E135" s="86" t="str">
        <f t="shared" si="4"/>
        <v>frmt</v>
      </c>
      <c r="F135" s="86" t="str">
        <f t="shared" si="5"/>
        <v>f</v>
      </c>
      <c r="G135" s="86" t="str">
        <f t="shared" si="6"/>
        <v>b02.00</v>
      </c>
      <c r="H135" s="86" t="str">
        <f t="shared" si="7"/>
        <v>0460_csd</v>
      </c>
      <c r="I135" s="86"/>
    </row>
    <row r="136" spans="2:9" x14ac:dyDescent="0.35">
      <c r="B136" s="85" t="s">
        <v>250</v>
      </c>
      <c r="C136" s="86">
        <v>0</v>
      </c>
      <c r="D136" s="86"/>
      <c r="E136" s="86" t="str">
        <f t="shared" si="4"/>
        <v>frmt</v>
      </c>
      <c r="F136" s="86" t="str">
        <f t="shared" si="5"/>
        <v>f</v>
      </c>
      <c r="G136" s="86" t="str">
        <f t="shared" si="6"/>
        <v>b02.00</v>
      </c>
      <c r="H136" s="86" t="str">
        <f t="shared" si="7"/>
        <v>0461_csd_lei</v>
      </c>
      <c r="I136" s="86"/>
    </row>
    <row r="137" spans="2:9" x14ac:dyDescent="0.35">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5">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5">
      <c r="B139" s="85" t="s">
        <v>254</v>
      </c>
      <c r="C139" s="86">
        <v>0</v>
      </c>
      <c r="D139" s="86"/>
      <c r="E139" s="86" t="str">
        <f t="shared" si="8"/>
        <v>frmt</v>
      </c>
      <c r="F139" s="86" t="str">
        <f t="shared" si="9"/>
        <v>f</v>
      </c>
      <c r="G139" s="86" t="str">
        <f t="shared" si="10"/>
        <v>b02.00</v>
      </c>
      <c r="H139" s="86" t="str">
        <f t="shared" si="11"/>
        <v>0471_pyng_agnt_lei</v>
      </c>
      <c r="I139" s="86"/>
    </row>
    <row r="140" spans="2:9" x14ac:dyDescent="0.35">
      <c r="B140" s="85" t="s">
        <v>255</v>
      </c>
      <c r="C140" s="86">
        <v>0</v>
      </c>
      <c r="D140" s="86"/>
      <c r="E140" s="86" t="str">
        <f t="shared" si="8"/>
        <v>frmt</v>
      </c>
      <c r="F140" s="86" t="str">
        <f t="shared" si="9"/>
        <v>f</v>
      </c>
      <c r="G140" s="86" t="str">
        <f t="shared" si="10"/>
        <v>b02.00</v>
      </c>
      <c r="H140" s="86" t="str">
        <f t="shared" si="11"/>
        <v>0480_trdng_vn</v>
      </c>
      <c r="I140" s="86"/>
    </row>
    <row r="141" spans="2:9" x14ac:dyDescent="0.35">
      <c r="B141" s="85" t="s">
        <v>256</v>
      </c>
      <c r="C141" s="86">
        <v>0</v>
      </c>
      <c r="D141" s="86"/>
      <c r="E141" s="86" t="str">
        <f t="shared" si="8"/>
        <v>frmt</v>
      </c>
      <c r="F141" s="86" t="str">
        <f t="shared" si="9"/>
        <v>f</v>
      </c>
      <c r="G141" s="86" t="str">
        <f t="shared" si="10"/>
        <v>b02.00</v>
      </c>
      <c r="H141" s="86" t="str">
        <f t="shared" si="11"/>
        <v>0481_trdng_vn_lei</v>
      </c>
      <c r="I141" s="86"/>
    </row>
    <row r="142" spans="2:9" x14ac:dyDescent="0.35">
      <c r="B142" s="85" t="s">
        <v>257</v>
      </c>
      <c r="C142" s="86">
        <v>0</v>
      </c>
      <c r="D142" s="86"/>
      <c r="E142" s="86" t="str">
        <f t="shared" si="8"/>
        <v>frmt</v>
      </c>
      <c r="F142" s="86" t="str">
        <f t="shared" si="9"/>
        <v>f</v>
      </c>
      <c r="G142" s="86" t="str">
        <f t="shared" si="10"/>
        <v>b02.00</v>
      </c>
      <c r="H142" s="86" t="str">
        <f t="shared" si="11"/>
        <v>0490_rgstrr</v>
      </c>
      <c r="I142" s="86"/>
    </row>
    <row r="143" spans="2:9" x14ac:dyDescent="0.35">
      <c r="B143" s="85" t="s">
        <v>258</v>
      </c>
      <c r="C143" s="86">
        <v>0</v>
      </c>
      <c r="D143" s="86"/>
      <c r="E143" s="86" t="str">
        <f t="shared" si="8"/>
        <v>frmt</v>
      </c>
      <c r="F143" s="86" t="str">
        <f t="shared" si="9"/>
        <v>f</v>
      </c>
      <c r="G143" s="86" t="str">
        <f t="shared" si="10"/>
        <v>b02.00</v>
      </c>
      <c r="H143" s="86" t="str">
        <f t="shared" si="11"/>
        <v>0491_rgstrr_lei</v>
      </c>
      <c r="I143" s="86"/>
    </row>
    <row r="144" spans="2:9" x14ac:dyDescent="0.35">
      <c r="B144" s="85" t="s">
        <v>259</v>
      </c>
      <c r="C144" s="86">
        <v>0</v>
      </c>
      <c r="D144" s="86"/>
      <c r="E144" s="86" t="str">
        <f t="shared" si="8"/>
        <v>frmt</v>
      </c>
      <c r="F144" s="86" t="str">
        <f t="shared" si="9"/>
        <v>f</v>
      </c>
      <c r="G144" s="86" t="str">
        <f t="shared" si="10"/>
        <v>b02.00</v>
      </c>
      <c r="H144" s="86" t="str">
        <f t="shared" si="11"/>
        <v>0500_nna</v>
      </c>
      <c r="I144" s="86"/>
    </row>
    <row r="145" spans="2:9" x14ac:dyDescent="0.35">
      <c r="B145" s="85" t="s">
        <v>260</v>
      </c>
      <c r="C145" s="86">
        <v>0</v>
      </c>
      <c r="D145" s="86"/>
      <c r="E145" s="86" t="str">
        <f t="shared" si="8"/>
        <v>frmt</v>
      </c>
      <c r="F145" s="86" t="str">
        <f t="shared" si="9"/>
        <v>f</v>
      </c>
      <c r="G145" s="86" t="str">
        <f t="shared" si="10"/>
        <v>b02.00</v>
      </c>
      <c r="H145" s="86" t="str">
        <f t="shared" si="11"/>
        <v>0501_nna_lei</v>
      </c>
      <c r="I145" s="86"/>
    </row>
    <row r="146" spans="2:9" x14ac:dyDescent="0.35">
      <c r="B146" s="85" t="s">
        <v>261</v>
      </c>
      <c r="C146" s="86">
        <v>0</v>
      </c>
      <c r="D146" s="86"/>
      <c r="E146" s="86" t="str">
        <f t="shared" si="8"/>
        <v>frmt</v>
      </c>
      <c r="F146" s="86" t="str">
        <f t="shared" si="9"/>
        <v>f</v>
      </c>
      <c r="G146" s="86" t="str">
        <f t="shared" si="10"/>
        <v>b02.00</v>
      </c>
      <c r="H146" s="86" t="str">
        <f t="shared" si="11"/>
        <v>0510_cmmn_dpstry</v>
      </c>
      <c r="I146" s="86"/>
    </row>
    <row r="147" spans="2:9" x14ac:dyDescent="0.35">
      <c r="B147" s="85" t="s">
        <v>262</v>
      </c>
      <c r="C147" s="86">
        <v>0</v>
      </c>
      <c r="D147" s="86"/>
      <c r="E147" s="86" t="str">
        <f t="shared" si="8"/>
        <v>frmt</v>
      </c>
      <c r="F147" s="86" t="str">
        <f t="shared" si="9"/>
        <v>f</v>
      </c>
      <c r="G147" s="86" t="str">
        <f t="shared" si="10"/>
        <v>b02.00</v>
      </c>
      <c r="H147" s="86" t="str">
        <f t="shared" si="11"/>
        <v>0511_cmmn_dpstry_lei</v>
      </c>
      <c r="I147" s="86"/>
    </row>
    <row r="148" spans="2:9" x14ac:dyDescent="0.35">
      <c r="B148" s="85" t="s">
        <v>263</v>
      </c>
      <c r="C148" s="86">
        <v>0</v>
      </c>
      <c r="D148" s="86"/>
      <c r="E148" s="86" t="str">
        <f t="shared" si="8"/>
        <v>frmt</v>
      </c>
      <c r="F148" s="86" t="str">
        <f t="shared" si="9"/>
        <v>f</v>
      </c>
      <c r="G148" s="86" t="str">
        <f t="shared" si="10"/>
        <v>b02.00</v>
      </c>
      <c r="H148" s="86" t="str">
        <f t="shared" si="11"/>
        <v>0520_cmmn_srvc_prvdr</v>
      </c>
      <c r="I148" s="86"/>
    </row>
    <row r="149" spans="2:9" x14ac:dyDescent="0.35">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5">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5">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5">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5">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5">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5">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5">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5">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5">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5">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5">
      <c r="B160" s="85" t="s">
        <v>275</v>
      </c>
      <c r="C160" s="86">
        <v>0</v>
      </c>
      <c r="D160" s="86"/>
      <c r="E160" s="86" t="str">
        <f t="shared" si="8"/>
        <v>frmt</v>
      </c>
      <c r="F160" s="86" t="str">
        <f t="shared" si="9"/>
        <v>f</v>
      </c>
      <c r="G160" s="86" t="str">
        <f t="shared" si="10"/>
        <v>b02.00</v>
      </c>
      <c r="H160" s="86" t="str">
        <f t="shared" si="11"/>
        <v>0620_blnc_sht_ifrs</v>
      </c>
      <c r="I160" s="86"/>
    </row>
    <row r="161" spans="2:9" x14ac:dyDescent="0.35">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5">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5">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5">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5">
      <c r="B165" s="85" t="s">
        <v>281</v>
      </c>
      <c r="C165" s="86">
        <v>0</v>
      </c>
      <c r="D165" s="86"/>
      <c r="E165" s="86" t="str">
        <f t="shared" si="8"/>
        <v>lvl2</v>
      </c>
      <c r="F165" s="86" t="str">
        <f t="shared" si="9"/>
        <v>h</v>
      </c>
      <c r="G165" s="86" t="str">
        <f t="shared" si="10"/>
        <v>b05.00</v>
      </c>
      <c r="H165" s="86" t="str">
        <f t="shared" si="11"/>
        <v>0030_governing_law</v>
      </c>
      <c r="I165" s="86"/>
    </row>
    <row r="166" spans="2:9" x14ac:dyDescent="0.35">
      <c r="B166" s="85" t="s">
        <v>282</v>
      </c>
      <c r="C166" s="86">
        <v>0</v>
      </c>
      <c r="D166" s="86"/>
      <c r="E166" s="86" t="str">
        <f t="shared" si="8"/>
        <v>lvl2</v>
      </c>
      <c r="F166" s="86" t="str">
        <f t="shared" si="9"/>
        <v>h</v>
      </c>
      <c r="G166" s="86" t="str">
        <f t="shared" si="10"/>
        <v>b05.00</v>
      </c>
      <c r="H166" s="86" t="str">
        <f t="shared" si="11"/>
        <v>0050_typ_guarantee</v>
      </c>
      <c r="I166" s="86"/>
    </row>
    <row r="167" spans="2:9" x14ac:dyDescent="0.35">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5">
      <c r="B168" s="85" t="s">
        <v>284</v>
      </c>
      <c r="C168" s="86">
        <v>4730</v>
      </c>
      <c r="D168" s="86"/>
      <c r="E168" s="86" t="str">
        <f t="shared" si="8"/>
        <v>lvl2</v>
      </c>
      <c r="F168" s="86" t="str">
        <f t="shared" si="9"/>
        <v>h</v>
      </c>
      <c r="G168" s="86" t="str">
        <f t="shared" si="10"/>
        <v>b05.00</v>
      </c>
      <c r="H168" s="86" t="str">
        <f t="shared" si="11"/>
        <v>0070_flg_scrd</v>
      </c>
      <c r="I168" s="86"/>
    </row>
    <row r="169" spans="2:9" x14ac:dyDescent="0.35">
      <c r="B169" s="85" t="s">
        <v>285</v>
      </c>
      <c r="C169" s="86">
        <v>0</v>
      </c>
      <c r="D169" s="86"/>
      <c r="E169" s="86" t="str">
        <f t="shared" si="8"/>
        <v>lvl2</v>
      </c>
      <c r="F169" s="86" t="str">
        <f t="shared" si="9"/>
        <v>h</v>
      </c>
      <c r="G169" s="86" t="str">
        <f t="shared" si="10"/>
        <v>b05.00</v>
      </c>
      <c r="H169" s="86" t="str">
        <f t="shared" si="11"/>
        <v>0080_amnt_clltrl</v>
      </c>
      <c r="I169" s="86"/>
    </row>
    <row r="170" spans="2:9" x14ac:dyDescent="0.35">
      <c r="B170" s="85" t="s">
        <v>286</v>
      </c>
      <c r="C170" s="86">
        <v>0</v>
      </c>
      <c r="D170" s="86"/>
      <c r="E170" s="86" t="str">
        <f t="shared" si="8"/>
        <v>frmt</v>
      </c>
      <c r="F170" s="86" t="str">
        <f t="shared" si="9"/>
        <v>f</v>
      </c>
      <c r="G170" s="86" t="str">
        <f t="shared" si="10"/>
        <v>b05.00</v>
      </c>
      <c r="H170" s="86" t="str">
        <f t="shared" si="11"/>
        <v>0010_row_nmbr</v>
      </c>
      <c r="I170" s="86"/>
    </row>
    <row r="171" spans="2:9" x14ac:dyDescent="0.35">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5">
      <c r="B172" s="85" t="s">
        <v>288</v>
      </c>
      <c r="C172" s="86">
        <v>0</v>
      </c>
      <c r="D172" s="86"/>
      <c r="E172" s="86" t="str">
        <f t="shared" si="8"/>
        <v>frmt</v>
      </c>
      <c r="F172" s="86" t="str">
        <f t="shared" si="9"/>
        <v>f</v>
      </c>
      <c r="G172" s="86" t="str">
        <f t="shared" si="10"/>
        <v>b05.00</v>
      </c>
      <c r="H172" s="86" t="str">
        <f t="shared" si="11"/>
        <v>0030_governing_law</v>
      </c>
      <c r="I172" s="86"/>
    </row>
    <row r="173" spans="2:9" x14ac:dyDescent="0.35">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5">
      <c r="B174" s="85" t="s">
        <v>290</v>
      </c>
      <c r="C174" s="86">
        <v>0</v>
      </c>
      <c r="D174" s="86"/>
      <c r="E174" s="86" t="str">
        <f t="shared" si="8"/>
        <v>frmt</v>
      </c>
      <c r="F174" s="86" t="str">
        <f t="shared" si="9"/>
        <v>f</v>
      </c>
      <c r="G174" s="86" t="str">
        <f t="shared" si="10"/>
        <v>b05.00</v>
      </c>
      <c r="H174" s="86" t="str">
        <f t="shared" si="11"/>
        <v>0050_typ_guarantee</v>
      </c>
      <c r="I174" s="86"/>
    </row>
    <row r="175" spans="2:9" x14ac:dyDescent="0.35">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5">
      <c r="B176" s="85" t="s">
        <v>292</v>
      </c>
      <c r="C176" s="86">
        <v>0</v>
      </c>
      <c r="D176" s="86"/>
      <c r="E176" s="86" t="str">
        <f t="shared" si="8"/>
        <v>frmt</v>
      </c>
      <c r="F176" s="86" t="str">
        <f t="shared" si="9"/>
        <v>f</v>
      </c>
      <c r="G176" s="86" t="str">
        <f t="shared" si="10"/>
        <v>b05.00</v>
      </c>
      <c r="H176" s="86" t="str">
        <f t="shared" si="11"/>
        <v>0070_flg_scrd</v>
      </c>
      <c r="I176" s="86"/>
    </row>
    <row r="177" spans="2:9" x14ac:dyDescent="0.35">
      <c r="B177" s="85" t="s">
        <v>293</v>
      </c>
      <c r="C177" s="86">
        <v>0</v>
      </c>
      <c r="D177" s="86"/>
      <c r="E177" s="86" t="str">
        <f t="shared" si="8"/>
        <v>frmt</v>
      </c>
      <c r="F177" s="86" t="str">
        <f t="shared" si="9"/>
        <v>f</v>
      </c>
      <c r="G177" s="86" t="str">
        <f t="shared" si="10"/>
        <v>b05.00</v>
      </c>
      <c r="H177" s="86" t="str">
        <f t="shared" si="11"/>
        <v>0080_amnt_clltrl</v>
      </c>
      <c r="I177" s="86"/>
    </row>
    <row r="178" spans="2:9" x14ac:dyDescent="0.35">
      <c r="B178" s="85" t="s">
        <v>294</v>
      </c>
      <c r="C178" s="86">
        <v>0</v>
      </c>
      <c r="D178" s="86"/>
      <c r="E178" s="86" t="str">
        <f t="shared" si="8"/>
        <v>frmt</v>
      </c>
      <c r="F178" s="86" t="str">
        <f t="shared" si="9"/>
        <v>f</v>
      </c>
      <c r="G178" s="86" t="str">
        <f t="shared" si="10"/>
        <v>b05.00</v>
      </c>
      <c r="H178" s="86" t="str">
        <f t="shared" si="11"/>
        <v>0090_guarantee_trggr</v>
      </c>
      <c r="I178" s="86"/>
    </row>
    <row r="179" spans="2:9" x14ac:dyDescent="0.35">
      <c r="B179" s="85" t="s">
        <v>295</v>
      </c>
      <c r="C179" s="86">
        <v>0</v>
      </c>
      <c r="D179" s="86"/>
      <c r="E179" s="86" t="str">
        <f t="shared" si="8"/>
        <v>frmt</v>
      </c>
      <c r="F179" s="86" t="str">
        <f t="shared" si="9"/>
        <v>f</v>
      </c>
      <c r="G179" s="86" t="str">
        <f t="shared" si="10"/>
        <v>b05.00</v>
      </c>
      <c r="H179" s="86" t="str">
        <f t="shared" si="11"/>
        <v>0100_dt_mtrty_clltrl</v>
      </c>
      <c r="I179" s="86"/>
    </row>
    <row r="180" spans="2:9" x14ac:dyDescent="0.35">
      <c r="B180" s="85" t="s">
        <v>296</v>
      </c>
      <c r="C180" s="86">
        <v>0</v>
      </c>
      <c r="D180" s="86"/>
      <c r="E180" s="86" t="str">
        <f t="shared" si="8"/>
        <v>frmt</v>
      </c>
      <c r="F180" s="86" t="str">
        <f t="shared" si="9"/>
        <v>f</v>
      </c>
      <c r="G180" s="86" t="str">
        <f t="shared" si="10"/>
        <v>b05.00</v>
      </c>
      <c r="H180" s="86" t="str">
        <f t="shared" si="11"/>
        <v>0110_scrts_clltrl_id</v>
      </c>
      <c r="I180" s="86"/>
    </row>
    <row r="181" spans="2:9" x14ac:dyDescent="0.35">
      <c r="B181" s="85" t="s">
        <v>297</v>
      </c>
      <c r="C181" s="86">
        <v>0</v>
      </c>
      <c r="D181" s="86"/>
      <c r="E181" s="86" t="str">
        <f t="shared" si="8"/>
        <v>frmt</v>
      </c>
      <c r="F181" s="86" t="str">
        <f t="shared" si="9"/>
        <v>f</v>
      </c>
      <c r="G181" s="86" t="str">
        <f t="shared" si="10"/>
        <v>b05.00</v>
      </c>
      <c r="H181" s="86" t="str">
        <f t="shared" si="11"/>
        <v>0120_typ_clltrlztn</v>
      </c>
      <c r="I181" s="86"/>
    </row>
    <row r="182" spans="2:9" x14ac:dyDescent="0.35">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5">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5">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5">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5">
      <c r="B186" s="85" t="s">
        <v>303</v>
      </c>
      <c r="C186" s="86">
        <v>0</v>
      </c>
      <c r="D186" s="86"/>
      <c r="E186" s="86" t="str">
        <f t="shared" si="8"/>
        <v>lvl2</v>
      </c>
      <c r="F186" s="86" t="str">
        <f t="shared" si="9"/>
        <v>h</v>
      </c>
      <c r="G186" s="86" t="str">
        <f t="shared" si="10"/>
        <v>b90.00</v>
      </c>
      <c r="H186" s="86" t="str">
        <f t="shared" si="11"/>
        <v>0080_cntrprty_typ</v>
      </c>
      <c r="I186" s="86"/>
    </row>
    <row r="187" spans="2:9" x14ac:dyDescent="0.35">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5">
      <c r="B188" s="85" t="s">
        <v>306</v>
      </c>
      <c r="C188" s="86">
        <v>0</v>
      </c>
      <c r="D188" s="86"/>
      <c r="E188" s="86" t="str">
        <f t="shared" si="8"/>
        <v>frmt</v>
      </c>
      <c r="F188" s="86" t="str">
        <f t="shared" si="9"/>
        <v>f</v>
      </c>
      <c r="G188" s="86" t="str">
        <f t="shared" si="10"/>
        <v>b90.00</v>
      </c>
      <c r="H188" s="86" t="str">
        <f t="shared" si="11"/>
        <v>0010_row_nmbr</v>
      </c>
      <c r="I188" s="86"/>
    </row>
    <row r="189" spans="2:9" x14ac:dyDescent="0.35">
      <c r="B189" s="85" t="s">
        <v>307</v>
      </c>
      <c r="C189" s="86">
        <v>0</v>
      </c>
      <c r="D189" s="86"/>
      <c r="E189" s="86" t="str">
        <f t="shared" si="8"/>
        <v>frmt</v>
      </c>
      <c r="F189" s="86" t="str">
        <f t="shared" si="9"/>
        <v>f</v>
      </c>
      <c r="G189" s="86" t="str">
        <f t="shared" si="10"/>
        <v>b90.00</v>
      </c>
      <c r="H189" s="86" t="str">
        <f t="shared" si="11"/>
        <v>0011_tab_origin</v>
      </c>
      <c r="I189" s="86"/>
    </row>
    <row r="190" spans="2:9" x14ac:dyDescent="0.35">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5">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5">
      <c r="B192" s="85" t="s">
        <v>310</v>
      </c>
      <c r="C192" s="86">
        <v>0</v>
      </c>
      <c r="D192" s="86"/>
      <c r="E192" s="86" t="str">
        <f t="shared" si="8"/>
        <v>frmt</v>
      </c>
      <c r="F192" s="86" t="str">
        <f t="shared" si="9"/>
        <v>f</v>
      </c>
      <c r="G192" s="86" t="str">
        <f t="shared" si="10"/>
        <v>b90.00</v>
      </c>
      <c r="H192" s="86" t="str">
        <f t="shared" si="11"/>
        <v>0040_cntrprty_nm</v>
      </c>
      <c r="I192" s="86"/>
    </row>
    <row r="193" spans="2:9" x14ac:dyDescent="0.35">
      <c r="B193" s="85" t="s">
        <v>311</v>
      </c>
      <c r="C193" s="86">
        <v>0</v>
      </c>
      <c r="D193" s="86"/>
      <c r="E193" s="86" t="str">
        <f t="shared" si="8"/>
        <v>frmt</v>
      </c>
      <c r="F193" s="86" t="str">
        <f t="shared" si="9"/>
        <v>f</v>
      </c>
      <c r="G193" s="86" t="str">
        <f t="shared" si="10"/>
        <v>b90.00</v>
      </c>
      <c r="H193" s="86" t="str">
        <f t="shared" si="11"/>
        <v>0050_cntrprty_lei</v>
      </c>
      <c r="I193" s="86"/>
    </row>
    <row r="194" spans="2:9" x14ac:dyDescent="0.35">
      <c r="B194" s="85" t="s">
        <v>312</v>
      </c>
      <c r="C194" s="86">
        <v>0</v>
      </c>
      <c r="D194" s="86"/>
      <c r="E194" s="86" t="str">
        <f t="shared" si="8"/>
        <v>frmt</v>
      </c>
      <c r="F194" s="86" t="str">
        <f t="shared" si="9"/>
        <v>f</v>
      </c>
      <c r="G194" s="86" t="str">
        <f t="shared" si="10"/>
        <v>b90.00</v>
      </c>
      <c r="H194" s="86" t="str">
        <f t="shared" si="11"/>
        <v>0060_typ_cntrprty_id</v>
      </c>
      <c r="I194" s="86"/>
    </row>
    <row r="195" spans="2:9" x14ac:dyDescent="0.35">
      <c r="B195" s="85" t="s">
        <v>313</v>
      </c>
      <c r="C195" s="86">
        <v>0</v>
      </c>
      <c r="D195" s="86"/>
      <c r="E195" s="86" t="str">
        <f t="shared" si="8"/>
        <v>frmt</v>
      </c>
      <c r="F195" s="86" t="str">
        <f t="shared" si="9"/>
        <v>f</v>
      </c>
      <c r="G195" s="86" t="str">
        <f t="shared" si="10"/>
        <v>b90.00</v>
      </c>
      <c r="H195" s="86" t="str">
        <f t="shared" si="11"/>
        <v>0070_cntrprty_id</v>
      </c>
      <c r="I195" s="86"/>
    </row>
    <row r="196" spans="2:9" x14ac:dyDescent="0.35">
      <c r="B196" s="85" t="s">
        <v>314</v>
      </c>
      <c r="C196" s="86">
        <v>0</v>
      </c>
      <c r="D196" s="86"/>
      <c r="E196" s="86" t="str">
        <f t="shared" si="8"/>
        <v>frmt</v>
      </c>
      <c r="F196" s="86" t="str">
        <f t="shared" si="9"/>
        <v>f</v>
      </c>
      <c r="G196" s="86" t="str">
        <f t="shared" si="10"/>
        <v>b90.00</v>
      </c>
      <c r="H196" s="86" t="str">
        <f t="shared" si="11"/>
        <v>0080_cntrprty_typ</v>
      </c>
      <c r="I196" s="86"/>
    </row>
    <row r="197" spans="2:9" x14ac:dyDescent="0.35">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5">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heetViews>
  <sheetFormatPr defaultColWidth="0" defaultRowHeight="14.5" x14ac:dyDescent="0.35"/>
  <cols>
    <col min="1" max="1" width="3.81640625" customWidth="1"/>
    <col min="2" max="2" width="48.81640625" bestFit="1" customWidth="1"/>
    <col min="3" max="3" width="44.453125" bestFit="1" customWidth="1"/>
    <col min="4" max="4" width="23.453125" bestFit="1" customWidth="1"/>
    <col min="5" max="5" width="15.1796875" bestFit="1" customWidth="1"/>
    <col min="6" max="6" width="19.36328125" bestFit="1" customWidth="1"/>
    <col min="7" max="8" width="14.08984375" customWidth="1"/>
    <col min="9" max="9" width="48.54296875" customWidth="1"/>
    <col min="10" max="10" width="3.81640625" customWidth="1"/>
    <col min="11" max="12" width="0" hidden="1" customWidth="1"/>
    <col min="13" max="16384" width="8.90625" hidden="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t="s">
        <v>37</v>
      </c>
      <c r="C9" s="85" t="s">
        <v>38</v>
      </c>
      <c r="D9" s="85" t="s">
        <v>36</v>
      </c>
      <c r="E9" s="86">
        <v>8</v>
      </c>
      <c r="F9" s="86">
        <v>0</v>
      </c>
      <c r="G9" s="86"/>
      <c r="H9" s="86" t="str">
        <f>MID(B9,22,3)&amp;"."&amp;MID(B9,25,2)</f>
        <v>B02.00</v>
      </c>
      <c r="I9" s="86"/>
    </row>
    <row r="10" spans="1:12" x14ac:dyDescent="0.35">
      <c r="B10" s="85" t="s">
        <v>37</v>
      </c>
      <c r="C10" s="85" t="s">
        <v>38</v>
      </c>
      <c r="D10" s="85" t="s">
        <v>39</v>
      </c>
      <c r="E10" s="86">
        <v>8</v>
      </c>
      <c r="F10" s="86">
        <v>0</v>
      </c>
      <c r="G10" s="86"/>
      <c r="H10" s="86" t="str">
        <f t="shared" ref="H10:H73" si="0">MID(B10,22,3)&amp;"."&amp;MID(B10,25,2)</f>
        <v>B02.00</v>
      </c>
      <c r="I10" s="86"/>
    </row>
    <row r="11" spans="1:12" x14ac:dyDescent="0.35">
      <c r="B11" s="85" t="s">
        <v>37</v>
      </c>
      <c r="C11" s="85" t="s">
        <v>40</v>
      </c>
      <c r="D11" s="85" t="s">
        <v>36</v>
      </c>
      <c r="E11" s="86">
        <v>8</v>
      </c>
      <c r="F11" s="86">
        <v>0</v>
      </c>
      <c r="G11" s="86"/>
      <c r="H11" s="86" t="str">
        <f t="shared" si="0"/>
        <v>B02.00</v>
      </c>
      <c r="I11" s="86"/>
    </row>
    <row r="12" spans="1:12" x14ac:dyDescent="0.35">
      <c r="B12" s="85" t="s">
        <v>37</v>
      </c>
      <c r="C12" s="85" t="s">
        <v>40</v>
      </c>
      <c r="D12" s="85" t="s">
        <v>39</v>
      </c>
      <c r="E12" s="86">
        <v>8</v>
      </c>
      <c r="F12" s="86">
        <v>0</v>
      </c>
      <c r="G12" s="86"/>
      <c r="H12" s="86" t="str">
        <f t="shared" si="0"/>
        <v>B02.00</v>
      </c>
      <c r="I12" s="86"/>
    </row>
    <row r="13" spans="1:12" x14ac:dyDescent="0.35">
      <c r="B13" s="85" t="s">
        <v>37</v>
      </c>
      <c r="C13" s="85" t="s">
        <v>41</v>
      </c>
      <c r="D13" s="85" t="s">
        <v>36</v>
      </c>
      <c r="E13" s="86">
        <v>8</v>
      </c>
      <c r="F13" s="86">
        <v>0</v>
      </c>
      <c r="G13" s="86"/>
      <c r="H13" s="86" t="str">
        <f t="shared" si="0"/>
        <v>B02.00</v>
      </c>
      <c r="I13" s="86"/>
    </row>
    <row r="14" spans="1:12" x14ac:dyDescent="0.35">
      <c r="B14" s="85" t="s">
        <v>37</v>
      </c>
      <c r="C14" s="85" t="s">
        <v>41</v>
      </c>
      <c r="D14" s="85" t="s">
        <v>39</v>
      </c>
      <c r="E14" s="86">
        <v>8</v>
      </c>
      <c r="F14" s="86">
        <v>0</v>
      </c>
      <c r="G14" s="86"/>
      <c r="H14" s="86" t="str">
        <f t="shared" si="0"/>
        <v>B02.00</v>
      </c>
      <c r="I14" s="86"/>
    </row>
    <row r="15" spans="1:12" x14ac:dyDescent="0.35">
      <c r="B15" s="85" t="s">
        <v>37</v>
      </c>
      <c r="C15" s="85" t="s">
        <v>42</v>
      </c>
      <c r="D15" s="85" t="s">
        <v>36</v>
      </c>
      <c r="E15" s="86">
        <v>8</v>
      </c>
      <c r="F15" s="86">
        <v>0</v>
      </c>
      <c r="G15" s="86"/>
      <c r="H15" s="86" t="str">
        <f t="shared" si="0"/>
        <v>B02.00</v>
      </c>
      <c r="I15" s="86"/>
    </row>
    <row r="16" spans="1:12" x14ac:dyDescent="0.35">
      <c r="B16" s="85" t="s">
        <v>37</v>
      </c>
      <c r="C16" s="85" t="s">
        <v>42</v>
      </c>
      <c r="D16" s="85" t="s">
        <v>39</v>
      </c>
      <c r="E16" s="86">
        <v>8</v>
      </c>
      <c r="F16" s="86">
        <v>0</v>
      </c>
      <c r="G16" s="86"/>
      <c r="H16" s="86" t="str">
        <f t="shared" si="0"/>
        <v>B02.00</v>
      </c>
      <c r="I16" s="86"/>
    </row>
    <row r="17" spans="2:9" x14ac:dyDescent="0.35">
      <c r="B17" s="85" t="s">
        <v>37</v>
      </c>
      <c r="C17" s="85" t="s">
        <v>43</v>
      </c>
      <c r="D17" s="85" t="s">
        <v>36</v>
      </c>
      <c r="E17" s="86">
        <v>8</v>
      </c>
      <c r="F17" s="86">
        <v>0</v>
      </c>
      <c r="G17" s="86"/>
      <c r="H17" s="86" t="str">
        <f t="shared" si="0"/>
        <v>B02.00</v>
      </c>
      <c r="I17" s="86"/>
    </row>
    <row r="18" spans="2:9" x14ac:dyDescent="0.35">
      <c r="B18" s="85" t="s">
        <v>37</v>
      </c>
      <c r="C18" s="85" t="s">
        <v>43</v>
      </c>
      <c r="D18" s="85" t="s">
        <v>39</v>
      </c>
      <c r="E18" s="86">
        <v>8</v>
      </c>
      <c r="F18" s="86">
        <v>0</v>
      </c>
      <c r="G18" s="86"/>
      <c r="H18" s="86" t="str">
        <f t="shared" si="0"/>
        <v>B02.00</v>
      </c>
      <c r="I18" s="86"/>
    </row>
    <row r="19" spans="2:9" x14ac:dyDescent="0.35">
      <c r="B19" s="85" t="s">
        <v>37</v>
      </c>
      <c r="C19" s="85" t="s">
        <v>44</v>
      </c>
      <c r="D19" s="85" t="s">
        <v>36</v>
      </c>
      <c r="E19" s="86">
        <v>8</v>
      </c>
      <c r="F19" s="86">
        <v>0</v>
      </c>
      <c r="G19" s="86"/>
      <c r="H19" s="86" t="str">
        <f t="shared" si="0"/>
        <v>B02.00</v>
      </c>
      <c r="I19" s="86" t="s">
        <v>322</v>
      </c>
    </row>
    <row r="20" spans="2:9" x14ac:dyDescent="0.35">
      <c r="B20" s="85" t="s">
        <v>37</v>
      </c>
      <c r="C20" s="85" t="s">
        <v>44</v>
      </c>
      <c r="D20" s="85" t="s">
        <v>39</v>
      </c>
      <c r="E20" s="86">
        <v>8</v>
      </c>
      <c r="F20" s="86">
        <v>0</v>
      </c>
      <c r="G20" s="86"/>
      <c r="H20" s="86" t="str">
        <f t="shared" si="0"/>
        <v>B02.00</v>
      </c>
      <c r="I20" s="86"/>
    </row>
    <row r="21" spans="2:9" x14ac:dyDescent="0.35">
      <c r="B21" s="85" t="s">
        <v>37</v>
      </c>
      <c r="C21" s="85" t="s">
        <v>45</v>
      </c>
      <c r="D21" s="85" t="s">
        <v>36</v>
      </c>
      <c r="E21" s="86">
        <v>8</v>
      </c>
      <c r="F21" s="86">
        <v>0</v>
      </c>
      <c r="G21" s="86"/>
      <c r="H21" s="86" t="str">
        <f t="shared" si="0"/>
        <v>B02.00</v>
      </c>
      <c r="I21" s="86"/>
    </row>
    <row r="22" spans="2:9" x14ac:dyDescent="0.35">
      <c r="B22" s="85" t="s">
        <v>37</v>
      </c>
      <c r="C22" s="85" t="s">
        <v>45</v>
      </c>
      <c r="D22" s="85" t="s">
        <v>39</v>
      </c>
      <c r="E22" s="86">
        <v>8</v>
      </c>
      <c r="F22" s="86">
        <v>0</v>
      </c>
      <c r="G22" s="86"/>
      <c r="H22" s="86" t="str">
        <f t="shared" si="0"/>
        <v>B02.00</v>
      </c>
      <c r="I22" s="86"/>
    </row>
    <row r="23" spans="2:9" x14ac:dyDescent="0.35">
      <c r="B23" s="85" t="s">
        <v>37</v>
      </c>
      <c r="C23" s="85" t="s">
        <v>46</v>
      </c>
      <c r="D23" s="85" t="s">
        <v>36</v>
      </c>
      <c r="E23" s="86">
        <v>8</v>
      </c>
      <c r="F23" s="86">
        <v>0</v>
      </c>
      <c r="G23" s="86"/>
      <c r="H23" s="86" t="str">
        <f t="shared" si="0"/>
        <v>B02.00</v>
      </c>
      <c r="I23" s="86"/>
    </row>
    <row r="24" spans="2:9" x14ac:dyDescent="0.35">
      <c r="B24" s="85" t="s">
        <v>37</v>
      </c>
      <c r="C24" s="85" t="s">
        <v>46</v>
      </c>
      <c r="D24" s="85" t="s">
        <v>39</v>
      </c>
      <c r="E24" s="86">
        <v>8</v>
      </c>
      <c r="F24" s="86">
        <v>0</v>
      </c>
      <c r="G24" s="86"/>
      <c r="H24" s="86" t="str">
        <f t="shared" si="0"/>
        <v>B02.00</v>
      </c>
      <c r="I24" s="86"/>
    </row>
    <row r="25" spans="2:9" x14ac:dyDescent="0.35">
      <c r="B25" s="85" t="s">
        <v>37</v>
      </c>
      <c r="C25" s="85" t="s">
        <v>47</v>
      </c>
      <c r="D25" s="85" t="s">
        <v>36</v>
      </c>
      <c r="E25" s="86">
        <v>8</v>
      </c>
      <c r="F25" s="86">
        <v>0</v>
      </c>
      <c r="G25" s="86"/>
      <c r="H25" s="86" t="str">
        <f t="shared" si="0"/>
        <v>B02.00</v>
      </c>
      <c r="I25" s="86"/>
    </row>
    <row r="26" spans="2:9" x14ac:dyDescent="0.35">
      <c r="B26" s="85" t="s">
        <v>37</v>
      </c>
      <c r="C26" s="85" t="s">
        <v>47</v>
      </c>
      <c r="D26" s="85" t="s">
        <v>39</v>
      </c>
      <c r="E26" s="86">
        <v>8</v>
      </c>
      <c r="F26" s="86">
        <v>0</v>
      </c>
      <c r="G26" s="86"/>
      <c r="H26" s="86" t="str">
        <f t="shared" si="0"/>
        <v>B02.00</v>
      </c>
      <c r="I26" s="86"/>
    </row>
    <row r="27" spans="2:9" x14ac:dyDescent="0.35">
      <c r="B27" s="85" t="s">
        <v>37</v>
      </c>
      <c r="C27" s="85" t="s">
        <v>48</v>
      </c>
      <c r="D27" s="85" t="s">
        <v>36</v>
      </c>
      <c r="E27" s="86">
        <v>8</v>
      </c>
      <c r="F27" s="86">
        <v>0</v>
      </c>
      <c r="G27" s="86"/>
      <c r="H27" s="86" t="str">
        <f t="shared" si="0"/>
        <v>B02.00</v>
      </c>
      <c r="I27" s="86"/>
    </row>
    <row r="28" spans="2:9" x14ac:dyDescent="0.35">
      <c r="B28" s="85" t="s">
        <v>37</v>
      </c>
      <c r="C28" s="85" t="s">
        <v>48</v>
      </c>
      <c r="D28" s="85" t="s">
        <v>39</v>
      </c>
      <c r="E28" s="86">
        <v>8</v>
      </c>
      <c r="F28" s="86">
        <v>0</v>
      </c>
      <c r="G28" s="86"/>
      <c r="H28" s="86" t="str">
        <f t="shared" si="0"/>
        <v>B02.00</v>
      </c>
      <c r="I28" s="86"/>
    </row>
    <row r="29" spans="2:9" x14ac:dyDescent="0.35">
      <c r="B29" s="85" t="s">
        <v>37</v>
      </c>
      <c r="C29" s="85" t="s">
        <v>49</v>
      </c>
      <c r="D29" s="85" t="s">
        <v>36</v>
      </c>
      <c r="E29" s="86">
        <v>8</v>
      </c>
      <c r="F29" s="86">
        <v>0</v>
      </c>
      <c r="G29" s="86"/>
      <c r="H29" s="86" t="str">
        <f t="shared" si="0"/>
        <v>B02.00</v>
      </c>
      <c r="I29" s="86"/>
    </row>
    <row r="30" spans="2:9" x14ac:dyDescent="0.35">
      <c r="B30" s="85" t="s">
        <v>37</v>
      </c>
      <c r="C30" s="85" t="s">
        <v>49</v>
      </c>
      <c r="D30" s="85" t="s">
        <v>39</v>
      </c>
      <c r="E30" s="86">
        <v>8</v>
      </c>
      <c r="F30" s="86">
        <v>8</v>
      </c>
      <c r="G30" s="86"/>
      <c r="H30" s="86" t="str">
        <f t="shared" si="0"/>
        <v>B02.00</v>
      </c>
      <c r="I30" s="86"/>
    </row>
    <row r="31" spans="2:9" x14ac:dyDescent="0.35">
      <c r="B31" s="85" t="s">
        <v>37</v>
      </c>
      <c r="C31" s="85" t="s">
        <v>50</v>
      </c>
      <c r="D31" s="85" t="s">
        <v>36</v>
      </c>
      <c r="E31" s="86">
        <v>8</v>
      </c>
      <c r="F31" s="86">
        <v>0</v>
      </c>
      <c r="G31" s="86"/>
      <c r="H31" s="86" t="str">
        <f t="shared" si="0"/>
        <v>B02.00</v>
      </c>
      <c r="I31" s="86"/>
    </row>
    <row r="32" spans="2:9" x14ac:dyDescent="0.35">
      <c r="B32" s="85" t="s">
        <v>37</v>
      </c>
      <c r="C32" s="85" t="s">
        <v>50</v>
      </c>
      <c r="D32" s="85" t="s">
        <v>39</v>
      </c>
      <c r="E32" s="86">
        <v>8</v>
      </c>
      <c r="F32" s="86">
        <v>8</v>
      </c>
      <c r="G32" s="86"/>
      <c r="H32" s="86" t="str">
        <f t="shared" si="0"/>
        <v>B02.00</v>
      </c>
      <c r="I32" s="86"/>
    </row>
    <row r="33" spans="2:9" x14ac:dyDescent="0.35">
      <c r="B33" s="85" t="s">
        <v>37</v>
      </c>
      <c r="C33" s="85" t="s">
        <v>51</v>
      </c>
      <c r="D33" s="85" t="s">
        <v>36</v>
      </c>
      <c r="E33" s="86">
        <v>8</v>
      </c>
      <c r="F33" s="86">
        <v>0</v>
      </c>
      <c r="G33" s="86"/>
      <c r="H33" s="86" t="str">
        <f t="shared" si="0"/>
        <v>B02.00</v>
      </c>
      <c r="I33" s="86"/>
    </row>
    <row r="34" spans="2:9" x14ac:dyDescent="0.35">
      <c r="B34" s="85" t="s">
        <v>37</v>
      </c>
      <c r="C34" s="85" t="s">
        <v>51</v>
      </c>
      <c r="D34" s="85" t="s">
        <v>39</v>
      </c>
      <c r="E34" s="86">
        <v>8</v>
      </c>
      <c r="F34" s="86">
        <v>0</v>
      </c>
      <c r="G34" s="86"/>
      <c r="H34" s="86" t="str">
        <f t="shared" si="0"/>
        <v>B02.00</v>
      </c>
      <c r="I34" s="86" t="s">
        <v>322</v>
      </c>
    </row>
    <row r="35" spans="2:9" x14ac:dyDescent="0.35">
      <c r="B35" s="85" t="s">
        <v>37</v>
      </c>
      <c r="C35" s="85" t="s">
        <v>52</v>
      </c>
      <c r="D35" s="85" t="s">
        <v>36</v>
      </c>
      <c r="E35" s="86">
        <v>8</v>
      </c>
      <c r="F35" s="86">
        <v>0</v>
      </c>
      <c r="G35" s="86"/>
      <c r="H35" s="86" t="str">
        <f t="shared" si="0"/>
        <v>B02.00</v>
      </c>
      <c r="I35" s="86"/>
    </row>
    <row r="36" spans="2:9" x14ac:dyDescent="0.35">
      <c r="B36" s="85" t="s">
        <v>37</v>
      </c>
      <c r="C36" s="85" t="s">
        <v>52</v>
      </c>
      <c r="D36" s="85" t="s">
        <v>39</v>
      </c>
      <c r="E36" s="86">
        <v>8</v>
      </c>
      <c r="F36" s="86">
        <v>0</v>
      </c>
      <c r="G36" s="86"/>
      <c r="H36" s="86" t="str">
        <f t="shared" si="0"/>
        <v>B02.00</v>
      </c>
      <c r="I36" s="86"/>
    </row>
    <row r="37" spans="2:9" x14ac:dyDescent="0.35">
      <c r="B37" s="85" t="s">
        <v>37</v>
      </c>
      <c r="C37" s="85" t="s">
        <v>53</v>
      </c>
      <c r="D37" s="85" t="s">
        <v>36</v>
      </c>
      <c r="E37" s="86">
        <v>8</v>
      </c>
      <c r="F37" s="86">
        <v>0</v>
      </c>
      <c r="G37" s="86"/>
      <c r="H37" s="86" t="str">
        <f t="shared" si="0"/>
        <v>B02.00</v>
      </c>
      <c r="I37" s="86"/>
    </row>
    <row r="38" spans="2:9" x14ac:dyDescent="0.35">
      <c r="B38" s="85" t="s">
        <v>37</v>
      </c>
      <c r="C38" s="85" t="s">
        <v>53</v>
      </c>
      <c r="D38" s="85" t="s">
        <v>39</v>
      </c>
      <c r="E38" s="86">
        <v>8</v>
      </c>
      <c r="F38" s="86">
        <v>0</v>
      </c>
      <c r="G38" s="86"/>
      <c r="H38" s="86" t="str">
        <f t="shared" si="0"/>
        <v>B02.00</v>
      </c>
      <c r="I38" s="86"/>
    </row>
    <row r="39" spans="2:9" x14ac:dyDescent="0.35">
      <c r="B39" s="85" t="s">
        <v>37</v>
      </c>
      <c r="C39" s="85" t="s">
        <v>54</v>
      </c>
      <c r="D39" s="85" t="s">
        <v>36</v>
      </c>
      <c r="E39" s="86">
        <v>8</v>
      </c>
      <c r="F39" s="86">
        <v>0</v>
      </c>
      <c r="G39" s="86"/>
      <c r="H39" s="86" t="str">
        <f t="shared" si="0"/>
        <v>B02.00</v>
      </c>
      <c r="I39" s="86"/>
    </row>
    <row r="40" spans="2:9" x14ac:dyDescent="0.35">
      <c r="B40" s="85" t="s">
        <v>37</v>
      </c>
      <c r="C40" s="85" t="s">
        <v>54</v>
      </c>
      <c r="D40" s="85" t="s">
        <v>39</v>
      </c>
      <c r="E40" s="86">
        <v>8</v>
      </c>
      <c r="F40" s="86">
        <v>0</v>
      </c>
      <c r="G40" s="86"/>
      <c r="H40" s="86" t="str">
        <f t="shared" si="0"/>
        <v>B02.00</v>
      </c>
      <c r="I40" s="86"/>
    </row>
    <row r="41" spans="2:9" x14ac:dyDescent="0.35">
      <c r="B41" s="85" t="s">
        <v>37</v>
      </c>
      <c r="C41" s="85" t="s">
        <v>55</v>
      </c>
      <c r="D41" s="85" t="s">
        <v>36</v>
      </c>
      <c r="E41" s="86">
        <v>8</v>
      </c>
      <c r="F41" s="86">
        <v>8</v>
      </c>
      <c r="G41" s="86"/>
      <c r="H41" s="86" t="str">
        <f t="shared" si="0"/>
        <v>B02.00</v>
      </c>
      <c r="I41" s="86"/>
    </row>
    <row r="42" spans="2:9" x14ac:dyDescent="0.35">
      <c r="B42" s="85" t="s">
        <v>37</v>
      </c>
      <c r="C42" s="85" t="s">
        <v>55</v>
      </c>
      <c r="D42" s="85" t="s">
        <v>39</v>
      </c>
      <c r="E42" s="86">
        <v>8</v>
      </c>
      <c r="F42" s="86">
        <v>0</v>
      </c>
      <c r="G42" s="86"/>
      <c r="H42" s="86" t="str">
        <f t="shared" si="0"/>
        <v>B02.00</v>
      </c>
      <c r="I42" s="86"/>
    </row>
    <row r="43" spans="2:9" x14ac:dyDescent="0.35">
      <c r="B43" s="85" t="s">
        <v>37</v>
      </c>
      <c r="C43" s="85" t="s">
        <v>56</v>
      </c>
      <c r="D43" s="85" t="s">
        <v>36</v>
      </c>
      <c r="E43" s="86">
        <v>8</v>
      </c>
      <c r="F43" s="86">
        <v>0</v>
      </c>
      <c r="G43" s="86"/>
      <c r="H43" s="86" t="str">
        <f t="shared" si="0"/>
        <v>B02.00</v>
      </c>
      <c r="I43" s="86"/>
    </row>
    <row r="44" spans="2:9" x14ac:dyDescent="0.35">
      <c r="B44" s="85" t="s">
        <v>37</v>
      </c>
      <c r="C44" s="85" t="s">
        <v>56</v>
      </c>
      <c r="D44" s="85" t="s">
        <v>39</v>
      </c>
      <c r="E44" s="86">
        <v>8</v>
      </c>
      <c r="F44" s="86">
        <v>3</v>
      </c>
      <c r="G44" s="86"/>
      <c r="H44" s="86" t="str">
        <f t="shared" si="0"/>
        <v>B02.00</v>
      </c>
      <c r="I44" s="86"/>
    </row>
    <row r="45" spans="2:9" x14ac:dyDescent="0.35">
      <c r="B45" s="85" t="s">
        <v>37</v>
      </c>
      <c r="C45" s="85" t="s">
        <v>57</v>
      </c>
      <c r="D45" s="85" t="s">
        <v>36</v>
      </c>
      <c r="E45" s="86">
        <v>8</v>
      </c>
      <c r="F45" s="86">
        <v>0</v>
      </c>
      <c r="G45" s="86"/>
      <c r="H45" s="86" t="str">
        <f t="shared" si="0"/>
        <v>B02.00</v>
      </c>
      <c r="I45" s="86"/>
    </row>
    <row r="46" spans="2:9" x14ac:dyDescent="0.35">
      <c r="B46" s="85" t="s">
        <v>37</v>
      </c>
      <c r="C46" s="85" t="s">
        <v>57</v>
      </c>
      <c r="D46" s="85" t="s">
        <v>39</v>
      </c>
      <c r="E46" s="86">
        <v>8</v>
      </c>
      <c r="F46" s="86">
        <v>8</v>
      </c>
      <c r="G46" s="86"/>
      <c r="H46" s="86" t="str">
        <f t="shared" si="0"/>
        <v>B02.00</v>
      </c>
      <c r="I46" s="86"/>
    </row>
    <row r="47" spans="2:9" x14ac:dyDescent="0.35">
      <c r="B47" s="85" t="s">
        <v>37</v>
      </c>
      <c r="C47" s="85" t="s">
        <v>58</v>
      </c>
      <c r="D47" s="85" t="s">
        <v>36</v>
      </c>
      <c r="E47" s="86">
        <v>8</v>
      </c>
      <c r="F47" s="86">
        <v>0</v>
      </c>
      <c r="G47" s="86"/>
      <c r="H47" s="86" t="str">
        <f t="shared" si="0"/>
        <v>B02.00</v>
      </c>
      <c r="I47" s="86"/>
    </row>
    <row r="48" spans="2:9" x14ac:dyDescent="0.35">
      <c r="B48" s="85" t="s">
        <v>37</v>
      </c>
      <c r="C48" s="85" t="s">
        <v>58</v>
      </c>
      <c r="D48" s="85" t="s">
        <v>39</v>
      </c>
      <c r="E48" s="86">
        <v>8</v>
      </c>
      <c r="F48" s="86">
        <v>3</v>
      </c>
      <c r="G48" s="86"/>
      <c r="H48" s="86" t="str">
        <f t="shared" si="0"/>
        <v>B02.00</v>
      </c>
      <c r="I48" s="86"/>
    </row>
    <row r="49" spans="2:9" x14ac:dyDescent="0.35">
      <c r="B49" s="85" t="s">
        <v>37</v>
      </c>
      <c r="C49" s="85" t="s">
        <v>59</v>
      </c>
      <c r="D49" s="85" t="s">
        <v>36</v>
      </c>
      <c r="E49" s="86">
        <v>8</v>
      </c>
      <c r="F49" s="86">
        <v>0</v>
      </c>
      <c r="G49" s="86"/>
      <c r="H49" s="86" t="str">
        <f t="shared" si="0"/>
        <v>B02.00</v>
      </c>
      <c r="I49" s="86"/>
    </row>
    <row r="50" spans="2:9" x14ac:dyDescent="0.35">
      <c r="B50" s="85" t="s">
        <v>37</v>
      </c>
      <c r="C50" s="85" t="s">
        <v>59</v>
      </c>
      <c r="D50" s="85" t="s">
        <v>39</v>
      </c>
      <c r="E50" s="86">
        <v>8</v>
      </c>
      <c r="F50" s="86">
        <v>0</v>
      </c>
      <c r="G50" s="86"/>
      <c r="H50" s="86" t="str">
        <f t="shared" si="0"/>
        <v>B02.00</v>
      </c>
      <c r="I50" s="86"/>
    </row>
    <row r="51" spans="2:9" x14ac:dyDescent="0.35">
      <c r="B51" s="85" t="s">
        <v>37</v>
      </c>
      <c r="C51" s="85" t="s">
        <v>60</v>
      </c>
      <c r="D51" s="85" t="s">
        <v>36</v>
      </c>
      <c r="E51" s="86">
        <v>8</v>
      </c>
      <c r="F51" s="86">
        <v>0</v>
      </c>
      <c r="G51" s="86"/>
      <c r="H51" s="86" t="str">
        <f t="shared" si="0"/>
        <v>B02.00</v>
      </c>
      <c r="I51" s="86"/>
    </row>
    <row r="52" spans="2:9" x14ac:dyDescent="0.35">
      <c r="B52" s="85" t="s">
        <v>37</v>
      </c>
      <c r="C52" s="85" t="s">
        <v>60</v>
      </c>
      <c r="D52" s="85" t="s">
        <v>39</v>
      </c>
      <c r="E52" s="86">
        <v>8</v>
      </c>
      <c r="F52" s="86">
        <v>0</v>
      </c>
      <c r="G52" s="86"/>
      <c r="H52" s="86" t="str">
        <f t="shared" si="0"/>
        <v>B02.00</v>
      </c>
      <c r="I52" s="86"/>
    </row>
    <row r="53" spans="2:9" x14ac:dyDescent="0.35">
      <c r="B53" s="85" t="s">
        <v>37</v>
      </c>
      <c r="C53" s="85" t="s">
        <v>61</v>
      </c>
      <c r="D53" s="85" t="s">
        <v>36</v>
      </c>
      <c r="E53" s="86">
        <v>8</v>
      </c>
      <c r="F53" s="86">
        <v>0</v>
      </c>
      <c r="G53" s="86"/>
      <c r="H53" s="86" t="str">
        <f t="shared" si="0"/>
        <v>B02.00</v>
      </c>
      <c r="I53" s="86"/>
    </row>
    <row r="54" spans="2:9" x14ac:dyDescent="0.35">
      <c r="B54" s="85" t="s">
        <v>37</v>
      </c>
      <c r="C54" s="85" t="s">
        <v>61</v>
      </c>
      <c r="D54" s="85" t="s">
        <v>39</v>
      </c>
      <c r="E54" s="86">
        <v>8</v>
      </c>
      <c r="F54" s="86">
        <v>0</v>
      </c>
      <c r="G54" s="86"/>
      <c r="H54" s="86" t="str">
        <f t="shared" si="0"/>
        <v>B02.00</v>
      </c>
      <c r="I54" s="86"/>
    </row>
    <row r="55" spans="2:9" x14ac:dyDescent="0.35">
      <c r="B55" s="85" t="s">
        <v>37</v>
      </c>
      <c r="C55" s="85" t="s">
        <v>62</v>
      </c>
      <c r="D55" s="85" t="s">
        <v>36</v>
      </c>
      <c r="E55" s="86">
        <v>8</v>
      </c>
      <c r="F55" s="86">
        <v>0</v>
      </c>
      <c r="G55" s="86"/>
      <c r="H55" s="86" t="str">
        <f t="shared" si="0"/>
        <v>B02.00</v>
      </c>
      <c r="I55" s="86"/>
    </row>
    <row r="56" spans="2:9" x14ac:dyDescent="0.35">
      <c r="B56" s="85" t="s">
        <v>37</v>
      </c>
      <c r="C56" s="85" t="s">
        <v>62</v>
      </c>
      <c r="D56" s="85" t="s">
        <v>39</v>
      </c>
      <c r="E56" s="86">
        <v>8</v>
      </c>
      <c r="F56" s="86">
        <v>0</v>
      </c>
      <c r="G56" s="86"/>
      <c r="H56" s="86" t="str">
        <f t="shared" si="0"/>
        <v>B02.00</v>
      </c>
      <c r="I56" s="86"/>
    </row>
    <row r="57" spans="2:9" x14ac:dyDescent="0.35">
      <c r="B57" s="85" t="s">
        <v>37</v>
      </c>
      <c r="C57" s="85" t="s">
        <v>63</v>
      </c>
      <c r="D57" s="85" t="s">
        <v>36</v>
      </c>
      <c r="E57" s="86">
        <v>8</v>
      </c>
      <c r="F57" s="86">
        <v>0</v>
      </c>
      <c r="G57" s="86"/>
      <c r="H57" s="86" t="str">
        <f t="shared" si="0"/>
        <v>B02.00</v>
      </c>
      <c r="I57" s="86"/>
    </row>
    <row r="58" spans="2:9" x14ac:dyDescent="0.35">
      <c r="B58" s="85" t="s">
        <v>37</v>
      </c>
      <c r="C58" s="85" t="s">
        <v>63</v>
      </c>
      <c r="D58" s="85" t="s">
        <v>39</v>
      </c>
      <c r="E58" s="86">
        <v>8</v>
      </c>
      <c r="F58" s="86">
        <v>0</v>
      </c>
      <c r="G58" s="86"/>
      <c r="H58" s="86" t="str">
        <f t="shared" si="0"/>
        <v>B02.00</v>
      </c>
      <c r="I58" s="86"/>
    </row>
    <row r="59" spans="2:9" x14ac:dyDescent="0.35">
      <c r="B59" s="85" t="s">
        <v>37</v>
      </c>
      <c r="C59" s="85" t="s">
        <v>64</v>
      </c>
      <c r="D59" s="85" t="s">
        <v>36</v>
      </c>
      <c r="E59" s="86">
        <v>8</v>
      </c>
      <c r="F59" s="86">
        <v>0</v>
      </c>
      <c r="G59" s="86"/>
      <c r="H59" s="86" t="str">
        <f t="shared" si="0"/>
        <v>B02.00</v>
      </c>
      <c r="I59" s="86"/>
    </row>
    <row r="60" spans="2:9" x14ac:dyDescent="0.35">
      <c r="B60" s="85" t="s">
        <v>37</v>
      </c>
      <c r="C60" s="85" t="s">
        <v>64</v>
      </c>
      <c r="D60" s="85" t="s">
        <v>39</v>
      </c>
      <c r="E60" s="86">
        <v>8</v>
      </c>
      <c r="F60" s="86">
        <v>0</v>
      </c>
      <c r="G60" s="86"/>
      <c r="H60" s="86" t="str">
        <f t="shared" si="0"/>
        <v>B02.00</v>
      </c>
      <c r="I60" s="86"/>
    </row>
    <row r="61" spans="2:9" x14ac:dyDescent="0.35">
      <c r="B61" s="85" t="s">
        <v>37</v>
      </c>
      <c r="C61" s="85" t="s">
        <v>65</v>
      </c>
      <c r="D61" s="85" t="s">
        <v>36</v>
      </c>
      <c r="E61" s="86">
        <v>8</v>
      </c>
      <c r="F61" s="86">
        <v>0</v>
      </c>
      <c r="G61" s="86"/>
      <c r="H61" s="86" t="str">
        <f t="shared" si="0"/>
        <v>B02.00</v>
      </c>
      <c r="I61" s="86"/>
    </row>
    <row r="62" spans="2:9" x14ac:dyDescent="0.35">
      <c r="B62" s="85" t="s">
        <v>37</v>
      </c>
      <c r="C62" s="85" t="s">
        <v>65</v>
      </c>
      <c r="D62" s="85" t="s">
        <v>39</v>
      </c>
      <c r="E62" s="86">
        <v>8</v>
      </c>
      <c r="F62" s="86">
        <v>0</v>
      </c>
      <c r="G62" s="86"/>
      <c r="H62" s="86" t="str">
        <f t="shared" si="0"/>
        <v>B02.00</v>
      </c>
      <c r="I62" s="86"/>
    </row>
    <row r="63" spans="2:9" x14ac:dyDescent="0.35">
      <c r="B63" s="85" t="s">
        <v>37</v>
      </c>
      <c r="C63" s="85" t="s">
        <v>66</v>
      </c>
      <c r="D63" s="85" t="s">
        <v>36</v>
      </c>
      <c r="E63" s="86">
        <v>8</v>
      </c>
      <c r="F63" s="86">
        <v>0</v>
      </c>
      <c r="G63" s="86"/>
      <c r="H63" s="86" t="str">
        <f t="shared" si="0"/>
        <v>B02.00</v>
      </c>
      <c r="I63" s="86"/>
    </row>
    <row r="64" spans="2:9" x14ac:dyDescent="0.35">
      <c r="B64" s="85" t="s">
        <v>37</v>
      </c>
      <c r="C64" s="85" t="s">
        <v>66</v>
      </c>
      <c r="D64" s="85" t="s">
        <v>39</v>
      </c>
      <c r="E64" s="86">
        <v>8</v>
      </c>
      <c r="F64" s="86">
        <v>0</v>
      </c>
      <c r="G64" s="86"/>
      <c r="H64" s="86" t="str">
        <f t="shared" si="0"/>
        <v>B02.00</v>
      </c>
      <c r="I64" s="86"/>
    </row>
    <row r="65" spans="2:9" x14ac:dyDescent="0.35">
      <c r="B65" s="85" t="s">
        <v>37</v>
      </c>
      <c r="C65" s="85" t="s">
        <v>67</v>
      </c>
      <c r="D65" s="85" t="s">
        <v>36</v>
      </c>
      <c r="E65" s="86">
        <v>8</v>
      </c>
      <c r="F65" s="86">
        <v>0</v>
      </c>
      <c r="G65" s="86"/>
      <c r="H65" s="86" t="str">
        <f t="shared" si="0"/>
        <v>B02.00</v>
      </c>
      <c r="I65" s="86"/>
    </row>
    <row r="66" spans="2:9" x14ac:dyDescent="0.35">
      <c r="B66" s="85" t="s">
        <v>37</v>
      </c>
      <c r="C66" s="85" t="s">
        <v>67</v>
      </c>
      <c r="D66" s="85" t="s">
        <v>39</v>
      </c>
      <c r="E66" s="86">
        <v>8</v>
      </c>
      <c r="F66" s="86">
        <v>0</v>
      </c>
      <c r="G66" s="86"/>
      <c r="H66" s="86" t="str">
        <f t="shared" si="0"/>
        <v>B02.00</v>
      </c>
      <c r="I66" s="86"/>
    </row>
    <row r="67" spans="2:9" x14ac:dyDescent="0.35">
      <c r="B67" s="85" t="s">
        <v>37</v>
      </c>
      <c r="C67" s="85" t="s">
        <v>68</v>
      </c>
      <c r="D67" s="85" t="s">
        <v>36</v>
      </c>
      <c r="E67" s="86">
        <v>8</v>
      </c>
      <c r="F67" s="86">
        <v>0</v>
      </c>
      <c r="G67" s="86"/>
      <c r="H67" s="86" t="str">
        <f t="shared" si="0"/>
        <v>B02.00</v>
      </c>
      <c r="I67" s="86"/>
    </row>
    <row r="68" spans="2:9" x14ac:dyDescent="0.35">
      <c r="B68" s="85" t="s">
        <v>37</v>
      </c>
      <c r="C68" s="85" t="s">
        <v>68</v>
      </c>
      <c r="D68" s="85" t="s">
        <v>39</v>
      </c>
      <c r="E68" s="86">
        <v>8</v>
      </c>
      <c r="F68" s="86">
        <v>0</v>
      </c>
      <c r="G68" s="86"/>
      <c r="H68" s="86" t="str">
        <f t="shared" si="0"/>
        <v>B02.00</v>
      </c>
      <c r="I68" s="86"/>
    </row>
    <row r="69" spans="2:9" x14ac:dyDescent="0.35">
      <c r="B69" s="85" t="s">
        <v>37</v>
      </c>
      <c r="C69" s="85" t="s">
        <v>69</v>
      </c>
      <c r="D69" s="85" t="s">
        <v>36</v>
      </c>
      <c r="E69" s="86">
        <v>8</v>
      </c>
      <c r="F69" s="86">
        <v>0</v>
      </c>
      <c r="G69" s="86"/>
      <c r="H69" s="86" t="str">
        <f t="shared" si="0"/>
        <v>B02.00</v>
      </c>
      <c r="I69" s="86"/>
    </row>
    <row r="70" spans="2:9" x14ac:dyDescent="0.35">
      <c r="B70" s="85" t="s">
        <v>37</v>
      </c>
      <c r="C70" s="85" t="s">
        <v>69</v>
      </c>
      <c r="D70" s="85" t="s">
        <v>39</v>
      </c>
      <c r="E70" s="86">
        <v>8</v>
      </c>
      <c r="F70" s="86">
        <v>0</v>
      </c>
      <c r="G70" s="86"/>
      <c r="H70" s="86" t="str">
        <f t="shared" si="0"/>
        <v>B02.00</v>
      </c>
      <c r="I70" s="86"/>
    </row>
    <row r="71" spans="2:9" x14ac:dyDescent="0.35">
      <c r="B71" s="85" t="s">
        <v>37</v>
      </c>
      <c r="C71" s="85" t="s">
        <v>70</v>
      </c>
      <c r="D71" s="85" t="s">
        <v>36</v>
      </c>
      <c r="E71" s="86">
        <v>8</v>
      </c>
      <c r="F71" s="86">
        <v>0</v>
      </c>
      <c r="G71" s="86"/>
      <c r="H71" s="86" t="str">
        <f t="shared" si="0"/>
        <v>B02.00</v>
      </c>
      <c r="I71" s="86"/>
    </row>
    <row r="72" spans="2:9" x14ac:dyDescent="0.35">
      <c r="B72" s="85" t="s">
        <v>37</v>
      </c>
      <c r="C72" s="85" t="s">
        <v>70</v>
      </c>
      <c r="D72" s="85" t="s">
        <v>39</v>
      </c>
      <c r="E72" s="86">
        <v>8</v>
      </c>
      <c r="F72" s="86">
        <v>0</v>
      </c>
      <c r="G72" s="86"/>
      <c r="H72" s="86" t="str">
        <f t="shared" si="0"/>
        <v>B02.00</v>
      </c>
      <c r="I72" s="86"/>
    </row>
    <row r="73" spans="2:9" x14ac:dyDescent="0.35">
      <c r="B73" s="85" t="s">
        <v>37</v>
      </c>
      <c r="C73" s="85" t="s">
        <v>71</v>
      </c>
      <c r="D73" s="85" t="s">
        <v>36</v>
      </c>
      <c r="E73" s="86">
        <v>8</v>
      </c>
      <c r="F73" s="86">
        <v>0</v>
      </c>
      <c r="G73" s="86"/>
      <c r="H73" s="86" t="str">
        <f t="shared" si="0"/>
        <v>B02.00</v>
      </c>
      <c r="I73" s="86"/>
    </row>
    <row r="74" spans="2:9" x14ac:dyDescent="0.35">
      <c r="B74" s="85" t="s">
        <v>37</v>
      </c>
      <c r="C74" s="85" t="s">
        <v>71</v>
      </c>
      <c r="D74" s="85" t="s">
        <v>39</v>
      </c>
      <c r="E74" s="86">
        <v>8</v>
      </c>
      <c r="F74" s="86">
        <v>8</v>
      </c>
      <c r="G74" s="86"/>
      <c r="H74" s="86" t="str">
        <f t="shared" ref="H74:H137" si="1">MID(B74,22,3)&amp;"."&amp;MID(B74,25,2)</f>
        <v>B02.00</v>
      </c>
      <c r="I74" s="86"/>
    </row>
    <row r="75" spans="2:9" x14ac:dyDescent="0.35">
      <c r="B75" s="85" t="s">
        <v>37</v>
      </c>
      <c r="C75" s="85" t="s">
        <v>72</v>
      </c>
      <c r="D75" s="85" t="s">
        <v>36</v>
      </c>
      <c r="E75" s="86">
        <v>8</v>
      </c>
      <c r="F75" s="86">
        <v>0</v>
      </c>
      <c r="G75" s="86"/>
      <c r="H75" s="86" t="str">
        <f t="shared" si="1"/>
        <v>B02.00</v>
      </c>
      <c r="I75" s="86"/>
    </row>
    <row r="76" spans="2:9" x14ac:dyDescent="0.35">
      <c r="B76" s="85" t="s">
        <v>37</v>
      </c>
      <c r="C76" s="85" t="s">
        <v>72</v>
      </c>
      <c r="D76" s="85" t="s">
        <v>39</v>
      </c>
      <c r="E76" s="86">
        <v>8</v>
      </c>
      <c r="F76" s="86">
        <v>8</v>
      </c>
      <c r="G76" s="86"/>
      <c r="H76" s="86" t="str">
        <f t="shared" si="1"/>
        <v>B02.00</v>
      </c>
      <c r="I76" s="86"/>
    </row>
    <row r="77" spans="2:9" x14ac:dyDescent="0.35">
      <c r="B77" s="85" t="s">
        <v>37</v>
      </c>
      <c r="C77" s="85" t="s">
        <v>73</v>
      </c>
      <c r="D77" s="85" t="s">
        <v>36</v>
      </c>
      <c r="E77" s="86">
        <v>8</v>
      </c>
      <c r="F77" s="86">
        <v>0</v>
      </c>
      <c r="G77" s="86"/>
      <c r="H77" s="86" t="str">
        <f t="shared" si="1"/>
        <v>B02.00</v>
      </c>
      <c r="I77" s="86"/>
    </row>
    <row r="78" spans="2:9" x14ac:dyDescent="0.35">
      <c r="B78" s="85" t="s">
        <v>37</v>
      </c>
      <c r="C78" s="85" t="s">
        <v>73</v>
      </c>
      <c r="D78" s="85" t="s">
        <v>39</v>
      </c>
      <c r="E78" s="86">
        <v>8</v>
      </c>
      <c r="F78" s="86">
        <v>8</v>
      </c>
      <c r="G78" s="86"/>
      <c r="H78" s="86" t="str">
        <f t="shared" si="1"/>
        <v>B02.00</v>
      </c>
      <c r="I78" s="86"/>
    </row>
    <row r="79" spans="2:9" x14ac:dyDescent="0.35">
      <c r="B79" s="85" t="s">
        <v>37</v>
      </c>
      <c r="C79" s="85" t="s">
        <v>74</v>
      </c>
      <c r="D79" s="85" t="s">
        <v>36</v>
      </c>
      <c r="E79" s="86">
        <v>8</v>
      </c>
      <c r="F79" s="86">
        <v>0</v>
      </c>
      <c r="G79" s="86"/>
      <c r="H79" s="86" t="str">
        <f t="shared" si="1"/>
        <v>B02.00</v>
      </c>
      <c r="I79" s="86"/>
    </row>
    <row r="80" spans="2:9" x14ac:dyDescent="0.35">
      <c r="B80" s="85" t="s">
        <v>37</v>
      </c>
      <c r="C80" s="85" t="s">
        <v>74</v>
      </c>
      <c r="D80" s="85" t="s">
        <v>39</v>
      </c>
      <c r="E80" s="86">
        <v>8</v>
      </c>
      <c r="F80" s="86">
        <v>0</v>
      </c>
      <c r="G80" s="86"/>
      <c r="H80" s="86" t="str">
        <f t="shared" si="1"/>
        <v>B02.00</v>
      </c>
      <c r="I80" s="86"/>
    </row>
    <row r="81" spans="2:9" x14ac:dyDescent="0.35">
      <c r="B81" s="85" t="s">
        <v>37</v>
      </c>
      <c r="C81" s="85" t="s">
        <v>75</v>
      </c>
      <c r="D81" s="85" t="s">
        <v>36</v>
      </c>
      <c r="E81" s="86">
        <v>8</v>
      </c>
      <c r="F81" s="86">
        <v>0</v>
      </c>
      <c r="G81" s="86"/>
      <c r="H81" s="86" t="str">
        <f t="shared" si="1"/>
        <v>B02.00</v>
      </c>
      <c r="I81" s="86"/>
    </row>
    <row r="82" spans="2:9" x14ac:dyDescent="0.35">
      <c r="B82" s="85" t="s">
        <v>37</v>
      </c>
      <c r="C82" s="85" t="s">
        <v>75</v>
      </c>
      <c r="D82" s="85" t="s">
        <v>39</v>
      </c>
      <c r="E82" s="86">
        <v>8</v>
      </c>
      <c r="F82" s="86">
        <v>0</v>
      </c>
      <c r="G82" s="86"/>
      <c r="H82" s="86" t="str">
        <f t="shared" si="1"/>
        <v>B02.00</v>
      </c>
      <c r="I82" s="86"/>
    </row>
    <row r="83" spans="2:9" x14ac:dyDescent="0.35">
      <c r="B83" s="85" t="s">
        <v>37</v>
      </c>
      <c r="C83" s="85" t="s">
        <v>76</v>
      </c>
      <c r="D83" s="85" t="s">
        <v>36</v>
      </c>
      <c r="E83" s="86">
        <v>8</v>
      </c>
      <c r="F83" s="86">
        <v>0</v>
      </c>
      <c r="G83" s="86"/>
      <c r="H83" s="86" t="str">
        <f t="shared" si="1"/>
        <v>B02.00</v>
      </c>
      <c r="I83" s="86"/>
    </row>
    <row r="84" spans="2:9" x14ac:dyDescent="0.35">
      <c r="B84" s="85" t="s">
        <v>37</v>
      </c>
      <c r="C84" s="85" t="s">
        <v>76</v>
      </c>
      <c r="D84" s="85" t="s">
        <v>39</v>
      </c>
      <c r="E84" s="86">
        <v>8</v>
      </c>
      <c r="F84" s="86">
        <v>0</v>
      </c>
      <c r="G84" s="86"/>
      <c r="H84" s="86" t="str">
        <f t="shared" si="1"/>
        <v>B02.00</v>
      </c>
      <c r="I84" s="86"/>
    </row>
    <row r="85" spans="2:9" x14ac:dyDescent="0.35">
      <c r="B85" s="85" t="s">
        <v>37</v>
      </c>
      <c r="C85" s="85" t="s">
        <v>77</v>
      </c>
      <c r="D85" s="85" t="s">
        <v>36</v>
      </c>
      <c r="E85" s="86">
        <v>8</v>
      </c>
      <c r="F85" s="86">
        <v>0</v>
      </c>
      <c r="G85" s="86"/>
      <c r="H85" s="86" t="str">
        <f t="shared" si="1"/>
        <v>B02.00</v>
      </c>
      <c r="I85" s="86"/>
    </row>
    <row r="86" spans="2:9" x14ac:dyDescent="0.35">
      <c r="B86" s="85" t="s">
        <v>37</v>
      </c>
      <c r="C86" s="85" t="s">
        <v>77</v>
      </c>
      <c r="D86" s="85" t="s">
        <v>39</v>
      </c>
      <c r="E86" s="86">
        <v>8</v>
      </c>
      <c r="F86" s="86">
        <v>0</v>
      </c>
      <c r="G86" s="86"/>
      <c r="H86" s="86" t="str">
        <f t="shared" si="1"/>
        <v>B02.00</v>
      </c>
      <c r="I86" s="86"/>
    </row>
    <row r="87" spans="2:9" x14ac:dyDescent="0.35">
      <c r="B87" s="85" t="s">
        <v>37</v>
      </c>
      <c r="C87" s="85" t="s">
        <v>78</v>
      </c>
      <c r="D87" s="85" t="s">
        <v>36</v>
      </c>
      <c r="E87" s="86">
        <v>8</v>
      </c>
      <c r="F87" s="86">
        <v>0</v>
      </c>
      <c r="G87" s="86"/>
      <c r="H87" s="86" t="str">
        <f t="shared" si="1"/>
        <v>B02.00</v>
      </c>
      <c r="I87" s="86"/>
    </row>
    <row r="88" spans="2:9" x14ac:dyDescent="0.35">
      <c r="B88" s="85" t="s">
        <v>37</v>
      </c>
      <c r="C88" s="85" t="s">
        <v>78</v>
      </c>
      <c r="D88" s="85" t="s">
        <v>39</v>
      </c>
      <c r="E88" s="86">
        <v>8</v>
      </c>
      <c r="F88" s="86">
        <v>0</v>
      </c>
      <c r="G88" s="86"/>
      <c r="H88" s="86" t="str">
        <f t="shared" si="1"/>
        <v>B02.00</v>
      </c>
      <c r="I88" s="86"/>
    </row>
    <row r="89" spans="2:9" x14ac:dyDescent="0.35">
      <c r="B89" s="85" t="s">
        <v>37</v>
      </c>
      <c r="C89" s="85" t="s">
        <v>79</v>
      </c>
      <c r="D89" s="85" t="s">
        <v>36</v>
      </c>
      <c r="E89" s="86">
        <v>8</v>
      </c>
      <c r="F89" s="86">
        <v>0</v>
      </c>
      <c r="G89" s="86"/>
      <c r="H89" s="86" t="str">
        <f t="shared" si="1"/>
        <v>B02.00</v>
      </c>
      <c r="I89" s="86"/>
    </row>
    <row r="90" spans="2:9" x14ac:dyDescent="0.35">
      <c r="B90" s="85" t="s">
        <v>37</v>
      </c>
      <c r="C90" s="85" t="s">
        <v>79</v>
      </c>
      <c r="D90" s="85" t="s">
        <v>39</v>
      </c>
      <c r="E90" s="86">
        <v>8</v>
      </c>
      <c r="F90" s="86">
        <v>0</v>
      </c>
      <c r="G90" s="86"/>
      <c r="H90" s="86" t="str">
        <f t="shared" si="1"/>
        <v>B02.00</v>
      </c>
      <c r="I90" s="86"/>
    </row>
    <row r="91" spans="2:9" x14ac:dyDescent="0.35">
      <c r="B91" s="85" t="s">
        <v>37</v>
      </c>
      <c r="C91" s="85" t="s">
        <v>80</v>
      </c>
      <c r="D91" s="85" t="s">
        <v>36</v>
      </c>
      <c r="E91" s="86">
        <v>8</v>
      </c>
      <c r="F91" s="86">
        <v>0</v>
      </c>
      <c r="G91" s="86"/>
      <c r="H91" s="86" t="str">
        <f t="shared" si="1"/>
        <v>B02.00</v>
      </c>
      <c r="I91" s="86"/>
    </row>
    <row r="92" spans="2:9" x14ac:dyDescent="0.35">
      <c r="B92" s="85" t="s">
        <v>37</v>
      </c>
      <c r="C92" s="85" t="s">
        <v>80</v>
      </c>
      <c r="D92" s="85" t="s">
        <v>39</v>
      </c>
      <c r="E92" s="86">
        <v>8</v>
      </c>
      <c r="F92" s="86">
        <v>8</v>
      </c>
      <c r="G92" s="86"/>
      <c r="H92" s="86" t="str">
        <f t="shared" si="1"/>
        <v>B02.00</v>
      </c>
      <c r="I92" s="86"/>
    </row>
    <row r="93" spans="2:9" x14ac:dyDescent="0.35">
      <c r="B93" s="85" t="s">
        <v>37</v>
      </c>
      <c r="C93" s="85" t="s">
        <v>81</v>
      </c>
      <c r="D93" s="85" t="s">
        <v>36</v>
      </c>
      <c r="E93" s="86">
        <v>8</v>
      </c>
      <c r="F93" s="86">
        <v>0</v>
      </c>
      <c r="G93" s="86"/>
      <c r="H93" s="86" t="str">
        <f t="shared" si="1"/>
        <v>B02.00</v>
      </c>
      <c r="I93" s="86"/>
    </row>
    <row r="94" spans="2:9" x14ac:dyDescent="0.35">
      <c r="B94" s="85" t="s">
        <v>37</v>
      </c>
      <c r="C94" s="85" t="s">
        <v>81</v>
      </c>
      <c r="D94" s="85" t="s">
        <v>39</v>
      </c>
      <c r="E94" s="86">
        <v>8</v>
      </c>
      <c r="F94" s="86">
        <v>8</v>
      </c>
      <c r="G94" s="86"/>
      <c r="H94" s="86" t="str">
        <f t="shared" si="1"/>
        <v>B02.00</v>
      </c>
      <c r="I94" s="86"/>
    </row>
    <row r="95" spans="2:9" x14ac:dyDescent="0.35">
      <c r="B95" s="85" t="s">
        <v>37</v>
      </c>
      <c r="C95" s="85" t="s">
        <v>82</v>
      </c>
      <c r="D95" s="85" t="s">
        <v>36</v>
      </c>
      <c r="E95" s="86">
        <v>8</v>
      </c>
      <c r="F95" s="86">
        <v>0</v>
      </c>
      <c r="G95" s="86"/>
      <c r="H95" s="86" t="str">
        <f t="shared" si="1"/>
        <v>B02.00</v>
      </c>
      <c r="I95" s="86"/>
    </row>
    <row r="96" spans="2:9" x14ac:dyDescent="0.35">
      <c r="B96" s="85" t="s">
        <v>37</v>
      </c>
      <c r="C96" s="85" t="s">
        <v>82</v>
      </c>
      <c r="D96" s="85" t="s">
        <v>39</v>
      </c>
      <c r="E96" s="86">
        <v>8</v>
      </c>
      <c r="F96" s="86">
        <v>0</v>
      </c>
      <c r="G96" s="86"/>
      <c r="H96" s="86" t="str">
        <f t="shared" si="1"/>
        <v>B02.00</v>
      </c>
      <c r="I96" s="86"/>
    </row>
    <row r="97" spans="2:9" x14ac:dyDescent="0.35">
      <c r="B97" s="85" t="s">
        <v>37</v>
      </c>
      <c r="C97" s="85" t="s">
        <v>83</v>
      </c>
      <c r="D97" s="85" t="s">
        <v>36</v>
      </c>
      <c r="E97" s="86">
        <v>8</v>
      </c>
      <c r="F97" s="86">
        <v>0</v>
      </c>
      <c r="G97" s="86"/>
      <c r="H97" s="86" t="str">
        <f t="shared" si="1"/>
        <v>B02.00</v>
      </c>
      <c r="I97" s="86"/>
    </row>
    <row r="98" spans="2:9" x14ac:dyDescent="0.35">
      <c r="B98" s="85" t="s">
        <v>37</v>
      </c>
      <c r="C98" s="85" t="s">
        <v>83</v>
      </c>
      <c r="D98" s="85" t="s">
        <v>39</v>
      </c>
      <c r="E98" s="86">
        <v>8</v>
      </c>
      <c r="F98" s="86">
        <v>0</v>
      </c>
      <c r="G98" s="86"/>
      <c r="H98" s="86" t="str">
        <f t="shared" si="1"/>
        <v>B02.00</v>
      </c>
      <c r="I98" s="86"/>
    </row>
    <row r="99" spans="2:9" x14ac:dyDescent="0.35">
      <c r="B99" s="85" t="s">
        <v>37</v>
      </c>
      <c r="C99" s="85" t="s">
        <v>84</v>
      </c>
      <c r="D99" s="85" t="s">
        <v>36</v>
      </c>
      <c r="E99" s="86">
        <v>8</v>
      </c>
      <c r="F99" s="86">
        <v>0</v>
      </c>
      <c r="G99" s="86"/>
      <c r="H99" s="86" t="str">
        <f t="shared" si="1"/>
        <v>B02.00</v>
      </c>
      <c r="I99" s="86"/>
    </row>
    <row r="100" spans="2:9" x14ac:dyDescent="0.35">
      <c r="B100" s="85" t="s">
        <v>37</v>
      </c>
      <c r="C100" s="85" t="s">
        <v>84</v>
      </c>
      <c r="D100" s="85" t="s">
        <v>39</v>
      </c>
      <c r="E100" s="86">
        <v>8</v>
      </c>
      <c r="F100" s="86">
        <v>8</v>
      </c>
      <c r="G100" s="86"/>
      <c r="H100" s="86" t="str">
        <f t="shared" si="1"/>
        <v>B02.00</v>
      </c>
      <c r="I100" s="86"/>
    </row>
    <row r="101" spans="2:9" x14ac:dyDescent="0.35">
      <c r="B101" s="85" t="s">
        <v>37</v>
      </c>
      <c r="C101" s="85" t="s">
        <v>85</v>
      </c>
      <c r="D101" s="85" t="s">
        <v>36</v>
      </c>
      <c r="E101" s="86">
        <v>8</v>
      </c>
      <c r="F101" s="86">
        <v>0</v>
      </c>
      <c r="G101" s="86"/>
      <c r="H101" s="86" t="str">
        <f t="shared" si="1"/>
        <v>B02.00</v>
      </c>
      <c r="I101" s="86"/>
    </row>
    <row r="102" spans="2:9" x14ac:dyDescent="0.35">
      <c r="B102" s="85" t="s">
        <v>37</v>
      </c>
      <c r="C102" s="85" t="s">
        <v>85</v>
      </c>
      <c r="D102" s="85" t="s">
        <v>39</v>
      </c>
      <c r="E102" s="86">
        <v>8</v>
      </c>
      <c r="F102" s="86">
        <v>0</v>
      </c>
      <c r="G102" s="86"/>
      <c r="H102" s="86" t="str">
        <f t="shared" si="1"/>
        <v>B02.00</v>
      </c>
      <c r="I102" s="86"/>
    </row>
    <row r="103" spans="2:9" x14ac:dyDescent="0.35">
      <c r="B103" s="85" t="s">
        <v>37</v>
      </c>
      <c r="C103" s="85" t="s">
        <v>86</v>
      </c>
      <c r="D103" s="85" t="s">
        <v>36</v>
      </c>
      <c r="E103" s="86">
        <v>8</v>
      </c>
      <c r="F103" s="86">
        <v>0</v>
      </c>
      <c r="G103" s="86"/>
      <c r="H103" s="86" t="str">
        <f t="shared" si="1"/>
        <v>B02.00</v>
      </c>
      <c r="I103" s="86"/>
    </row>
    <row r="104" spans="2:9" x14ac:dyDescent="0.35">
      <c r="B104" s="85" t="s">
        <v>37</v>
      </c>
      <c r="C104" s="85" t="s">
        <v>86</v>
      </c>
      <c r="D104" s="85" t="s">
        <v>39</v>
      </c>
      <c r="E104" s="86">
        <v>8</v>
      </c>
      <c r="F104" s="86">
        <v>0</v>
      </c>
      <c r="G104" s="86"/>
      <c r="H104" s="86" t="str">
        <f t="shared" si="1"/>
        <v>B02.00</v>
      </c>
      <c r="I104" s="86"/>
    </row>
    <row r="105" spans="2:9" x14ac:dyDescent="0.35">
      <c r="B105" s="85" t="s">
        <v>37</v>
      </c>
      <c r="C105" s="85" t="s">
        <v>87</v>
      </c>
      <c r="D105" s="85" t="s">
        <v>36</v>
      </c>
      <c r="E105" s="86">
        <v>8</v>
      </c>
      <c r="F105" s="86">
        <v>0</v>
      </c>
      <c r="G105" s="86"/>
      <c r="H105" s="86" t="str">
        <f t="shared" si="1"/>
        <v>B02.00</v>
      </c>
      <c r="I105" s="86"/>
    </row>
    <row r="106" spans="2:9" x14ac:dyDescent="0.35">
      <c r="B106" s="85" t="s">
        <v>37</v>
      </c>
      <c r="C106" s="85" t="s">
        <v>87</v>
      </c>
      <c r="D106" s="85" t="s">
        <v>39</v>
      </c>
      <c r="E106" s="86">
        <v>8</v>
      </c>
      <c r="F106" s="86">
        <v>8</v>
      </c>
      <c r="G106" s="86"/>
      <c r="H106" s="86" t="str">
        <f t="shared" si="1"/>
        <v>B02.00</v>
      </c>
      <c r="I106" s="86"/>
    </row>
    <row r="107" spans="2:9" x14ac:dyDescent="0.35">
      <c r="B107" s="85" t="s">
        <v>37</v>
      </c>
      <c r="C107" s="85" t="s">
        <v>88</v>
      </c>
      <c r="D107" s="85" t="s">
        <v>36</v>
      </c>
      <c r="E107" s="86">
        <v>8</v>
      </c>
      <c r="F107" s="86">
        <v>0</v>
      </c>
      <c r="G107" s="86"/>
      <c r="H107" s="86" t="str">
        <f t="shared" si="1"/>
        <v>B02.00</v>
      </c>
      <c r="I107" s="86"/>
    </row>
    <row r="108" spans="2:9" x14ac:dyDescent="0.35">
      <c r="B108" s="85" t="s">
        <v>37</v>
      </c>
      <c r="C108" s="85" t="s">
        <v>88</v>
      </c>
      <c r="D108" s="85" t="s">
        <v>39</v>
      </c>
      <c r="E108" s="86">
        <v>8</v>
      </c>
      <c r="F108" s="86">
        <v>8</v>
      </c>
      <c r="G108" s="86"/>
      <c r="H108" s="86" t="str">
        <f t="shared" si="1"/>
        <v>B02.00</v>
      </c>
      <c r="I108" s="86"/>
    </row>
    <row r="109" spans="2:9" x14ac:dyDescent="0.35">
      <c r="B109" s="85" t="s">
        <v>37</v>
      </c>
      <c r="C109" s="85" t="s">
        <v>89</v>
      </c>
      <c r="D109" s="85" t="s">
        <v>36</v>
      </c>
      <c r="E109" s="86">
        <v>8</v>
      </c>
      <c r="F109" s="86">
        <v>0</v>
      </c>
      <c r="G109" s="86"/>
      <c r="H109" s="86" t="str">
        <f t="shared" si="1"/>
        <v>B02.00</v>
      </c>
      <c r="I109" s="86"/>
    </row>
    <row r="110" spans="2:9" x14ac:dyDescent="0.35">
      <c r="B110" s="85" t="s">
        <v>37</v>
      </c>
      <c r="C110" s="85" t="s">
        <v>89</v>
      </c>
      <c r="D110" s="85" t="s">
        <v>39</v>
      </c>
      <c r="E110" s="86">
        <v>8</v>
      </c>
      <c r="F110" s="86">
        <v>0</v>
      </c>
      <c r="G110" s="86"/>
      <c r="H110" s="86" t="str">
        <f t="shared" si="1"/>
        <v>B02.00</v>
      </c>
      <c r="I110" s="86"/>
    </row>
    <row r="111" spans="2:9" x14ac:dyDescent="0.35">
      <c r="B111" s="85" t="s">
        <v>37</v>
      </c>
      <c r="C111" s="85" t="s">
        <v>90</v>
      </c>
      <c r="D111" s="85" t="s">
        <v>36</v>
      </c>
      <c r="E111" s="86">
        <v>8</v>
      </c>
      <c r="F111" s="86">
        <v>0</v>
      </c>
      <c r="G111" s="86"/>
      <c r="H111" s="86" t="str">
        <f t="shared" si="1"/>
        <v>B02.00</v>
      </c>
      <c r="I111" s="86"/>
    </row>
    <row r="112" spans="2:9" x14ac:dyDescent="0.35">
      <c r="B112" s="85" t="s">
        <v>37</v>
      </c>
      <c r="C112" s="85" t="s">
        <v>90</v>
      </c>
      <c r="D112" s="85" t="s">
        <v>39</v>
      </c>
      <c r="E112" s="86">
        <v>8</v>
      </c>
      <c r="F112" s="86">
        <v>0</v>
      </c>
      <c r="G112" s="86"/>
      <c r="H112" s="86" t="str">
        <f t="shared" si="1"/>
        <v>B02.00</v>
      </c>
      <c r="I112" s="86"/>
    </row>
    <row r="113" spans="2:9" x14ac:dyDescent="0.35">
      <c r="B113" s="85" t="s">
        <v>37</v>
      </c>
      <c r="C113" s="85" t="s">
        <v>91</v>
      </c>
      <c r="D113" s="85" t="s">
        <v>36</v>
      </c>
      <c r="E113" s="86">
        <v>8</v>
      </c>
      <c r="F113" s="86">
        <v>0</v>
      </c>
      <c r="G113" s="86"/>
      <c r="H113" s="86" t="str">
        <f t="shared" si="1"/>
        <v>B02.00</v>
      </c>
      <c r="I113" s="86"/>
    </row>
    <row r="114" spans="2:9" x14ac:dyDescent="0.35">
      <c r="B114" s="85" t="s">
        <v>37</v>
      </c>
      <c r="C114" s="85" t="s">
        <v>91</v>
      </c>
      <c r="D114" s="85" t="s">
        <v>39</v>
      </c>
      <c r="E114" s="86">
        <v>8</v>
      </c>
      <c r="F114" s="86">
        <v>0</v>
      </c>
      <c r="G114" s="86"/>
      <c r="H114" s="86" t="str">
        <f t="shared" si="1"/>
        <v>B02.00</v>
      </c>
      <c r="I114" s="86"/>
    </row>
    <row r="115" spans="2:9" x14ac:dyDescent="0.35">
      <c r="B115" s="85" t="s">
        <v>37</v>
      </c>
      <c r="C115" s="85" t="s">
        <v>92</v>
      </c>
      <c r="D115" s="85" t="s">
        <v>36</v>
      </c>
      <c r="E115" s="86">
        <v>8</v>
      </c>
      <c r="F115" s="86">
        <v>0</v>
      </c>
      <c r="G115" s="86"/>
      <c r="H115" s="86" t="str">
        <f t="shared" si="1"/>
        <v>B02.00</v>
      </c>
      <c r="I115" s="86"/>
    </row>
    <row r="116" spans="2:9" x14ac:dyDescent="0.35">
      <c r="B116" s="85" t="s">
        <v>37</v>
      </c>
      <c r="C116" s="85" t="s">
        <v>92</v>
      </c>
      <c r="D116" s="85" t="s">
        <v>39</v>
      </c>
      <c r="E116" s="86">
        <v>8</v>
      </c>
      <c r="F116" s="86">
        <v>0</v>
      </c>
      <c r="G116" s="86"/>
      <c r="H116" s="86" t="str">
        <f t="shared" si="1"/>
        <v>B02.00</v>
      </c>
      <c r="I116" s="86"/>
    </row>
    <row r="117" spans="2:9" x14ac:dyDescent="0.35">
      <c r="B117" s="85" t="s">
        <v>37</v>
      </c>
      <c r="C117" s="85" t="s">
        <v>93</v>
      </c>
      <c r="D117" s="85" t="s">
        <v>36</v>
      </c>
      <c r="E117" s="86">
        <v>8</v>
      </c>
      <c r="F117" s="86">
        <v>0</v>
      </c>
      <c r="G117" s="86"/>
      <c r="H117" s="86" t="str">
        <f t="shared" si="1"/>
        <v>B02.00</v>
      </c>
      <c r="I117" s="86"/>
    </row>
    <row r="118" spans="2:9" x14ac:dyDescent="0.35">
      <c r="B118" s="85" t="s">
        <v>37</v>
      </c>
      <c r="C118" s="85" t="s">
        <v>93</v>
      </c>
      <c r="D118" s="85" t="s">
        <v>39</v>
      </c>
      <c r="E118" s="86">
        <v>8</v>
      </c>
      <c r="F118" s="86">
        <v>8</v>
      </c>
      <c r="G118" s="86"/>
      <c r="H118" s="86" t="str">
        <f t="shared" si="1"/>
        <v>B02.00</v>
      </c>
      <c r="I118" s="86"/>
    </row>
    <row r="119" spans="2:9" x14ac:dyDescent="0.35">
      <c r="B119" s="85" t="s">
        <v>37</v>
      </c>
      <c r="C119" s="85" t="s">
        <v>94</v>
      </c>
      <c r="D119" s="85" t="s">
        <v>36</v>
      </c>
      <c r="E119" s="86">
        <v>8</v>
      </c>
      <c r="F119" s="86">
        <v>0</v>
      </c>
      <c r="G119" s="86"/>
      <c r="H119" s="86" t="str">
        <f t="shared" si="1"/>
        <v>B02.00</v>
      </c>
      <c r="I119" s="86"/>
    </row>
    <row r="120" spans="2:9" x14ac:dyDescent="0.35">
      <c r="B120" s="85" t="s">
        <v>37</v>
      </c>
      <c r="C120" s="85" t="s">
        <v>94</v>
      </c>
      <c r="D120" s="85" t="s">
        <v>39</v>
      </c>
      <c r="E120" s="86">
        <v>8</v>
      </c>
      <c r="F120" s="86">
        <v>8</v>
      </c>
      <c r="G120" s="86"/>
      <c r="H120" s="86" t="str">
        <f t="shared" si="1"/>
        <v>B02.00</v>
      </c>
      <c r="I120" s="86"/>
    </row>
    <row r="121" spans="2:9" x14ac:dyDescent="0.35">
      <c r="B121" s="85" t="s">
        <v>37</v>
      </c>
      <c r="C121" s="85" t="s">
        <v>95</v>
      </c>
      <c r="D121" s="85" t="s">
        <v>36</v>
      </c>
      <c r="E121" s="86">
        <v>8</v>
      </c>
      <c r="F121" s="86">
        <v>0</v>
      </c>
      <c r="G121" s="86"/>
      <c r="H121" s="86" t="str">
        <f t="shared" si="1"/>
        <v>B02.00</v>
      </c>
      <c r="I121" s="86"/>
    </row>
    <row r="122" spans="2:9" x14ac:dyDescent="0.35">
      <c r="B122" s="85" t="s">
        <v>37</v>
      </c>
      <c r="C122" s="85" t="s">
        <v>95</v>
      </c>
      <c r="D122" s="85" t="s">
        <v>39</v>
      </c>
      <c r="E122" s="86">
        <v>8</v>
      </c>
      <c r="F122" s="86">
        <v>8</v>
      </c>
      <c r="G122" s="86"/>
      <c r="H122" s="86" t="str">
        <f t="shared" si="1"/>
        <v>B02.00</v>
      </c>
      <c r="I122" s="86"/>
    </row>
    <row r="123" spans="2:9" x14ac:dyDescent="0.35">
      <c r="B123" s="85" t="s">
        <v>37</v>
      </c>
      <c r="C123" s="85" t="s">
        <v>96</v>
      </c>
      <c r="D123" s="85" t="s">
        <v>36</v>
      </c>
      <c r="E123" s="86">
        <v>8</v>
      </c>
      <c r="F123" s="86">
        <v>0</v>
      </c>
      <c r="G123" s="86"/>
      <c r="H123" s="86" t="str">
        <f t="shared" si="1"/>
        <v>B02.00</v>
      </c>
      <c r="I123" s="86"/>
    </row>
    <row r="124" spans="2:9" x14ac:dyDescent="0.35">
      <c r="B124" s="85" t="s">
        <v>37</v>
      </c>
      <c r="C124" s="85" t="s">
        <v>96</v>
      </c>
      <c r="D124" s="85" t="s">
        <v>39</v>
      </c>
      <c r="E124" s="86">
        <v>8</v>
      </c>
      <c r="F124" s="86">
        <v>8</v>
      </c>
      <c r="G124" s="86"/>
      <c r="H124" s="86" t="str">
        <f t="shared" si="1"/>
        <v>B02.00</v>
      </c>
      <c r="I124" s="86"/>
    </row>
    <row r="125" spans="2:9" x14ac:dyDescent="0.35">
      <c r="B125" s="85" t="s">
        <v>37</v>
      </c>
      <c r="C125" s="85" t="s">
        <v>97</v>
      </c>
      <c r="D125" s="85" t="s">
        <v>36</v>
      </c>
      <c r="E125" s="86">
        <v>8</v>
      </c>
      <c r="F125" s="86">
        <v>2</v>
      </c>
      <c r="G125" s="86"/>
      <c r="H125" s="86" t="str">
        <f t="shared" si="1"/>
        <v>B02.00</v>
      </c>
      <c r="I125" s="86"/>
    </row>
    <row r="126" spans="2:9" x14ac:dyDescent="0.35">
      <c r="B126" s="85" t="s">
        <v>37</v>
      </c>
      <c r="C126" s="85" t="s">
        <v>97</v>
      </c>
      <c r="D126" s="85" t="s">
        <v>39</v>
      </c>
      <c r="E126" s="86">
        <v>8</v>
      </c>
      <c r="F126" s="86">
        <v>0</v>
      </c>
      <c r="G126" s="86"/>
      <c r="H126" s="86" t="str">
        <f t="shared" si="1"/>
        <v>B02.00</v>
      </c>
      <c r="I126" s="86"/>
    </row>
    <row r="127" spans="2:9" x14ac:dyDescent="0.35">
      <c r="B127" s="85" t="s">
        <v>37</v>
      </c>
      <c r="C127" s="85" t="s">
        <v>98</v>
      </c>
      <c r="D127" s="85" t="s">
        <v>36</v>
      </c>
      <c r="E127" s="86">
        <v>8</v>
      </c>
      <c r="F127" s="86">
        <v>0</v>
      </c>
      <c r="G127" s="86"/>
      <c r="H127" s="86" t="str">
        <f t="shared" si="1"/>
        <v>B02.00</v>
      </c>
      <c r="I127" s="86"/>
    </row>
    <row r="128" spans="2:9" x14ac:dyDescent="0.35">
      <c r="B128" s="85" t="s">
        <v>37</v>
      </c>
      <c r="C128" s="85" t="s">
        <v>98</v>
      </c>
      <c r="D128" s="85" t="s">
        <v>39</v>
      </c>
      <c r="E128" s="86">
        <v>8</v>
      </c>
      <c r="F128" s="86">
        <v>0</v>
      </c>
      <c r="G128" s="86"/>
      <c r="H128" s="86" t="str">
        <f t="shared" si="1"/>
        <v>B02.00</v>
      </c>
      <c r="I128" s="86" t="s">
        <v>322</v>
      </c>
    </row>
    <row r="129" spans="2:9" x14ac:dyDescent="0.35">
      <c r="B129" s="85" t="s">
        <v>37</v>
      </c>
      <c r="C129" s="85" t="s">
        <v>99</v>
      </c>
      <c r="D129" s="85" t="s">
        <v>36</v>
      </c>
      <c r="E129" s="86">
        <v>8</v>
      </c>
      <c r="F129" s="86">
        <v>2</v>
      </c>
      <c r="G129" s="86"/>
      <c r="H129" s="86" t="str">
        <f t="shared" si="1"/>
        <v>B02.00</v>
      </c>
      <c r="I129" s="86" t="s">
        <v>322</v>
      </c>
    </row>
    <row r="130" spans="2:9" x14ac:dyDescent="0.35">
      <c r="B130" s="85" t="s">
        <v>37</v>
      </c>
      <c r="C130" s="85" t="s">
        <v>99</v>
      </c>
      <c r="D130" s="85" t="s">
        <v>39</v>
      </c>
      <c r="E130" s="86">
        <v>8</v>
      </c>
      <c r="F130" s="86">
        <v>0</v>
      </c>
      <c r="G130" s="86"/>
      <c r="H130" s="86" t="str">
        <f t="shared" si="1"/>
        <v>B02.00</v>
      </c>
      <c r="I130" s="86" t="s">
        <v>322</v>
      </c>
    </row>
    <row r="131" spans="2:9" x14ac:dyDescent="0.35">
      <c r="B131" s="85" t="s">
        <v>37</v>
      </c>
      <c r="C131" s="85" t="s">
        <v>100</v>
      </c>
      <c r="D131" s="85" t="s">
        <v>36</v>
      </c>
      <c r="E131" s="86">
        <v>8</v>
      </c>
      <c r="F131" s="86">
        <v>0</v>
      </c>
      <c r="G131" s="86"/>
      <c r="H131" s="86" t="str">
        <f t="shared" si="1"/>
        <v>B02.00</v>
      </c>
      <c r="I131" s="86"/>
    </row>
    <row r="132" spans="2:9" x14ac:dyDescent="0.35">
      <c r="B132" s="85" t="s">
        <v>37</v>
      </c>
      <c r="C132" s="85" t="s">
        <v>100</v>
      </c>
      <c r="D132" s="85" t="s">
        <v>39</v>
      </c>
      <c r="E132" s="86">
        <v>8</v>
      </c>
      <c r="F132" s="86">
        <v>0</v>
      </c>
      <c r="G132" s="86"/>
      <c r="H132" s="86" t="str">
        <f t="shared" si="1"/>
        <v>B02.00</v>
      </c>
      <c r="I132" s="86"/>
    </row>
    <row r="133" spans="2:9" x14ac:dyDescent="0.35">
      <c r="B133" s="85" t="s">
        <v>37</v>
      </c>
      <c r="C133" s="85" t="s">
        <v>101</v>
      </c>
      <c r="D133" s="85" t="s">
        <v>36</v>
      </c>
      <c r="E133" s="86">
        <v>8</v>
      </c>
      <c r="F133" s="86">
        <v>0</v>
      </c>
      <c r="G133" s="86"/>
      <c r="H133" s="86" t="str">
        <f t="shared" si="1"/>
        <v>B02.00</v>
      </c>
      <c r="I133" s="86"/>
    </row>
    <row r="134" spans="2:9" x14ac:dyDescent="0.35">
      <c r="B134" s="85" t="s">
        <v>37</v>
      </c>
      <c r="C134" s="85" t="s">
        <v>101</v>
      </c>
      <c r="D134" s="85" t="s">
        <v>39</v>
      </c>
      <c r="E134" s="86">
        <v>8</v>
      </c>
      <c r="F134" s="86">
        <v>0</v>
      </c>
      <c r="G134" s="86"/>
      <c r="H134" s="86" t="str">
        <f t="shared" si="1"/>
        <v>B02.00</v>
      </c>
      <c r="I134" s="86"/>
    </row>
    <row r="135" spans="2:9" x14ac:dyDescent="0.35">
      <c r="B135" s="85" t="s">
        <v>37</v>
      </c>
      <c r="C135" s="85" t="s">
        <v>102</v>
      </c>
      <c r="D135" s="85" t="s">
        <v>36</v>
      </c>
      <c r="E135" s="86">
        <v>8</v>
      </c>
      <c r="F135" s="86">
        <v>0</v>
      </c>
      <c r="G135" s="86"/>
      <c r="H135" s="86" t="str">
        <f t="shared" si="1"/>
        <v>B02.00</v>
      </c>
      <c r="I135" s="86"/>
    </row>
    <row r="136" spans="2:9" x14ac:dyDescent="0.35">
      <c r="B136" s="85" t="s">
        <v>37</v>
      </c>
      <c r="C136" s="85" t="s">
        <v>102</v>
      </c>
      <c r="D136" s="85" t="s">
        <v>39</v>
      </c>
      <c r="E136" s="86">
        <v>8</v>
      </c>
      <c r="F136" s="86">
        <v>8</v>
      </c>
      <c r="G136" s="86"/>
      <c r="H136" s="86" t="str">
        <f t="shared" si="1"/>
        <v>B02.00</v>
      </c>
      <c r="I136" s="86"/>
    </row>
    <row r="137" spans="2:9" x14ac:dyDescent="0.35">
      <c r="B137" s="85" t="s">
        <v>37</v>
      </c>
      <c r="C137" s="85" t="s">
        <v>103</v>
      </c>
      <c r="D137" s="85" t="s">
        <v>36</v>
      </c>
      <c r="E137" s="86">
        <v>8</v>
      </c>
      <c r="F137" s="86">
        <v>0</v>
      </c>
      <c r="G137" s="86"/>
      <c r="H137" s="86" t="str">
        <f t="shared" si="1"/>
        <v>B02.00</v>
      </c>
      <c r="I137" s="86"/>
    </row>
    <row r="138" spans="2:9" x14ac:dyDescent="0.35">
      <c r="B138" s="85" t="s">
        <v>37</v>
      </c>
      <c r="C138" s="85" t="s">
        <v>103</v>
      </c>
      <c r="D138" s="85" t="s">
        <v>39</v>
      </c>
      <c r="E138" s="86">
        <v>8</v>
      </c>
      <c r="F138" s="86">
        <v>8</v>
      </c>
      <c r="G138" s="86"/>
      <c r="H138" s="86" t="str">
        <f t="shared" ref="H138:H154" si="2">MID(B138,22,3)&amp;"."&amp;MID(B138,25,2)</f>
        <v>B02.00</v>
      </c>
      <c r="I138" s="86"/>
    </row>
    <row r="139" spans="2:9" x14ac:dyDescent="0.35">
      <c r="B139" s="85" t="s">
        <v>37</v>
      </c>
      <c r="C139" s="85" t="s">
        <v>104</v>
      </c>
      <c r="D139" s="85" t="s">
        <v>36</v>
      </c>
      <c r="E139" s="86">
        <v>8</v>
      </c>
      <c r="F139" s="86">
        <v>0</v>
      </c>
      <c r="G139" s="86"/>
      <c r="H139" s="86" t="str">
        <f t="shared" si="2"/>
        <v>B02.00</v>
      </c>
      <c r="I139" s="86"/>
    </row>
    <row r="140" spans="2:9" x14ac:dyDescent="0.35">
      <c r="B140" s="85" t="s">
        <v>37</v>
      </c>
      <c r="C140" s="85" t="s">
        <v>104</v>
      </c>
      <c r="D140" s="85" t="s">
        <v>39</v>
      </c>
      <c r="E140" s="86">
        <v>8</v>
      </c>
      <c r="F140" s="86">
        <v>8</v>
      </c>
      <c r="G140" s="86"/>
      <c r="H140" s="86" t="str">
        <f t="shared" si="2"/>
        <v>B02.00</v>
      </c>
      <c r="I140" s="86"/>
    </row>
    <row r="141" spans="2:9" x14ac:dyDescent="0.35">
      <c r="B141" s="85" t="s">
        <v>37</v>
      </c>
      <c r="C141" s="85" t="s">
        <v>105</v>
      </c>
      <c r="D141" s="85" t="s">
        <v>36</v>
      </c>
      <c r="E141" s="86">
        <v>8</v>
      </c>
      <c r="F141" s="86">
        <v>0</v>
      </c>
      <c r="G141" s="86"/>
      <c r="H141" s="86" t="str">
        <f t="shared" si="2"/>
        <v>B02.00</v>
      </c>
      <c r="I141" s="86"/>
    </row>
    <row r="142" spans="2:9" x14ac:dyDescent="0.35">
      <c r="B142" s="85" t="s">
        <v>37</v>
      </c>
      <c r="C142" s="85" t="s">
        <v>105</v>
      </c>
      <c r="D142" s="85" t="s">
        <v>39</v>
      </c>
      <c r="E142" s="86">
        <v>8</v>
      </c>
      <c r="F142" s="86">
        <v>0</v>
      </c>
      <c r="G142" s="86"/>
      <c r="H142" s="86" t="str">
        <f t="shared" si="2"/>
        <v>B02.00</v>
      </c>
      <c r="I142" s="86"/>
    </row>
    <row r="143" spans="2:9" x14ac:dyDescent="0.35">
      <c r="B143" s="85" t="s">
        <v>37</v>
      </c>
      <c r="C143" s="85" t="s">
        <v>106</v>
      </c>
      <c r="D143" s="85" t="s">
        <v>36</v>
      </c>
      <c r="E143" s="86">
        <v>8</v>
      </c>
      <c r="F143" s="86">
        <v>0</v>
      </c>
      <c r="G143" s="86"/>
      <c r="H143" s="86" t="str">
        <f t="shared" si="2"/>
        <v>B02.00</v>
      </c>
      <c r="I143" s="86"/>
    </row>
    <row r="144" spans="2:9" x14ac:dyDescent="0.35">
      <c r="B144" s="85" t="s">
        <v>37</v>
      </c>
      <c r="C144" s="85" t="s">
        <v>106</v>
      </c>
      <c r="D144" s="85" t="s">
        <v>39</v>
      </c>
      <c r="E144" s="86">
        <v>8</v>
      </c>
      <c r="F144" s="86">
        <v>0</v>
      </c>
      <c r="G144" s="86"/>
      <c r="H144" s="86" t="str">
        <f t="shared" si="2"/>
        <v>B02.00</v>
      </c>
      <c r="I144" s="86"/>
    </row>
    <row r="145" spans="2:9" x14ac:dyDescent="0.35">
      <c r="B145" s="85" t="s">
        <v>37</v>
      </c>
      <c r="C145" s="85" t="s">
        <v>107</v>
      </c>
      <c r="D145" s="85" t="s">
        <v>36</v>
      </c>
      <c r="E145" s="86">
        <v>8</v>
      </c>
      <c r="F145" s="86">
        <v>0</v>
      </c>
      <c r="G145" s="86"/>
      <c r="H145" s="86" t="str">
        <f t="shared" si="2"/>
        <v>B02.00</v>
      </c>
      <c r="I145" s="86"/>
    </row>
    <row r="146" spans="2:9" x14ac:dyDescent="0.35">
      <c r="B146" s="85" t="s">
        <v>37</v>
      </c>
      <c r="C146" s="85" t="s">
        <v>107</v>
      </c>
      <c r="D146" s="85" t="s">
        <v>39</v>
      </c>
      <c r="E146" s="86">
        <v>8</v>
      </c>
      <c r="F146" s="86">
        <v>0</v>
      </c>
      <c r="G146" s="86"/>
      <c r="H146" s="86" t="str">
        <f t="shared" si="2"/>
        <v>B02.00</v>
      </c>
      <c r="I146" s="86" t="s">
        <v>322</v>
      </c>
    </row>
    <row r="147" spans="2:9" x14ac:dyDescent="0.35">
      <c r="B147" s="85" t="s">
        <v>37</v>
      </c>
      <c r="C147" s="85" t="s">
        <v>108</v>
      </c>
      <c r="D147" s="85" t="s">
        <v>36</v>
      </c>
      <c r="E147" s="86">
        <v>8</v>
      </c>
      <c r="F147" s="86">
        <v>0</v>
      </c>
      <c r="G147" s="86"/>
      <c r="H147" s="86" t="str">
        <f t="shared" si="2"/>
        <v>B02.00</v>
      </c>
      <c r="I147" s="86" t="s">
        <v>322</v>
      </c>
    </row>
    <row r="148" spans="2:9" x14ac:dyDescent="0.35">
      <c r="B148" s="85" t="s">
        <v>37</v>
      </c>
      <c r="C148" s="85" t="s">
        <v>108</v>
      </c>
      <c r="D148" s="85" t="s">
        <v>39</v>
      </c>
      <c r="E148" s="86">
        <v>8</v>
      </c>
      <c r="F148" s="86">
        <v>0</v>
      </c>
      <c r="G148" s="86"/>
      <c r="H148" s="86" t="str">
        <f t="shared" si="2"/>
        <v>B02.00</v>
      </c>
      <c r="I148" s="86" t="s">
        <v>322</v>
      </c>
    </row>
    <row r="149" spans="2:9" x14ac:dyDescent="0.35">
      <c r="B149" s="85" t="s">
        <v>37</v>
      </c>
      <c r="C149" s="85" t="s">
        <v>109</v>
      </c>
      <c r="D149" s="85" t="s">
        <v>36</v>
      </c>
      <c r="E149" s="86">
        <v>8</v>
      </c>
      <c r="F149" s="86">
        <v>0</v>
      </c>
      <c r="G149" s="86"/>
      <c r="H149" s="86" t="str">
        <f t="shared" si="2"/>
        <v>B02.00</v>
      </c>
      <c r="I149" s="86" t="s">
        <v>322</v>
      </c>
    </row>
    <row r="150" spans="2:9" x14ac:dyDescent="0.35">
      <c r="B150" s="85" t="s">
        <v>37</v>
      </c>
      <c r="C150" s="85" t="s">
        <v>109</v>
      </c>
      <c r="D150" s="85" t="s">
        <v>39</v>
      </c>
      <c r="E150" s="86">
        <v>8</v>
      </c>
      <c r="F150" s="86">
        <v>8</v>
      </c>
      <c r="G150" s="86"/>
      <c r="H150" s="86" t="str">
        <f t="shared" si="2"/>
        <v>B02.00</v>
      </c>
      <c r="I150" s="86" t="s">
        <v>322</v>
      </c>
    </row>
    <row r="151" spans="2:9" x14ac:dyDescent="0.35">
      <c r="B151" s="85" t="s">
        <v>37</v>
      </c>
      <c r="C151" s="85" t="s">
        <v>110</v>
      </c>
      <c r="D151" s="85" t="s">
        <v>36</v>
      </c>
      <c r="E151" s="86">
        <v>8</v>
      </c>
      <c r="F151" s="86">
        <v>0</v>
      </c>
      <c r="G151" s="86"/>
      <c r="H151" s="86" t="str">
        <f t="shared" si="2"/>
        <v>B02.00</v>
      </c>
      <c r="I151" s="86"/>
    </row>
    <row r="152" spans="2:9" x14ac:dyDescent="0.35">
      <c r="B152" s="85" t="s">
        <v>37</v>
      </c>
      <c r="C152" s="85" t="s">
        <v>110</v>
      </c>
      <c r="D152" s="85" t="s">
        <v>39</v>
      </c>
      <c r="E152" s="86">
        <v>8</v>
      </c>
      <c r="F152" s="86">
        <v>0</v>
      </c>
      <c r="G152" s="86"/>
      <c r="H152" s="86" t="str">
        <f t="shared" si="2"/>
        <v>B02.00</v>
      </c>
      <c r="I152" s="86"/>
    </row>
    <row r="153" spans="2:9" x14ac:dyDescent="0.35">
      <c r="B153" s="85" t="s">
        <v>37</v>
      </c>
      <c r="C153" s="85" t="s">
        <v>111</v>
      </c>
      <c r="D153" s="85" t="s">
        <v>36</v>
      </c>
      <c r="E153" s="86">
        <v>8</v>
      </c>
      <c r="F153" s="86">
        <v>0</v>
      </c>
      <c r="G153" s="86"/>
      <c r="H153" s="86" t="str">
        <f t="shared" si="2"/>
        <v>B02.00</v>
      </c>
      <c r="I153" s="86"/>
    </row>
    <row r="154" spans="2:9" x14ac:dyDescent="0.35">
      <c r="B154" s="85" t="s">
        <v>37</v>
      </c>
      <c r="C154" s="85" t="s">
        <v>111</v>
      </c>
      <c r="D154" s="85" t="s">
        <v>39</v>
      </c>
      <c r="E154" s="86">
        <v>8</v>
      </c>
      <c r="F154" s="86">
        <v>0</v>
      </c>
      <c r="G154" s="86"/>
      <c r="H154" s="86" t="str">
        <f t="shared" si="2"/>
        <v>B02.00</v>
      </c>
      <c r="I154" s="86"/>
    </row>
    <row r="155" spans="2:9" x14ac:dyDescent="0.35">
      <c r="B155" s="98" t="s">
        <v>331</v>
      </c>
      <c r="C155" s="98" t="s">
        <v>332</v>
      </c>
      <c r="D155" s="98" t="s">
        <v>323</v>
      </c>
      <c r="E155" s="99">
        <v>9460</v>
      </c>
      <c r="F155" s="99">
        <v>0</v>
      </c>
      <c r="G155" s="99" t="s">
        <v>337</v>
      </c>
      <c r="H155" s="99" t="str">
        <f>MID(B155,22,3)&amp;"."&amp;MID(B155,25,2)</f>
        <v>B05.00</v>
      </c>
      <c r="I155" s="99"/>
    </row>
    <row r="156" spans="2:9" x14ac:dyDescent="0.35">
      <c r="B156" s="98" t="s">
        <v>333</v>
      </c>
      <c r="C156" s="98" t="s">
        <v>334</v>
      </c>
      <c r="D156" s="98" t="s">
        <v>323</v>
      </c>
      <c r="E156" s="99">
        <v>4740</v>
      </c>
      <c r="F156" s="99">
        <v>0</v>
      </c>
      <c r="G156" s="99" t="s">
        <v>337</v>
      </c>
      <c r="H156" s="99" t="str">
        <f>MID(B156,22,3)&amp;"."&amp;MID(B156,25,2)</f>
        <v>B90.00</v>
      </c>
      <c r="I156" s="99"/>
    </row>
    <row r="157" spans="2:9" x14ac:dyDescent="0.35">
      <c r="B157" s="98" t="s">
        <v>37</v>
      </c>
      <c r="C157" s="98" t="s">
        <v>40</v>
      </c>
      <c r="D157" s="98" t="s">
        <v>323</v>
      </c>
      <c r="E157" s="99">
        <v>8</v>
      </c>
      <c r="F157" s="99">
        <v>0</v>
      </c>
      <c r="G157" s="99" t="s">
        <v>337</v>
      </c>
      <c r="H157" s="99" t="str">
        <f>MID(B157,22,3)&amp;"."&amp;MID(B157,25,2)</f>
        <v>B02.00</v>
      </c>
      <c r="I157" s="99"/>
    </row>
    <row r="158" spans="2:9" x14ac:dyDescent="0.35">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2:I161"/>
  <sheetViews>
    <sheetView tabSelected="1" workbookViewId="0">
      <selection activeCell="A2" sqref="A2:I161"/>
    </sheetView>
  </sheetViews>
  <sheetFormatPr defaultRowHeight="14.5" x14ac:dyDescent="0.35"/>
  <cols>
    <col min="1" max="1" width="10.36328125" bestFit="1" customWidth="1"/>
    <col min="2" max="2" width="43.08984375" bestFit="1" customWidth="1"/>
    <col min="3" max="3" width="16.1796875" bestFit="1" customWidth="1"/>
    <col min="4" max="4" width="51" bestFit="1" customWidth="1"/>
    <col min="5" max="5" width="45.36328125" bestFit="1" customWidth="1"/>
    <col min="6" max="6" width="80.7265625" bestFit="1" customWidth="1"/>
    <col min="7" max="7" width="10.6328125" bestFit="1" customWidth="1"/>
    <col min="8" max="8" width="13.7265625" bestFit="1" customWidth="1"/>
    <col min="9" max="9" width="80.7265625" bestFit="1" customWidth="1"/>
  </cols>
  <sheetData>
    <row r="2" spans="1:9" x14ac:dyDescent="0.35">
      <c r="A2" t="s">
        <v>342</v>
      </c>
      <c r="B2" t="s">
        <v>343</v>
      </c>
      <c r="C2" t="s">
        <v>328</v>
      </c>
      <c r="D2" t="s">
        <v>344</v>
      </c>
      <c r="E2" t="s">
        <v>326</v>
      </c>
      <c r="F2" t="s">
        <v>327</v>
      </c>
      <c r="G2" t="s">
        <v>329</v>
      </c>
      <c r="H2" t="s">
        <v>330</v>
      </c>
      <c r="I2" t="s">
        <v>338</v>
      </c>
    </row>
    <row r="3" spans="1:9" x14ac:dyDescent="0.35">
      <c r="A3" t="s">
        <v>341</v>
      </c>
      <c r="B3" t="s">
        <v>363</v>
      </c>
      <c r="C3" t="s">
        <v>364</v>
      </c>
      <c r="D3" t="s">
        <v>365</v>
      </c>
      <c r="E3" t="s">
        <v>37</v>
      </c>
      <c r="F3" t="s">
        <v>38</v>
      </c>
      <c r="G3">
        <v>8</v>
      </c>
      <c r="H3">
        <v>0</v>
      </c>
    </row>
    <row r="4" spans="1:9" x14ac:dyDescent="0.35">
      <c r="A4" t="s">
        <v>341</v>
      </c>
      <c r="B4" t="s">
        <v>366</v>
      </c>
      <c r="C4" t="s">
        <v>364</v>
      </c>
      <c r="D4" t="s">
        <v>365</v>
      </c>
      <c r="E4" t="s">
        <v>37</v>
      </c>
      <c r="F4" t="s">
        <v>40</v>
      </c>
      <c r="G4">
        <v>8</v>
      </c>
      <c r="H4">
        <v>0</v>
      </c>
    </row>
    <row r="5" spans="1:9" x14ac:dyDescent="0.35">
      <c r="A5" t="s">
        <v>341</v>
      </c>
      <c r="B5" t="s">
        <v>367</v>
      </c>
      <c r="C5" t="s">
        <v>364</v>
      </c>
      <c r="D5" t="s">
        <v>365</v>
      </c>
      <c r="E5" t="s">
        <v>37</v>
      </c>
      <c r="F5" t="s">
        <v>41</v>
      </c>
      <c r="G5">
        <v>8</v>
      </c>
      <c r="H5">
        <v>0</v>
      </c>
    </row>
    <row r="6" spans="1:9" x14ac:dyDescent="0.35">
      <c r="A6" t="s">
        <v>341</v>
      </c>
      <c r="B6" t="s">
        <v>368</v>
      </c>
      <c r="C6" t="s">
        <v>364</v>
      </c>
      <c r="D6" t="s">
        <v>365</v>
      </c>
      <c r="E6" t="s">
        <v>37</v>
      </c>
      <c r="F6" t="s">
        <v>42</v>
      </c>
      <c r="G6">
        <v>8</v>
      </c>
      <c r="H6">
        <v>0</v>
      </c>
    </row>
    <row r="7" spans="1:9" x14ac:dyDescent="0.35">
      <c r="A7" t="s">
        <v>341</v>
      </c>
      <c r="B7" t="s">
        <v>369</v>
      </c>
      <c r="C7" t="s">
        <v>364</v>
      </c>
      <c r="D7" t="s">
        <v>365</v>
      </c>
      <c r="E7" t="s">
        <v>37</v>
      </c>
      <c r="F7" t="s">
        <v>43</v>
      </c>
      <c r="G7">
        <v>8</v>
      </c>
      <c r="H7">
        <v>0</v>
      </c>
    </row>
    <row r="8" spans="1:9" x14ac:dyDescent="0.35">
      <c r="A8" t="s">
        <v>341</v>
      </c>
      <c r="B8" t="s">
        <v>370</v>
      </c>
      <c r="C8" t="s">
        <v>364</v>
      </c>
      <c r="D8" t="s">
        <v>365</v>
      </c>
      <c r="E8" t="s">
        <v>37</v>
      </c>
      <c r="F8" t="s">
        <v>44</v>
      </c>
      <c r="G8">
        <v>8</v>
      </c>
      <c r="H8">
        <v>0</v>
      </c>
    </row>
    <row r="9" spans="1:9" x14ac:dyDescent="0.35">
      <c r="A9" t="s">
        <v>341</v>
      </c>
      <c r="B9" t="s">
        <v>371</v>
      </c>
      <c r="C9" t="s">
        <v>364</v>
      </c>
      <c r="D9" t="s">
        <v>365</v>
      </c>
      <c r="E9" t="s">
        <v>37</v>
      </c>
      <c r="F9" t="s">
        <v>45</v>
      </c>
      <c r="G9">
        <v>8</v>
      </c>
      <c r="H9">
        <v>0</v>
      </c>
    </row>
    <row r="10" spans="1:9" x14ac:dyDescent="0.35">
      <c r="A10" t="s">
        <v>341</v>
      </c>
      <c r="B10" t="s">
        <v>372</v>
      </c>
      <c r="C10" t="s">
        <v>364</v>
      </c>
      <c r="D10" t="s">
        <v>365</v>
      </c>
      <c r="E10" t="s">
        <v>37</v>
      </c>
      <c r="F10" t="s">
        <v>373</v>
      </c>
      <c r="G10">
        <v>8</v>
      </c>
      <c r="H10">
        <v>8</v>
      </c>
      <c r="I10" t="s">
        <v>455</v>
      </c>
    </row>
    <row r="11" spans="1:9" x14ac:dyDescent="0.35">
      <c r="A11" t="s">
        <v>341</v>
      </c>
      <c r="B11" t="s">
        <v>374</v>
      </c>
      <c r="C11" t="s">
        <v>364</v>
      </c>
      <c r="D11" t="s">
        <v>365</v>
      </c>
      <c r="E11" t="s">
        <v>37</v>
      </c>
      <c r="F11" t="s">
        <v>375</v>
      </c>
      <c r="G11">
        <v>8</v>
      </c>
      <c r="H11">
        <v>8</v>
      </c>
      <c r="I11" t="s">
        <v>455</v>
      </c>
    </row>
    <row r="12" spans="1:9" x14ac:dyDescent="0.35">
      <c r="A12" t="s">
        <v>341</v>
      </c>
      <c r="B12" t="s">
        <v>376</v>
      </c>
      <c r="C12" t="s">
        <v>364</v>
      </c>
      <c r="D12" t="s">
        <v>365</v>
      </c>
      <c r="E12" t="s">
        <v>37</v>
      </c>
      <c r="F12" t="s">
        <v>46</v>
      </c>
      <c r="G12">
        <v>8</v>
      </c>
      <c r="H12">
        <v>0</v>
      </c>
    </row>
    <row r="13" spans="1:9" x14ac:dyDescent="0.35">
      <c r="A13" t="s">
        <v>341</v>
      </c>
      <c r="B13" t="s">
        <v>377</v>
      </c>
      <c r="C13" t="s">
        <v>364</v>
      </c>
      <c r="D13" t="s">
        <v>365</v>
      </c>
      <c r="E13" t="s">
        <v>37</v>
      </c>
      <c r="F13" t="s">
        <v>47</v>
      </c>
      <c r="G13">
        <v>8</v>
      </c>
      <c r="H13">
        <v>0</v>
      </c>
    </row>
    <row r="14" spans="1:9" x14ac:dyDescent="0.35">
      <c r="A14" t="s">
        <v>341</v>
      </c>
      <c r="B14" t="s">
        <v>378</v>
      </c>
      <c r="C14" t="s">
        <v>364</v>
      </c>
      <c r="D14" t="s">
        <v>365</v>
      </c>
      <c r="E14" t="s">
        <v>37</v>
      </c>
      <c r="F14" t="s">
        <v>379</v>
      </c>
      <c r="G14">
        <v>8</v>
      </c>
      <c r="H14">
        <v>8</v>
      </c>
      <c r="I14" t="s">
        <v>455</v>
      </c>
    </row>
    <row r="15" spans="1:9" x14ac:dyDescent="0.35">
      <c r="A15" t="s">
        <v>341</v>
      </c>
      <c r="B15" t="s">
        <v>380</v>
      </c>
      <c r="C15" t="s">
        <v>364</v>
      </c>
      <c r="D15" t="s">
        <v>365</v>
      </c>
      <c r="E15" t="s">
        <v>37</v>
      </c>
      <c r="F15" t="s">
        <v>381</v>
      </c>
      <c r="G15">
        <v>8</v>
      </c>
      <c r="H15">
        <v>8</v>
      </c>
      <c r="I15" t="s">
        <v>455</v>
      </c>
    </row>
    <row r="16" spans="1:9" x14ac:dyDescent="0.35">
      <c r="A16" t="s">
        <v>341</v>
      </c>
      <c r="B16" t="s">
        <v>382</v>
      </c>
      <c r="C16" t="s">
        <v>364</v>
      </c>
      <c r="D16" t="s">
        <v>365</v>
      </c>
      <c r="E16" t="s">
        <v>37</v>
      </c>
      <c r="F16" t="s">
        <v>48</v>
      </c>
      <c r="G16">
        <v>8</v>
      </c>
      <c r="H16">
        <v>0</v>
      </c>
    </row>
    <row r="17" spans="1:8" x14ac:dyDescent="0.35">
      <c r="A17" t="s">
        <v>341</v>
      </c>
      <c r="B17" t="s">
        <v>383</v>
      </c>
      <c r="C17" t="s">
        <v>364</v>
      </c>
      <c r="D17" t="s">
        <v>365</v>
      </c>
      <c r="E17" t="s">
        <v>37</v>
      </c>
      <c r="F17" t="s">
        <v>49</v>
      </c>
      <c r="G17">
        <v>8</v>
      </c>
      <c r="H17">
        <v>0</v>
      </c>
    </row>
    <row r="18" spans="1:8" x14ac:dyDescent="0.35">
      <c r="A18" t="s">
        <v>341</v>
      </c>
      <c r="B18" t="s">
        <v>384</v>
      </c>
      <c r="C18" t="s">
        <v>364</v>
      </c>
      <c r="D18" t="s">
        <v>365</v>
      </c>
      <c r="E18" t="s">
        <v>37</v>
      </c>
      <c r="F18" t="s">
        <v>50</v>
      </c>
      <c r="G18">
        <v>8</v>
      </c>
      <c r="H18">
        <v>0</v>
      </c>
    </row>
    <row r="19" spans="1:8" x14ac:dyDescent="0.35">
      <c r="A19" t="s">
        <v>341</v>
      </c>
      <c r="B19" t="s">
        <v>385</v>
      </c>
      <c r="C19" t="s">
        <v>364</v>
      </c>
      <c r="D19" t="s">
        <v>365</v>
      </c>
      <c r="E19" t="s">
        <v>37</v>
      </c>
      <c r="F19" t="s">
        <v>51</v>
      </c>
      <c r="G19">
        <v>8</v>
      </c>
      <c r="H19">
        <v>0</v>
      </c>
    </row>
    <row r="20" spans="1:8" x14ac:dyDescent="0.35">
      <c r="A20" t="s">
        <v>341</v>
      </c>
      <c r="B20" t="s">
        <v>386</v>
      </c>
      <c r="C20" t="s">
        <v>364</v>
      </c>
      <c r="D20" t="s">
        <v>365</v>
      </c>
      <c r="E20" t="s">
        <v>37</v>
      </c>
      <c r="F20" t="s">
        <v>52</v>
      </c>
      <c r="G20">
        <v>8</v>
      </c>
      <c r="H20">
        <v>0</v>
      </c>
    </row>
    <row r="21" spans="1:8" x14ac:dyDescent="0.35">
      <c r="A21" t="s">
        <v>341</v>
      </c>
      <c r="B21" t="s">
        <v>387</v>
      </c>
      <c r="C21" t="s">
        <v>364</v>
      </c>
      <c r="D21" t="s">
        <v>365</v>
      </c>
      <c r="E21" t="s">
        <v>37</v>
      </c>
      <c r="F21" t="s">
        <v>53</v>
      </c>
      <c r="G21">
        <v>8</v>
      </c>
      <c r="H21">
        <v>0</v>
      </c>
    </row>
    <row r="22" spans="1:8" x14ac:dyDescent="0.35">
      <c r="A22" t="s">
        <v>341</v>
      </c>
      <c r="B22" t="s">
        <v>388</v>
      </c>
      <c r="C22" t="s">
        <v>364</v>
      </c>
      <c r="D22" t="s">
        <v>365</v>
      </c>
      <c r="E22" t="s">
        <v>37</v>
      </c>
      <c r="F22" t="s">
        <v>54</v>
      </c>
      <c r="G22">
        <v>8</v>
      </c>
      <c r="H22">
        <v>0</v>
      </c>
    </row>
    <row r="23" spans="1:8" x14ac:dyDescent="0.35">
      <c r="A23" t="s">
        <v>341</v>
      </c>
      <c r="B23" t="s">
        <v>389</v>
      </c>
      <c r="C23" t="s">
        <v>364</v>
      </c>
      <c r="D23" t="s">
        <v>365</v>
      </c>
      <c r="E23" t="s">
        <v>37</v>
      </c>
      <c r="F23" t="s">
        <v>55</v>
      </c>
      <c r="G23">
        <v>8</v>
      </c>
      <c r="H23">
        <v>0</v>
      </c>
    </row>
    <row r="24" spans="1:8" x14ac:dyDescent="0.35">
      <c r="A24" t="s">
        <v>341</v>
      </c>
      <c r="B24" t="s">
        <v>390</v>
      </c>
      <c r="C24" t="s">
        <v>364</v>
      </c>
      <c r="D24" t="s">
        <v>365</v>
      </c>
      <c r="E24" t="s">
        <v>37</v>
      </c>
      <c r="F24" t="s">
        <v>56</v>
      </c>
      <c r="G24">
        <v>8</v>
      </c>
      <c r="H24">
        <v>0</v>
      </c>
    </row>
    <row r="25" spans="1:8" x14ac:dyDescent="0.35">
      <c r="A25" t="s">
        <v>341</v>
      </c>
      <c r="B25" t="s">
        <v>391</v>
      </c>
      <c r="C25" t="s">
        <v>364</v>
      </c>
      <c r="D25" t="s">
        <v>365</v>
      </c>
      <c r="E25" t="s">
        <v>37</v>
      </c>
      <c r="F25" t="s">
        <v>57</v>
      </c>
      <c r="G25">
        <v>8</v>
      </c>
      <c r="H25">
        <v>0</v>
      </c>
    </row>
    <row r="26" spans="1:8" x14ac:dyDescent="0.35">
      <c r="A26" t="s">
        <v>341</v>
      </c>
      <c r="B26" t="s">
        <v>392</v>
      </c>
      <c r="C26" t="s">
        <v>364</v>
      </c>
      <c r="D26" t="s">
        <v>365</v>
      </c>
      <c r="E26" t="s">
        <v>37</v>
      </c>
      <c r="F26" t="s">
        <v>58</v>
      </c>
      <c r="G26">
        <v>8</v>
      </c>
      <c r="H26">
        <v>0</v>
      </c>
    </row>
    <row r="27" spans="1:8" x14ac:dyDescent="0.35">
      <c r="A27" t="s">
        <v>341</v>
      </c>
      <c r="B27" t="s">
        <v>393</v>
      </c>
      <c r="C27" t="s">
        <v>364</v>
      </c>
      <c r="D27" t="s">
        <v>365</v>
      </c>
      <c r="E27" t="s">
        <v>37</v>
      </c>
      <c r="F27" t="s">
        <v>59</v>
      </c>
      <c r="G27">
        <v>8</v>
      </c>
      <c r="H27">
        <v>0</v>
      </c>
    </row>
    <row r="28" spans="1:8" x14ac:dyDescent="0.35">
      <c r="A28" t="s">
        <v>341</v>
      </c>
      <c r="B28" t="s">
        <v>394</v>
      </c>
      <c r="C28" t="s">
        <v>364</v>
      </c>
      <c r="D28" t="s">
        <v>365</v>
      </c>
      <c r="E28" t="s">
        <v>37</v>
      </c>
      <c r="F28" t="s">
        <v>60</v>
      </c>
      <c r="G28">
        <v>8</v>
      </c>
      <c r="H28">
        <v>0</v>
      </c>
    </row>
    <row r="29" spans="1:8" x14ac:dyDescent="0.35">
      <c r="A29" t="s">
        <v>341</v>
      </c>
      <c r="B29" t="s">
        <v>395</v>
      </c>
      <c r="C29" t="s">
        <v>364</v>
      </c>
      <c r="D29" t="s">
        <v>365</v>
      </c>
      <c r="E29" t="s">
        <v>37</v>
      </c>
      <c r="F29" t="s">
        <v>61</v>
      </c>
      <c r="G29">
        <v>8</v>
      </c>
      <c r="H29">
        <v>0</v>
      </c>
    </row>
    <row r="30" spans="1:8" x14ac:dyDescent="0.35">
      <c r="A30" t="s">
        <v>341</v>
      </c>
      <c r="B30" t="s">
        <v>396</v>
      </c>
      <c r="C30" t="s">
        <v>364</v>
      </c>
      <c r="D30" t="s">
        <v>365</v>
      </c>
      <c r="E30" t="s">
        <v>37</v>
      </c>
      <c r="F30" t="s">
        <v>62</v>
      </c>
      <c r="G30">
        <v>8</v>
      </c>
      <c r="H30">
        <v>0</v>
      </c>
    </row>
    <row r="31" spans="1:8" x14ac:dyDescent="0.35">
      <c r="A31" t="s">
        <v>341</v>
      </c>
      <c r="B31" t="s">
        <v>397</v>
      </c>
      <c r="C31" t="s">
        <v>364</v>
      </c>
      <c r="D31" t="s">
        <v>365</v>
      </c>
      <c r="E31" t="s">
        <v>37</v>
      </c>
      <c r="F31" t="s">
        <v>63</v>
      </c>
      <c r="G31">
        <v>8</v>
      </c>
      <c r="H31">
        <v>0</v>
      </c>
    </row>
    <row r="32" spans="1:8" x14ac:dyDescent="0.35">
      <c r="A32" t="s">
        <v>341</v>
      </c>
      <c r="B32" t="s">
        <v>398</v>
      </c>
      <c r="C32" t="s">
        <v>364</v>
      </c>
      <c r="D32" t="s">
        <v>365</v>
      </c>
      <c r="E32" t="s">
        <v>37</v>
      </c>
      <c r="F32" t="s">
        <v>64</v>
      </c>
      <c r="G32">
        <v>8</v>
      </c>
      <c r="H32">
        <v>0</v>
      </c>
    </row>
    <row r="33" spans="1:9" x14ac:dyDescent="0.35">
      <c r="A33" t="s">
        <v>341</v>
      </c>
      <c r="B33" t="s">
        <v>399</v>
      </c>
      <c r="C33" t="s">
        <v>364</v>
      </c>
      <c r="D33" t="s">
        <v>365</v>
      </c>
      <c r="E33" t="s">
        <v>37</v>
      </c>
      <c r="F33" t="s">
        <v>65</v>
      </c>
      <c r="G33">
        <v>8</v>
      </c>
      <c r="H33">
        <v>0</v>
      </c>
    </row>
    <row r="34" spans="1:9" x14ac:dyDescent="0.35">
      <c r="A34" t="s">
        <v>341</v>
      </c>
      <c r="B34" t="s">
        <v>400</v>
      </c>
      <c r="C34" t="s">
        <v>364</v>
      </c>
      <c r="D34" t="s">
        <v>365</v>
      </c>
      <c r="E34" t="s">
        <v>37</v>
      </c>
      <c r="F34" t="s">
        <v>66</v>
      </c>
      <c r="G34">
        <v>8</v>
      </c>
      <c r="H34">
        <v>0</v>
      </c>
    </row>
    <row r="35" spans="1:9" x14ac:dyDescent="0.35">
      <c r="A35" t="s">
        <v>341</v>
      </c>
      <c r="B35" t="s">
        <v>401</v>
      </c>
      <c r="C35" t="s">
        <v>364</v>
      </c>
      <c r="D35" t="s">
        <v>365</v>
      </c>
      <c r="E35" t="s">
        <v>37</v>
      </c>
      <c r="F35" t="s">
        <v>67</v>
      </c>
      <c r="G35">
        <v>8</v>
      </c>
      <c r="H35">
        <v>0</v>
      </c>
    </row>
    <row r="36" spans="1:9" x14ac:dyDescent="0.35">
      <c r="A36" t="s">
        <v>341</v>
      </c>
      <c r="B36" t="s">
        <v>402</v>
      </c>
      <c r="C36" t="s">
        <v>364</v>
      </c>
      <c r="D36" t="s">
        <v>365</v>
      </c>
      <c r="E36" t="s">
        <v>37</v>
      </c>
      <c r="F36" t="s">
        <v>403</v>
      </c>
      <c r="G36">
        <v>8</v>
      </c>
      <c r="H36">
        <v>0</v>
      </c>
    </row>
    <row r="37" spans="1:9" x14ac:dyDescent="0.35">
      <c r="A37" t="s">
        <v>341</v>
      </c>
      <c r="B37" t="s">
        <v>404</v>
      </c>
      <c r="C37" t="s">
        <v>364</v>
      </c>
      <c r="D37" t="s">
        <v>365</v>
      </c>
      <c r="E37" t="s">
        <v>37</v>
      </c>
      <c r="F37" t="s">
        <v>69</v>
      </c>
      <c r="G37">
        <v>8</v>
      </c>
      <c r="H37">
        <v>0</v>
      </c>
    </row>
    <row r="38" spans="1:9" x14ac:dyDescent="0.35">
      <c r="A38" t="s">
        <v>341</v>
      </c>
      <c r="B38" t="s">
        <v>405</v>
      </c>
      <c r="C38" t="s">
        <v>364</v>
      </c>
      <c r="D38" t="s">
        <v>365</v>
      </c>
      <c r="E38" t="s">
        <v>37</v>
      </c>
      <c r="F38" t="s">
        <v>70</v>
      </c>
      <c r="G38">
        <v>8</v>
      </c>
      <c r="H38">
        <v>0</v>
      </c>
    </row>
    <row r="39" spans="1:9" x14ac:dyDescent="0.35">
      <c r="A39" t="s">
        <v>341</v>
      </c>
      <c r="B39" t="s">
        <v>406</v>
      </c>
      <c r="C39" t="s">
        <v>364</v>
      </c>
      <c r="D39" t="s">
        <v>365</v>
      </c>
      <c r="E39" t="s">
        <v>37</v>
      </c>
      <c r="F39" t="s">
        <v>71</v>
      </c>
      <c r="G39">
        <v>8</v>
      </c>
      <c r="H39">
        <v>0</v>
      </c>
    </row>
    <row r="40" spans="1:9" x14ac:dyDescent="0.35">
      <c r="A40" t="s">
        <v>341</v>
      </c>
      <c r="B40" t="s">
        <v>407</v>
      </c>
      <c r="C40" t="s">
        <v>364</v>
      </c>
      <c r="D40" t="s">
        <v>365</v>
      </c>
      <c r="E40" t="s">
        <v>37</v>
      </c>
      <c r="F40" t="s">
        <v>72</v>
      </c>
      <c r="G40">
        <v>8</v>
      </c>
      <c r="H40">
        <v>0</v>
      </c>
    </row>
    <row r="41" spans="1:9" x14ac:dyDescent="0.35">
      <c r="A41" t="s">
        <v>341</v>
      </c>
      <c r="B41" t="s">
        <v>408</v>
      </c>
      <c r="C41" t="s">
        <v>364</v>
      </c>
      <c r="D41" t="s">
        <v>365</v>
      </c>
      <c r="E41" t="s">
        <v>37</v>
      </c>
      <c r="F41" t="s">
        <v>73</v>
      </c>
      <c r="G41">
        <v>8</v>
      </c>
      <c r="H41">
        <v>0</v>
      </c>
    </row>
    <row r="42" spans="1:9" x14ac:dyDescent="0.35">
      <c r="A42" t="s">
        <v>341</v>
      </c>
      <c r="B42" t="s">
        <v>409</v>
      </c>
      <c r="C42" t="s">
        <v>364</v>
      </c>
      <c r="D42" t="s">
        <v>365</v>
      </c>
      <c r="E42" t="s">
        <v>37</v>
      </c>
      <c r="F42" t="s">
        <v>410</v>
      </c>
      <c r="G42">
        <v>8</v>
      </c>
      <c r="H42">
        <v>0</v>
      </c>
    </row>
    <row r="43" spans="1:9" x14ac:dyDescent="0.35">
      <c r="A43" t="s">
        <v>341</v>
      </c>
      <c r="B43" t="s">
        <v>411</v>
      </c>
      <c r="C43" t="s">
        <v>364</v>
      </c>
      <c r="D43" t="s">
        <v>365</v>
      </c>
      <c r="E43" t="s">
        <v>37</v>
      </c>
      <c r="F43" t="s">
        <v>74</v>
      </c>
      <c r="G43">
        <v>8</v>
      </c>
      <c r="H43">
        <v>0</v>
      </c>
    </row>
    <row r="44" spans="1:9" x14ac:dyDescent="0.35">
      <c r="A44" t="s">
        <v>341</v>
      </c>
      <c r="B44" t="s">
        <v>412</v>
      </c>
      <c r="C44" t="s">
        <v>364</v>
      </c>
      <c r="D44" t="s">
        <v>365</v>
      </c>
      <c r="E44" t="s">
        <v>37</v>
      </c>
      <c r="F44" t="s">
        <v>75</v>
      </c>
      <c r="G44">
        <v>8</v>
      </c>
      <c r="H44">
        <v>0</v>
      </c>
    </row>
    <row r="45" spans="1:9" x14ac:dyDescent="0.35">
      <c r="A45" t="s">
        <v>341</v>
      </c>
      <c r="B45" t="s">
        <v>413</v>
      </c>
      <c r="C45" t="s">
        <v>364</v>
      </c>
      <c r="D45" t="s">
        <v>365</v>
      </c>
      <c r="E45" t="s">
        <v>37</v>
      </c>
      <c r="F45" t="s">
        <v>414</v>
      </c>
      <c r="G45">
        <v>8</v>
      </c>
      <c r="H45">
        <v>8</v>
      </c>
      <c r="I45" t="s">
        <v>455</v>
      </c>
    </row>
    <row r="46" spans="1:9" x14ac:dyDescent="0.35">
      <c r="A46" t="s">
        <v>341</v>
      </c>
      <c r="B46" t="s">
        <v>415</v>
      </c>
      <c r="C46" t="s">
        <v>364</v>
      </c>
      <c r="D46" t="s">
        <v>365</v>
      </c>
      <c r="E46" t="s">
        <v>37</v>
      </c>
      <c r="F46" t="s">
        <v>416</v>
      </c>
      <c r="G46">
        <v>8</v>
      </c>
      <c r="H46">
        <v>8</v>
      </c>
      <c r="I46" t="s">
        <v>455</v>
      </c>
    </row>
    <row r="47" spans="1:9" x14ac:dyDescent="0.35">
      <c r="A47" t="s">
        <v>341</v>
      </c>
      <c r="B47" t="s">
        <v>417</v>
      </c>
      <c r="C47" t="s">
        <v>364</v>
      </c>
      <c r="D47" t="s">
        <v>365</v>
      </c>
      <c r="E47" t="s">
        <v>37</v>
      </c>
      <c r="F47" t="s">
        <v>418</v>
      </c>
      <c r="G47">
        <v>8</v>
      </c>
      <c r="H47">
        <v>8</v>
      </c>
      <c r="I47" t="s">
        <v>455</v>
      </c>
    </row>
    <row r="48" spans="1:9" x14ac:dyDescent="0.35">
      <c r="A48" t="s">
        <v>341</v>
      </c>
      <c r="B48" t="s">
        <v>419</v>
      </c>
      <c r="C48" t="s">
        <v>364</v>
      </c>
      <c r="D48" t="s">
        <v>365</v>
      </c>
      <c r="E48" t="s">
        <v>37</v>
      </c>
      <c r="F48" t="s">
        <v>76</v>
      </c>
      <c r="G48">
        <v>8</v>
      </c>
      <c r="H48">
        <v>0</v>
      </c>
    </row>
    <row r="49" spans="1:8" x14ac:dyDescent="0.35">
      <c r="A49" t="s">
        <v>341</v>
      </c>
      <c r="B49" t="s">
        <v>420</v>
      </c>
      <c r="C49" t="s">
        <v>364</v>
      </c>
      <c r="D49" t="s">
        <v>365</v>
      </c>
      <c r="E49" t="s">
        <v>37</v>
      </c>
      <c r="F49" t="s">
        <v>77</v>
      </c>
      <c r="G49">
        <v>8</v>
      </c>
      <c r="H49">
        <v>0</v>
      </c>
    </row>
    <row r="50" spans="1:8" x14ac:dyDescent="0.35">
      <c r="A50" t="s">
        <v>341</v>
      </c>
      <c r="B50" t="s">
        <v>421</v>
      </c>
      <c r="C50" t="s">
        <v>364</v>
      </c>
      <c r="D50" t="s">
        <v>365</v>
      </c>
      <c r="E50" t="s">
        <v>37</v>
      </c>
      <c r="F50" t="s">
        <v>78</v>
      </c>
      <c r="G50">
        <v>8</v>
      </c>
      <c r="H50">
        <v>0</v>
      </c>
    </row>
    <row r="51" spans="1:8" x14ac:dyDescent="0.35">
      <c r="A51" t="s">
        <v>341</v>
      </c>
      <c r="B51" t="s">
        <v>422</v>
      </c>
      <c r="C51" t="s">
        <v>364</v>
      </c>
      <c r="D51" t="s">
        <v>365</v>
      </c>
      <c r="E51" t="s">
        <v>37</v>
      </c>
      <c r="F51" t="s">
        <v>79</v>
      </c>
      <c r="G51">
        <v>8</v>
      </c>
      <c r="H51">
        <v>0</v>
      </c>
    </row>
    <row r="52" spans="1:8" x14ac:dyDescent="0.35">
      <c r="A52" t="s">
        <v>341</v>
      </c>
      <c r="B52" t="s">
        <v>423</v>
      </c>
      <c r="C52" t="s">
        <v>364</v>
      </c>
      <c r="D52" t="s">
        <v>365</v>
      </c>
      <c r="E52" t="s">
        <v>37</v>
      </c>
      <c r="F52" t="s">
        <v>80</v>
      </c>
      <c r="G52">
        <v>8</v>
      </c>
      <c r="H52">
        <v>0</v>
      </c>
    </row>
    <row r="53" spans="1:8" x14ac:dyDescent="0.35">
      <c r="A53" t="s">
        <v>341</v>
      </c>
      <c r="B53" t="s">
        <v>424</v>
      </c>
      <c r="C53" t="s">
        <v>364</v>
      </c>
      <c r="D53" t="s">
        <v>365</v>
      </c>
      <c r="E53" t="s">
        <v>37</v>
      </c>
      <c r="F53" t="s">
        <v>81</v>
      </c>
      <c r="G53">
        <v>8</v>
      </c>
      <c r="H53">
        <v>0</v>
      </c>
    </row>
    <row r="54" spans="1:8" x14ac:dyDescent="0.35">
      <c r="A54" t="s">
        <v>341</v>
      </c>
      <c r="B54" t="s">
        <v>425</v>
      </c>
      <c r="C54" t="s">
        <v>364</v>
      </c>
      <c r="D54" t="s">
        <v>365</v>
      </c>
      <c r="E54" t="s">
        <v>37</v>
      </c>
      <c r="F54" t="s">
        <v>82</v>
      </c>
      <c r="G54">
        <v>8</v>
      </c>
      <c r="H54">
        <v>0</v>
      </c>
    </row>
    <row r="55" spans="1:8" x14ac:dyDescent="0.35">
      <c r="A55" t="s">
        <v>341</v>
      </c>
      <c r="B55" t="s">
        <v>426</v>
      </c>
      <c r="C55" t="s">
        <v>364</v>
      </c>
      <c r="D55" t="s">
        <v>365</v>
      </c>
      <c r="E55" t="s">
        <v>37</v>
      </c>
      <c r="F55" t="s">
        <v>83</v>
      </c>
      <c r="G55">
        <v>8</v>
      </c>
      <c r="H55">
        <v>0</v>
      </c>
    </row>
    <row r="56" spans="1:8" x14ac:dyDescent="0.35">
      <c r="A56" t="s">
        <v>341</v>
      </c>
      <c r="B56" t="s">
        <v>427</v>
      </c>
      <c r="C56" t="s">
        <v>364</v>
      </c>
      <c r="D56" t="s">
        <v>365</v>
      </c>
      <c r="E56" t="s">
        <v>37</v>
      </c>
      <c r="F56" t="s">
        <v>84</v>
      </c>
      <c r="G56">
        <v>8</v>
      </c>
      <c r="H56">
        <v>0</v>
      </c>
    </row>
    <row r="57" spans="1:8" x14ac:dyDescent="0.35">
      <c r="A57" t="s">
        <v>341</v>
      </c>
      <c r="B57" t="s">
        <v>428</v>
      </c>
      <c r="C57" t="s">
        <v>364</v>
      </c>
      <c r="D57" t="s">
        <v>365</v>
      </c>
      <c r="E57" t="s">
        <v>37</v>
      </c>
      <c r="F57" t="s">
        <v>85</v>
      </c>
      <c r="G57">
        <v>8</v>
      </c>
      <c r="H57">
        <v>0</v>
      </c>
    </row>
    <row r="58" spans="1:8" x14ac:dyDescent="0.35">
      <c r="A58" t="s">
        <v>341</v>
      </c>
      <c r="B58" t="s">
        <v>429</v>
      </c>
      <c r="C58" t="s">
        <v>364</v>
      </c>
      <c r="D58" t="s">
        <v>365</v>
      </c>
      <c r="E58" t="s">
        <v>37</v>
      </c>
      <c r="F58" t="s">
        <v>86</v>
      </c>
      <c r="G58">
        <v>8</v>
      </c>
      <c r="H58">
        <v>0</v>
      </c>
    </row>
    <row r="59" spans="1:8" x14ac:dyDescent="0.35">
      <c r="A59" t="s">
        <v>341</v>
      </c>
      <c r="B59" t="s">
        <v>430</v>
      </c>
      <c r="C59" t="s">
        <v>364</v>
      </c>
      <c r="D59" t="s">
        <v>365</v>
      </c>
      <c r="E59" t="s">
        <v>37</v>
      </c>
      <c r="F59" t="s">
        <v>87</v>
      </c>
      <c r="G59">
        <v>8</v>
      </c>
      <c r="H59">
        <v>0</v>
      </c>
    </row>
    <row r="60" spans="1:8" x14ac:dyDescent="0.35">
      <c r="A60" t="s">
        <v>341</v>
      </c>
      <c r="B60" t="s">
        <v>431</v>
      </c>
      <c r="C60" t="s">
        <v>364</v>
      </c>
      <c r="D60" t="s">
        <v>365</v>
      </c>
      <c r="E60" t="s">
        <v>37</v>
      </c>
      <c r="F60" t="s">
        <v>88</v>
      </c>
      <c r="G60">
        <v>8</v>
      </c>
      <c r="H60">
        <v>0</v>
      </c>
    </row>
    <row r="61" spans="1:8" x14ac:dyDescent="0.35">
      <c r="A61" t="s">
        <v>341</v>
      </c>
      <c r="B61" t="s">
        <v>432</v>
      </c>
      <c r="C61" t="s">
        <v>364</v>
      </c>
      <c r="D61" t="s">
        <v>365</v>
      </c>
      <c r="E61" t="s">
        <v>37</v>
      </c>
      <c r="F61" t="s">
        <v>89</v>
      </c>
      <c r="G61">
        <v>8</v>
      </c>
      <c r="H61">
        <v>0</v>
      </c>
    </row>
    <row r="62" spans="1:8" x14ac:dyDescent="0.35">
      <c r="A62" t="s">
        <v>341</v>
      </c>
      <c r="B62" t="s">
        <v>433</v>
      </c>
      <c r="C62" t="s">
        <v>364</v>
      </c>
      <c r="D62" t="s">
        <v>365</v>
      </c>
      <c r="E62" t="s">
        <v>37</v>
      </c>
      <c r="F62" t="s">
        <v>90</v>
      </c>
      <c r="G62">
        <v>8</v>
      </c>
      <c r="H62">
        <v>0</v>
      </c>
    </row>
    <row r="63" spans="1:8" x14ac:dyDescent="0.35">
      <c r="A63" t="s">
        <v>341</v>
      </c>
      <c r="B63" t="s">
        <v>434</v>
      </c>
      <c r="C63" t="s">
        <v>364</v>
      </c>
      <c r="D63" t="s">
        <v>365</v>
      </c>
      <c r="E63" t="s">
        <v>37</v>
      </c>
      <c r="F63" t="s">
        <v>91</v>
      </c>
      <c r="G63">
        <v>8</v>
      </c>
      <c r="H63">
        <v>0</v>
      </c>
    </row>
    <row r="64" spans="1:8" x14ac:dyDescent="0.35">
      <c r="A64" t="s">
        <v>341</v>
      </c>
      <c r="B64" t="s">
        <v>435</v>
      </c>
      <c r="C64" t="s">
        <v>364</v>
      </c>
      <c r="D64" t="s">
        <v>365</v>
      </c>
      <c r="E64" t="s">
        <v>37</v>
      </c>
      <c r="F64" t="s">
        <v>92</v>
      </c>
      <c r="G64">
        <v>8</v>
      </c>
      <c r="H64">
        <v>0</v>
      </c>
    </row>
    <row r="65" spans="1:8" x14ac:dyDescent="0.35">
      <c r="A65" t="s">
        <v>341</v>
      </c>
      <c r="B65" t="s">
        <v>436</v>
      </c>
      <c r="C65" t="s">
        <v>364</v>
      </c>
      <c r="D65" t="s">
        <v>365</v>
      </c>
      <c r="E65" t="s">
        <v>37</v>
      </c>
      <c r="F65" t="s">
        <v>93</v>
      </c>
      <c r="G65">
        <v>8</v>
      </c>
      <c r="H65">
        <v>0</v>
      </c>
    </row>
    <row r="66" spans="1:8" x14ac:dyDescent="0.35">
      <c r="A66" t="s">
        <v>341</v>
      </c>
      <c r="B66" t="s">
        <v>437</v>
      </c>
      <c r="C66" t="s">
        <v>364</v>
      </c>
      <c r="D66" t="s">
        <v>365</v>
      </c>
      <c r="E66" t="s">
        <v>37</v>
      </c>
      <c r="F66" t="s">
        <v>94</v>
      </c>
      <c r="G66">
        <v>8</v>
      </c>
      <c r="H66">
        <v>0</v>
      </c>
    </row>
    <row r="67" spans="1:8" x14ac:dyDescent="0.35">
      <c r="A67" t="s">
        <v>341</v>
      </c>
      <c r="B67" t="s">
        <v>438</v>
      </c>
      <c r="C67" t="s">
        <v>364</v>
      </c>
      <c r="D67" t="s">
        <v>365</v>
      </c>
      <c r="E67" t="s">
        <v>37</v>
      </c>
      <c r="F67" t="s">
        <v>95</v>
      </c>
      <c r="G67">
        <v>8</v>
      </c>
      <c r="H67">
        <v>0</v>
      </c>
    </row>
    <row r="68" spans="1:8" x14ac:dyDescent="0.35">
      <c r="A68" t="s">
        <v>341</v>
      </c>
      <c r="B68" t="s">
        <v>439</v>
      </c>
      <c r="C68" t="s">
        <v>364</v>
      </c>
      <c r="D68" t="s">
        <v>365</v>
      </c>
      <c r="E68" t="s">
        <v>37</v>
      </c>
      <c r="F68" t="s">
        <v>96</v>
      </c>
      <c r="G68">
        <v>8</v>
      </c>
      <c r="H68">
        <v>0</v>
      </c>
    </row>
    <row r="69" spans="1:8" x14ac:dyDescent="0.35">
      <c r="A69" t="s">
        <v>341</v>
      </c>
      <c r="B69" t="s">
        <v>440</v>
      </c>
      <c r="C69" t="s">
        <v>364</v>
      </c>
      <c r="D69" t="s">
        <v>365</v>
      </c>
      <c r="E69" t="s">
        <v>37</v>
      </c>
      <c r="F69" t="s">
        <v>97</v>
      </c>
      <c r="G69">
        <v>8</v>
      </c>
      <c r="H69">
        <v>0</v>
      </c>
    </row>
    <row r="70" spans="1:8" x14ac:dyDescent="0.35">
      <c r="A70" t="s">
        <v>341</v>
      </c>
      <c r="B70" t="s">
        <v>441</v>
      </c>
      <c r="C70" t="s">
        <v>364</v>
      </c>
      <c r="D70" t="s">
        <v>365</v>
      </c>
      <c r="E70" t="s">
        <v>37</v>
      </c>
      <c r="F70" t="s">
        <v>98</v>
      </c>
      <c r="G70">
        <v>8</v>
      </c>
      <c r="H70">
        <v>0</v>
      </c>
    </row>
    <row r="71" spans="1:8" x14ac:dyDescent="0.35">
      <c r="A71" t="s">
        <v>341</v>
      </c>
      <c r="B71" t="s">
        <v>442</v>
      </c>
      <c r="C71" t="s">
        <v>364</v>
      </c>
      <c r="D71" t="s">
        <v>365</v>
      </c>
      <c r="E71" t="s">
        <v>37</v>
      </c>
      <c r="F71" t="s">
        <v>99</v>
      </c>
      <c r="G71">
        <v>8</v>
      </c>
      <c r="H71">
        <v>0</v>
      </c>
    </row>
    <row r="72" spans="1:8" x14ac:dyDescent="0.35">
      <c r="A72" t="s">
        <v>341</v>
      </c>
      <c r="B72" t="s">
        <v>443</v>
      </c>
      <c r="C72" t="s">
        <v>364</v>
      </c>
      <c r="D72" t="s">
        <v>365</v>
      </c>
      <c r="E72" t="s">
        <v>37</v>
      </c>
      <c r="F72" t="s">
        <v>100</v>
      </c>
      <c r="G72">
        <v>8</v>
      </c>
      <c r="H72">
        <v>0</v>
      </c>
    </row>
    <row r="73" spans="1:8" x14ac:dyDescent="0.35">
      <c r="A73" t="s">
        <v>341</v>
      </c>
      <c r="B73" t="s">
        <v>444</v>
      </c>
      <c r="C73" t="s">
        <v>364</v>
      </c>
      <c r="D73" t="s">
        <v>365</v>
      </c>
      <c r="E73" t="s">
        <v>37</v>
      </c>
      <c r="F73" t="s">
        <v>101</v>
      </c>
      <c r="G73">
        <v>8</v>
      </c>
      <c r="H73">
        <v>0</v>
      </c>
    </row>
    <row r="74" spans="1:8" x14ac:dyDescent="0.35">
      <c r="A74" t="s">
        <v>341</v>
      </c>
      <c r="B74" t="s">
        <v>445</v>
      </c>
      <c r="C74" t="s">
        <v>364</v>
      </c>
      <c r="D74" t="s">
        <v>365</v>
      </c>
      <c r="E74" t="s">
        <v>37</v>
      </c>
      <c r="F74" t="s">
        <v>102</v>
      </c>
      <c r="G74">
        <v>8</v>
      </c>
      <c r="H74">
        <v>0</v>
      </c>
    </row>
    <row r="75" spans="1:8" x14ac:dyDescent="0.35">
      <c r="A75" t="s">
        <v>341</v>
      </c>
      <c r="B75" t="s">
        <v>446</v>
      </c>
      <c r="C75" t="s">
        <v>364</v>
      </c>
      <c r="D75" t="s">
        <v>365</v>
      </c>
      <c r="E75" t="s">
        <v>37</v>
      </c>
      <c r="F75" t="s">
        <v>103</v>
      </c>
      <c r="G75">
        <v>8</v>
      </c>
      <c r="H75">
        <v>0</v>
      </c>
    </row>
    <row r="76" spans="1:8" x14ac:dyDescent="0.35">
      <c r="A76" t="s">
        <v>341</v>
      </c>
      <c r="B76" t="s">
        <v>447</v>
      </c>
      <c r="C76" t="s">
        <v>364</v>
      </c>
      <c r="D76" t="s">
        <v>365</v>
      </c>
      <c r="E76" t="s">
        <v>37</v>
      </c>
      <c r="F76" t="s">
        <v>104</v>
      </c>
      <c r="G76">
        <v>8</v>
      </c>
      <c r="H76">
        <v>0</v>
      </c>
    </row>
    <row r="77" spans="1:8" x14ac:dyDescent="0.35">
      <c r="A77" t="s">
        <v>341</v>
      </c>
      <c r="B77" t="s">
        <v>448</v>
      </c>
      <c r="C77" t="s">
        <v>364</v>
      </c>
      <c r="D77" t="s">
        <v>365</v>
      </c>
      <c r="E77" t="s">
        <v>37</v>
      </c>
      <c r="F77" t="s">
        <v>105</v>
      </c>
      <c r="G77">
        <v>8</v>
      </c>
      <c r="H77">
        <v>0</v>
      </c>
    </row>
    <row r="78" spans="1:8" x14ac:dyDescent="0.35">
      <c r="A78" t="s">
        <v>341</v>
      </c>
      <c r="B78" t="s">
        <v>449</v>
      </c>
      <c r="C78" t="s">
        <v>364</v>
      </c>
      <c r="D78" t="s">
        <v>365</v>
      </c>
      <c r="E78" t="s">
        <v>37</v>
      </c>
      <c r="F78" t="s">
        <v>106</v>
      </c>
      <c r="G78">
        <v>8</v>
      </c>
      <c r="H78">
        <v>0</v>
      </c>
    </row>
    <row r="79" spans="1:8" x14ac:dyDescent="0.35">
      <c r="A79" t="s">
        <v>341</v>
      </c>
      <c r="B79" t="s">
        <v>450</v>
      </c>
      <c r="C79" t="s">
        <v>364</v>
      </c>
      <c r="D79" t="s">
        <v>365</v>
      </c>
      <c r="E79" t="s">
        <v>37</v>
      </c>
      <c r="F79" t="s">
        <v>107</v>
      </c>
      <c r="G79">
        <v>8</v>
      </c>
      <c r="H79">
        <v>0</v>
      </c>
    </row>
    <row r="80" spans="1:8" x14ac:dyDescent="0.35">
      <c r="A80" t="s">
        <v>341</v>
      </c>
      <c r="B80" t="s">
        <v>451</v>
      </c>
      <c r="C80" t="s">
        <v>364</v>
      </c>
      <c r="D80" t="s">
        <v>365</v>
      </c>
      <c r="E80" t="s">
        <v>37</v>
      </c>
      <c r="F80" t="s">
        <v>108</v>
      </c>
      <c r="G80">
        <v>8</v>
      </c>
      <c r="H80">
        <v>0</v>
      </c>
    </row>
    <row r="81" spans="1:9" x14ac:dyDescent="0.35">
      <c r="A81" t="s">
        <v>341</v>
      </c>
      <c r="B81" t="s">
        <v>452</v>
      </c>
      <c r="C81" t="s">
        <v>364</v>
      </c>
      <c r="D81" t="s">
        <v>365</v>
      </c>
      <c r="E81" t="s">
        <v>37</v>
      </c>
      <c r="F81" t="s">
        <v>109</v>
      </c>
      <c r="G81">
        <v>8</v>
      </c>
      <c r="H81">
        <v>0</v>
      </c>
    </row>
    <row r="82" spans="1:9" x14ac:dyDescent="0.35">
      <c r="A82" t="s">
        <v>341</v>
      </c>
      <c r="B82" t="s">
        <v>453</v>
      </c>
      <c r="C82" t="s">
        <v>364</v>
      </c>
      <c r="D82" t="s">
        <v>365</v>
      </c>
      <c r="E82" t="s">
        <v>37</v>
      </c>
      <c r="F82" t="s">
        <v>110</v>
      </c>
      <c r="G82">
        <v>8</v>
      </c>
      <c r="H82">
        <v>0</v>
      </c>
    </row>
    <row r="83" spans="1:9" x14ac:dyDescent="0.35">
      <c r="A83" t="s">
        <v>341</v>
      </c>
      <c r="B83" t="s">
        <v>454</v>
      </c>
      <c r="C83" t="s">
        <v>364</v>
      </c>
      <c r="D83" t="s">
        <v>365</v>
      </c>
      <c r="E83" t="s">
        <v>37</v>
      </c>
      <c r="F83" t="s">
        <v>111</v>
      </c>
      <c r="G83">
        <v>8</v>
      </c>
      <c r="H83">
        <v>0</v>
      </c>
    </row>
    <row r="84" spans="1:9" x14ac:dyDescent="0.35">
      <c r="A84" t="s">
        <v>341</v>
      </c>
      <c r="B84" t="s">
        <v>456</v>
      </c>
      <c r="C84" t="s">
        <v>364</v>
      </c>
      <c r="D84" t="s">
        <v>365</v>
      </c>
      <c r="E84" t="s">
        <v>331</v>
      </c>
      <c r="F84" t="s">
        <v>38</v>
      </c>
      <c r="G84">
        <v>4730</v>
      </c>
      <c r="H84">
        <v>0</v>
      </c>
    </row>
    <row r="85" spans="1:9" x14ac:dyDescent="0.35">
      <c r="A85" t="s">
        <v>341</v>
      </c>
      <c r="B85" t="s">
        <v>457</v>
      </c>
      <c r="C85" t="s">
        <v>364</v>
      </c>
      <c r="D85" t="s">
        <v>365</v>
      </c>
      <c r="E85" t="s">
        <v>331</v>
      </c>
      <c r="F85" t="s">
        <v>332</v>
      </c>
      <c r="G85">
        <v>4730</v>
      </c>
      <c r="H85">
        <v>0</v>
      </c>
    </row>
    <row r="86" spans="1:9" x14ac:dyDescent="0.35">
      <c r="A86" t="s">
        <v>341</v>
      </c>
      <c r="B86" t="s">
        <v>458</v>
      </c>
      <c r="C86" t="s">
        <v>364</v>
      </c>
      <c r="D86" t="s">
        <v>365</v>
      </c>
      <c r="E86" t="s">
        <v>331</v>
      </c>
      <c r="F86" t="s">
        <v>459</v>
      </c>
      <c r="G86">
        <v>4730</v>
      </c>
      <c r="H86">
        <v>0</v>
      </c>
    </row>
    <row r="87" spans="1:9" x14ac:dyDescent="0.35">
      <c r="A87" t="s">
        <v>341</v>
      </c>
      <c r="B87" t="s">
        <v>460</v>
      </c>
      <c r="C87" t="s">
        <v>364</v>
      </c>
      <c r="D87" t="s">
        <v>365</v>
      </c>
      <c r="E87" t="s">
        <v>331</v>
      </c>
      <c r="F87" t="s">
        <v>461</v>
      </c>
      <c r="G87">
        <v>4730</v>
      </c>
      <c r="H87">
        <v>0</v>
      </c>
    </row>
    <row r="88" spans="1:9" x14ac:dyDescent="0.35">
      <c r="A88" t="s">
        <v>341</v>
      </c>
      <c r="B88" t="s">
        <v>462</v>
      </c>
      <c r="C88" t="s">
        <v>364</v>
      </c>
      <c r="D88" t="s">
        <v>365</v>
      </c>
      <c r="E88" t="s">
        <v>331</v>
      </c>
      <c r="F88" t="s">
        <v>463</v>
      </c>
      <c r="G88">
        <v>4730</v>
      </c>
      <c r="H88">
        <v>0</v>
      </c>
    </row>
    <row r="89" spans="1:9" x14ac:dyDescent="0.35">
      <c r="A89" t="s">
        <v>341</v>
      </c>
      <c r="B89" t="s">
        <v>464</v>
      </c>
      <c r="C89" t="s">
        <v>364</v>
      </c>
      <c r="D89" t="s">
        <v>365</v>
      </c>
      <c r="E89" t="s">
        <v>331</v>
      </c>
      <c r="F89" t="s">
        <v>465</v>
      </c>
      <c r="G89">
        <v>4730</v>
      </c>
      <c r="H89">
        <v>0</v>
      </c>
    </row>
    <row r="90" spans="1:9" x14ac:dyDescent="0.35">
      <c r="A90" t="s">
        <v>341</v>
      </c>
      <c r="B90" t="s">
        <v>466</v>
      </c>
      <c r="C90" t="s">
        <v>364</v>
      </c>
      <c r="D90" t="s">
        <v>365</v>
      </c>
      <c r="E90" t="s">
        <v>331</v>
      </c>
      <c r="F90" t="s">
        <v>467</v>
      </c>
      <c r="G90">
        <v>4730</v>
      </c>
      <c r="H90">
        <v>4730</v>
      </c>
      <c r="I90" t="s">
        <v>468</v>
      </c>
    </row>
    <row r="91" spans="1:9" x14ac:dyDescent="0.35">
      <c r="A91" t="s">
        <v>341</v>
      </c>
      <c r="B91" t="s">
        <v>469</v>
      </c>
      <c r="C91" t="s">
        <v>364</v>
      </c>
      <c r="D91" t="s">
        <v>365</v>
      </c>
      <c r="E91" t="s">
        <v>331</v>
      </c>
      <c r="F91" t="s">
        <v>470</v>
      </c>
      <c r="G91">
        <v>4730</v>
      </c>
      <c r="H91">
        <v>0</v>
      </c>
    </row>
    <row r="92" spans="1:9" x14ac:dyDescent="0.35">
      <c r="A92" t="s">
        <v>341</v>
      </c>
      <c r="B92" t="s">
        <v>471</v>
      </c>
      <c r="C92" t="s">
        <v>364</v>
      </c>
      <c r="D92" t="s">
        <v>365</v>
      </c>
      <c r="E92" t="s">
        <v>331</v>
      </c>
      <c r="F92" t="s">
        <v>472</v>
      </c>
      <c r="G92">
        <v>4730</v>
      </c>
      <c r="H92">
        <v>0</v>
      </c>
    </row>
    <row r="93" spans="1:9" x14ac:dyDescent="0.35">
      <c r="A93" t="s">
        <v>341</v>
      </c>
      <c r="B93" t="s">
        <v>473</v>
      </c>
      <c r="C93" t="s">
        <v>364</v>
      </c>
      <c r="D93" t="s">
        <v>365</v>
      </c>
      <c r="E93" t="s">
        <v>331</v>
      </c>
      <c r="F93" t="s">
        <v>474</v>
      </c>
      <c r="G93">
        <v>4730</v>
      </c>
      <c r="H93">
        <v>0</v>
      </c>
    </row>
    <row r="94" spans="1:9" x14ac:dyDescent="0.35">
      <c r="A94" t="s">
        <v>341</v>
      </c>
      <c r="B94" t="s">
        <v>475</v>
      </c>
      <c r="C94" t="s">
        <v>364</v>
      </c>
      <c r="D94" t="s">
        <v>365</v>
      </c>
      <c r="E94" t="s">
        <v>331</v>
      </c>
      <c r="F94" t="s">
        <v>476</v>
      </c>
      <c r="G94">
        <v>4730</v>
      </c>
      <c r="H94">
        <v>0</v>
      </c>
    </row>
    <row r="95" spans="1:9" x14ac:dyDescent="0.35">
      <c r="A95" t="s">
        <v>341</v>
      </c>
      <c r="B95" t="s">
        <v>477</v>
      </c>
      <c r="C95" t="s">
        <v>364</v>
      </c>
      <c r="D95" t="s">
        <v>365</v>
      </c>
      <c r="E95" t="s">
        <v>331</v>
      </c>
      <c r="F95" t="s">
        <v>478</v>
      </c>
      <c r="G95">
        <v>4730</v>
      </c>
      <c r="H95">
        <v>0</v>
      </c>
    </row>
    <row r="96" spans="1:9" x14ac:dyDescent="0.35">
      <c r="A96" t="s">
        <v>341</v>
      </c>
      <c r="B96" t="s">
        <v>479</v>
      </c>
      <c r="C96" t="s">
        <v>364</v>
      </c>
      <c r="D96" t="s">
        <v>365</v>
      </c>
      <c r="E96" t="s">
        <v>331</v>
      </c>
      <c r="F96" t="s">
        <v>480</v>
      </c>
      <c r="G96">
        <v>4730</v>
      </c>
      <c r="H96">
        <v>0</v>
      </c>
    </row>
    <row r="97" spans="1:9" x14ac:dyDescent="0.35">
      <c r="A97" t="s">
        <v>341</v>
      </c>
      <c r="B97" t="s">
        <v>481</v>
      </c>
      <c r="C97" t="s">
        <v>364</v>
      </c>
      <c r="D97" t="s">
        <v>365</v>
      </c>
      <c r="E97" t="s">
        <v>331</v>
      </c>
      <c r="F97" t="s">
        <v>482</v>
      </c>
      <c r="G97">
        <v>4730</v>
      </c>
      <c r="H97">
        <v>0</v>
      </c>
    </row>
    <row r="98" spans="1:9" x14ac:dyDescent="0.35">
      <c r="A98" t="s">
        <v>341</v>
      </c>
      <c r="B98" t="s">
        <v>483</v>
      </c>
      <c r="C98" t="s">
        <v>364</v>
      </c>
      <c r="D98" t="s">
        <v>365</v>
      </c>
      <c r="E98" t="s">
        <v>331</v>
      </c>
      <c r="F98" t="s">
        <v>484</v>
      </c>
      <c r="G98">
        <v>4730</v>
      </c>
      <c r="H98">
        <v>0</v>
      </c>
    </row>
    <row r="99" spans="1:9" x14ac:dyDescent="0.35">
      <c r="A99" t="s">
        <v>341</v>
      </c>
      <c r="B99" t="s">
        <v>485</v>
      </c>
      <c r="C99" t="s">
        <v>364</v>
      </c>
      <c r="D99" t="s">
        <v>365</v>
      </c>
      <c r="E99" t="s">
        <v>333</v>
      </c>
      <c r="F99" t="s">
        <v>38</v>
      </c>
      <c r="G99">
        <v>4740</v>
      </c>
      <c r="H99">
        <v>0</v>
      </c>
    </row>
    <row r="100" spans="1:9" x14ac:dyDescent="0.35">
      <c r="A100" t="s">
        <v>341</v>
      </c>
      <c r="B100" t="s">
        <v>486</v>
      </c>
      <c r="C100" t="s">
        <v>364</v>
      </c>
      <c r="D100" t="s">
        <v>365</v>
      </c>
      <c r="E100" t="s">
        <v>333</v>
      </c>
      <c r="F100" t="s">
        <v>487</v>
      </c>
      <c r="G100">
        <v>4740</v>
      </c>
      <c r="H100">
        <v>0</v>
      </c>
    </row>
    <row r="101" spans="1:9" x14ac:dyDescent="0.35">
      <c r="A101" t="s">
        <v>341</v>
      </c>
      <c r="B101" t="s">
        <v>488</v>
      </c>
      <c r="C101" t="s">
        <v>364</v>
      </c>
      <c r="D101" t="s">
        <v>365</v>
      </c>
      <c r="E101" t="s">
        <v>333</v>
      </c>
      <c r="F101" t="s">
        <v>334</v>
      </c>
      <c r="G101">
        <v>4740</v>
      </c>
      <c r="H101">
        <v>0</v>
      </c>
    </row>
    <row r="102" spans="1:9" x14ac:dyDescent="0.35">
      <c r="A102" t="s">
        <v>341</v>
      </c>
      <c r="B102" t="s">
        <v>489</v>
      </c>
      <c r="C102" t="s">
        <v>364</v>
      </c>
      <c r="D102" t="s">
        <v>365</v>
      </c>
      <c r="E102" t="s">
        <v>333</v>
      </c>
      <c r="F102" t="s">
        <v>490</v>
      </c>
      <c r="G102">
        <v>4740</v>
      </c>
      <c r="H102">
        <v>4740</v>
      </c>
      <c r="I102" t="s">
        <v>491</v>
      </c>
    </row>
    <row r="103" spans="1:9" x14ac:dyDescent="0.35">
      <c r="A103" t="s">
        <v>341</v>
      </c>
      <c r="B103" t="s">
        <v>492</v>
      </c>
      <c r="C103" t="s">
        <v>364</v>
      </c>
      <c r="D103" t="s">
        <v>365</v>
      </c>
      <c r="E103" t="s">
        <v>333</v>
      </c>
      <c r="F103" t="s">
        <v>493</v>
      </c>
      <c r="G103">
        <v>4740</v>
      </c>
      <c r="H103">
        <v>2</v>
      </c>
      <c r="I103" t="s">
        <v>494</v>
      </c>
    </row>
    <row r="104" spans="1:9" x14ac:dyDescent="0.35">
      <c r="A104" t="s">
        <v>341</v>
      </c>
      <c r="B104" t="s">
        <v>495</v>
      </c>
      <c r="C104" t="s">
        <v>364</v>
      </c>
      <c r="D104" t="s">
        <v>365</v>
      </c>
      <c r="E104" t="s">
        <v>333</v>
      </c>
      <c r="F104" t="s">
        <v>496</v>
      </c>
      <c r="G104">
        <v>4740</v>
      </c>
      <c r="H104">
        <v>0</v>
      </c>
    </row>
    <row r="105" spans="1:9" x14ac:dyDescent="0.35">
      <c r="A105" t="s">
        <v>341</v>
      </c>
      <c r="B105" t="s">
        <v>497</v>
      </c>
      <c r="C105" t="s">
        <v>364</v>
      </c>
      <c r="D105" t="s">
        <v>365</v>
      </c>
      <c r="E105" t="s">
        <v>333</v>
      </c>
      <c r="F105" t="s">
        <v>498</v>
      </c>
      <c r="G105">
        <v>4740</v>
      </c>
      <c r="H105">
        <v>0</v>
      </c>
    </row>
    <row r="106" spans="1:9" x14ac:dyDescent="0.35">
      <c r="A106" t="s">
        <v>341</v>
      </c>
      <c r="B106" t="s">
        <v>499</v>
      </c>
      <c r="C106" t="s">
        <v>364</v>
      </c>
      <c r="D106" t="s">
        <v>365</v>
      </c>
      <c r="E106" t="s">
        <v>333</v>
      </c>
      <c r="F106" t="s">
        <v>500</v>
      </c>
      <c r="G106">
        <v>4740</v>
      </c>
      <c r="H106">
        <v>0</v>
      </c>
    </row>
    <row r="107" spans="1:9" x14ac:dyDescent="0.35">
      <c r="A107" t="s">
        <v>341</v>
      </c>
      <c r="B107" t="s">
        <v>501</v>
      </c>
      <c r="C107" t="s">
        <v>364</v>
      </c>
      <c r="D107" t="s">
        <v>365</v>
      </c>
      <c r="E107" t="s">
        <v>333</v>
      </c>
      <c r="F107" t="s">
        <v>502</v>
      </c>
      <c r="G107">
        <v>4740</v>
      </c>
      <c r="H107">
        <v>0</v>
      </c>
    </row>
    <row r="108" spans="1:9" x14ac:dyDescent="0.35">
      <c r="A108" t="s">
        <v>341</v>
      </c>
      <c r="B108" t="s">
        <v>503</v>
      </c>
      <c r="C108" t="s">
        <v>364</v>
      </c>
      <c r="D108" t="s">
        <v>365</v>
      </c>
      <c r="E108" t="s">
        <v>333</v>
      </c>
      <c r="F108" t="s">
        <v>504</v>
      </c>
      <c r="G108">
        <v>4740</v>
      </c>
      <c r="H108">
        <v>0</v>
      </c>
    </row>
    <row r="109" spans="1:9" x14ac:dyDescent="0.35">
      <c r="A109" t="s">
        <v>341</v>
      </c>
      <c r="B109" t="s">
        <v>505</v>
      </c>
      <c r="C109" t="s">
        <v>364</v>
      </c>
      <c r="D109" t="s">
        <v>365</v>
      </c>
      <c r="E109" t="s">
        <v>333</v>
      </c>
      <c r="F109" t="s">
        <v>506</v>
      </c>
      <c r="G109">
        <v>4740</v>
      </c>
      <c r="H109">
        <v>4740</v>
      </c>
      <c r="I109" t="s">
        <v>491</v>
      </c>
    </row>
    <row r="110" spans="1:9" x14ac:dyDescent="0.35">
      <c r="A110" t="s">
        <v>341</v>
      </c>
      <c r="B110" t="s">
        <v>586</v>
      </c>
      <c r="C110" t="s">
        <v>364</v>
      </c>
      <c r="D110" t="s">
        <v>365</v>
      </c>
      <c r="E110" t="s">
        <v>587</v>
      </c>
      <c r="F110" t="s">
        <v>588</v>
      </c>
      <c r="G110">
        <v>14293</v>
      </c>
      <c r="H110">
        <v>69</v>
      </c>
      <c r="I110" t="s">
        <v>959</v>
      </c>
    </row>
    <row r="111" spans="1:9" x14ac:dyDescent="0.35">
      <c r="A111" t="s">
        <v>341</v>
      </c>
      <c r="B111" t="s">
        <v>589</v>
      </c>
      <c r="C111" t="s">
        <v>364</v>
      </c>
      <c r="D111" t="s">
        <v>365</v>
      </c>
      <c r="E111" t="s">
        <v>587</v>
      </c>
      <c r="F111" t="s">
        <v>590</v>
      </c>
      <c r="G111">
        <v>14293</v>
      </c>
      <c r="H111">
        <v>0</v>
      </c>
    </row>
    <row r="112" spans="1:9" x14ac:dyDescent="0.35">
      <c r="A112" t="s">
        <v>341</v>
      </c>
      <c r="B112" t="s">
        <v>591</v>
      </c>
      <c r="C112" t="s">
        <v>364</v>
      </c>
      <c r="D112" t="s">
        <v>365</v>
      </c>
      <c r="E112" t="s">
        <v>587</v>
      </c>
      <c r="F112" t="s">
        <v>592</v>
      </c>
      <c r="G112">
        <v>14293</v>
      </c>
      <c r="H112">
        <v>0</v>
      </c>
    </row>
    <row r="113" spans="1:9" x14ac:dyDescent="0.35">
      <c r="A113" t="s">
        <v>341</v>
      </c>
      <c r="B113" t="s">
        <v>593</v>
      </c>
      <c r="C113" t="s">
        <v>364</v>
      </c>
      <c r="D113" t="s">
        <v>365</v>
      </c>
      <c r="E113" t="s">
        <v>587</v>
      </c>
      <c r="F113" t="s">
        <v>594</v>
      </c>
      <c r="G113">
        <v>14293</v>
      </c>
      <c r="H113">
        <v>0</v>
      </c>
    </row>
    <row r="114" spans="1:9" x14ac:dyDescent="0.35">
      <c r="A114" t="s">
        <v>341</v>
      </c>
      <c r="B114" t="s">
        <v>507</v>
      </c>
      <c r="C114" t="s">
        <v>364</v>
      </c>
      <c r="D114" t="s">
        <v>365</v>
      </c>
      <c r="E114" t="s">
        <v>508</v>
      </c>
      <c r="F114" t="s">
        <v>509</v>
      </c>
      <c r="G114">
        <v>4742</v>
      </c>
      <c r="H114">
        <v>0</v>
      </c>
    </row>
    <row r="115" spans="1:9" x14ac:dyDescent="0.35">
      <c r="A115" t="s">
        <v>341</v>
      </c>
      <c r="B115" t="s">
        <v>510</v>
      </c>
      <c r="C115" t="s">
        <v>364</v>
      </c>
      <c r="D115" t="s">
        <v>365</v>
      </c>
      <c r="E115" t="s">
        <v>508</v>
      </c>
      <c r="F115" t="s">
        <v>511</v>
      </c>
      <c r="G115">
        <v>4742</v>
      </c>
      <c r="H115">
        <v>0</v>
      </c>
    </row>
    <row r="116" spans="1:9" x14ac:dyDescent="0.35">
      <c r="A116" t="s">
        <v>341</v>
      </c>
      <c r="B116" t="s">
        <v>512</v>
      </c>
      <c r="C116" t="s">
        <v>364</v>
      </c>
      <c r="D116" t="s">
        <v>365</v>
      </c>
      <c r="E116" t="s">
        <v>508</v>
      </c>
      <c r="F116" t="s">
        <v>513</v>
      </c>
      <c r="G116">
        <v>4742</v>
      </c>
      <c r="H116">
        <v>0</v>
      </c>
    </row>
    <row r="117" spans="1:9" x14ac:dyDescent="0.35">
      <c r="A117" t="s">
        <v>341</v>
      </c>
      <c r="B117" t="s">
        <v>514</v>
      </c>
      <c r="C117" t="s">
        <v>364</v>
      </c>
      <c r="D117" t="s">
        <v>365</v>
      </c>
      <c r="E117" t="s">
        <v>508</v>
      </c>
      <c r="F117" t="s">
        <v>515</v>
      </c>
      <c r="G117">
        <v>4742</v>
      </c>
      <c r="H117">
        <v>0</v>
      </c>
    </row>
    <row r="118" spans="1:9" x14ac:dyDescent="0.35">
      <c r="A118" t="s">
        <v>341</v>
      </c>
      <c r="B118" t="s">
        <v>516</v>
      </c>
      <c r="C118" t="s">
        <v>364</v>
      </c>
      <c r="D118" t="s">
        <v>365</v>
      </c>
      <c r="E118" t="s">
        <v>508</v>
      </c>
      <c r="F118" t="s">
        <v>517</v>
      </c>
      <c r="G118">
        <v>4742</v>
      </c>
      <c r="H118">
        <v>0</v>
      </c>
    </row>
    <row r="119" spans="1:9" x14ac:dyDescent="0.35">
      <c r="A119" t="s">
        <v>341</v>
      </c>
      <c r="B119" t="s">
        <v>518</v>
      </c>
      <c r="C119" t="s">
        <v>364</v>
      </c>
      <c r="D119" t="s">
        <v>365</v>
      </c>
      <c r="E119" t="s">
        <v>508</v>
      </c>
      <c r="F119" t="s">
        <v>519</v>
      </c>
      <c r="G119">
        <v>4742</v>
      </c>
      <c r="H119">
        <v>0</v>
      </c>
    </row>
    <row r="120" spans="1:9" x14ac:dyDescent="0.35">
      <c r="A120" t="s">
        <v>341</v>
      </c>
      <c r="B120" t="s">
        <v>520</v>
      </c>
      <c r="C120" t="s">
        <v>364</v>
      </c>
      <c r="D120" t="s">
        <v>365</v>
      </c>
      <c r="E120" t="s">
        <v>508</v>
      </c>
      <c r="F120" t="s">
        <v>521</v>
      </c>
      <c r="G120">
        <v>4742</v>
      </c>
      <c r="H120">
        <v>0</v>
      </c>
    </row>
    <row r="121" spans="1:9" x14ac:dyDescent="0.35">
      <c r="A121" t="s">
        <v>341</v>
      </c>
      <c r="B121" t="s">
        <v>522</v>
      </c>
      <c r="C121" t="s">
        <v>364</v>
      </c>
      <c r="D121" t="s">
        <v>365</v>
      </c>
      <c r="E121" t="s">
        <v>508</v>
      </c>
      <c r="F121" t="s">
        <v>523</v>
      </c>
      <c r="G121">
        <v>4742</v>
      </c>
      <c r="H121">
        <v>4734</v>
      </c>
      <c r="I121" t="s">
        <v>960</v>
      </c>
    </row>
    <row r="122" spans="1:9" x14ac:dyDescent="0.35">
      <c r="A122" t="s">
        <v>341</v>
      </c>
      <c r="B122" t="s">
        <v>524</v>
      </c>
      <c r="C122" t="s">
        <v>364</v>
      </c>
      <c r="D122" t="s">
        <v>365</v>
      </c>
      <c r="E122" t="s">
        <v>508</v>
      </c>
      <c r="F122" t="s">
        <v>525</v>
      </c>
      <c r="G122">
        <v>4742</v>
      </c>
      <c r="H122">
        <v>0</v>
      </c>
    </row>
    <row r="123" spans="1:9" x14ac:dyDescent="0.35">
      <c r="A123" t="s">
        <v>341</v>
      </c>
      <c r="B123" t="s">
        <v>526</v>
      </c>
      <c r="C123" t="s">
        <v>364</v>
      </c>
      <c r="D123" t="s">
        <v>365</v>
      </c>
      <c r="E123" t="s">
        <v>508</v>
      </c>
      <c r="F123" t="s">
        <v>527</v>
      </c>
      <c r="G123">
        <v>4742</v>
      </c>
      <c r="H123">
        <v>23</v>
      </c>
      <c r="I123" t="s">
        <v>961</v>
      </c>
    </row>
    <row r="124" spans="1:9" x14ac:dyDescent="0.35">
      <c r="A124" t="s">
        <v>341</v>
      </c>
      <c r="B124" t="s">
        <v>528</v>
      </c>
      <c r="C124" t="s">
        <v>364</v>
      </c>
      <c r="D124" t="s">
        <v>365</v>
      </c>
      <c r="E124" t="s">
        <v>508</v>
      </c>
      <c r="F124" t="s">
        <v>529</v>
      </c>
      <c r="G124">
        <v>4742</v>
      </c>
      <c r="H124">
        <v>0</v>
      </c>
    </row>
    <row r="125" spans="1:9" x14ac:dyDescent="0.35">
      <c r="A125" t="s">
        <v>341</v>
      </c>
      <c r="B125" t="s">
        <v>552</v>
      </c>
      <c r="C125" t="s">
        <v>364</v>
      </c>
      <c r="D125" t="s">
        <v>365</v>
      </c>
      <c r="E125" t="s">
        <v>508</v>
      </c>
      <c r="F125" t="s">
        <v>553</v>
      </c>
      <c r="G125">
        <v>4742</v>
      </c>
      <c r="H125">
        <v>4734</v>
      </c>
      <c r="I125" t="s">
        <v>962</v>
      </c>
    </row>
    <row r="126" spans="1:9" x14ac:dyDescent="0.35">
      <c r="A126" t="s">
        <v>341</v>
      </c>
      <c r="B126" t="s">
        <v>548</v>
      </c>
      <c r="C126" t="s">
        <v>364</v>
      </c>
      <c r="D126" t="s">
        <v>365</v>
      </c>
      <c r="E126" t="s">
        <v>508</v>
      </c>
      <c r="F126" t="s">
        <v>549</v>
      </c>
      <c r="G126">
        <v>4742</v>
      </c>
      <c r="H126">
        <v>0</v>
      </c>
    </row>
    <row r="127" spans="1:9" x14ac:dyDescent="0.35">
      <c r="A127" t="s">
        <v>341</v>
      </c>
      <c r="B127" t="s">
        <v>530</v>
      </c>
      <c r="C127" t="s">
        <v>364</v>
      </c>
      <c r="D127" t="s">
        <v>365</v>
      </c>
      <c r="E127" t="s">
        <v>508</v>
      </c>
      <c r="F127" t="s">
        <v>531</v>
      </c>
      <c r="G127">
        <v>4742</v>
      </c>
      <c r="H127">
        <v>0</v>
      </c>
    </row>
    <row r="128" spans="1:9" x14ac:dyDescent="0.35">
      <c r="A128" t="s">
        <v>341</v>
      </c>
      <c r="B128" t="s">
        <v>532</v>
      </c>
      <c r="C128" t="s">
        <v>364</v>
      </c>
      <c r="D128" t="s">
        <v>365</v>
      </c>
      <c r="E128" t="s">
        <v>508</v>
      </c>
      <c r="F128" t="s">
        <v>533</v>
      </c>
      <c r="G128">
        <v>4742</v>
      </c>
      <c r="H128">
        <v>0</v>
      </c>
    </row>
    <row r="129" spans="1:9" x14ac:dyDescent="0.35">
      <c r="A129" t="s">
        <v>341</v>
      </c>
      <c r="B129" t="s">
        <v>534</v>
      </c>
      <c r="C129" t="s">
        <v>364</v>
      </c>
      <c r="D129" t="s">
        <v>365</v>
      </c>
      <c r="E129" t="s">
        <v>508</v>
      </c>
      <c r="F129" t="s">
        <v>535</v>
      </c>
      <c r="G129">
        <v>4742</v>
      </c>
      <c r="H129">
        <v>0</v>
      </c>
    </row>
    <row r="130" spans="1:9" x14ac:dyDescent="0.35">
      <c r="A130" t="s">
        <v>341</v>
      </c>
      <c r="B130" t="s">
        <v>536</v>
      </c>
      <c r="C130" t="s">
        <v>364</v>
      </c>
      <c r="D130" t="s">
        <v>365</v>
      </c>
      <c r="E130" t="s">
        <v>508</v>
      </c>
      <c r="F130" t="s">
        <v>537</v>
      </c>
      <c r="G130">
        <v>4742</v>
      </c>
      <c r="H130">
        <v>0</v>
      </c>
    </row>
    <row r="131" spans="1:9" x14ac:dyDescent="0.35">
      <c r="A131" t="s">
        <v>341</v>
      </c>
      <c r="B131" t="s">
        <v>538</v>
      </c>
      <c r="C131" t="s">
        <v>364</v>
      </c>
      <c r="D131" t="s">
        <v>365</v>
      </c>
      <c r="E131" t="s">
        <v>508</v>
      </c>
      <c r="F131" t="s">
        <v>539</v>
      </c>
      <c r="G131">
        <v>4742</v>
      </c>
      <c r="H131">
        <v>0</v>
      </c>
    </row>
    <row r="132" spans="1:9" x14ac:dyDescent="0.35">
      <c r="A132" t="s">
        <v>341</v>
      </c>
      <c r="B132" t="s">
        <v>540</v>
      </c>
      <c r="C132" t="s">
        <v>364</v>
      </c>
      <c r="D132" t="s">
        <v>365</v>
      </c>
      <c r="E132" t="s">
        <v>508</v>
      </c>
      <c r="F132" t="s">
        <v>541</v>
      </c>
      <c r="G132">
        <v>4742</v>
      </c>
      <c r="H132">
        <v>0</v>
      </c>
    </row>
    <row r="133" spans="1:9" x14ac:dyDescent="0.35">
      <c r="A133" t="s">
        <v>341</v>
      </c>
      <c r="B133" t="s">
        <v>542</v>
      </c>
      <c r="C133" t="s">
        <v>364</v>
      </c>
      <c r="D133" t="s">
        <v>365</v>
      </c>
      <c r="E133" t="s">
        <v>508</v>
      </c>
      <c r="F133" t="s">
        <v>543</v>
      </c>
      <c r="G133">
        <v>4742</v>
      </c>
      <c r="H133">
        <v>0</v>
      </c>
    </row>
    <row r="134" spans="1:9" x14ac:dyDescent="0.35">
      <c r="A134" t="s">
        <v>341</v>
      </c>
      <c r="B134" t="s">
        <v>544</v>
      </c>
      <c r="C134" t="s">
        <v>364</v>
      </c>
      <c r="D134" t="s">
        <v>365</v>
      </c>
      <c r="E134" t="s">
        <v>508</v>
      </c>
      <c r="F134" t="s">
        <v>545</v>
      </c>
      <c r="G134">
        <v>4742</v>
      </c>
      <c r="H134">
        <v>0</v>
      </c>
    </row>
    <row r="135" spans="1:9" x14ac:dyDescent="0.35">
      <c r="A135" t="s">
        <v>341</v>
      </c>
      <c r="B135" t="s">
        <v>546</v>
      </c>
      <c r="C135" t="s">
        <v>364</v>
      </c>
      <c r="D135" t="s">
        <v>365</v>
      </c>
      <c r="E135" t="s">
        <v>508</v>
      </c>
      <c r="F135" t="s">
        <v>547</v>
      </c>
      <c r="G135">
        <v>4742</v>
      </c>
      <c r="H135">
        <v>0</v>
      </c>
    </row>
    <row r="136" spans="1:9" x14ac:dyDescent="0.35">
      <c r="A136" t="s">
        <v>341</v>
      </c>
      <c r="B136" t="s">
        <v>550</v>
      </c>
      <c r="C136" t="s">
        <v>364</v>
      </c>
      <c r="D136" t="s">
        <v>365</v>
      </c>
      <c r="E136" t="s">
        <v>508</v>
      </c>
      <c r="F136" t="s">
        <v>551</v>
      </c>
      <c r="G136">
        <v>4742</v>
      </c>
      <c r="H136">
        <v>0</v>
      </c>
    </row>
    <row r="137" spans="1:9" x14ac:dyDescent="0.35">
      <c r="A137" t="s">
        <v>341</v>
      </c>
      <c r="B137" t="s">
        <v>554</v>
      </c>
      <c r="C137" t="s">
        <v>364</v>
      </c>
      <c r="D137" t="s">
        <v>365</v>
      </c>
      <c r="E137" t="s">
        <v>555</v>
      </c>
      <c r="F137" t="s">
        <v>556</v>
      </c>
      <c r="G137">
        <v>37</v>
      </c>
      <c r="H137">
        <v>0</v>
      </c>
    </row>
    <row r="138" spans="1:9" x14ac:dyDescent="0.35">
      <c r="A138" t="s">
        <v>341</v>
      </c>
      <c r="B138" t="s">
        <v>557</v>
      </c>
      <c r="C138" t="s">
        <v>364</v>
      </c>
      <c r="D138" t="s">
        <v>365</v>
      </c>
      <c r="E138" t="s">
        <v>555</v>
      </c>
      <c r="F138" t="s">
        <v>558</v>
      </c>
      <c r="G138">
        <v>37</v>
      </c>
      <c r="H138">
        <v>1</v>
      </c>
      <c r="I138" t="s">
        <v>559</v>
      </c>
    </row>
    <row r="139" spans="1:9" x14ac:dyDescent="0.35">
      <c r="A139" t="s">
        <v>341</v>
      </c>
      <c r="B139" t="s">
        <v>560</v>
      </c>
      <c r="C139" t="s">
        <v>364</v>
      </c>
      <c r="D139" t="s">
        <v>365</v>
      </c>
      <c r="E139" t="s">
        <v>555</v>
      </c>
      <c r="F139" t="s">
        <v>561</v>
      </c>
      <c r="G139">
        <v>37</v>
      </c>
      <c r="H139">
        <v>1</v>
      </c>
      <c r="I139" t="s">
        <v>559</v>
      </c>
    </row>
    <row r="140" spans="1:9" x14ac:dyDescent="0.35">
      <c r="A140" t="s">
        <v>341</v>
      </c>
      <c r="B140" t="s">
        <v>562</v>
      </c>
      <c r="C140" t="s">
        <v>364</v>
      </c>
      <c r="D140" t="s">
        <v>365</v>
      </c>
      <c r="E140" t="s">
        <v>555</v>
      </c>
      <c r="F140" t="s">
        <v>563</v>
      </c>
      <c r="G140">
        <v>37</v>
      </c>
      <c r="H140">
        <v>0</v>
      </c>
    </row>
    <row r="141" spans="1:9" x14ac:dyDescent="0.35">
      <c r="A141" t="s">
        <v>341</v>
      </c>
      <c r="B141" t="s">
        <v>564</v>
      </c>
      <c r="C141" t="s">
        <v>364</v>
      </c>
      <c r="D141" t="s">
        <v>365</v>
      </c>
      <c r="E141" t="s">
        <v>555</v>
      </c>
      <c r="F141" t="s">
        <v>565</v>
      </c>
      <c r="G141">
        <v>37</v>
      </c>
      <c r="H141">
        <v>0</v>
      </c>
    </row>
    <row r="142" spans="1:9" x14ac:dyDescent="0.35">
      <c r="A142" t="s">
        <v>341</v>
      </c>
      <c r="B142" t="s">
        <v>566</v>
      </c>
      <c r="C142" t="s">
        <v>364</v>
      </c>
      <c r="D142" t="s">
        <v>365</v>
      </c>
      <c r="E142" t="s">
        <v>555</v>
      </c>
      <c r="F142" t="s">
        <v>567</v>
      </c>
      <c r="G142">
        <v>37</v>
      </c>
      <c r="H142">
        <v>0</v>
      </c>
    </row>
    <row r="143" spans="1:9" x14ac:dyDescent="0.35">
      <c r="A143" t="s">
        <v>341</v>
      </c>
      <c r="B143" t="s">
        <v>568</v>
      </c>
      <c r="C143" t="s">
        <v>364</v>
      </c>
      <c r="D143" t="s">
        <v>365</v>
      </c>
      <c r="E143" t="s">
        <v>555</v>
      </c>
      <c r="F143" t="s">
        <v>569</v>
      </c>
      <c r="G143">
        <v>37</v>
      </c>
      <c r="H143">
        <v>1</v>
      </c>
      <c r="I143" t="s">
        <v>559</v>
      </c>
    </row>
    <row r="144" spans="1:9" x14ac:dyDescent="0.35">
      <c r="A144" t="s">
        <v>341</v>
      </c>
      <c r="B144" t="s">
        <v>570</v>
      </c>
      <c r="C144" t="s">
        <v>364</v>
      </c>
      <c r="D144" t="s">
        <v>365</v>
      </c>
      <c r="E144" t="s">
        <v>571</v>
      </c>
      <c r="F144" t="s">
        <v>572</v>
      </c>
      <c r="G144">
        <v>6</v>
      </c>
      <c r="H144">
        <v>0</v>
      </c>
    </row>
    <row r="145" spans="1:8" x14ac:dyDescent="0.35">
      <c r="A145" t="s">
        <v>341</v>
      </c>
      <c r="B145" t="s">
        <v>573</v>
      </c>
      <c r="C145" t="s">
        <v>364</v>
      </c>
      <c r="D145" t="s">
        <v>365</v>
      </c>
      <c r="E145" t="s">
        <v>571</v>
      </c>
      <c r="F145" t="s">
        <v>574</v>
      </c>
      <c r="G145">
        <v>6</v>
      </c>
      <c r="H145">
        <v>0</v>
      </c>
    </row>
    <row r="146" spans="1:8" x14ac:dyDescent="0.35">
      <c r="A146" t="s">
        <v>341</v>
      </c>
      <c r="B146" t="s">
        <v>575</v>
      </c>
      <c r="C146" t="s">
        <v>364</v>
      </c>
      <c r="D146" t="s">
        <v>365</v>
      </c>
      <c r="E146" t="s">
        <v>571</v>
      </c>
      <c r="F146" t="s">
        <v>576</v>
      </c>
      <c r="G146">
        <v>6</v>
      </c>
      <c r="H146">
        <v>0</v>
      </c>
    </row>
    <row r="147" spans="1:8" x14ac:dyDescent="0.35">
      <c r="A147" t="s">
        <v>341</v>
      </c>
      <c r="B147" t="s">
        <v>577</v>
      </c>
      <c r="C147" t="s">
        <v>364</v>
      </c>
      <c r="D147" t="s">
        <v>365</v>
      </c>
      <c r="E147" t="s">
        <v>578</v>
      </c>
      <c r="F147" t="s">
        <v>565</v>
      </c>
      <c r="G147">
        <v>4744</v>
      </c>
      <c r="H147">
        <v>0</v>
      </c>
    </row>
    <row r="148" spans="1:8" x14ac:dyDescent="0.35">
      <c r="A148" t="s">
        <v>341</v>
      </c>
      <c r="B148" t="s">
        <v>579</v>
      </c>
      <c r="C148" t="s">
        <v>364</v>
      </c>
      <c r="D148" t="s">
        <v>365</v>
      </c>
      <c r="E148" t="s">
        <v>578</v>
      </c>
      <c r="F148" t="s">
        <v>509</v>
      </c>
      <c r="G148">
        <v>4744</v>
      </c>
      <c r="H148">
        <v>0</v>
      </c>
    </row>
    <row r="149" spans="1:8" x14ac:dyDescent="0.35">
      <c r="A149" t="s">
        <v>341</v>
      </c>
      <c r="B149" t="s">
        <v>580</v>
      </c>
      <c r="C149" t="s">
        <v>364</v>
      </c>
      <c r="D149" t="s">
        <v>365</v>
      </c>
      <c r="E149" t="s">
        <v>578</v>
      </c>
      <c r="F149" t="s">
        <v>519</v>
      </c>
      <c r="G149">
        <v>4744</v>
      </c>
      <c r="H149">
        <v>0</v>
      </c>
    </row>
    <row r="150" spans="1:8" x14ac:dyDescent="0.35">
      <c r="A150" t="s">
        <v>341</v>
      </c>
      <c r="B150" t="s">
        <v>581</v>
      </c>
      <c r="C150" t="s">
        <v>364</v>
      </c>
      <c r="D150" t="s">
        <v>365</v>
      </c>
      <c r="E150" t="s">
        <v>582</v>
      </c>
      <c r="F150" t="s">
        <v>509</v>
      </c>
      <c r="G150">
        <v>9431</v>
      </c>
      <c r="H150">
        <v>0</v>
      </c>
    </row>
    <row r="151" spans="1:8" x14ac:dyDescent="0.35">
      <c r="A151" t="s">
        <v>341</v>
      </c>
      <c r="B151" t="s">
        <v>583</v>
      </c>
      <c r="C151" t="s">
        <v>364</v>
      </c>
      <c r="D151" t="s">
        <v>365</v>
      </c>
      <c r="E151" t="s">
        <v>582</v>
      </c>
      <c r="F151" t="s">
        <v>572</v>
      </c>
      <c r="G151">
        <v>9431</v>
      </c>
      <c r="H151">
        <v>0</v>
      </c>
    </row>
    <row r="152" spans="1:8" x14ac:dyDescent="0.35">
      <c r="A152" t="s">
        <v>341</v>
      </c>
      <c r="B152" t="s">
        <v>584</v>
      </c>
      <c r="C152" t="s">
        <v>364</v>
      </c>
      <c r="D152" t="s">
        <v>365</v>
      </c>
      <c r="E152" t="s">
        <v>582</v>
      </c>
      <c r="F152" t="s">
        <v>585</v>
      </c>
      <c r="G152">
        <v>9431</v>
      </c>
      <c r="H152">
        <v>0</v>
      </c>
    </row>
    <row r="153" spans="1:8" x14ac:dyDescent="0.35">
      <c r="A153" t="s">
        <v>341</v>
      </c>
      <c r="B153" t="s">
        <v>345</v>
      </c>
      <c r="C153" t="s">
        <v>324</v>
      </c>
      <c r="D153" t="s">
        <v>346</v>
      </c>
      <c r="E153" t="s">
        <v>37</v>
      </c>
      <c r="F153" t="s">
        <v>40</v>
      </c>
      <c r="G153">
        <v>8</v>
      </c>
      <c r="H153">
        <v>0</v>
      </c>
    </row>
    <row r="154" spans="1:8" x14ac:dyDescent="0.35">
      <c r="A154" t="s">
        <v>341</v>
      </c>
      <c r="B154" t="s">
        <v>595</v>
      </c>
      <c r="C154" t="s">
        <v>324</v>
      </c>
      <c r="D154" t="s">
        <v>346</v>
      </c>
      <c r="E154" t="s">
        <v>331</v>
      </c>
      <c r="F154" t="s">
        <v>332</v>
      </c>
      <c r="G154">
        <v>4730</v>
      </c>
      <c r="H154">
        <v>0</v>
      </c>
    </row>
    <row r="155" spans="1:8" x14ac:dyDescent="0.35">
      <c r="A155" t="s">
        <v>341</v>
      </c>
      <c r="B155" t="s">
        <v>596</v>
      </c>
      <c r="C155" t="s">
        <v>324</v>
      </c>
      <c r="D155" t="s">
        <v>346</v>
      </c>
      <c r="E155" t="s">
        <v>333</v>
      </c>
      <c r="F155" t="s">
        <v>339</v>
      </c>
      <c r="G155">
        <v>4740</v>
      </c>
      <c r="H155">
        <v>0</v>
      </c>
    </row>
    <row r="156" spans="1:8" x14ac:dyDescent="0.35">
      <c r="A156" t="s">
        <v>341</v>
      </c>
      <c r="B156" t="s">
        <v>597</v>
      </c>
      <c r="C156" t="s">
        <v>324</v>
      </c>
      <c r="D156" t="s">
        <v>346</v>
      </c>
      <c r="E156" t="s">
        <v>587</v>
      </c>
      <c r="F156" t="s">
        <v>598</v>
      </c>
      <c r="G156">
        <v>14293</v>
      </c>
      <c r="H156">
        <v>0</v>
      </c>
    </row>
    <row r="157" spans="1:8" x14ac:dyDescent="0.35">
      <c r="A157" t="s">
        <v>341</v>
      </c>
      <c r="B157" t="s">
        <v>599</v>
      </c>
      <c r="C157" t="s">
        <v>324</v>
      </c>
      <c r="D157" t="s">
        <v>346</v>
      </c>
      <c r="E157" t="s">
        <v>508</v>
      </c>
      <c r="F157" t="s">
        <v>509</v>
      </c>
      <c r="G157">
        <v>4742</v>
      </c>
      <c r="H157">
        <v>0</v>
      </c>
    </row>
    <row r="158" spans="1:8" x14ac:dyDescent="0.35">
      <c r="A158" t="s">
        <v>341</v>
      </c>
      <c r="B158" t="s">
        <v>600</v>
      </c>
      <c r="C158" t="s">
        <v>324</v>
      </c>
      <c r="D158" t="s">
        <v>346</v>
      </c>
      <c r="E158" t="s">
        <v>555</v>
      </c>
      <c r="F158" t="s">
        <v>565</v>
      </c>
      <c r="G158">
        <v>37</v>
      </c>
      <c r="H158">
        <v>0</v>
      </c>
    </row>
    <row r="159" spans="1:8" x14ac:dyDescent="0.35">
      <c r="A159" t="s">
        <v>341</v>
      </c>
      <c r="B159" t="s">
        <v>601</v>
      </c>
      <c r="C159" t="s">
        <v>324</v>
      </c>
      <c r="D159" t="s">
        <v>346</v>
      </c>
      <c r="E159" t="s">
        <v>571</v>
      </c>
      <c r="F159" t="s">
        <v>572</v>
      </c>
      <c r="G159">
        <v>6</v>
      </c>
      <c r="H159">
        <v>0</v>
      </c>
    </row>
    <row r="160" spans="1:8" x14ac:dyDescent="0.35">
      <c r="A160" t="s">
        <v>341</v>
      </c>
      <c r="B160" t="s">
        <v>602</v>
      </c>
      <c r="C160" t="s">
        <v>324</v>
      </c>
      <c r="D160" t="s">
        <v>346</v>
      </c>
      <c r="E160" t="s">
        <v>578</v>
      </c>
      <c r="F160" t="s">
        <v>603</v>
      </c>
      <c r="G160">
        <v>4744</v>
      </c>
      <c r="H160">
        <v>0</v>
      </c>
    </row>
    <row r="161" spans="1:8" x14ac:dyDescent="0.35">
      <c r="A161" t="s">
        <v>341</v>
      </c>
      <c r="B161" t="s">
        <v>604</v>
      </c>
      <c r="C161" t="s">
        <v>324</v>
      </c>
      <c r="D161" t="s">
        <v>346</v>
      </c>
      <c r="E161" t="s">
        <v>582</v>
      </c>
      <c r="F161" t="s">
        <v>605</v>
      </c>
      <c r="G161">
        <v>9431</v>
      </c>
      <c r="H161">
        <v>0</v>
      </c>
    </row>
  </sheetData>
  <phoneticPr fontId="2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D4C0-FF9A-4519-A705-9EDE90B1F333}">
  <dimension ref="A1:I187"/>
  <sheetViews>
    <sheetView workbookViewId="0"/>
  </sheetViews>
  <sheetFormatPr defaultRowHeight="14.5" x14ac:dyDescent="0.35"/>
  <cols>
    <col min="1" max="1" width="10.36328125" bestFit="1" customWidth="1"/>
    <col min="2" max="2" width="17.453125" bestFit="1" customWidth="1"/>
    <col min="3" max="3" width="16.1796875" bestFit="1" customWidth="1"/>
    <col min="4" max="4" width="80.7265625" bestFit="1" customWidth="1"/>
    <col min="5" max="5" width="45.36328125" bestFit="1" customWidth="1"/>
    <col min="6" max="6" width="34.36328125" bestFit="1" customWidth="1"/>
    <col min="7" max="7" width="10.6328125" bestFit="1" customWidth="1"/>
    <col min="8" max="8" width="13.7265625" bestFit="1" customWidth="1"/>
    <col min="9" max="9" width="80.7265625" bestFit="1" customWidth="1"/>
  </cols>
  <sheetData>
    <row r="1" spans="1:9" x14ac:dyDescent="0.35">
      <c r="A1" t="s">
        <v>342</v>
      </c>
      <c r="B1" t="s">
        <v>343</v>
      </c>
      <c r="C1" t="s">
        <v>328</v>
      </c>
      <c r="D1" t="s">
        <v>344</v>
      </c>
      <c r="E1" t="s">
        <v>326</v>
      </c>
      <c r="F1" t="s">
        <v>327</v>
      </c>
      <c r="G1" t="s">
        <v>329</v>
      </c>
      <c r="H1" t="s">
        <v>330</v>
      </c>
      <c r="I1" t="s">
        <v>338</v>
      </c>
    </row>
    <row r="2" spans="1:9" x14ac:dyDescent="0.35">
      <c r="A2" t="s">
        <v>341</v>
      </c>
      <c r="B2" t="s">
        <v>606</v>
      </c>
      <c r="C2" t="s">
        <v>607</v>
      </c>
      <c r="D2" t="s">
        <v>625</v>
      </c>
      <c r="E2" t="s">
        <v>37</v>
      </c>
      <c r="F2" t="s">
        <v>608</v>
      </c>
      <c r="G2">
        <v>8</v>
      </c>
      <c r="H2">
        <v>0</v>
      </c>
    </row>
    <row r="3" spans="1:9" x14ac:dyDescent="0.35">
      <c r="A3" t="s">
        <v>341</v>
      </c>
      <c r="B3" t="s">
        <v>609</v>
      </c>
      <c r="C3" t="s">
        <v>607</v>
      </c>
      <c r="D3" t="s">
        <v>625</v>
      </c>
      <c r="E3" t="s">
        <v>37</v>
      </c>
      <c r="F3" t="s">
        <v>610</v>
      </c>
      <c r="G3">
        <v>8</v>
      </c>
      <c r="H3">
        <v>0</v>
      </c>
    </row>
    <row r="4" spans="1:9" x14ac:dyDescent="0.35">
      <c r="A4" t="s">
        <v>341</v>
      </c>
      <c r="B4" t="s">
        <v>611</v>
      </c>
      <c r="C4" t="s">
        <v>607</v>
      </c>
      <c r="D4" t="s">
        <v>625</v>
      </c>
      <c r="E4" t="s">
        <v>37</v>
      </c>
      <c r="F4" t="s">
        <v>612</v>
      </c>
      <c r="G4">
        <v>8</v>
      </c>
      <c r="H4">
        <v>0</v>
      </c>
    </row>
    <row r="5" spans="1:9" x14ac:dyDescent="0.35">
      <c r="A5" t="s">
        <v>341</v>
      </c>
      <c r="B5" t="s">
        <v>613</v>
      </c>
      <c r="C5" t="s">
        <v>607</v>
      </c>
      <c r="D5" t="s">
        <v>625</v>
      </c>
      <c r="E5" t="s">
        <v>37</v>
      </c>
      <c r="F5" t="s">
        <v>614</v>
      </c>
      <c r="G5">
        <v>8</v>
      </c>
      <c r="H5">
        <v>0</v>
      </c>
    </row>
    <row r="6" spans="1:9" x14ac:dyDescent="0.35">
      <c r="A6" t="s">
        <v>341</v>
      </c>
      <c r="B6" t="s">
        <v>615</v>
      </c>
      <c r="C6" t="s">
        <v>607</v>
      </c>
      <c r="D6" t="s">
        <v>626</v>
      </c>
      <c r="E6" t="s">
        <v>37</v>
      </c>
      <c r="F6" t="s">
        <v>616</v>
      </c>
      <c r="G6">
        <v>8</v>
      </c>
      <c r="H6">
        <v>0</v>
      </c>
    </row>
    <row r="7" spans="1:9" x14ac:dyDescent="0.35">
      <c r="A7" t="s">
        <v>341</v>
      </c>
      <c r="B7" t="s">
        <v>617</v>
      </c>
      <c r="C7" t="s">
        <v>607</v>
      </c>
      <c r="D7" t="s">
        <v>627</v>
      </c>
      <c r="E7" t="s">
        <v>37</v>
      </c>
      <c r="F7" t="s">
        <v>616</v>
      </c>
      <c r="G7">
        <v>8</v>
      </c>
      <c r="H7">
        <v>0</v>
      </c>
    </row>
    <row r="8" spans="1:9" x14ac:dyDescent="0.35">
      <c r="A8" t="s">
        <v>341</v>
      </c>
      <c r="B8" t="s">
        <v>618</v>
      </c>
      <c r="C8" t="s">
        <v>607</v>
      </c>
      <c r="D8" t="s">
        <v>628</v>
      </c>
      <c r="E8" t="s">
        <v>37</v>
      </c>
      <c r="F8" t="s">
        <v>619</v>
      </c>
      <c r="G8">
        <v>8</v>
      </c>
      <c r="H8">
        <v>8</v>
      </c>
      <c r="I8" t="s">
        <v>455</v>
      </c>
    </row>
    <row r="9" spans="1:9" x14ac:dyDescent="0.35">
      <c r="A9" t="s">
        <v>341</v>
      </c>
      <c r="B9" t="s">
        <v>620</v>
      </c>
      <c r="C9" t="s">
        <v>607</v>
      </c>
      <c r="D9" t="s">
        <v>629</v>
      </c>
      <c r="E9" t="s">
        <v>37</v>
      </c>
      <c r="F9" t="s">
        <v>621</v>
      </c>
      <c r="G9">
        <v>8</v>
      </c>
      <c r="H9">
        <v>0</v>
      </c>
    </row>
    <row r="10" spans="1:9" x14ac:dyDescent="0.35">
      <c r="A10" t="s">
        <v>341</v>
      </c>
      <c r="B10" t="s">
        <v>622</v>
      </c>
      <c r="C10" t="s">
        <v>607</v>
      </c>
      <c r="D10" t="s">
        <v>627</v>
      </c>
      <c r="E10" t="s">
        <v>37</v>
      </c>
      <c r="F10" t="s">
        <v>621</v>
      </c>
      <c r="G10">
        <v>8</v>
      </c>
      <c r="H10">
        <v>0</v>
      </c>
    </row>
    <row r="11" spans="1:9" x14ac:dyDescent="0.35">
      <c r="A11" t="s">
        <v>341</v>
      </c>
      <c r="B11" t="s">
        <v>623</v>
      </c>
      <c r="C11" t="s">
        <v>607</v>
      </c>
      <c r="D11" t="s">
        <v>630</v>
      </c>
      <c r="E11" t="s">
        <v>37</v>
      </c>
      <c r="F11" t="s">
        <v>624</v>
      </c>
      <c r="G11">
        <v>8</v>
      </c>
      <c r="H11">
        <v>0</v>
      </c>
    </row>
    <row r="12" spans="1:9" x14ac:dyDescent="0.35">
      <c r="A12" t="s">
        <v>341</v>
      </c>
      <c r="B12" t="s">
        <v>631</v>
      </c>
      <c r="C12" t="s">
        <v>607</v>
      </c>
      <c r="D12" t="s">
        <v>627</v>
      </c>
      <c r="E12" t="s">
        <v>37</v>
      </c>
      <c r="F12" t="s">
        <v>624</v>
      </c>
      <c r="G12">
        <v>8</v>
      </c>
      <c r="H12">
        <v>8</v>
      </c>
      <c r="I12" t="s">
        <v>455</v>
      </c>
    </row>
    <row r="13" spans="1:9" x14ac:dyDescent="0.35">
      <c r="A13" t="s">
        <v>341</v>
      </c>
      <c r="B13" t="s">
        <v>632</v>
      </c>
      <c r="C13" t="s">
        <v>607</v>
      </c>
      <c r="D13" t="s">
        <v>625</v>
      </c>
      <c r="E13" t="s">
        <v>37</v>
      </c>
      <c r="F13" t="s">
        <v>633</v>
      </c>
      <c r="G13">
        <v>8</v>
      </c>
      <c r="H13">
        <v>8</v>
      </c>
      <c r="I13" t="s">
        <v>455</v>
      </c>
    </row>
    <row r="14" spans="1:9" x14ac:dyDescent="0.35">
      <c r="A14" t="s">
        <v>341</v>
      </c>
      <c r="B14" t="s">
        <v>634</v>
      </c>
      <c r="C14" t="s">
        <v>607</v>
      </c>
      <c r="D14" t="s">
        <v>625</v>
      </c>
      <c r="E14" t="s">
        <v>37</v>
      </c>
      <c r="F14" t="s">
        <v>635</v>
      </c>
      <c r="G14">
        <v>8</v>
      </c>
      <c r="H14">
        <v>0</v>
      </c>
    </row>
    <row r="15" spans="1:9" x14ac:dyDescent="0.35">
      <c r="A15" t="s">
        <v>341</v>
      </c>
      <c r="B15" t="s">
        <v>636</v>
      </c>
      <c r="C15" t="s">
        <v>607</v>
      </c>
      <c r="D15" t="s">
        <v>637</v>
      </c>
      <c r="E15" t="s">
        <v>37</v>
      </c>
      <c r="F15" t="s">
        <v>638</v>
      </c>
      <c r="G15">
        <v>8</v>
      </c>
      <c r="H15">
        <v>0</v>
      </c>
    </row>
    <row r="16" spans="1:9" x14ac:dyDescent="0.35">
      <c r="A16" t="s">
        <v>341</v>
      </c>
      <c r="B16" t="s">
        <v>639</v>
      </c>
      <c r="C16" t="s">
        <v>607</v>
      </c>
      <c r="D16" t="s">
        <v>625</v>
      </c>
      <c r="E16" t="s">
        <v>37</v>
      </c>
      <c r="F16" t="s">
        <v>640</v>
      </c>
      <c r="G16">
        <v>8</v>
      </c>
      <c r="H16">
        <v>0</v>
      </c>
    </row>
    <row r="17" spans="1:8" x14ac:dyDescent="0.35">
      <c r="A17" t="s">
        <v>341</v>
      </c>
      <c r="B17" t="s">
        <v>641</v>
      </c>
      <c r="C17" t="s">
        <v>607</v>
      </c>
      <c r="D17" t="s">
        <v>625</v>
      </c>
      <c r="E17" t="s">
        <v>37</v>
      </c>
      <c r="F17" t="s">
        <v>642</v>
      </c>
      <c r="G17">
        <v>8</v>
      </c>
      <c r="H17">
        <v>0</v>
      </c>
    </row>
    <row r="18" spans="1:8" x14ac:dyDescent="0.35">
      <c r="A18" t="s">
        <v>341</v>
      </c>
      <c r="B18" t="s">
        <v>643</v>
      </c>
      <c r="C18" t="s">
        <v>607</v>
      </c>
      <c r="D18" t="s">
        <v>629</v>
      </c>
      <c r="E18" t="s">
        <v>37</v>
      </c>
      <c r="F18" t="s">
        <v>644</v>
      </c>
      <c r="G18">
        <v>8</v>
      </c>
      <c r="H18">
        <v>0</v>
      </c>
    </row>
    <row r="19" spans="1:8" x14ac:dyDescent="0.35">
      <c r="A19" t="s">
        <v>341</v>
      </c>
      <c r="B19" t="s">
        <v>645</v>
      </c>
      <c r="C19" t="s">
        <v>607</v>
      </c>
      <c r="D19" t="s">
        <v>646</v>
      </c>
      <c r="E19" t="s">
        <v>37</v>
      </c>
      <c r="F19" t="s">
        <v>644</v>
      </c>
      <c r="G19">
        <v>8</v>
      </c>
      <c r="H19">
        <v>0</v>
      </c>
    </row>
    <row r="20" spans="1:8" x14ac:dyDescent="0.35">
      <c r="A20" t="s">
        <v>341</v>
      </c>
      <c r="B20" t="s">
        <v>647</v>
      </c>
      <c r="C20" t="s">
        <v>607</v>
      </c>
      <c r="D20" t="s">
        <v>648</v>
      </c>
      <c r="E20" t="s">
        <v>37</v>
      </c>
      <c r="F20" t="s">
        <v>649</v>
      </c>
      <c r="G20">
        <v>8</v>
      </c>
      <c r="H20">
        <v>0</v>
      </c>
    </row>
    <row r="21" spans="1:8" x14ac:dyDescent="0.35">
      <c r="A21" t="s">
        <v>341</v>
      </c>
      <c r="B21" t="s">
        <v>650</v>
      </c>
      <c r="C21" t="s">
        <v>607</v>
      </c>
      <c r="D21" t="s">
        <v>651</v>
      </c>
      <c r="E21" t="s">
        <v>37</v>
      </c>
      <c r="F21" t="s">
        <v>652</v>
      </c>
      <c r="G21">
        <v>8</v>
      </c>
      <c r="H21">
        <v>0</v>
      </c>
    </row>
    <row r="22" spans="1:8" x14ac:dyDescent="0.35">
      <c r="A22" t="s">
        <v>341</v>
      </c>
      <c r="B22" t="s">
        <v>653</v>
      </c>
      <c r="C22" t="s">
        <v>607</v>
      </c>
      <c r="D22" t="s">
        <v>625</v>
      </c>
      <c r="E22" t="s">
        <v>37</v>
      </c>
      <c r="F22" t="s">
        <v>654</v>
      </c>
      <c r="G22">
        <v>8</v>
      </c>
      <c r="H22">
        <v>0</v>
      </c>
    </row>
    <row r="23" spans="1:8" x14ac:dyDescent="0.35">
      <c r="A23" t="s">
        <v>341</v>
      </c>
      <c r="B23" t="s">
        <v>655</v>
      </c>
      <c r="C23" t="s">
        <v>607</v>
      </c>
      <c r="D23" t="s">
        <v>625</v>
      </c>
      <c r="E23" t="s">
        <v>37</v>
      </c>
      <c r="F23" t="s">
        <v>656</v>
      </c>
      <c r="G23">
        <v>8</v>
      </c>
      <c r="H23">
        <v>0</v>
      </c>
    </row>
    <row r="24" spans="1:8" x14ac:dyDescent="0.35">
      <c r="A24" t="s">
        <v>341</v>
      </c>
      <c r="B24" t="s">
        <v>657</v>
      </c>
      <c r="C24" t="s">
        <v>607</v>
      </c>
      <c r="D24" t="s">
        <v>658</v>
      </c>
      <c r="E24" t="s">
        <v>37</v>
      </c>
      <c r="F24" t="s">
        <v>659</v>
      </c>
      <c r="G24">
        <v>8</v>
      </c>
      <c r="H24">
        <v>0</v>
      </c>
    </row>
    <row r="25" spans="1:8" x14ac:dyDescent="0.35">
      <c r="A25" t="s">
        <v>341</v>
      </c>
      <c r="B25" t="s">
        <v>660</v>
      </c>
      <c r="C25" t="s">
        <v>607</v>
      </c>
      <c r="D25" t="s">
        <v>661</v>
      </c>
      <c r="E25" t="s">
        <v>37</v>
      </c>
      <c r="F25" t="s">
        <v>662</v>
      </c>
      <c r="G25">
        <v>8</v>
      </c>
      <c r="H25">
        <v>0</v>
      </c>
    </row>
    <row r="26" spans="1:8" x14ac:dyDescent="0.35">
      <c r="A26" t="s">
        <v>341</v>
      </c>
      <c r="B26" t="s">
        <v>663</v>
      </c>
      <c r="C26" t="s">
        <v>607</v>
      </c>
      <c r="D26" t="s">
        <v>664</v>
      </c>
      <c r="E26" t="s">
        <v>37</v>
      </c>
      <c r="F26" t="s">
        <v>665</v>
      </c>
      <c r="G26">
        <v>8</v>
      </c>
      <c r="H26">
        <v>0</v>
      </c>
    </row>
    <row r="27" spans="1:8" x14ac:dyDescent="0.35">
      <c r="A27" t="s">
        <v>341</v>
      </c>
      <c r="B27" t="s">
        <v>666</v>
      </c>
      <c r="C27" t="s">
        <v>607</v>
      </c>
      <c r="D27" t="s">
        <v>625</v>
      </c>
      <c r="E27" t="s">
        <v>37</v>
      </c>
      <c r="F27" t="s">
        <v>667</v>
      </c>
      <c r="G27">
        <v>8</v>
      </c>
      <c r="H27">
        <v>0</v>
      </c>
    </row>
    <row r="28" spans="1:8" x14ac:dyDescent="0.35">
      <c r="A28" t="s">
        <v>341</v>
      </c>
      <c r="B28" t="s">
        <v>668</v>
      </c>
      <c r="C28" t="s">
        <v>607</v>
      </c>
      <c r="D28" t="s">
        <v>669</v>
      </c>
      <c r="E28" t="s">
        <v>37</v>
      </c>
      <c r="F28" t="s">
        <v>670</v>
      </c>
      <c r="G28">
        <v>8</v>
      </c>
      <c r="H28">
        <v>0</v>
      </c>
    </row>
    <row r="29" spans="1:8" x14ac:dyDescent="0.35">
      <c r="A29" t="s">
        <v>341</v>
      </c>
      <c r="B29" t="s">
        <v>671</v>
      </c>
      <c r="C29" t="s">
        <v>607</v>
      </c>
      <c r="D29" t="s">
        <v>672</v>
      </c>
      <c r="E29" t="s">
        <v>37</v>
      </c>
      <c r="F29" t="s">
        <v>673</v>
      </c>
      <c r="G29">
        <v>8</v>
      </c>
      <c r="H29">
        <v>0</v>
      </c>
    </row>
    <row r="30" spans="1:8" x14ac:dyDescent="0.35">
      <c r="A30" t="s">
        <v>341</v>
      </c>
      <c r="B30" t="s">
        <v>674</v>
      </c>
      <c r="C30" t="s">
        <v>607</v>
      </c>
      <c r="D30" t="s">
        <v>672</v>
      </c>
      <c r="E30" t="s">
        <v>37</v>
      </c>
      <c r="F30" t="s">
        <v>675</v>
      </c>
      <c r="G30">
        <v>8</v>
      </c>
      <c r="H30">
        <v>0</v>
      </c>
    </row>
    <row r="31" spans="1:8" x14ac:dyDescent="0.35">
      <c r="A31" t="s">
        <v>341</v>
      </c>
      <c r="B31" t="s">
        <v>676</v>
      </c>
      <c r="C31" t="s">
        <v>607</v>
      </c>
      <c r="D31" t="s">
        <v>677</v>
      </c>
      <c r="E31" t="s">
        <v>37</v>
      </c>
      <c r="F31" t="s">
        <v>678</v>
      </c>
      <c r="G31">
        <v>8</v>
      </c>
      <c r="H31">
        <v>0</v>
      </c>
    </row>
    <row r="32" spans="1:8" x14ac:dyDescent="0.35">
      <c r="A32" t="s">
        <v>341</v>
      </c>
      <c r="B32" t="s">
        <v>679</v>
      </c>
      <c r="C32" t="s">
        <v>607</v>
      </c>
      <c r="D32" t="s">
        <v>680</v>
      </c>
      <c r="E32" t="s">
        <v>37</v>
      </c>
      <c r="F32" t="s">
        <v>681</v>
      </c>
      <c r="G32">
        <v>8</v>
      </c>
      <c r="H32">
        <v>0</v>
      </c>
    </row>
    <row r="33" spans="1:9" x14ac:dyDescent="0.35">
      <c r="A33" t="s">
        <v>341</v>
      </c>
      <c r="B33" t="s">
        <v>682</v>
      </c>
      <c r="C33" t="s">
        <v>607</v>
      </c>
      <c r="D33" t="s">
        <v>683</v>
      </c>
      <c r="E33" t="s">
        <v>37</v>
      </c>
      <c r="F33" t="s">
        <v>681</v>
      </c>
      <c r="G33">
        <v>8</v>
      </c>
      <c r="H33">
        <v>0</v>
      </c>
    </row>
    <row r="34" spans="1:9" x14ac:dyDescent="0.35">
      <c r="A34" t="s">
        <v>341</v>
      </c>
      <c r="B34" t="s">
        <v>684</v>
      </c>
      <c r="C34" t="s">
        <v>607</v>
      </c>
      <c r="D34" t="s">
        <v>685</v>
      </c>
      <c r="E34" t="s">
        <v>37</v>
      </c>
      <c r="F34" t="s">
        <v>686</v>
      </c>
      <c r="G34">
        <v>8</v>
      </c>
      <c r="H34">
        <v>8</v>
      </c>
      <c r="I34" t="s">
        <v>455</v>
      </c>
    </row>
    <row r="35" spans="1:9" x14ac:dyDescent="0.35">
      <c r="A35" t="s">
        <v>341</v>
      </c>
      <c r="B35" t="s">
        <v>687</v>
      </c>
      <c r="C35" t="s">
        <v>607</v>
      </c>
      <c r="D35" t="s">
        <v>688</v>
      </c>
      <c r="E35" t="s">
        <v>37</v>
      </c>
      <c r="F35" t="s">
        <v>689</v>
      </c>
      <c r="G35">
        <v>8</v>
      </c>
      <c r="H35">
        <v>8</v>
      </c>
      <c r="I35" t="s">
        <v>455</v>
      </c>
    </row>
    <row r="36" spans="1:9" x14ac:dyDescent="0.35">
      <c r="A36" t="s">
        <v>341</v>
      </c>
      <c r="B36" t="s">
        <v>690</v>
      </c>
      <c r="C36" t="s">
        <v>607</v>
      </c>
      <c r="D36" t="s">
        <v>691</v>
      </c>
      <c r="E36" t="s">
        <v>37</v>
      </c>
      <c r="F36" t="s">
        <v>692</v>
      </c>
      <c r="G36">
        <v>8</v>
      </c>
      <c r="H36">
        <v>0</v>
      </c>
    </row>
    <row r="37" spans="1:9" x14ac:dyDescent="0.35">
      <c r="A37" t="s">
        <v>341</v>
      </c>
      <c r="B37" t="s">
        <v>693</v>
      </c>
      <c r="C37" t="s">
        <v>607</v>
      </c>
      <c r="D37" t="s">
        <v>694</v>
      </c>
      <c r="E37" t="s">
        <v>37</v>
      </c>
      <c r="F37" t="s">
        <v>692</v>
      </c>
      <c r="G37">
        <v>8</v>
      </c>
      <c r="H37">
        <v>8</v>
      </c>
      <c r="I37" t="s">
        <v>455</v>
      </c>
    </row>
    <row r="38" spans="1:9" x14ac:dyDescent="0.35">
      <c r="A38" t="s">
        <v>341</v>
      </c>
      <c r="B38" t="s">
        <v>695</v>
      </c>
      <c r="C38" t="s">
        <v>607</v>
      </c>
      <c r="D38" t="s">
        <v>696</v>
      </c>
      <c r="E38" t="s">
        <v>37</v>
      </c>
      <c r="F38" t="s">
        <v>697</v>
      </c>
      <c r="G38">
        <v>8</v>
      </c>
      <c r="H38">
        <v>0</v>
      </c>
    </row>
    <row r="39" spans="1:9" x14ac:dyDescent="0.35">
      <c r="A39" t="s">
        <v>341</v>
      </c>
      <c r="B39" t="s">
        <v>698</v>
      </c>
      <c r="C39" t="s">
        <v>607</v>
      </c>
      <c r="D39" t="s">
        <v>699</v>
      </c>
      <c r="E39" t="s">
        <v>37</v>
      </c>
      <c r="F39" t="s">
        <v>610</v>
      </c>
      <c r="G39">
        <v>8</v>
      </c>
      <c r="H39">
        <v>0</v>
      </c>
    </row>
    <row r="40" spans="1:9" x14ac:dyDescent="0.35">
      <c r="A40" t="s">
        <v>341</v>
      </c>
      <c r="B40" t="s">
        <v>700</v>
      </c>
      <c r="C40" t="s">
        <v>607</v>
      </c>
      <c r="D40" t="s">
        <v>701</v>
      </c>
      <c r="E40" t="s">
        <v>37</v>
      </c>
      <c r="F40" t="s">
        <v>614</v>
      </c>
      <c r="G40">
        <v>8</v>
      </c>
      <c r="H40">
        <v>0</v>
      </c>
    </row>
    <row r="41" spans="1:9" x14ac:dyDescent="0.35">
      <c r="A41" t="s">
        <v>341</v>
      </c>
      <c r="B41" t="s">
        <v>702</v>
      </c>
      <c r="C41" t="s">
        <v>607</v>
      </c>
      <c r="D41" t="s">
        <v>703</v>
      </c>
      <c r="E41" t="s">
        <v>37</v>
      </c>
      <c r="F41" t="s">
        <v>616</v>
      </c>
      <c r="G41">
        <v>8</v>
      </c>
      <c r="H41">
        <v>0</v>
      </c>
    </row>
    <row r="42" spans="1:9" x14ac:dyDescent="0.35">
      <c r="A42" t="s">
        <v>341</v>
      </c>
      <c r="B42" t="s">
        <v>704</v>
      </c>
      <c r="C42" t="s">
        <v>607</v>
      </c>
      <c r="D42" t="s">
        <v>705</v>
      </c>
      <c r="E42" t="s">
        <v>37</v>
      </c>
      <c r="F42" t="s">
        <v>619</v>
      </c>
      <c r="G42">
        <v>8</v>
      </c>
      <c r="H42">
        <v>0</v>
      </c>
    </row>
    <row r="43" spans="1:9" x14ac:dyDescent="0.35">
      <c r="A43" t="s">
        <v>341</v>
      </c>
      <c r="B43" t="s">
        <v>706</v>
      </c>
      <c r="C43" t="s">
        <v>607</v>
      </c>
      <c r="D43" t="s">
        <v>707</v>
      </c>
      <c r="E43" t="s">
        <v>37</v>
      </c>
      <c r="F43" t="s">
        <v>621</v>
      </c>
      <c r="G43">
        <v>8</v>
      </c>
      <c r="H43">
        <v>0</v>
      </c>
    </row>
    <row r="44" spans="1:9" x14ac:dyDescent="0.35">
      <c r="A44" t="s">
        <v>341</v>
      </c>
      <c r="B44" t="s">
        <v>708</v>
      </c>
      <c r="C44" t="s">
        <v>607</v>
      </c>
      <c r="D44" t="s">
        <v>709</v>
      </c>
      <c r="E44" t="s">
        <v>37</v>
      </c>
      <c r="F44" t="s">
        <v>710</v>
      </c>
      <c r="G44">
        <v>8</v>
      </c>
      <c r="H44">
        <v>0</v>
      </c>
    </row>
    <row r="45" spans="1:9" x14ac:dyDescent="0.35">
      <c r="A45" t="s">
        <v>341</v>
      </c>
      <c r="B45" t="s">
        <v>711</v>
      </c>
      <c r="C45" t="s">
        <v>607</v>
      </c>
      <c r="D45" t="s">
        <v>712</v>
      </c>
      <c r="E45" t="s">
        <v>37</v>
      </c>
      <c r="F45" t="s">
        <v>624</v>
      </c>
      <c r="G45">
        <v>8</v>
      </c>
      <c r="H45">
        <v>0</v>
      </c>
    </row>
    <row r="46" spans="1:9" x14ac:dyDescent="0.35">
      <c r="A46" t="s">
        <v>341</v>
      </c>
      <c r="B46" t="s">
        <v>713</v>
      </c>
      <c r="C46" t="s">
        <v>607</v>
      </c>
      <c r="D46" t="s">
        <v>714</v>
      </c>
      <c r="E46" t="s">
        <v>37</v>
      </c>
      <c r="F46" t="s">
        <v>624</v>
      </c>
      <c r="G46">
        <v>8</v>
      </c>
      <c r="H46">
        <v>0</v>
      </c>
    </row>
    <row r="47" spans="1:9" x14ac:dyDescent="0.35">
      <c r="A47" t="s">
        <v>341</v>
      </c>
      <c r="B47" t="s">
        <v>715</v>
      </c>
      <c r="C47" t="s">
        <v>607</v>
      </c>
      <c r="D47" t="s">
        <v>716</v>
      </c>
      <c r="E47" t="s">
        <v>37</v>
      </c>
      <c r="F47" t="s">
        <v>633</v>
      </c>
      <c r="G47">
        <v>8</v>
      </c>
      <c r="H47">
        <v>0</v>
      </c>
    </row>
    <row r="48" spans="1:9" x14ac:dyDescent="0.35">
      <c r="A48" t="s">
        <v>341</v>
      </c>
      <c r="B48" t="s">
        <v>717</v>
      </c>
      <c r="C48" t="s">
        <v>607</v>
      </c>
      <c r="D48" t="s">
        <v>718</v>
      </c>
      <c r="E48" t="s">
        <v>37</v>
      </c>
      <c r="F48" t="s">
        <v>633</v>
      </c>
      <c r="G48">
        <v>8</v>
      </c>
      <c r="H48">
        <v>0</v>
      </c>
    </row>
    <row r="49" spans="1:9" x14ac:dyDescent="0.35">
      <c r="A49" t="s">
        <v>341</v>
      </c>
      <c r="B49" t="s">
        <v>719</v>
      </c>
      <c r="C49" t="s">
        <v>607</v>
      </c>
      <c r="D49" t="s">
        <v>720</v>
      </c>
      <c r="E49" t="s">
        <v>37</v>
      </c>
      <c r="F49" t="s">
        <v>635</v>
      </c>
      <c r="G49">
        <v>8</v>
      </c>
      <c r="H49">
        <v>4</v>
      </c>
      <c r="I49" t="s">
        <v>721</v>
      </c>
    </row>
    <row r="50" spans="1:9" x14ac:dyDescent="0.35">
      <c r="A50" t="s">
        <v>341</v>
      </c>
      <c r="B50" t="s">
        <v>722</v>
      </c>
      <c r="C50" t="s">
        <v>607</v>
      </c>
      <c r="D50" t="s">
        <v>723</v>
      </c>
      <c r="E50" t="s">
        <v>37</v>
      </c>
      <c r="F50" t="s">
        <v>640</v>
      </c>
      <c r="G50">
        <v>8</v>
      </c>
      <c r="H50">
        <v>0</v>
      </c>
    </row>
    <row r="51" spans="1:9" x14ac:dyDescent="0.35">
      <c r="A51" t="s">
        <v>341</v>
      </c>
      <c r="B51" t="s">
        <v>724</v>
      </c>
      <c r="C51" t="s">
        <v>607</v>
      </c>
      <c r="D51" t="s">
        <v>725</v>
      </c>
      <c r="E51" t="s">
        <v>37</v>
      </c>
      <c r="F51" t="s">
        <v>726</v>
      </c>
      <c r="G51">
        <v>8</v>
      </c>
      <c r="H51">
        <v>0</v>
      </c>
    </row>
    <row r="52" spans="1:9" x14ac:dyDescent="0.35">
      <c r="A52" t="s">
        <v>341</v>
      </c>
      <c r="B52" t="s">
        <v>727</v>
      </c>
      <c r="C52" t="s">
        <v>607</v>
      </c>
      <c r="D52" t="s">
        <v>728</v>
      </c>
      <c r="E52" t="s">
        <v>37</v>
      </c>
      <c r="F52" t="s">
        <v>726</v>
      </c>
      <c r="G52">
        <v>8</v>
      </c>
      <c r="H52">
        <v>0</v>
      </c>
    </row>
    <row r="53" spans="1:9" x14ac:dyDescent="0.35">
      <c r="A53" t="s">
        <v>341</v>
      </c>
      <c r="B53" t="s">
        <v>729</v>
      </c>
      <c r="C53" t="s">
        <v>607</v>
      </c>
      <c r="D53" t="s">
        <v>725</v>
      </c>
      <c r="E53" t="s">
        <v>37</v>
      </c>
      <c r="F53" t="s">
        <v>644</v>
      </c>
      <c r="G53">
        <v>8</v>
      </c>
      <c r="H53">
        <v>1</v>
      </c>
      <c r="I53" t="s">
        <v>730</v>
      </c>
    </row>
    <row r="54" spans="1:9" x14ac:dyDescent="0.35">
      <c r="A54" t="s">
        <v>341</v>
      </c>
      <c r="B54" t="s">
        <v>731</v>
      </c>
      <c r="C54" t="s">
        <v>607</v>
      </c>
      <c r="D54" t="s">
        <v>725</v>
      </c>
      <c r="E54" t="s">
        <v>37</v>
      </c>
      <c r="F54" t="s">
        <v>649</v>
      </c>
      <c r="G54">
        <v>8</v>
      </c>
      <c r="H54">
        <v>0</v>
      </c>
    </row>
    <row r="55" spans="1:9" x14ac:dyDescent="0.35">
      <c r="A55" t="s">
        <v>341</v>
      </c>
      <c r="B55" t="s">
        <v>732</v>
      </c>
      <c r="C55" t="s">
        <v>607</v>
      </c>
      <c r="D55" t="s">
        <v>725</v>
      </c>
      <c r="E55" t="s">
        <v>37</v>
      </c>
      <c r="F55" t="s">
        <v>652</v>
      </c>
      <c r="G55">
        <v>8</v>
      </c>
      <c r="H55">
        <v>0</v>
      </c>
    </row>
    <row r="56" spans="1:9" x14ac:dyDescent="0.35">
      <c r="A56" t="s">
        <v>341</v>
      </c>
      <c r="B56" t="s">
        <v>733</v>
      </c>
      <c r="C56" t="s">
        <v>607</v>
      </c>
      <c r="D56" t="s">
        <v>734</v>
      </c>
      <c r="E56" t="s">
        <v>37</v>
      </c>
      <c r="F56" t="s">
        <v>654</v>
      </c>
      <c r="G56">
        <v>8</v>
      </c>
      <c r="H56">
        <v>0</v>
      </c>
    </row>
    <row r="57" spans="1:9" x14ac:dyDescent="0.35">
      <c r="A57" t="s">
        <v>341</v>
      </c>
      <c r="B57" t="s">
        <v>735</v>
      </c>
      <c r="C57" t="s">
        <v>607</v>
      </c>
      <c r="D57" t="s">
        <v>720</v>
      </c>
      <c r="E57" t="s">
        <v>37</v>
      </c>
      <c r="F57" t="s">
        <v>736</v>
      </c>
      <c r="G57">
        <v>8</v>
      </c>
      <c r="H57">
        <v>0</v>
      </c>
    </row>
    <row r="58" spans="1:9" x14ac:dyDescent="0.35">
      <c r="A58" t="s">
        <v>341</v>
      </c>
      <c r="B58" t="s">
        <v>737</v>
      </c>
      <c r="C58" t="s">
        <v>607</v>
      </c>
      <c r="D58" t="s">
        <v>720</v>
      </c>
      <c r="E58" t="s">
        <v>37</v>
      </c>
      <c r="F58" t="s">
        <v>656</v>
      </c>
      <c r="G58">
        <v>8</v>
      </c>
      <c r="H58">
        <v>0</v>
      </c>
    </row>
    <row r="59" spans="1:9" x14ac:dyDescent="0.35">
      <c r="A59" t="s">
        <v>341</v>
      </c>
      <c r="B59" t="s">
        <v>738</v>
      </c>
      <c r="C59" t="s">
        <v>607</v>
      </c>
      <c r="D59" t="s">
        <v>720</v>
      </c>
      <c r="E59" t="s">
        <v>37</v>
      </c>
      <c r="F59" t="s">
        <v>667</v>
      </c>
      <c r="G59">
        <v>8</v>
      </c>
      <c r="H59">
        <v>0</v>
      </c>
    </row>
    <row r="60" spans="1:9" x14ac:dyDescent="0.35">
      <c r="A60" t="s">
        <v>341</v>
      </c>
      <c r="B60" t="s">
        <v>739</v>
      </c>
      <c r="C60" t="s">
        <v>607</v>
      </c>
      <c r="D60" t="s">
        <v>740</v>
      </c>
      <c r="E60" t="s">
        <v>37</v>
      </c>
      <c r="F60" t="s">
        <v>673</v>
      </c>
      <c r="G60">
        <v>8</v>
      </c>
      <c r="H60">
        <v>0</v>
      </c>
    </row>
    <row r="61" spans="1:9" x14ac:dyDescent="0.35">
      <c r="A61" t="s">
        <v>341</v>
      </c>
      <c r="B61" t="s">
        <v>741</v>
      </c>
      <c r="C61" t="s">
        <v>607</v>
      </c>
      <c r="D61" t="s">
        <v>742</v>
      </c>
      <c r="E61" t="s">
        <v>37</v>
      </c>
      <c r="F61" t="s">
        <v>673</v>
      </c>
      <c r="G61">
        <v>8</v>
      </c>
      <c r="H61">
        <v>0</v>
      </c>
    </row>
    <row r="62" spans="1:9" x14ac:dyDescent="0.35">
      <c r="A62" t="s">
        <v>341</v>
      </c>
      <c r="B62" t="s">
        <v>743</v>
      </c>
      <c r="C62" t="s">
        <v>607</v>
      </c>
      <c r="D62" t="s">
        <v>720</v>
      </c>
      <c r="E62" t="s">
        <v>37</v>
      </c>
      <c r="F62" t="s">
        <v>675</v>
      </c>
      <c r="G62">
        <v>8</v>
      </c>
      <c r="H62">
        <v>0</v>
      </c>
    </row>
    <row r="63" spans="1:9" x14ac:dyDescent="0.35">
      <c r="A63" t="s">
        <v>341</v>
      </c>
      <c r="B63" t="s">
        <v>744</v>
      </c>
      <c r="C63" t="s">
        <v>607</v>
      </c>
      <c r="D63" t="s">
        <v>745</v>
      </c>
      <c r="E63" t="s">
        <v>37</v>
      </c>
      <c r="F63" t="s">
        <v>675</v>
      </c>
      <c r="G63">
        <v>8</v>
      </c>
      <c r="H63">
        <v>0</v>
      </c>
    </row>
    <row r="64" spans="1:9" x14ac:dyDescent="0.35">
      <c r="A64" t="s">
        <v>341</v>
      </c>
      <c r="B64" t="s">
        <v>746</v>
      </c>
      <c r="C64" t="s">
        <v>607</v>
      </c>
      <c r="D64" t="s">
        <v>720</v>
      </c>
      <c r="E64" t="s">
        <v>37</v>
      </c>
      <c r="F64" t="s">
        <v>747</v>
      </c>
      <c r="G64">
        <v>8</v>
      </c>
      <c r="H64">
        <v>0</v>
      </c>
    </row>
    <row r="65" spans="1:9" x14ac:dyDescent="0.35">
      <c r="A65" t="s">
        <v>341</v>
      </c>
      <c r="B65" t="s">
        <v>748</v>
      </c>
      <c r="C65" t="s">
        <v>607</v>
      </c>
      <c r="D65" t="s">
        <v>720</v>
      </c>
      <c r="E65" t="s">
        <v>37</v>
      </c>
      <c r="F65" t="s">
        <v>749</v>
      </c>
      <c r="G65">
        <v>8</v>
      </c>
      <c r="H65">
        <v>0</v>
      </c>
    </row>
    <row r="66" spans="1:9" x14ac:dyDescent="0.35">
      <c r="A66" t="s">
        <v>341</v>
      </c>
      <c r="B66" t="s">
        <v>750</v>
      </c>
      <c r="C66" t="s">
        <v>607</v>
      </c>
      <c r="D66" t="s">
        <v>705</v>
      </c>
      <c r="E66" t="s">
        <v>37</v>
      </c>
      <c r="F66" t="s">
        <v>751</v>
      </c>
      <c r="G66">
        <v>8</v>
      </c>
      <c r="H66">
        <v>0</v>
      </c>
    </row>
    <row r="67" spans="1:9" x14ac:dyDescent="0.35">
      <c r="A67" t="s">
        <v>341</v>
      </c>
      <c r="B67" t="s">
        <v>752</v>
      </c>
      <c r="C67" t="s">
        <v>607</v>
      </c>
      <c r="D67" t="s">
        <v>720</v>
      </c>
      <c r="E67" t="s">
        <v>37</v>
      </c>
      <c r="F67" t="s">
        <v>753</v>
      </c>
      <c r="G67">
        <v>8</v>
      </c>
      <c r="H67">
        <v>0</v>
      </c>
    </row>
    <row r="68" spans="1:9" x14ac:dyDescent="0.35">
      <c r="A68" t="s">
        <v>341</v>
      </c>
      <c r="B68" t="s">
        <v>754</v>
      </c>
      <c r="C68" t="s">
        <v>607</v>
      </c>
      <c r="D68" t="s">
        <v>705</v>
      </c>
      <c r="E68" t="s">
        <v>37</v>
      </c>
      <c r="F68" t="s">
        <v>755</v>
      </c>
      <c r="G68">
        <v>8</v>
      </c>
      <c r="H68">
        <v>0</v>
      </c>
    </row>
    <row r="69" spans="1:9" x14ac:dyDescent="0.35">
      <c r="A69" t="s">
        <v>341</v>
      </c>
      <c r="B69" t="s">
        <v>756</v>
      </c>
      <c r="C69" t="s">
        <v>607</v>
      </c>
      <c r="D69" t="s">
        <v>720</v>
      </c>
      <c r="E69" t="s">
        <v>37</v>
      </c>
      <c r="F69" t="s">
        <v>757</v>
      </c>
      <c r="G69">
        <v>8</v>
      </c>
      <c r="H69">
        <v>0</v>
      </c>
    </row>
    <row r="70" spans="1:9" x14ac:dyDescent="0.35">
      <c r="A70" t="s">
        <v>341</v>
      </c>
      <c r="B70" t="s">
        <v>758</v>
      </c>
      <c r="C70" t="s">
        <v>607</v>
      </c>
      <c r="D70" t="s">
        <v>705</v>
      </c>
      <c r="E70" t="s">
        <v>37</v>
      </c>
      <c r="F70" t="s">
        <v>697</v>
      </c>
      <c r="G70">
        <v>8</v>
      </c>
      <c r="H70">
        <v>0</v>
      </c>
    </row>
    <row r="71" spans="1:9" x14ac:dyDescent="0.35">
      <c r="A71" t="s">
        <v>341</v>
      </c>
      <c r="B71" t="s">
        <v>759</v>
      </c>
      <c r="C71" t="s">
        <v>607</v>
      </c>
      <c r="D71" t="s">
        <v>720</v>
      </c>
      <c r="E71" t="s">
        <v>37</v>
      </c>
      <c r="F71" t="s">
        <v>760</v>
      </c>
      <c r="G71">
        <v>8</v>
      </c>
      <c r="H71">
        <v>0</v>
      </c>
    </row>
    <row r="72" spans="1:9" x14ac:dyDescent="0.35">
      <c r="A72" t="s">
        <v>341</v>
      </c>
      <c r="B72" t="s">
        <v>761</v>
      </c>
      <c r="C72" t="s">
        <v>607</v>
      </c>
      <c r="D72" t="s">
        <v>762</v>
      </c>
      <c r="E72" t="s">
        <v>37</v>
      </c>
      <c r="F72" t="s">
        <v>608</v>
      </c>
      <c r="G72">
        <v>8</v>
      </c>
      <c r="H72">
        <v>0</v>
      </c>
    </row>
    <row r="73" spans="1:9" x14ac:dyDescent="0.35">
      <c r="A73" t="s">
        <v>341</v>
      </c>
      <c r="B73" t="s">
        <v>763</v>
      </c>
      <c r="C73" t="s">
        <v>607</v>
      </c>
      <c r="D73" t="s">
        <v>764</v>
      </c>
      <c r="E73" t="s">
        <v>37</v>
      </c>
      <c r="F73" t="s">
        <v>765</v>
      </c>
      <c r="G73">
        <v>8</v>
      </c>
      <c r="H73">
        <v>0</v>
      </c>
    </row>
    <row r="74" spans="1:9" x14ac:dyDescent="0.35">
      <c r="A74" t="s">
        <v>341</v>
      </c>
      <c r="B74" t="s">
        <v>766</v>
      </c>
      <c r="C74" t="s">
        <v>607</v>
      </c>
      <c r="D74" t="s">
        <v>764</v>
      </c>
      <c r="E74" t="s">
        <v>37</v>
      </c>
      <c r="F74" t="s">
        <v>610</v>
      </c>
      <c r="G74">
        <v>8</v>
      </c>
      <c r="H74">
        <v>0</v>
      </c>
    </row>
    <row r="75" spans="1:9" x14ac:dyDescent="0.35">
      <c r="A75" t="s">
        <v>341</v>
      </c>
      <c r="B75" t="s">
        <v>767</v>
      </c>
      <c r="C75" t="s">
        <v>607</v>
      </c>
      <c r="D75" t="s">
        <v>764</v>
      </c>
      <c r="E75" t="s">
        <v>37</v>
      </c>
      <c r="F75" t="s">
        <v>612</v>
      </c>
      <c r="G75">
        <v>8</v>
      </c>
      <c r="H75">
        <v>0</v>
      </c>
    </row>
    <row r="76" spans="1:9" x14ac:dyDescent="0.35">
      <c r="A76" t="s">
        <v>341</v>
      </c>
      <c r="B76" t="s">
        <v>768</v>
      </c>
      <c r="C76" t="s">
        <v>607</v>
      </c>
      <c r="D76" t="s">
        <v>769</v>
      </c>
      <c r="E76" t="s">
        <v>37</v>
      </c>
      <c r="F76" t="s">
        <v>770</v>
      </c>
      <c r="G76">
        <v>8</v>
      </c>
      <c r="H76">
        <v>0</v>
      </c>
    </row>
    <row r="77" spans="1:9" x14ac:dyDescent="0.35">
      <c r="A77" t="s">
        <v>341</v>
      </c>
      <c r="B77" t="s">
        <v>771</v>
      </c>
      <c r="C77" t="s">
        <v>607</v>
      </c>
      <c r="D77" t="s">
        <v>769</v>
      </c>
      <c r="E77" t="s">
        <v>37</v>
      </c>
      <c r="F77" t="s">
        <v>772</v>
      </c>
      <c r="G77">
        <v>8</v>
      </c>
      <c r="H77">
        <v>0</v>
      </c>
    </row>
    <row r="78" spans="1:9" x14ac:dyDescent="0.35">
      <c r="A78" t="s">
        <v>341</v>
      </c>
      <c r="B78" t="s">
        <v>773</v>
      </c>
      <c r="C78" t="s">
        <v>607</v>
      </c>
      <c r="D78" t="s">
        <v>774</v>
      </c>
      <c r="E78" t="s">
        <v>37</v>
      </c>
      <c r="F78" t="s">
        <v>614</v>
      </c>
      <c r="G78">
        <v>8</v>
      </c>
      <c r="H78">
        <v>0</v>
      </c>
    </row>
    <row r="79" spans="1:9" x14ac:dyDescent="0.35">
      <c r="A79" t="s">
        <v>341</v>
      </c>
      <c r="B79" t="s">
        <v>775</v>
      </c>
      <c r="C79" t="s">
        <v>607</v>
      </c>
      <c r="D79" t="s">
        <v>769</v>
      </c>
      <c r="E79" t="s">
        <v>37</v>
      </c>
      <c r="F79" t="s">
        <v>616</v>
      </c>
      <c r="G79">
        <v>8</v>
      </c>
      <c r="H79">
        <v>8</v>
      </c>
      <c r="I79" t="s">
        <v>455</v>
      </c>
    </row>
    <row r="80" spans="1:9" x14ac:dyDescent="0.35">
      <c r="A80" t="s">
        <v>341</v>
      </c>
      <c r="B80" t="s">
        <v>776</v>
      </c>
      <c r="C80" t="s">
        <v>607</v>
      </c>
      <c r="D80" t="s">
        <v>769</v>
      </c>
      <c r="E80" t="s">
        <v>37</v>
      </c>
      <c r="F80" t="s">
        <v>619</v>
      </c>
      <c r="G80">
        <v>8</v>
      </c>
      <c r="H80">
        <v>8</v>
      </c>
      <c r="I80" t="s">
        <v>455</v>
      </c>
    </row>
    <row r="81" spans="1:9" x14ac:dyDescent="0.35">
      <c r="A81" t="s">
        <v>341</v>
      </c>
      <c r="B81" t="s">
        <v>777</v>
      </c>
      <c r="C81" t="s">
        <v>607</v>
      </c>
      <c r="D81" t="s">
        <v>769</v>
      </c>
      <c r="E81" t="s">
        <v>37</v>
      </c>
      <c r="F81" t="s">
        <v>621</v>
      </c>
      <c r="G81">
        <v>8</v>
      </c>
      <c r="H81">
        <v>0</v>
      </c>
    </row>
    <row r="82" spans="1:9" x14ac:dyDescent="0.35">
      <c r="A82" t="s">
        <v>341</v>
      </c>
      <c r="B82" t="s">
        <v>778</v>
      </c>
      <c r="C82" t="s">
        <v>607</v>
      </c>
      <c r="D82" t="s">
        <v>769</v>
      </c>
      <c r="E82" t="s">
        <v>37</v>
      </c>
      <c r="F82" t="s">
        <v>710</v>
      </c>
      <c r="G82">
        <v>8</v>
      </c>
      <c r="H82">
        <v>0</v>
      </c>
    </row>
    <row r="83" spans="1:9" x14ac:dyDescent="0.35">
      <c r="A83" t="s">
        <v>341</v>
      </c>
      <c r="B83" t="s">
        <v>779</v>
      </c>
      <c r="C83" t="s">
        <v>607</v>
      </c>
      <c r="D83" t="s">
        <v>769</v>
      </c>
      <c r="E83" t="s">
        <v>37</v>
      </c>
      <c r="F83" t="s">
        <v>624</v>
      </c>
      <c r="G83">
        <v>8</v>
      </c>
      <c r="H83">
        <v>8</v>
      </c>
      <c r="I83" t="s">
        <v>455</v>
      </c>
    </row>
    <row r="84" spans="1:9" x14ac:dyDescent="0.35">
      <c r="A84" t="s">
        <v>341</v>
      </c>
      <c r="B84" t="s">
        <v>780</v>
      </c>
      <c r="C84" t="s">
        <v>607</v>
      </c>
      <c r="D84" t="s">
        <v>769</v>
      </c>
      <c r="E84" t="s">
        <v>37</v>
      </c>
      <c r="F84" t="s">
        <v>633</v>
      </c>
      <c r="G84">
        <v>8</v>
      </c>
      <c r="H84">
        <v>8</v>
      </c>
      <c r="I84" t="s">
        <v>455</v>
      </c>
    </row>
    <row r="85" spans="1:9" x14ac:dyDescent="0.35">
      <c r="A85" t="s">
        <v>341</v>
      </c>
      <c r="B85" t="s">
        <v>781</v>
      </c>
      <c r="C85" t="s">
        <v>607</v>
      </c>
      <c r="D85" t="s">
        <v>720</v>
      </c>
      <c r="E85" t="s">
        <v>37</v>
      </c>
      <c r="F85" t="s">
        <v>635</v>
      </c>
      <c r="G85">
        <v>8</v>
      </c>
      <c r="H85">
        <v>4</v>
      </c>
      <c r="I85" t="s">
        <v>721</v>
      </c>
    </row>
    <row r="86" spans="1:9" x14ac:dyDescent="0.35">
      <c r="A86" t="s">
        <v>341</v>
      </c>
      <c r="B86" t="s">
        <v>782</v>
      </c>
      <c r="C86" t="s">
        <v>607</v>
      </c>
      <c r="D86" t="s">
        <v>764</v>
      </c>
      <c r="E86" t="s">
        <v>37</v>
      </c>
      <c r="F86" t="s">
        <v>638</v>
      </c>
      <c r="G86">
        <v>8</v>
      </c>
      <c r="H86">
        <v>8</v>
      </c>
      <c r="I86" t="s">
        <v>455</v>
      </c>
    </row>
    <row r="87" spans="1:9" x14ac:dyDescent="0.35">
      <c r="A87" t="s">
        <v>341</v>
      </c>
      <c r="B87" t="s">
        <v>783</v>
      </c>
      <c r="C87" t="s">
        <v>607</v>
      </c>
      <c r="D87" t="s">
        <v>784</v>
      </c>
      <c r="E87" t="s">
        <v>37</v>
      </c>
      <c r="F87" t="s">
        <v>785</v>
      </c>
      <c r="G87">
        <v>8</v>
      </c>
      <c r="H87">
        <v>8</v>
      </c>
      <c r="I87" t="s">
        <v>455</v>
      </c>
    </row>
    <row r="88" spans="1:9" x14ac:dyDescent="0.35">
      <c r="A88" t="s">
        <v>341</v>
      </c>
      <c r="B88" t="s">
        <v>786</v>
      </c>
      <c r="C88" t="s">
        <v>607</v>
      </c>
      <c r="D88" t="s">
        <v>762</v>
      </c>
      <c r="E88" t="s">
        <v>37</v>
      </c>
      <c r="F88" t="s">
        <v>640</v>
      </c>
      <c r="G88">
        <v>8</v>
      </c>
      <c r="H88">
        <v>0</v>
      </c>
    </row>
    <row r="89" spans="1:9" x14ac:dyDescent="0.35">
      <c r="A89" t="s">
        <v>341</v>
      </c>
      <c r="B89" t="s">
        <v>787</v>
      </c>
      <c r="C89" t="s">
        <v>607</v>
      </c>
      <c r="D89" t="s">
        <v>769</v>
      </c>
      <c r="E89" t="s">
        <v>37</v>
      </c>
      <c r="F89" t="s">
        <v>788</v>
      </c>
      <c r="G89">
        <v>8</v>
      </c>
      <c r="H89">
        <v>0</v>
      </c>
    </row>
    <row r="90" spans="1:9" x14ac:dyDescent="0.35">
      <c r="A90" t="s">
        <v>341</v>
      </c>
      <c r="B90" t="s">
        <v>789</v>
      </c>
      <c r="C90" t="s">
        <v>607</v>
      </c>
      <c r="D90" t="s">
        <v>790</v>
      </c>
      <c r="E90" t="s">
        <v>37</v>
      </c>
      <c r="F90" t="s">
        <v>642</v>
      </c>
      <c r="G90">
        <v>8</v>
      </c>
      <c r="H90">
        <v>0</v>
      </c>
    </row>
    <row r="91" spans="1:9" x14ac:dyDescent="0.35">
      <c r="A91" t="s">
        <v>341</v>
      </c>
      <c r="B91" t="s">
        <v>791</v>
      </c>
      <c r="C91" t="s">
        <v>607</v>
      </c>
      <c r="D91" t="s">
        <v>792</v>
      </c>
      <c r="E91" t="s">
        <v>37</v>
      </c>
      <c r="F91" t="s">
        <v>726</v>
      </c>
      <c r="G91">
        <v>8</v>
      </c>
      <c r="H91">
        <v>0</v>
      </c>
    </row>
    <row r="92" spans="1:9" x14ac:dyDescent="0.35">
      <c r="A92" t="s">
        <v>341</v>
      </c>
      <c r="B92" t="s">
        <v>793</v>
      </c>
      <c r="C92" t="s">
        <v>607</v>
      </c>
      <c r="D92" t="s">
        <v>792</v>
      </c>
      <c r="E92" t="s">
        <v>37</v>
      </c>
      <c r="F92" t="s">
        <v>644</v>
      </c>
      <c r="G92">
        <v>8</v>
      </c>
      <c r="H92">
        <v>1</v>
      </c>
      <c r="I92" t="s">
        <v>730</v>
      </c>
    </row>
    <row r="93" spans="1:9" x14ac:dyDescent="0.35">
      <c r="A93" t="s">
        <v>341</v>
      </c>
      <c r="B93" t="s">
        <v>794</v>
      </c>
      <c r="C93" t="s">
        <v>607</v>
      </c>
      <c r="D93" t="s">
        <v>792</v>
      </c>
      <c r="E93" t="s">
        <v>37</v>
      </c>
      <c r="F93" t="s">
        <v>795</v>
      </c>
      <c r="G93">
        <v>8</v>
      </c>
      <c r="H93">
        <v>0</v>
      </c>
    </row>
    <row r="94" spans="1:9" x14ac:dyDescent="0.35">
      <c r="A94" t="s">
        <v>341</v>
      </c>
      <c r="B94" t="s">
        <v>796</v>
      </c>
      <c r="C94" t="s">
        <v>607</v>
      </c>
      <c r="D94" t="s">
        <v>792</v>
      </c>
      <c r="E94" t="s">
        <v>37</v>
      </c>
      <c r="F94" t="s">
        <v>649</v>
      </c>
      <c r="G94">
        <v>8</v>
      </c>
      <c r="H94">
        <v>0</v>
      </c>
    </row>
    <row r="95" spans="1:9" x14ac:dyDescent="0.35">
      <c r="A95" t="s">
        <v>341</v>
      </c>
      <c r="B95" t="s">
        <v>797</v>
      </c>
      <c r="C95" t="s">
        <v>607</v>
      </c>
      <c r="D95" t="s">
        <v>792</v>
      </c>
      <c r="E95" t="s">
        <v>37</v>
      </c>
      <c r="F95" t="s">
        <v>652</v>
      </c>
      <c r="G95">
        <v>8</v>
      </c>
      <c r="H95">
        <v>0</v>
      </c>
    </row>
    <row r="96" spans="1:9" x14ac:dyDescent="0.35">
      <c r="A96" t="s">
        <v>341</v>
      </c>
      <c r="B96" t="s">
        <v>798</v>
      </c>
      <c r="C96" t="s">
        <v>607</v>
      </c>
      <c r="D96" t="s">
        <v>799</v>
      </c>
      <c r="E96" t="s">
        <v>37</v>
      </c>
      <c r="F96" t="s">
        <v>654</v>
      </c>
      <c r="G96">
        <v>8</v>
      </c>
      <c r="H96">
        <v>0</v>
      </c>
    </row>
    <row r="97" spans="1:9" x14ac:dyDescent="0.35">
      <c r="A97" t="s">
        <v>341</v>
      </c>
      <c r="B97" t="s">
        <v>800</v>
      </c>
      <c r="C97" t="s">
        <v>607</v>
      </c>
      <c r="D97" t="s">
        <v>720</v>
      </c>
      <c r="E97" t="s">
        <v>37</v>
      </c>
      <c r="F97" t="s">
        <v>736</v>
      </c>
      <c r="G97">
        <v>8</v>
      </c>
      <c r="H97">
        <v>0</v>
      </c>
    </row>
    <row r="98" spans="1:9" x14ac:dyDescent="0.35">
      <c r="A98" t="s">
        <v>341</v>
      </c>
      <c r="B98" t="s">
        <v>801</v>
      </c>
      <c r="C98" t="s">
        <v>607</v>
      </c>
      <c r="D98" t="s">
        <v>720</v>
      </c>
      <c r="E98" t="s">
        <v>37</v>
      </c>
      <c r="F98" t="s">
        <v>802</v>
      </c>
      <c r="G98">
        <v>8</v>
      </c>
      <c r="H98">
        <v>0</v>
      </c>
    </row>
    <row r="99" spans="1:9" x14ac:dyDescent="0.35">
      <c r="A99" t="s">
        <v>341</v>
      </c>
      <c r="B99" t="s">
        <v>803</v>
      </c>
      <c r="C99" t="s">
        <v>607</v>
      </c>
      <c r="D99" t="s">
        <v>720</v>
      </c>
      <c r="E99" t="s">
        <v>37</v>
      </c>
      <c r="F99" t="s">
        <v>656</v>
      </c>
      <c r="G99">
        <v>8</v>
      </c>
      <c r="H99">
        <v>0</v>
      </c>
    </row>
    <row r="100" spans="1:9" x14ac:dyDescent="0.35">
      <c r="A100" t="s">
        <v>341</v>
      </c>
      <c r="B100" t="s">
        <v>804</v>
      </c>
      <c r="C100" t="s">
        <v>607</v>
      </c>
      <c r="D100" t="s">
        <v>769</v>
      </c>
      <c r="E100" t="s">
        <v>37</v>
      </c>
      <c r="F100" t="s">
        <v>659</v>
      </c>
      <c r="G100">
        <v>8</v>
      </c>
      <c r="H100">
        <v>0</v>
      </c>
    </row>
    <row r="101" spans="1:9" x14ac:dyDescent="0.35">
      <c r="A101" t="s">
        <v>341</v>
      </c>
      <c r="B101" t="s">
        <v>805</v>
      </c>
      <c r="C101" t="s">
        <v>607</v>
      </c>
      <c r="D101" t="s">
        <v>769</v>
      </c>
      <c r="E101" t="s">
        <v>37</v>
      </c>
      <c r="F101" t="s">
        <v>662</v>
      </c>
      <c r="G101">
        <v>8</v>
      </c>
      <c r="H101">
        <v>0</v>
      </c>
    </row>
    <row r="102" spans="1:9" x14ac:dyDescent="0.35">
      <c r="A102" t="s">
        <v>341</v>
      </c>
      <c r="B102" t="s">
        <v>806</v>
      </c>
      <c r="C102" t="s">
        <v>607</v>
      </c>
      <c r="D102" t="s">
        <v>784</v>
      </c>
      <c r="E102" t="s">
        <v>37</v>
      </c>
      <c r="F102" t="s">
        <v>807</v>
      </c>
      <c r="G102">
        <v>8</v>
      </c>
      <c r="H102">
        <v>0</v>
      </c>
    </row>
    <row r="103" spans="1:9" x14ac:dyDescent="0.35">
      <c r="A103" t="s">
        <v>341</v>
      </c>
      <c r="B103" t="s">
        <v>808</v>
      </c>
      <c r="C103" t="s">
        <v>607</v>
      </c>
      <c r="D103" t="s">
        <v>784</v>
      </c>
      <c r="E103" t="s">
        <v>37</v>
      </c>
      <c r="F103" t="s">
        <v>809</v>
      </c>
      <c r="G103">
        <v>8</v>
      </c>
      <c r="H103">
        <v>0</v>
      </c>
    </row>
    <row r="104" spans="1:9" x14ac:dyDescent="0.35">
      <c r="A104" t="s">
        <v>341</v>
      </c>
      <c r="B104" t="s">
        <v>810</v>
      </c>
      <c r="C104" t="s">
        <v>607</v>
      </c>
      <c r="D104" t="s">
        <v>769</v>
      </c>
      <c r="E104" t="s">
        <v>37</v>
      </c>
      <c r="F104" t="s">
        <v>665</v>
      </c>
      <c r="G104">
        <v>8</v>
      </c>
      <c r="H104">
        <v>0</v>
      </c>
    </row>
    <row r="105" spans="1:9" x14ac:dyDescent="0.35">
      <c r="A105" t="s">
        <v>341</v>
      </c>
      <c r="B105" t="s">
        <v>811</v>
      </c>
      <c r="C105" t="s">
        <v>607</v>
      </c>
      <c r="D105" t="s">
        <v>720</v>
      </c>
      <c r="E105" t="s">
        <v>37</v>
      </c>
      <c r="F105" t="s">
        <v>667</v>
      </c>
      <c r="G105">
        <v>8</v>
      </c>
      <c r="H105">
        <v>0</v>
      </c>
    </row>
    <row r="106" spans="1:9" x14ac:dyDescent="0.35">
      <c r="A106" t="s">
        <v>341</v>
      </c>
      <c r="B106" t="s">
        <v>812</v>
      </c>
      <c r="C106" t="s">
        <v>607</v>
      </c>
      <c r="D106" t="s">
        <v>769</v>
      </c>
      <c r="E106" t="s">
        <v>37</v>
      </c>
      <c r="F106" t="s">
        <v>670</v>
      </c>
      <c r="G106">
        <v>8</v>
      </c>
      <c r="H106">
        <v>0</v>
      </c>
    </row>
    <row r="107" spans="1:9" x14ac:dyDescent="0.35">
      <c r="A107" t="s">
        <v>341</v>
      </c>
      <c r="B107" t="s">
        <v>813</v>
      </c>
      <c r="C107" t="s">
        <v>607</v>
      </c>
      <c r="D107" t="s">
        <v>769</v>
      </c>
      <c r="E107" t="s">
        <v>37</v>
      </c>
      <c r="F107" t="s">
        <v>673</v>
      </c>
      <c r="G107">
        <v>8</v>
      </c>
      <c r="H107">
        <v>0</v>
      </c>
    </row>
    <row r="108" spans="1:9" x14ac:dyDescent="0.35">
      <c r="A108" t="s">
        <v>341</v>
      </c>
      <c r="B108" t="s">
        <v>814</v>
      </c>
      <c r="C108" t="s">
        <v>607</v>
      </c>
      <c r="D108" t="s">
        <v>764</v>
      </c>
      <c r="E108" t="s">
        <v>37</v>
      </c>
      <c r="F108" t="s">
        <v>815</v>
      </c>
      <c r="G108">
        <v>8</v>
      </c>
      <c r="H108">
        <v>8</v>
      </c>
      <c r="I108" t="s">
        <v>455</v>
      </c>
    </row>
    <row r="109" spans="1:9" x14ac:dyDescent="0.35">
      <c r="A109" t="s">
        <v>341</v>
      </c>
      <c r="B109" t="s">
        <v>816</v>
      </c>
      <c r="C109" t="s">
        <v>607</v>
      </c>
      <c r="D109" t="s">
        <v>720</v>
      </c>
      <c r="E109" t="s">
        <v>37</v>
      </c>
      <c r="F109" t="s">
        <v>675</v>
      </c>
      <c r="G109">
        <v>8</v>
      </c>
      <c r="H109">
        <v>0</v>
      </c>
    </row>
    <row r="110" spans="1:9" x14ac:dyDescent="0.35">
      <c r="A110" t="s">
        <v>341</v>
      </c>
      <c r="B110" t="s">
        <v>817</v>
      </c>
      <c r="C110" t="s">
        <v>607</v>
      </c>
      <c r="D110" t="s">
        <v>764</v>
      </c>
      <c r="E110" t="s">
        <v>37</v>
      </c>
      <c r="F110" t="s">
        <v>678</v>
      </c>
      <c r="G110">
        <v>8</v>
      </c>
      <c r="H110">
        <v>8</v>
      </c>
      <c r="I110" t="s">
        <v>455</v>
      </c>
    </row>
    <row r="111" spans="1:9" x14ac:dyDescent="0.35">
      <c r="A111" t="s">
        <v>341</v>
      </c>
      <c r="B111" t="s">
        <v>818</v>
      </c>
      <c r="C111" t="s">
        <v>607</v>
      </c>
      <c r="D111" t="s">
        <v>720</v>
      </c>
      <c r="E111" t="s">
        <v>37</v>
      </c>
      <c r="F111" t="s">
        <v>819</v>
      </c>
      <c r="G111">
        <v>8</v>
      </c>
      <c r="H111">
        <v>0</v>
      </c>
    </row>
    <row r="112" spans="1:9" x14ac:dyDescent="0.35">
      <c r="A112" t="s">
        <v>341</v>
      </c>
      <c r="B112" t="s">
        <v>820</v>
      </c>
      <c r="C112" t="s">
        <v>607</v>
      </c>
      <c r="D112" t="s">
        <v>769</v>
      </c>
      <c r="E112" t="s">
        <v>37</v>
      </c>
      <c r="F112" t="s">
        <v>681</v>
      </c>
      <c r="G112">
        <v>8</v>
      </c>
      <c r="H112">
        <v>0</v>
      </c>
    </row>
    <row r="113" spans="1:9" x14ac:dyDescent="0.35">
      <c r="A113" t="s">
        <v>341</v>
      </c>
      <c r="B113" t="s">
        <v>821</v>
      </c>
      <c r="C113" t="s">
        <v>607</v>
      </c>
      <c r="D113" t="s">
        <v>769</v>
      </c>
      <c r="E113" t="s">
        <v>37</v>
      </c>
      <c r="F113" t="s">
        <v>822</v>
      </c>
      <c r="G113">
        <v>8</v>
      </c>
      <c r="H113">
        <v>0</v>
      </c>
    </row>
    <row r="114" spans="1:9" x14ac:dyDescent="0.35">
      <c r="A114" t="s">
        <v>341</v>
      </c>
      <c r="B114" t="s">
        <v>823</v>
      </c>
      <c r="C114" t="s">
        <v>607</v>
      </c>
      <c r="D114" t="s">
        <v>762</v>
      </c>
      <c r="E114" t="s">
        <v>37</v>
      </c>
      <c r="F114" t="s">
        <v>686</v>
      </c>
      <c r="G114">
        <v>8</v>
      </c>
      <c r="H114">
        <v>8</v>
      </c>
      <c r="I114" t="s">
        <v>455</v>
      </c>
    </row>
    <row r="115" spans="1:9" x14ac:dyDescent="0.35">
      <c r="A115" t="s">
        <v>341</v>
      </c>
      <c r="B115" t="s">
        <v>824</v>
      </c>
      <c r="C115" t="s">
        <v>607</v>
      </c>
      <c r="D115" t="s">
        <v>762</v>
      </c>
      <c r="E115" t="s">
        <v>37</v>
      </c>
      <c r="F115" t="s">
        <v>689</v>
      </c>
      <c r="G115">
        <v>8</v>
      </c>
      <c r="H115">
        <v>8</v>
      </c>
      <c r="I115" t="s">
        <v>455</v>
      </c>
    </row>
    <row r="116" spans="1:9" x14ac:dyDescent="0.35">
      <c r="A116" t="s">
        <v>341</v>
      </c>
      <c r="B116" t="s">
        <v>825</v>
      </c>
      <c r="C116" t="s">
        <v>607</v>
      </c>
      <c r="D116" t="s">
        <v>826</v>
      </c>
      <c r="E116" t="s">
        <v>37</v>
      </c>
      <c r="F116" t="s">
        <v>692</v>
      </c>
      <c r="G116">
        <v>8</v>
      </c>
      <c r="H116">
        <v>8</v>
      </c>
      <c r="I116" t="s">
        <v>455</v>
      </c>
    </row>
    <row r="117" spans="1:9" x14ac:dyDescent="0.35">
      <c r="A117" t="s">
        <v>341</v>
      </c>
      <c r="B117" t="s">
        <v>827</v>
      </c>
      <c r="C117" t="s">
        <v>607</v>
      </c>
      <c r="D117" t="s">
        <v>826</v>
      </c>
      <c r="E117" t="s">
        <v>37</v>
      </c>
      <c r="F117" t="s">
        <v>828</v>
      </c>
      <c r="G117">
        <v>8</v>
      </c>
      <c r="H117">
        <v>0</v>
      </c>
    </row>
    <row r="118" spans="1:9" x14ac:dyDescent="0.35">
      <c r="A118" t="s">
        <v>341</v>
      </c>
      <c r="B118" t="s">
        <v>829</v>
      </c>
      <c r="C118" t="s">
        <v>607</v>
      </c>
      <c r="D118" t="s">
        <v>826</v>
      </c>
      <c r="E118" t="s">
        <v>37</v>
      </c>
      <c r="F118" t="s">
        <v>830</v>
      </c>
      <c r="G118">
        <v>8</v>
      </c>
      <c r="H118">
        <v>0</v>
      </c>
    </row>
    <row r="119" spans="1:9" x14ac:dyDescent="0.35">
      <c r="A119" t="s">
        <v>341</v>
      </c>
      <c r="B119" t="s">
        <v>831</v>
      </c>
      <c r="C119" t="s">
        <v>607</v>
      </c>
      <c r="D119" t="s">
        <v>769</v>
      </c>
      <c r="E119" t="s">
        <v>37</v>
      </c>
      <c r="F119" t="s">
        <v>832</v>
      </c>
      <c r="G119">
        <v>8</v>
      </c>
      <c r="H119">
        <v>0</v>
      </c>
    </row>
    <row r="120" spans="1:9" x14ac:dyDescent="0.35">
      <c r="A120" t="s">
        <v>341</v>
      </c>
      <c r="B120" t="s">
        <v>833</v>
      </c>
      <c r="C120" t="s">
        <v>607</v>
      </c>
      <c r="D120" t="s">
        <v>769</v>
      </c>
      <c r="E120" t="s">
        <v>37</v>
      </c>
      <c r="F120" t="s">
        <v>834</v>
      </c>
      <c r="G120">
        <v>8</v>
      </c>
      <c r="H120">
        <v>0</v>
      </c>
    </row>
    <row r="121" spans="1:9" x14ac:dyDescent="0.35">
      <c r="A121" t="s">
        <v>341</v>
      </c>
      <c r="B121" t="s">
        <v>835</v>
      </c>
      <c r="C121" t="s">
        <v>607</v>
      </c>
      <c r="D121" t="s">
        <v>720</v>
      </c>
      <c r="E121" t="s">
        <v>37</v>
      </c>
      <c r="F121" t="s">
        <v>747</v>
      </c>
      <c r="G121">
        <v>8</v>
      </c>
      <c r="H121">
        <v>0</v>
      </c>
    </row>
    <row r="122" spans="1:9" x14ac:dyDescent="0.35">
      <c r="A122" t="s">
        <v>341</v>
      </c>
      <c r="B122" t="s">
        <v>836</v>
      </c>
      <c r="C122" t="s">
        <v>607</v>
      </c>
      <c r="D122" t="s">
        <v>837</v>
      </c>
      <c r="E122" t="s">
        <v>37</v>
      </c>
      <c r="F122" t="s">
        <v>838</v>
      </c>
      <c r="G122">
        <v>8</v>
      </c>
      <c r="H122">
        <v>0</v>
      </c>
    </row>
    <row r="123" spans="1:9" x14ac:dyDescent="0.35">
      <c r="A123" t="s">
        <v>341</v>
      </c>
      <c r="B123" t="s">
        <v>839</v>
      </c>
      <c r="C123" t="s">
        <v>607</v>
      </c>
      <c r="D123" t="s">
        <v>790</v>
      </c>
      <c r="E123" t="s">
        <v>37</v>
      </c>
      <c r="F123" t="s">
        <v>840</v>
      </c>
      <c r="G123">
        <v>8</v>
      </c>
      <c r="H123">
        <v>0</v>
      </c>
    </row>
    <row r="124" spans="1:9" x14ac:dyDescent="0.35">
      <c r="A124" t="s">
        <v>341</v>
      </c>
      <c r="B124" t="s">
        <v>841</v>
      </c>
      <c r="C124" t="s">
        <v>607</v>
      </c>
      <c r="D124" t="s">
        <v>764</v>
      </c>
      <c r="E124" t="s">
        <v>37</v>
      </c>
      <c r="F124" t="s">
        <v>842</v>
      </c>
      <c r="G124">
        <v>8</v>
      </c>
      <c r="H124">
        <v>0</v>
      </c>
    </row>
    <row r="125" spans="1:9" x14ac:dyDescent="0.35">
      <c r="A125" t="s">
        <v>341</v>
      </c>
      <c r="B125" t="s">
        <v>843</v>
      </c>
      <c r="C125" t="s">
        <v>607</v>
      </c>
      <c r="D125" t="s">
        <v>764</v>
      </c>
      <c r="E125" t="s">
        <v>37</v>
      </c>
      <c r="F125" t="s">
        <v>844</v>
      </c>
      <c r="G125">
        <v>8</v>
      </c>
      <c r="H125">
        <v>8</v>
      </c>
      <c r="I125" t="s">
        <v>455</v>
      </c>
    </row>
    <row r="126" spans="1:9" x14ac:dyDescent="0.35">
      <c r="A126" t="s">
        <v>341</v>
      </c>
      <c r="B126" t="s">
        <v>845</v>
      </c>
      <c r="C126" t="s">
        <v>607</v>
      </c>
      <c r="D126" t="s">
        <v>764</v>
      </c>
      <c r="E126" t="s">
        <v>37</v>
      </c>
      <c r="F126" t="s">
        <v>846</v>
      </c>
      <c r="G126">
        <v>8</v>
      </c>
      <c r="H126">
        <v>0</v>
      </c>
    </row>
    <row r="127" spans="1:9" x14ac:dyDescent="0.35">
      <c r="A127" t="s">
        <v>341</v>
      </c>
      <c r="B127" t="s">
        <v>847</v>
      </c>
      <c r="C127" t="s">
        <v>607</v>
      </c>
      <c r="D127" t="s">
        <v>764</v>
      </c>
      <c r="E127" t="s">
        <v>37</v>
      </c>
      <c r="F127" t="s">
        <v>848</v>
      </c>
      <c r="G127">
        <v>8</v>
      </c>
      <c r="H127">
        <v>0</v>
      </c>
    </row>
    <row r="128" spans="1:9" x14ac:dyDescent="0.35">
      <c r="A128" t="s">
        <v>341</v>
      </c>
      <c r="B128" t="s">
        <v>849</v>
      </c>
      <c r="C128" t="s">
        <v>607</v>
      </c>
      <c r="D128" t="s">
        <v>764</v>
      </c>
      <c r="E128" t="s">
        <v>37</v>
      </c>
      <c r="F128" t="s">
        <v>850</v>
      </c>
      <c r="G128">
        <v>8</v>
      </c>
      <c r="H128">
        <v>0</v>
      </c>
    </row>
    <row r="129" spans="1:8" x14ac:dyDescent="0.35">
      <c r="A129" t="s">
        <v>341</v>
      </c>
      <c r="B129" t="s">
        <v>851</v>
      </c>
      <c r="C129" t="s">
        <v>607</v>
      </c>
      <c r="D129" t="s">
        <v>764</v>
      </c>
      <c r="E129" t="s">
        <v>37</v>
      </c>
      <c r="F129" t="s">
        <v>852</v>
      </c>
      <c r="G129">
        <v>8</v>
      </c>
      <c r="H129">
        <v>0</v>
      </c>
    </row>
    <row r="130" spans="1:8" x14ac:dyDescent="0.35">
      <c r="A130" t="s">
        <v>341</v>
      </c>
      <c r="B130" t="s">
        <v>853</v>
      </c>
      <c r="C130" t="s">
        <v>607</v>
      </c>
      <c r="D130" t="s">
        <v>764</v>
      </c>
      <c r="E130" t="s">
        <v>37</v>
      </c>
      <c r="F130" t="s">
        <v>854</v>
      </c>
      <c r="G130">
        <v>8</v>
      </c>
      <c r="H130">
        <v>0</v>
      </c>
    </row>
    <row r="131" spans="1:8" x14ac:dyDescent="0.35">
      <c r="A131" t="s">
        <v>341</v>
      </c>
      <c r="B131" t="s">
        <v>855</v>
      </c>
      <c r="C131" t="s">
        <v>607</v>
      </c>
      <c r="D131" t="s">
        <v>764</v>
      </c>
      <c r="E131" t="s">
        <v>37</v>
      </c>
      <c r="F131" t="s">
        <v>856</v>
      </c>
      <c r="G131">
        <v>8</v>
      </c>
      <c r="H131">
        <v>0</v>
      </c>
    </row>
    <row r="132" spans="1:8" x14ac:dyDescent="0.35">
      <c r="A132" t="s">
        <v>341</v>
      </c>
      <c r="B132" t="s">
        <v>857</v>
      </c>
      <c r="C132" t="s">
        <v>607</v>
      </c>
      <c r="D132" t="s">
        <v>764</v>
      </c>
      <c r="E132" t="s">
        <v>37</v>
      </c>
      <c r="F132" t="s">
        <v>858</v>
      </c>
      <c r="G132">
        <v>8</v>
      </c>
      <c r="H132">
        <v>0</v>
      </c>
    </row>
    <row r="133" spans="1:8" x14ac:dyDescent="0.35">
      <c r="A133" t="s">
        <v>341</v>
      </c>
      <c r="B133" t="s">
        <v>859</v>
      </c>
      <c r="C133" t="s">
        <v>607</v>
      </c>
      <c r="D133" t="s">
        <v>764</v>
      </c>
      <c r="E133" t="s">
        <v>37</v>
      </c>
      <c r="F133" t="s">
        <v>860</v>
      </c>
      <c r="G133">
        <v>8</v>
      </c>
      <c r="H133">
        <v>0</v>
      </c>
    </row>
    <row r="134" spans="1:8" x14ac:dyDescent="0.35">
      <c r="A134" t="s">
        <v>341</v>
      </c>
      <c r="B134" t="s">
        <v>861</v>
      </c>
      <c r="C134" t="s">
        <v>607</v>
      </c>
      <c r="D134" t="s">
        <v>764</v>
      </c>
      <c r="E134" t="s">
        <v>37</v>
      </c>
      <c r="F134" t="s">
        <v>862</v>
      </c>
      <c r="G134">
        <v>8</v>
      </c>
      <c r="H134">
        <v>0</v>
      </c>
    </row>
    <row r="135" spans="1:8" x14ac:dyDescent="0.35">
      <c r="A135" t="s">
        <v>341</v>
      </c>
      <c r="B135" t="s">
        <v>863</v>
      </c>
      <c r="C135" t="s">
        <v>607</v>
      </c>
      <c r="D135" t="s">
        <v>764</v>
      </c>
      <c r="E135" t="s">
        <v>37</v>
      </c>
      <c r="F135" t="s">
        <v>864</v>
      </c>
      <c r="G135">
        <v>8</v>
      </c>
      <c r="H135">
        <v>0</v>
      </c>
    </row>
    <row r="136" spans="1:8" x14ac:dyDescent="0.35">
      <c r="A136" t="s">
        <v>341</v>
      </c>
      <c r="B136" t="s">
        <v>865</v>
      </c>
      <c r="C136" t="s">
        <v>607</v>
      </c>
      <c r="D136" t="s">
        <v>764</v>
      </c>
      <c r="E136" t="s">
        <v>37</v>
      </c>
      <c r="F136" t="s">
        <v>866</v>
      </c>
      <c r="G136">
        <v>8</v>
      </c>
      <c r="H136">
        <v>0</v>
      </c>
    </row>
    <row r="137" spans="1:8" x14ac:dyDescent="0.35">
      <c r="A137" t="s">
        <v>341</v>
      </c>
      <c r="B137" t="s">
        <v>867</v>
      </c>
      <c r="C137" t="s">
        <v>607</v>
      </c>
      <c r="D137" t="s">
        <v>764</v>
      </c>
      <c r="E137" t="s">
        <v>37</v>
      </c>
      <c r="F137" t="s">
        <v>868</v>
      </c>
      <c r="G137">
        <v>8</v>
      </c>
      <c r="H137">
        <v>0</v>
      </c>
    </row>
    <row r="138" spans="1:8" x14ac:dyDescent="0.35">
      <c r="A138" t="s">
        <v>341</v>
      </c>
      <c r="B138" t="s">
        <v>869</v>
      </c>
      <c r="C138" t="s">
        <v>607</v>
      </c>
      <c r="D138" t="s">
        <v>720</v>
      </c>
      <c r="E138" t="s">
        <v>37</v>
      </c>
      <c r="F138" t="s">
        <v>749</v>
      </c>
      <c r="G138">
        <v>8</v>
      </c>
      <c r="H138">
        <v>0</v>
      </c>
    </row>
    <row r="139" spans="1:8" x14ac:dyDescent="0.35">
      <c r="A139" t="s">
        <v>341</v>
      </c>
      <c r="B139" t="s">
        <v>870</v>
      </c>
      <c r="C139" t="s">
        <v>607</v>
      </c>
      <c r="D139" t="s">
        <v>769</v>
      </c>
      <c r="E139" t="s">
        <v>37</v>
      </c>
      <c r="F139" t="s">
        <v>751</v>
      </c>
      <c r="G139">
        <v>8</v>
      </c>
      <c r="H139">
        <v>0</v>
      </c>
    </row>
    <row r="140" spans="1:8" x14ac:dyDescent="0.35">
      <c r="A140" t="s">
        <v>341</v>
      </c>
      <c r="B140" t="s">
        <v>871</v>
      </c>
      <c r="C140" t="s">
        <v>607</v>
      </c>
      <c r="D140" t="s">
        <v>720</v>
      </c>
      <c r="E140" t="s">
        <v>37</v>
      </c>
      <c r="F140" t="s">
        <v>753</v>
      </c>
      <c r="G140">
        <v>8</v>
      </c>
      <c r="H140">
        <v>0</v>
      </c>
    </row>
    <row r="141" spans="1:8" x14ac:dyDescent="0.35">
      <c r="A141" t="s">
        <v>341</v>
      </c>
      <c r="B141" t="s">
        <v>872</v>
      </c>
      <c r="C141" t="s">
        <v>607</v>
      </c>
      <c r="D141" t="s">
        <v>769</v>
      </c>
      <c r="E141" t="s">
        <v>37</v>
      </c>
      <c r="F141" t="s">
        <v>755</v>
      </c>
      <c r="G141">
        <v>8</v>
      </c>
      <c r="H141">
        <v>0</v>
      </c>
    </row>
    <row r="142" spans="1:8" x14ac:dyDescent="0.35">
      <c r="A142" t="s">
        <v>341</v>
      </c>
      <c r="B142" t="s">
        <v>873</v>
      </c>
      <c r="C142" t="s">
        <v>607</v>
      </c>
      <c r="D142" t="s">
        <v>769</v>
      </c>
      <c r="E142" t="s">
        <v>37</v>
      </c>
      <c r="F142" t="s">
        <v>874</v>
      </c>
      <c r="G142">
        <v>8</v>
      </c>
      <c r="H142">
        <v>0</v>
      </c>
    </row>
    <row r="143" spans="1:8" x14ac:dyDescent="0.35">
      <c r="A143" t="s">
        <v>341</v>
      </c>
      <c r="B143" t="s">
        <v>875</v>
      </c>
      <c r="C143" t="s">
        <v>607</v>
      </c>
      <c r="D143" t="s">
        <v>764</v>
      </c>
      <c r="E143" t="s">
        <v>37</v>
      </c>
      <c r="F143" t="s">
        <v>876</v>
      </c>
      <c r="G143">
        <v>8</v>
      </c>
      <c r="H143">
        <v>0</v>
      </c>
    </row>
    <row r="144" spans="1:8" x14ac:dyDescent="0.35">
      <c r="A144" t="s">
        <v>341</v>
      </c>
      <c r="B144" t="s">
        <v>877</v>
      </c>
      <c r="C144" t="s">
        <v>607</v>
      </c>
      <c r="D144" t="s">
        <v>764</v>
      </c>
      <c r="E144" t="s">
        <v>37</v>
      </c>
      <c r="F144" t="s">
        <v>878</v>
      </c>
      <c r="G144">
        <v>8</v>
      </c>
      <c r="H144">
        <v>0</v>
      </c>
    </row>
    <row r="145" spans="1:9" x14ac:dyDescent="0.35">
      <c r="A145" t="s">
        <v>341</v>
      </c>
      <c r="B145" t="s">
        <v>879</v>
      </c>
      <c r="C145" t="s">
        <v>607</v>
      </c>
      <c r="D145" t="s">
        <v>720</v>
      </c>
      <c r="E145" t="s">
        <v>37</v>
      </c>
      <c r="F145" t="s">
        <v>757</v>
      </c>
      <c r="G145">
        <v>8</v>
      </c>
      <c r="H145">
        <v>0</v>
      </c>
    </row>
    <row r="146" spans="1:9" x14ac:dyDescent="0.35">
      <c r="A146" t="s">
        <v>341</v>
      </c>
      <c r="B146" t="s">
        <v>880</v>
      </c>
      <c r="C146" t="s">
        <v>607</v>
      </c>
      <c r="D146" t="s">
        <v>784</v>
      </c>
      <c r="E146" t="s">
        <v>37</v>
      </c>
      <c r="F146" t="s">
        <v>881</v>
      </c>
      <c r="G146">
        <v>8</v>
      </c>
      <c r="H146">
        <v>0</v>
      </c>
    </row>
    <row r="147" spans="1:9" x14ac:dyDescent="0.35">
      <c r="A147" t="s">
        <v>341</v>
      </c>
      <c r="B147" t="s">
        <v>882</v>
      </c>
      <c r="C147" t="s">
        <v>607</v>
      </c>
      <c r="D147" t="s">
        <v>769</v>
      </c>
      <c r="E147" t="s">
        <v>37</v>
      </c>
      <c r="F147" t="s">
        <v>697</v>
      </c>
      <c r="G147">
        <v>8</v>
      </c>
      <c r="H147">
        <v>0</v>
      </c>
    </row>
    <row r="148" spans="1:9" x14ac:dyDescent="0.35">
      <c r="A148" t="s">
        <v>341</v>
      </c>
      <c r="B148" t="s">
        <v>883</v>
      </c>
      <c r="C148" t="s">
        <v>607</v>
      </c>
      <c r="D148" t="s">
        <v>720</v>
      </c>
      <c r="E148" t="s">
        <v>37</v>
      </c>
      <c r="F148" t="s">
        <v>760</v>
      </c>
      <c r="G148">
        <v>8</v>
      </c>
      <c r="H148">
        <v>0</v>
      </c>
    </row>
    <row r="149" spans="1:9" x14ac:dyDescent="0.35">
      <c r="A149" t="s">
        <v>341</v>
      </c>
      <c r="B149" t="s">
        <v>884</v>
      </c>
      <c r="C149" t="s">
        <v>607</v>
      </c>
      <c r="D149" t="s">
        <v>769</v>
      </c>
      <c r="E149" t="s">
        <v>37</v>
      </c>
      <c r="F149" t="s">
        <v>885</v>
      </c>
      <c r="G149">
        <v>8</v>
      </c>
      <c r="H149">
        <v>0</v>
      </c>
    </row>
    <row r="150" spans="1:9" x14ac:dyDescent="0.35">
      <c r="A150" t="s">
        <v>341</v>
      </c>
      <c r="B150" t="s">
        <v>886</v>
      </c>
      <c r="C150" t="s">
        <v>607</v>
      </c>
      <c r="D150" t="s">
        <v>764</v>
      </c>
      <c r="E150" t="s">
        <v>37</v>
      </c>
      <c r="F150" t="s">
        <v>887</v>
      </c>
      <c r="G150">
        <v>8</v>
      </c>
      <c r="H150">
        <v>8</v>
      </c>
      <c r="I150" t="s">
        <v>455</v>
      </c>
    </row>
    <row r="151" spans="1:9" x14ac:dyDescent="0.35">
      <c r="A151" t="s">
        <v>341</v>
      </c>
      <c r="B151" t="s">
        <v>888</v>
      </c>
      <c r="C151" t="s">
        <v>607</v>
      </c>
      <c r="D151" t="s">
        <v>784</v>
      </c>
      <c r="E151" t="s">
        <v>37</v>
      </c>
      <c r="F151" t="s">
        <v>889</v>
      </c>
      <c r="G151">
        <v>8</v>
      </c>
      <c r="H151">
        <v>0</v>
      </c>
    </row>
    <row r="152" spans="1:9" x14ac:dyDescent="0.35">
      <c r="A152" t="s">
        <v>341</v>
      </c>
      <c r="B152" t="s">
        <v>890</v>
      </c>
      <c r="C152" t="s">
        <v>607</v>
      </c>
      <c r="D152" t="s">
        <v>784</v>
      </c>
      <c r="E152" t="s">
        <v>37</v>
      </c>
      <c r="F152" t="s">
        <v>891</v>
      </c>
      <c r="G152">
        <v>8</v>
      </c>
      <c r="H152">
        <v>0</v>
      </c>
    </row>
    <row r="153" spans="1:9" x14ac:dyDescent="0.35">
      <c r="A153" t="s">
        <v>341</v>
      </c>
      <c r="B153" t="s">
        <v>892</v>
      </c>
      <c r="C153" t="s">
        <v>607</v>
      </c>
      <c r="D153" t="s">
        <v>893</v>
      </c>
      <c r="E153" t="s">
        <v>331</v>
      </c>
      <c r="F153" t="s">
        <v>894</v>
      </c>
      <c r="G153">
        <v>4730</v>
      </c>
      <c r="H153">
        <v>0</v>
      </c>
    </row>
    <row r="154" spans="1:9" x14ac:dyDescent="0.35">
      <c r="A154" t="s">
        <v>341</v>
      </c>
      <c r="B154" t="s">
        <v>895</v>
      </c>
      <c r="C154" t="s">
        <v>607</v>
      </c>
      <c r="D154" t="s">
        <v>720</v>
      </c>
      <c r="E154" t="s">
        <v>331</v>
      </c>
      <c r="F154" t="s">
        <v>896</v>
      </c>
      <c r="G154">
        <v>4730</v>
      </c>
      <c r="H154">
        <v>0</v>
      </c>
    </row>
    <row r="155" spans="1:9" x14ac:dyDescent="0.35">
      <c r="A155" t="s">
        <v>341</v>
      </c>
      <c r="B155" t="s">
        <v>897</v>
      </c>
      <c r="C155" t="s">
        <v>607</v>
      </c>
      <c r="D155" t="s">
        <v>705</v>
      </c>
      <c r="E155" t="s">
        <v>331</v>
      </c>
      <c r="F155" t="s">
        <v>898</v>
      </c>
      <c r="G155">
        <v>4730</v>
      </c>
      <c r="H155">
        <v>0</v>
      </c>
    </row>
    <row r="156" spans="1:9" x14ac:dyDescent="0.35">
      <c r="A156" t="s">
        <v>341</v>
      </c>
      <c r="B156" t="s">
        <v>899</v>
      </c>
      <c r="C156" t="s">
        <v>607</v>
      </c>
      <c r="D156" t="s">
        <v>720</v>
      </c>
      <c r="E156" t="s">
        <v>331</v>
      </c>
      <c r="F156" t="s">
        <v>900</v>
      </c>
      <c r="G156">
        <v>4730</v>
      </c>
      <c r="H156">
        <v>4730</v>
      </c>
      <c r="I156" t="s">
        <v>468</v>
      </c>
    </row>
    <row r="157" spans="1:9" x14ac:dyDescent="0.35">
      <c r="A157" t="s">
        <v>341</v>
      </c>
      <c r="B157" t="s">
        <v>901</v>
      </c>
      <c r="C157" t="s">
        <v>607</v>
      </c>
      <c r="D157" t="s">
        <v>705</v>
      </c>
      <c r="E157" t="s">
        <v>331</v>
      </c>
      <c r="F157" t="s">
        <v>902</v>
      </c>
      <c r="G157">
        <v>4730</v>
      </c>
      <c r="H157">
        <v>0</v>
      </c>
    </row>
    <row r="158" spans="1:9" x14ac:dyDescent="0.35">
      <c r="A158" t="s">
        <v>341</v>
      </c>
      <c r="B158" t="s">
        <v>903</v>
      </c>
      <c r="C158" t="s">
        <v>607</v>
      </c>
      <c r="D158" t="s">
        <v>762</v>
      </c>
      <c r="E158" t="s">
        <v>331</v>
      </c>
      <c r="F158" t="s">
        <v>608</v>
      </c>
      <c r="G158">
        <v>4730</v>
      </c>
      <c r="H158">
        <v>0</v>
      </c>
    </row>
    <row r="159" spans="1:9" x14ac:dyDescent="0.35">
      <c r="A159" t="s">
        <v>341</v>
      </c>
      <c r="B159" t="s">
        <v>904</v>
      </c>
      <c r="C159" t="s">
        <v>607</v>
      </c>
      <c r="D159" t="s">
        <v>764</v>
      </c>
      <c r="E159" t="s">
        <v>331</v>
      </c>
      <c r="F159" t="s">
        <v>905</v>
      </c>
      <c r="G159">
        <v>4730</v>
      </c>
      <c r="H159">
        <v>0</v>
      </c>
    </row>
    <row r="160" spans="1:9" x14ac:dyDescent="0.35">
      <c r="A160" t="s">
        <v>341</v>
      </c>
      <c r="B160" t="s">
        <v>906</v>
      </c>
      <c r="C160" t="s">
        <v>607</v>
      </c>
      <c r="D160" t="s">
        <v>799</v>
      </c>
      <c r="E160" t="s">
        <v>331</v>
      </c>
      <c r="F160" t="s">
        <v>894</v>
      </c>
      <c r="G160">
        <v>4730</v>
      </c>
      <c r="H160">
        <v>0</v>
      </c>
    </row>
    <row r="161" spans="1:9" x14ac:dyDescent="0.35">
      <c r="A161" t="s">
        <v>341</v>
      </c>
      <c r="B161" t="s">
        <v>907</v>
      </c>
      <c r="C161" t="s">
        <v>607</v>
      </c>
      <c r="D161" t="s">
        <v>784</v>
      </c>
      <c r="E161" t="s">
        <v>331</v>
      </c>
      <c r="F161" t="s">
        <v>908</v>
      </c>
      <c r="G161">
        <v>4730</v>
      </c>
      <c r="H161">
        <v>0</v>
      </c>
    </row>
    <row r="162" spans="1:9" x14ac:dyDescent="0.35">
      <c r="A162" t="s">
        <v>341</v>
      </c>
      <c r="B162" t="s">
        <v>909</v>
      </c>
      <c r="C162" t="s">
        <v>607</v>
      </c>
      <c r="D162" t="s">
        <v>720</v>
      </c>
      <c r="E162" t="s">
        <v>331</v>
      </c>
      <c r="F162" t="s">
        <v>896</v>
      </c>
      <c r="G162">
        <v>4730</v>
      </c>
      <c r="H162">
        <v>0</v>
      </c>
    </row>
    <row r="163" spans="1:9" x14ac:dyDescent="0.35">
      <c r="A163" t="s">
        <v>341</v>
      </c>
      <c r="B163" t="s">
        <v>910</v>
      </c>
      <c r="C163" t="s">
        <v>607</v>
      </c>
      <c r="D163" t="s">
        <v>769</v>
      </c>
      <c r="E163" t="s">
        <v>331</v>
      </c>
      <c r="F163" t="s">
        <v>898</v>
      </c>
      <c r="G163">
        <v>4730</v>
      </c>
      <c r="H163">
        <v>0</v>
      </c>
    </row>
    <row r="164" spans="1:9" x14ac:dyDescent="0.35">
      <c r="A164" t="s">
        <v>341</v>
      </c>
      <c r="B164" t="s">
        <v>911</v>
      </c>
      <c r="C164" t="s">
        <v>607</v>
      </c>
      <c r="D164" t="s">
        <v>720</v>
      </c>
      <c r="E164" t="s">
        <v>331</v>
      </c>
      <c r="F164" t="s">
        <v>900</v>
      </c>
      <c r="G164">
        <v>4730</v>
      </c>
      <c r="H164">
        <v>0</v>
      </c>
    </row>
    <row r="165" spans="1:9" x14ac:dyDescent="0.35">
      <c r="A165" t="s">
        <v>341</v>
      </c>
      <c r="B165" t="s">
        <v>912</v>
      </c>
      <c r="C165" t="s">
        <v>607</v>
      </c>
      <c r="D165" t="s">
        <v>769</v>
      </c>
      <c r="E165" t="s">
        <v>331</v>
      </c>
      <c r="F165" t="s">
        <v>902</v>
      </c>
      <c r="G165">
        <v>4730</v>
      </c>
      <c r="H165">
        <v>0</v>
      </c>
    </row>
    <row r="166" spans="1:9" x14ac:dyDescent="0.35">
      <c r="A166" t="s">
        <v>341</v>
      </c>
      <c r="B166" t="s">
        <v>913</v>
      </c>
      <c r="C166" t="s">
        <v>607</v>
      </c>
      <c r="D166" t="s">
        <v>914</v>
      </c>
      <c r="E166" t="s">
        <v>331</v>
      </c>
      <c r="F166" t="s">
        <v>915</v>
      </c>
      <c r="G166">
        <v>4730</v>
      </c>
      <c r="H166">
        <v>0</v>
      </c>
    </row>
    <row r="167" spans="1:9" x14ac:dyDescent="0.35">
      <c r="A167" t="s">
        <v>341</v>
      </c>
      <c r="B167" t="s">
        <v>916</v>
      </c>
      <c r="C167" t="s">
        <v>607</v>
      </c>
      <c r="D167" t="s">
        <v>792</v>
      </c>
      <c r="E167" t="s">
        <v>331</v>
      </c>
      <c r="F167" t="s">
        <v>917</v>
      </c>
      <c r="G167">
        <v>4730</v>
      </c>
      <c r="H167">
        <v>0</v>
      </c>
    </row>
    <row r="168" spans="1:9" x14ac:dyDescent="0.35">
      <c r="A168" t="s">
        <v>341</v>
      </c>
      <c r="B168" t="s">
        <v>918</v>
      </c>
      <c r="C168" t="s">
        <v>607</v>
      </c>
      <c r="D168" t="s">
        <v>764</v>
      </c>
      <c r="E168" t="s">
        <v>331</v>
      </c>
      <c r="F168" t="s">
        <v>919</v>
      </c>
      <c r="G168">
        <v>4730</v>
      </c>
      <c r="H168">
        <v>0</v>
      </c>
    </row>
    <row r="169" spans="1:9" x14ac:dyDescent="0.35">
      <c r="A169" t="s">
        <v>341</v>
      </c>
      <c r="B169" t="s">
        <v>920</v>
      </c>
      <c r="C169" t="s">
        <v>607</v>
      </c>
      <c r="D169" t="s">
        <v>764</v>
      </c>
      <c r="E169" t="s">
        <v>331</v>
      </c>
      <c r="F169" t="s">
        <v>921</v>
      </c>
      <c r="G169">
        <v>4730</v>
      </c>
      <c r="H169">
        <v>0</v>
      </c>
    </row>
    <row r="170" spans="1:9" x14ac:dyDescent="0.35">
      <c r="A170" t="s">
        <v>341</v>
      </c>
      <c r="B170" t="s">
        <v>922</v>
      </c>
      <c r="C170" t="s">
        <v>607</v>
      </c>
      <c r="D170" t="s">
        <v>720</v>
      </c>
      <c r="E170" t="s">
        <v>331</v>
      </c>
      <c r="F170" t="s">
        <v>923</v>
      </c>
      <c r="G170">
        <v>4730</v>
      </c>
      <c r="H170">
        <v>4730</v>
      </c>
      <c r="I170" t="s">
        <v>468</v>
      </c>
    </row>
    <row r="171" spans="1:9" x14ac:dyDescent="0.35">
      <c r="A171" t="s">
        <v>341</v>
      </c>
      <c r="B171" t="s">
        <v>924</v>
      </c>
      <c r="C171" t="s">
        <v>607</v>
      </c>
      <c r="D171" t="s">
        <v>792</v>
      </c>
      <c r="E171" t="s">
        <v>331</v>
      </c>
      <c r="F171" t="s">
        <v>925</v>
      </c>
      <c r="G171">
        <v>4730</v>
      </c>
      <c r="H171">
        <v>0</v>
      </c>
    </row>
    <row r="172" spans="1:9" x14ac:dyDescent="0.35">
      <c r="A172" t="s">
        <v>341</v>
      </c>
      <c r="B172" t="s">
        <v>926</v>
      </c>
      <c r="C172" t="s">
        <v>607</v>
      </c>
      <c r="D172" t="s">
        <v>720</v>
      </c>
      <c r="E172" t="s">
        <v>331</v>
      </c>
      <c r="F172" t="s">
        <v>927</v>
      </c>
      <c r="G172">
        <v>4730</v>
      </c>
      <c r="H172">
        <v>4730</v>
      </c>
      <c r="I172" t="s">
        <v>468</v>
      </c>
    </row>
    <row r="173" spans="1:9" x14ac:dyDescent="0.35">
      <c r="A173" t="s">
        <v>341</v>
      </c>
      <c r="B173" t="s">
        <v>928</v>
      </c>
      <c r="C173" t="s">
        <v>607</v>
      </c>
      <c r="D173" t="s">
        <v>625</v>
      </c>
      <c r="E173" t="s">
        <v>333</v>
      </c>
      <c r="F173" t="s">
        <v>929</v>
      </c>
      <c r="G173">
        <v>4740</v>
      </c>
      <c r="H173">
        <v>4740</v>
      </c>
      <c r="I173" t="s">
        <v>491</v>
      </c>
    </row>
    <row r="174" spans="1:9" x14ac:dyDescent="0.35">
      <c r="A174" t="s">
        <v>341</v>
      </c>
      <c r="B174" t="s">
        <v>930</v>
      </c>
      <c r="C174" t="s">
        <v>607</v>
      </c>
      <c r="D174" t="s">
        <v>720</v>
      </c>
      <c r="E174" t="s">
        <v>333</v>
      </c>
      <c r="F174" t="s">
        <v>929</v>
      </c>
      <c r="G174">
        <v>4740</v>
      </c>
      <c r="H174">
        <v>0</v>
      </c>
    </row>
    <row r="175" spans="1:9" x14ac:dyDescent="0.35">
      <c r="A175" t="s">
        <v>341</v>
      </c>
      <c r="B175" t="s">
        <v>931</v>
      </c>
      <c r="C175" t="s">
        <v>607</v>
      </c>
      <c r="D175" t="s">
        <v>720</v>
      </c>
      <c r="E175" t="s">
        <v>333</v>
      </c>
      <c r="F175" t="s">
        <v>932</v>
      </c>
      <c r="G175">
        <v>4740</v>
      </c>
      <c r="H175">
        <v>0</v>
      </c>
    </row>
    <row r="176" spans="1:9" x14ac:dyDescent="0.35">
      <c r="A176" t="s">
        <v>341</v>
      </c>
      <c r="B176" t="s">
        <v>933</v>
      </c>
      <c r="C176" t="s">
        <v>607</v>
      </c>
      <c r="D176" t="s">
        <v>799</v>
      </c>
      <c r="E176" t="s">
        <v>333</v>
      </c>
      <c r="F176" t="s">
        <v>934</v>
      </c>
      <c r="G176">
        <v>4740</v>
      </c>
      <c r="H176">
        <v>2</v>
      </c>
      <c r="I176" t="s">
        <v>494</v>
      </c>
    </row>
    <row r="177" spans="1:9" x14ac:dyDescent="0.35">
      <c r="A177" t="s">
        <v>341</v>
      </c>
      <c r="B177" t="s">
        <v>935</v>
      </c>
      <c r="C177" t="s">
        <v>607</v>
      </c>
      <c r="D177" t="s">
        <v>936</v>
      </c>
      <c r="E177" t="s">
        <v>333</v>
      </c>
      <c r="F177" t="s">
        <v>608</v>
      </c>
      <c r="G177">
        <v>4740</v>
      </c>
      <c r="H177">
        <v>0</v>
      </c>
    </row>
    <row r="178" spans="1:9" x14ac:dyDescent="0.35">
      <c r="A178" t="s">
        <v>341</v>
      </c>
      <c r="B178" t="s">
        <v>937</v>
      </c>
      <c r="C178" t="s">
        <v>607</v>
      </c>
      <c r="D178" t="s">
        <v>938</v>
      </c>
      <c r="E178" t="s">
        <v>333</v>
      </c>
      <c r="F178" t="s">
        <v>939</v>
      </c>
      <c r="G178">
        <v>4740</v>
      </c>
      <c r="H178">
        <v>0</v>
      </c>
    </row>
    <row r="179" spans="1:9" x14ac:dyDescent="0.35">
      <c r="A179" t="s">
        <v>341</v>
      </c>
      <c r="B179" t="s">
        <v>940</v>
      </c>
      <c r="C179" t="s">
        <v>607</v>
      </c>
      <c r="D179" t="s">
        <v>938</v>
      </c>
      <c r="E179" t="s">
        <v>333</v>
      </c>
      <c r="F179" t="s">
        <v>941</v>
      </c>
      <c r="G179">
        <v>4740</v>
      </c>
      <c r="H179">
        <v>0</v>
      </c>
    </row>
    <row r="180" spans="1:9" x14ac:dyDescent="0.35">
      <c r="A180" t="s">
        <v>341</v>
      </c>
      <c r="B180" t="s">
        <v>942</v>
      </c>
      <c r="C180" t="s">
        <v>607</v>
      </c>
      <c r="D180" t="s">
        <v>938</v>
      </c>
      <c r="E180" t="s">
        <v>333</v>
      </c>
      <c r="F180" t="s">
        <v>929</v>
      </c>
      <c r="G180">
        <v>4740</v>
      </c>
      <c r="H180">
        <v>0</v>
      </c>
    </row>
    <row r="181" spans="1:9" x14ac:dyDescent="0.35">
      <c r="A181" t="s">
        <v>341</v>
      </c>
      <c r="B181" t="s">
        <v>943</v>
      </c>
      <c r="C181" t="s">
        <v>607</v>
      </c>
      <c r="D181" t="s">
        <v>938</v>
      </c>
      <c r="E181" t="s">
        <v>333</v>
      </c>
      <c r="F181" t="s">
        <v>944</v>
      </c>
      <c r="G181">
        <v>4740</v>
      </c>
      <c r="H181">
        <v>2</v>
      </c>
      <c r="I181" t="s">
        <v>494</v>
      </c>
    </row>
    <row r="182" spans="1:9" x14ac:dyDescent="0.35">
      <c r="A182" t="s">
        <v>341</v>
      </c>
      <c r="B182" t="s">
        <v>945</v>
      </c>
      <c r="C182" t="s">
        <v>607</v>
      </c>
      <c r="D182" t="s">
        <v>938</v>
      </c>
      <c r="E182" t="s">
        <v>333</v>
      </c>
      <c r="F182" t="s">
        <v>946</v>
      </c>
      <c r="G182">
        <v>4740</v>
      </c>
      <c r="H182">
        <v>0</v>
      </c>
    </row>
    <row r="183" spans="1:9" x14ac:dyDescent="0.35">
      <c r="A183" t="s">
        <v>341</v>
      </c>
      <c r="B183" t="s">
        <v>947</v>
      </c>
      <c r="C183" t="s">
        <v>607</v>
      </c>
      <c r="D183" t="s">
        <v>938</v>
      </c>
      <c r="E183" t="s">
        <v>333</v>
      </c>
      <c r="F183" t="s">
        <v>948</v>
      </c>
      <c r="G183">
        <v>4740</v>
      </c>
      <c r="H183">
        <v>0</v>
      </c>
    </row>
    <row r="184" spans="1:9" x14ac:dyDescent="0.35">
      <c r="A184" t="s">
        <v>341</v>
      </c>
      <c r="B184" t="s">
        <v>949</v>
      </c>
      <c r="C184" t="s">
        <v>607</v>
      </c>
      <c r="D184" t="s">
        <v>938</v>
      </c>
      <c r="E184" t="s">
        <v>333</v>
      </c>
      <c r="F184" t="s">
        <v>950</v>
      </c>
      <c r="G184">
        <v>4740</v>
      </c>
      <c r="H184">
        <v>0</v>
      </c>
    </row>
    <row r="185" spans="1:9" x14ac:dyDescent="0.35">
      <c r="A185" t="s">
        <v>341</v>
      </c>
      <c r="B185" t="s">
        <v>951</v>
      </c>
      <c r="C185" t="s">
        <v>607</v>
      </c>
      <c r="D185" t="s">
        <v>938</v>
      </c>
      <c r="E185" t="s">
        <v>333</v>
      </c>
      <c r="F185" t="s">
        <v>932</v>
      </c>
      <c r="G185">
        <v>4740</v>
      </c>
      <c r="H185">
        <v>0</v>
      </c>
    </row>
    <row r="186" spans="1:9" x14ac:dyDescent="0.35">
      <c r="A186" t="s">
        <v>341</v>
      </c>
      <c r="B186" t="s">
        <v>952</v>
      </c>
      <c r="C186" t="s">
        <v>607</v>
      </c>
      <c r="D186" t="s">
        <v>938</v>
      </c>
      <c r="E186" t="s">
        <v>333</v>
      </c>
      <c r="F186" t="s">
        <v>934</v>
      </c>
      <c r="G186">
        <v>4740</v>
      </c>
      <c r="H186">
        <v>2</v>
      </c>
      <c r="I186" t="s">
        <v>494</v>
      </c>
    </row>
    <row r="187" spans="1:9" x14ac:dyDescent="0.35">
      <c r="A187" t="s">
        <v>341</v>
      </c>
      <c r="B187" t="s">
        <v>953</v>
      </c>
      <c r="C187" t="s">
        <v>607</v>
      </c>
      <c r="D187" t="s">
        <v>936</v>
      </c>
      <c r="E187" t="s">
        <v>333</v>
      </c>
      <c r="F187" t="s">
        <v>954</v>
      </c>
      <c r="G187">
        <v>4740</v>
      </c>
      <c r="H187">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A3AE-F8F4-47D1-B73E-99F916B307F0}">
  <dimension ref="A1:I346"/>
  <sheetViews>
    <sheetView workbookViewId="0">
      <selection activeCell="B307" sqref="B307"/>
    </sheetView>
  </sheetViews>
  <sheetFormatPr defaultRowHeight="14.5" x14ac:dyDescent="0.35"/>
  <cols>
    <col min="1" max="1" width="10.36328125" bestFit="1" customWidth="1"/>
    <col min="2" max="2" width="43.08984375" bestFit="1" customWidth="1"/>
    <col min="3" max="3" width="16.1796875" bestFit="1" customWidth="1"/>
    <col min="4" max="4" width="80.7265625" bestFit="1" customWidth="1"/>
    <col min="5" max="5" width="45.36328125" bestFit="1" customWidth="1"/>
    <col min="6" max="6" width="80.7265625" bestFit="1" customWidth="1"/>
    <col min="7" max="7" width="10.6328125" bestFit="1" customWidth="1"/>
    <col min="8" max="8" width="13.7265625" bestFit="1" customWidth="1"/>
    <col min="9" max="9" width="80.7265625" bestFit="1" customWidth="1"/>
  </cols>
  <sheetData>
    <row r="1" spans="1:9" x14ac:dyDescent="0.35">
      <c r="A1" t="s">
        <v>342</v>
      </c>
      <c r="B1" t="s">
        <v>343</v>
      </c>
      <c r="C1" t="s">
        <v>328</v>
      </c>
      <c r="D1" t="s">
        <v>344</v>
      </c>
      <c r="E1" t="s">
        <v>326</v>
      </c>
      <c r="F1" t="s">
        <v>327</v>
      </c>
      <c r="G1" t="s">
        <v>329</v>
      </c>
      <c r="H1" t="s">
        <v>330</v>
      </c>
      <c r="I1" t="s">
        <v>338</v>
      </c>
    </row>
    <row r="2" spans="1:9" x14ac:dyDescent="0.35">
      <c r="A2" t="s">
        <v>341</v>
      </c>
      <c r="B2" t="s">
        <v>363</v>
      </c>
      <c r="C2" t="s">
        <v>364</v>
      </c>
      <c r="D2" t="s">
        <v>365</v>
      </c>
      <c r="E2" t="s">
        <v>37</v>
      </c>
      <c r="F2" t="s">
        <v>38</v>
      </c>
      <c r="G2">
        <v>8</v>
      </c>
      <c r="H2">
        <v>0</v>
      </c>
    </row>
    <row r="3" spans="1:9" x14ac:dyDescent="0.35">
      <c r="A3" t="s">
        <v>341</v>
      </c>
      <c r="B3" t="s">
        <v>366</v>
      </c>
      <c r="C3" t="s">
        <v>364</v>
      </c>
      <c r="D3" t="s">
        <v>365</v>
      </c>
      <c r="E3" t="s">
        <v>37</v>
      </c>
      <c r="F3" t="s">
        <v>40</v>
      </c>
      <c r="G3">
        <v>8</v>
      </c>
      <c r="H3">
        <v>0</v>
      </c>
    </row>
    <row r="4" spans="1:9" x14ac:dyDescent="0.35">
      <c r="A4" t="s">
        <v>341</v>
      </c>
      <c r="B4" t="s">
        <v>367</v>
      </c>
      <c r="C4" t="s">
        <v>364</v>
      </c>
      <c r="D4" t="s">
        <v>365</v>
      </c>
      <c r="E4" t="s">
        <v>37</v>
      </c>
      <c r="F4" t="s">
        <v>41</v>
      </c>
      <c r="G4">
        <v>8</v>
      </c>
      <c r="H4">
        <v>0</v>
      </c>
    </row>
    <row r="5" spans="1:9" x14ac:dyDescent="0.35">
      <c r="A5" t="s">
        <v>341</v>
      </c>
      <c r="B5" t="s">
        <v>368</v>
      </c>
      <c r="C5" t="s">
        <v>364</v>
      </c>
      <c r="D5" t="s">
        <v>365</v>
      </c>
      <c r="E5" t="s">
        <v>37</v>
      </c>
      <c r="F5" t="s">
        <v>42</v>
      </c>
      <c r="G5">
        <v>8</v>
      </c>
      <c r="H5">
        <v>0</v>
      </c>
    </row>
    <row r="6" spans="1:9" x14ac:dyDescent="0.35">
      <c r="A6" t="s">
        <v>341</v>
      </c>
      <c r="B6" t="s">
        <v>369</v>
      </c>
      <c r="C6" t="s">
        <v>364</v>
      </c>
      <c r="D6" t="s">
        <v>365</v>
      </c>
      <c r="E6" t="s">
        <v>37</v>
      </c>
      <c r="F6" t="s">
        <v>43</v>
      </c>
      <c r="G6">
        <v>8</v>
      </c>
      <c r="H6">
        <v>0</v>
      </c>
    </row>
    <row r="7" spans="1:9" x14ac:dyDescent="0.35">
      <c r="A7" t="s">
        <v>341</v>
      </c>
      <c r="B7" t="s">
        <v>370</v>
      </c>
      <c r="C7" t="s">
        <v>364</v>
      </c>
      <c r="D7" t="s">
        <v>365</v>
      </c>
      <c r="E7" t="s">
        <v>37</v>
      </c>
      <c r="F7" t="s">
        <v>44</v>
      </c>
      <c r="G7">
        <v>8</v>
      </c>
      <c r="H7">
        <v>0</v>
      </c>
    </row>
    <row r="8" spans="1:9" x14ac:dyDescent="0.35">
      <c r="A8" t="s">
        <v>341</v>
      </c>
      <c r="B8" t="s">
        <v>371</v>
      </c>
      <c r="C8" t="s">
        <v>364</v>
      </c>
      <c r="D8" t="s">
        <v>365</v>
      </c>
      <c r="E8" t="s">
        <v>37</v>
      </c>
      <c r="F8" t="s">
        <v>45</v>
      </c>
      <c r="G8">
        <v>8</v>
      </c>
      <c r="H8">
        <v>0</v>
      </c>
    </row>
    <row r="9" spans="1:9" x14ac:dyDescent="0.35">
      <c r="A9" t="s">
        <v>341</v>
      </c>
      <c r="B9" t="s">
        <v>372</v>
      </c>
      <c r="C9" t="s">
        <v>364</v>
      </c>
      <c r="D9" t="s">
        <v>365</v>
      </c>
      <c r="E9" t="s">
        <v>37</v>
      </c>
      <c r="F9" t="s">
        <v>373</v>
      </c>
      <c r="G9">
        <v>8</v>
      </c>
      <c r="H9">
        <v>8</v>
      </c>
      <c r="I9" t="s">
        <v>455</v>
      </c>
    </row>
    <row r="10" spans="1:9" x14ac:dyDescent="0.35">
      <c r="A10" t="s">
        <v>341</v>
      </c>
      <c r="B10" t="s">
        <v>374</v>
      </c>
      <c r="C10" t="s">
        <v>364</v>
      </c>
      <c r="D10" t="s">
        <v>365</v>
      </c>
      <c r="E10" t="s">
        <v>37</v>
      </c>
      <c r="F10" t="s">
        <v>375</v>
      </c>
      <c r="G10">
        <v>8</v>
      </c>
      <c r="H10">
        <v>8</v>
      </c>
      <c r="I10" t="s">
        <v>455</v>
      </c>
    </row>
    <row r="11" spans="1:9" x14ac:dyDescent="0.35">
      <c r="A11" t="s">
        <v>341</v>
      </c>
      <c r="B11" t="s">
        <v>376</v>
      </c>
      <c r="C11" t="s">
        <v>364</v>
      </c>
      <c r="D11" t="s">
        <v>365</v>
      </c>
      <c r="E11" t="s">
        <v>37</v>
      </c>
      <c r="F11" t="s">
        <v>46</v>
      </c>
      <c r="G11">
        <v>8</v>
      </c>
      <c r="H11">
        <v>0</v>
      </c>
    </row>
    <row r="12" spans="1:9" x14ac:dyDescent="0.35">
      <c r="A12" t="s">
        <v>341</v>
      </c>
      <c r="B12" t="s">
        <v>377</v>
      </c>
      <c r="C12" t="s">
        <v>364</v>
      </c>
      <c r="D12" t="s">
        <v>365</v>
      </c>
      <c r="E12" t="s">
        <v>37</v>
      </c>
      <c r="F12" t="s">
        <v>47</v>
      </c>
      <c r="G12">
        <v>8</v>
      </c>
      <c r="H12">
        <v>0</v>
      </c>
    </row>
    <row r="13" spans="1:9" x14ac:dyDescent="0.35">
      <c r="A13" t="s">
        <v>341</v>
      </c>
      <c r="B13" t="s">
        <v>378</v>
      </c>
      <c r="C13" t="s">
        <v>364</v>
      </c>
      <c r="D13" t="s">
        <v>365</v>
      </c>
      <c r="E13" t="s">
        <v>37</v>
      </c>
      <c r="F13" t="s">
        <v>379</v>
      </c>
      <c r="G13">
        <v>8</v>
      </c>
      <c r="H13">
        <v>8</v>
      </c>
      <c r="I13" t="s">
        <v>455</v>
      </c>
    </row>
    <row r="14" spans="1:9" x14ac:dyDescent="0.35">
      <c r="A14" t="s">
        <v>341</v>
      </c>
      <c r="B14" t="s">
        <v>380</v>
      </c>
      <c r="C14" t="s">
        <v>364</v>
      </c>
      <c r="D14" t="s">
        <v>365</v>
      </c>
      <c r="E14" t="s">
        <v>37</v>
      </c>
      <c r="F14" t="s">
        <v>381</v>
      </c>
      <c r="G14">
        <v>8</v>
      </c>
      <c r="H14">
        <v>8</v>
      </c>
      <c r="I14" t="s">
        <v>455</v>
      </c>
    </row>
    <row r="15" spans="1:9" x14ac:dyDescent="0.35">
      <c r="A15" t="s">
        <v>341</v>
      </c>
      <c r="B15" t="s">
        <v>382</v>
      </c>
      <c r="C15" t="s">
        <v>364</v>
      </c>
      <c r="D15" t="s">
        <v>365</v>
      </c>
      <c r="E15" t="s">
        <v>37</v>
      </c>
      <c r="F15" t="s">
        <v>48</v>
      </c>
      <c r="G15">
        <v>8</v>
      </c>
      <c r="H15">
        <v>0</v>
      </c>
    </row>
    <row r="16" spans="1:9" x14ac:dyDescent="0.35">
      <c r="A16" t="s">
        <v>341</v>
      </c>
      <c r="B16" t="s">
        <v>383</v>
      </c>
      <c r="C16" t="s">
        <v>364</v>
      </c>
      <c r="D16" t="s">
        <v>365</v>
      </c>
      <c r="E16" t="s">
        <v>37</v>
      </c>
      <c r="F16" t="s">
        <v>49</v>
      </c>
      <c r="G16">
        <v>8</v>
      </c>
      <c r="H16">
        <v>0</v>
      </c>
    </row>
    <row r="17" spans="1:8" x14ac:dyDescent="0.35">
      <c r="A17" t="s">
        <v>341</v>
      </c>
      <c r="B17" t="s">
        <v>384</v>
      </c>
      <c r="C17" t="s">
        <v>364</v>
      </c>
      <c r="D17" t="s">
        <v>365</v>
      </c>
      <c r="E17" t="s">
        <v>37</v>
      </c>
      <c r="F17" t="s">
        <v>50</v>
      </c>
      <c r="G17">
        <v>8</v>
      </c>
      <c r="H17">
        <v>0</v>
      </c>
    </row>
    <row r="18" spans="1:8" x14ac:dyDescent="0.35">
      <c r="A18" t="s">
        <v>341</v>
      </c>
      <c r="B18" t="s">
        <v>385</v>
      </c>
      <c r="C18" t="s">
        <v>364</v>
      </c>
      <c r="D18" t="s">
        <v>365</v>
      </c>
      <c r="E18" t="s">
        <v>37</v>
      </c>
      <c r="F18" t="s">
        <v>51</v>
      </c>
      <c r="G18">
        <v>8</v>
      </c>
      <c r="H18">
        <v>0</v>
      </c>
    </row>
    <row r="19" spans="1:8" x14ac:dyDescent="0.35">
      <c r="A19" t="s">
        <v>341</v>
      </c>
      <c r="B19" t="s">
        <v>386</v>
      </c>
      <c r="C19" t="s">
        <v>364</v>
      </c>
      <c r="D19" t="s">
        <v>365</v>
      </c>
      <c r="E19" t="s">
        <v>37</v>
      </c>
      <c r="F19" t="s">
        <v>52</v>
      </c>
      <c r="G19">
        <v>8</v>
      </c>
      <c r="H19">
        <v>0</v>
      </c>
    </row>
    <row r="20" spans="1:8" x14ac:dyDescent="0.35">
      <c r="A20" t="s">
        <v>341</v>
      </c>
      <c r="B20" t="s">
        <v>387</v>
      </c>
      <c r="C20" t="s">
        <v>364</v>
      </c>
      <c r="D20" t="s">
        <v>365</v>
      </c>
      <c r="E20" t="s">
        <v>37</v>
      </c>
      <c r="F20" t="s">
        <v>53</v>
      </c>
      <c r="G20">
        <v>8</v>
      </c>
      <c r="H20">
        <v>0</v>
      </c>
    </row>
    <row r="21" spans="1:8" x14ac:dyDescent="0.35">
      <c r="A21" t="s">
        <v>341</v>
      </c>
      <c r="B21" t="s">
        <v>388</v>
      </c>
      <c r="C21" t="s">
        <v>364</v>
      </c>
      <c r="D21" t="s">
        <v>365</v>
      </c>
      <c r="E21" t="s">
        <v>37</v>
      </c>
      <c r="F21" t="s">
        <v>54</v>
      </c>
      <c r="G21">
        <v>8</v>
      </c>
      <c r="H21">
        <v>0</v>
      </c>
    </row>
    <row r="22" spans="1:8" x14ac:dyDescent="0.35">
      <c r="A22" t="s">
        <v>341</v>
      </c>
      <c r="B22" t="s">
        <v>389</v>
      </c>
      <c r="C22" t="s">
        <v>364</v>
      </c>
      <c r="D22" t="s">
        <v>365</v>
      </c>
      <c r="E22" t="s">
        <v>37</v>
      </c>
      <c r="F22" t="s">
        <v>55</v>
      </c>
      <c r="G22">
        <v>8</v>
      </c>
      <c r="H22">
        <v>0</v>
      </c>
    </row>
    <row r="23" spans="1:8" x14ac:dyDescent="0.35">
      <c r="A23" t="s">
        <v>341</v>
      </c>
      <c r="B23" t="s">
        <v>390</v>
      </c>
      <c r="C23" t="s">
        <v>364</v>
      </c>
      <c r="D23" t="s">
        <v>365</v>
      </c>
      <c r="E23" t="s">
        <v>37</v>
      </c>
      <c r="F23" t="s">
        <v>56</v>
      </c>
      <c r="G23">
        <v>8</v>
      </c>
      <c r="H23">
        <v>0</v>
      </c>
    </row>
    <row r="24" spans="1:8" x14ac:dyDescent="0.35">
      <c r="A24" t="s">
        <v>341</v>
      </c>
      <c r="B24" t="s">
        <v>391</v>
      </c>
      <c r="C24" t="s">
        <v>364</v>
      </c>
      <c r="D24" t="s">
        <v>365</v>
      </c>
      <c r="E24" t="s">
        <v>37</v>
      </c>
      <c r="F24" t="s">
        <v>57</v>
      </c>
      <c r="G24">
        <v>8</v>
      </c>
      <c r="H24">
        <v>0</v>
      </c>
    </row>
    <row r="25" spans="1:8" x14ac:dyDescent="0.35">
      <c r="A25" t="s">
        <v>341</v>
      </c>
      <c r="B25" t="s">
        <v>392</v>
      </c>
      <c r="C25" t="s">
        <v>364</v>
      </c>
      <c r="D25" t="s">
        <v>365</v>
      </c>
      <c r="E25" t="s">
        <v>37</v>
      </c>
      <c r="F25" t="s">
        <v>58</v>
      </c>
      <c r="G25">
        <v>8</v>
      </c>
      <c r="H25">
        <v>0</v>
      </c>
    </row>
    <row r="26" spans="1:8" x14ac:dyDescent="0.35">
      <c r="A26" t="s">
        <v>341</v>
      </c>
      <c r="B26" t="s">
        <v>393</v>
      </c>
      <c r="C26" t="s">
        <v>364</v>
      </c>
      <c r="D26" t="s">
        <v>365</v>
      </c>
      <c r="E26" t="s">
        <v>37</v>
      </c>
      <c r="F26" t="s">
        <v>59</v>
      </c>
      <c r="G26">
        <v>8</v>
      </c>
      <c r="H26">
        <v>0</v>
      </c>
    </row>
    <row r="27" spans="1:8" x14ac:dyDescent="0.35">
      <c r="A27" t="s">
        <v>341</v>
      </c>
      <c r="B27" t="s">
        <v>394</v>
      </c>
      <c r="C27" t="s">
        <v>364</v>
      </c>
      <c r="D27" t="s">
        <v>365</v>
      </c>
      <c r="E27" t="s">
        <v>37</v>
      </c>
      <c r="F27" t="s">
        <v>60</v>
      </c>
      <c r="G27">
        <v>8</v>
      </c>
      <c r="H27">
        <v>0</v>
      </c>
    </row>
    <row r="28" spans="1:8" x14ac:dyDescent="0.35">
      <c r="A28" t="s">
        <v>341</v>
      </c>
      <c r="B28" t="s">
        <v>395</v>
      </c>
      <c r="C28" t="s">
        <v>364</v>
      </c>
      <c r="D28" t="s">
        <v>365</v>
      </c>
      <c r="E28" t="s">
        <v>37</v>
      </c>
      <c r="F28" t="s">
        <v>61</v>
      </c>
      <c r="G28">
        <v>8</v>
      </c>
      <c r="H28">
        <v>0</v>
      </c>
    </row>
    <row r="29" spans="1:8" x14ac:dyDescent="0.35">
      <c r="A29" t="s">
        <v>341</v>
      </c>
      <c r="B29" t="s">
        <v>396</v>
      </c>
      <c r="C29" t="s">
        <v>364</v>
      </c>
      <c r="D29" t="s">
        <v>365</v>
      </c>
      <c r="E29" t="s">
        <v>37</v>
      </c>
      <c r="F29" t="s">
        <v>62</v>
      </c>
      <c r="G29">
        <v>8</v>
      </c>
      <c r="H29">
        <v>0</v>
      </c>
    </row>
    <row r="30" spans="1:8" x14ac:dyDescent="0.35">
      <c r="A30" t="s">
        <v>341</v>
      </c>
      <c r="B30" t="s">
        <v>397</v>
      </c>
      <c r="C30" t="s">
        <v>364</v>
      </c>
      <c r="D30" t="s">
        <v>365</v>
      </c>
      <c r="E30" t="s">
        <v>37</v>
      </c>
      <c r="F30" t="s">
        <v>63</v>
      </c>
      <c r="G30">
        <v>8</v>
      </c>
      <c r="H30">
        <v>0</v>
      </c>
    </row>
    <row r="31" spans="1:8" x14ac:dyDescent="0.35">
      <c r="A31" t="s">
        <v>341</v>
      </c>
      <c r="B31" t="s">
        <v>398</v>
      </c>
      <c r="C31" t="s">
        <v>364</v>
      </c>
      <c r="D31" t="s">
        <v>365</v>
      </c>
      <c r="E31" t="s">
        <v>37</v>
      </c>
      <c r="F31" t="s">
        <v>64</v>
      </c>
      <c r="G31">
        <v>8</v>
      </c>
      <c r="H31">
        <v>0</v>
      </c>
    </row>
    <row r="32" spans="1:8" x14ac:dyDescent="0.35">
      <c r="A32" t="s">
        <v>341</v>
      </c>
      <c r="B32" t="s">
        <v>399</v>
      </c>
      <c r="C32" t="s">
        <v>364</v>
      </c>
      <c r="D32" t="s">
        <v>365</v>
      </c>
      <c r="E32" t="s">
        <v>37</v>
      </c>
      <c r="F32" t="s">
        <v>65</v>
      </c>
      <c r="G32">
        <v>8</v>
      </c>
      <c r="H32">
        <v>0</v>
      </c>
    </row>
    <row r="33" spans="1:9" x14ac:dyDescent="0.35">
      <c r="A33" t="s">
        <v>341</v>
      </c>
      <c r="B33" t="s">
        <v>400</v>
      </c>
      <c r="C33" t="s">
        <v>364</v>
      </c>
      <c r="D33" t="s">
        <v>365</v>
      </c>
      <c r="E33" t="s">
        <v>37</v>
      </c>
      <c r="F33" t="s">
        <v>66</v>
      </c>
      <c r="G33">
        <v>8</v>
      </c>
      <c r="H33">
        <v>0</v>
      </c>
    </row>
    <row r="34" spans="1:9" x14ac:dyDescent="0.35">
      <c r="A34" t="s">
        <v>341</v>
      </c>
      <c r="B34" t="s">
        <v>401</v>
      </c>
      <c r="C34" t="s">
        <v>364</v>
      </c>
      <c r="D34" t="s">
        <v>365</v>
      </c>
      <c r="E34" t="s">
        <v>37</v>
      </c>
      <c r="F34" t="s">
        <v>67</v>
      </c>
      <c r="G34">
        <v>8</v>
      </c>
      <c r="H34">
        <v>0</v>
      </c>
    </row>
    <row r="35" spans="1:9" x14ac:dyDescent="0.35">
      <c r="A35" t="s">
        <v>341</v>
      </c>
      <c r="B35" t="s">
        <v>402</v>
      </c>
      <c r="C35" t="s">
        <v>364</v>
      </c>
      <c r="D35" t="s">
        <v>365</v>
      </c>
      <c r="E35" t="s">
        <v>37</v>
      </c>
      <c r="F35" t="s">
        <v>403</v>
      </c>
      <c r="G35">
        <v>8</v>
      </c>
      <c r="H35">
        <v>0</v>
      </c>
    </row>
    <row r="36" spans="1:9" x14ac:dyDescent="0.35">
      <c r="A36" t="s">
        <v>341</v>
      </c>
      <c r="B36" t="s">
        <v>404</v>
      </c>
      <c r="C36" t="s">
        <v>364</v>
      </c>
      <c r="D36" t="s">
        <v>365</v>
      </c>
      <c r="E36" t="s">
        <v>37</v>
      </c>
      <c r="F36" t="s">
        <v>69</v>
      </c>
      <c r="G36">
        <v>8</v>
      </c>
      <c r="H36">
        <v>0</v>
      </c>
    </row>
    <row r="37" spans="1:9" x14ac:dyDescent="0.35">
      <c r="A37" t="s">
        <v>341</v>
      </c>
      <c r="B37" t="s">
        <v>405</v>
      </c>
      <c r="C37" t="s">
        <v>364</v>
      </c>
      <c r="D37" t="s">
        <v>365</v>
      </c>
      <c r="E37" t="s">
        <v>37</v>
      </c>
      <c r="F37" t="s">
        <v>70</v>
      </c>
      <c r="G37">
        <v>8</v>
      </c>
      <c r="H37">
        <v>0</v>
      </c>
    </row>
    <row r="38" spans="1:9" x14ac:dyDescent="0.35">
      <c r="A38" t="s">
        <v>341</v>
      </c>
      <c r="B38" t="s">
        <v>406</v>
      </c>
      <c r="C38" t="s">
        <v>364</v>
      </c>
      <c r="D38" t="s">
        <v>365</v>
      </c>
      <c r="E38" t="s">
        <v>37</v>
      </c>
      <c r="F38" t="s">
        <v>71</v>
      </c>
      <c r="G38">
        <v>8</v>
      </c>
      <c r="H38">
        <v>0</v>
      </c>
    </row>
    <row r="39" spans="1:9" x14ac:dyDescent="0.35">
      <c r="A39" t="s">
        <v>341</v>
      </c>
      <c r="B39" t="s">
        <v>407</v>
      </c>
      <c r="C39" t="s">
        <v>364</v>
      </c>
      <c r="D39" t="s">
        <v>365</v>
      </c>
      <c r="E39" t="s">
        <v>37</v>
      </c>
      <c r="F39" t="s">
        <v>72</v>
      </c>
      <c r="G39">
        <v>8</v>
      </c>
      <c r="H39">
        <v>0</v>
      </c>
    </row>
    <row r="40" spans="1:9" x14ac:dyDescent="0.35">
      <c r="A40" t="s">
        <v>341</v>
      </c>
      <c r="B40" t="s">
        <v>408</v>
      </c>
      <c r="C40" t="s">
        <v>364</v>
      </c>
      <c r="D40" t="s">
        <v>365</v>
      </c>
      <c r="E40" t="s">
        <v>37</v>
      </c>
      <c r="F40" t="s">
        <v>73</v>
      </c>
      <c r="G40">
        <v>8</v>
      </c>
      <c r="H40">
        <v>0</v>
      </c>
    </row>
    <row r="41" spans="1:9" x14ac:dyDescent="0.35">
      <c r="A41" t="s">
        <v>341</v>
      </c>
      <c r="B41" t="s">
        <v>409</v>
      </c>
      <c r="C41" t="s">
        <v>364</v>
      </c>
      <c r="D41" t="s">
        <v>365</v>
      </c>
      <c r="E41" t="s">
        <v>37</v>
      </c>
      <c r="F41" t="s">
        <v>410</v>
      </c>
      <c r="G41">
        <v>8</v>
      </c>
      <c r="H41">
        <v>0</v>
      </c>
    </row>
    <row r="42" spans="1:9" x14ac:dyDescent="0.35">
      <c r="A42" t="s">
        <v>341</v>
      </c>
      <c r="B42" t="s">
        <v>411</v>
      </c>
      <c r="C42" t="s">
        <v>364</v>
      </c>
      <c r="D42" t="s">
        <v>365</v>
      </c>
      <c r="E42" t="s">
        <v>37</v>
      </c>
      <c r="F42" t="s">
        <v>74</v>
      </c>
      <c r="G42">
        <v>8</v>
      </c>
      <c r="H42">
        <v>0</v>
      </c>
    </row>
    <row r="43" spans="1:9" x14ac:dyDescent="0.35">
      <c r="A43" t="s">
        <v>341</v>
      </c>
      <c r="B43" t="s">
        <v>412</v>
      </c>
      <c r="C43" t="s">
        <v>364</v>
      </c>
      <c r="D43" t="s">
        <v>365</v>
      </c>
      <c r="E43" t="s">
        <v>37</v>
      </c>
      <c r="F43" t="s">
        <v>75</v>
      </c>
      <c r="G43">
        <v>8</v>
      </c>
      <c r="H43">
        <v>0</v>
      </c>
    </row>
    <row r="44" spans="1:9" x14ac:dyDescent="0.35">
      <c r="A44" t="s">
        <v>341</v>
      </c>
      <c r="B44" t="s">
        <v>413</v>
      </c>
      <c r="C44" t="s">
        <v>364</v>
      </c>
      <c r="D44" t="s">
        <v>365</v>
      </c>
      <c r="E44" t="s">
        <v>37</v>
      </c>
      <c r="F44" t="s">
        <v>414</v>
      </c>
      <c r="G44">
        <v>8</v>
      </c>
      <c r="H44">
        <v>8</v>
      </c>
      <c r="I44" t="s">
        <v>455</v>
      </c>
    </row>
    <row r="45" spans="1:9" x14ac:dyDescent="0.35">
      <c r="A45" t="s">
        <v>341</v>
      </c>
      <c r="B45" t="s">
        <v>415</v>
      </c>
      <c r="C45" t="s">
        <v>364</v>
      </c>
      <c r="D45" t="s">
        <v>365</v>
      </c>
      <c r="E45" t="s">
        <v>37</v>
      </c>
      <c r="F45" t="s">
        <v>416</v>
      </c>
      <c r="G45">
        <v>8</v>
      </c>
      <c r="H45">
        <v>8</v>
      </c>
      <c r="I45" t="s">
        <v>455</v>
      </c>
    </row>
    <row r="46" spans="1:9" x14ac:dyDescent="0.35">
      <c r="A46" t="s">
        <v>341</v>
      </c>
      <c r="B46" t="s">
        <v>417</v>
      </c>
      <c r="C46" t="s">
        <v>364</v>
      </c>
      <c r="D46" t="s">
        <v>365</v>
      </c>
      <c r="E46" t="s">
        <v>37</v>
      </c>
      <c r="F46" t="s">
        <v>418</v>
      </c>
      <c r="G46">
        <v>8</v>
      </c>
      <c r="H46">
        <v>8</v>
      </c>
      <c r="I46" t="s">
        <v>455</v>
      </c>
    </row>
    <row r="47" spans="1:9" x14ac:dyDescent="0.35">
      <c r="A47" t="s">
        <v>341</v>
      </c>
      <c r="B47" t="s">
        <v>419</v>
      </c>
      <c r="C47" t="s">
        <v>364</v>
      </c>
      <c r="D47" t="s">
        <v>365</v>
      </c>
      <c r="E47" t="s">
        <v>37</v>
      </c>
      <c r="F47" t="s">
        <v>76</v>
      </c>
      <c r="G47">
        <v>8</v>
      </c>
      <c r="H47">
        <v>0</v>
      </c>
    </row>
    <row r="48" spans="1:9" x14ac:dyDescent="0.35">
      <c r="A48" t="s">
        <v>341</v>
      </c>
      <c r="B48" t="s">
        <v>420</v>
      </c>
      <c r="C48" t="s">
        <v>364</v>
      </c>
      <c r="D48" t="s">
        <v>365</v>
      </c>
      <c r="E48" t="s">
        <v>37</v>
      </c>
      <c r="F48" t="s">
        <v>77</v>
      </c>
      <c r="G48">
        <v>8</v>
      </c>
      <c r="H48">
        <v>0</v>
      </c>
    </row>
    <row r="49" spans="1:8" x14ac:dyDescent="0.35">
      <c r="A49" t="s">
        <v>341</v>
      </c>
      <c r="B49" t="s">
        <v>421</v>
      </c>
      <c r="C49" t="s">
        <v>364</v>
      </c>
      <c r="D49" t="s">
        <v>365</v>
      </c>
      <c r="E49" t="s">
        <v>37</v>
      </c>
      <c r="F49" t="s">
        <v>78</v>
      </c>
      <c r="G49">
        <v>8</v>
      </c>
      <c r="H49">
        <v>0</v>
      </c>
    </row>
    <row r="50" spans="1:8" x14ac:dyDescent="0.35">
      <c r="A50" t="s">
        <v>341</v>
      </c>
      <c r="B50" t="s">
        <v>422</v>
      </c>
      <c r="C50" t="s">
        <v>364</v>
      </c>
      <c r="D50" t="s">
        <v>365</v>
      </c>
      <c r="E50" t="s">
        <v>37</v>
      </c>
      <c r="F50" t="s">
        <v>79</v>
      </c>
      <c r="G50">
        <v>8</v>
      </c>
      <c r="H50">
        <v>0</v>
      </c>
    </row>
    <row r="51" spans="1:8" x14ac:dyDescent="0.35">
      <c r="A51" t="s">
        <v>341</v>
      </c>
      <c r="B51" t="s">
        <v>423</v>
      </c>
      <c r="C51" t="s">
        <v>364</v>
      </c>
      <c r="D51" t="s">
        <v>365</v>
      </c>
      <c r="E51" t="s">
        <v>37</v>
      </c>
      <c r="F51" t="s">
        <v>80</v>
      </c>
      <c r="G51">
        <v>8</v>
      </c>
      <c r="H51">
        <v>0</v>
      </c>
    </row>
    <row r="52" spans="1:8" x14ac:dyDescent="0.35">
      <c r="A52" t="s">
        <v>341</v>
      </c>
      <c r="B52" t="s">
        <v>424</v>
      </c>
      <c r="C52" t="s">
        <v>364</v>
      </c>
      <c r="D52" t="s">
        <v>365</v>
      </c>
      <c r="E52" t="s">
        <v>37</v>
      </c>
      <c r="F52" t="s">
        <v>81</v>
      </c>
      <c r="G52">
        <v>8</v>
      </c>
      <c r="H52">
        <v>0</v>
      </c>
    </row>
    <row r="53" spans="1:8" x14ac:dyDescent="0.35">
      <c r="A53" t="s">
        <v>341</v>
      </c>
      <c r="B53" t="s">
        <v>425</v>
      </c>
      <c r="C53" t="s">
        <v>364</v>
      </c>
      <c r="D53" t="s">
        <v>365</v>
      </c>
      <c r="E53" t="s">
        <v>37</v>
      </c>
      <c r="F53" t="s">
        <v>82</v>
      </c>
      <c r="G53">
        <v>8</v>
      </c>
      <c r="H53">
        <v>0</v>
      </c>
    </row>
    <row r="54" spans="1:8" x14ac:dyDescent="0.35">
      <c r="A54" t="s">
        <v>341</v>
      </c>
      <c r="B54" t="s">
        <v>426</v>
      </c>
      <c r="C54" t="s">
        <v>364</v>
      </c>
      <c r="D54" t="s">
        <v>365</v>
      </c>
      <c r="E54" t="s">
        <v>37</v>
      </c>
      <c r="F54" t="s">
        <v>83</v>
      </c>
      <c r="G54">
        <v>8</v>
      </c>
      <c r="H54">
        <v>0</v>
      </c>
    </row>
    <row r="55" spans="1:8" x14ac:dyDescent="0.35">
      <c r="A55" t="s">
        <v>341</v>
      </c>
      <c r="B55" t="s">
        <v>427</v>
      </c>
      <c r="C55" t="s">
        <v>364</v>
      </c>
      <c r="D55" t="s">
        <v>365</v>
      </c>
      <c r="E55" t="s">
        <v>37</v>
      </c>
      <c r="F55" t="s">
        <v>84</v>
      </c>
      <c r="G55">
        <v>8</v>
      </c>
      <c r="H55">
        <v>0</v>
      </c>
    </row>
    <row r="56" spans="1:8" x14ac:dyDescent="0.35">
      <c r="A56" t="s">
        <v>341</v>
      </c>
      <c r="B56" t="s">
        <v>428</v>
      </c>
      <c r="C56" t="s">
        <v>364</v>
      </c>
      <c r="D56" t="s">
        <v>365</v>
      </c>
      <c r="E56" t="s">
        <v>37</v>
      </c>
      <c r="F56" t="s">
        <v>85</v>
      </c>
      <c r="G56">
        <v>8</v>
      </c>
      <c r="H56">
        <v>0</v>
      </c>
    </row>
    <row r="57" spans="1:8" x14ac:dyDescent="0.35">
      <c r="A57" t="s">
        <v>341</v>
      </c>
      <c r="B57" t="s">
        <v>429</v>
      </c>
      <c r="C57" t="s">
        <v>364</v>
      </c>
      <c r="D57" t="s">
        <v>365</v>
      </c>
      <c r="E57" t="s">
        <v>37</v>
      </c>
      <c r="F57" t="s">
        <v>86</v>
      </c>
      <c r="G57">
        <v>8</v>
      </c>
      <c r="H57">
        <v>0</v>
      </c>
    </row>
    <row r="58" spans="1:8" x14ac:dyDescent="0.35">
      <c r="A58" t="s">
        <v>341</v>
      </c>
      <c r="B58" t="s">
        <v>430</v>
      </c>
      <c r="C58" t="s">
        <v>364</v>
      </c>
      <c r="D58" t="s">
        <v>365</v>
      </c>
      <c r="E58" t="s">
        <v>37</v>
      </c>
      <c r="F58" t="s">
        <v>87</v>
      </c>
      <c r="G58">
        <v>8</v>
      </c>
      <c r="H58">
        <v>0</v>
      </c>
    </row>
    <row r="59" spans="1:8" x14ac:dyDescent="0.35">
      <c r="A59" t="s">
        <v>341</v>
      </c>
      <c r="B59" t="s">
        <v>431</v>
      </c>
      <c r="C59" t="s">
        <v>364</v>
      </c>
      <c r="D59" t="s">
        <v>365</v>
      </c>
      <c r="E59" t="s">
        <v>37</v>
      </c>
      <c r="F59" t="s">
        <v>88</v>
      </c>
      <c r="G59">
        <v>8</v>
      </c>
      <c r="H59">
        <v>0</v>
      </c>
    </row>
    <row r="60" spans="1:8" x14ac:dyDescent="0.35">
      <c r="A60" t="s">
        <v>341</v>
      </c>
      <c r="B60" t="s">
        <v>432</v>
      </c>
      <c r="C60" t="s">
        <v>364</v>
      </c>
      <c r="D60" t="s">
        <v>365</v>
      </c>
      <c r="E60" t="s">
        <v>37</v>
      </c>
      <c r="F60" t="s">
        <v>89</v>
      </c>
      <c r="G60">
        <v>8</v>
      </c>
      <c r="H60">
        <v>0</v>
      </c>
    </row>
    <row r="61" spans="1:8" x14ac:dyDescent="0.35">
      <c r="A61" t="s">
        <v>341</v>
      </c>
      <c r="B61" t="s">
        <v>433</v>
      </c>
      <c r="C61" t="s">
        <v>364</v>
      </c>
      <c r="D61" t="s">
        <v>365</v>
      </c>
      <c r="E61" t="s">
        <v>37</v>
      </c>
      <c r="F61" t="s">
        <v>90</v>
      </c>
      <c r="G61">
        <v>8</v>
      </c>
      <c r="H61">
        <v>0</v>
      </c>
    </row>
    <row r="62" spans="1:8" x14ac:dyDescent="0.35">
      <c r="A62" t="s">
        <v>341</v>
      </c>
      <c r="B62" t="s">
        <v>434</v>
      </c>
      <c r="C62" t="s">
        <v>364</v>
      </c>
      <c r="D62" t="s">
        <v>365</v>
      </c>
      <c r="E62" t="s">
        <v>37</v>
      </c>
      <c r="F62" t="s">
        <v>91</v>
      </c>
      <c r="G62">
        <v>8</v>
      </c>
      <c r="H62">
        <v>0</v>
      </c>
    </row>
    <row r="63" spans="1:8" x14ac:dyDescent="0.35">
      <c r="A63" t="s">
        <v>341</v>
      </c>
      <c r="B63" t="s">
        <v>435</v>
      </c>
      <c r="C63" t="s">
        <v>364</v>
      </c>
      <c r="D63" t="s">
        <v>365</v>
      </c>
      <c r="E63" t="s">
        <v>37</v>
      </c>
      <c r="F63" t="s">
        <v>92</v>
      </c>
      <c r="G63">
        <v>8</v>
      </c>
      <c r="H63">
        <v>0</v>
      </c>
    </row>
    <row r="64" spans="1:8" x14ac:dyDescent="0.35">
      <c r="A64" t="s">
        <v>341</v>
      </c>
      <c r="B64" t="s">
        <v>436</v>
      </c>
      <c r="C64" t="s">
        <v>364</v>
      </c>
      <c r="D64" t="s">
        <v>365</v>
      </c>
      <c r="E64" t="s">
        <v>37</v>
      </c>
      <c r="F64" t="s">
        <v>93</v>
      </c>
      <c r="G64">
        <v>8</v>
      </c>
      <c r="H64">
        <v>0</v>
      </c>
    </row>
    <row r="65" spans="1:8" x14ac:dyDescent="0.35">
      <c r="A65" t="s">
        <v>341</v>
      </c>
      <c r="B65" t="s">
        <v>437</v>
      </c>
      <c r="C65" t="s">
        <v>364</v>
      </c>
      <c r="D65" t="s">
        <v>365</v>
      </c>
      <c r="E65" t="s">
        <v>37</v>
      </c>
      <c r="F65" t="s">
        <v>94</v>
      </c>
      <c r="G65">
        <v>8</v>
      </c>
      <c r="H65">
        <v>0</v>
      </c>
    </row>
    <row r="66" spans="1:8" x14ac:dyDescent="0.35">
      <c r="A66" t="s">
        <v>341</v>
      </c>
      <c r="B66" t="s">
        <v>438</v>
      </c>
      <c r="C66" t="s">
        <v>364</v>
      </c>
      <c r="D66" t="s">
        <v>365</v>
      </c>
      <c r="E66" t="s">
        <v>37</v>
      </c>
      <c r="F66" t="s">
        <v>95</v>
      </c>
      <c r="G66">
        <v>8</v>
      </c>
      <c r="H66">
        <v>0</v>
      </c>
    </row>
    <row r="67" spans="1:8" x14ac:dyDescent="0.35">
      <c r="A67" t="s">
        <v>341</v>
      </c>
      <c r="B67" t="s">
        <v>439</v>
      </c>
      <c r="C67" t="s">
        <v>364</v>
      </c>
      <c r="D67" t="s">
        <v>365</v>
      </c>
      <c r="E67" t="s">
        <v>37</v>
      </c>
      <c r="F67" t="s">
        <v>96</v>
      </c>
      <c r="G67">
        <v>8</v>
      </c>
      <c r="H67">
        <v>0</v>
      </c>
    </row>
    <row r="68" spans="1:8" x14ac:dyDescent="0.35">
      <c r="A68" t="s">
        <v>341</v>
      </c>
      <c r="B68" t="s">
        <v>440</v>
      </c>
      <c r="C68" t="s">
        <v>364</v>
      </c>
      <c r="D68" t="s">
        <v>365</v>
      </c>
      <c r="E68" t="s">
        <v>37</v>
      </c>
      <c r="F68" t="s">
        <v>97</v>
      </c>
      <c r="G68">
        <v>8</v>
      </c>
      <c r="H68">
        <v>0</v>
      </c>
    </row>
    <row r="69" spans="1:8" x14ac:dyDescent="0.35">
      <c r="A69" t="s">
        <v>341</v>
      </c>
      <c r="B69" t="s">
        <v>441</v>
      </c>
      <c r="C69" t="s">
        <v>364</v>
      </c>
      <c r="D69" t="s">
        <v>365</v>
      </c>
      <c r="E69" t="s">
        <v>37</v>
      </c>
      <c r="F69" t="s">
        <v>98</v>
      </c>
      <c r="G69">
        <v>8</v>
      </c>
      <c r="H69">
        <v>0</v>
      </c>
    </row>
    <row r="70" spans="1:8" x14ac:dyDescent="0.35">
      <c r="A70" t="s">
        <v>341</v>
      </c>
      <c r="B70" t="s">
        <v>442</v>
      </c>
      <c r="C70" t="s">
        <v>364</v>
      </c>
      <c r="D70" t="s">
        <v>365</v>
      </c>
      <c r="E70" t="s">
        <v>37</v>
      </c>
      <c r="F70" t="s">
        <v>99</v>
      </c>
      <c r="G70">
        <v>8</v>
      </c>
      <c r="H70">
        <v>0</v>
      </c>
    </row>
    <row r="71" spans="1:8" x14ac:dyDescent="0.35">
      <c r="A71" t="s">
        <v>341</v>
      </c>
      <c r="B71" t="s">
        <v>443</v>
      </c>
      <c r="C71" t="s">
        <v>364</v>
      </c>
      <c r="D71" t="s">
        <v>365</v>
      </c>
      <c r="E71" t="s">
        <v>37</v>
      </c>
      <c r="F71" t="s">
        <v>100</v>
      </c>
      <c r="G71">
        <v>8</v>
      </c>
      <c r="H71">
        <v>0</v>
      </c>
    </row>
    <row r="72" spans="1:8" x14ac:dyDescent="0.35">
      <c r="A72" t="s">
        <v>341</v>
      </c>
      <c r="B72" t="s">
        <v>444</v>
      </c>
      <c r="C72" t="s">
        <v>364</v>
      </c>
      <c r="D72" t="s">
        <v>365</v>
      </c>
      <c r="E72" t="s">
        <v>37</v>
      </c>
      <c r="F72" t="s">
        <v>101</v>
      </c>
      <c r="G72">
        <v>8</v>
      </c>
      <c r="H72">
        <v>0</v>
      </c>
    </row>
    <row r="73" spans="1:8" x14ac:dyDescent="0.35">
      <c r="A73" t="s">
        <v>341</v>
      </c>
      <c r="B73" t="s">
        <v>445</v>
      </c>
      <c r="C73" t="s">
        <v>364</v>
      </c>
      <c r="D73" t="s">
        <v>365</v>
      </c>
      <c r="E73" t="s">
        <v>37</v>
      </c>
      <c r="F73" t="s">
        <v>102</v>
      </c>
      <c r="G73">
        <v>8</v>
      </c>
      <c r="H73">
        <v>0</v>
      </c>
    </row>
    <row r="74" spans="1:8" x14ac:dyDescent="0.35">
      <c r="A74" t="s">
        <v>341</v>
      </c>
      <c r="B74" t="s">
        <v>446</v>
      </c>
      <c r="C74" t="s">
        <v>364</v>
      </c>
      <c r="D74" t="s">
        <v>365</v>
      </c>
      <c r="E74" t="s">
        <v>37</v>
      </c>
      <c r="F74" t="s">
        <v>103</v>
      </c>
      <c r="G74">
        <v>8</v>
      </c>
      <c r="H74">
        <v>0</v>
      </c>
    </row>
    <row r="75" spans="1:8" x14ac:dyDescent="0.35">
      <c r="A75" t="s">
        <v>341</v>
      </c>
      <c r="B75" t="s">
        <v>447</v>
      </c>
      <c r="C75" t="s">
        <v>364</v>
      </c>
      <c r="D75" t="s">
        <v>365</v>
      </c>
      <c r="E75" t="s">
        <v>37</v>
      </c>
      <c r="F75" t="s">
        <v>104</v>
      </c>
      <c r="G75">
        <v>8</v>
      </c>
      <c r="H75">
        <v>0</v>
      </c>
    </row>
    <row r="76" spans="1:8" x14ac:dyDescent="0.35">
      <c r="A76" t="s">
        <v>341</v>
      </c>
      <c r="B76" t="s">
        <v>448</v>
      </c>
      <c r="C76" t="s">
        <v>364</v>
      </c>
      <c r="D76" t="s">
        <v>365</v>
      </c>
      <c r="E76" t="s">
        <v>37</v>
      </c>
      <c r="F76" t="s">
        <v>105</v>
      </c>
      <c r="G76">
        <v>8</v>
      </c>
      <c r="H76">
        <v>0</v>
      </c>
    </row>
    <row r="77" spans="1:8" x14ac:dyDescent="0.35">
      <c r="A77" t="s">
        <v>341</v>
      </c>
      <c r="B77" t="s">
        <v>449</v>
      </c>
      <c r="C77" t="s">
        <v>364</v>
      </c>
      <c r="D77" t="s">
        <v>365</v>
      </c>
      <c r="E77" t="s">
        <v>37</v>
      </c>
      <c r="F77" t="s">
        <v>106</v>
      </c>
      <c r="G77">
        <v>8</v>
      </c>
      <c r="H77">
        <v>0</v>
      </c>
    </row>
    <row r="78" spans="1:8" x14ac:dyDescent="0.35">
      <c r="A78" t="s">
        <v>341</v>
      </c>
      <c r="B78" t="s">
        <v>450</v>
      </c>
      <c r="C78" t="s">
        <v>364</v>
      </c>
      <c r="D78" t="s">
        <v>365</v>
      </c>
      <c r="E78" t="s">
        <v>37</v>
      </c>
      <c r="F78" t="s">
        <v>107</v>
      </c>
      <c r="G78">
        <v>8</v>
      </c>
      <c r="H78">
        <v>0</v>
      </c>
    </row>
    <row r="79" spans="1:8" x14ac:dyDescent="0.35">
      <c r="A79" t="s">
        <v>341</v>
      </c>
      <c r="B79" t="s">
        <v>451</v>
      </c>
      <c r="C79" t="s">
        <v>364</v>
      </c>
      <c r="D79" t="s">
        <v>365</v>
      </c>
      <c r="E79" t="s">
        <v>37</v>
      </c>
      <c r="F79" t="s">
        <v>108</v>
      </c>
      <c r="G79">
        <v>8</v>
      </c>
      <c r="H79">
        <v>0</v>
      </c>
    </row>
    <row r="80" spans="1:8" x14ac:dyDescent="0.35">
      <c r="A80" t="s">
        <v>341</v>
      </c>
      <c r="B80" t="s">
        <v>452</v>
      </c>
      <c r="C80" t="s">
        <v>364</v>
      </c>
      <c r="D80" t="s">
        <v>365</v>
      </c>
      <c r="E80" t="s">
        <v>37</v>
      </c>
      <c r="F80" t="s">
        <v>109</v>
      </c>
      <c r="G80">
        <v>8</v>
      </c>
      <c r="H80">
        <v>0</v>
      </c>
    </row>
    <row r="81" spans="1:9" x14ac:dyDescent="0.35">
      <c r="A81" t="s">
        <v>341</v>
      </c>
      <c r="B81" t="s">
        <v>453</v>
      </c>
      <c r="C81" t="s">
        <v>364</v>
      </c>
      <c r="D81" t="s">
        <v>365</v>
      </c>
      <c r="E81" t="s">
        <v>37</v>
      </c>
      <c r="F81" t="s">
        <v>110</v>
      </c>
      <c r="G81">
        <v>8</v>
      </c>
      <c r="H81">
        <v>0</v>
      </c>
    </row>
    <row r="82" spans="1:9" x14ac:dyDescent="0.35">
      <c r="A82" t="s">
        <v>341</v>
      </c>
      <c r="B82" t="s">
        <v>454</v>
      </c>
      <c r="C82" t="s">
        <v>364</v>
      </c>
      <c r="D82" t="s">
        <v>365</v>
      </c>
      <c r="E82" t="s">
        <v>37</v>
      </c>
      <c r="F82" t="s">
        <v>111</v>
      </c>
      <c r="G82">
        <v>8</v>
      </c>
      <c r="H82">
        <v>0</v>
      </c>
    </row>
    <row r="83" spans="1:9" x14ac:dyDescent="0.35">
      <c r="A83" t="s">
        <v>341</v>
      </c>
      <c r="B83" t="s">
        <v>456</v>
      </c>
      <c r="C83" t="s">
        <v>364</v>
      </c>
      <c r="D83" t="s">
        <v>365</v>
      </c>
      <c r="E83" t="s">
        <v>331</v>
      </c>
      <c r="F83" t="s">
        <v>38</v>
      </c>
      <c r="G83">
        <v>4730</v>
      </c>
      <c r="H83">
        <v>0</v>
      </c>
    </row>
    <row r="84" spans="1:9" x14ac:dyDescent="0.35">
      <c r="A84" t="s">
        <v>341</v>
      </c>
      <c r="B84" t="s">
        <v>457</v>
      </c>
      <c r="C84" t="s">
        <v>364</v>
      </c>
      <c r="D84" t="s">
        <v>365</v>
      </c>
      <c r="E84" t="s">
        <v>331</v>
      </c>
      <c r="F84" t="s">
        <v>332</v>
      </c>
      <c r="G84">
        <v>4730</v>
      </c>
      <c r="H84">
        <v>0</v>
      </c>
    </row>
    <row r="85" spans="1:9" x14ac:dyDescent="0.35">
      <c r="A85" t="s">
        <v>341</v>
      </c>
      <c r="B85" t="s">
        <v>458</v>
      </c>
      <c r="C85" t="s">
        <v>364</v>
      </c>
      <c r="D85" t="s">
        <v>365</v>
      </c>
      <c r="E85" t="s">
        <v>331</v>
      </c>
      <c r="F85" t="s">
        <v>459</v>
      </c>
      <c r="G85">
        <v>4730</v>
      </c>
      <c r="H85">
        <v>0</v>
      </c>
    </row>
    <row r="86" spans="1:9" x14ac:dyDescent="0.35">
      <c r="A86" t="s">
        <v>341</v>
      </c>
      <c r="B86" t="s">
        <v>460</v>
      </c>
      <c r="C86" t="s">
        <v>364</v>
      </c>
      <c r="D86" t="s">
        <v>365</v>
      </c>
      <c r="E86" t="s">
        <v>331</v>
      </c>
      <c r="F86" t="s">
        <v>461</v>
      </c>
      <c r="G86">
        <v>4730</v>
      </c>
      <c r="H86">
        <v>0</v>
      </c>
    </row>
    <row r="87" spans="1:9" x14ac:dyDescent="0.35">
      <c r="A87" t="s">
        <v>341</v>
      </c>
      <c r="B87" t="s">
        <v>462</v>
      </c>
      <c r="C87" t="s">
        <v>364</v>
      </c>
      <c r="D87" t="s">
        <v>365</v>
      </c>
      <c r="E87" t="s">
        <v>331</v>
      </c>
      <c r="F87" t="s">
        <v>463</v>
      </c>
      <c r="G87">
        <v>4730</v>
      </c>
      <c r="H87">
        <v>0</v>
      </c>
    </row>
    <row r="88" spans="1:9" x14ac:dyDescent="0.35">
      <c r="A88" t="s">
        <v>341</v>
      </c>
      <c r="B88" t="s">
        <v>464</v>
      </c>
      <c r="C88" t="s">
        <v>364</v>
      </c>
      <c r="D88" t="s">
        <v>365</v>
      </c>
      <c r="E88" t="s">
        <v>331</v>
      </c>
      <c r="F88" t="s">
        <v>465</v>
      </c>
      <c r="G88">
        <v>4730</v>
      </c>
      <c r="H88">
        <v>0</v>
      </c>
    </row>
    <row r="89" spans="1:9" x14ac:dyDescent="0.35">
      <c r="A89" t="s">
        <v>341</v>
      </c>
      <c r="B89" t="s">
        <v>466</v>
      </c>
      <c r="C89" t="s">
        <v>364</v>
      </c>
      <c r="D89" t="s">
        <v>365</v>
      </c>
      <c r="E89" t="s">
        <v>331</v>
      </c>
      <c r="F89" t="s">
        <v>467</v>
      </c>
      <c r="G89">
        <v>4730</v>
      </c>
      <c r="H89">
        <v>4730</v>
      </c>
      <c r="I89" t="s">
        <v>468</v>
      </c>
    </row>
    <row r="90" spans="1:9" x14ac:dyDescent="0.35">
      <c r="A90" t="s">
        <v>341</v>
      </c>
      <c r="B90" t="s">
        <v>469</v>
      </c>
      <c r="C90" t="s">
        <v>364</v>
      </c>
      <c r="D90" t="s">
        <v>365</v>
      </c>
      <c r="E90" t="s">
        <v>331</v>
      </c>
      <c r="F90" t="s">
        <v>470</v>
      </c>
      <c r="G90">
        <v>4730</v>
      </c>
      <c r="H90">
        <v>0</v>
      </c>
    </row>
    <row r="91" spans="1:9" x14ac:dyDescent="0.35">
      <c r="A91" t="s">
        <v>341</v>
      </c>
      <c r="B91" t="s">
        <v>471</v>
      </c>
      <c r="C91" t="s">
        <v>364</v>
      </c>
      <c r="D91" t="s">
        <v>365</v>
      </c>
      <c r="E91" t="s">
        <v>331</v>
      </c>
      <c r="F91" t="s">
        <v>472</v>
      </c>
      <c r="G91">
        <v>4730</v>
      </c>
      <c r="H91">
        <v>0</v>
      </c>
    </row>
    <row r="92" spans="1:9" x14ac:dyDescent="0.35">
      <c r="A92" t="s">
        <v>341</v>
      </c>
      <c r="B92" t="s">
        <v>473</v>
      </c>
      <c r="C92" t="s">
        <v>364</v>
      </c>
      <c r="D92" t="s">
        <v>365</v>
      </c>
      <c r="E92" t="s">
        <v>331</v>
      </c>
      <c r="F92" t="s">
        <v>474</v>
      </c>
      <c r="G92">
        <v>4730</v>
      </c>
      <c r="H92">
        <v>0</v>
      </c>
    </row>
    <row r="93" spans="1:9" x14ac:dyDescent="0.35">
      <c r="A93" t="s">
        <v>341</v>
      </c>
      <c r="B93" t="s">
        <v>475</v>
      </c>
      <c r="C93" t="s">
        <v>364</v>
      </c>
      <c r="D93" t="s">
        <v>365</v>
      </c>
      <c r="E93" t="s">
        <v>331</v>
      </c>
      <c r="F93" t="s">
        <v>476</v>
      </c>
      <c r="G93">
        <v>4730</v>
      </c>
      <c r="H93">
        <v>0</v>
      </c>
    </row>
    <row r="94" spans="1:9" x14ac:dyDescent="0.35">
      <c r="A94" t="s">
        <v>341</v>
      </c>
      <c r="B94" t="s">
        <v>477</v>
      </c>
      <c r="C94" t="s">
        <v>364</v>
      </c>
      <c r="D94" t="s">
        <v>365</v>
      </c>
      <c r="E94" t="s">
        <v>331</v>
      </c>
      <c r="F94" t="s">
        <v>478</v>
      </c>
      <c r="G94">
        <v>4730</v>
      </c>
      <c r="H94">
        <v>0</v>
      </c>
    </row>
    <row r="95" spans="1:9" x14ac:dyDescent="0.35">
      <c r="A95" t="s">
        <v>341</v>
      </c>
      <c r="B95" t="s">
        <v>479</v>
      </c>
      <c r="C95" t="s">
        <v>364</v>
      </c>
      <c r="D95" t="s">
        <v>365</v>
      </c>
      <c r="E95" t="s">
        <v>331</v>
      </c>
      <c r="F95" t="s">
        <v>480</v>
      </c>
      <c r="G95">
        <v>4730</v>
      </c>
      <c r="H95">
        <v>0</v>
      </c>
    </row>
    <row r="96" spans="1:9" x14ac:dyDescent="0.35">
      <c r="A96" t="s">
        <v>341</v>
      </c>
      <c r="B96" t="s">
        <v>481</v>
      </c>
      <c r="C96" t="s">
        <v>364</v>
      </c>
      <c r="D96" t="s">
        <v>365</v>
      </c>
      <c r="E96" t="s">
        <v>331</v>
      </c>
      <c r="F96" t="s">
        <v>482</v>
      </c>
      <c r="G96">
        <v>4730</v>
      </c>
      <c r="H96">
        <v>0</v>
      </c>
    </row>
    <row r="97" spans="1:9" x14ac:dyDescent="0.35">
      <c r="A97" t="s">
        <v>341</v>
      </c>
      <c r="B97" t="s">
        <v>483</v>
      </c>
      <c r="C97" t="s">
        <v>364</v>
      </c>
      <c r="D97" t="s">
        <v>365</v>
      </c>
      <c r="E97" t="s">
        <v>331</v>
      </c>
      <c r="F97" t="s">
        <v>484</v>
      </c>
      <c r="G97">
        <v>4730</v>
      </c>
      <c r="H97">
        <v>0</v>
      </c>
    </row>
    <row r="98" spans="1:9" x14ac:dyDescent="0.35">
      <c r="A98" t="s">
        <v>341</v>
      </c>
      <c r="B98" t="s">
        <v>485</v>
      </c>
      <c r="C98" t="s">
        <v>364</v>
      </c>
      <c r="D98" t="s">
        <v>365</v>
      </c>
      <c r="E98" t="s">
        <v>333</v>
      </c>
      <c r="F98" t="s">
        <v>38</v>
      </c>
      <c r="G98">
        <v>4740</v>
      </c>
      <c r="H98">
        <v>0</v>
      </c>
    </row>
    <row r="99" spans="1:9" x14ac:dyDescent="0.35">
      <c r="A99" t="s">
        <v>341</v>
      </c>
      <c r="B99" t="s">
        <v>486</v>
      </c>
      <c r="C99" t="s">
        <v>364</v>
      </c>
      <c r="D99" t="s">
        <v>365</v>
      </c>
      <c r="E99" t="s">
        <v>333</v>
      </c>
      <c r="F99" t="s">
        <v>487</v>
      </c>
      <c r="G99">
        <v>4740</v>
      </c>
      <c r="H99">
        <v>0</v>
      </c>
    </row>
    <row r="100" spans="1:9" x14ac:dyDescent="0.35">
      <c r="A100" t="s">
        <v>341</v>
      </c>
      <c r="B100" t="s">
        <v>488</v>
      </c>
      <c r="C100" t="s">
        <v>364</v>
      </c>
      <c r="D100" t="s">
        <v>365</v>
      </c>
      <c r="E100" t="s">
        <v>333</v>
      </c>
      <c r="F100" t="s">
        <v>334</v>
      </c>
      <c r="G100">
        <v>4740</v>
      </c>
      <c r="H100">
        <v>0</v>
      </c>
    </row>
    <row r="101" spans="1:9" x14ac:dyDescent="0.35">
      <c r="A101" t="s">
        <v>341</v>
      </c>
      <c r="B101" t="s">
        <v>489</v>
      </c>
      <c r="C101" t="s">
        <v>364</v>
      </c>
      <c r="D101" t="s">
        <v>365</v>
      </c>
      <c r="E101" t="s">
        <v>333</v>
      </c>
      <c r="F101" t="s">
        <v>490</v>
      </c>
      <c r="G101">
        <v>4740</v>
      </c>
      <c r="H101">
        <v>4740</v>
      </c>
      <c r="I101" t="s">
        <v>491</v>
      </c>
    </row>
    <row r="102" spans="1:9" x14ac:dyDescent="0.35">
      <c r="A102" t="s">
        <v>341</v>
      </c>
      <c r="B102" t="s">
        <v>492</v>
      </c>
      <c r="C102" t="s">
        <v>364</v>
      </c>
      <c r="D102" t="s">
        <v>365</v>
      </c>
      <c r="E102" t="s">
        <v>333</v>
      </c>
      <c r="F102" t="s">
        <v>493</v>
      </c>
      <c r="G102">
        <v>4740</v>
      </c>
      <c r="H102">
        <v>2</v>
      </c>
      <c r="I102" t="s">
        <v>494</v>
      </c>
    </row>
    <row r="103" spans="1:9" x14ac:dyDescent="0.35">
      <c r="A103" t="s">
        <v>341</v>
      </c>
      <c r="B103" t="s">
        <v>495</v>
      </c>
      <c r="C103" t="s">
        <v>364</v>
      </c>
      <c r="D103" t="s">
        <v>365</v>
      </c>
      <c r="E103" t="s">
        <v>333</v>
      </c>
      <c r="F103" t="s">
        <v>496</v>
      </c>
      <c r="G103">
        <v>4740</v>
      </c>
      <c r="H103">
        <v>0</v>
      </c>
    </row>
    <row r="104" spans="1:9" x14ac:dyDescent="0.35">
      <c r="A104" t="s">
        <v>341</v>
      </c>
      <c r="B104" t="s">
        <v>497</v>
      </c>
      <c r="C104" t="s">
        <v>364</v>
      </c>
      <c r="D104" t="s">
        <v>365</v>
      </c>
      <c r="E104" t="s">
        <v>333</v>
      </c>
      <c r="F104" t="s">
        <v>498</v>
      </c>
      <c r="G104">
        <v>4740</v>
      </c>
      <c r="H104">
        <v>0</v>
      </c>
    </row>
    <row r="105" spans="1:9" x14ac:dyDescent="0.35">
      <c r="A105" t="s">
        <v>341</v>
      </c>
      <c r="B105" t="s">
        <v>499</v>
      </c>
      <c r="C105" t="s">
        <v>364</v>
      </c>
      <c r="D105" t="s">
        <v>365</v>
      </c>
      <c r="E105" t="s">
        <v>333</v>
      </c>
      <c r="F105" t="s">
        <v>500</v>
      </c>
      <c r="G105">
        <v>4740</v>
      </c>
      <c r="H105">
        <v>0</v>
      </c>
    </row>
    <row r="106" spans="1:9" x14ac:dyDescent="0.35">
      <c r="A106" t="s">
        <v>341</v>
      </c>
      <c r="B106" t="s">
        <v>501</v>
      </c>
      <c r="C106" t="s">
        <v>364</v>
      </c>
      <c r="D106" t="s">
        <v>365</v>
      </c>
      <c r="E106" t="s">
        <v>333</v>
      </c>
      <c r="F106" t="s">
        <v>502</v>
      </c>
      <c r="G106">
        <v>4740</v>
      </c>
      <c r="H106">
        <v>0</v>
      </c>
    </row>
    <row r="107" spans="1:9" x14ac:dyDescent="0.35">
      <c r="A107" t="s">
        <v>341</v>
      </c>
      <c r="B107" t="s">
        <v>503</v>
      </c>
      <c r="C107" t="s">
        <v>364</v>
      </c>
      <c r="D107" t="s">
        <v>365</v>
      </c>
      <c r="E107" t="s">
        <v>333</v>
      </c>
      <c r="F107" t="s">
        <v>504</v>
      </c>
      <c r="G107">
        <v>4740</v>
      </c>
      <c r="H107">
        <v>0</v>
      </c>
    </row>
    <row r="108" spans="1:9" x14ac:dyDescent="0.35">
      <c r="A108" t="s">
        <v>341</v>
      </c>
      <c r="B108" t="s">
        <v>505</v>
      </c>
      <c r="C108" t="s">
        <v>364</v>
      </c>
      <c r="D108" t="s">
        <v>365</v>
      </c>
      <c r="E108" t="s">
        <v>333</v>
      </c>
      <c r="F108" t="s">
        <v>506</v>
      </c>
      <c r="G108">
        <v>4740</v>
      </c>
      <c r="H108">
        <v>4740</v>
      </c>
      <c r="I108" t="s">
        <v>491</v>
      </c>
    </row>
    <row r="109" spans="1:9" x14ac:dyDescent="0.35">
      <c r="A109" t="s">
        <v>341</v>
      </c>
      <c r="B109" t="s">
        <v>586</v>
      </c>
      <c r="C109" t="s">
        <v>364</v>
      </c>
      <c r="D109" t="s">
        <v>365</v>
      </c>
      <c r="E109" t="s">
        <v>587</v>
      </c>
      <c r="F109" t="s">
        <v>588</v>
      </c>
      <c r="G109">
        <v>14293</v>
      </c>
      <c r="H109">
        <v>69</v>
      </c>
      <c r="I109" t="s">
        <v>955</v>
      </c>
    </row>
    <row r="110" spans="1:9" x14ac:dyDescent="0.35">
      <c r="A110" t="s">
        <v>341</v>
      </c>
      <c r="B110" t="s">
        <v>589</v>
      </c>
      <c r="C110" t="s">
        <v>364</v>
      </c>
      <c r="D110" t="s">
        <v>365</v>
      </c>
      <c r="E110" t="s">
        <v>587</v>
      </c>
      <c r="F110" t="s">
        <v>590</v>
      </c>
      <c r="G110">
        <v>14293</v>
      </c>
      <c r="H110">
        <v>0</v>
      </c>
    </row>
    <row r="111" spans="1:9" x14ac:dyDescent="0.35">
      <c r="A111" t="s">
        <v>341</v>
      </c>
      <c r="B111" t="s">
        <v>591</v>
      </c>
      <c r="C111" t="s">
        <v>364</v>
      </c>
      <c r="D111" t="s">
        <v>365</v>
      </c>
      <c r="E111" t="s">
        <v>587</v>
      </c>
      <c r="F111" t="s">
        <v>592</v>
      </c>
      <c r="G111">
        <v>14293</v>
      </c>
      <c r="H111">
        <v>0</v>
      </c>
    </row>
    <row r="112" spans="1:9" x14ac:dyDescent="0.35">
      <c r="A112" t="s">
        <v>341</v>
      </c>
      <c r="B112" t="s">
        <v>593</v>
      </c>
      <c r="C112" t="s">
        <v>364</v>
      </c>
      <c r="D112" t="s">
        <v>365</v>
      </c>
      <c r="E112" t="s">
        <v>587</v>
      </c>
      <c r="F112" t="s">
        <v>594</v>
      </c>
      <c r="G112">
        <v>14293</v>
      </c>
      <c r="H112">
        <v>0</v>
      </c>
    </row>
    <row r="113" spans="1:9" x14ac:dyDescent="0.35">
      <c r="A113" t="s">
        <v>341</v>
      </c>
      <c r="B113" t="s">
        <v>507</v>
      </c>
      <c r="C113" t="s">
        <v>364</v>
      </c>
      <c r="D113" t="s">
        <v>365</v>
      </c>
      <c r="E113" t="s">
        <v>508</v>
      </c>
      <c r="F113" t="s">
        <v>509</v>
      </c>
      <c r="G113">
        <v>4742</v>
      </c>
      <c r="H113">
        <v>0</v>
      </c>
    </row>
    <row r="114" spans="1:9" x14ac:dyDescent="0.35">
      <c r="A114" t="s">
        <v>341</v>
      </c>
      <c r="B114" t="s">
        <v>510</v>
      </c>
      <c r="C114" t="s">
        <v>364</v>
      </c>
      <c r="D114" t="s">
        <v>365</v>
      </c>
      <c r="E114" t="s">
        <v>508</v>
      </c>
      <c r="F114" t="s">
        <v>511</v>
      </c>
      <c r="G114">
        <v>4742</v>
      </c>
      <c r="H114">
        <v>0</v>
      </c>
    </row>
    <row r="115" spans="1:9" x14ac:dyDescent="0.35">
      <c r="A115" t="s">
        <v>341</v>
      </c>
      <c r="B115" t="s">
        <v>512</v>
      </c>
      <c r="C115" t="s">
        <v>364</v>
      </c>
      <c r="D115" t="s">
        <v>365</v>
      </c>
      <c r="E115" t="s">
        <v>508</v>
      </c>
      <c r="F115" t="s">
        <v>513</v>
      </c>
      <c r="G115">
        <v>4742</v>
      </c>
      <c r="H115">
        <v>0</v>
      </c>
    </row>
    <row r="116" spans="1:9" x14ac:dyDescent="0.35">
      <c r="A116" t="s">
        <v>341</v>
      </c>
      <c r="B116" t="s">
        <v>514</v>
      </c>
      <c r="C116" t="s">
        <v>364</v>
      </c>
      <c r="D116" t="s">
        <v>365</v>
      </c>
      <c r="E116" t="s">
        <v>508</v>
      </c>
      <c r="F116" t="s">
        <v>515</v>
      </c>
      <c r="G116">
        <v>4742</v>
      </c>
      <c r="H116">
        <v>0</v>
      </c>
    </row>
    <row r="117" spans="1:9" x14ac:dyDescent="0.35">
      <c r="A117" t="s">
        <v>341</v>
      </c>
      <c r="B117" t="s">
        <v>516</v>
      </c>
      <c r="C117" t="s">
        <v>364</v>
      </c>
      <c r="D117" t="s">
        <v>365</v>
      </c>
      <c r="E117" t="s">
        <v>508</v>
      </c>
      <c r="F117" t="s">
        <v>517</v>
      </c>
      <c r="G117">
        <v>4742</v>
      </c>
      <c r="H117">
        <v>0</v>
      </c>
    </row>
    <row r="118" spans="1:9" x14ac:dyDescent="0.35">
      <c r="A118" t="s">
        <v>341</v>
      </c>
      <c r="B118" t="s">
        <v>518</v>
      </c>
      <c r="C118" t="s">
        <v>364</v>
      </c>
      <c r="D118" t="s">
        <v>365</v>
      </c>
      <c r="E118" t="s">
        <v>508</v>
      </c>
      <c r="F118" t="s">
        <v>519</v>
      </c>
      <c r="G118">
        <v>4742</v>
      </c>
      <c r="H118">
        <v>0</v>
      </c>
    </row>
    <row r="119" spans="1:9" x14ac:dyDescent="0.35">
      <c r="A119" t="s">
        <v>341</v>
      </c>
      <c r="B119" t="s">
        <v>520</v>
      </c>
      <c r="C119" t="s">
        <v>364</v>
      </c>
      <c r="D119" t="s">
        <v>365</v>
      </c>
      <c r="E119" t="s">
        <v>508</v>
      </c>
      <c r="F119" t="s">
        <v>521</v>
      </c>
      <c r="G119">
        <v>4742</v>
      </c>
      <c r="H119">
        <v>0</v>
      </c>
    </row>
    <row r="120" spans="1:9" x14ac:dyDescent="0.35">
      <c r="A120" t="s">
        <v>341</v>
      </c>
      <c r="B120" t="s">
        <v>522</v>
      </c>
      <c r="C120" t="s">
        <v>364</v>
      </c>
      <c r="D120" t="s">
        <v>365</v>
      </c>
      <c r="E120" t="s">
        <v>508</v>
      </c>
      <c r="F120" t="s">
        <v>523</v>
      </c>
      <c r="G120">
        <v>4742</v>
      </c>
      <c r="H120">
        <v>4734</v>
      </c>
      <c r="I120" t="s">
        <v>956</v>
      </c>
    </row>
    <row r="121" spans="1:9" x14ac:dyDescent="0.35">
      <c r="A121" t="s">
        <v>341</v>
      </c>
      <c r="B121" t="s">
        <v>524</v>
      </c>
      <c r="C121" t="s">
        <v>364</v>
      </c>
      <c r="D121" t="s">
        <v>365</v>
      </c>
      <c r="E121" t="s">
        <v>508</v>
      </c>
      <c r="F121" t="s">
        <v>525</v>
      </c>
      <c r="G121">
        <v>4742</v>
      </c>
      <c r="H121">
        <v>0</v>
      </c>
    </row>
    <row r="122" spans="1:9" x14ac:dyDescent="0.35">
      <c r="A122" t="s">
        <v>341</v>
      </c>
      <c r="B122" t="s">
        <v>526</v>
      </c>
      <c r="C122" t="s">
        <v>364</v>
      </c>
      <c r="D122" t="s">
        <v>365</v>
      </c>
      <c r="E122" t="s">
        <v>508</v>
      </c>
      <c r="F122" t="s">
        <v>527</v>
      </c>
      <c r="G122">
        <v>4742</v>
      </c>
      <c r="H122">
        <v>23</v>
      </c>
      <c r="I122" t="s">
        <v>957</v>
      </c>
    </row>
    <row r="123" spans="1:9" x14ac:dyDescent="0.35">
      <c r="A123" t="s">
        <v>341</v>
      </c>
      <c r="B123" t="s">
        <v>528</v>
      </c>
      <c r="C123" t="s">
        <v>364</v>
      </c>
      <c r="D123" t="s">
        <v>365</v>
      </c>
      <c r="E123" t="s">
        <v>508</v>
      </c>
      <c r="F123" t="s">
        <v>529</v>
      </c>
      <c r="G123">
        <v>4742</v>
      </c>
      <c r="H123">
        <v>0</v>
      </c>
    </row>
    <row r="124" spans="1:9" x14ac:dyDescent="0.35">
      <c r="A124" t="s">
        <v>341</v>
      </c>
      <c r="B124" t="s">
        <v>552</v>
      </c>
      <c r="C124" t="s">
        <v>364</v>
      </c>
      <c r="D124" t="s">
        <v>365</v>
      </c>
      <c r="E124" t="s">
        <v>508</v>
      </c>
      <c r="F124" t="s">
        <v>553</v>
      </c>
      <c r="G124">
        <v>4742</v>
      </c>
      <c r="H124">
        <v>4734</v>
      </c>
      <c r="I124" t="s">
        <v>958</v>
      </c>
    </row>
    <row r="125" spans="1:9" x14ac:dyDescent="0.35">
      <c r="A125" t="s">
        <v>341</v>
      </c>
      <c r="B125" t="s">
        <v>548</v>
      </c>
      <c r="C125" t="s">
        <v>364</v>
      </c>
      <c r="D125" t="s">
        <v>365</v>
      </c>
      <c r="E125" t="s">
        <v>508</v>
      </c>
      <c r="F125" t="s">
        <v>549</v>
      </c>
      <c r="G125">
        <v>4742</v>
      </c>
      <c r="H125">
        <v>0</v>
      </c>
    </row>
    <row r="126" spans="1:9" x14ac:dyDescent="0.35">
      <c r="A126" t="s">
        <v>341</v>
      </c>
      <c r="B126" t="s">
        <v>530</v>
      </c>
      <c r="C126" t="s">
        <v>364</v>
      </c>
      <c r="D126" t="s">
        <v>365</v>
      </c>
      <c r="E126" t="s">
        <v>508</v>
      </c>
      <c r="F126" t="s">
        <v>531</v>
      </c>
      <c r="G126">
        <v>4742</v>
      </c>
      <c r="H126">
        <v>0</v>
      </c>
    </row>
    <row r="127" spans="1:9" x14ac:dyDescent="0.35">
      <c r="A127" t="s">
        <v>341</v>
      </c>
      <c r="B127" t="s">
        <v>532</v>
      </c>
      <c r="C127" t="s">
        <v>364</v>
      </c>
      <c r="D127" t="s">
        <v>365</v>
      </c>
      <c r="E127" t="s">
        <v>508</v>
      </c>
      <c r="F127" t="s">
        <v>533</v>
      </c>
      <c r="G127">
        <v>4742</v>
      </c>
      <c r="H127">
        <v>0</v>
      </c>
    </row>
    <row r="128" spans="1:9" x14ac:dyDescent="0.35">
      <c r="A128" t="s">
        <v>341</v>
      </c>
      <c r="B128" t="s">
        <v>534</v>
      </c>
      <c r="C128" t="s">
        <v>364</v>
      </c>
      <c r="D128" t="s">
        <v>365</v>
      </c>
      <c r="E128" t="s">
        <v>508</v>
      </c>
      <c r="F128" t="s">
        <v>535</v>
      </c>
      <c r="G128">
        <v>4742</v>
      </c>
      <c r="H128">
        <v>0</v>
      </c>
    </row>
    <row r="129" spans="1:9" x14ac:dyDescent="0.35">
      <c r="A129" t="s">
        <v>341</v>
      </c>
      <c r="B129" t="s">
        <v>536</v>
      </c>
      <c r="C129" t="s">
        <v>364</v>
      </c>
      <c r="D129" t="s">
        <v>365</v>
      </c>
      <c r="E129" t="s">
        <v>508</v>
      </c>
      <c r="F129" t="s">
        <v>537</v>
      </c>
      <c r="G129">
        <v>4742</v>
      </c>
      <c r="H129">
        <v>0</v>
      </c>
    </row>
    <row r="130" spans="1:9" x14ac:dyDescent="0.35">
      <c r="A130" t="s">
        <v>341</v>
      </c>
      <c r="B130" t="s">
        <v>538</v>
      </c>
      <c r="C130" t="s">
        <v>364</v>
      </c>
      <c r="D130" t="s">
        <v>365</v>
      </c>
      <c r="E130" t="s">
        <v>508</v>
      </c>
      <c r="F130" t="s">
        <v>539</v>
      </c>
      <c r="G130">
        <v>4742</v>
      </c>
      <c r="H130">
        <v>0</v>
      </c>
    </row>
    <row r="131" spans="1:9" x14ac:dyDescent="0.35">
      <c r="A131" t="s">
        <v>341</v>
      </c>
      <c r="B131" t="s">
        <v>540</v>
      </c>
      <c r="C131" t="s">
        <v>364</v>
      </c>
      <c r="D131" t="s">
        <v>365</v>
      </c>
      <c r="E131" t="s">
        <v>508</v>
      </c>
      <c r="F131" t="s">
        <v>541</v>
      </c>
      <c r="G131">
        <v>4742</v>
      </c>
      <c r="H131">
        <v>0</v>
      </c>
    </row>
    <row r="132" spans="1:9" x14ac:dyDescent="0.35">
      <c r="A132" t="s">
        <v>341</v>
      </c>
      <c r="B132" t="s">
        <v>542</v>
      </c>
      <c r="C132" t="s">
        <v>364</v>
      </c>
      <c r="D132" t="s">
        <v>365</v>
      </c>
      <c r="E132" t="s">
        <v>508</v>
      </c>
      <c r="F132" t="s">
        <v>543</v>
      </c>
      <c r="G132">
        <v>4742</v>
      </c>
      <c r="H132">
        <v>0</v>
      </c>
    </row>
    <row r="133" spans="1:9" x14ac:dyDescent="0.35">
      <c r="A133" t="s">
        <v>341</v>
      </c>
      <c r="B133" t="s">
        <v>544</v>
      </c>
      <c r="C133" t="s">
        <v>364</v>
      </c>
      <c r="D133" t="s">
        <v>365</v>
      </c>
      <c r="E133" t="s">
        <v>508</v>
      </c>
      <c r="F133" t="s">
        <v>545</v>
      </c>
      <c r="G133">
        <v>4742</v>
      </c>
      <c r="H133">
        <v>0</v>
      </c>
    </row>
    <row r="134" spans="1:9" x14ac:dyDescent="0.35">
      <c r="A134" t="s">
        <v>341</v>
      </c>
      <c r="B134" t="s">
        <v>546</v>
      </c>
      <c r="C134" t="s">
        <v>364</v>
      </c>
      <c r="D134" t="s">
        <v>365</v>
      </c>
      <c r="E134" t="s">
        <v>508</v>
      </c>
      <c r="F134" t="s">
        <v>547</v>
      </c>
      <c r="G134">
        <v>4742</v>
      </c>
      <c r="H134">
        <v>0</v>
      </c>
    </row>
    <row r="135" spans="1:9" x14ac:dyDescent="0.35">
      <c r="A135" t="s">
        <v>341</v>
      </c>
      <c r="B135" t="s">
        <v>550</v>
      </c>
      <c r="C135" t="s">
        <v>364</v>
      </c>
      <c r="D135" t="s">
        <v>365</v>
      </c>
      <c r="E135" t="s">
        <v>508</v>
      </c>
      <c r="F135" t="s">
        <v>551</v>
      </c>
      <c r="G135">
        <v>4742</v>
      </c>
      <c r="H135">
        <v>0</v>
      </c>
    </row>
    <row r="136" spans="1:9" x14ac:dyDescent="0.35">
      <c r="A136" t="s">
        <v>341</v>
      </c>
      <c r="B136" t="s">
        <v>554</v>
      </c>
      <c r="C136" t="s">
        <v>364</v>
      </c>
      <c r="D136" t="s">
        <v>365</v>
      </c>
      <c r="E136" t="s">
        <v>555</v>
      </c>
      <c r="F136" t="s">
        <v>556</v>
      </c>
      <c r="G136">
        <v>37</v>
      </c>
      <c r="H136">
        <v>0</v>
      </c>
    </row>
    <row r="137" spans="1:9" x14ac:dyDescent="0.35">
      <c r="A137" t="s">
        <v>341</v>
      </c>
      <c r="B137" t="s">
        <v>557</v>
      </c>
      <c r="C137" t="s">
        <v>364</v>
      </c>
      <c r="D137" t="s">
        <v>365</v>
      </c>
      <c r="E137" t="s">
        <v>555</v>
      </c>
      <c r="F137" t="s">
        <v>558</v>
      </c>
      <c r="G137">
        <v>37</v>
      </c>
      <c r="H137">
        <v>1</v>
      </c>
      <c r="I137" t="s">
        <v>559</v>
      </c>
    </row>
    <row r="138" spans="1:9" x14ac:dyDescent="0.35">
      <c r="A138" t="s">
        <v>341</v>
      </c>
      <c r="B138" t="s">
        <v>560</v>
      </c>
      <c r="C138" t="s">
        <v>364</v>
      </c>
      <c r="D138" t="s">
        <v>365</v>
      </c>
      <c r="E138" t="s">
        <v>555</v>
      </c>
      <c r="F138" t="s">
        <v>561</v>
      </c>
      <c r="G138">
        <v>37</v>
      </c>
      <c r="H138">
        <v>1</v>
      </c>
      <c r="I138" t="s">
        <v>559</v>
      </c>
    </row>
    <row r="139" spans="1:9" x14ac:dyDescent="0.35">
      <c r="A139" t="s">
        <v>341</v>
      </c>
      <c r="B139" t="s">
        <v>562</v>
      </c>
      <c r="C139" t="s">
        <v>364</v>
      </c>
      <c r="D139" t="s">
        <v>365</v>
      </c>
      <c r="E139" t="s">
        <v>555</v>
      </c>
      <c r="F139" t="s">
        <v>563</v>
      </c>
      <c r="G139">
        <v>37</v>
      </c>
      <c r="H139">
        <v>0</v>
      </c>
    </row>
    <row r="140" spans="1:9" x14ac:dyDescent="0.35">
      <c r="A140" t="s">
        <v>341</v>
      </c>
      <c r="B140" t="s">
        <v>564</v>
      </c>
      <c r="C140" t="s">
        <v>364</v>
      </c>
      <c r="D140" t="s">
        <v>365</v>
      </c>
      <c r="E140" t="s">
        <v>555</v>
      </c>
      <c r="F140" t="s">
        <v>565</v>
      </c>
      <c r="G140">
        <v>37</v>
      </c>
      <c r="H140">
        <v>0</v>
      </c>
    </row>
    <row r="141" spans="1:9" x14ac:dyDescent="0.35">
      <c r="A141" t="s">
        <v>341</v>
      </c>
      <c r="B141" t="s">
        <v>566</v>
      </c>
      <c r="C141" t="s">
        <v>364</v>
      </c>
      <c r="D141" t="s">
        <v>365</v>
      </c>
      <c r="E141" t="s">
        <v>555</v>
      </c>
      <c r="F141" t="s">
        <v>567</v>
      </c>
      <c r="G141">
        <v>37</v>
      </c>
      <c r="H141">
        <v>0</v>
      </c>
    </row>
    <row r="142" spans="1:9" x14ac:dyDescent="0.35">
      <c r="A142" t="s">
        <v>341</v>
      </c>
      <c r="B142" t="s">
        <v>568</v>
      </c>
      <c r="C142" t="s">
        <v>364</v>
      </c>
      <c r="D142" t="s">
        <v>365</v>
      </c>
      <c r="E142" t="s">
        <v>555</v>
      </c>
      <c r="F142" t="s">
        <v>569</v>
      </c>
      <c r="G142">
        <v>37</v>
      </c>
      <c r="H142">
        <v>1</v>
      </c>
      <c r="I142" t="s">
        <v>559</v>
      </c>
    </row>
    <row r="143" spans="1:9" x14ac:dyDescent="0.35">
      <c r="A143" t="s">
        <v>341</v>
      </c>
      <c r="B143" t="s">
        <v>570</v>
      </c>
      <c r="C143" t="s">
        <v>364</v>
      </c>
      <c r="D143" t="s">
        <v>365</v>
      </c>
      <c r="E143" t="s">
        <v>571</v>
      </c>
      <c r="F143" t="s">
        <v>572</v>
      </c>
      <c r="G143">
        <v>6</v>
      </c>
      <c r="H143">
        <v>0</v>
      </c>
    </row>
    <row r="144" spans="1:9" x14ac:dyDescent="0.35">
      <c r="A144" t="s">
        <v>341</v>
      </c>
      <c r="B144" t="s">
        <v>573</v>
      </c>
      <c r="C144" t="s">
        <v>364</v>
      </c>
      <c r="D144" t="s">
        <v>365</v>
      </c>
      <c r="E144" t="s">
        <v>571</v>
      </c>
      <c r="F144" t="s">
        <v>574</v>
      </c>
      <c r="G144">
        <v>6</v>
      </c>
      <c r="H144">
        <v>0</v>
      </c>
    </row>
    <row r="145" spans="1:8" x14ac:dyDescent="0.35">
      <c r="A145" t="s">
        <v>341</v>
      </c>
      <c r="B145" t="s">
        <v>575</v>
      </c>
      <c r="C145" t="s">
        <v>364</v>
      </c>
      <c r="D145" t="s">
        <v>365</v>
      </c>
      <c r="E145" t="s">
        <v>571</v>
      </c>
      <c r="F145" t="s">
        <v>576</v>
      </c>
      <c r="G145">
        <v>6</v>
      </c>
      <c r="H145">
        <v>0</v>
      </c>
    </row>
    <row r="146" spans="1:8" x14ac:dyDescent="0.35">
      <c r="A146" t="s">
        <v>341</v>
      </c>
      <c r="B146" t="s">
        <v>577</v>
      </c>
      <c r="C146" t="s">
        <v>364</v>
      </c>
      <c r="D146" t="s">
        <v>365</v>
      </c>
      <c r="E146" t="s">
        <v>578</v>
      </c>
      <c r="F146" t="s">
        <v>565</v>
      </c>
      <c r="G146">
        <v>4744</v>
      </c>
      <c r="H146">
        <v>0</v>
      </c>
    </row>
    <row r="147" spans="1:8" x14ac:dyDescent="0.35">
      <c r="A147" t="s">
        <v>341</v>
      </c>
      <c r="B147" t="s">
        <v>579</v>
      </c>
      <c r="C147" t="s">
        <v>364</v>
      </c>
      <c r="D147" t="s">
        <v>365</v>
      </c>
      <c r="E147" t="s">
        <v>578</v>
      </c>
      <c r="F147" t="s">
        <v>509</v>
      </c>
      <c r="G147">
        <v>4744</v>
      </c>
      <c r="H147">
        <v>0</v>
      </c>
    </row>
    <row r="148" spans="1:8" x14ac:dyDescent="0.35">
      <c r="A148" t="s">
        <v>341</v>
      </c>
      <c r="B148" t="s">
        <v>580</v>
      </c>
      <c r="C148" t="s">
        <v>364</v>
      </c>
      <c r="D148" t="s">
        <v>365</v>
      </c>
      <c r="E148" t="s">
        <v>578</v>
      </c>
      <c r="F148" t="s">
        <v>519</v>
      </c>
      <c r="G148">
        <v>4744</v>
      </c>
      <c r="H148">
        <v>0</v>
      </c>
    </row>
    <row r="149" spans="1:8" x14ac:dyDescent="0.35">
      <c r="A149" t="s">
        <v>341</v>
      </c>
      <c r="B149" t="s">
        <v>581</v>
      </c>
      <c r="C149" t="s">
        <v>364</v>
      </c>
      <c r="D149" t="s">
        <v>365</v>
      </c>
      <c r="E149" t="s">
        <v>582</v>
      </c>
      <c r="F149" t="s">
        <v>509</v>
      </c>
      <c r="G149">
        <v>9431</v>
      </c>
      <c r="H149">
        <v>0</v>
      </c>
    </row>
    <row r="150" spans="1:8" x14ac:dyDescent="0.35">
      <c r="A150" t="s">
        <v>341</v>
      </c>
      <c r="B150" t="s">
        <v>583</v>
      </c>
      <c r="C150" t="s">
        <v>364</v>
      </c>
      <c r="D150" t="s">
        <v>365</v>
      </c>
      <c r="E150" t="s">
        <v>582</v>
      </c>
      <c r="F150" t="s">
        <v>572</v>
      </c>
      <c r="G150">
        <v>9431</v>
      </c>
      <c r="H150">
        <v>0</v>
      </c>
    </row>
    <row r="151" spans="1:8" x14ac:dyDescent="0.35">
      <c r="A151" t="s">
        <v>341</v>
      </c>
      <c r="B151" t="s">
        <v>584</v>
      </c>
      <c r="C151" t="s">
        <v>364</v>
      </c>
      <c r="D151" t="s">
        <v>365</v>
      </c>
      <c r="E151" t="s">
        <v>582</v>
      </c>
      <c r="F151" t="s">
        <v>585</v>
      </c>
      <c r="G151">
        <v>9431</v>
      </c>
      <c r="H151">
        <v>0</v>
      </c>
    </row>
    <row r="152" spans="1:8" x14ac:dyDescent="0.35">
      <c r="A152" t="s">
        <v>341</v>
      </c>
      <c r="B152" t="s">
        <v>345</v>
      </c>
      <c r="C152" t="s">
        <v>324</v>
      </c>
      <c r="D152" t="s">
        <v>346</v>
      </c>
      <c r="E152" t="s">
        <v>37</v>
      </c>
      <c r="F152" t="s">
        <v>40</v>
      </c>
      <c r="G152">
        <v>8</v>
      </c>
      <c r="H152">
        <v>0</v>
      </c>
    </row>
    <row r="153" spans="1:8" x14ac:dyDescent="0.35">
      <c r="A153" t="s">
        <v>341</v>
      </c>
      <c r="B153" t="s">
        <v>595</v>
      </c>
      <c r="C153" t="s">
        <v>324</v>
      </c>
      <c r="D153" t="s">
        <v>346</v>
      </c>
      <c r="E153" t="s">
        <v>331</v>
      </c>
      <c r="F153" t="s">
        <v>332</v>
      </c>
      <c r="G153">
        <v>4730</v>
      </c>
      <c r="H153">
        <v>0</v>
      </c>
    </row>
    <row r="154" spans="1:8" x14ac:dyDescent="0.35">
      <c r="A154" t="s">
        <v>341</v>
      </c>
      <c r="B154" t="s">
        <v>596</v>
      </c>
      <c r="C154" t="s">
        <v>324</v>
      </c>
      <c r="D154" t="s">
        <v>346</v>
      </c>
      <c r="E154" t="s">
        <v>333</v>
      </c>
      <c r="F154" t="s">
        <v>339</v>
      </c>
      <c r="G154">
        <v>4740</v>
      </c>
      <c r="H154">
        <v>0</v>
      </c>
    </row>
    <row r="155" spans="1:8" x14ac:dyDescent="0.35">
      <c r="A155" t="s">
        <v>341</v>
      </c>
      <c r="B155" t="s">
        <v>597</v>
      </c>
      <c r="C155" t="s">
        <v>324</v>
      </c>
      <c r="D155" t="s">
        <v>346</v>
      </c>
      <c r="E155" t="s">
        <v>587</v>
      </c>
      <c r="F155" t="s">
        <v>598</v>
      </c>
      <c r="G155">
        <v>14293</v>
      </c>
      <c r="H155">
        <v>0</v>
      </c>
    </row>
    <row r="156" spans="1:8" x14ac:dyDescent="0.35">
      <c r="A156" t="s">
        <v>341</v>
      </c>
      <c r="B156" t="s">
        <v>599</v>
      </c>
      <c r="C156" t="s">
        <v>324</v>
      </c>
      <c r="D156" t="s">
        <v>346</v>
      </c>
      <c r="E156" t="s">
        <v>508</v>
      </c>
      <c r="F156" t="s">
        <v>509</v>
      </c>
      <c r="G156">
        <v>4742</v>
      </c>
      <c r="H156">
        <v>0</v>
      </c>
    </row>
    <row r="157" spans="1:8" x14ac:dyDescent="0.35">
      <c r="A157" t="s">
        <v>341</v>
      </c>
      <c r="B157" t="s">
        <v>600</v>
      </c>
      <c r="C157" t="s">
        <v>324</v>
      </c>
      <c r="D157" t="s">
        <v>346</v>
      </c>
      <c r="E157" t="s">
        <v>555</v>
      </c>
      <c r="F157" t="s">
        <v>565</v>
      </c>
      <c r="G157">
        <v>37</v>
      </c>
      <c r="H157">
        <v>0</v>
      </c>
    </row>
    <row r="158" spans="1:8" x14ac:dyDescent="0.35">
      <c r="A158" t="s">
        <v>341</v>
      </c>
      <c r="B158" t="s">
        <v>601</v>
      </c>
      <c r="C158" t="s">
        <v>324</v>
      </c>
      <c r="D158" t="s">
        <v>346</v>
      </c>
      <c r="E158" t="s">
        <v>571</v>
      </c>
      <c r="F158" t="s">
        <v>572</v>
      </c>
      <c r="G158">
        <v>6</v>
      </c>
      <c r="H158">
        <v>0</v>
      </c>
    </row>
    <row r="159" spans="1:8" x14ac:dyDescent="0.35">
      <c r="A159" t="s">
        <v>341</v>
      </c>
      <c r="B159" t="s">
        <v>602</v>
      </c>
      <c r="C159" t="s">
        <v>324</v>
      </c>
      <c r="D159" t="s">
        <v>346</v>
      </c>
      <c r="E159" t="s">
        <v>578</v>
      </c>
      <c r="F159" t="s">
        <v>603</v>
      </c>
      <c r="G159">
        <v>4744</v>
      </c>
      <c r="H159">
        <v>0</v>
      </c>
    </row>
    <row r="160" spans="1:8" x14ac:dyDescent="0.35">
      <c r="A160" t="s">
        <v>341</v>
      </c>
      <c r="B160" t="s">
        <v>604</v>
      </c>
      <c r="C160" t="s">
        <v>324</v>
      </c>
      <c r="D160" t="s">
        <v>346</v>
      </c>
      <c r="E160" t="s">
        <v>582</v>
      </c>
      <c r="F160" t="s">
        <v>605</v>
      </c>
      <c r="G160">
        <v>9431</v>
      </c>
      <c r="H160">
        <v>0</v>
      </c>
    </row>
    <row r="161" spans="1:9" x14ac:dyDescent="0.35">
      <c r="A161" t="s">
        <v>341</v>
      </c>
      <c r="B161" t="s">
        <v>606</v>
      </c>
      <c r="C161" t="s">
        <v>607</v>
      </c>
      <c r="D161" t="s">
        <v>625</v>
      </c>
      <c r="E161" t="s">
        <v>37</v>
      </c>
      <c r="F161" t="s">
        <v>608</v>
      </c>
      <c r="G161">
        <v>8</v>
      </c>
      <c r="H161">
        <v>0</v>
      </c>
    </row>
    <row r="162" spans="1:9" x14ac:dyDescent="0.35">
      <c r="A162" t="s">
        <v>341</v>
      </c>
      <c r="B162" t="s">
        <v>609</v>
      </c>
      <c r="C162" t="s">
        <v>607</v>
      </c>
      <c r="D162" t="s">
        <v>625</v>
      </c>
      <c r="E162" t="s">
        <v>37</v>
      </c>
      <c r="F162" t="s">
        <v>610</v>
      </c>
      <c r="G162">
        <v>8</v>
      </c>
      <c r="H162">
        <v>0</v>
      </c>
    </row>
    <row r="163" spans="1:9" x14ac:dyDescent="0.35">
      <c r="A163" t="s">
        <v>341</v>
      </c>
      <c r="B163" t="s">
        <v>611</v>
      </c>
      <c r="C163" t="s">
        <v>607</v>
      </c>
      <c r="D163" t="s">
        <v>625</v>
      </c>
      <c r="E163" t="s">
        <v>37</v>
      </c>
      <c r="F163" t="s">
        <v>612</v>
      </c>
      <c r="G163">
        <v>8</v>
      </c>
      <c r="H163">
        <v>0</v>
      </c>
    </row>
    <row r="164" spans="1:9" x14ac:dyDescent="0.35">
      <c r="A164" t="s">
        <v>341</v>
      </c>
      <c r="B164" t="s">
        <v>613</v>
      </c>
      <c r="C164" t="s">
        <v>607</v>
      </c>
      <c r="D164" t="s">
        <v>625</v>
      </c>
      <c r="E164" t="s">
        <v>37</v>
      </c>
      <c r="F164" t="s">
        <v>614</v>
      </c>
      <c r="G164">
        <v>8</v>
      </c>
      <c r="H164">
        <v>0</v>
      </c>
    </row>
    <row r="165" spans="1:9" x14ac:dyDescent="0.35">
      <c r="A165" t="s">
        <v>341</v>
      </c>
      <c r="B165" t="s">
        <v>615</v>
      </c>
      <c r="C165" t="s">
        <v>607</v>
      </c>
      <c r="D165" t="s">
        <v>626</v>
      </c>
      <c r="E165" t="s">
        <v>37</v>
      </c>
      <c r="F165" t="s">
        <v>616</v>
      </c>
      <c r="G165">
        <v>8</v>
      </c>
      <c r="H165">
        <v>0</v>
      </c>
    </row>
    <row r="166" spans="1:9" x14ac:dyDescent="0.35">
      <c r="A166" t="s">
        <v>341</v>
      </c>
      <c r="B166" t="s">
        <v>617</v>
      </c>
      <c r="C166" t="s">
        <v>607</v>
      </c>
      <c r="D166" t="s">
        <v>627</v>
      </c>
      <c r="E166" t="s">
        <v>37</v>
      </c>
      <c r="F166" t="s">
        <v>616</v>
      </c>
      <c r="G166">
        <v>8</v>
      </c>
      <c r="H166">
        <v>0</v>
      </c>
    </row>
    <row r="167" spans="1:9" x14ac:dyDescent="0.35">
      <c r="A167" t="s">
        <v>341</v>
      </c>
      <c r="B167" t="s">
        <v>618</v>
      </c>
      <c r="C167" t="s">
        <v>607</v>
      </c>
      <c r="D167" t="s">
        <v>628</v>
      </c>
      <c r="E167" t="s">
        <v>37</v>
      </c>
      <c r="F167" t="s">
        <v>619</v>
      </c>
      <c r="G167">
        <v>8</v>
      </c>
      <c r="H167">
        <v>8</v>
      </c>
      <c r="I167" t="s">
        <v>455</v>
      </c>
    </row>
    <row r="168" spans="1:9" x14ac:dyDescent="0.35">
      <c r="A168" t="s">
        <v>341</v>
      </c>
      <c r="B168" t="s">
        <v>620</v>
      </c>
      <c r="C168" t="s">
        <v>607</v>
      </c>
      <c r="D168" t="s">
        <v>629</v>
      </c>
      <c r="E168" t="s">
        <v>37</v>
      </c>
      <c r="F168" t="s">
        <v>621</v>
      </c>
      <c r="G168">
        <v>8</v>
      </c>
      <c r="H168">
        <v>0</v>
      </c>
    </row>
    <row r="169" spans="1:9" x14ac:dyDescent="0.35">
      <c r="A169" t="s">
        <v>341</v>
      </c>
      <c r="B169" t="s">
        <v>622</v>
      </c>
      <c r="C169" t="s">
        <v>607</v>
      </c>
      <c r="D169" t="s">
        <v>627</v>
      </c>
      <c r="E169" t="s">
        <v>37</v>
      </c>
      <c r="F169" t="s">
        <v>621</v>
      </c>
      <c r="G169">
        <v>8</v>
      </c>
      <c r="H169">
        <v>0</v>
      </c>
    </row>
    <row r="170" spans="1:9" x14ac:dyDescent="0.35">
      <c r="A170" t="s">
        <v>341</v>
      </c>
      <c r="B170" t="s">
        <v>623</v>
      </c>
      <c r="C170" t="s">
        <v>607</v>
      </c>
      <c r="D170" t="s">
        <v>630</v>
      </c>
      <c r="E170" t="s">
        <v>37</v>
      </c>
      <c r="F170" t="s">
        <v>624</v>
      </c>
      <c r="G170">
        <v>8</v>
      </c>
      <c r="H170">
        <v>0</v>
      </c>
    </row>
    <row r="171" spans="1:9" x14ac:dyDescent="0.35">
      <c r="A171" t="s">
        <v>341</v>
      </c>
      <c r="B171" t="s">
        <v>631</v>
      </c>
      <c r="C171" t="s">
        <v>607</v>
      </c>
      <c r="D171" t="s">
        <v>627</v>
      </c>
      <c r="E171" t="s">
        <v>37</v>
      </c>
      <c r="F171" t="s">
        <v>624</v>
      </c>
      <c r="G171">
        <v>8</v>
      </c>
      <c r="H171">
        <v>8</v>
      </c>
      <c r="I171" t="s">
        <v>455</v>
      </c>
    </row>
    <row r="172" spans="1:9" x14ac:dyDescent="0.35">
      <c r="A172" t="s">
        <v>341</v>
      </c>
      <c r="B172" t="s">
        <v>632</v>
      </c>
      <c r="C172" t="s">
        <v>607</v>
      </c>
      <c r="D172" t="s">
        <v>625</v>
      </c>
      <c r="E172" t="s">
        <v>37</v>
      </c>
      <c r="F172" t="s">
        <v>633</v>
      </c>
      <c r="G172">
        <v>8</v>
      </c>
      <c r="H172">
        <v>8</v>
      </c>
      <c r="I172" t="s">
        <v>455</v>
      </c>
    </row>
    <row r="173" spans="1:9" x14ac:dyDescent="0.35">
      <c r="A173" t="s">
        <v>341</v>
      </c>
      <c r="B173" t="s">
        <v>634</v>
      </c>
      <c r="C173" t="s">
        <v>607</v>
      </c>
      <c r="D173" t="s">
        <v>625</v>
      </c>
      <c r="E173" t="s">
        <v>37</v>
      </c>
      <c r="F173" t="s">
        <v>635</v>
      </c>
      <c r="G173">
        <v>8</v>
      </c>
      <c r="H173">
        <v>0</v>
      </c>
    </row>
    <row r="174" spans="1:9" x14ac:dyDescent="0.35">
      <c r="A174" t="s">
        <v>341</v>
      </c>
      <c r="B174" t="s">
        <v>636</v>
      </c>
      <c r="C174" t="s">
        <v>607</v>
      </c>
      <c r="D174" t="s">
        <v>637</v>
      </c>
      <c r="E174" t="s">
        <v>37</v>
      </c>
      <c r="F174" t="s">
        <v>638</v>
      </c>
      <c r="G174">
        <v>8</v>
      </c>
      <c r="H174">
        <v>0</v>
      </c>
    </row>
    <row r="175" spans="1:9" x14ac:dyDescent="0.35">
      <c r="A175" t="s">
        <v>341</v>
      </c>
      <c r="B175" t="s">
        <v>639</v>
      </c>
      <c r="C175" t="s">
        <v>607</v>
      </c>
      <c r="D175" t="s">
        <v>625</v>
      </c>
      <c r="E175" t="s">
        <v>37</v>
      </c>
      <c r="F175" t="s">
        <v>640</v>
      </c>
      <c r="G175">
        <v>8</v>
      </c>
      <c r="H175">
        <v>0</v>
      </c>
    </row>
    <row r="176" spans="1:9" x14ac:dyDescent="0.35">
      <c r="A176" t="s">
        <v>341</v>
      </c>
      <c r="B176" t="s">
        <v>641</v>
      </c>
      <c r="C176" t="s">
        <v>607</v>
      </c>
      <c r="D176" t="s">
        <v>625</v>
      </c>
      <c r="E176" t="s">
        <v>37</v>
      </c>
      <c r="F176" t="s">
        <v>642</v>
      </c>
      <c r="G176">
        <v>8</v>
      </c>
      <c r="H176">
        <v>0</v>
      </c>
    </row>
    <row r="177" spans="1:8" x14ac:dyDescent="0.35">
      <c r="A177" t="s">
        <v>341</v>
      </c>
      <c r="B177" t="s">
        <v>643</v>
      </c>
      <c r="C177" t="s">
        <v>607</v>
      </c>
      <c r="D177" t="s">
        <v>629</v>
      </c>
      <c r="E177" t="s">
        <v>37</v>
      </c>
      <c r="F177" t="s">
        <v>644</v>
      </c>
      <c r="G177">
        <v>8</v>
      </c>
      <c r="H177">
        <v>0</v>
      </c>
    </row>
    <row r="178" spans="1:8" x14ac:dyDescent="0.35">
      <c r="A178" t="s">
        <v>341</v>
      </c>
      <c r="B178" t="s">
        <v>645</v>
      </c>
      <c r="C178" t="s">
        <v>607</v>
      </c>
      <c r="D178" t="s">
        <v>646</v>
      </c>
      <c r="E178" t="s">
        <v>37</v>
      </c>
      <c r="F178" t="s">
        <v>644</v>
      </c>
      <c r="G178">
        <v>8</v>
      </c>
      <c r="H178">
        <v>0</v>
      </c>
    </row>
    <row r="179" spans="1:8" x14ac:dyDescent="0.35">
      <c r="A179" t="s">
        <v>341</v>
      </c>
      <c r="B179" t="s">
        <v>647</v>
      </c>
      <c r="C179" t="s">
        <v>607</v>
      </c>
      <c r="D179" t="s">
        <v>648</v>
      </c>
      <c r="E179" t="s">
        <v>37</v>
      </c>
      <c r="F179" t="s">
        <v>649</v>
      </c>
      <c r="G179">
        <v>8</v>
      </c>
      <c r="H179">
        <v>0</v>
      </c>
    </row>
    <row r="180" spans="1:8" x14ac:dyDescent="0.35">
      <c r="A180" t="s">
        <v>341</v>
      </c>
      <c r="B180" t="s">
        <v>650</v>
      </c>
      <c r="C180" t="s">
        <v>607</v>
      </c>
      <c r="D180" t="s">
        <v>651</v>
      </c>
      <c r="E180" t="s">
        <v>37</v>
      </c>
      <c r="F180" t="s">
        <v>652</v>
      </c>
      <c r="G180">
        <v>8</v>
      </c>
      <c r="H180">
        <v>0</v>
      </c>
    </row>
    <row r="181" spans="1:8" x14ac:dyDescent="0.35">
      <c r="A181" t="s">
        <v>341</v>
      </c>
      <c r="B181" t="s">
        <v>653</v>
      </c>
      <c r="C181" t="s">
        <v>607</v>
      </c>
      <c r="D181" t="s">
        <v>625</v>
      </c>
      <c r="E181" t="s">
        <v>37</v>
      </c>
      <c r="F181" t="s">
        <v>654</v>
      </c>
      <c r="G181">
        <v>8</v>
      </c>
      <c r="H181">
        <v>0</v>
      </c>
    </row>
    <row r="182" spans="1:8" x14ac:dyDescent="0.35">
      <c r="A182" t="s">
        <v>341</v>
      </c>
      <c r="B182" t="s">
        <v>655</v>
      </c>
      <c r="C182" t="s">
        <v>607</v>
      </c>
      <c r="D182" t="s">
        <v>625</v>
      </c>
      <c r="E182" t="s">
        <v>37</v>
      </c>
      <c r="F182" t="s">
        <v>656</v>
      </c>
      <c r="G182">
        <v>8</v>
      </c>
      <c r="H182">
        <v>0</v>
      </c>
    </row>
    <row r="183" spans="1:8" x14ac:dyDescent="0.35">
      <c r="A183" t="s">
        <v>341</v>
      </c>
      <c r="B183" t="s">
        <v>657</v>
      </c>
      <c r="C183" t="s">
        <v>607</v>
      </c>
      <c r="D183" t="s">
        <v>658</v>
      </c>
      <c r="E183" t="s">
        <v>37</v>
      </c>
      <c r="F183" t="s">
        <v>659</v>
      </c>
      <c r="G183">
        <v>8</v>
      </c>
      <c r="H183">
        <v>0</v>
      </c>
    </row>
    <row r="184" spans="1:8" x14ac:dyDescent="0.35">
      <c r="A184" t="s">
        <v>341</v>
      </c>
      <c r="B184" t="s">
        <v>660</v>
      </c>
      <c r="C184" t="s">
        <v>607</v>
      </c>
      <c r="D184" t="s">
        <v>661</v>
      </c>
      <c r="E184" t="s">
        <v>37</v>
      </c>
      <c r="F184" t="s">
        <v>662</v>
      </c>
      <c r="G184">
        <v>8</v>
      </c>
      <c r="H184">
        <v>0</v>
      </c>
    </row>
    <row r="185" spans="1:8" x14ac:dyDescent="0.35">
      <c r="A185" t="s">
        <v>341</v>
      </c>
      <c r="B185" t="s">
        <v>663</v>
      </c>
      <c r="C185" t="s">
        <v>607</v>
      </c>
      <c r="D185" t="s">
        <v>664</v>
      </c>
      <c r="E185" t="s">
        <v>37</v>
      </c>
      <c r="F185" t="s">
        <v>665</v>
      </c>
      <c r="G185">
        <v>8</v>
      </c>
      <c r="H185">
        <v>0</v>
      </c>
    </row>
    <row r="186" spans="1:8" x14ac:dyDescent="0.35">
      <c r="A186" t="s">
        <v>341</v>
      </c>
      <c r="B186" t="s">
        <v>666</v>
      </c>
      <c r="C186" t="s">
        <v>607</v>
      </c>
      <c r="D186" t="s">
        <v>625</v>
      </c>
      <c r="E186" t="s">
        <v>37</v>
      </c>
      <c r="F186" t="s">
        <v>667</v>
      </c>
      <c r="G186">
        <v>8</v>
      </c>
      <c r="H186">
        <v>0</v>
      </c>
    </row>
    <row r="187" spans="1:8" x14ac:dyDescent="0.35">
      <c r="A187" t="s">
        <v>341</v>
      </c>
      <c r="B187" t="s">
        <v>668</v>
      </c>
      <c r="C187" t="s">
        <v>607</v>
      </c>
      <c r="D187" t="s">
        <v>669</v>
      </c>
      <c r="E187" t="s">
        <v>37</v>
      </c>
      <c r="F187" t="s">
        <v>670</v>
      </c>
      <c r="G187">
        <v>8</v>
      </c>
      <c r="H187">
        <v>0</v>
      </c>
    </row>
    <row r="188" spans="1:8" x14ac:dyDescent="0.35">
      <c r="A188" t="s">
        <v>341</v>
      </c>
      <c r="B188" t="s">
        <v>671</v>
      </c>
      <c r="C188" t="s">
        <v>607</v>
      </c>
      <c r="D188" t="s">
        <v>672</v>
      </c>
      <c r="E188" t="s">
        <v>37</v>
      </c>
      <c r="F188" t="s">
        <v>673</v>
      </c>
      <c r="G188">
        <v>8</v>
      </c>
      <c r="H188">
        <v>0</v>
      </c>
    </row>
    <row r="189" spans="1:8" x14ac:dyDescent="0.35">
      <c r="A189" t="s">
        <v>341</v>
      </c>
      <c r="B189" t="s">
        <v>674</v>
      </c>
      <c r="C189" t="s">
        <v>607</v>
      </c>
      <c r="D189" t="s">
        <v>672</v>
      </c>
      <c r="E189" t="s">
        <v>37</v>
      </c>
      <c r="F189" t="s">
        <v>675</v>
      </c>
      <c r="G189">
        <v>8</v>
      </c>
      <c r="H189">
        <v>0</v>
      </c>
    </row>
    <row r="190" spans="1:8" x14ac:dyDescent="0.35">
      <c r="A190" t="s">
        <v>341</v>
      </c>
      <c r="B190" t="s">
        <v>676</v>
      </c>
      <c r="C190" t="s">
        <v>607</v>
      </c>
      <c r="D190" t="s">
        <v>677</v>
      </c>
      <c r="E190" t="s">
        <v>37</v>
      </c>
      <c r="F190" t="s">
        <v>678</v>
      </c>
      <c r="G190">
        <v>8</v>
      </c>
      <c r="H190">
        <v>0</v>
      </c>
    </row>
    <row r="191" spans="1:8" x14ac:dyDescent="0.35">
      <c r="A191" t="s">
        <v>341</v>
      </c>
      <c r="B191" t="s">
        <v>679</v>
      </c>
      <c r="C191" t="s">
        <v>607</v>
      </c>
      <c r="D191" t="s">
        <v>680</v>
      </c>
      <c r="E191" t="s">
        <v>37</v>
      </c>
      <c r="F191" t="s">
        <v>681</v>
      </c>
      <c r="G191">
        <v>8</v>
      </c>
      <c r="H191">
        <v>0</v>
      </c>
    </row>
    <row r="192" spans="1:8" x14ac:dyDescent="0.35">
      <c r="A192" t="s">
        <v>341</v>
      </c>
      <c r="B192" t="s">
        <v>682</v>
      </c>
      <c r="C192" t="s">
        <v>607</v>
      </c>
      <c r="D192" t="s">
        <v>683</v>
      </c>
      <c r="E192" t="s">
        <v>37</v>
      </c>
      <c r="F192" t="s">
        <v>681</v>
      </c>
      <c r="G192">
        <v>8</v>
      </c>
      <c r="H192">
        <v>0</v>
      </c>
    </row>
    <row r="193" spans="1:9" x14ac:dyDescent="0.35">
      <c r="A193" t="s">
        <v>341</v>
      </c>
      <c r="B193" t="s">
        <v>684</v>
      </c>
      <c r="C193" t="s">
        <v>607</v>
      </c>
      <c r="D193" t="s">
        <v>685</v>
      </c>
      <c r="E193" t="s">
        <v>37</v>
      </c>
      <c r="F193" t="s">
        <v>686</v>
      </c>
      <c r="G193">
        <v>8</v>
      </c>
      <c r="H193">
        <v>8</v>
      </c>
      <c r="I193" t="s">
        <v>455</v>
      </c>
    </row>
    <row r="194" spans="1:9" x14ac:dyDescent="0.35">
      <c r="A194" t="s">
        <v>341</v>
      </c>
      <c r="B194" t="s">
        <v>687</v>
      </c>
      <c r="C194" t="s">
        <v>607</v>
      </c>
      <c r="D194" t="s">
        <v>688</v>
      </c>
      <c r="E194" t="s">
        <v>37</v>
      </c>
      <c r="F194" t="s">
        <v>689</v>
      </c>
      <c r="G194">
        <v>8</v>
      </c>
      <c r="H194">
        <v>8</v>
      </c>
      <c r="I194" t="s">
        <v>455</v>
      </c>
    </row>
    <row r="195" spans="1:9" x14ac:dyDescent="0.35">
      <c r="A195" t="s">
        <v>341</v>
      </c>
      <c r="B195" t="s">
        <v>690</v>
      </c>
      <c r="C195" t="s">
        <v>607</v>
      </c>
      <c r="D195" t="s">
        <v>691</v>
      </c>
      <c r="E195" t="s">
        <v>37</v>
      </c>
      <c r="F195" t="s">
        <v>692</v>
      </c>
      <c r="G195">
        <v>8</v>
      </c>
      <c r="H195">
        <v>0</v>
      </c>
    </row>
    <row r="196" spans="1:9" x14ac:dyDescent="0.35">
      <c r="A196" t="s">
        <v>341</v>
      </c>
      <c r="B196" t="s">
        <v>693</v>
      </c>
      <c r="C196" t="s">
        <v>607</v>
      </c>
      <c r="D196" t="s">
        <v>694</v>
      </c>
      <c r="E196" t="s">
        <v>37</v>
      </c>
      <c r="F196" t="s">
        <v>692</v>
      </c>
      <c r="G196">
        <v>8</v>
      </c>
      <c r="H196">
        <v>8</v>
      </c>
      <c r="I196" t="s">
        <v>455</v>
      </c>
    </row>
    <row r="197" spans="1:9" x14ac:dyDescent="0.35">
      <c r="A197" t="s">
        <v>341</v>
      </c>
      <c r="B197" t="s">
        <v>695</v>
      </c>
      <c r="C197" t="s">
        <v>607</v>
      </c>
      <c r="D197" t="s">
        <v>696</v>
      </c>
      <c r="E197" t="s">
        <v>37</v>
      </c>
      <c r="F197" t="s">
        <v>697</v>
      </c>
      <c r="G197">
        <v>8</v>
      </c>
      <c r="H197">
        <v>0</v>
      </c>
    </row>
    <row r="198" spans="1:9" x14ac:dyDescent="0.35">
      <c r="A198" t="s">
        <v>341</v>
      </c>
      <c r="B198" t="s">
        <v>698</v>
      </c>
      <c r="C198" t="s">
        <v>607</v>
      </c>
      <c r="D198" t="s">
        <v>699</v>
      </c>
      <c r="E198" t="s">
        <v>37</v>
      </c>
      <c r="F198" t="s">
        <v>610</v>
      </c>
      <c r="G198">
        <v>8</v>
      </c>
      <c r="H198">
        <v>0</v>
      </c>
    </row>
    <row r="199" spans="1:9" x14ac:dyDescent="0.35">
      <c r="A199" t="s">
        <v>341</v>
      </c>
      <c r="B199" t="s">
        <v>700</v>
      </c>
      <c r="C199" t="s">
        <v>607</v>
      </c>
      <c r="D199" t="s">
        <v>701</v>
      </c>
      <c r="E199" t="s">
        <v>37</v>
      </c>
      <c r="F199" t="s">
        <v>614</v>
      </c>
      <c r="G199">
        <v>8</v>
      </c>
      <c r="H199">
        <v>0</v>
      </c>
    </row>
    <row r="200" spans="1:9" x14ac:dyDescent="0.35">
      <c r="A200" t="s">
        <v>341</v>
      </c>
      <c r="B200" t="s">
        <v>702</v>
      </c>
      <c r="C200" t="s">
        <v>607</v>
      </c>
      <c r="D200" t="s">
        <v>703</v>
      </c>
      <c r="E200" t="s">
        <v>37</v>
      </c>
      <c r="F200" t="s">
        <v>616</v>
      </c>
      <c r="G200">
        <v>8</v>
      </c>
      <c r="H200">
        <v>0</v>
      </c>
    </row>
    <row r="201" spans="1:9" x14ac:dyDescent="0.35">
      <c r="A201" t="s">
        <v>341</v>
      </c>
      <c r="B201" t="s">
        <v>704</v>
      </c>
      <c r="C201" t="s">
        <v>607</v>
      </c>
      <c r="D201" t="s">
        <v>705</v>
      </c>
      <c r="E201" t="s">
        <v>37</v>
      </c>
      <c r="F201" t="s">
        <v>619</v>
      </c>
      <c r="G201">
        <v>8</v>
      </c>
      <c r="H201">
        <v>0</v>
      </c>
    </row>
    <row r="202" spans="1:9" x14ac:dyDescent="0.35">
      <c r="A202" t="s">
        <v>341</v>
      </c>
      <c r="B202" t="s">
        <v>706</v>
      </c>
      <c r="C202" t="s">
        <v>607</v>
      </c>
      <c r="D202" t="s">
        <v>707</v>
      </c>
      <c r="E202" t="s">
        <v>37</v>
      </c>
      <c r="F202" t="s">
        <v>621</v>
      </c>
      <c r="G202">
        <v>8</v>
      </c>
      <c r="H202">
        <v>0</v>
      </c>
    </row>
    <row r="203" spans="1:9" x14ac:dyDescent="0.35">
      <c r="A203" t="s">
        <v>341</v>
      </c>
      <c r="B203" t="s">
        <v>708</v>
      </c>
      <c r="C203" t="s">
        <v>607</v>
      </c>
      <c r="D203" t="s">
        <v>709</v>
      </c>
      <c r="E203" t="s">
        <v>37</v>
      </c>
      <c r="F203" t="s">
        <v>710</v>
      </c>
      <c r="G203">
        <v>8</v>
      </c>
      <c r="H203">
        <v>0</v>
      </c>
    </row>
    <row r="204" spans="1:9" x14ac:dyDescent="0.35">
      <c r="A204" t="s">
        <v>341</v>
      </c>
      <c r="B204" t="s">
        <v>711</v>
      </c>
      <c r="C204" t="s">
        <v>607</v>
      </c>
      <c r="D204" t="s">
        <v>712</v>
      </c>
      <c r="E204" t="s">
        <v>37</v>
      </c>
      <c r="F204" t="s">
        <v>624</v>
      </c>
      <c r="G204">
        <v>8</v>
      </c>
      <c r="H204">
        <v>0</v>
      </c>
    </row>
    <row r="205" spans="1:9" x14ac:dyDescent="0.35">
      <c r="A205" t="s">
        <v>341</v>
      </c>
      <c r="B205" t="s">
        <v>713</v>
      </c>
      <c r="C205" t="s">
        <v>607</v>
      </c>
      <c r="D205" t="s">
        <v>714</v>
      </c>
      <c r="E205" t="s">
        <v>37</v>
      </c>
      <c r="F205" t="s">
        <v>624</v>
      </c>
      <c r="G205">
        <v>8</v>
      </c>
      <c r="H205">
        <v>0</v>
      </c>
    </row>
    <row r="206" spans="1:9" x14ac:dyDescent="0.35">
      <c r="A206" t="s">
        <v>341</v>
      </c>
      <c r="B206" t="s">
        <v>715</v>
      </c>
      <c r="C206" t="s">
        <v>607</v>
      </c>
      <c r="D206" t="s">
        <v>716</v>
      </c>
      <c r="E206" t="s">
        <v>37</v>
      </c>
      <c r="F206" t="s">
        <v>633</v>
      </c>
      <c r="G206">
        <v>8</v>
      </c>
      <c r="H206">
        <v>0</v>
      </c>
    </row>
    <row r="207" spans="1:9" x14ac:dyDescent="0.35">
      <c r="A207" t="s">
        <v>341</v>
      </c>
      <c r="B207" t="s">
        <v>717</v>
      </c>
      <c r="C207" t="s">
        <v>607</v>
      </c>
      <c r="D207" t="s">
        <v>718</v>
      </c>
      <c r="E207" t="s">
        <v>37</v>
      </c>
      <c r="F207" t="s">
        <v>633</v>
      </c>
      <c r="G207">
        <v>8</v>
      </c>
      <c r="H207">
        <v>0</v>
      </c>
    </row>
    <row r="208" spans="1:9" x14ac:dyDescent="0.35">
      <c r="A208" t="s">
        <v>341</v>
      </c>
      <c r="B208" t="s">
        <v>719</v>
      </c>
      <c r="C208" t="s">
        <v>607</v>
      </c>
      <c r="D208" t="s">
        <v>720</v>
      </c>
      <c r="E208" t="s">
        <v>37</v>
      </c>
      <c r="F208" t="s">
        <v>635</v>
      </c>
      <c r="G208">
        <v>8</v>
      </c>
      <c r="H208">
        <v>4</v>
      </c>
      <c r="I208" t="s">
        <v>721</v>
      </c>
    </row>
    <row r="209" spans="1:9" x14ac:dyDescent="0.35">
      <c r="A209" t="s">
        <v>341</v>
      </c>
      <c r="B209" t="s">
        <v>722</v>
      </c>
      <c r="C209" t="s">
        <v>607</v>
      </c>
      <c r="D209" t="s">
        <v>723</v>
      </c>
      <c r="E209" t="s">
        <v>37</v>
      </c>
      <c r="F209" t="s">
        <v>640</v>
      </c>
      <c r="G209">
        <v>8</v>
      </c>
      <c r="H209">
        <v>0</v>
      </c>
    </row>
    <row r="210" spans="1:9" x14ac:dyDescent="0.35">
      <c r="A210" t="s">
        <v>341</v>
      </c>
      <c r="B210" t="s">
        <v>724</v>
      </c>
      <c r="C210" t="s">
        <v>607</v>
      </c>
      <c r="D210" t="s">
        <v>725</v>
      </c>
      <c r="E210" t="s">
        <v>37</v>
      </c>
      <c r="F210" t="s">
        <v>726</v>
      </c>
      <c r="G210">
        <v>8</v>
      </c>
      <c r="H210">
        <v>0</v>
      </c>
    </row>
    <row r="211" spans="1:9" x14ac:dyDescent="0.35">
      <c r="A211" t="s">
        <v>341</v>
      </c>
      <c r="B211" t="s">
        <v>727</v>
      </c>
      <c r="C211" t="s">
        <v>607</v>
      </c>
      <c r="D211" t="s">
        <v>728</v>
      </c>
      <c r="E211" t="s">
        <v>37</v>
      </c>
      <c r="F211" t="s">
        <v>726</v>
      </c>
      <c r="G211">
        <v>8</v>
      </c>
      <c r="H211">
        <v>0</v>
      </c>
    </row>
    <row r="212" spans="1:9" x14ac:dyDescent="0.35">
      <c r="A212" t="s">
        <v>341</v>
      </c>
      <c r="B212" t="s">
        <v>729</v>
      </c>
      <c r="C212" t="s">
        <v>607</v>
      </c>
      <c r="D212" t="s">
        <v>725</v>
      </c>
      <c r="E212" t="s">
        <v>37</v>
      </c>
      <c r="F212" t="s">
        <v>644</v>
      </c>
      <c r="G212">
        <v>8</v>
      </c>
      <c r="H212">
        <v>1</v>
      </c>
      <c r="I212" t="s">
        <v>730</v>
      </c>
    </row>
    <row r="213" spans="1:9" x14ac:dyDescent="0.35">
      <c r="A213" t="s">
        <v>341</v>
      </c>
      <c r="B213" t="s">
        <v>731</v>
      </c>
      <c r="C213" t="s">
        <v>607</v>
      </c>
      <c r="D213" t="s">
        <v>725</v>
      </c>
      <c r="E213" t="s">
        <v>37</v>
      </c>
      <c r="F213" t="s">
        <v>649</v>
      </c>
      <c r="G213">
        <v>8</v>
      </c>
      <c r="H213">
        <v>0</v>
      </c>
    </row>
    <row r="214" spans="1:9" x14ac:dyDescent="0.35">
      <c r="A214" t="s">
        <v>341</v>
      </c>
      <c r="B214" t="s">
        <v>732</v>
      </c>
      <c r="C214" t="s">
        <v>607</v>
      </c>
      <c r="D214" t="s">
        <v>725</v>
      </c>
      <c r="E214" t="s">
        <v>37</v>
      </c>
      <c r="F214" t="s">
        <v>652</v>
      </c>
      <c r="G214">
        <v>8</v>
      </c>
      <c r="H214">
        <v>0</v>
      </c>
    </row>
    <row r="215" spans="1:9" x14ac:dyDescent="0.35">
      <c r="A215" t="s">
        <v>341</v>
      </c>
      <c r="B215" t="s">
        <v>733</v>
      </c>
      <c r="C215" t="s">
        <v>607</v>
      </c>
      <c r="D215" t="s">
        <v>734</v>
      </c>
      <c r="E215" t="s">
        <v>37</v>
      </c>
      <c r="F215" t="s">
        <v>654</v>
      </c>
      <c r="G215">
        <v>8</v>
      </c>
      <c r="H215">
        <v>0</v>
      </c>
    </row>
    <row r="216" spans="1:9" x14ac:dyDescent="0.35">
      <c r="A216" t="s">
        <v>341</v>
      </c>
      <c r="B216" t="s">
        <v>735</v>
      </c>
      <c r="C216" t="s">
        <v>607</v>
      </c>
      <c r="D216" t="s">
        <v>720</v>
      </c>
      <c r="E216" t="s">
        <v>37</v>
      </c>
      <c r="F216" t="s">
        <v>736</v>
      </c>
      <c r="G216">
        <v>8</v>
      </c>
      <c r="H216">
        <v>0</v>
      </c>
    </row>
    <row r="217" spans="1:9" x14ac:dyDescent="0.35">
      <c r="A217" t="s">
        <v>341</v>
      </c>
      <c r="B217" t="s">
        <v>737</v>
      </c>
      <c r="C217" t="s">
        <v>607</v>
      </c>
      <c r="D217" t="s">
        <v>720</v>
      </c>
      <c r="E217" t="s">
        <v>37</v>
      </c>
      <c r="F217" t="s">
        <v>656</v>
      </c>
      <c r="G217">
        <v>8</v>
      </c>
      <c r="H217">
        <v>0</v>
      </c>
    </row>
    <row r="218" spans="1:9" x14ac:dyDescent="0.35">
      <c r="A218" t="s">
        <v>341</v>
      </c>
      <c r="B218" t="s">
        <v>738</v>
      </c>
      <c r="C218" t="s">
        <v>607</v>
      </c>
      <c r="D218" t="s">
        <v>720</v>
      </c>
      <c r="E218" t="s">
        <v>37</v>
      </c>
      <c r="F218" t="s">
        <v>667</v>
      </c>
      <c r="G218">
        <v>8</v>
      </c>
      <c r="H218">
        <v>0</v>
      </c>
    </row>
    <row r="219" spans="1:9" x14ac:dyDescent="0.35">
      <c r="A219" t="s">
        <v>341</v>
      </c>
      <c r="B219" t="s">
        <v>739</v>
      </c>
      <c r="C219" t="s">
        <v>607</v>
      </c>
      <c r="D219" t="s">
        <v>740</v>
      </c>
      <c r="E219" t="s">
        <v>37</v>
      </c>
      <c r="F219" t="s">
        <v>673</v>
      </c>
      <c r="G219">
        <v>8</v>
      </c>
      <c r="H219">
        <v>0</v>
      </c>
    </row>
    <row r="220" spans="1:9" x14ac:dyDescent="0.35">
      <c r="A220" t="s">
        <v>341</v>
      </c>
      <c r="B220" t="s">
        <v>741</v>
      </c>
      <c r="C220" t="s">
        <v>607</v>
      </c>
      <c r="D220" t="s">
        <v>742</v>
      </c>
      <c r="E220" t="s">
        <v>37</v>
      </c>
      <c r="F220" t="s">
        <v>673</v>
      </c>
      <c r="G220">
        <v>8</v>
      </c>
      <c r="H220">
        <v>0</v>
      </c>
    </row>
    <row r="221" spans="1:9" x14ac:dyDescent="0.35">
      <c r="A221" t="s">
        <v>341</v>
      </c>
      <c r="B221" t="s">
        <v>743</v>
      </c>
      <c r="C221" t="s">
        <v>607</v>
      </c>
      <c r="D221" t="s">
        <v>720</v>
      </c>
      <c r="E221" t="s">
        <v>37</v>
      </c>
      <c r="F221" t="s">
        <v>675</v>
      </c>
      <c r="G221">
        <v>8</v>
      </c>
      <c r="H221">
        <v>0</v>
      </c>
    </row>
    <row r="222" spans="1:9" x14ac:dyDescent="0.35">
      <c r="A222" t="s">
        <v>341</v>
      </c>
      <c r="B222" t="s">
        <v>744</v>
      </c>
      <c r="C222" t="s">
        <v>607</v>
      </c>
      <c r="D222" t="s">
        <v>745</v>
      </c>
      <c r="E222" t="s">
        <v>37</v>
      </c>
      <c r="F222" t="s">
        <v>675</v>
      </c>
      <c r="G222">
        <v>8</v>
      </c>
      <c r="H222">
        <v>0</v>
      </c>
    </row>
    <row r="223" spans="1:9" x14ac:dyDescent="0.35">
      <c r="A223" t="s">
        <v>341</v>
      </c>
      <c r="B223" t="s">
        <v>746</v>
      </c>
      <c r="C223" t="s">
        <v>607</v>
      </c>
      <c r="D223" t="s">
        <v>720</v>
      </c>
      <c r="E223" t="s">
        <v>37</v>
      </c>
      <c r="F223" t="s">
        <v>747</v>
      </c>
      <c r="G223">
        <v>8</v>
      </c>
      <c r="H223">
        <v>0</v>
      </c>
    </row>
    <row r="224" spans="1:9" x14ac:dyDescent="0.35">
      <c r="A224" t="s">
        <v>341</v>
      </c>
      <c r="B224" t="s">
        <v>748</v>
      </c>
      <c r="C224" t="s">
        <v>607</v>
      </c>
      <c r="D224" t="s">
        <v>720</v>
      </c>
      <c r="E224" t="s">
        <v>37</v>
      </c>
      <c r="F224" t="s">
        <v>749</v>
      </c>
      <c r="G224">
        <v>8</v>
      </c>
      <c r="H224">
        <v>0</v>
      </c>
    </row>
    <row r="225" spans="1:9" x14ac:dyDescent="0.35">
      <c r="A225" t="s">
        <v>341</v>
      </c>
      <c r="B225" t="s">
        <v>750</v>
      </c>
      <c r="C225" t="s">
        <v>607</v>
      </c>
      <c r="D225" t="s">
        <v>705</v>
      </c>
      <c r="E225" t="s">
        <v>37</v>
      </c>
      <c r="F225" t="s">
        <v>751</v>
      </c>
      <c r="G225">
        <v>8</v>
      </c>
      <c r="H225">
        <v>0</v>
      </c>
    </row>
    <row r="226" spans="1:9" x14ac:dyDescent="0.35">
      <c r="A226" t="s">
        <v>341</v>
      </c>
      <c r="B226" t="s">
        <v>752</v>
      </c>
      <c r="C226" t="s">
        <v>607</v>
      </c>
      <c r="D226" t="s">
        <v>720</v>
      </c>
      <c r="E226" t="s">
        <v>37</v>
      </c>
      <c r="F226" t="s">
        <v>753</v>
      </c>
      <c r="G226">
        <v>8</v>
      </c>
      <c r="H226">
        <v>0</v>
      </c>
    </row>
    <row r="227" spans="1:9" x14ac:dyDescent="0.35">
      <c r="A227" t="s">
        <v>341</v>
      </c>
      <c r="B227" t="s">
        <v>754</v>
      </c>
      <c r="C227" t="s">
        <v>607</v>
      </c>
      <c r="D227" t="s">
        <v>705</v>
      </c>
      <c r="E227" t="s">
        <v>37</v>
      </c>
      <c r="F227" t="s">
        <v>755</v>
      </c>
      <c r="G227">
        <v>8</v>
      </c>
      <c r="H227">
        <v>0</v>
      </c>
    </row>
    <row r="228" spans="1:9" x14ac:dyDescent="0.35">
      <c r="A228" t="s">
        <v>341</v>
      </c>
      <c r="B228" t="s">
        <v>756</v>
      </c>
      <c r="C228" t="s">
        <v>607</v>
      </c>
      <c r="D228" t="s">
        <v>720</v>
      </c>
      <c r="E228" t="s">
        <v>37</v>
      </c>
      <c r="F228" t="s">
        <v>757</v>
      </c>
      <c r="G228">
        <v>8</v>
      </c>
      <c r="H228">
        <v>0</v>
      </c>
    </row>
    <row r="229" spans="1:9" x14ac:dyDescent="0.35">
      <c r="A229" t="s">
        <v>341</v>
      </c>
      <c r="B229" t="s">
        <v>758</v>
      </c>
      <c r="C229" t="s">
        <v>607</v>
      </c>
      <c r="D229" t="s">
        <v>705</v>
      </c>
      <c r="E229" t="s">
        <v>37</v>
      </c>
      <c r="F229" t="s">
        <v>697</v>
      </c>
      <c r="G229">
        <v>8</v>
      </c>
      <c r="H229">
        <v>0</v>
      </c>
    </row>
    <row r="230" spans="1:9" x14ac:dyDescent="0.35">
      <c r="A230" t="s">
        <v>341</v>
      </c>
      <c r="B230" t="s">
        <v>759</v>
      </c>
      <c r="C230" t="s">
        <v>607</v>
      </c>
      <c r="D230" t="s">
        <v>720</v>
      </c>
      <c r="E230" t="s">
        <v>37</v>
      </c>
      <c r="F230" t="s">
        <v>760</v>
      </c>
      <c r="G230">
        <v>8</v>
      </c>
      <c r="H230">
        <v>0</v>
      </c>
    </row>
    <row r="231" spans="1:9" x14ac:dyDescent="0.35">
      <c r="A231" t="s">
        <v>341</v>
      </c>
      <c r="B231" t="s">
        <v>761</v>
      </c>
      <c r="C231" t="s">
        <v>607</v>
      </c>
      <c r="D231" t="s">
        <v>762</v>
      </c>
      <c r="E231" t="s">
        <v>37</v>
      </c>
      <c r="F231" t="s">
        <v>608</v>
      </c>
      <c r="G231">
        <v>8</v>
      </c>
      <c r="H231">
        <v>0</v>
      </c>
    </row>
    <row r="232" spans="1:9" x14ac:dyDescent="0.35">
      <c r="A232" t="s">
        <v>341</v>
      </c>
      <c r="B232" t="s">
        <v>763</v>
      </c>
      <c r="C232" t="s">
        <v>607</v>
      </c>
      <c r="D232" t="s">
        <v>764</v>
      </c>
      <c r="E232" t="s">
        <v>37</v>
      </c>
      <c r="F232" t="s">
        <v>765</v>
      </c>
      <c r="G232">
        <v>8</v>
      </c>
      <c r="H232">
        <v>0</v>
      </c>
    </row>
    <row r="233" spans="1:9" x14ac:dyDescent="0.35">
      <c r="A233" t="s">
        <v>341</v>
      </c>
      <c r="B233" t="s">
        <v>766</v>
      </c>
      <c r="C233" t="s">
        <v>607</v>
      </c>
      <c r="D233" t="s">
        <v>764</v>
      </c>
      <c r="E233" t="s">
        <v>37</v>
      </c>
      <c r="F233" t="s">
        <v>610</v>
      </c>
      <c r="G233">
        <v>8</v>
      </c>
      <c r="H233">
        <v>0</v>
      </c>
    </row>
    <row r="234" spans="1:9" x14ac:dyDescent="0.35">
      <c r="A234" t="s">
        <v>341</v>
      </c>
      <c r="B234" t="s">
        <v>767</v>
      </c>
      <c r="C234" t="s">
        <v>607</v>
      </c>
      <c r="D234" t="s">
        <v>764</v>
      </c>
      <c r="E234" t="s">
        <v>37</v>
      </c>
      <c r="F234" t="s">
        <v>612</v>
      </c>
      <c r="G234">
        <v>8</v>
      </c>
      <c r="H234">
        <v>0</v>
      </c>
    </row>
    <row r="235" spans="1:9" x14ac:dyDescent="0.35">
      <c r="A235" t="s">
        <v>341</v>
      </c>
      <c r="B235" t="s">
        <v>768</v>
      </c>
      <c r="C235" t="s">
        <v>607</v>
      </c>
      <c r="D235" t="s">
        <v>769</v>
      </c>
      <c r="E235" t="s">
        <v>37</v>
      </c>
      <c r="F235" t="s">
        <v>770</v>
      </c>
      <c r="G235">
        <v>8</v>
      </c>
      <c r="H235">
        <v>0</v>
      </c>
    </row>
    <row r="236" spans="1:9" x14ac:dyDescent="0.35">
      <c r="A236" t="s">
        <v>341</v>
      </c>
      <c r="B236" t="s">
        <v>771</v>
      </c>
      <c r="C236" t="s">
        <v>607</v>
      </c>
      <c r="D236" t="s">
        <v>769</v>
      </c>
      <c r="E236" t="s">
        <v>37</v>
      </c>
      <c r="F236" t="s">
        <v>772</v>
      </c>
      <c r="G236">
        <v>8</v>
      </c>
      <c r="H236">
        <v>0</v>
      </c>
    </row>
    <row r="237" spans="1:9" x14ac:dyDescent="0.35">
      <c r="A237" t="s">
        <v>341</v>
      </c>
      <c r="B237" t="s">
        <v>773</v>
      </c>
      <c r="C237" t="s">
        <v>607</v>
      </c>
      <c r="D237" t="s">
        <v>774</v>
      </c>
      <c r="E237" t="s">
        <v>37</v>
      </c>
      <c r="F237" t="s">
        <v>614</v>
      </c>
      <c r="G237">
        <v>8</v>
      </c>
      <c r="H237">
        <v>0</v>
      </c>
    </row>
    <row r="238" spans="1:9" x14ac:dyDescent="0.35">
      <c r="A238" t="s">
        <v>341</v>
      </c>
      <c r="B238" t="s">
        <v>775</v>
      </c>
      <c r="C238" t="s">
        <v>607</v>
      </c>
      <c r="D238" t="s">
        <v>769</v>
      </c>
      <c r="E238" t="s">
        <v>37</v>
      </c>
      <c r="F238" t="s">
        <v>616</v>
      </c>
      <c r="G238">
        <v>8</v>
      </c>
      <c r="H238">
        <v>8</v>
      </c>
      <c r="I238" t="s">
        <v>455</v>
      </c>
    </row>
    <row r="239" spans="1:9" x14ac:dyDescent="0.35">
      <c r="A239" t="s">
        <v>341</v>
      </c>
      <c r="B239" t="s">
        <v>776</v>
      </c>
      <c r="C239" t="s">
        <v>607</v>
      </c>
      <c r="D239" t="s">
        <v>769</v>
      </c>
      <c r="E239" t="s">
        <v>37</v>
      </c>
      <c r="F239" t="s">
        <v>619</v>
      </c>
      <c r="G239">
        <v>8</v>
      </c>
      <c r="H239">
        <v>8</v>
      </c>
      <c r="I239" t="s">
        <v>455</v>
      </c>
    </row>
    <row r="240" spans="1:9" x14ac:dyDescent="0.35">
      <c r="A240" t="s">
        <v>341</v>
      </c>
      <c r="B240" t="s">
        <v>777</v>
      </c>
      <c r="C240" t="s">
        <v>607</v>
      </c>
      <c r="D240" t="s">
        <v>769</v>
      </c>
      <c r="E240" t="s">
        <v>37</v>
      </c>
      <c r="F240" t="s">
        <v>621</v>
      </c>
      <c r="G240">
        <v>8</v>
      </c>
      <c r="H240">
        <v>0</v>
      </c>
    </row>
    <row r="241" spans="1:9" x14ac:dyDescent="0.35">
      <c r="A241" t="s">
        <v>341</v>
      </c>
      <c r="B241" t="s">
        <v>778</v>
      </c>
      <c r="C241" t="s">
        <v>607</v>
      </c>
      <c r="D241" t="s">
        <v>769</v>
      </c>
      <c r="E241" t="s">
        <v>37</v>
      </c>
      <c r="F241" t="s">
        <v>710</v>
      </c>
      <c r="G241">
        <v>8</v>
      </c>
      <c r="H241">
        <v>0</v>
      </c>
    </row>
    <row r="242" spans="1:9" x14ac:dyDescent="0.35">
      <c r="A242" t="s">
        <v>341</v>
      </c>
      <c r="B242" t="s">
        <v>779</v>
      </c>
      <c r="C242" t="s">
        <v>607</v>
      </c>
      <c r="D242" t="s">
        <v>769</v>
      </c>
      <c r="E242" t="s">
        <v>37</v>
      </c>
      <c r="F242" t="s">
        <v>624</v>
      </c>
      <c r="G242">
        <v>8</v>
      </c>
      <c r="H242">
        <v>8</v>
      </c>
      <c r="I242" t="s">
        <v>455</v>
      </c>
    </row>
    <row r="243" spans="1:9" x14ac:dyDescent="0.35">
      <c r="A243" t="s">
        <v>341</v>
      </c>
      <c r="B243" t="s">
        <v>780</v>
      </c>
      <c r="C243" t="s">
        <v>607</v>
      </c>
      <c r="D243" t="s">
        <v>769</v>
      </c>
      <c r="E243" t="s">
        <v>37</v>
      </c>
      <c r="F243" t="s">
        <v>633</v>
      </c>
      <c r="G243">
        <v>8</v>
      </c>
      <c r="H243">
        <v>8</v>
      </c>
      <c r="I243" t="s">
        <v>455</v>
      </c>
    </row>
    <row r="244" spans="1:9" x14ac:dyDescent="0.35">
      <c r="A244" t="s">
        <v>341</v>
      </c>
      <c r="B244" t="s">
        <v>781</v>
      </c>
      <c r="C244" t="s">
        <v>607</v>
      </c>
      <c r="D244" t="s">
        <v>720</v>
      </c>
      <c r="E244" t="s">
        <v>37</v>
      </c>
      <c r="F244" t="s">
        <v>635</v>
      </c>
      <c r="G244">
        <v>8</v>
      </c>
      <c r="H244">
        <v>4</v>
      </c>
      <c r="I244" t="s">
        <v>721</v>
      </c>
    </row>
    <row r="245" spans="1:9" x14ac:dyDescent="0.35">
      <c r="A245" t="s">
        <v>341</v>
      </c>
      <c r="B245" t="s">
        <v>782</v>
      </c>
      <c r="C245" t="s">
        <v>607</v>
      </c>
      <c r="D245" t="s">
        <v>764</v>
      </c>
      <c r="E245" t="s">
        <v>37</v>
      </c>
      <c r="F245" t="s">
        <v>638</v>
      </c>
      <c r="G245">
        <v>8</v>
      </c>
      <c r="H245">
        <v>8</v>
      </c>
      <c r="I245" t="s">
        <v>455</v>
      </c>
    </row>
    <row r="246" spans="1:9" x14ac:dyDescent="0.35">
      <c r="A246" t="s">
        <v>341</v>
      </c>
      <c r="B246" t="s">
        <v>783</v>
      </c>
      <c r="C246" t="s">
        <v>607</v>
      </c>
      <c r="D246" t="s">
        <v>784</v>
      </c>
      <c r="E246" t="s">
        <v>37</v>
      </c>
      <c r="F246" t="s">
        <v>785</v>
      </c>
      <c r="G246">
        <v>8</v>
      </c>
      <c r="H246">
        <v>8</v>
      </c>
      <c r="I246" t="s">
        <v>455</v>
      </c>
    </row>
    <row r="247" spans="1:9" x14ac:dyDescent="0.35">
      <c r="A247" t="s">
        <v>341</v>
      </c>
      <c r="B247" t="s">
        <v>786</v>
      </c>
      <c r="C247" t="s">
        <v>607</v>
      </c>
      <c r="D247" t="s">
        <v>762</v>
      </c>
      <c r="E247" t="s">
        <v>37</v>
      </c>
      <c r="F247" t="s">
        <v>640</v>
      </c>
      <c r="G247">
        <v>8</v>
      </c>
      <c r="H247">
        <v>0</v>
      </c>
    </row>
    <row r="248" spans="1:9" x14ac:dyDescent="0.35">
      <c r="A248" t="s">
        <v>341</v>
      </c>
      <c r="B248" t="s">
        <v>787</v>
      </c>
      <c r="C248" t="s">
        <v>607</v>
      </c>
      <c r="D248" t="s">
        <v>769</v>
      </c>
      <c r="E248" t="s">
        <v>37</v>
      </c>
      <c r="F248" t="s">
        <v>788</v>
      </c>
      <c r="G248">
        <v>8</v>
      </c>
      <c r="H248">
        <v>0</v>
      </c>
    </row>
    <row r="249" spans="1:9" x14ac:dyDescent="0.35">
      <c r="A249" t="s">
        <v>341</v>
      </c>
      <c r="B249" t="s">
        <v>789</v>
      </c>
      <c r="C249" t="s">
        <v>607</v>
      </c>
      <c r="D249" t="s">
        <v>790</v>
      </c>
      <c r="E249" t="s">
        <v>37</v>
      </c>
      <c r="F249" t="s">
        <v>642</v>
      </c>
      <c r="G249">
        <v>8</v>
      </c>
      <c r="H249">
        <v>0</v>
      </c>
    </row>
    <row r="250" spans="1:9" x14ac:dyDescent="0.35">
      <c r="A250" t="s">
        <v>341</v>
      </c>
      <c r="B250" t="s">
        <v>791</v>
      </c>
      <c r="C250" t="s">
        <v>607</v>
      </c>
      <c r="D250" t="s">
        <v>792</v>
      </c>
      <c r="E250" t="s">
        <v>37</v>
      </c>
      <c r="F250" t="s">
        <v>726</v>
      </c>
      <c r="G250">
        <v>8</v>
      </c>
      <c r="H250">
        <v>0</v>
      </c>
    </row>
    <row r="251" spans="1:9" x14ac:dyDescent="0.35">
      <c r="A251" t="s">
        <v>341</v>
      </c>
      <c r="B251" t="s">
        <v>793</v>
      </c>
      <c r="C251" t="s">
        <v>607</v>
      </c>
      <c r="D251" t="s">
        <v>792</v>
      </c>
      <c r="E251" t="s">
        <v>37</v>
      </c>
      <c r="F251" t="s">
        <v>644</v>
      </c>
      <c r="G251">
        <v>8</v>
      </c>
      <c r="H251">
        <v>1</v>
      </c>
      <c r="I251" t="s">
        <v>730</v>
      </c>
    </row>
    <row r="252" spans="1:9" x14ac:dyDescent="0.35">
      <c r="A252" t="s">
        <v>341</v>
      </c>
      <c r="B252" t="s">
        <v>794</v>
      </c>
      <c r="C252" t="s">
        <v>607</v>
      </c>
      <c r="D252" t="s">
        <v>792</v>
      </c>
      <c r="E252" t="s">
        <v>37</v>
      </c>
      <c r="F252" t="s">
        <v>795</v>
      </c>
      <c r="G252">
        <v>8</v>
      </c>
      <c r="H252">
        <v>0</v>
      </c>
    </row>
    <row r="253" spans="1:9" x14ac:dyDescent="0.35">
      <c r="A253" t="s">
        <v>341</v>
      </c>
      <c r="B253" t="s">
        <v>796</v>
      </c>
      <c r="C253" t="s">
        <v>607</v>
      </c>
      <c r="D253" t="s">
        <v>792</v>
      </c>
      <c r="E253" t="s">
        <v>37</v>
      </c>
      <c r="F253" t="s">
        <v>649</v>
      </c>
      <c r="G253">
        <v>8</v>
      </c>
      <c r="H253">
        <v>0</v>
      </c>
    </row>
    <row r="254" spans="1:9" x14ac:dyDescent="0.35">
      <c r="A254" t="s">
        <v>341</v>
      </c>
      <c r="B254" t="s">
        <v>797</v>
      </c>
      <c r="C254" t="s">
        <v>607</v>
      </c>
      <c r="D254" t="s">
        <v>792</v>
      </c>
      <c r="E254" t="s">
        <v>37</v>
      </c>
      <c r="F254" t="s">
        <v>652</v>
      </c>
      <c r="G254">
        <v>8</v>
      </c>
      <c r="H254">
        <v>0</v>
      </c>
    </row>
    <row r="255" spans="1:9" x14ac:dyDescent="0.35">
      <c r="A255" t="s">
        <v>341</v>
      </c>
      <c r="B255" t="s">
        <v>798</v>
      </c>
      <c r="C255" t="s">
        <v>607</v>
      </c>
      <c r="D255" t="s">
        <v>799</v>
      </c>
      <c r="E255" t="s">
        <v>37</v>
      </c>
      <c r="F255" t="s">
        <v>654</v>
      </c>
      <c r="G255">
        <v>8</v>
      </c>
      <c r="H255">
        <v>0</v>
      </c>
    </row>
    <row r="256" spans="1:9" x14ac:dyDescent="0.35">
      <c r="A256" t="s">
        <v>341</v>
      </c>
      <c r="B256" t="s">
        <v>800</v>
      </c>
      <c r="C256" t="s">
        <v>607</v>
      </c>
      <c r="D256" t="s">
        <v>720</v>
      </c>
      <c r="E256" t="s">
        <v>37</v>
      </c>
      <c r="F256" t="s">
        <v>736</v>
      </c>
      <c r="G256">
        <v>8</v>
      </c>
      <c r="H256">
        <v>0</v>
      </c>
    </row>
    <row r="257" spans="1:9" x14ac:dyDescent="0.35">
      <c r="A257" t="s">
        <v>341</v>
      </c>
      <c r="B257" t="s">
        <v>801</v>
      </c>
      <c r="C257" t="s">
        <v>607</v>
      </c>
      <c r="D257" t="s">
        <v>720</v>
      </c>
      <c r="E257" t="s">
        <v>37</v>
      </c>
      <c r="F257" t="s">
        <v>802</v>
      </c>
      <c r="G257">
        <v>8</v>
      </c>
      <c r="H257">
        <v>0</v>
      </c>
    </row>
    <row r="258" spans="1:9" x14ac:dyDescent="0.35">
      <c r="A258" t="s">
        <v>341</v>
      </c>
      <c r="B258" t="s">
        <v>803</v>
      </c>
      <c r="C258" t="s">
        <v>607</v>
      </c>
      <c r="D258" t="s">
        <v>720</v>
      </c>
      <c r="E258" t="s">
        <v>37</v>
      </c>
      <c r="F258" t="s">
        <v>656</v>
      </c>
      <c r="G258">
        <v>8</v>
      </c>
      <c r="H258">
        <v>0</v>
      </c>
    </row>
    <row r="259" spans="1:9" x14ac:dyDescent="0.35">
      <c r="A259" t="s">
        <v>341</v>
      </c>
      <c r="B259" t="s">
        <v>804</v>
      </c>
      <c r="C259" t="s">
        <v>607</v>
      </c>
      <c r="D259" t="s">
        <v>769</v>
      </c>
      <c r="E259" t="s">
        <v>37</v>
      </c>
      <c r="F259" t="s">
        <v>659</v>
      </c>
      <c r="G259">
        <v>8</v>
      </c>
      <c r="H259">
        <v>0</v>
      </c>
    </row>
    <row r="260" spans="1:9" x14ac:dyDescent="0.35">
      <c r="A260" t="s">
        <v>341</v>
      </c>
      <c r="B260" t="s">
        <v>805</v>
      </c>
      <c r="C260" t="s">
        <v>607</v>
      </c>
      <c r="D260" t="s">
        <v>769</v>
      </c>
      <c r="E260" t="s">
        <v>37</v>
      </c>
      <c r="F260" t="s">
        <v>662</v>
      </c>
      <c r="G260">
        <v>8</v>
      </c>
      <c r="H260">
        <v>0</v>
      </c>
    </row>
    <row r="261" spans="1:9" x14ac:dyDescent="0.35">
      <c r="A261" t="s">
        <v>341</v>
      </c>
      <c r="B261" t="s">
        <v>806</v>
      </c>
      <c r="C261" t="s">
        <v>607</v>
      </c>
      <c r="D261" t="s">
        <v>784</v>
      </c>
      <c r="E261" t="s">
        <v>37</v>
      </c>
      <c r="F261" t="s">
        <v>807</v>
      </c>
      <c r="G261">
        <v>8</v>
      </c>
      <c r="H261">
        <v>0</v>
      </c>
    </row>
    <row r="262" spans="1:9" x14ac:dyDescent="0.35">
      <c r="A262" t="s">
        <v>341</v>
      </c>
      <c r="B262" t="s">
        <v>808</v>
      </c>
      <c r="C262" t="s">
        <v>607</v>
      </c>
      <c r="D262" t="s">
        <v>784</v>
      </c>
      <c r="E262" t="s">
        <v>37</v>
      </c>
      <c r="F262" t="s">
        <v>809</v>
      </c>
      <c r="G262">
        <v>8</v>
      </c>
      <c r="H262">
        <v>0</v>
      </c>
    </row>
    <row r="263" spans="1:9" x14ac:dyDescent="0.35">
      <c r="A263" t="s">
        <v>341</v>
      </c>
      <c r="B263" t="s">
        <v>810</v>
      </c>
      <c r="C263" t="s">
        <v>607</v>
      </c>
      <c r="D263" t="s">
        <v>769</v>
      </c>
      <c r="E263" t="s">
        <v>37</v>
      </c>
      <c r="F263" t="s">
        <v>665</v>
      </c>
      <c r="G263">
        <v>8</v>
      </c>
      <c r="H263">
        <v>0</v>
      </c>
    </row>
    <row r="264" spans="1:9" x14ac:dyDescent="0.35">
      <c r="A264" t="s">
        <v>341</v>
      </c>
      <c r="B264" t="s">
        <v>811</v>
      </c>
      <c r="C264" t="s">
        <v>607</v>
      </c>
      <c r="D264" t="s">
        <v>720</v>
      </c>
      <c r="E264" t="s">
        <v>37</v>
      </c>
      <c r="F264" t="s">
        <v>667</v>
      </c>
      <c r="G264">
        <v>8</v>
      </c>
      <c r="H264">
        <v>0</v>
      </c>
    </row>
    <row r="265" spans="1:9" x14ac:dyDescent="0.35">
      <c r="A265" t="s">
        <v>341</v>
      </c>
      <c r="B265" t="s">
        <v>812</v>
      </c>
      <c r="C265" t="s">
        <v>607</v>
      </c>
      <c r="D265" t="s">
        <v>769</v>
      </c>
      <c r="E265" t="s">
        <v>37</v>
      </c>
      <c r="F265" t="s">
        <v>670</v>
      </c>
      <c r="G265">
        <v>8</v>
      </c>
      <c r="H265">
        <v>0</v>
      </c>
    </row>
    <row r="266" spans="1:9" x14ac:dyDescent="0.35">
      <c r="A266" t="s">
        <v>341</v>
      </c>
      <c r="B266" t="s">
        <v>813</v>
      </c>
      <c r="C266" t="s">
        <v>607</v>
      </c>
      <c r="D266" t="s">
        <v>769</v>
      </c>
      <c r="E266" t="s">
        <v>37</v>
      </c>
      <c r="F266" t="s">
        <v>673</v>
      </c>
      <c r="G266">
        <v>8</v>
      </c>
      <c r="H266">
        <v>0</v>
      </c>
    </row>
    <row r="267" spans="1:9" x14ac:dyDescent="0.35">
      <c r="A267" t="s">
        <v>341</v>
      </c>
      <c r="B267" t="s">
        <v>814</v>
      </c>
      <c r="C267" t="s">
        <v>607</v>
      </c>
      <c r="D267" t="s">
        <v>764</v>
      </c>
      <c r="E267" t="s">
        <v>37</v>
      </c>
      <c r="F267" t="s">
        <v>815</v>
      </c>
      <c r="G267">
        <v>8</v>
      </c>
      <c r="H267">
        <v>8</v>
      </c>
      <c r="I267" t="s">
        <v>455</v>
      </c>
    </row>
    <row r="268" spans="1:9" x14ac:dyDescent="0.35">
      <c r="A268" t="s">
        <v>341</v>
      </c>
      <c r="B268" t="s">
        <v>816</v>
      </c>
      <c r="C268" t="s">
        <v>607</v>
      </c>
      <c r="D268" t="s">
        <v>720</v>
      </c>
      <c r="E268" t="s">
        <v>37</v>
      </c>
      <c r="F268" t="s">
        <v>675</v>
      </c>
      <c r="G268">
        <v>8</v>
      </c>
      <c r="H268">
        <v>0</v>
      </c>
    </row>
    <row r="269" spans="1:9" x14ac:dyDescent="0.35">
      <c r="A269" t="s">
        <v>341</v>
      </c>
      <c r="B269" t="s">
        <v>817</v>
      </c>
      <c r="C269" t="s">
        <v>607</v>
      </c>
      <c r="D269" t="s">
        <v>764</v>
      </c>
      <c r="E269" t="s">
        <v>37</v>
      </c>
      <c r="F269" t="s">
        <v>678</v>
      </c>
      <c r="G269">
        <v>8</v>
      </c>
      <c r="H269">
        <v>8</v>
      </c>
      <c r="I269" t="s">
        <v>455</v>
      </c>
    </row>
    <row r="270" spans="1:9" x14ac:dyDescent="0.35">
      <c r="A270" t="s">
        <v>341</v>
      </c>
      <c r="B270" t="s">
        <v>818</v>
      </c>
      <c r="C270" t="s">
        <v>607</v>
      </c>
      <c r="D270" t="s">
        <v>720</v>
      </c>
      <c r="E270" t="s">
        <v>37</v>
      </c>
      <c r="F270" t="s">
        <v>819</v>
      </c>
      <c r="G270">
        <v>8</v>
      </c>
      <c r="H270">
        <v>0</v>
      </c>
    </row>
    <row r="271" spans="1:9" x14ac:dyDescent="0.35">
      <c r="A271" t="s">
        <v>341</v>
      </c>
      <c r="B271" t="s">
        <v>820</v>
      </c>
      <c r="C271" t="s">
        <v>607</v>
      </c>
      <c r="D271" t="s">
        <v>769</v>
      </c>
      <c r="E271" t="s">
        <v>37</v>
      </c>
      <c r="F271" t="s">
        <v>681</v>
      </c>
      <c r="G271">
        <v>8</v>
      </c>
      <c r="H271">
        <v>0</v>
      </c>
    </row>
    <row r="272" spans="1:9" x14ac:dyDescent="0.35">
      <c r="A272" t="s">
        <v>341</v>
      </c>
      <c r="B272" t="s">
        <v>821</v>
      </c>
      <c r="C272" t="s">
        <v>607</v>
      </c>
      <c r="D272" t="s">
        <v>769</v>
      </c>
      <c r="E272" t="s">
        <v>37</v>
      </c>
      <c r="F272" t="s">
        <v>822</v>
      </c>
      <c r="G272">
        <v>8</v>
      </c>
      <c r="H272">
        <v>0</v>
      </c>
    </row>
    <row r="273" spans="1:9" x14ac:dyDescent="0.35">
      <c r="A273" t="s">
        <v>341</v>
      </c>
      <c r="B273" t="s">
        <v>823</v>
      </c>
      <c r="C273" t="s">
        <v>607</v>
      </c>
      <c r="D273" t="s">
        <v>762</v>
      </c>
      <c r="E273" t="s">
        <v>37</v>
      </c>
      <c r="F273" t="s">
        <v>686</v>
      </c>
      <c r="G273">
        <v>8</v>
      </c>
      <c r="H273">
        <v>8</v>
      </c>
      <c r="I273" t="s">
        <v>455</v>
      </c>
    </row>
    <row r="274" spans="1:9" x14ac:dyDescent="0.35">
      <c r="A274" t="s">
        <v>341</v>
      </c>
      <c r="B274" t="s">
        <v>824</v>
      </c>
      <c r="C274" t="s">
        <v>607</v>
      </c>
      <c r="D274" t="s">
        <v>762</v>
      </c>
      <c r="E274" t="s">
        <v>37</v>
      </c>
      <c r="F274" t="s">
        <v>689</v>
      </c>
      <c r="G274">
        <v>8</v>
      </c>
      <c r="H274">
        <v>8</v>
      </c>
      <c r="I274" t="s">
        <v>455</v>
      </c>
    </row>
    <row r="275" spans="1:9" x14ac:dyDescent="0.35">
      <c r="A275" t="s">
        <v>341</v>
      </c>
      <c r="B275" t="s">
        <v>825</v>
      </c>
      <c r="C275" t="s">
        <v>607</v>
      </c>
      <c r="D275" t="s">
        <v>826</v>
      </c>
      <c r="E275" t="s">
        <v>37</v>
      </c>
      <c r="F275" t="s">
        <v>692</v>
      </c>
      <c r="G275">
        <v>8</v>
      </c>
      <c r="H275">
        <v>8</v>
      </c>
      <c r="I275" t="s">
        <v>455</v>
      </c>
    </row>
    <row r="276" spans="1:9" x14ac:dyDescent="0.35">
      <c r="A276" t="s">
        <v>341</v>
      </c>
      <c r="B276" t="s">
        <v>827</v>
      </c>
      <c r="C276" t="s">
        <v>607</v>
      </c>
      <c r="D276" t="s">
        <v>826</v>
      </c>
      <c r="E276" t="s">
        <v>37</v>
      </c>
      <c r="F276" t="s">
        <v>828</v>
      </c>
      <c r="G276">
        <v>8</v>
      </c>
      <c r="H276">
        <v>0</v>
      </c>
    </row>
    <row r="277" spans="1:9" x14ac:dyDescent="0.35">
      <c r="A277" t="s">
        <v>341</v>
      </c>
      <c r="B277" t="s">
        <v>829</v>
      </c>
      <c r="C277" t="s">
        <v>607</v>
      </c>
      <c r="D277" t="s">
        <v>826</v>
      </c>
      <c r="E277" t="s">
        <v>37</v>
      </c>
      <c r="F277" t="s">
        <v>830</v>
      </c>
      <c r="G277">
        <v>8</v>
      </c>
      <c r="H277">
        <v>0</v>
      </c>
    </row>
    <row r="278" spans="1:9" x14ac:dyDescent="0.35">
      <c r="A278" t="s">
        <v>341</v>
      </c>
      <c r="B278" t="s">
        <v>831</v>
      </c>
      <c r="C278" t="s">
        <v>607</v>
      </c>
      <c r="D278" t="s">
        <v>769</v>
      </c>
      <c r="E278" t="s">
        <v>37</v>
      </c>
      <c r="F278" t="s">
        <v>832</v>
      </c>
      <c r="G278">
        <v>8</v>
      </c>
      <c r="H278">
        <v>0</v>
      </c>
    </row>
    <row r="279" spans="1:9" x14ac:dyDescent="0.35">
      <c r="A279" t="s">
        <v>341</v>
      </c>
      <c r="B279" t="s">
        <v>833</v>
      </c>
      <c r="C279" t="s">
        <v>607</v>
      </c>
      <c r="D279" t="s">
        <v>769</v>
      </c>
      <c r="E279" t="s">
        <v>37</v>
      </c>
      <c r="F279" t="s">
        <v>834</v>
      </c>
      <c r="G279">
        <v>8</v>
      </c>
      <c r="H279">
        <v>0</v>
      </c>
    </row>
    <row r="280" spans="1:9" x14ac:dyDescent="0.35">
      <c r="A280" t="s">
        <v>341</v>
      </c>
      <c r="B280" t="s">
        <v>835</v>
      </c>
      <c r="C280" t="s">
        <v>607</v>
      </c>
      <c r="D280" t="s">
        <v>720</v>
      </c>
      <c r="E280" t="s">
        <v>37</v>
      </c>
      <c r="F280" t="s">
        <v>747</v>
      </c>
      <c r="G280">
        <v>8</v>
      </c>
      <c r="H280">
        <v>0</v>
      </c>
    </row>
    <row r="281" spans="1:9" x14ac:dyDescent="0.35">
      <c r="A281" t="s">
        <v>341</v>
      </c>
      <c r="B281" t="s">
        <v>836</v>
      </c>
      <c r="C281" t="s">
        <v>607</v>
      </c>
      <c r="D281" t="s">
        <v>837</v>
      </c>
      <c r="E281" t="s">
        <v>37</v>
      </c>
      <c r="F281" t="s">
        <v>838</v>
      </c>
      <c r="G281">
        <v>8</v>
      </c>
      <c r="H281">
        <v>0</v>
      </c>
    </row>
    <row r="282" spans="1:9" x14ac:dyDescent="0.35">
      <c r="A282" t="s">
        <v>341</v>
      </c>
      <c r="B282" t="s">
        <v>839</v>
      </c>
      <c r="C282" t="s">
        <v>607</v>
      </c>
      <c r="D282" t="s">
        <v>790</v>
      </c>
      <c r="E282" t="s">
        <v>37</v>
      </c>
      <c r="F282" t="s">
        <v>840</v>
      </c>
      <c r="G282">
        <v>8</v>
      </c>
      <c r="H282">
        <v>0</v>
      </c>
    </row>
    <row r="283" spans="1:9" x14ac:dyDescent="0.35">
      <c r="A283" t="s">
        <v>341</v>
      </c>
      <c r="B283" t="s">
        <v>841</v>
      </c>
      <c r="C283" t="s">
        <v>607</v>
      </c>
      <c r="D283" t="s">
        <v>764</v>
      </c>
      <c r="E283" t="s">
        <v>37</v>
      </c>
      <c r="F283" t="s">
        <v>842</v>
      </c>
      <c r="G283">
        <v>8</v>
      </c>
      <c r="H283">
        <v>0</v>
      </c>
    </row>
    <row r="284" spans="1:9" x14ac:dyDescent="0.35">
      <c r="A284" t="s">
        <v>341</v>
      </c>
      <c r="B284" t="s">
        <v>843</v>
      </c>
      <c r="C284" t="s">
        <v>607</v>
      </c>
      <c r="D284" t="s">
        <v>764</v>
      </c>
      <c r="E284" t="s">
        <v>37</v>
      </c>
      <c r="F284" t="s">
        <v>844</v>
      </c>
      <c r="G284">
        <v>8</v>
      </c>
      <c r="H284">
        <v>8</v>
      </c>
      <c r="I284" t="s">
        <v>455</v>
      </c>
    </row>
    <row r="285" spans="1:9" x14ac:dyDescent="0.35">
      <c r="A285" t="s">
        <v>341</v>
      </c>
      <c r="B285" t="s">
        <v>845</v>
      </c>
      <c r="C285" t="s">
        <v>607</v>
      </c>
      <c r="D285" t="s">
        <v>764</v>
      </c>
      <c r="E285" t="s">
        <v>37</v>
      </c>
      <c r="F285" t="s">
        <v>846</v>
      </c>
      <c r="G285">
        <v>8</v>
      </c>
      <c r="H285">
        <v>0</v>
      </c>
    </row>
    <row r="286" spans="1:9" x14ac:dyDescent="0.35">
      <c r="A286" t="s">
        <v>341</v>
      </c>
      <c r="B286" t="s">
        <v>847</v>
      </c>
      <c r="C286" t="s">
        <v>607</v>
      </c>
      <c r="D286" t="s">
        <v>764</v>
      </c>
      <c r="E286" t="s">
        <v>37</v>
      </c>
      <c r="F286" t="s">
        <v>848</v>
      </c>
      <c r="G286">
        <v>8</v>
      </c>
      <c r="H286">
        <v>0</v>
      </c>
    </row>
    <row r="287" spans="1:9" x14ac:dyDescent="0.35">
      <c r="A287" t="s">
        <v>341</v>
      </c>
      <c r="B287" t="s">
        <v>849</v>
      </c>
      <c r="C287" t="s">
        <v>607</v>
      </c>
      <c r="D287" t="s">
        <v>764</v>
      </c>
      <c r="E287" t="s">
        <v>37</v>
      </c>
      <c r="F287" t="s">
        <v>850</v>
      </c>
      <c r="G287">
        <v>8</v>
      </c>
      <c r="H287">
        <v>0</v>
      </c>
    </row>
    <row r="288" spans="1:9" x14ac:dyDescent="0.35">
      <c r="A288" t="s">
        <v>341</v>
      </c>
      <c r="B288" t="s">
        <v>851</v>
      </c>
      <c r="C288" t="s">
        <v>607</v>
      </c>
      <c r="D288" t="s">
        <v>764</v>
      </c>
      <c r="E288" t="s">
        <v>37</v>
      </c>
      <c r="F288" t="s">
        <v>852</v>
      </c>
      <c r="G288">
        <v>8</v>
      </c>
      <c r="H288">
        <v>0</v>
      </c>
    </row>
    <row r="289" spans="1:8" x14ac:dyDescent="0.35">
      <c r="A289" t="s">
        <v>341</v>
      </c>
      <c r="B289" t="s">
        <v>853</v>
      </c>
      <c r="C289" t="s">
        <v>607</v>
      </c>
      <c r="D289" t="s">
        <v>764</v>
      </c>
      <c r="E289" t="s">
        <v>37</v>
      </c>
      <c r="F289" t="s">
        <v>854</v>
      </c>
      <c r="G289">
        <v>8</v>
      </c>
      <c r="H289">
        <v>0</v>
      </c>
    </row>
    <row r="290" spans="1:8" x14ac:dyDescent="0.35">
      <c r="A290" t="s">
        <v>341</v>
      </c>
      <c r="B290" t="s">
        <v>855</v>
      </c>
      <c r="C290" t="s">
        <v>607</v>
      </c>
      <c r="D290" t="s">
        <v>764</v>
      </c>
      <c r="E290" t="s">
        <v>37</v>
      </c>
      <c r="F290" t="s">
        <v>856</v>
      </c>
      <c r="G290">
        <v>8</v>
      </c>
      <c r="H290">
        <v>0</v>
      </c>
    </row>
    <row r="291" spans="1:8" x14ac:dyDescent="0.35">
      <c r="A291" t="s">
        <v>341</v>
      </c>
      <c r="B291" t="s">
        <v>857</v>
      </c>
      <c r="C291" t="s">
        <v>607</v>
      </c>
      <c r="D291" t="s">
        <v>764</v>
      </c>
      <c r="E291" t="s">
        <v>37</v>
      </c>
      <c r="F291" t="s">
        <v>858</v>
      </c>
      <c r="G291">
        <v>8</v>
      </c>
      <c r="H291">
        <v>0</v>
      </c>
    </row>
    <row r="292" spans="1:8" x14ac:dyDescent="0.35">
      <c r="A292" t="s">
        <v>341</v>
      </c>
      <c r="B292" t="s">
        <v>859</v>
      </c>
      <c r="C292" t="s">
        <v>607</v>
      </c>
      <c r="D292" t="s">
        <v>764</v>
      </c>
      <c r="E292" t="s">
        <v>37</v>
      </c>
      <c r="F292" t="s">
        <v>860</v>
      </c>
      <c r="G292">
        <v>8</v>
      </c>
      <c r="H292">
        <v>0</v>
      </c>
    </row>
    <row r="293" spans="1:8" x14ac:dyDescent="0.35">
      <c r="A293" t="s">
        <v>341</v>
      </c>
      <c r="B293" t="s">
        <v>861</v>
      </c>
      <c r="C293" t="s">
        <v>607</v>
      </c>
      <c r="D293" t="s">
        <v>764</v>
      </c>
      <c r="E293" t="s">
        <v>37</v>
      </c>
      <c r="F293" t="s">
        <v>862</v>
      </c>
      <c r="G293">
        <v>8</v>
      </c>
      <c r="H293">
        <v>0</v>
      </c>
    </row>
    <row r="294" spans="1:8" x14ac:dyDescent="0.35">
      <c r="A294" t="s">
        <v>341</v>
      </c>
      <c r="B294" t="s">
        <v>863</v>
      </c>
      <c r="C294" t="s">
        <v>607</v>
      </c>
      <c r="D294" t="s">
        <v>764</v>
      </c>
      <c r="E294" t="s">
        <v>37</v>
      </c>
      <c r="F294" t="s">
        <v>864</v>
      </c>
      <c r="G294">
        <v>8</v>
      </c>
      <c r="H294">
        <v>0</v>
      </c>
    </row>
    <row r="295" spans="1:8" x14ac:dyDescent="0.35">
      <c r="A295" t="s">
        <v>341</v>
      </c>
      <c r="B295" t="s">
        <v>865</v>
      </c>
      <c r="C295" t="s">
        <v>607</v>
      </c>
      <c r="D295" t="s">
        <v>764</v>
      </c>
      <c r="E295" t="s">
        <v>37</v>
      </c>
      <c r="F295" t="s">
        <v>866</v>
      </c>
      <c r="G295">
        <v>8</v>
      </c>
      <c r="H295">
        <v>0</v>
      </c>
    </row>
    <row r="296" spans="1:8" x14ac:dyDescent="0.35">
      <c r="A296" t="s">
        <v>341</v>
      </c>
      <c r="B296" t="s">
        <v>867</v>
      </c>
      <c r="C296" t="s">
        <v>607</v>
      </c>
      <c r="D296" t="s">
        <v>764</v>
      </c>
      <c r="E296" t="s">
        <v>37</v>
      </c>
      <c r="F296" t="s">
        <v>868</v>
      </c>
      <c r="G296">
        <v>8</v>
      </c>
      <c r="H296">
        <v>0</v>
      </c>
    </row>
    <row r="297" spans="1:8" x14ac:dyDescent="0.35">
      <c r="A297" t="s">
        <v>341</v>
      </c>
      <c r="B297" t="s">
        <v>869</v>
      </c>
      <c r="C297" t="s">
        <v>607</v>
      </c>
      <c r="D297" t="s">
        <v>720</v>
      </c>
      <c r="E297" t="s">
        <v>37</v>
      </c>
      <c r="F297" t="s">
        <v>749</v>
      </c>
      <c r="G297">
        <v>8</v>
      </c>
      <c r="H297">
        <v>0</v>
      </c>
    </row>
    <row r="298" spans="1:8" x14ac:dyDescent="0.35">
      <c r="A298" t="s">
        <v>341</v>
      </c>
      <c r="B298" t="s">
        <v>870</v>
      </c>
      <c r="C298" t="s">
        <v>607</v>
      </c>
      <c r="D298" t="s">
        <v>769</v>
      </c>
      <c r="E298" t="s">
        <v>37</v>
      </c>
      <c r="F298" t="s">
        <v>751</v>
      </c>
      <c r="G298">
        <v>8</v>
      </c>
      <c r="H298">
        <v>0</v>
      </c>
    </row>
    <row r="299" spans="1:8" x14ac:dyDescent="0.35">
      <c r="A299" t="s">
        <v>341</v>
      </c>
      <c r="B299" t="s">
        <v>871</v>
      </c>
      <c r="C299" t="s">
        <v>607</v>
      </c>
      <c r="D299" t="s">
        <v>720</v>
      </c>
      <c r="E299" t="s">
        <v>37</v>
      </c>
      <c r="F299" t="s">
        <v>753</v>
      </c>
      <c r="G299">
        <v>8</v>
      </c>
      <c r="H299">
        <v>0</v>
      </c>
    </row>
    <row r="300" spans="1:8" x14ac:dyDescent="0.35">
      <c r="A300" t="s">
        <v>341</v>
      </c>
      <c r="B300" t="s">
        <v>872</v>
      </c>
      <c r="C300" t="s">
        <v>607</v>
      </c>
      <c r="D300" t="s">
        <v>769</v>
      </c>
      <c r="E300" t="s">
        <v>37</v>
      </c>
      <c r="F300" t="s">
        <v>755</v>
      </c>
      <c r="G300">
        <v>8</v>
      </c>
      <c r="H300">
        <v>0</v>
      </c>
    </row>
    <row r="301" spans="1:8" x14ac:dyDescent="0.35">
      <c r="A301" t="s">
        <v>341</v>
      </c>
      <c r="B301" t="s">
        <v>873</v>
      </c>
      <c r="C301" t="s">
        <v>607</v>
      </c>
      <c r="D301" t="s">
        <v>769</v>
      </c>
      <c r="E301" t="s">
        <v>37</v>
      </c>
      <c r="F301" t="s">
        <v>874</v>
      </c>
      <c r="G301">
        <v>8</v>
      </c>
      <c r="H301">
        <v>0</v>
      </c>
    </row>
    <row r="302" spans="1:8" x14ac:dyDescent="0.35">
      <c r="A302" t="s">
        <v>341</v>
      </c>
      <c r="B302" t="s">
        <v>875</v>
      </c>
      <c r="C302" t="s">
        <v>607</v>
      </c>
      <c r="D302" t="s">
        <v>764</v>
      </c>
      <c r="E302" t="s">
        <v>37</v>
      </c>
      <c r="F302" t="s">
        <v>876</v>
      </c>
      <c r="G302">
        <v>8</v>
      </c>
      <c r="H302">
        <v>0</v>
      </c>
    </row>
    <row r="303" spans="1:8" x14ac:dyDescent="0.35">
      <c r="A303" t="s">
        <v>341</v>
      </c>
      <c r="B303" t="s">
        <v>877</v>
      </c>
      <c r="C303" t="s">
        <v>607</v>
      </c>
      <c r="D303" t="s">
        <v>764</v>
      </c>
      <c r="E303" t="s">
        <v>37</v>
      </c>
      <c r="F303" t="s">
        <v>878</v>
      </c>
      <c r="G303">
        <v>8</v>
      </c>
      <c r="H303">
        <v>0</v>
      </c>
    </row>
    <row r="304" spans="1:8" x14ac:dyDescent="0.35">
      <c r="A304" t="s">
        <v>341</v>
      </c>
      <c r="B304" t="s">
        <v>879</v>
      </c>
      <c r="C304" t="s">
        <v>607</v>
      </c>
      <c r="D304" t="s">
        <v>720</v>
      </c>
      <c r="E304" t="s">
        <v>37</v>
      </c>
      <c r="F304" t="s">
        <v>757</v>
      </c>
      <c r="G304">
        <v>8</v>
      </c>
      <c r="H304">
        <v>0</v>
      </c>
    </row>
    <row r="305" spans="1:9" x14ac:dyDescent="0.35">
      <c r="A305" t="s">
        <v>341</v>
      </c>
      <c r="B305" t="s">
        <v>880</v>
      </c>
      <c r="C305" t="s">
        <v>607</v>
      </c>
      <c r="D305" t="s">
        <v>784</v>
      </c>
      <c r="E305" t="s">
        <v>37</v>
      </c>
      <c r="F305" t="s">
        <v>881</v>
      </c>
      <c r="G305">
        <v>8</v>
      </c>
      <c r="H305">
        <v>0</v>
      </c>
    </row>
    <row r="306" spans="1:9" x14ac:dyDescent="0.35">
      <c r="A306" t="s">
        <v>341</v>
      </c>
      <c r="B306" t="s">
        <v>882</v>
      </c>
      <c r="C306" t="s">
        <v>607</v>
      </c>
      <c r="D306" t="s">
        <v>769</v>
      </c>
      <c r="E306" t="s">
        <v>37</v>
      </c>
      <c r="F306" t="s">
        <v>697</v>
      </c>
      <c r="G306">
        <v>8</v>
      </c>
      <c r="H306">
        <v>0</v>
      </c>
    </row>
    <row r="307" spans="1:9" x14ac:dyDescent="0.35">
      <c r="A307" t="s">
        <v>341</v>
      </c>
      <c r="B307" t="s">
        <v>883</v>
      </c>
      <c r="C307" t="s">
        <v>607</v>
      </c>
      <c r="D307" t="s">
        <v>720</v>
      </c>
      <c r="E307" t="s">
        <v>37</v>
      </c>
      <c r="F307" t="s">
        <v>760</v>
      </c>
      <c r="G307">
        <v>8</v>
      </c>
      <c r="H307">
        <v>0</v>
      </c>
    </row>
    <row r="308" spans="1:9" x14ac:dyDescent="0.35">
      <c r="A308" t="s">
        <v>341</v>
      </c>
      <c r="B308" t="s">
        <v>884</v>
      </c>
      <c r="C308" t="s">
        <v>607</v>
      </c>
      <c r="D308" t="s">
        <v>769</v>
      </c>
      <c r="E308" t="s">
        <v>37</v>
      </c>
      <c r="F308" t="s">
        <v>885</v>
      </c>
      <c r="G308">
        <v>8</v>
      </c>
      <c r="H308">
        <v>0</v>
      </c>
    </row>
    <row r="309" spans="1:9" x14ac:dyDescent="0.35">
      <c r="A309" t="s">
        <v>341</v>
      </c>
      <c r="B309" t="s">
        <v>886</v>
      </c>
      <c r="C309" t="s">
        <v>607</v>
      </c>
      <c r="D309" t="s">
        <v>764</v>
      </c>
      <c r="E309" t="s">
        <v>37</v>
      </c>
      <c r="F309" t="s">
        <v>887</v>
      </c>
      <c r="G309">
        <v>8</v>
      </c>
      <c r="H309">
        <v>8</v>
      </c>
      <c r="I309" t="s">
        <v>455</v>
      </c>
    </row>
    <row r="310" spans="1:9" x14ac:dyDescent="0.35">
      <c r="A310" t="s">
        <v>341</v>
      </c>
      <c r="B310" t="s">
        <v>888</v>
      </c>
      <c r="C310" t="s">
        <v>607</v>
      </c>
      <c r="D310" t="s">
        <v>784</v>
      </c>
      <c r="E310" t="s">
        <v>37</v>
      </c>
      <c r="F310" t="s">
        <v>889</v>
      </c>
      <c r="G310">
        <v>8</v>
      </c>
      <c r="H310">
        <v>0</v>
      </c>
    </row>
    <row r="311" spans="1:9" x14ac:dyDescent="0.35">
      <c r="A311" t="s">
        <v>341</v>
      </c>
      <c r="B311" t="s">
        <v>890</v>
      </c>
      <c r="C311" t="s">
        <v>607</v>
      </c>
      <c r="D311" t="s">
        <v>784</v>
      </c>
      <c r="E311" t="s">
        <v>37</v>
      </c>
      <c r="F311" t="s">
        <v>891</v>
      </c>
      <c r="G311">
        <v>8</v>
      </c>
      <c r="H311">
        <v>0</v>
      </c>
    </row>
    <row r="312" spans="1:9" x14ac:dyDescent="0.35">
      <c r="A312" t="s">
        <v>341</v>
      </c>
      <c r="B312" t="s">
        <v>892</v>
      </c>
      <c r="C312" t="s">
        <v>607</v>
      </c>
      <c r="D312" t="s">
        <v>893</v>
      </c>
      <c r="E312" t="s">
        <v>331</v>
      </c>
      <c r="F312" t="s">
        <v>894</v>
      </c>
      <c r="G312">
        <v>4730</v>
      </c>
      <c r="H312">
        <v>0</v>
      </c>
    </row>
    <row r="313" spans="1:9" x14ac:dyDescent="0.35">
      <c r="A313" t="s">
        <v>341</v>
      </c>
      <c r="B313" t="s">
        <v>895</v>
      </c>
      <c r="C313" t="s">
        <v>607</v>
      </c>
      <c r="D313" t="s">
        <v>720</v>
      </c>
      <c r="E313" t="s">
        <v>331</v>
      </c>
      <c r="F313" t="s">
        <v>896</v>
      </c>
      <c r="G313">
        <v>4730</v>
      </c>
      <c r="H313">
        <v>0</v>
      </c>
    </row>
    <row r="314" spans="1:9" x14ac:dyDescent="0.35">
      <c r="A314" t="s">
        <v>341</v>
      </c>
      <c r="B314" t="s">
        <v>897</v>
      </c>
      <c r="C314" t="s">
        <v>607</v>
      </c>
      <c r="D314" t="s">
        <v>705</v>
      </c>
      <c r="E314" t="s">
        <v>331</v>
      </c>
      <c r="F314" t="s">
        <v>898</v>
      </c>
      <c r="G314">
        <v>4730</v>
      </c>
      <c r="H314">
        <v>0</v>
      </c>
    </row>
    <row r="315" spans="1:9" x14ac:dyDescent="0.35">
      <c r="A315" t="s">
        <v>341</v>
      </c>
      <c r="B315" t="s">
        <v>899</v>
      </c>
      <c r="C315" t="s">
        <v>607</v>
      </c>
      <c r="D315" t="s">
        <v>720</v>
      </c>
      <c r="E315" t="s">
        <v>331</v>
      </c>
      <c r="F315" t="s">
        <v>900</v>
      </c>
      <c r="G315">
        <v>4730</v>
      </c>
      <c r="H315">
        <v>4730</v>
      </c>
      <c r="I315" t="s">
        <v>468</v>
      </c>
    </row>
    <row r="316" spans="1:9" x14ac:dyDescent="0.35">
      <c r="A316" t="s">
        <v>341</v>
      </c>
      <c r="B316" t="s">
        <v>901</v>
      </c>
      <c r="C316" t="s">
        <v>607</v>
      </c>
      <c r="D316" t="s">
        <v>705</v>
      </c>
      <c r="E316" t="s">
        <v>331</v>
      </c>
      <c r="F316" t="s">
        <v>902</v>
      </c>
      <c r="G316">
        <v>4730</v>
      </c>
      <c r="H316">
        <v>0</v>
      </c>
    </row>
    <row r="317" spans="1:9" x14ac:dyDescent="0.35">
      <c r="A317" t="s">
        <v>341</v>
      </c>
      <c r="B317" t="s">
        <v>903</v>
      </c>
      <c r="C317" t="s">
        <v>607</v>
      </c>
      <c r="D317" t="s">
        <v>762</v>
      </c>
      <c r="E317" t="s">
        <v>331</v>
      </c>
      <c r="F317" t="s">
        <v>608</v>
      </c>
      <c r="G317">
        <v>4730</v>
      </c>
      <c r="H317">
        <v>0</v>
      </c>
    </row>
    <row r="318" spans="1:9" x14ac:dyDescent="0.35">
      <c r="A318" t="s">
        <v>341</v>
      </c>
      <c r="B318" t="s">
        <v>904</v>
      </c>
      <c r="C318" t="s">
        <v>607</v>
      </c>
      <c r="D318" t="s">
        <v>764</v>
      </c>
      <c r="E318" t="s">
        <v>331</v>
      </c>
      <c r="F318" t="s">
        <v>905</v>
      </c>
      <c r="G318">
        <v>4730</v>
      </c>
      <c r="H318">
        <v>0</v>
      </c>
    </row>
    <row r="319" spans="1:9" x14ac:dyDescent="0.35">
      <c r="A319" t="s">
        <v>341</v>
      </c>
      <c r="B319" t="s">
        <v>906</v>
      </c>
      <c r="C319" t="s">
        <v>607</v>
      </c>
      <c r="D319" t="s">
        <v>799</v>
      </c>
      <c r="E319" t="s">
        <v>331</v>
      </c>
      <c r="F319" t="s">
        <v>894</v>
      </c>
      <c r="G319">
        <v>4730</v>
      </c>
      <c r="H319">
        <v>0</v>
      </c>
    </row>
    <row r="320" spans="1:9" x14ac:dyDescent="0.35">
      <c r="A320" t="s">
        <v>341</v>
      </c>
      <c r="B320" t="s">
        <v>907</v>
      </c>
      <c r="C320" t="s">
        <v>607</v>
      </c>
      <c r="D320" t="s">
        <v>784</v>
      </c>
      <c r="E320" t="s">
        <v>331</v>
      </c>
      <c r="F320" t="s">
        <v>908</v>
      </c>
      <c r="G320">
        <v>4730</v>
      </c>
      <c r="H320">
        <v>0</v>
      </c>
    </row>
    <row r="321" spans="1:9" x14ac:dyDescent="0.35">
      <c r="A321" t="s">
        <v>341</v>
      </c>
      <c r="B321" t="s">
        <v>909</v>
      </c>
      <c r="C321" t="s">
        <v>607</v>
      </c>
      <c r="D321" t="s">
        <v>720</v>
      </c>
      <c r="E321" t="s">
        <v>331</v>
      </c>
      <c r="F321" t="s">
        <v>896</v>
      </c>
      <c r="G321">
        <v>4730</v>
      </c>
      <c r="H321">
        <v>0</v>
      </c>
    </row>
    <row r="322" spans="1:9" x14ac:dyDescent="0.35">
      <c r="A322" t="s">
        <v>341</v>
      </c>
      <c r="B322" t="s">
        <v>910</v>
      </c>
      <c r="C322" t="s">
        <v>607</v>
      </c>
      <c r="D322" t="s">
        <v>769</v>
      </c>
      <c r="E322" t="s">
        <v>331</v>
      </c>
      <c r="F322" t="s">
        <v>898</v>
      </c>
      <c r="G322">
        <v>4730</v>
      </c>
      <c r="H322">
        <v>0</v>
      </c>
    </row>
    <row r="323" spans="1:9" x14ac:dyDescent="0.35">
      <c r="A323" t="s">
        <v>341</v>
      </c>
      <c r="B323" t="s">
        <v>911</v>
      </c>
      <c r="C323" t="s">
        <v>607</v>
      </c>
      <c r="D323" t="s">
        <v>720</v>
      </c>
      <c r="E323" t="s">
        <v>331</v>
      </c>
      <c r="F323" t="s">
        <v>900</v>
      </c>
      <c r="G323">
        <v>4730</v>
      </c>
      <c r="H323">
        <v>0</v>
      </c>
    </row>
    <row r="324" spans="1:9" x14ac:dyDescent="0.35">
      <c r="A324" t="s">
        <v>341</v>
      </c>
      <c r="B324" t="s">
        <v>912</v>
      </c>
      <c r="C324" t="s">
        <v>607</v>
      </c>
      <c r="D324" t="s">
        <v>769</v>
      </c>
      <c r="E324" t="s">
        <v>331</v>
      </c>
      <c r="F324" t="s">
        <v>902</v>
      </c>
      <c r="G324">
        <v>4730</v>
      </c>
      <c r="H324">
        <v>0</v>
      </c>
    </row>
    <row r="325" spans="1:9" x14ac:dyDescent="0.35">
      <c r="A325" t="s">
        <v>341</v>
      </c>
      <c r="B325" t="s">
        <v>913</v>
      </c>
      <c r="C325" t="s">
        <v>607</v>
      </c>
      <c r="D325" t="s">
        <v>914</v>
      </c>
      <c r="E325" t="s">
        <v>331</v>
      </c>
      <c r="F325" t="s">
        <v>915</v>
      </c>
      <c r="G325">
        <v>4730</v>
      </c>
      <c r="H325">
        <v>0</v>
      </c>
    </row>
    <row r="326" spans="1:9" x14ac:dyDescent="0.35">
      <c r="A326" t="s">
        <v>341</v>
      </c>
      <c r="B326" t="s">
        <v>916</v>
      </c>
      <c r="C326" t="s">
        <v>607</v>
      </c>
      <c r="D326" t="s">
        <v>792</v>
      </c>
      <c r="E326" t="s">
        <v>331</v>
      </c>
      <c r="F326" t="s">
        <v>917</v>
      </c>
      <c r="G326">
        <v>4730</v>
      </c>
      <c r="H326">
        <v>0</v>
      </c>
    </row>
    <row r="327" spans="1:9" x14ac:dyDescent="0.35">
      <c r="A327" t="s">
        <v>341</v>
      </c>
      <c r="B327" t="s">
        <v>918</v>
      </c>
      <c r="C327" t="s">
        <v>607</v>
      </c>
      <c r="D327" t="s">
        <v>764</v>
      </c>
      <c r="E327" t="s">
        <v>331</v>
      </c>
      <c r="F327" t="s">
        <v>919</v>
      </c>
      <c r="G327">
        <v>4730</v>
      </c>
      <c r="H327">
        <v>0</v>
      </c>
    </row>
    <row r="328" spans="1:9" x14ac:dyDescent="0.35">
      <c r="A328" t="s">
        <v>341</v>
      </c>
      <c r="B328" t="s">
        <v>920</v>
      </c>
      <c r="C328" t="s">
        <v>607</v>
      </c>
      <c r="D328" t="s">
        <v>764</v>
      </c>
      <c r="E328" t="s">
        <v>331</v>
      </c>
      <c r="F328" t="s">
        <v>921</v>
      </c>
      <c r="G328">
        <v>4730</v>
      </c>
      <c r="H328">
        <v>0</v>
      </c>
    </row>
    <row r="329" spans="1:9" x14ac:dyDescent="0.35">
      <c r="A329" t="s">
        <v>341</v>
      </c>
      <c r="B329" t="s">
        <v>922</v>
      </c>
      <c r="C329" t="s">
        <v>607</v>
      </c>
      <c r="D329" t="s">
        <v>720</v>
      </c>
      <c r="E329" t="s">
        <v>331</v>
      </c>
      <c r="F329" t="s">
        <v>923</v>
      </c>
      <c r="G329">
        <v>4730</v>
      </c>
      <c r="H329">
        <v>4730</v>
      </c>
      <c r="I329" t="s">
        <v>468</v>
      </c>
    </row>
    <row r="330" spans="1:9" x14ac:dyDescent="0.35">
      <c r="A330" t="s">
        <v>341</v>
      </c>
      <c r="B330" t="s">
        <v>924</v>
      </c>
      <c r="C330" t="s">
        <v>607</v>
      </c>
      <c r="D330" t="s">
        <v>792</v>
      </c>
      <c r="E330" t="s">
        <v>331</v>
      </c>
      <c r="F330" t="s">
        <v>925</v>
      </c>
      <c r="G330">
        <v>4730</v>
      </c>
      <c r="H330">
        <v>0</v>
      </c>
    </row>
    <row r="331" spans="1:9" x14ac:dyDescent="0.35">
      <c r="A331" t="s">
        <v>341</v>
      </c>
      <c r="B331" t="s">
        <v>926</v>
      </c>
      <c r="C331" t="s">
        <v>607</v>
      </c>
      <c r="D331" t="s">
        <v>720</v>
      </c>
      <c r="E331" t="s">
        <v>331</v>
      </c>
      <c r="F331" t="s">
        <v>927</v>
      </c>
      <c r="G331">
        <v>4730</v>
      </c>
      <c r="H331">
        <v>4730</v>
      </c>
      <c r="I331" t="s">
        <v>468</v>
      </c>
    </row>
    <row r="332" spans="1:9" x14ac:dyDescent="0.35">
      <c r="A332" t="s">
        <v>341</v>
      </c>
      <c r="B332" t="s">
        <v>928</v>
      </c>
      <c r="C332" t="s">
        <v>607</v>
      </c>
      <c r="D332" t="s">
        <v>625</v>
      </c>
      <c r="E332" t="s">
        <v>333</v>
      </c>
      <c r="F332" t="s">
        <v>929</v>
      </c>
      <c r="G332">
        <v>4740</v>
      </c>
      <c r="H332">
        <v>4740</v>
      </c>
      <c r="I332" t="s">
        <v>491</v>
      </c>
    </row>
    <row r="333" spans="1:9" x14ac:dyDescent="0.35">
      <c r="A333" t="s">
        <v>341</v>
      </c>
      <c r="B333" t="s">
        <v>930</v>
      </c>
      <c r="C333" t="s">
        <v>607</v>
      </c>
      <c r="D333" t="s">
        <v>720</v>
      </c>
      <c r="E333" t="s">
        <v>333</v>
      </c>
      <c r="F333" t="s">
        <v>929</v>
      </c>
      <c r="G333">
        <v>4740</v>
      </c>
      <c r="H333">
        <v>0</v>
      </c>
    </row>
    <row r="334" spans="1:9" x14ac:dyDescent="0.35">
      <c r="A334" t="s">
        <v>341</v>
      </c>
      <c r="B334" t="s">
        <v>931</v>
      </c>
      <c r="C334" t="s">
        <v>607</v>
      </c>
      <c r="D334" t="s">
        <v>720</v>
      </c>
      <c r="E334" t="s">
        <v>333</v>
      </c>
      <c r="F334" t="s">
        <v>932</v>
      </c>
      <c r="G334">
        <v>4740</v>
      </c>
      <c r="H334">
        <v>0</v>
      </c>
    </row>
    <row r="335" spans="1:9" x14ac:dyDescent="0.35">
      <c r="A335" t="s">
        <v>341</v>
      </c>
      <c r="B335" t="s">
        <v>933</v>
      </c>
      <c r="C335" t="s">
        <v>607</v>
      </c>
      <c r="D335" t="s">
        <v>799</v>
      </c>
      <c r="E335" t="s">
        <v>333</v>
      </c>
      <c r="F335" t="s">
        <v>934</v>
      </c>
      <c r="G335">
        <v>4740</v>
      </c>
      <c r="H335">
        <v>2</v>
      </c>
      <c r="I335" t="s">
        <v>494</v>
      </c>
    </row>
    <row r="336" spans="1:9" x14ac:dyDescent="0.35">
      <c r="A336" t="s">
        <v>341</v>
      </c>
      <c r="B336" t="s">
        <v>935</v>
      </c>
      <c r="C336" t="s">
        <v>607</v>
      </c>
      <c r="D336" t="s">
        <v>936</v>
      </c>
      <c r="E336" t="s">
        <v>333</v>
      </c>
      <c r="F336" t="s">
        <v>608</v>
      </c>
      <c r="G336">
        <v>4740</v>
      </c>
      <c r="H336">
        <v>0</v>
      </c>
    </row>
    <row r="337" spans="1:9" x14ac:dyDescent="0.35">
      <c r="A337" t="s">
        <v>341</v>
      </c>
      <c r="B337" t="s">
        <v>937</v>
      </c>
      <c r="C337" t="s">
        <v>607</v>
      </c>
      <c r="D337" t="s">
        <v>938</v>
      </c>
      <c r="E337" t="s">
        <v>333</v>
      </c>
      <c r="F337" t="s">
        <v>939</v>
      </c>
      <c r="G337">
        <v>4740</v>
      </c>
      <c r="H337">
        <v>0</v>
      </c>
    </row>
    <row r="338" spans="1:9" x14ac:dyDescent="0.35">
      <c r="A338" t="s">
        <v>341</v>
      </c>
      <c r="B338" t="s">
        <v>940</v>
      </c>
      <c r="C338" t="s">
        <v>607</v>
      </c>
      <c r="D338" t="s">
        <v>938</v>
      </c>
      <c r="E338" t="s">
        <v>333</v>
      </c>
      <c r="F338" t="s">
        <v>941</v>
      </c>
      <c r="G338">
        <v>4740</v>
      </c>
      <c r="H338">
        <v>0</v>
      </c>
    </row>
    <row r="339" spans="1:9" x14ac:dyDescent="0.35">
      <c r="A339" t="s">
        <v>341</v>
      </c>
      <c r="B339" t="s">
        <v>942</v>
      </c>
      <c r="C339" t="s">
        <v>607</v>
      </c>
      <c r="D339" t="s">
        <v>938</v>
      </c>
      <c r="E339" t="s">
        <v>333</v>
      </c>
      <c r="F339" t="s">
        <v>929</v>
      </c>
      <c r="G339">
        <v>4740</v>
      </c>
      <c r="H339">
        <v>0</v>
      </c>
    </row>
    <row r="340" spans="1:9" x14ac:dyDescent="0.35">
      <c r="A340" t="s">
        <v>341</v>
      </c>
      <c r="B340" t="s">
        <v>943</v>
      </c>
      <c r="C340" t="s">
        <v>607</v>
      </c>
      <c r="D340" t="s">
        <v>938</v>
      </c>
      <c r="E340" t="s">
        <v>333</v>
      </c>
      <c r="F340" t="s">
        <v>944</v>
      </c>
      <c r="G340">
        <v>4740</v>
      </c>
      <c r="H340">
        <v>2</v>
      </c>
      <c r="I340" t="s">
        <v>494</v>
      </c>
    </row>
    <row r="341" spans="1:9" x14ac:dyDescent="0.35">
      <c r="A341" t="s">
        <v>341</v>
      </c>
      <c r="B341" t="s">
        <v>945</v>
      </c>
      <c r="C341" t="s">
        <v>607</v>
      </c>
      <c r="D341" t="s">
        <v>938</v>
      </c>
      <c r="E341" t="s">
        <v>333</v>
      </c>
      <c r="F341" t="s">
        <v>946</v>
      </c>
      <c r="G341">
        <v>4740</v>
      </c>
      <c r="H341">
        <v>0</v>
      </c>
    </row>
    <row r="342" spans="1:9" x14ac:dyDescent="0.35">
      <c r="A342" t="s">
        <v>341</v>
      </c>
      <c r="B342" t="s">
        <v>947</v>
      </c>
      <c r="C342" t="s">
        <v>607</v>
      </c>
      <c r="D342" t="s">
        <v>938</v>
      </c>
      <c r="E342" t="s">
        <v>333</v>
      </c>
      <c r="F342" t="s">
        <v>948</v>
      </c>
      <c r="G342">
        <v>4740</v>
      </c>
      <c r="H342">
        <v>0</v>
      </c>
    </row>
    <row r="343" spans="1:9" x14ac:dyDescent="0.35">
      <c r="A343" t="s">
        <v>341</v>
      </c>
      <c r="B343" t="s">
        <v>949</v>
      </c>
      <c r="C343" t="s">
        <v>607</v>
      </c>
      <c r="D343" t="s">
        <v>938</v>
      </c>
      <c r="E343" t="s">
        <v>333</v>
      </c>
      <c r="F343" t="s">
        <v>950</v>
      </c>
      <c r="G343">
        <v>4740</v>
      </c>
      <c r="H343">
        <v>0</v>
      </c>
    </row>
    <row r="344" spans="1:9" x14ac:dyDescent="0.35">
      <c r="A344" t="s">
        <v>341</v>
      </c>
      <c r="B344" t="s">
        <v>951</v>
      </c>
      <c r="C344" t="s">
        <v>607</v>
      </c>
      <c r="D344" t="s">
        <v>938</v>
      </c>
      <c r="E344" t="s">
        <v>333</v>
      </c>
      <c r="F344" t="s">
        <v>932</v>
      </c>
      <c r="G344">
        <v>4740</v>
      </c>
      <c r="H344">
        <v>0</v>
      </c>
    </row>
    <row r="345" spans="1:9" x14ac:dyDescent="0.35">
      <c r="A345" t="s">
        <v>341</v>
      </c>
      <c r="B345" t="s">
        <v>952</v>
      </c>
      <c r="C345" t="s">
        <v>607</v>
      </c>
      <c r="D345" t="s">
        <v>938</v>
      </c>
      <c r="E345" t="s">
        <v>333</v>
      </c>
      <c r="F345" t="s">
        <v>934</v>
      </c>
      <c r="G345">
        <v>4740</v>
      </c>
      <c r="H345">
        <v>2</v>
      </c>
      <c r="I345" t="s">
        <v>494</v>
      </c>
    </row>
    <row r="346" spans="1:9" x14ac:dyDescent="0.35">
      <c r="A346" t="s">
        <v>341</v>
      </c>
      <c r="B346" t="s">
        <v>953</v>
      </c>
      <c r="C346" t="s">
        <v>607</v>
      </c>
      <c r="D346" t="s">
        <v>936</v>
      </c>
      <c r="E346" t="s">
        <v>333</v>
      </c>
      <c r="F346" t="s">
        <v>954</v>
      </c>
      <c r="G346">
        <v>4740</v>
      </c>
      <c r="H346">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5" x14ac:dyDescent="0.35"/>
  <cols>
    <col min="1" max="1" width="3.81640625" customWidth="1"/>
    <col min="2" max="2" width="48.81640625" bestFit="1" customWidth="1"/>
    <col min="3" max="3" width="44.453125" bestFit="1" customWidth="1"/>
    <col min="4" max="4" width="18.54296875" bestFit="1" customWidth="1"/>
    <col min="5" max="5" width="10.08984375" bestFit="1" customWidth="1"/>
    <col min="6" max="6" width="14.08984375" bestFit="1" customWidth="1"/>
    <col min="7" max="8" width="14.08984375" customWidth="1"/>
    <col min="9" max="9" width="48.54296875" customWidth="1"/>
    <col min="10" max="10" width="3.81640625" customWidth="1"/>
  </cols>
  <sheetData>
    <row r="1" spans="1:12" x14ac:dyDescent="0.35">
      <c r="A1" s="66"/>
      <c r="B1" s="66"/>
      <c r="C1" s="66"/>
      <c r="D1" s="66"/>
      <c r="E1" s="66"/>
      <c r="F1" s="66"/>
      <c r="G1" s="66"/>
      <c r="H1" s="66"/>
      <c r="I1" s="66"/>
      <c r="J1" s="66"/>
    </row>
    <row r="2" spans="1:12" x14ac:dyDescent="0.35">
      <c r="A2" s="66"/>
      <c r="B2" s="66"/>
      <c r="C2" s="66"/>
      <c r="D2" s="66"/>
      <c r="E2" s="66"/>
      <c r="F2" s="66"/>
      <c r="G2" s="66"/>
      <c r="H2" s="66"/>
      <c r="I2" s="66"/>
      <c r="J2" s="66"/>
      <c r="L2" s="100"/>
    </row>
    <row r="3" spans="1:12" x14ac:dyDescent="0.35">
      <c r="A3" s="66"/>
      <c r="B3" s="66"/>
      <c r="C3" s="66"/>
      <c r="D3" s="66"/>
      <c r="E3" s="66"/>
      <c r="F3" s="66"/>
      <c r="G3" s="66"/>
      <c r="H3" s="66"/>
      <c r="I3" s="66"/>
      <c r="J3" s="66"/>
      <c r="L3" s="100"/>
    </row>
    <row r="4" spans="1:12" ht="3" customHeight="1" x14ac:dyDescent="0.35">
      <c r="A4" s="67"/>
      <c r="B4" s="67"/>
      <c r="C4" s="67"/>
      <c r="D4" s="67"/>
      <c r="E4" s="67"/>
      <c r="F4" s="67"/>
      <c r="G4" s="67"/>
      <c r="H4" s="67"/>
      <c r="I4" s="67"/>
      <c r="J4" s="67"/>
    </row>
    <row r="5" spans="1:12" x14ac:dyDescent="0.35">
      <c r="A5" s="68"/>
      <c r="B5" s="68"/>
      <c r="C5" s="68"/>
      <c r="D5" s="68"/>
      <c r="E5" s="68"/>
      <c r="F5" s="68"/>
      <c r="G5" s="68"/>
      <c r="H5" s="68"/>
      <c r="I5" s="68"/>
      <c r="J5" s="68"/>
    </row>
    <row r="6" spans="1:12" ht="15" thickBot="1" x14ac:dyDescent="0.4">
      <c r="A6" s="68"/>
      <c r="B6" s="69" t="s">
        <v>318</v>
      </c>
      <c r="C6" s="70"/>
      <c r="D6" s="70"/>
      <c r="E6" s="70"/>
      <c r="F6" s="70"/>
      <c r="G6" s="70"/>
      <c r="H6" s="70"/>
      <c r="I6" s="70"/>
      <c r="J6" s="68"/>
    </row>
    <row r="7" spans="1:12" x14ac:dyDescent="0.35">
      <c r="A7" s="68"/>
      <c r="B7" s="68"/>
      <c r="C7" s="68"/>
      <c r="D7" s="68"/>
      <c r="E7" s="68"/>
      <c r="F7" s="68"/>
      <c r="G7" s="68"/>
      <c r="H7" s="68"/>
      <c r="I7" s="68"/>
      <c r="J7" s="68"/>
    </row>
    <row r="8" spans="1:12" x14ac:dyDescent="0.35">
      <c r="B8" s="84" t="s">
        <v>31</v>
      </c>
      <c r="C8" s="84" t="s">
        <v>33</v>
      </c>
      <c r="D8" s="84" t="s">
        <v>32</v>
      </c>
      <c r="E8" s="84" t="s">
        <v>34</v>
      </c>
      <c r="F8" s="84" t="s">
        <v>35</v>
      </c>
      <c r="G8" s="84" t="s">
        <v>335</v>
      </c>
      <c r="H8" s="91" t="s">
        <v>118</v>
      </c>
      <c r="I8" s="84" t="s">
        <v>120</v>
      </c>
    </row>
    <row r="9" spans="1:12" x14ac:dyDescent="0.35">
      <c r="B9" s="85"/>
      <c r="C9" s="85"/>
      <c r="D9" s="85"/>
      <c r="E9" s="86"/>
      <c r="F9" s="86"/>
      <c r="G9" s="86"/>
      <c r="H9" s="86"/>
      <c r="I9" s="86"/>
    </row>
    <row r="10" spans="1:12" x14ac:dyDescent="0.35">
      <c r="B10" s="85"/>
      <c r="C10" s="85"/>
      <c r="D10" s="85"/>
      <c r="E10" s="86"/>
      <c r="F10" s="86"/>
      <c r="G10" s="86"/>
      <c r="H10" s="86"/>
      <c r="I10" s="86"/>
    </row>
    <row r="11" spans="1:12" x14ac:dyDescent="0.35">
      <c r="B11" s="85"/>
      <c r="C11" s="85"/>
      <c r="D11" s="85"/>
      <c r="E11" s="86"/>
      <c r="F11" s="86"/>
      <c r="G11" s="86"/>
      <c r="H11" s="86"/>
      <c r="I11" s="86"/>
    </row>
    <row r="12" spans="1:12" x14ac:dyDescent="0.35">
      <c r="B12" s="85"/>
      <c r="C12" s="85"/>
      <c r="D12" s="85"/>
      <c r="E12" s="86"/>
      <c r="F12" s="86"/>
      <c r="G12" s="86"/>
      <c r="H12" s="86"/>
      <c r="I12" s="86"/>
    </row>
    <row r="13" spans="1:12" x14ac:dyDescent="0.35">
      <c r="B13" s="85"/>
      <c r="C13" s="85"/>
      <c r="D13" s="85"/>
      <c r="E13" s="86"/>
      <c r="F13" s="86"/>
      <c r="G13" s="86"/>
      <c r="H13" s="86"/>
      <c r="I13" s="86"/>
    </row>
    <row r="14" spans="1:12" x14ac:dyDescent="0.35">
      <c r="B14" s="85"/>
      <c r="C14" s="85"/>
      <c r="D14" s="85"/>
      <c r="E14" s="86"/>
      <c r="F14" s="86"/>
      <c r="G14" s="86"/>
      <c r="H14" s="86"/>
      <c r="I14" s="86"/>
    </row>
    <row r="15" spans="1:12" x14ac:dyDescent="0.35">
      <c r="B15" s="85"/>
      <c r="C15" s="85"/>
      <c r="D15" s="85"/>
      <c r="E15" s="86"/>
      <c r="F15" s="86"/>
      <c r="G15" s="86"/>
      <c r="H15" s="86"/>
      <c r="I15" s="86"/>
    </row>
    <row r="16" spans="1:12" x14ac:dyDescent="0.35">
      <c r="B16" s="85"/>
      <c r="C16" s="85"/>
      <c r="D16" s="85"/>
      <c r="E16" s="86"/>
      <c r="F16" s="86"/>
      <c r="G16" s="86"/>
      <c r="H16" s="86"/>
      <c r="I16" s="86"/>
    </row>
    <row r="17" spans="2:9" x14ac:dyDescent="0.35">
      <c r="B17" s="85"/>
      <c r="C17" s="85"/>
      <c r="D17" s="85"/>
      <c r="E17" s="86"/>
      <c r="F17" s="86"/>
      <c r="G17" s="86"/>
      <c r="H17" s="86"/>
      <c r="I17" s="86"/>
    </row>
    <row r="18" spans="2:9" x14ac:dyDescent="0.35">
      <c r="B18" s="85"/>
      <c r="C18" s="85"/>
      <c r="D18" s="85"/>
      <c r="E18" s="86"/>
      <c r="F18" s="86"/>
      <c r="G18" s="86"/>
      <c r="H18" s="86"/>
      <c r="I18" s="86"/>
    </row>
    <row r="19" spans="2:9" x14ac:dyDescent="0.35">
      <c r="B19" s="85"/>
      <c r="C19" s="85"/>
      <c r="D19" s="85"/>
      <c r="E19" s="86"/>
      <c r="F19" s="86"/>
      <c r="G19" s="86"/>
      <c r="H19" s="86"/>
      <c r="I19" s="86"/>
    </row>
    <row r="20" spans="2:9" x14ac:dyDescent="0.35">
      <c r="B20" s="85"/>
      <c r="C20" s="85"/>
      <c r="D20" s="85"/>
      <c r="E20" s="86"/>
      <c r="F20" s="86"/>
      <c r="G20" s="86"/>
      <c r="H20" s="86"/>
      <c r="I20" s="86"/>
    </row>
    <row r="21" spans="2:9" x14ac:dyDescent="0.35">
      <c r="B21" s="85"/>
      <c r="C21" s="85"/>
      <c r="D21" s="85"/>
      <c r="E21" s="86"/>
      <c r="F21" s="86"/>
      <c r="G21" s="86"/>
      <c r="H21" s="86"/>
      <c r="I21" s="86"/>
    </row>
    <row r="22" spans="2:9" x14ac:dyDescent="0.35">
      <c r="B22" s="85"/>
      <c r="C22" s="85"/>
      <c r="D22" s="85"/>
      <c r="E22" s="86"/>
      <c r="F22" s="86"/>
      <c r="G22" s="86"/>
      <c r="H22" s="86"/>
      <c r="I22" s="86"/>
    </row>
    <row r="23" spans="2:9" x14ac:dyDescent="0.35">
      <c r="B23" s="85"/>
      <c r="C23" s="85"/>
      <c r="D23" s="85"/>
      <c r="E23" s="86"/>
      <c r="F23" s="86"/>
      <c r="G23" s="86"/>
      <c r="H23" s="86"/>
      <c r="I23" s="86"/>
    </row>
    <row r="24" spans="2:9" x14ac:dyDescent="0.35">
      <c r="B24" s="85"/>
      <c r="C24" s="85"/>
      <c r="D24" s="85"/>
      <c r="E24" s="86"/>
      <c r="F24" s="86"/>
      <c r="G24" s="86"/>
      <c r="H24" s="86"/>
      <c r="I24" s="86"/>
    </row>
    <row r="25" spans="2:9" x14ac:dyDescent="0.35">
      <c r="B25" s="85"/>
      <c r="C25" s="85"/>
      <c r="D25" s="85"/>
      <c r="E25" s="86"/>
      <c r="F25" s="86"/>
      <c r="G25" s="86"/>
      <c r="H25" s="86"/>
      <c r="I25" s="86"/>
    </row>
    <row r="26" spans="2:9" x14ac:dyDescent="0.35">
      <c r="B26" s="85"/>
      <c r="C26" s="85"/>
      <c r="D26" s="85"/>
      <c r="E26" s="86"/>
      <c r="F26" s="86"/>
      <c r="G26" s="86"/>
      <c r="H26" s="86"/>
      <c r="I26" s="86"/>
    </row>
    <row r="27" spans="2:9" x14ac:dyDescent="0.35">
      <c r="B27" s="85"/>
      <c r="C27" s="85"/>
      <c r="D27" s="85"/>
      <c r="E27" s="86"/>
      <c r="F27" s="86"/>
      <c r="G27" s="86"/>
      <c r="H27" s="86"/>
      <c r="I27" s="86"/>
    </row>
    <row r="28" spans="2:9" x14ac:dyDescent="0.35">
      <c r="B28" s="85"/>
      <c r="C28" s="85"/>
      <c r="D28" s="85"/>
      <c r="E28" s="86"/>
      <c r="F28" s="86"/>
      <c r="G28" s="86"/>
      <c r="H28" s="86"/>
      <c r="I28" s="86"/>
    </row>
    <row r="29" spans="2:9" x14ac:dyDescent="0.35">
      <c r="B29" s="85"/>
      <c r="C29" s="85"/>
      <c r="D29" s="85"/>
      <c r="E29" s="86"/>
      <c r="F29" s="86"/>
      <c r="G29" s="86"/>
      <c r="H29" s="86"/>
      <c r="I29" s="86"/>
    </row>
    <row r="30" spans="2:9" x14ac:dyDescent="0.35">
      <c r="B30" s="85"/>
      <c r="C30" s="85"/>
      <c r="D30" s="85"/>
      <c r="E30" s="86"/>
      <c r="F30" s="86"/>
      <c r="G30" s="86"/>
      <c r="H30" s="86"/>
      <c r="I30" s="86"/>
    </row>
    <row r="31" spans="2:9" x14ac:dyDescent="0.35">
      <c r="B31" s="85"/>
      <c r="C31" s="85"/>
      <c r="D31" s="85"/>
      <c r="E31" s="86"/>
      <c r="F31" s="86"/>
      <c r="G31" s="86"/>
      <c r="H31" s="86"/>
      <c r="I31" s="86"/>
    </row>
    <row r="32" spans="2:9" x14ac:dyDescent="0.35">
      <c r="B32" s="85"/>
      <c r="C32" s="85"/>
      <c r="D32" s="85"/>
      <c r="E32" s="86"/>
      <c r="F32" s="86"/>
      <c r="G32" s="86"/>
      <c r="H32" s="86"/>
      <c r="I32" s="86"/>
    </row>
    <row r="33" spans="2:9" x14ac:dyDescent="0.35">
      <c r="B33" s="85"/>
      <c r="C33" s="85"/>
      <c r="D33" s="85"/>
      <c r="E33" s="86"/>
      <c r="F33" s="86"/>
      <c r="G33" s="86"/>
      <c r="H33" s="86"/>
      <c r="I33" s="86"/>
    </row>
    <row r="34" spans="2:9" x14ac:dyDescent="0.35">
      <c r="B34" s="85"/>
      <c r="C34" s="85"/>
      <c r="D34" s="85"/>
      <c r="E34" s="86"/>
      <c r="F34" s="86"/>
      <c r="G34" s="86"/>
      <c r="H34" s="86"/>
      <c r="I34" s="86"/>
    </row>
    <row r="35" spans="2:9" x14ac:dyDescent="0.35">
      <c r="B35" s="85"/>
      <c r="C35" s="85"/>
      <c r="D35" s="85"/>
      <c r="E35" s="86"/>
      <c r="F35" s="86"/>
      <c r="G35" s="86"/>
      <c r="H35" s="86"/>
      <c r="I35" s="86"/>
    </row>
    <row r="36" spans="2:9" x14ac:dyDescent="0.35">
      <c r="B36" s="85"/>
      <c r="C36" s="85"/>
      <c r="D36" s="85"/>
      <c r="E36" s="86"/>
      <c r="F36" s="86"/>
      <c r="G36" s="86"/>
      <c r="H36" s="86"/>
      <c r="I36" s="86"/>
    </row>
    <row r="37" spans="2:9" x14ac:dyDescent="0.35">
      <c r="B37" s="85"/>
      <c r="C37" s="85"/>
      <c r="D37" s="85"/>
      <c r="E37" s="86"/>
      <c r="F37" s="86"/>
      <c r="G37" s="86"/>
      <c r="H37" s="86"/>
      <c r="I37" s="86"/>
    </row>
    <row r="38" spans="2:9" x14ac:dyDescent="0.35">
      <c r="B38" s="85"/>
      <c r="C38" s="85"/>
      <c r="D38" s="85"/>
      <c r="E38" s="86"/>
      <c r="F38" s="86"/>
      <c r="G38" s="86"/>
      <c r="H38" s="86"/>
      <c r="I38" s="86"/>
    </row>
    <row r="39" spans="2:9" x14ac:dyDescent="0.35">
      <c r="B39" s="85"/>
      <c r="C39" s="85"/>
      <c r="D39" s="85"/>
      <c r="E39" s="86"/>
      <c r="F39" s="86"/>
      <c r="G39" s="86"/>
      <c r="H39" s="86"/>
      <c r="I39" s="86"/>
    </row>
    <row r="40" spans="2:9" x14ac:dyDescent="0.35">
      <c r="B40" s="85"/>
      <c r="C40" s="85"/>
      <c r="D40" s="85"/>
      <c r="E40" s="86"/>
      <c r="F40" s="86"/>
      <c r="G40" s="86"/>
      <c r="H40" s="86"/>
      <c r="I40" s="86"/>
    </row>
    <row r="41" spans="2:9" x14ac:dyDescent="0.35">
      <c r="B41" s="85"/>
      <c r="C41" s="85"/>
      <c r="D41" s="85"/>
      <c r="E41" s="86"/>
      <c r="F41" s="86"/>
      <c r="G41" s="86"/>
      <c r="H41" s="86"/>
      <c r="I41" s="86"/>
    </row>
    <row r="42" spans="2:9" x14ac:dyDescent="0.35">
      <c r="B42" s="85"/>
      <c r="C42" s="85"/>
      <c r="D42" s="85"/>
      <c r="E42" s="86"/>
      <c r="F42" s="86"/>
      <c r="G42" s="86"/>
      <c r="H42" s="86"/>
      <c r="I42" s="86"/>
    </row>
    <row r="43" spans="2:9" x14ac:dyDescent="0.35">
      <c r="B43" s="85"/>
      <c r="C43" s="85"/>
      <c r="D43" s="85"/>
      <c r="E43" s="86"/>
      <c r="F43" s="86"/>
      <c r="G43" s="86"/>
      <c r="H43" s="86"/>
      <c r="I43" s="86"/>
    </row>
    <row r="44" spans="2:9" x14ac:dyDescent="0.35">
      <c r="B44" s="85"/>
      <c r="C44" s="85"/>
      <c r="D44" s="85"/>
      <c r="E44" s="86"/>
      <c r="F44" s="86"/>
      <c r="G44" s="86"/>
      <c r="H44" s="86"/>
      <c r="I44" s="86"/>
    </row>
    <row r="45" spans="2:9" x14ac:dyDescent="0.35">
      <c r="B45" s="85"/>
      <c r="C45" s="85"/>
      <c r="D45" s="85"/>
      <c r="E45" s="86"/>
      <c r="F45" s="86"/>
      <c r="G45" s="86"/>
      <c r="H45" s="86"/>
      <c r="I45" s="86"/>
    </row>
    <row r="46" spans="2:9" x14ac:dyDescent="0.35">
      <c r="B46" s="85"/>
      <c r="C46" s="85"/>
      <c r="D46" s="85"/>
      <c r="E46" s="86"/>
      <c r="F46" s="86"/>
      <c r="G46" s="86"/>
      <c r="H46" s="86"/>
      <c r="I46" s="86"/>
    </row>
    <row r="47" spans="2:9" x14ac:dyDescent="0.35">
      <c r="B47" s="85"/>
      <c r="C47" s="85"/>
      <c r="D47" s="85"/>
      <c r="E47" s="86"/>
      <c r="F47" s="86"/>
      <c r="G47" s="86"/>
      <c r="H47" s="86"/>
      <c r="I47" s="86"/>
    </row>
    <row r="48" spans="2:9" x14ac:dyDescent="0.35">
      <c r="B48" s="85"/>
      <c r="C48" s="85"/>
      <c r="D48" s="85"/>
      <c r="E48" s="86"/>
      <c r="F48" s="86"/>
      <c r="G48" s="86"/>
      <c r="H48" s="86"/>
      <c r="I48" s="86"/>
    </row>
    <row r="49" spans="2:9" x14ac:dyDescent="0.35">
      <c r="B49" s="85"/>
      <c r="C49" s="85"/>
      <c r="D49" s="85"/>
      <c r="E49" s="86"/>
      <c r="F49" s="86"/>
      <c r="G49" s="86"/>
      <c r="H49" s="86"/>
      <c r="I49" s="86"/>
    </row>
    <row r="50" spans="2:9" x14ac:dyDescent="0.35">
      <c r="B50" s="85"/>
      <c r="C50" s="85"/>
      <c r="D50" s="85"/>
      <c r="E50" s="86"/>
      <c r="F50" s="86"/>
      <c r="G50" s="86"/>
      <c r="H50" s="86"/>
      <c r="I50" s="86"/>
    </row>
    <row r="51" spans="2:9" x14ac:dyDescent="0.35">
      <c r="B51" s="85"/>
      <c r="C51" s="85"/>
      <c r="D51" s="85"/>
      <c r="E51" s="86"/>
      <c r="F51" s="86"/>
      <c r="G51" s="86"/>
      <c r="H51" s="86"/>
      <c r="I51" s="86"/>
    </row>
    <row r="52" spans="2:9" x14ac:dyDescent="0.35">
      <c r="B52" s="85"/>
      <c r="C52" s="85"/>
      <c r="D52" s="85"/>
      <c r="E52" s="86"/>
      <c r="F52" s="86"/>
      <c r="G52" s="86"/>
      <c r="H52" s="86"/>
      <c r="I52" s="86"/>
    </row>
    <row r="53" spans="2:9" x14ac:dyDescent="0.35">
      <c r="B53" s="85"/>
      <c r="C53" s="85"/>
      <c r="D53" s="85"/>
      <c r="E53" s="86"/>
      <c r="F53" s="86"/>
      <c r="G53" s="86"/>
      <c r="H53" s="86"/>
      <c r="I53" s="86"/>
    </row>
    <row r="54" spans="2:9" x14ac:dyDescent="0.35">
      <c r="B54" s="85"/>
      <c r="C54" s="85"/>
      <c r="D54" s="85"/>
      <c r="E54" s="86"/>
      <c r="F54" s="86"/>
      <c r="G54" s="86"/>
      <c r="H54" s="86"/>
      <c r="I54" s="86"/>
    </row>
    <row r="55" spans="2:9" x14ac:dyDescent="0.35">
      <c r="B55" s="85"/>
      <c r="C55" s="85"/>
      <c r="D55" s="85"/>
      <c r="E55" s="86"/>
      <c r="F55" s="86"/>
      <c r="G55" s="86"/>
      <c r="H55" s="86"/>
      <c r="I55" s="86"/>
    </row>
    <row r="56" spans="2:9" x14ac:dyDescent="0.35">
      <c r="B56" s="85"/>
      <c r="C56" s="85"/>
      <c r="D56" s="85"/>
      <c r="E56" s="86"/>
      <c r="F56" s="86"/>
      <c r="G56" s="86"/>
      <c r="H56" s="86"/>
      <c r="I56" s="86"/>
    </row>
    <row r="57" spans="2:9" x14ac:dyDescent="0.35">
      <c r="B57" s="85"/>
      <c r="C57" s="85"/>
      <c r="D57" s="85"/>
      <c r="E57" s="86"/>
      <c r="F57" s="86"/>
      <c r="G57" s="86"/>
      <c r="H57" s="86"/>
      <c r="I57" s="86"/>
    </row>
    <row r="58" spans="2:9" x14ac:dyDescent="0.35">
      <c r="B58" s="85"/>
      <c r="C58" s="85"/>
      <c r="D58" s="85"/>
      <c r="E58" s="86"/>
      <c r="F58" s="86"/>
      <c r="G58" s="86"/>
      <c r="H58" s="86"/>
      <c r="I58" s="86"/>
    </row>
    <row r="59" spans="2:9" x14ac:dyDescent="0.35">
      <c r="B59" s="85"/>
      <c r="C59" s="85"/>
      <c r="D59" s="85"/>
      <c r="E59" s="86"/>
      <c r="F59" s="86"/>
      <c r="G59" s="86"/>
      <c r="H59" s="86"/>
      <c r="I59" s="86"/>
    </row>
    <row r="60" spans="2:9" x14ac:dyDescent="0.35">
      <c r="B60" s="85"/>
      <c r="C60" s="85"/>
      <c r="D60" s="85"/>
      <c r="E60" s="86"/>
      <c r="F60" s="86"/>
      <c r="G60" s="86"/>
      <c r="H60" s="86"/>
      <c r="I60" s="86"/>
    </row>
    <row r="61" spans="2:9" x14ac:dyDescent="0.35">
      <c r="B61" s="85"/>
      <c r="C61" s="85"/>
      <c r="D61" s="85"/>
      <c r="E61" s="86"/>
      <c r="F61" s="86"/>
      <c r="G61" s="86"/>
      <c r="H61" s="86"/>
      <c r="I61" s="86"/>
    </row>
    <row r="62" spans="2:9" x14ac:dyDescent="0.35">
      <c r="B62" s="85"/>
      <c r="C62" s="85"/>
      <c r="D62" s="85"/>
      <c r="E62" s="86"/>
      <c r="F62" s="86"/>
      <c r="G62" s="86"/>
      <c r="H62" s="86"/>
      <c r="I62" s="86"/>
    </row>
    <row r="63" spans="2:9" x14ac:dyDescent="0.35">
      <c r="B63" s="85"/>
      <c r="C63" s="85"/>
      <c r="D63" s="85"/>
      <c r="E63" s="86"/>
      <c r="F63" s="86"/>
      <c r="G63" s="86"/>
      <c r="H63" s="86"/>
      <c r="I63" s="86"/>
    </row>
    <row r="64" spans="2:9" x14ac:dyDescent="0.35">
      <c r="B64" s="85"/>
      <c r="C64" s="85"/>
      <c r="D64" s="85"/>
      <c r="E64" s="86"/>
      <c r="F64" s="86"/>
      <c r="G64" s="86"/>
      <c r="H64" s="86"/>
      <c r="I64" s="86"/>
    </row>
    <row r="65" spans="2:9" x14ac:dyDescent="0.35">
      <c r="B65" s="85"/>
      <c r="C65" s="85"/>
      <c r="D65" s="85"/>
      <c r="E65" s="86"/>
      <c r="F65" s="86"/>
      <c r="G65" s="86"/>
      <c r="H65" s="86"/>
      <c r="I65" s="86"/>
    </row>
    <row r="66" spans="2:9" x14ac:dyDescent="0.35">
      <c r="B66" s="85"/>
      <c r="C66" s="85"/>
      <c r="D66" s="85"/>
      <c r="E66" s="86"/>
      <c r="F66" s="86"/>
      <c r="G66" s="86"/>
      <c r="H66" s="86"/>
      <c r="I66" s="86"/>
    </row>
    <row r="67" spans="2:9" x14ac:dyDescent="0.35">
      <c r="B67" s="85"/>
      <c r="C67" s="85"/>
      <c r="D67" s="85"/>
      <c r="E67" s="86"/>
      <c r="F67" s="86"/>
      <c r="G67" s="86"/>
      <c r="H67" s="86"/>
      <c r="I67" s="86"/>
    </row>
    <row r="68" spans="2:9" x14ac:dyDescent="0.35">
      <c r="B68" s="85"/>
      <c r="C68" s="85"/>
      <c r="D68" s="85"/>
      <c r="E68" s="86"/>
      <c r="F68" s="86"/>
      <c r="G68" s="86"/>
      <c r="H68" s="86"/>
      <c r="I68" s="86"/>
    </row>
    <row r="69" spans="2:9" x14ac:dyDescent="0.35">
      <c r="B69" s="85"/>
      <c r="C69" s="85"/>
      <c r="D69" s="85"/>
      <c r="E69" s="86"/>
      <c r="F69" s="86"/>
      <c r="G69" s="86"/>
      <c r="H69" s="86"/>
      <c r="I69" s="86"/>
    </row>
    <row r="70" spans="2:9" x14ac:dyDescent="0.35">
      <c r="B70" s="85"/>
      <c r="C70" s="85"/>
      <c r="D70" s="85"/>
      <c r="E70" s="86"/>
      <c r="F70" s="86"/>
      <c r="G70" s="86"/>
      <c r="H70" s="86"/>
      <c r="I70" s="86"/>
    </row>
    <row r="71" spans="2:9" x14ac:dyDescent="0.35">
      <c r="B71" s="85"/>
      <c r="C71" s="85"/>
      <c r="D71" s="85"/>
      <c r="E71" s="86"/>
      <c r="F71" s="86"/>
      <c r="G71" s="86"/>
      <c r="H71" s="86"/>
      <c r="I71" s="86"/>
    </row>
    <row r="72" spans="2:9" x14ac:dyDescent="0.35">
      <c r="B72" s="85"/>
      <c r="C72" s="85"/>
      <c r="D72" s="85"/>
      <c r="E72" s="86"/>
      <c r="F72" s="86"/>
      <c r="G72" s="86"/>
      <c r="H72" s="86"/>
      <c r="I72" s="86"/>
    </row>
    <row r="73" spans="2:9" x14ac:dyDescent="0.35">
      <c r="B73" s="85"/>
      <c r="C73" s="85"/>
      <c r="D73" s="85"/>
      <c r="E73" s="86"/>
      <c r="F73" s="86"/>
      <c r="G73" s="86"/>
      <c r="H73" s="86"/>
      <c r="I73" s="86"/>
    </row>
    <row r="74" spans="2:9" x14ac:dyDescent="0.35">
      <c r="B74" s="85"/>
      <c r="C74" s="85"/>
      <c r="D74" s="85"/>
      <c r="E74" s="86"/>
      <c r="F74" s="86"/>
      <c r="G74" s="86"/>
      <c r="H74" s="86"/>
      <c r="I74" s="86"/>
    </row>
    <row r="75" spans="2:9" x14ac:dyDescent="0.35">
      <c r="B75" s="85"/>
      <c r="C75" s="85"/>
      <c r="D75" s="85"/>
      <c r="E75" s="86"/>
      <c r="F75" s="86"/>
      <c r="G75" s="86"/>
      <c r="H75" s="86"/>
      <c r="I75" s="86"/>
    </row>
    <row r="76" spans="2:9" x14ac:dyDescent="0.35">
      <c r="B76" s="85"/>
      <c r="C76" s="85"/>
      <c r="D76" s="85"/>
      <c r="E76" s="86"/>
      <c r="F76" s="86"/>
      <c r="G76" s="86"/>
      <c r="H76" s="86"/>
      <c r="I76" s="86"/>
    </row>
    <row r="77" spans="2:9" x14ac:dyDescent="0.35">
      <c r="B77" s="85"/>
      <c r="C77" s="85"/>
      <c r="D77" s="85"/>
      <c r="E77" s="86"/>
      <c r="F77" s="86"/>
      <c r="G77" s="86"/>
      <c r="H77" s="86"/>
      <c r="I77" s="86"/>
    </row>
    <row r="78" spans="2:9" x14ac:dyDescent="0.35">
      <c r="B78" s="85"/>
      <c r="C78" s="85"/>
      <c r="D78" s="85"/>
      <c r="E78" s="86"/>
      <c r="F78" s="86"/>
      <c r="G78" s="86"/>
      <c r="H78" s="86"/>
      <c r="I78" s="86"/>
    </row>
    <row r="79" spans="2:9" x14ac:dyDescent="0.35">
      <c r="B79" s="85"/>
      <c r="C79" s="85"/>
      <c r="D79" s="85"/>
      <c r="E79" s="86"/>
      <c r="F79" s="86"/>
      <c r="G79" s="86"/>
      <c r="H79" s="86"/>
      <c r="I79" s="86"/>
    </row>
    <row r="80" spans="2:9" x14ac:dyDescent="0.35">
      <c r="B80" s="85"/>
      <c r="C80" s="85"/>
      <c r="D80" s="85"/>
      <c r="E80" s="86"/>
      <c r="F80" s="86"/>
      <c r="G80" s="86"/>
      <c r="H80" s="86"/>
      <c r="I80" s="86"/>
    </row>
    <row r="81" spans="2:9" x14ac:dyDescent="0.35">
      <c r="B81" s="85"/>
      <c r="C81" s="85"/>
      <c r="D81" s="85"/>
      <c r="E81" s="86"/>
      <c r="F81" s="86"/>
      <c r="G81" s="86"/>
      <c r="H81" s="86"/>
      <c r="I81" s="86"/>
    </row>
    <row r="82" spans="2:9" x14ac:dyDescent="0.35">
      <c r="B82" s="85"/>
      <c r="C82" s="85"/>
      <c r="D82" s="85"/>
      <c r="E82" s="86"/>
      <c r="F82" s="86"/>
      <c r="G82" s="86"/>
      <c r="H82" s="86"/>
      <c r="I82" s="86"/>
    </row>
    <row r="83" spans="2:9" x14ac:dyDescent="0.35">
      <c r="B83" s="85"/>
      <c r="C83" s="85"/>
      <c r="D83" s="85"/>
      <c r="E83" s="86"/>
      <c r="F83" s="86"/>
      <c r="G83" s="86"/>
      <c r="H83" s="86"/>
      <c r="I83" s="86"/>
    </row>
    <row r="84" spans="2:9" x14ac:dyDescent="0.35">
      <c r="B84" s="85"/>
      <c r="C84" s="85"/>
      <c r="D84" s="85"/>
      <c r="E84" s="86"/>
      <c r="F84" s="86"/>
      <c r="G84" s="86"/>
      <c r="H84" s="86"/>
      <c r="I84" s="86"/>
    </row>
    <row r="85" spans="2:9" x14ac:dyDescent="0.35">
      <c r="B85" s="85"/>
      <c r="C85" s="85"/>
      <c r="D85" s="85"/>
      <c r="E85" s="86"/>
      <c r="F85" s="86"/>
      <c r="G85" s="86"/>
      <c r="H85" s="86"/>
      <c r="I85" s="86"/>
    </row>
    <row r="86" spans="2:9" x14ac:dyDescent="0.35">
      <c r="B86" s="85"/>
      <c r="C86" s="85"/>
      <c r="D86" s="85"/>
      <c r="E86" s="86"/>
      <c r="F86" s="86"/>
      <c r="G86" s="86"/>
      <c r="H86" s="86"/>
      <c r="I86" s="86"/>
    </row>
    <row r="87" spans="2:9" x14ac:dyDescent="0.35">
      <c r="B87" s="85"/>
      <c r="C87" s="85"/>
      <c r="D87" s="85"/>
      <c r="E87" s="86"/>
      <c r="F87" s="86"/>
      <c r="G87" s="86"/>
      <c r="H87" s="86"/>
      <c r="I87" s="86"/>
    </row>
    <row r="88" spans="2:9" x14ac:dyDescent="0.35">
      <c r="B88" s="85"/>
      <c r="C88" s="85"/>
      <c r="D88" s="85"/>
      <c r="E88" s="86"/>
      <c r="F88" s="86"/>
      <c r="G88" s="86"/>
      <c r="H88" s="86"/>
      <c r="I88" s="86"/>
    </row>
    <row r="89" spans="2:9" x14ac:dyDescent="0.35">
      <c r="B89" s="85"/>
      <c r="C89" s="85"/>
      <c r="D89" s="85"/>
      <c r="E89" s="86"/>
      <c r="F89" s="86"/>
      <c r="G89" s="86"/>
      <c r="H89" s="86"/>
      <c r="I89" s="86"/>
    </row>
    <row r="90" spans="2:9" x14ac:dyDescent="0.35">
      <c r="B90" s="85"/>
      <c r="C90" s="85"/>
      <c r="D90" s="85"/>
      <c r="E90" s="86"/>
      <c r="F90" s="86"/>
      <c r="G90" s="86"/>
      <c r="H90" s="86"/>
      <c r="I90" s="86"/>
    </row>
    <row r="91" spans="2:9" x14ac:dyDescent="0.35">
      <c r="B91" s="85"/>
      <c r="C91" s="85"/>
      <c r="D91" s="85"/>
      <c r="E91" s="86"/>
      <c r="F91" s="86"/>
      <c r="G91" s="86"/>
      <c r="H91" s="86"/>
      <c r="I91" s="86"/>
    </row>
    <row r="92" spans="2:9" x14ac:dyDescent="0.35">
      <c r="B92" s="85"/>
      <c r="C92" s="85"/>
      <c r="D92" s="85"/>
      <c r="E92" s="86"/>
      <c r="F92" s="86"/>
      <c r="G92" s="86"/>
      <c r="H92" s="86"/>
      <c r="I92" s="86"/>
    </row>
    <row r="93" spans="2:9" x14ac:dyDescent="0.35">
      <c r="B93" s="85"/>
      <c r="C93" s="85"/>
      <c r="D93" s="85"/>
      <c r="E93" s="86"/>
      <c r="F93" s="86"/>
      <c r="G93" s="86"/>
      <c r="H93" s="86"/>
      <c r="I93" s="86"/>
    </row>
    <row r="94" spans="2:9" x14ac:dyDescent="0.35">
      <c r="B94" s="85"/>
      <c r="C94" s="85"/>
      <c r="D94" s="85"/>
      <c r="E94" s="86"/>
      <c r="F94" s="86"/>
      <c r="G94" s="86"/>
      <c r="H94" s="86"/>
      <c r="I94" s="86"/>
    </row>
    <row r="95" spans="2:9" x14ac:dyDescent="0.35">
      <c r="B95" s="85"/>
      <c r="C95" s="85"/>
      <c r="D95" s="85"/>
      <c r="E95" s="86"/>
      <c r="F95" s="86"/>
      <c r="G95" s="86"/>
      <c r="H95" s="86"/>
      <c r="I95" s="86"/>
    </row>
    <row r="96" spans="2:9" x14ac:dyDescent="0.35">
      <c r="B96" s="85"/>
      <c r="C96" s="85"/>
      <c r="D96" s="85"/>
      <c r="E96" s="86"/>
      <c r="F96" s="86"/>
      <c r="G96" s="86"/>
      <c r="H96" s="86"/>
      <c r="I96" s="86"/>
    </row>
    <row r="97" spans="2:9" x14ac:dyDescent="0.35">
      <c r="B97" s="85"/>
      <c r="C97" s="85"/>
      <c r="D97" s="85"/>
      <c r="E97" s="86"/>
      <c r="F97" s="86"/>
      <c r="G97" s="86"/>
      <c r="H97" s="86"/>
      <c r="I97" s="86"/>
    </row>
    <row r="98" spans="2:9" x14ac:dyDescent="0.35">
      <c r="B98" s="85"/>
      <c r="C98" s="85"/>
      <c r="D98" s="85"/>
      <c r="E98" s="86"/>
      <c r="F98" s="86"/>
      <c r="G98" s="86"/>
      <c r="H98" s="86"/>
      <c r="I98" s="86"/>
    </row>
    <row r="99" spans="2:9" x14ac:dyDescent="0.35">
      <c r="B99" s="85"/>
      <c r="C99" s="85"/>
      <c r="D99" s="85"/>
      <c r="E99" s="86"/>
      <c r="F99" s="86"/>
      <c r="G99" s="86"/>
      <c r="H99" s="86"/>
      <c r="I99" s="86"/>
    </row>
    <row r="100" spans="2:9" x14ac:dyDescent="0.35">
      <c r="B100" s="85"/>
      <c r="C100" s="85"/>
      <c r="D100" s="85"/>
      <c r="E100" s="86"/>
      <c r="F100" s="86"/>
      <c r="G100" s="86"/>
      <c r="H100" s="86"/>
      <c r="I100" s="86"/>
    </row>
    <row r="101" spans="2:9" x14ac:dyDescent="0.35">
      <c r="B101" s="85"/>
      <c r="C101" s="85"/>
      <c r="D101" s="85"/>
      <c r="E101" s="86"/>
      <c r="F101" s="86"/>
      <c r="G101" s="86"/>
      <c r="H101" s="86"/>
      <c r="I101" s="86"/>
    </row>
    <row r="102" spans="2:9" x14ac:dyDescent="0.35">
      <c r="B102" s="85"/>
      <c r="C102" s="85"/>
      <c r="D102" s="85"/>
      <c r="E102" s="86"/>
      <c r="F102" s="86"/>
      <c r="G102" s="86"/>
      <c r="H102" s="86"/>
      <c r="I102" s="86"/>
    </row>
    <row r="103" spans="2:9" x14ac:dyDescent="0.35">
      <c r="B103" s="85"/>
      <c r="C103" s="85"/>
      <c r="D103" s="85"/>
      <c r="E103" s="86"/>
      <c r="F103" s="86"/>
      <c r="G103" s="86"/>
      <c r="H103" s="86"/>
      <c r="I103" s="86"/>
    </row>
    <row r="104" spans="2:9" x14ac:dyDescent="0.35">
      <c r="B104" s="85"/>
      <c r="C104" s="85"/>
      <c r="D104" s="85"/>
      <c r="E104" s="86"/>
      <c r="F104" s="86"/>
      <c r="G104" s="86"/>
      <c r="H104" s="86"/>
      <c r="I104" s="86"/>
    </row>
    <row r="105" spans="2:9" x14ac:dyDescent="0.35">
      <c r="B105" s="85"/>
      <c r="C105" s="85"/>
      <c r="D105" s="85"/>
      <c r="E105" s="86"/>
      <c r="F105" s="86"/>
      <c r="G105" s="86"/>
      <c r="H105" s="86"/>
      <c r="I105" s="86"/>
    </row>
    <row r="106" spans="2:9" x14ac:dyDescent="0.35">
      <c r="B106" s="85"/>
      <c r="C106" s="85"/>
      <c r="D106" s="85"/>
      <c r="E106" s="86"/>
      <c r="F106" s="86"/>
      <c r="G106" s="86"/>
      <c r="H106" s="86"/>
      <c r="I106" s="86"/>
    </row>
    <row r="107" spans="2:9" x14ac:dyDescent="0.35">
      <c r="B107" s="85"/>
      <c r="C107" s="85"/>
      <c r="D107" s="85"/>
      <c r="E107" s="86"/>
      <c r="F107" s="86"/>
      <c r="G107" s="86"/>
      <c r="H107" s="86"/>
      <c r="I107" s="86"/>
    </row>
    <row r="108" spans="2:9" x14ac:dyDescent="0.35">
      <c r="B108" s="85"/>
      <c r="C108" s="85"/>
      <c r="D108" s="85"/>
      <c r="E108" s="86"/>
      <c r="F108" s="86"/>
      <c r="G108" s="86"/>
      <c r="H108" s="86"/>
      <c r="I108" s="86"/>
    </row>
    <row r="109" spans="2:9" x14ac:dyDescent="0.35">
      <c r="B109" s="85"/>
      <c r="C109" s="85"/>
      <c r="D109" s="85"/>
      <c r="E109" s="86"/>
      <c r="F109" s="86"/>
      <c r="G109" s="86"/>
      <c r="H109" s="86"/>
      <c r="I109" s="86"/>
    </row>
    <row r="110" spans="2:9" x14ac:dyDescent="0.35">
      <c r="B110" s="85"/>
      <c r="C110" s="85"/>
      <c r="D110" s="85"/>
      <c r="E110" s="86"/>
      <c r="F110" s="86"/>
      <c r="G110" s="86"/>
      <c r="H110" s="86"/>
      <c r="I110" s="86"/>
    </row>
    <row r="111" spans="2:9" x14ac:dyDescent="0.35">
      <c r="B111" s="85"/>
      <c r="C111" s="85"/>
      <c r="D111" s="85"/>
      <c r="E111" s="86"/>
      <c r="F111" s="86"/>
      <c r="G111" s="86"/>
      <c r="H111" s="86"/>
      <c r="I111" s="86"/>
    </row>
    <row r="112" spans="2:9" x14ac:dyDescent="0.35">
      <c r="B112" s="85"/>
      <c r="C112" s="85"/>
      <c r="D112" s="85"/>
      <c r="E112" s="86"/>
      <c r="F112" s="86"/>
      <c r="G112" s="86"/>
      <c r="H112" s="86"/>
      <c r="I112" s="86"/>
    </row>
    <row r="113" spans="2:9" x14ac:dyDescent="0.35">
      <c r="B113" s="85"/>
      <c r="C113" s="85"/>
      <c r="D113" s="85"/>
      <c r="E113" s="86"/>
      <c r="F113" s="86"/>
      <c r="G113" s="86"/>
      <c r="H113" s="86"/>
      <c r="I113" s="86"/>
    </row>
    <row r="114" spans="2:9" x14ac:dyDescent="0.35">
      <c r="B114" s="85"/>
      <c r="C114" s="85"/>
      <c r="D114" s="85"/>
      <c r="E114" s="86"/>
      <c r="F114" s="86"/>
      <c r="G114" s="86"/>
      <c r="H114" s="86"/>
      <c r="I114" s="86"/>
    </row>
    <row r="115" spans="2:9" x14ac:dyDescent="0.35">
      <c r="B115" s="85"/>
      <c r="C115" s="85"/>
      <c r="D115" s="85"/>
      <c r="E115" s="86"/>
      <c r="F115" s="86"/>
      <c r="G115" s="86"/>
      <c r="H115" s="86"/>
      <c r="I115" s="86"/>
    </row>
    <row r="116" spans="2:9" x14ac:dyDescent="0.35">
      <c r="B116" s="85"/>
      <c r="C116" s="85"/>
      <c r="D116" s="85"/>
      <c r="E116" s="86"/>
      <c r="F116" s="86"/>
      <c r="G116" s="86"/>
      <c r="H116" s="86"/>
      <c r="I116" s="86"/>
    </row>
    <row r="117" spans="2:9" x14ac:dyDescent="0.35">
      <c r="B117" s="85"/>
      <c r="C117" s="85"/>
      <c r="D117" s="85"/>
      <c r="E117" s="86"/>
      <c r="F117" s="86"/>
      <c r="G117" s="86"/>
      <c r="H117" s="86"/>
      <c r="I117" s="86"/>
    </row>
    <row r="118" spans="2:9" x14ac:dyDescent="0.35">
      <c r="B118" s="85"/>
      <c r="C118" s="85"/>
      <c r="D118" s="85"/>
      <c r="E118" s="86"/>
      <c r="F118" s="86"/>
      <c r="G118" s="86"/>
      <c r="H118" s="86"/>
      <c r="I118" s="86"/>
    </row>
    <row r="119" spans="2:9" x14ac:dyDescent="0.35">
      <c r="B119" s="85"/>
      <c r="C119" s="85"/>
      <c r="D119" s="85"/>
      <c r="E119" s="86"/>
      <c r="F119" s="86"/>
      <c r="G119" s="86"/>
      <c r="H119" s="86"/>
      <c r="I119" s="86"/>
    </row>
    <row r="120" spans="2:9" x14ac:dyDescent="0.35">
      <c r="B120" s="85"/>
      <c r="C120" s="85"/>
      <c r="D120" s="85"/>
      <c r="E120" s="86"/>
      <c r="F120" s="86"/>
      <c r="G120" s="86"/>
      <c r="H120" s="86"/>
      <c r="I120" s="86"/>
    </row>
    <row r="121" spans="2:9" x14ac:dyDescent="0.35">
      <c r="B121" s="85"/>
      <c r="C121" s="85"/>
      <c r="D121" s="85"/>
      <c r="E121" s="86"/>
      <c r="F121" s="86"/>
      <c r="G121" s="86"/>
      <c r="H121" s="86"/>
      <c r="I121" s="86"/>
    </row>
    <row r="122" spans="2:9" x14ac:dyDescent="0.35">
      <c r="B122" s="85"/>
      <c r="C122" s="85"/>
      <c r="D122" s="85"/>
      <c r="E122" s="86"/>
      <c r="F122" s="86"/>
      <c r="G122" s="86"/>
      <c r="H122" s="86"/>
      <c r="I122" s="86"/>
    </row>
    <row r="123" spans="2:9" x14ac:dyDescent="0.35">
      <c r="B123" s="85"/>
      <c r="C123" s="85"/>
      <c r="D123" s="85"/>
      <c r="E123" s="86"/>
      <c r="F123" s="86"/>
      <c r="G123" s="86"/>
      <c r="H123" s="86"/>
      <c r="I123" s="86"/>
    </row>
    <row r="124" spans="2:9" x14ac:dyDescent="0.35">
      <c r="B124" s="85"/>
      <c r="C124" s="85"/>
      <c r="D124" s="85"/>
      <c r="E124" s="86"/>
      <c r="F124" s="86"/>
      <c r="G124" s="86"/>
      <c r="H124" s="86"/>
      <c r="I124" s="86"/>
    </row>
    <row r="125" spans="2:9" x14ac:dyDescent="0.35">
      <c r="B125" s="85"/>
      <c r="C125" s="85"/>
      <c r="D125" s="85"/>
      <c r="E125" s="86"/>
      <c r="F125" s="86"/>
      <c r="G125" s="86"/>
      <c r="H125" s="86"/>
      <c r="I125" s="86"/>
    </row>
    <row r="126" spans="2:9" x14ac:dyDescent="0.35">
      <c r="B126" s="85"/>
      <c r="C126" s="85"/>
      <c r="D126" s="85"/>
      <c r="E126" s="86"/>
      <c r="F126" s="86"/>
      <c r="G126" s="86"/>
      <c r="H126" s="86"/>
      <c r="I126" s="86"/>
    </row>
    <row r="127" spans="2:9" x14ac:dyDescent="0.35">
      <c r="B127" s="85"/>
      <c r="C127" s="85"/>
      <c r="D127" s="85"/>
      <c r="E127" s="86"/>
      <c r="F127" s="86"/>
      <c r="G127" s="86"/>
      <c r="H127" s="86"/>
      <c r="I127" s="86"/>
    </row>
    <row r="128" spans="2:9" x14ac:dyDescent="0.35">
      <c r="B128" s="85"/>
      <c r="C128" s="85"/>
      <c r="D128" s="85"/>
      <c r="E128" s="86"/>
      <c r="F128" s="86"/>
      <c r="G128" s="86"/>
      <c r="H128" s="86"/>
      <c r="I128" s="86"/>
    </row>
    <row r="129" spans="2:9" x14ac:dyDescent="0.35">
      <c r="B129" s="85"/>
      <c r="C129" s="85"/>
      <c r="D129" s="85"/>
      <c r="E129" s="86"/>
      <c r="F129" s="86"/>
      <c r="G129" s="86"/>
      <c r="H129" s="86"/>
      <c r="I129" s="86"/>
    </row>
    <row r="130" spans="2:9" x14ac:dyDescent="0.35">
      <c r="B130" s="85"/>
      <c r="C130" s="85"/>
      <c r="D130" s="85"/>
      <c r="E130" s="86"/>
      <c r="F130" s="86"/>
      <c r="G130" s="86"/>
      <c r="H130" s="86"/>
      <c r="I130" s="86"/>
    </row>
    <row r="131" spans="2:9" x14ac:dyDescent="0.35">
      <c r="B131" s="85"/>
      <c r="C131" s="85"/>
      <c r="D131" s="85"/>
      <c r="E131" s="86"/>
      <c r="F131" s="86"/>
      <c r="G131" s="86"/>
      <c r="H131" s="86"/>
      <c r="I131" s="86"/>
    </row>
    <row r="132" spans="2:9" x14ac:dyDescent="0.35">
      <c r="B132" s="85"/>
      <c r="C132" s="85"/>
      <c r="D132" s="85"/>
      <c r="E132" s="86"/>
      <c r="F132" s="86"/>
      <c r="G132" s="86"/>
      <c r="H132" s="86"/>
      <c r="I132" s="86"/>
    </row>
    <row r="133" spans="2:9" x14ac:dyDescent="0.35">
      <c r="B133" s="85"/>
      <c r="C133" s="85"/>
      <c r="D133" s="85"/>
      <c r="E133" s="86"/>
      <c r="F133" s="86"/>
      <c r="G133" s="86"/>
      <c r="H133" s="86"/>
      <c r="I133" s="86"/>
    </row>
    <row r="134" spans="2:9" x14ac:dyDescent="0.35">
      <c r="B134" s="85"/>
      <c r="C134" s="85"/>
      <c r="D134" s="85"/>
      <c r="E134" s="86"/>
      <c r="F134" s="86"/>
      <c r="G134" s="86"/>
      <c r="H134" s="86"/>
      <c r="I134" s="86"/>
    </row>
    <row r="135" spans="2:9" x14ac:dyDescent="0.35">
      <c r="B135" s="85"/>
      <c r="C135" s="85"/>
      <c r="D135" s="85"/>
      <c r="E135" s="86"/>
      <c r="F135" s="86"/>
      <c r="G135" s="86"/>
      <c r="H135" s="86"/>
      <c r="I135" s="86"/>
    </row>
    <row r="136" spans="2:9" x14ac:dyDescent="0.35">
      <c r="B136" s="85"/>
      <c r="C136" s="85"/>
      <c r="D136" s="85"/>
      <c r="E136" s="86"/>
      <c r="F136" s="86"/>
      <c r="G136" s="86"/>
      <c r="H136" s="86"/>
      <c r="I136" s="86"/>
    </row>
    <row r="137" spans="2:9" x14ac:dyDescent="0.35">
      <c r="B137" s="85"/>
      <c r="C137" s="85"/>
      <c r="D137" s="85"/>
      <c r="E137" s="86"/>
      <c r="F137" s="86"/>
      <c r="G137" s="86"/>
      <c r="H137" s="86"/>
      <c r="I137" s="86"/>
    </row>
    <row r="138" spans="2:9" x14ac:dyDescent="0.35">
      <c r="B138" s="85"/>
      <c r="C138" s="85"/>
      <c r="D138" s="85"/>
      <c r="E138" s="86"/>
      <c r="F138" s="86"/>
      <c r="G138" s="86"/>
      <c r="H138" s="86"/>
      <c r="I138" s="86"/>
    </row>
    <row r="139" spans="2:9" x14ac:dyDescent="0.35">
      <c r="B139" s="85"/>
      <c r="C139" s="85"/>
      <c r="D139" s="85"/>
      <c r="E139" s="86"/>
      <c r="F139" s="86"/>
      <c r="G139" s="86"/>
      <c r="H139" s="86"/>
      <c r="I139" s="86"/>
    </row>
    <row r="140" spans="2:9" x14ac:dyDescent="0.35">
      <c r="B140" s="85"/>
      <c r="C140" s="85"/>
      <c r="D140" s="85"/>
      <c r="E140" s="86"/>
      <c r="F140" s="86"/>
      <c r="G140" s="86"/>
      <c r="H140" s="86"/>
      <c r="I140" s="86"/>
    </row>
    <row r="141" spans="2:9" x14ac:dyDescent="0.35">
      <c r="B141" s="85"/>
      <c r="C141" s="85"/>
      <c r="D141" s="85"/>
      <c r="E141" s="86"/>
      <c r="F141" s="86"/>
      <c r="G141" s="86"/>
      <c r="H141" s="86"/>
      <c r="I141" s="86"/>
    </row>
    <row r="142" spans="2:9" x14ac:dyDescent="0.35">
      <c r="B142" s="85"/>
      <c r="C142" s="85"/>
      <c r="D142" s="85"/>
      <c r="E142" s="86"/>
      <c r="F142" s="86"/>
      <c r="G142" s="86"/>
      <c r="H142" s="86"/>
      <c r="I142" s="86"/>
    </row>
    <row r="143" spans="2:9" x14ac:dyDescent="0.35">
      <c r="B143" s="85"/>
      <c r="C143" s="85"/>
      <c r="D143" s="85"/>
      <c r="E143" s="86"/>
      <c r="F143" s="86"/>
      <c r="G143" s="86"/>
      <c r="H143" s="86"/>
      <c r="I143" s="86"/>
    </row>
    <row r="144" spans="2:9" x14ac:dyDescent="0.35">
      <c r="B144" s="85"/>
      <c r="C144" s="85"/>
      <c r="D144" s="85"/>
      <c r="E144" s="86"/>
      <c r="F144" s="86"/>
      <c r="G144" s="86"/>
      <c r="H144" s="86"/>
      <c r="I144" s="86"/>
    </row>
    <row r="145" spans="2:9" x14ac:dyDescent="0.35">
      <c r="B145" s="85"/>
      <c r="C145" s="85"/>
      <c r="D145" s="85"/>
      <c r="E145" s="86"/>
      <c r="F145" s="86"/>
      <c r="G145" s="86"/>
      <c r="H145" s="86"/>
      <c r="I145" s="86"/>
    </row>
    <row r="146" spans="2:9" x14ac:dyDescent="0.35">
      <c r="B146" s="85"/>
      <c r="C146" s="85"/>
      <c r="D146" s="85"/>
      <c r="E146" s="86"/>
      <c r="F146" s="86"/>
      <c r="G146" s="86"/>
      <c r="H146" s="86"/>
      <c r="I146" s="86"/>
    </row>
    <row r="147" spans="2:9" x14ac:dyDescent="0.35">
      <c r="B147" s="85"/>
      <c r="C147" s="85"/>
      <c r="D147" s="85"/>
      <c r="E147" s="86"/>
      <c r="F147" s="86"/>
      <c r="G147" s="86"/>
      <c r="H147" s="86"/>
      <c r="I147" s="86"/>
    </row>
    <row r="148" spans="2:9" x14ac:dyDescent="0.35">
      <c r="B148" s="85"/>
      <c r="C148" s="85"/>
      <c r="D148" s="85"/>
      <c r="E148" s="86"/>
      <c r="F148" s="86"/>
      <c r="G148" s="86"/>
      <c r="H148" s="86"/>
      <c r="I148" s="86"/>
    </row>
    <row r="149" spans="2:9" x14ac:dyDescent="0.35">
      <c r="B149" s="85"/>
      <c r="C149" s="85"/>
      <c r="D149" s="85"/>
      <c r="E149" s="86"/>
      <c r="F149" s="86"/>
      <c r="G149" s="86"/>
      <c r="H149" s="86"/>
      <c r="I149" s="86"/>
    </row>
    <row r="150" spans="2:9" x14ac:dyDescent="0.35">
      <c r="B150" s="85"/>
      <c r="C150" s="85"/>
      <c r="D150" s="85"/>
      <c r="E150" s="86"/>
      <c r="F150" s="86"/>
      <c r="G150" s="86"/>
      <c r="H150" s="86"/>
      <c r="I150" s="86"/>
    </row>
    <row r="151" spans="2:9" x14ac:dyDescent="0.35">
      <c r="B151" s="85"/>
      <c r="C151" s="85"/>
      <c r="D151" s="85"/>
      <c r="E151" s="86"/>
      <c r="F151" s="86"/>
      <c r="G151" s="86"/>
      <c r="H151" s="86"/>
      <c r="I151" s="86"/>
    </row>
    <row r="152" spans="2:9" x14ac:dyDescent="0.35">
      <c r="B152" s="85"/>
      <c r="C152" s="85"/>
      <c r="D152" s="85"/>
      <c r="E152" s="86"/>
      <c r="F152" s="86"/>
      <c r="G152" s="86"/>
      <c r="H152" s="86"/>
      <c r="I152" s="86"/>
    </row>
    <row r="153" spans="2:9" x14ac:dyDescent="0.35">
      <c r="B153" s="85"/>
      <c r="C153" s="85"/>
      <c r="D153" s="85"/>
      <c r="E153" s="86"/>
      <c r="F153" s="86"/>
      <c r="G153" s="86"/>
      <c r="H153" s="86"/>
      <c r="I153" s="86"/>
    </row>
    <row r="154" spans="2:9" x14ac:dyDescent="0.35">
      <c r="B154" s="85"/>
      <c r="C154" s="85"/>
      <c r="D154" s="85"/>
      <c r="E154" s="86"/>
      <c r="F154" s="86"/>
      <c r="G154" s="86"/>
      <c r="H154" s="86"/>
      <c r="I154" s="86"/>
    </row>
    <row r="155" spans="2:9" x14ac:dyDescent="0.35">
      <c r="B155" s="98"/>
      <c r="C155" s="98"/>
      <c r="D155" s="98"/>
      <c r="E155" s="99"/>
      <c r="F155" s="99"/>
      <c r="G155" s="99"/>
      <c r="H155" s="99"/>
      <c r="I155" s="99"/>
    </row>
    <row r="156" spans="2:9" x14ac:dyDescent="0.35">
      <c r="B156" s="98"/>
      <c r="C156" s="98"/>
      <c r="D156" s="98"/>
      <c r="E156" s="99"/>
      <c r="F156" s="99"/>
      <c r="G156" s="99"/>
      <c r="H156" s="99"/>
      <c r="I156" s="99"/>
    </row>
    <row r="157" spans="2:9" x14ac:dyDescent="0.35">
      <c r="B157" s="98"/>
      <c r="C157" s="98"/>
      <c r="D157" s="98"/>
      <c r="E157" s="99"/>
      <c r="F157" s="99"/>
      <c r="G157" s="99"/>
      <c r="H157" s="99"/>
      <c r="I157" s="99"/>
    </row>
    <row r="158" spans="2:9" x14ac:dyDescent="0.35">
      <c r="B158" s="98"/>
      <c r="C158" s="98"/>
      <c r="D158" s="98"/>
      <c r="E158" s="99"/>
      <c r="F158" s="99"/>
      <c r="G158" s="99"/>
      <c r="H158" s="99"/>
      <c r="I158" s="99"/>
    </row>
  </sheetData>
  <autoFilter ref="B8:H154" xr:uid="{90D6CD8A-7C56-4B85-AF15-7FD4E534061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5" zeroHeight="1" x14ac:dyDescent="0.35"/>
  <cols>
    <col min="1" max="2" width="3.81640625" customWidth="1"/>
    <col min="3" max="5" width="18.54296875" customWidth="1"/>
    <col min="6" max="6" width="8.90625" customWidth="1"/>
    <col min="7" max="9" width="18.54296875" customWidth="1"/>
    <col min="10" max="10" width="8.90625" customWidth="1"/>
    <col min="11" max="13" width="18.54296875" customWidth="1"/>
    <col min="14" max="14" width="3.81640625" customWidth="1"/>
    <col min="15" max="22" width="0" hidden="1" customWidth="1"/>
    <col min="23" max="16384" width="8.90625" hidden="1"/>
  </cols>
  <sheetData>
    <row r="1" spans="1:14" x14ac:dyDescent="0.35">
      <c r="A1" s="66"/>
      <c r="B1" s="66"/>
      <c r="C1" s="66"/>
      <c r="D1" s="66"/>
      <c r="E1" s="66"/>
      <c r="F1" s="66"/>
      <c r="G1" s="66"/>
      <c r="H1" s="66"/>
      <c r="I1" s="66"/>
      <c r="J1" s="66"/>
      <c r="K1" s="66"/>
      <c r="L1" s="66"/>
      <c r="M1" s="66"/>
      <c r="N1" s="66"/>
    </row>
    <row r="2" spans="1:14" x14ac:dyDescent="0.35">
      <c r="A2" s="66"/>
      <c r="B2" s="66"/>
      <c r="C2" s="66"/>
      <c r="D2" s="66"/>
      <c r="E2" s="66"/>
      <c r="F2" s="66"/>
      <c r="G2" s="66"/>
      <c r="H2" s="66"/>
      <c r="I2" s="66"/>
      <c r="J2" s="66"/>
      <c r="K2" s="66"/>
      <c r="L2" s="66"/>
      <c r="M2" s="66"/>
      <c r="N2" s="66"/>
    </row>
    <row r="3" spans="1:14" x14ac:dyDescent="0.35">
      <c r="A3" s="66"/>
      <c r="B3" s="66"/>
      <c r="C3" s="66"/>
      <c r="D3" s="66"/>
      <c r="E3" s="66"/>
      <c r="F3" s="66"/>
      <c r="G3" s="66"/>
      <c r="H3" s="66"/>
      <c r="I3" s="66"/>
      <c r="J3" s="66"/>
      <c r="K3" s="66"/>
      <c r="L3" s="66"/>
      <c r="M3" s="66"/>
      <c r="N3" s="66"/>
    </row>
    <row r="4" spans="1:14" ht="3" customHeight="1" x14ac:dyDescent="0.35">
      <c r="A4" s="67"/>
      <c r="B4" s="67"/>
      <c r="C4" s="67"/>
      <c r="D4" s="67"/>
      <c r="E4" s="67"/>
      <c r="F4" s="67"/>
      <c r="G4" s="67"/>
      <c r="H4" s="67"/>
      <c r="I4" s="67"/>
      <c r="J4" s="67"/>
      <c r="K4" s="67"/>
      <c r="L4" s="67"/>
      <c r="M4" s="67"/>
      <c r="N4" s="67"/>
    </row>
    <row r="5" spans="1:14" x14ac:dyDescent="0.35">
      <c r="A5" s="68"/>
      <c r="B5" s="68"/>
      <c r="C5" s="68"/>
      <c r="D5" s="68"/>
      <c r="E5" s="68"/>
      <c r="F5" s="68"/>
      <c r="G5" s="68"/>
      <c r="H5" s="68"/>
      <c r="I5" s="68"/>
      <c r="J5" s="68"/>
      <c r="K5" s="68"/>
      <c r="L5" s="68"/>
      <c r="M5" s="68"/>
      <c r="N5" s="68"/>
    </row>
    <row r="6" spans="1:14" ht="15" thickBot="1" x14ac:dyDescent="0.4">
      <c r="A6" s="68"/>
      <c r="B6" s="69" t="s">
        <v>317</v>
      </c>
      <c r="C6" s="69"/>
      <c r="D6" s="70"/>
      <c r="E6" s="70"/>
      <c r="F6" s="70"/>
      <c r="G6" s="70"/>
      <c r="H6" s="70"/>
      <c r="I6" s="70"/>
      <c r="J6" s="70"/>
      <c r="K6" s="70"/>
      <c r="L6" s="70"/>
      <c r="M6" s="70"/>
    </row>
    <row r="7" spans="1:14" x14ac:dyDescent="0.35">
      <c r="A7" s="68"/>
      <c r="B7" s="68"/>
      <c r="C7" s="68"/>
      <c r="D7" s="68"/>
      <c r="E7" s="68"/>
      <c r="F7" s="68"/>
      <c r="G7" s="68"/>
    </row>
    <row r="8" spans="1:14" x14ac:dyDescent="0.35">
      <c r="A8" s="68"/>
      <c r="B8" s="68"/>
      <c r="C8" s="102" t="s">
        <v>10</v>
      </c>
      <c r="D8" s="68"/>
      <c r="E8" s="68"/>
      <c r="F8" s="68"/>
      <c r="G8" s="68"/>
    </row>
    <row r="9" spans="1:14" x14ac:dyDescent="0.35">
      <c r="A9" s="68"/>
      <c r="B9" s="68"/>
      <c r="C9" s="102" t="s">
        <v>353</v>
      </c>
      <c r="D9" s="68"/>
      <c r="E9" s="68"/>
      <c r="F9" s="68"/>
      <c r="G9" s="102" t="s">
        <v>354</v>
      </c>
      <c r="K9" s="102" t="s">
        <v>355</v>
      </c>
    </row>
    <row r="10" spans="1:14" x14ac:dyDescent="0.35">
      <c r="A10" s="68"/>
      <c r="B10" s="68"/>
      <c r="C10" s="68"/>
      <c r="D10" s="68"/>
      <c r="E10" s="68"/>
      <c r="F10" s="68"/>
    </row>
    <row r="11" spans="1:14" x14ac:dyDescent="0.35">
      <c r="C11" s="84" t="s">
        <v>356</v>
      </c>
      <c r="D11" s="84" t="s">
        <v>357</v>
      </c>
      <c r="E11" s="84" t="s">
        <v>358</v>
      </c>
      <c r="G11" s="84" t="s">
        <v>356</v>
      </c>
      <c r="H11" s="84" t="s">
        <v>357</v>
      </c>
      <c r="I11" s="84" t="s">
        <v>358</v>
      </c>
      <c r="K11" s="84" t="b">
        <f t="shared" ref="K11:M13" si="0">+C11=G11</f>
        <v>1</v>
      </c>
      <c r="L11" s="84" t="b">
        <f t="shared" si="0"/>
        <v>1</v>
      </c>
      <c r="M11" s="84" t="b">
        <f t="shared" si="0"/>
        <v>1</v>
      </c>
    </row>
    <row r="12" spans="1:14" x14ac:dyDescent="0.35">
      <c r="C12" s="86" t="s">
        <v>359</v>
      </c>
      <c r="D12" s="86" t="s">
        <v>360</v>
      </c>
      <c r="E12" s="86" t="s">
        <v>361</v>
      </c>
      <c r="G12" s="86" t="s">
        <v>359</v>
      </c>
      <c r="H12" s="86" t="s">
        <v>360</v>
      </c>
      <c r="I12" s="86" t="s">
        <v>361</v>
      </c>
      <c r="K12" s="103" t="b">
        <f t="shared" si="0"/>
        <v>1</v>
      </c>
      <c r="L12" s="103" t="b">
        <f t="shared" si="0"/>
        <v>1</v>
      </c>
      <c r="M12" s="103" t="b">
        <f t="shared" si="0"/>
        <v>1</v>
      </c>
    </row>
    <row r="13" spans="1:14" x14ac:dyDescent="0.35">
      <c r="C13" s="86" t="s">
        <v>359</v>
      </c>
      <c r="D13" s="86" t="s">
        <v>360</v>
      </c>
      <c r="E13" s="86" t="s">
        <v>361</v>
      </c>
      <c r="G13" s="86" t="s">
        <v>359</v>
      </c>
      <c r="H13" s="86" t="s">
        <v>360</v>
      </c>
      <c r="I13" s="86" t="s">
        <v>361</v>
      </c>
      <c r="K13" s="103" t="b">
        <f t="shared" si="0"/>
        <v>1</v>
      </c>
      <c r="L13" s="103" t="b">
        <f t="shared" si="0"/>
        <v>1</v>
      </c>
      <c r="M13" s="103" t="b">
        <f t="shared" si="0"/>
        <v>1</v>
      </c>
    </row>
    <row r="14" spans="1:14" x14ac:dyDescent="0.35"/>
    <row r="15" spans="1:14" x14ac:dyDescent="0.35">
      <c r="C15" s="102" t="s">
        <v>362</v>
      </c>
    </row>
    <row r="16" spans="1:14" x14ac:dyDescent="0.35">
      <c r="A16" s="68"/>
      <c r="B16" s="68"/>
      <c r="C16" s="102" t="s">
        <v>353</v>
      </c>
      <c r="D16" s="68"/>
      <c r="E16" s="68"/>
      <c r="F16" s="68"/>
      <c r="G16" s="102" t="s">
        <v>354</v>
      </c>
      <c r="K16" s="102" t="s">
        <v>355</v>
      </c>
    </row>
    <row r="17" spans="1:13" x14ac:dyDescent="0.35">
      <c r="C17" s="102"/>
    </row>
    <row r="18" spans="1:13" x14ac:dyDescent="0.35">
      <c r="C18" s="84" t="s">
        <v>356</v>
      </c>
      <c r="D18" s="84" t="s">
        <v>357</v>
      </c>
      <c r="E18" s="84" t="s">
        <v>358</v>
      </c>
      <c r="G18" s="84" t="s">
        <v>356</v>
      </c>
      <c r="H18" s="84" t="s">
        <v>357</v>
      </c>
      <c r="I18" s="84" t="s">
        <v>358</v>
      </c>
      <c r="K18" s="84" t="b">
        <f t="shared" ref="K18:M20" si="1">+C18=G18</f>
        <v>1</v>
      </c>
      <c r="L18" s="84" t="b">
        <f t="shared" si="1"/>
        <v>1</v>
      </c>
      <c r="M18" s="84" t="b">
        <f t="shared" si="1"/>
        <v>1</v>
      </c>
    </row>
    <row r="19" spans="1:13" x14ac:dyDescent="0.35">
      <c r="C19" s="86" t="s">
        <v>359</v>
      </c>
      <c r="D19" s="86" t="s">
        <v>360</v>
      </c>
      <c r="E19" s="86" t="s">
        <v>361</v>
      </c>
      <c r="G19" s="86" t="s">
        <v>359</v>
      </c>
      <c r="H19" s="86" t="s">
        <v>360</v>
      </c>
      <c r="I19" s="86" t="s">
        <v>361</v>
      </c>
      <c r="K19" s="103" t="b">
        <f t="shared" si="1"/>
        <v>1</v>
      </c>
      <c r="L19" s="103" t="b">
        <f t="shared" si="1"/>
        <v>1</v>
      </c>
      <c r="M19" s="103" t="b">
        <f t="shared" si="1"/>
        <v>1</v>
      </c>
    </row>
    <row r="20" spans="1:13" x14ac:dyDescent="0.35">
      <c r="C20" s="86" t="s">
        <v>359</v>
      </c>
      <c r="D20" s="86" t="s">
        <v>360</v>
      </c>
      <c r="E20" s="86" t="s">
        <v>361</v>
      </c>
      <c r="G20" s="86" t="s">
        <v>359</v>
      </c>
      <c r="H20" s="86" t="s">
        <v>360</v>
      </c>
      <c r="I20" s="86" t="s">
        <v>361</v>
      </c>
      <c r="K20" s="103" t="b">
        <f t="shared" si="1"/>
        <v>1</v>
      </c>
      <c r="L20" s="103" t="b">
        <f t="shared" si="1"/>
        <v>1</v>
      </c>
      <c r="M20" s="103" t="b">
        <f t="shared" si="1"/>
        <v>1</v>
      </c>
    </row>
    <row r="21" spans="1:13" x14ac:dyDescent="0.35"/>
    <row r="22" spans="1:13" x14ac:dyDescent="0.35">
      <c r="A22" s="68"/>
      <c r="B22" s="68"/>
      <c r="C22" s="102" t="s">
        <v>12</v>
      </c>
      <c r="D22" s="68"/>
      <c r="E22" s="68"/>
      <c r="F22" s="68"/>
      <c r="G22" s="68"/>
    </row>
    <row r="23" spans="1:13" x14ac:dyDescent="0.35">
      <c r="A23" s="68"/>
      <c r="B23" s="68"/>
      <c r="C23" s="102" t="s">
        <v>353</v>
      </c>
      <c r="D23" s="68"/>
      <c r="E23" s="68"/>
      <c r="F23" s="68"/>
      <c r="G23" s="102" t="s">
        <v>354</v>
      </c>
      <c r="K23" s="102" t="s">
        <v>355</v>
      </c>
    </row>
    <row r="24" spans="1:13" x14ac:dyDescent="0.35">
      <c r="A24" s="68"/>
      <c r="B24" s="68"/>
      <c r="C24" s="68"/>
      <c r="D24" s="68"/>
      <c r="E24" s="68"/>
      <c r="F24" s="68"/>
    </row>
    <row r="25" spans="1:13" x14ac:dyDescent="0.35">
      <c r="C25" s="84" t="s">
        <v>356</v>
      </c>
      <c r="D25" s="84" t="s">
        <v>357</v>
      </c>
      <c r="E25" s="84" t="s">
        <v>358</v>
      </c>
      <c r="G25" s="84" t="s">
        <v>356</v>
      </c>
      <c r="H25" s="84" t="s">
        <v>357</v>
      </c>
      <c r="I25" s="84" t="s">
        <v>358</v>
      </c>
      <c r="K25" s="84" t="b">
        <f t="shared" ref="K25:M27" si="2">+C25=G25</f>
        <v>1</v>
      </c>
      <c r="L25" s="84" t="b">
        <f t="shared" si="2"/>
        <v>1</v>
      </c>
      <c r="M25" s="84" t="b">
        <f t="shared" si="2"/>
        <v>1</v>
      </c>
    </row>
    <row r="26" spans="1:13" x14ac:dyDescent="0.35">
      <c r="C26" s="86" t="s">
        <v>359</v>
      </c>
      <c r="D26" s="86" t="s">
        <v>360</v>
      </c>
      <c r="E26" s="86" t="s">
        <v>361</v>
      </c>
      <c r="G26" s="86" t="s">
        <v>359</v>
      </c>
      <c r="H26" s="86" t="s">
        <v>360</v>
      </c>
      <c r="I26" s="86" t="s">
        <v>361</v>
      </c>
      <c r="K26" s="103" t="b">
        <f t="shared" si="2"/>
        <v>1</v>
      </c>
      <c r="L26" s="103" t="b">
        <f t="shared" si="2"/>
        <v>1</v>
      </c>
      <c r="M26" s="103" t="b">
        <f t="shared" si="2"/>
        <v>1</v>
      </c>
    </row>
    <row r="27" spans="1:13" x14ac:dyDescent="0.35">
      <c r="C27" s="86" t="s">
        <v>359</v>
      </c>
      <c r="D27" s="86" t="s">
        <v>360</v>
      </c>
      <c r="E27" s="86" t="s">
        <v>361</v>
      </c>
      <c r="G27" s="86" t="s">
        <v>359</v>
      </c>
      <c r="H27" s="86" t="s">
        <v>360</v>
      </c>
      <c r="I27" s="86" t="s">
        <v>361</v>
      </c>
      <c r="K27" s="103" t="b">
        <f t="shared" si="2"/>
        <v>1</v>
      </c>
      <c r="L27" s="103" t="b">
        <f t="shared" si="2"/>
        <v>1</v>
      </c>
      <c r="M27" s="103" t="b">
        <f t="shared" si="2"/>
        <v>1</v>
      </c>
    </row>
    <row r="28" spans="1:13" x14ac:dyDescent="0.35"/>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2.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38B5386-25C8-4B65-9763-5BF5D3E50ED8}"/>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Instruções</vt:lpstr>
      <vt:lpstr>Param_RefDate</vt:lpstr>
      <vt:lpstr>1. Dashboard</vt:lpstr>
      <vt:lpstr>2. Inputs --&gt;</vt:lpstr>
      <vt:lpstr>2.1. Regulamentares</vt:lpstr>
      <vt:lpstr>2.2. Outros</vt:lpstr>
      <vt:lpstr>Query1</vt:lpstr>
      <vt:lpstr>Query 2</vt:lpstr>
      <vt:lpstr>Append1</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Nuno Miguel Rocha Ferreira</cp:lastModifiedBy>
  <dcterms:created xsi:type="dcterms:W3CDTF">2025-11-28T00:22:37Z</dcterms:created>
  <dcterms:modified xsi:type="dcterms:W3CDTF">2025-12-16T09:56:50Z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