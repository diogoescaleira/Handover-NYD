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00. Old/"/>
    </mc:Choice>
  </mc:AlternateContent>
  <xr:revisionPtr revIDLastSave="343" documentId="8_{EF6ED8BE-3B68-48B3-B841-CAC5F8971E81}" xr6:coauthVersionLast="47" xr6:coauthVersionMax="47" xr10:uidLastSave="{0686C0E2-2A06-4695-A28E-0019A3356A0B}"/>
  <bookViews>
    <workbookView xWindow="28680" yWindow="-120" windowWidth="29040" windowHeight="15720" tabRatio="841" activeTab="2" xr2:uid="{DED8A1EF-114B-416A-A2FD-746D90C253E2}"/>
  </bookViews>
  <sheets>
    <sheet name="Instruções" sheetId="10" r:id="rId1"/>
    <sheet name="Param_RefDate" sheetId="13" state="hidden" r:id="rId2"/>
    <sheet name="1. Dashboard" sheetId="1" r:id="rId3"/>
    <sheet name="2. Inputs --&gt;" sheetId="3" r:id="rId4"/>
    <sheet name="2.1. Controlos" sheetId="14" r:id="rId5"/>
    <sheet name="2.1. Regulamentares" sheetId="2" r:id="rId6"/>
    <sheet name="2.2. Outros" sheetId="5" r:id="rId7"/>
    <sheet name="2.3. Processo" sheetId="7" r:id="rId8"/>
    <sheet name="Query1" sheetId="12" state="hidden" r:id="rId9"/>
    <sheet name="Query 2" sheetId="15" state="hidden" r:id="rId10"/>
    <sheet name="2.2. Outros - TESTE" sheetId="11" state="hidden" r:id="rId11"/>
  </sheets>
  <definedNames>
    <definedName name="_xlnm._FilterDatabase" localSheetId="5" hidden="1">'2.1. Regulamentares'!$B$8:$I$198</definedName>
    <definedName name="_xlnm._FilterDatabase" localSheetId="6" hidden="1">'2.2. Outros'!$B$8:$H$154</definedName>
    <definedName name="_xlnm._FilterDatabase" localSheetId="10" hidden="1">'2.2. Outros - TESTE'!$B$8:$H$154</definedName>
    <definedName name="ExternalData_1" localSheetId="1" hidden="1">Param_RefDate!$A$1:$A$2</definedName>
    <definedName name="ExternalData_1" localSheetId="8" hidden="1">Query1!$B$8:$J$167</definedName>
    <definedName name="ExternalData_2" localSheetId="4" hidden="1">'2.1. Controlos'!$F$8:$N$353</definedName>
    <definedName name="ExternalData_3" localSheetId="9" hidden="1">'Query 2'!$B$8:$J$194</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1" i="1" l="1"/>
  <c r="G91" i="1"/>
  <c r="E91" i="1"/>
  <c r="D91" i="1"/>
  <c r="I89" i="1"/>
  <c r="G89" i="1"/>
  <c r="E89" i="1"/>
  <c r="D89" i="1"/>
  <c r="I81" i="1"/>
  <c r="G81" i="1"/>
  <c r="E81" i="1"/>
  <c r="D81" i="1"/>
  <c r="I79" i="1"/>
  <c r="G79" i="1"/>
  <c r="E79" i="1"/>
  <c r="D79" i="1"/>
  <c r="J92" i="1"/>
  <c r="H92" i="1"/>
  <c r="F92" i="1"/>
  <c r="J90" i="1"/>
  <c r="H90" i="1"/>
  <c r="F90" i="1"/>
  <c r="J82" i="1"/>
  <c r="H82" i="1"/>
  <c r="F82" i="1"/>
  <c r="J80" i="1"/>
  <c r="H80" i="1"/>
  <c r="F80" i="1"/>
  <c r="G71" i="1"/>
  <c r="I71" i="1"/>
  <c r="I69" i="1"/>
  <c r="G69" i="1"/>
  <c r="E71" i="1"/>
  <c r="E69" i="1"/>
  <c r="D71" i="1"/>
  <c r="D69" i="1"/>
  <c r="C353" i="14"/>
  <c r="C352" i="14"/>
  <c r="C351" i="14"/>
  <c r="C350" i="14"/>
  <c r="C349" i="14"/>
  <c r="C348" i="14"/>
  <c r="C347" i="14"/>
  <c r="C346" i="14"/>
  <c r="C345" i="14"/>
  <c r="C344" i="14"/>
  <c r="C343" i="14"/>
  <c r="C342" i="14"/>
  <c r="C341" i="14"/>
  <c r="C340" i="14"/>
  <c r="C339" i="14"/>
  <c r="C338" i="14"/>
  <c r="C337" i="14"/>
  <c r="C336" i="14"/>
  <c r="C335" i="14"/>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B353" i="14"/>
  <c r="B352" i="14"/>
  <c r="B351" i="14"/>
  <c r="B350" i="14"/>
  <c r="B349" i="14"/>
  <c r="B348"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116" i="14"/>
  <c r="M27" i="7"/>
  <c r="L27" i="7"/>
  <c r="K27" i="7"/>
  <c r="M26" i="7"/>
  <c r="L26" i="7"/>
  <c r="K26" i="7"/>
  <c r="M25" i="7"/>
  <c r="L25" i="7"/>
  <c r="K25" i="7"/>
  <c r="M20" i="7"/>
  <c r="L20" i="7"/>
  <c r="K20" i="7"/>
  <c r="M19" i="7"/>
  <c r="L19" i="7"/>
  <c r="K19" i="7"/>
  <c r="M18" i="7"/>
  <c r="L18" i="7"/>
  <c r="K18" i="7"/>
  <c r="M13" i="7"/>
  <c r="L13" i="7"/>
  <c r="K13" i="7"/>
  <c r="M12" i="7"/>
  <c r="L12" i="7"/>
  <c r="K12" i="7"/>
  <c r="M11" i="7"/>
  <c r="L11" i="7"/>
  <c r="K11" i="7"/>
  <c r="J104" i="1"/>
  <c r="J102" i="1"/>
  <c r="J100" i="1"/>
  <c r="H104" i="1"/>
  <c r="H102" i="1"/>
  <c r="H100" i="1"/>
  <c r="F104" i="1"/>
  <c r="F102" i="1"/>
  <c r="F100" i="1"/>
  <c r="I103" i="1"/>
  <c r="G103" i="1"/>
  <c r="E103" i="1"/>
  <c r="D103" i="1"/>
  <c r="I101" i="1"/>
  <c r="G101" i="1"/>
  <c r="E101" i="1"/>
  <c r="D101" i="1"/>
  <c r="I99" i="1"/>
  <c r="G99" i="1"/>
  <c r="E99" i="1"/>
  <c r="D99" i="1"/>
  <c r="H157" i="5"/>
  <c r="H156" i="5"/>
  <c r="H155" i="5"/>
  <c r="H158" i="5"/>
  <c r="F79" i="1" l="1"/>
  <c r="F89" i="1"/>
  <c r="G67" i="1"/>
  <c r="D67" i="1"/>
  <c r="E76" i="1"/>
  <c r="D86" i="1"/>
  <c r="J81" i="1"/>
  <c r="J91" i="1"/>
  <c r="H79" i="1"/>
  <c r="H89" i="1"/>
  <c r="E67" i="1"/>
  <c r="J79" i="1"/>
  <c r="J89" i="1"/>
  <c r="F91" i="1"/>
  <c r="H81" i="1"/>
  <c r="H91" i="1"/>
  <c r="F81" i="1"/>
  <c r="J99" i="1"/>
  <c r="H103" i="1"/>
  <c r="J103" i="1"/>
  <c r="H101" i="1"/>
  <c r="J101" i="1"/>
  <c r="F101" i="1"/>
  <c r="H99" i="1"/>
  <c r="F99" i="1"/>
  <c r="E86" i="1"/>
  <c r="I87" i="1"/>
  <c r="G86" i="1"/>
  <c r="H86" i="1" s="1"/>
  <c r="I86" i="1"/>
  <c r="J86" i="1" s="1"/>
  <c r="I76" i="1"/>
  <c r="D85" i="1"/>
  <c r="D87" i="1"/>
  <c r="E85" i="1"/>
  <c r="E87" i="1"/>
  <c r="G65" i="1"/>
  <c r="E77" i="1"/>
  <c r="G85" i="1"/>
  <c r="H85" i="1" s="1"/>
  <c r="G87" i="1"/>
  <c r="H87" i="1" s="1"/>
  <c r="I85" i="1"/>
  <c r="J85" i="1" s="1"/>
  <c r="D75" i="1"/>
  <c r="D77" i="1"/>
  <c r="E75" i="1"/>
  <c r="F75" i="1" s="1"/>
  <c r="G66" i="1"/>
  <c r="G75" i="1"/>
  <c r="H75" i="1" s="1"/>
  <c r="G77" i="1"/>
  <c r="F86" i="1"/>
  <c r="I75" i="1"/>
  <c r="J75" i="1" s="1"/>
  <c r="I77" i="1"/>
  <c r="J77" i="1" s="1"/>
  <c r="I65" i="1"/>
  <c r="D76" i="1"/>
  <c r="J87" i="1"/>
  <c r="I66" i="1"/>
  <c r="F85" i="1"/>
  <c r="I67" i="1"/>
  <c r="G76" i="1"/>
  <c r="E66" i="1"/>
  <c r="D65" i="1"/>
  <c r="F103" i="1"/>
  <c r="D66" i="1"/>
  <c r="E65" i="1"/>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F77" i="1" l="1"/>
  <c r="H77" i="1"/>
  <c r="J76" i="1"/>
  <c r="F76" i="1"/>
  <c r="F87" i="1"/>
  <c r="H76" i="1"/>
  <c r="G88" i="1"/>
  <c r="F72"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69" i="1" l="1"/>
  <c r="F71" i="1"/>
  <c r="H69" i="1"/>
  <c r="H71" i="1"/>
  <c r="H72" i="1"/>
  <c r="F70" i="1"/>
  <c r="J69" i="1"/>
  <c r="J70" i="1"/>
  <c r="H70" i="1"/>
  <c r="J71" i="1"/>
  <c r="J72" i="1"/>
  <c r="G78" i="1"/>
  <c r="I78" i="1"/>
  <c r="E88" i="1"/>
  <c r="I68" i="1"/>
  <c r="I88" i="1"/>
  <c r="E78" i="1"/>
  <c r="D88" i="1"/>
  <c r="H88" i="1" s="1"/>
  <c r="D78" i="1"/>
  <c r="G68" i="1"/>
  <c r="E68" i="1"/>
  <c r="D68" i="1"/>
  <c r="F82" i="2"/>
  <c r="F101" i="2"/>
  <c r="F37" i="2"/>
  <c r="F18" i="2"/>
  <c r="H169" i="2"/>
  <c r="F10" i="2"/>
  <c r="H137" i="2"/>
  <c r="H105" i="2"/>
  <c r="F165" i="2"/>
  <c r="H73" i="2"/>
  <c r="F146" i="2"/>
  <c r="H41" i="2"/>
  <c r="F186" i="2"/>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H78" i="1" l="1"/>
  <c r="F88" i="1"/>
  <c r="F68" i="1"/>
  <c r="J78" i="1"/>
  <c r="F78" i="1"/>
  <c r="J88" i="1"/>
  <c r="H68" i="1"/>
  <c r="J68" i="1"/>
  <c r="H65" i="1"/>
  <c r="J67" i="1" l="1"/>
  <c r="H67" i="1"/>
  <c r="J65" i="1"/>
  <c r="H66" i="1"/>
  <c r="F67" i="1"/>
  <c r="F66" i="1"/>
  <c r="J66" i="1"/>
  <c r="D84" i="1"/>
  <c r="D83" i="1" s="1"/>
  <c r="D74" i="1"/>
  <c r="D73" i="1" s="1"/>
  <c r="I64" i="1"/>
  <c r="G74" i="1"/>
  <c r="I74" i="1"/>
  <c r="E74" i="1"/>
  <c r="D64" i="1"/>
  <c r="I84" i="1"/>
  <c r="G84" i="1"/>
  <c r="E64" i="1"/>
  <c r="F65" i="1"/>
  <c r="E84" i="1"/>
  <c r="G64" i="1"/>
  <c r="F74" i="1" l="1"/>
  <c r="H74" i="1"/>
  <c r="J64" i="1"/>
  <c r="H84" i="1"/>
  <c r="J84" i="1"/>
  <c r="E83" i="1"/>
  <c r="F83" i="1" s="1"/>
  <c r="F84" i="1"/>
  <c r="G63" i="1"/>
  <c r="H64" i="1"/>
  <c r="J74" i="1"/>
  <c r="D63" i="1"/>
  <c r="D93" i="1" s="1"/>
  <c r="G83" i="1"/>
  <c r="H83" i="1" s="1"/>
  <c r="E73" i="1"/>
  <c r="F73" i="1" s="1"/>
  <c r="I83" i="1"/>
  <c r="J83" i="1" s="1"/>
  <c r="I63" i="1"/>
  <c r="I73" i="1"/>
  <c r="J73" i="1" s="1"/>
  <c r="F64" i="1"/>
  <c r="E63" i="1"/>
  <c r="G73" i="1"/>
  <c r="H73" i="1" s="1"/>
  <c r="J63" i="1" l="1"/>
  <c r="F63" i="1"/>
  <c r="H63" i="1"/>
  <c r="I93" i="1"/>
  <c r="E93" i="1"/>
  <c r="F93" i="1" l="1"/>
  <c r="J93" i="1"/>
  <c r="G93" i="1"/>
  <c r="H9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E45E7-124E-4786-B73F-71A8111C9450}" keepAlive="1" name="Query - Controlos" description="Connection to the 'Controlos' query in the workbook." type="5" refreshedVersion="8" background="1" saveData="1">
    <dbPr connection="Provider=Microsoft.Mashup.OleDb.1;Data Source=$Workbook$;Location=Controlos;Extended Properties=&quot;&quot;" command="SELECT * FROM [Controlos]"/>
  </connection>
  <connection id="2" xr16:uid="{C5B8C644-B71E-43A5-AE7C-9959DFB7D4A2}" keepAlive="1" name="Query - Outros" description="Connection to the 'Outros' query in the workbook." type="5" refreshedVersion="8" background="1" saveData="1">
    <dbPr connection="Provider=Microsoft.Mashup.OleDb.1;Data Source=$Workbook$;Location=Outros;Extended Properties=&quot;&quot;" command="SELECT * FROM [Outros]"/>
  </connection>
  <connection id="3"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4"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 id="5" xr16:uid="{271980E6-87CD-4943-99C4-845C5D2358ED}" keepAlive="1" name="Query - Regulamentares" description="Connection to the 'Regulamentares' query in the workbook." type="5" refreshedVersion="8" background="1" saveData="1">
    <dbPr connection="Provider=Microsoft.Mashup.OleDb.1;Data Source=$Workbook$;Location=Regulamentares;Extended Properties=&quot;&quot;" command="SELECT * FROM [Regulamentares]"/>
  </connection>
</connections>
</file>

<file path=xl/sharedStrings.xml><?xml version="1.0" encoding="utf-8"?>
<sst xmlns="http://schemas.openxmlformats.org/spreadsheetml/2006/main" count="5119" uniqueCount="974">
  <si>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</si>
  <si>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</si>
  <si>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</si>
  <si>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</si>
  <si>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</si>
  <si>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</si>
  <si>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</si>
  <si>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</si>
  <si>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</si>
  <si>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</si>
  <si>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</si>
  <si>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</si>
  <si>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</si>
  <si>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</si>
  <si>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</si>
  <si>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</si>
  <si>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</si>
  <si>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</si>
  <si>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</si>
  <si>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</si>
  <si>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</si>
  <si>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</si>
  <si>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</si>
  <si>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</si>
  <si>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</si>
  <si>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</si>
  <si>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</si>
  <si>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</si>
  <si>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</si>
  <si>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</si>
  <si>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</si>
  <si>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</si>
  <si>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</si>
  <si>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</si>
  <si>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</si>
  <si>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</si>
  <si>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</si>
  <si>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</si>
  <si>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</si>
  <si>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</si>
  <si>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</si>
  <si>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</si>
  <si>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</si>
  <si>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</si>
  <si>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</si>
  <si>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</si>
  <si>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</si>
  <si>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</si>
  <si>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</si>
  <si>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</si>
  <si>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</si>
  <si>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</si>
  <si>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</si>
  <si>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</si>
  <si>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</si>
  <si>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</si>
  <si>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</si>
  <si>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</si>
  <si>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</si>
  <si>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</si>
  <si>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</si>
  <si>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</si>
  <si>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</si>
  <si>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</si>
  <si>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</si>
  <si>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</si>
  <si>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</si>
  <si>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</si>
  <si>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</si>
  <si>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</si>
  <si>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</si>
  <si>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</si>
  <si>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</si>
  <si>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</si>
  <si>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</si>
  <si>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</si>
  <si>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</si>
  <si>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</si>
  <si>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</si>
  <si>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</si>
  <si>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</si>
  <si>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</si>
  <si>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</si>
  <si>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</si>
  <si>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</si>
  <si>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</si>
  <si>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</si>
  <si>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</si>
  <si>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</si>
  <si>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</si>
  <si>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</si>
  <si>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</si>
  <si>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</si>
  <si>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</si>
  <si>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</si>
  <si>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</si>
  <si>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</si>
  <si>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</si>
  <si>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</si>
  <si>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</si>
  <si>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</si>
  <si>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</si>
  <si>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</si>
  <si>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</si>
  <si>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</si>
  <si>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</si>
  <si>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</si>
  <si>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</si>
  <si>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</si>
  <si>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</si>
  <si>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</si>
  <si>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</si>
  <si>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</si>
  <si>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</si>
  <si>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</si>
  <si>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</si>
  <si>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</si>
  <si>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</si>
  <si>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</si>
  <si>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</si>
  <si>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</si>
  <si>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</si>
  <si>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</si>
  <si>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</si>
  <si>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</si>
  <si>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</si>
  <si>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</si>
  <si>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</si>
  <si>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</si>
  <si>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</si>
  <si>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</si>
  <si>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</si>
  <si>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</si>
  <si>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</si>
  <si>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</si>
  <si>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</si>
  <si>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</si>
  <si>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</si>
  <si>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</si>
  <si>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</si>
  <si>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</si>
  <si>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</si>
  <si>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</si>
  <si>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</si>
  <si>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</si>
  <si>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</si>
  <si>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</si>
  <si>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</si>
  <si>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</si>
  <si>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</si>
  <si>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</si>
  <si>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</si>
  <si>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</si>
  <si>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</si>
  <si>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</si>
  <si>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</si>
  <si>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</si>
  <si>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</si>
  <si>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</si>
  <si>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</si>
  <si>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</si>
  <si>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</si>
  <si>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</si>
  <si>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</si>
  <si>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</si>
  <si>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</si>
  <si>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</si>
  <si>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</si>
  <si>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</si>
  <si>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</si>
  <si>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</si>
  <si>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</si>
  <si>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</si>
  <si>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</si>
  <si>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</si>
  <si>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</si>
  <si>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</si>
  <si>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</si>
  <si>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</si>
  <si>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</si>
  <si>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</si>
  <si>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</si>
  <si>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</si>
  <si>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</si>
  <si>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</si>
  <si>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</si>
  <si>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</si>
  <si>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</si>
  <si>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</si>
  <si>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</si>
  <si>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</si>
  <si>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</si>
  <si>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</si>
  <si>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</si>
  <si>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</si>
  <si>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</si>
  <si>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</si>
  <si>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</si>
  <si>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</si>
  <si>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</si>
  <si>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</si>
  <si>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</si>
  <si>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</si>
  <si>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</si>
  <si>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</si>
  <si>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</si>
  <si>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</si>
  <si>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</si>
  <si>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</si>
  <si>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</si>
  <si>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</si>
  <si>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</si>
  <si>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</si>
  <si>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</si>
  <si>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</si>
  <si>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</si>
  <si>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</si>
  <si>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</si>
  <si>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</si>
  <si>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</si>
  <si>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</si>
  <si>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</si>
  <si>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</si>
  <si>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</si>
  <si>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</si>
  <si>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</si>
  <si>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</si>
  <si>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</si>
  <si>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</si>
  <si>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</si>
  <si>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</si>
  <si>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</si>
  <si>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</si>
  <si>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</si>
  <si>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</si>
  <si>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</si>
  <si>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</si>
  <si>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</si>
  <si>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</si>
  <si>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</si>
  <si>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</si>
  <si>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</si>
  <si>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</si>
  <si>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</si>
  <si>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</si>
  <si>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</si>
  <si>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</si>
  <si>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</si>
  <si>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</si>
  <si>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</si>
  <si>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</si>
  <si>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</si>
  <si>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</si>
  <si>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</si>
  <si>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</si>
  <si>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</si>
  <si>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</si>
  <si>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</si>
  <si>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</si>
  <si>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</si>
  <si>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</si>
  <si>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</si>
  <si>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</si>
  <si>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</si>
  <si>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</si>
  <si>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</si>
  <si>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</si>
  <si>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</si>
  <si>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</si>
  <si>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</si>
  <si>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</si>
  <si>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</si>
  <si>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</si>
  <si>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</si>
  <si>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</si>
  <si>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</si>
  <si>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</si>
  <si>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</si>
  <si>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</si>
  <si>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</si>
  <si>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</si>
  <si>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</si>
  <si>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</si>
  <si>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</si>
  <si>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</si>
  <si>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</si>
  <si>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</si>
  <si>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</si>
  <si>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</si>
  <si>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</si>
  <si>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</si>
  <si>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</si>
  <si>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</si>
  <si>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</si>
  <si>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</si>
  <si>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</si>
  <si>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</si>
  <si>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</si>
  <si>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</si>
  <si>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</si>
  <si>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</si>
  <si>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</si>
  <si>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</si>
  <si>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</si>
  <si>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</si>
  <si>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</si>
  <si>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</si>
  <si>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</si>
  <si>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</si>
  <si>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</si>
  <si>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</si>
  <si>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</si>
  <si>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</si>
  <si>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</si>
  <si>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</si>
  <si>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</si>
  <si>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</si>
  <si>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</si>
  <si>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</si>
  <si>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</si>
  <si>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</si>
  <si>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</si>
  <si>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</si>
  <si>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</si>
  <si>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</si>
  <si>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</si>
  <si>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</si>
  <si>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</si>
  <si>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</si>
  <si>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</si>
  <si>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</si>
  <si>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</si>
  <si>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</si>
  <si>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</si>
  <si>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</si>
  <si>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</si>
  <si>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</si>
  <si>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</si>
  <si>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</si>
  <si>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</si>
  <si>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</si>
  <si>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</si>
  <si>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</si>
  <si>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</si>
  <si>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</si>
  <si>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</si>
  <si>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</si>
  <si>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</si>
  <si>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</si>
  <si>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</si>
  <si>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</si>
  <si>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</si>
  <si>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</si>
  <si>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</si>
  <si>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</si>
  <si>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</si>
  <si>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</si>
  <si>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</si>
  <si>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</si>
  <si>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</si>
  <si>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</si>
  <si>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</si>
  <si>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</si>
  <si>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</si>
  <si>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</si>
  <si>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</si>
  <si>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</si>
  <si>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</si>
  <si>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</si>
  <si>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</si>
  <si>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</si>
  <si>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</si>
  <si>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</si>
  <si>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</si>
  <si>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</si>
  <si>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</si>
  <si>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</si>
  <si>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</si>
  <si>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</si>
  <si>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</si>
  <si>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</si>
  <si>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</si>
  <si>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</si>
  <si>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</si>
  <si>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</si>
  <si>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</si>
  <si>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</si>
  <si>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</si>
  <si>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</si>
  <si>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</si>
  <si>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</si>
  <si>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</si>
  <si>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</si>
  <si>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</si>
  <si>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</si>
  <si>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</si>
  <si>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</si>
  <si>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</si>
  <si>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</si>
  <si>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</si>
  <si>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</si>
  <si>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</si>
  <si>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</si>
  <si>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</si>
  <si>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</si>
  <si>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</si>
  <si>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</si>
  <si>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</si>
  <si>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</si>
  <si>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</si>
  <si>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</si>
  <si>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</si>
  <si>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</si>
  <si>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</si>
  <si>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</si>
  <si>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</si>
  <si>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</si>
  <si>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</si>
  <si>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</si>
  <si>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</si>
  <si>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</si>
  <si>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</si>
  <si>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</si>
  <si>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</si>
  <si>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</si>
  <si>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</si>
  <si>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</si>
  <si>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</si>
  <si>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</si>
  <si>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</si>
  <si>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</si>
  <si>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</si>
  <si>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</si>
  <si>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</si>
  <si>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</si>
  <si>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</si>
  <si>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</si>
  <si>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</si>
  <si>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</si>
  <si>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</si>
  <si>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</si>
  <si>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</si>
  <si>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</si>
  <si>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</si>
  <si>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</si>
  <si>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</si>
  <si>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</si>
  <si>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</si>
  <si>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</si>
  <si>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</si>
  <si>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</si>
  <si>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</si>
  <si>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</si>
  <si>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</si>
  <si>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</si>
  <si>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</si>
  <si>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</si>
  <si>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</si>
  <si>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</si>
  <si>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</si>
  <si>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</si>
  <si>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</si>
  <si>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</si>
  <si>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</si>
  <si>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</si>
  <si>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</si>
  <si>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</si>
  <si>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</si>
  <si>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</si>
  <si>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</si>
  <si>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</si>
  <si>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</si>
  <si>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</si>
  <si>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</si>
  <si>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</si>
  <si>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</si>
  <si>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</si>
  <si>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</si>
  <si>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</si>
  <si>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</si>
  <si>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</si>
  <si>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</si>
  <si>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</si>
  <si>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</si>
  <si>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</si>
  <si>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</si>
  <si>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</si>
  <si>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</si>
  <si>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</si>
  <si>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</si>
  <si>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</si>
  <si>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</si>
  <si>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</si>
  <si>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</si>
  <si>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</si>
  <si>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</si>
  <si>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</si>
  <si>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</si>
  <si>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</si>
  <si>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</si>
  <si>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</si>
  <si>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</si>
  <si>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</si>
  <si>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</si>
  <si>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</si>
  <si>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</si>
  <si>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</si>
  <si>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</si>
  <si>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</si>
  <si>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</si>
  <si>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</si>
  <si>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</si>
  <si>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</si>
  <si>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</si>
  <si>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</si>
  <si>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</si>
  <si>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</si>
  <si>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</si>
  <si>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</si>
  <si>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</si>
  <si>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</si>
  <si>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</si>
  <si>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</si>
  <si>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</si>
  <si>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</si>
  <si>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</si>
  <si>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</si>
  <si>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</si>
  <si>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</si>
  <si>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</si>
  <si>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</si>
  <si>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</si>
  <si>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</si>
  <si>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</si>
  <si>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</si>
  <si>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</si>
  <si>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</si>
  <si>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</si>
  <si>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</si>
  <si>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</si>
  <si>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</si>
  <si>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</si>
  <si>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</si>
  <si>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</si>
  <si>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</si>
  <si>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</si>
  <si>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</si>
  <si>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</si>
  <si>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</si>
  <si>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</si>
  <si>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</si>
  <si>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</si>
  <si>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</si>
  <si>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</si>
  <si>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</si>
  <si>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</si>
  <si>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</si>
  <si>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</si>
  <si>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</si>
  <si>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</si>
  <si>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</si>
  <si>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</si>
  <si>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</si>
  <si>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</si>
  <si>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</si>
  <si>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</si>
  <si>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</si>
  <si>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</si>
  <si>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</si>
  <si>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</si>
  <si>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</si>
  <si>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</si>
  <si>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</si>
  <si>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</si>
  <si>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</si>
  <si>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</si>
  <si>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</si>
  <si>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</si>
  <si>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</si>
  <si>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</si>
  <si>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</si>
  <si>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</si>
  <si>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</si>
  <si>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</si>
  <si>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</si>
  <si>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</si>
  <si>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</si>
  <si>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</si>
  <si>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</si>
  <si>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</si>
  <si>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</si>
  <si>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</si>
  <si>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</si>
  <si>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</si>
  <si>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</si>
  <si>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</si>
  <si>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</si>
  <si>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</si>
  <si>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</si>
  <si>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</si>
  <si>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</si>
  <si>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</si>
  <si>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</si>
  <si>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</si>
  <si>
    <t>v_1_0001</t>
  </si>
  <si>
    <t>REGULAMENTAR</t>
  </si>
  <si>
    <t>0010_row_nmbr</t>
  </si>
  <si>
    <t>v_1_0002</t>
  </si>
  <si>
    <t>0030_uniq_id_knwn_cntrprty</t>
  </si>
  <si>
    <t>v_1_0003</t>
  </si>
  <si>
    <t>0040_typ_uniq_id_knwn_cntrprty</t>
  </si>
  <si>
    <t>v_1_0004</t>
  </si>
  <si>
    <t>0070_cntrct_crrncy</t>
  </si>
  <si>
    <t>v_1_0005</t>
  </si>
  <si>
    <t>0080_otstndng_prncpl_amnt</t>
  </si>
  <si>
    <t>v_1_0006</t>
  </si>
  <si>
    <t>v_1_0007</t>
  </si>
  <si>
    <t>0090_prtn_amnt_rprtng_entty</t>
  </si>
  <si>
    <t>v_1_0008</t>
  </si>
  <si>
    <t>0100_accrd_intrst_instrmnt</t>
  </si>
  <si>
    <t>v_1_0009</t>
  </si>
  <si>
    <t>v_1_0010</t>
  </si>
  <si>
    <t>0120_otstndng_amnt</t>
  </si>
  <si>
    <t>Testar se o campo está a missing. O campo tem de ser reportado.</t>
  </si>
  <si>
    <t>Testar se o campo está a missing. O campo deve ser reportado para passivos não estruturados.</t>
  </si>
  <si>
    <t>Alerta: Testar se o campo está a missing. Para passivos estruturados, o campo tem de ser reportado se a informação existir.</t>
  </si>
  <si>
    <t>Testar se o campo está a missing. O campo deve ser reportado para valores mobiliários.</t>
  </si>
  <si>
    <t>Testar se o campo está a missing. Para passivos não estruturados que não sejam zero coupon bonds emitidas com desconto, este campo deve ser reportado.</t>
  </si>
  <si>
    <t>Testar se o campo está a missing. Para passivos não estruturados, este campo deve ser declarado.</t>
  </si>
  <si>
    <t>v_1_0011</t>
  </si>
  <si>
    <t>v_1_0012</t>
  </si>
  <si>
    <t>0130_rlvnt_amnt_wdc</t>
  </si>
  <si>
    <t>v_1_0013</t>
  </si>
  <si>
    <t>0140_ntr_lblty</t>
  </si>
  <si>
    <t>v_1_0014</t>
  </si>
  <si>
    <t>Testar se o campo está a missing. O campo deve ser reportado se a opção Other tiver sido selecionada em c0140.</t>
  </si>
  <si>
    <t>0141_ntr_lblty_othr</t>
  </si>
  <si>
    <t>v_1_0015</t>
  </si>
  <si>
    <t>0160_rank_insolv</t>
  </si>
  <si>
    <t>v_1_0016</t>
  </si>
  <si>
    <t>0162_bail_in_cascade</t>
  </si>
  <si>
    <t>v_1_0017</t>
  </si>
  <si>
    <t>0180_dt_nxt_intrst_pymnt</t>
  </si>
  <si>
    <t>v_1_0018</t>
  </si>
  <si>
    <t>Alerta: Testar se o campo está a missing. Para passivos estruturados, este campo só deve ser reportado se a informação existir.</t>
  </si>
  <si>
    <t>v_1_0019</t>
  </si>
  <si>
    <t>Alerta: Testar se o campo está a missing.  Este campo precisa de ser reportado se a informação existir.</t>
  </si>
  <si>
    <t>0200_dt_erlst_rdmptn</t>
  </si>
  <si>
    <t>v_1_0020</t>
  </si>
  <si>
    <t>Testar se o campo está a missing. Para passivos que não sejam do tipo Cash account/saving account, o campo deve ser reportado.</t>
  </si>
  <si>
    <t>0210_dt_lgl_fnl_mtrty</t>
  </si>
  <si>
    <t>v_1_0021</t>
  </si>
  <si>
    <t>0220_governing_law</t>
  </si>
  <si>
    <t>v_1_0022</t>
  </si>
  <si>
    <t>0250_strctrd_prdct</t>
  </si>
  <si>
    <t>v_1_0023</t>
  </si>
  <si>
    <t>Alerta: Testar se o campo está a missing. Para passivos estruturados, este campo deve ser reportado se a informação existir.</t>
  </si>
  <si>
    <t>0260_grntd_min_amnt_strctrd_prdct</t>
  </si>
  <si>
    <t>v_1_0024</t>
  </si>
  <si>
    <t>Testar se o campo está a missing. O campo deve ser reportado para produtos estruturados.</t>
  </si>
  <si>
    <t>0270_fv_amnt_strctrd_prdct</t>
  </si>
  <si>
    <t>v_1_0025</t>
  </si>
  <si>
    <t>Testar se o campo está a missing. O campo deve ser reportado para depósitos elegíveis. Se o valor for zero, deve ser introduzido 0.</t>
  </si>
  <si>
    <t>0300_amnt_cvrd_elgbl_dpsts</t>
  </si>
  <si>
    <t>v_1_0026</t>
  </si>
  <si>
    <t>0310_flg_clltrl_agrmnts</t>
  </si>
  <si>
    <t>v_1_0027</t>
  </si>
  <si>
    <t>Testar se o campo está a missing. O campo deve ser reportado para produtos protegidos. Se o valor for zero, deve ser introduzido 0.</t>
  </si>
  <si>
    <t>0320_amnt_clltrl</t>
  </si>
  <si>
    <t>v_1_0028</t>
  </si>
  <si>
    <t>Testar se o campo está a missing. O campo deve ser reportado para produtos protegidos.</t>
  </si>
  <si>
    <t>0330_amnt_unclltrlzd</t>
  </si>
  <si>
    <t>v_1_0029</t>
  </si>
  <si>
    <t>0350_typ_clltrl</t>
  </si>
  <si>
    <t>v_1_0030</t>
  </si>
  <si>
    <t>Valor em falta (aviso). O campo deve ser reportado se c0350 = Other.</t>
  </si>
  <si>
    <t>0351_typ_clltrl_othr</t>
  </si>
  <si>
    <t>v_1_0031</t>
  </si>
  <si>
    <t>Testar se o campo está a missing. O campo deve ser reportado para valores mobiliários com método de negociação = Nominal.</t>
  </si>
  <si>
    <t>0370_amnt_scrty_eur</t>
  </si>
  <si>
    <t>v_1_0032</t>
  </si>
  <si>
    <t>Alerta: Testar se o campo está a missing. O campo deve ser reportado para securities com método de negociação = Unit se a informação existir.</t>
  </si>
  <si>
    <t>v_1_0033</t>
  </si>
  <si>
    <t>Testar se o campo está a missing. O campo deve ser reportado quando c0040 = ISIN. Se o valor for zero, deve ser introduzido 0.</t>
  </si>
  <si>
    <t>0390_nmbr_scrts_not_rprtng_entty</t>
  </si>
  <si>
    <t>v_1_0034</t>
  </si>
  <si>
    <t>Testar se o campo está a missing. O campo deve ser reportado para valores mobiliários. Se o valor for zero, deve ser introduzido 0.</t>
  </si>
  <si>
    <t>0391_nmbr_scrts_rprtng_entty</t>
  </si>
  <si>
    <t>v_1_0035</t>
  </si>
  <si>
    <t>Testar se o campo está a missing. O campo deve ser reportado para títulos não estruturados que não sejam zero coupon bonds emitidas com desconto.</t>
  </si>
  <si>
    <t>0400_accrd_intrst_scrty</t>
  </si>
  <si>
    <t>v_1_0036</t>
  </si>
  <si>
    <t>Alerta: Testar se o campo está a missing. Este campo deve ser reportado para securities estruturados se a informação existir.</t>
  </si>
  <si>
    <t>v_1_0037</t>
  </si>
  <si>
    <t>Alerta: Testar se o campo está a missing. O campo deve ser reportado se a informação existir, ou seja, se a entidade reportar em IFRS.</t>
  </si>
  <si>
    <t>0610_crryng_amnt_ifrs</t>
  </si>
  <si>
    <t>v_2_0001</t>
  </si>
  <si>
    <t>Se o ID for um ISIN (c0030 = ISIN), então o ID reportado em c0020 deve ter as características de um ISIN, por exemplo, 12 caracteres e começar com 2 letras que significam o código de país ISO.</t>
  </si>
  <si>
    <t>v_2_0003</t>
  </si>
  <si>
    <t>As moedas devem ser reportadas usando o código ISO 4217 de 3 letras.</t>
  </si>
  <si>
    <t>v_2_0004</t>
  </si>
  <si>
    <t>Alerta: o valor declarado deve, em geral, ser positivo.</t>
  </si>
  <si>
    <t>v_2_0005</t>
  </si>
  <si>
    <t>O valor declarado deve ser positivo ou zero.</t>
  </si>
  <si>
    <t>v_2_0006</t>
  </si>
  <si>
    <t>Alerta: o valor declarado deve ser positivo ou zero. No entanto, juros acumulados negativos são, em princípio, permitidos, se devidamente justificados pela entidade reportante.</t>
  </si>
  <si>
    <t>v_2_0007</t>
  </si>
  <si>
    <t>Alerta: o valor declarado deve ser, em geral, positivo ou zero.</t>
  </si>
  <si>
    <t>0110_applcbl_fees_charges</t>
  </si>
  <si>
    <t>v_2_0008</t>
  </si>
  <si>
    <t>O valor reportado deve ser positivo.</t>
  </si>
  <si>
    <t>v_2_0009</t>
  </si>
  <si>
    <t>O valor declarado deve ser igual a: c0080 + c0100 + c0110.</t>
  </si>
  <si>
    <t>v_2_0011</t>
  </si>
  <si>
    <t>O montante declarado deve ser igual a: c0120 - c0300 - c0320, exceto para Zero Coupon Bonds para as quais se possam aplicar disposições específicas.</t>
  </si>
  <si>
    <t>v_2_0012</t>
  </si>
  <si>
    <t>Para produtos estruturados, o montante declarado deve ser igual a: (c0270 - c0300 - c0320) se o valor justo for utilizado para apoiar a determinação do montante relevante para o bail-in, OU (c0120 - c0300 - c0320) caso contrário.</t>
  </si>
  <si>
    <t>v_2_0013</t>
  </si>
  <si>
    <t>Os valores dos dropdowns devem ser respeitados.</t>
  </si>
  <si>
    <t>31641600000000000PTBSREOM0028000; 31641600000000000PTSTOEOM0021000; 31641600000000000PTSTOFOM0004000; 31641600000000000PTSTOHOM0002000</t>
  </si>
  <si>
    <t>v_2_0014</t>
  </si>
  <si>
    <t>Os valores numéricos a partir de 1 devem ser reportados.</t>
  </si>
  <si>
    <t>v_2_0015</t>
  </si>
  <si>
    <t>O valor reportado deve ser uma data (yyy-mm-dd).</t>
  </si>
  <si>
    <t>0170_dt_incptn</t>
  </si>
  <si>
    <t>v_2_0016</t>
  </si>
  <si>
    <t>O valor declarado deve ser anterior à Data do próximo pagamento (parcial) de resgate (c0190) e à data de resgate mais antiga (c0200).</t>
  </si>
  <si>
    <t>v_2_0017</t>
  </si>
  <si>
    <t>31641600005800007PTCPP0AM0007000</t>
  </si>
  <si>
    <t>v_2_0019</t>
  </si>
  <si>
    <t>v_2_0021</t>
  </si>
  <si>
    <t>v_2_0023</t>
  </si>
  <si>
    <t>A legislação aplicável deve ser reportada utilizando o código ISO 3166-1 alpha-2.</t>
  </si>
  <si>
    <t>v_2_0024</t>
  </si>
  <si>
    <t>0230_bail_in_rcgntn_cls</t>
  </si>
  <si>
    <t>v_2_0025</t>
  </si>
  <si>
    <t>v_2_0026</t>
  </si>
  <si>
    <t>v_2_0027</t>
  </si>
  <si>
    <t>O campo reportado deve ser igual a: c0120 - c0320.</t>
  </si>
  <si>
    <t>v_2_0028</t>
  </si>
  <si>
    <t>O campo reportado deve ser igual a (c0270 - c0320) se for utilizado o valor justo, ou igual a (c0120 - c0320) caso contrário.</t>
  </si>
  <si>
    <t>v_2_0029</t>
  </si>
  <si>
    <t>v_2_0030</t>
  </si>
  <si>
    <t>O campo deve ser Not applicable se o c0310 não estiver seguro.</t>
  </si>
  <si>
    <t>v_2_0031</t>
  </si>
  <si>
    <t>0440_ntr_glbl_nt</t>
  </si>
  <si>
    <t>v_2_0032</t>
  </si>
  <si>
    <t>0530_typ_own_fnds_ind_lvl</t>
  </si>
  <si>
    <t>v_2_0033</t>
  </si>
  <si>
    <t>0540_elgbl_amnt_own_fnds_ind_lvl</t>
  </si>
  <si>
    <t>v_2_0034</t>
  </si>
  <si>
    <t>0550_typ_own_fnds_cnsldtd_lvl</t>
  </si>
  <si>
    <t>v_2_0035</t>
  </si>
  <si>
    <t>0560_elgbl_amnt_own_fnds_cnsldtd_lvl</t>
  </si>
  <si>
    <t>v_2_0036</t>
  </si>
  <si>
    <t>0590_typ_scrty_intrst_prvdd</t>
  </si>
  <si>
    <t>v_2_0037</t>
  </si>
  <si>
    <t>v_2_0038</t>
  </si>
  <si>
    <t>0620_blnc_sht_ifrs</t>
  </si>
  <si>
    <t>FRMT_B0200_C0010</t>
  </si>
  <si>
    <t>O campo deve ser reportado com formato numérico inteiro.</t>
  </si>
  <si>
    <t>FRMT_B0200_C0020</t>
  </si>
  <si>
    <t>O campo deve ser reportado com formato texto livre.</t>
  </si>
  <si>
    <t>0020_uniq_id</t>
  </si>
  <si>
    <t>FRMT_B0200_C0030</t>
  </si>
  <si>
    <t>FRMT_B0200_C0040</t>
  </si>
  <si>
    <t>FRMT_B0200_C0050</t>
  </si>
  <si>
    <t>O campo deve ser reportado com formato numérico com 2 casas decimais.</t>
  </si>
  <si>
    <t>0050_orgnl_amnt_eur</t>
  </si>
  <si>
    <t>FRMT_B0200_C0060</t>
  </si>
  <si>
    <t>0060_orgnl_amnt_fx</t>
  </si>
  <si>
    <t>FRMT_B0200_C0070</t>
  </si>
  <si>
    <t>O campo deve ser reportado usando o código 3-letra ISO 4217.</t>
  </si>
  <si>
    <t>FRMT_B0200_C0080</t>
  </si>
  <si>
    <t>FRMT_B0200_C0090</t>
  </si>
  <si>
    <t>FRMT_B0200_C0100</t>
  </si>
  <si>
    <t>FRMT_B0200_C0110</t>
  </si>
  <si>
    <t>FRMT_B0200_C0120</t>
  </si>
  <si>
    <t>FRMT_B0200_C0130</t>
  </si>
  <si>
    <t>FRMT_B0200_C0140</t>
  </si>
  <si>
    <t>FRMT_B0200_C0141</t>
  </si>
  <si>
    <t>FRMT_B0200_C0150</t>
  </si>
  <si>
    <t>O campo deve ser reportado usando TRUE ou FALSE.</t>
  </si>
  <si>
    <t>0150_flg_strctrlly_sbrdntd</t>
  </si>
  <si>
    <t>FRMT_B0200_C0160</t>
  </si>
  <si>
    <t>FRMT_B0200_C0161</t>
  </si>
  <si>
    <t>0161_cntrctl_sbrdntn</t>
  </si>
  <si>
    <t>FRMT_B0200_C0162</t>
  </si>
  <si>
    <t>O campo deve ser reportado usando os valores fixos.</t>
  </si>
  <si>
    <t>FRMT_B0200_C0170</t>
  </si>
  <si>
    <t>O campo deve ser reportado com formato yyyy-mm-dd.</t>
  </si>
  <si>
    <t>FRMT_B0200_C0180</t>
  </si>
  <si>
    <t>FRMT_B0200_C0190</t>
  </si>
  <si>
    <t>0190_dt_nxt_rdmptn_pymnt</t>
  </si>
  <si>
    <t>FRMT_B0200_C0200</t>
  </si>
  <si>
    <t>FRMT_B0200_C0210</t>
  </si>
  <si>
    <t>FRMT_B0200_C0220</t>
  </si>
  <si>
    <t>O campo deve ser reportado usando o código ISO 3166-1 alpha-2.</t>
  </si>
  <si>
    <t>FRMT_B0200_C0230</t>
  </si>
  <si>
    <t>FRMT_B0200_C0240</t>
  </si>
  <si>
    <t>0240_zero_coupon</t>
  </si>
  <si>
    <t>FRMT_B0200_C0250</t>
  </si>
  <si>
    <t>FRMT_B0200_C0260</t>
  </si>
  <si>
    <t>FRMT_B0200_C0270</t>
  </si>
  <si>
    <t>FRMT_B0200_C0280</t>
  </si>
  <si>
    <t>0280_flg_ncnp_dpsts</t>
  </si>
  <si>
    <t>FRMT_B0200_C0290</t>
  </si>
  <si>
    <t>0290_flg_ncbp_dpsts</t>
  </si>
  <si>
    <t>FRMT_B0200_C0300</t>
  </si>
  <si>
    <t>FRMT_B0200_C0310</t>
  </si>
  <si>
    <t>FRMT_B0200_C0320</t>
  </si>
  <si>
    <t>FRMT_B0200_C0330</t>
  </si>
  <si>
    <t>FRMT_B0200_C0340</t>
  </si>
  <si>
    <t>0340_id_clltrl</t>
  </si>
  <si>
    <t>FRMT_B0200_C0350</t>
  </si>
  <si>
    <t>FRMT_B0200_C0351</t>
  </si>
  <si>
    <t>FRMT_B0200_C0360</t>
  </si>
  <si>
    <t>0360_trdng_mthd</t>
  </si>
  <si>
    <t>FRMT_B0200_C0370</t>
  </si>
  <si>
    <t>FRMT_B0200_C0380</t>
  </si>
  <si>
    <t>0380_amnt_scrty_fx</t>
  </si>
  <si>
    <t>FRMT_B0200_C0390</t>
  </si>
  <si>
    <t>FRMT_B0200_C0391</t>
  </si>
  <si>
    <t>FRMT_B0200_C0400</t>
  </si>
  <si>
    <t>O campo deve ser reportado com formato numérico com 4 casas decimais.</t>
  </si>
  <si>
    <t>FRMT_B0200_C0410</t>
  </si>
  <si>
    <t>0410_fees_charges_scrty</t>
  </si>
  <si>
    <t>FRMT_B0200_C0420</t>
  </si>
  <si>
    <t>0420_fv_amnt_scrty</t>
  </si>
  <si>
    <t>FRMT_B0200_C0430</t>
  </si>
  <si>
    <t>0430_prncpl_amnt_glbl_nt_eur</t>
  </si>
  <si>
    <t>FRMT_B0200_C0431</t>
  </si>
  <si>
    <t>0431_prncpl_amnt_glbl_nt_fx</t>
  </si>
  <si>
    <t>FRMT_B0200_C0440</t>
  </si>
  <si>
    <t>FRMT_B0200_C0450</t>
  </si>
  <si>
    <t>O campo deve ser reportado com formato numérico entre 0 e 1, com 9 casas decimais.</t>
  </si>
  <si>
    <t>0450_crrnt_pool_fctr</t>
  </si>
  <si>
    <t>FRMT_B0200_C0460</t>
  </si>
  <si>
    <t>0460_csd</t>
  </si>
  <si>
    <t>FRMT_B0200_C0461</t>
  </si>
  <si>
    <t>0461_csd_lei</t>
  </si>
  <si>
    <t>FRMT_B0200_C0462</t>
  </si>
  <si>
    <t>0462_csd_othr</t>
  </si>
  <si>
    <t>FRMT_B0200_C0470</t>
  </si>
  <si>
    <t>0470_pyng_agnt</t>
  </si>
  <si>
    <t>FRMT_B0200_C0471</t>
  </si>
  <si>
    <t>0471_pyng_agnt_lei</t>
  </si>
  <si>
    <t>FRMT_B0200_C0480</t>
  </si>
  <si>
    <t>0480_trdng_vn</t>
  </si>
  <si>
    <t>FRMT_B0200_C0481</t>
  </si>
  <si>
    <t>0481_trdng_vn_lei</t>
  </si>
  <si>
    <t>FRMT_B0200_C0490</t>
  </si>
  <si>
    <t>0490_rgstrr</t>
  </si>
  <si>
    <t>FRMT_B0200_C0491</t>
  </si>
  <si>
    <t>0491_rgstrr_lei</t>
  </si>
  <si>
    <t>FRMT_B0200_C0500</t>
  </si>
  <si>
    <t>0500_nna</t>
  </si>
  <si>
    <t>FRMT_B0200_C0501</t>
  </si>
  <si>
    <t>0501_nna_lei</t>
  </si>
  <si>
    <t>FRMT_B0200_C0510</t>
  </si>
  <si>
    <t>0510_cmmn_dpstry</t>
  </si>
  <si>
    <t>FRMT_B0200_C0511</t>
  </si>
  <si>
    <t>0511_cmmn_dpstry_lei</t>
  </si>
  <si>
    <t>FRMT_B0200_C0520</t>
  </si>
  <si>
    <t>0520_cmmn_srvc_prvdr</t>
  </si>
  <si>
    <t>FRMT_B0200_C0521</t>
  </si>
  <si>
    <t>0521_cmmn_srvc_prvdr_lei</t>
  </si>
  <si>
    <t>FRMT_B0200_C0530</t>
  </si>
  <si>
    <t>FRMT_B0200_C0540</t>
  </si>
  <si>
    <t>FRMT_B0200_C0550</t>
  </si>
  <si>
    <t>FRMT_B0200_C0560</t>
  </si>
  <si>
    <t>FRMT_B0200_C0570</t>
  </si>
  <si>
    <t>0570_amnt_scrty_intrst_prvdd</t>
  </si>
  <si>
    <t>FRMT_B0200_C0580</t>
  </si>
  <si>
    <t>0580_scrty_intrst_prvdr</t>
  </si>
  <si>
    <t>FRMT_B0200_C0581</t>
  </si>
  <si>
    <t>0581_scrty_intrst_prvdr_lei</t>
  </si>
  <si>
    <t>FRMT_B0200_C0590</t>
  </si>
  <si>
    <t>FRMT_B0200_C0600</t>
  </si>
  <si>
    <t>0600_flg_clltrl_asst_pstn</t>
  </si>
  <si>
    <t>FRMT_B0200_C0610</t>
  </si>
  <si>
    <t>FRMT_B0200_C0620</t>
  </si>
  <si>
    <t>FRMT_B0200_C0630</t>
  </si>
  <si>
    <t>0630_crrying_amnt_ngaap</t>
  </si>
  <si>
    <t>FRMT_B0200_C0640</t>
  </si>
  <si>
    <t>0640_blnc_sht_ngaap</t>
  </si>
  <si>
    <t>FRMT_B0200_C5000</t>
  </si>
  <si>
    <t>5000_flg_shrhldr_not_rsltn_grp</t>
  </si>
  <si>
    <t>FRMT_B0200_C5010</t>
  </si>
  <si>
    <t>5010_flg_art21_7a_srmr</t>
  </si>
  <si>
    <t>v_2_0053</t>
  </si>
  <si>
    <t>O campo deve ser reportado usando o código ISO 3166-1 alfa-2 ou 3166-2.</t>
  </si>
  <si>
    <t>0030_governing_law</t>
  </si>
  <si>
    <t>v_2_0054</t>
  </si>
  <si>
    <t>0050_typ_guarantee</t>
  </si>
  <si>
    <t>v_2_0055</t>
  </si>
  <si>
    <t>0060_max_amnt_guarantee</t>
  </si>
  <si>
    <t>v_2_0056</t>
  </si>
  <si>
    <t>0070_flg_scrd</t>
  </si>
  <si>
    <t>v_2_0057</t>
  </si>
  <si>
    <t>0080_amnt_clltrl</t>
  </si>
  <si>
    <t>FRMT_B0500_C0010</t>
  </si>
  <si>
    <t>FRMT_B0500_C0020</t>
  </si>
  <si>
    <t>0020_uniq_id_guarantee</t>
  </si>
  <si>
    <t>FRMT_B0500_C0030</t>
  </si>
  <si>
    <t>FRMT_B0500_C0040</t>
  </si>
  <si>
    <t>0040_flg_art12g_3_srmr</t>
  </si>
  <si>
    <t>FRMT_B0500_C0050</t>
  </si>
  <si>
    <t>FRMT_B0500_C0060</t>
  </si>
  <si>
    <t>FRMT_B0500_C0070</t>
  </si>
  <si>
    <t>FRMT_B0500_C0080</t>
  </si>
  <si>
    <t>FRMT_B0500_C0090</t>
  </si>
  <si>
    <t>O campo deve ser reportado usando o valor fixo Default.</t>
  </si>
  <si>
    <t>0090_guarantee_trggr</t>
  </si>
  <si>
    <t>FRMT_B0500_C0100</t>
  </si>
  <si>
    <t>0100_dt_mtrty_clltrl</t>
  </si>
  <si>
    <t>FRMT_B0500_C0110</t>
  </si>
  <si>
    <t>0110_scrts_clltrl_id</t>
  </si>
  <si>
    <t>FRMT_B0500_C0120</t>
  </si>
  <si>
    <t>0120_typ_clltrlztn</t>
  </si>
  <si>
    <t>FRMT_B0500_C0130</t>
  </si>
  <si>
    <t>0130_typ_prtctn_vl</t>
  </si>
  <si>
    <t>FRMT_B0500_C0140</t>
  </si>
  <si>
    <t>0140_dt_vltn_scrty</t>
  </si>
  <si>
    <t>FRMT_B0500_C0150</t>
  </si>
  <si>
    <t>0150_prtctn_vltn_apprch</t>
  </si>
  <si>
    <t>v_1_0056</t>
  </si>
  <si>
    <t>0030_cntrprty_rsltn_grp</t>
  </si>
  <si>
    <t>v_2_0058</t>
  </si>
  <si>
    <t>v_2_0059</t>
  </si>
  <si>
    <t>0080_cntrprty_typ</t>
  </si>
  <si>
    <t>v_2_0060</t>
  </si>
  <si>
    <t>0090_cntry_cntrprty</t>
  </si>
  <si>
    <t>FRMT_B9000_C0010</t>
  </si>
  <si>
    <t>O campo deve ser reportado com formato numérico.</t>
  </si>
  <si>
    <t>FRMT_B9000_C0011</t>
  </si>
  <si>
    <t>O campo deve ser reportado com formato de texto.</t>
  </si>
  <si>
    <t>0011_tab_origin</t>
  </si>
  <si>
    <t>FRMT_B9000_C0020</t>
  </si>
  <si>
    <t>0020_uniq_id_knwn_cntrprty</t>
  </si>
  <si>
    <t>FRMT_B9000_C0030</t>
  </si>
  <si>
    <t>FRMT_B9000_C0040</t>
  </si>
  <si>
    <t>0040_cntrprty_nm</t>
  </si>
  <si>
    <t>FRMT_B9000_C0050</t>
  </si>
  <si>
    <t>0050_cntrprty_lei</t>
  </si>
  <si>
    <t>FRMT_B9000_C0060</t>
  </si>
  <si>
    <t>0060_typ_cntrprty_id</t>
  </si>
  <si>
    <t>FRMT_B9000_C0070</t>
  </si>
  <si>
    <t>0070_cntrprty_id</t>
  </si>
  <si>
    <t>FRMT_B9000_C0080</t>
  </si>
  <si>
    <t>FRMT_B9000_C0090</t>
  </si>
  <si>
    <t>FRMT_B9000_C0100</t>
  </si>
  <si>
    <t>0100_rlvnt_amnt_wdc</t>
  </si>
  <si>
    <t>3100031829309009700000000000000015321403985324032640403001, NULL; 3100031597031109600000000000000015310473251221141222159, NULL; 31000315970212096000000000000000153104730221141222159, NULL; 31000311450813096000000000000000153304730221141403152, NULL; 3100031854200909700000000000000015311403985314032640303001, NULL; 31000315970188096000000000000000153114739853147326403031521, NULL; 3100031597989009600000000000000015320433022114122210, NULL; 31000315970428096000000000000000153114739853147326403031521, NULL; 31000315970121096000000000000000153114739853147326403031521, NULL; 31000307530917096000000000000000153114739853147326403031521, NULL; 31000315970188096000000000000000153104730221141222159, NULL; 3100031597032909600000000000000015310473251221141222159, NULL; 3100031597012109600000000000000015310473251221141222159, NULL; 31000315970238096000000000000000153114739853147326403031521, NULL; 3100031597000609600000000000000015310473251221141222159, NULL; 31000311847794096000000000000000153104730221141222159, NULL; 3100031597034509600000000000000015310473251221141222159, NULL; 31000304140330096000000000000000153114719853147126403031201, NULL; 31000307044893096000000000000000153104730221141222159, NULL; 310003159798900960000000000000001532043325122114122210, NULL; 3100031829309009700000000000000015320403022035122200, NULL; 3100031597042809600000000000000015310473251221141222159, NULL; 3100031597046909600000000000000015310473251221141222159, NULL; 3100031597989009600000000000000015321433985324332640403101, NULL; 31000313517171096000000000000000153114739853147326403031521, NULL; 3100030704489309600000000000000015310473251221141222159, NULL; 31000315970402096000000000000000153114739853147326403031521, NULL; 31000315970469096000000000000000153114739853147326403031521, NULL; 31000315970329096000000000000000153104730221141222159, NULL; 31000315970121096000000000000000153104730221141222159, NULL; 3100031597027909600000000000000015310473251221141222159, NULL; 31000315970279096000000000000000153104730221141222159, NULL; 3100030414033009600000000000000015310471251221141222120, NULL; 3100031597013909600000000000000015310473251221141222159, NULL; 31000311450813096000000000000000153304730282030501403152, NULL; 31000315970311096000000000000000153114739853147326403031521, NULL; 3100031184779409600000000000000015310473251221141222159, NULL; 3100031854200909700000000000000015310403251220304122200, NULL; 31000315970139096000000000000000153104730221141222159, NULL; 31000315970428096000000000000000153104730221141222159, NULL; 31000315970345096000000000000000153114739853147326403031521, NULL; 31000315970402096000000000000000153104730221141222159, NULL; 3100031829309009700000000000000015320403251220304122200, NULL; 3100030753091709600000000000000015310473251221141222159, NULL; 31000315970469096000000000000000153104730221141222159, NULL; 3100031597026109600000000000000015310473251221141222159, NULL; 31000315970261096000000000000000153114739853147326403031521, NULL; 3100031145081309600000000000000015331047398533047326400031520, NULL; 31000307044893096000000000000000153114739853147326403031521, NULL; 3100031351717109600000000000000015310473251221141222159, NULL; 31000315970238096000000000000000153104730221141222159, NULL; 31000315970329096000000000000000153114739853147326403031521, NULL; 3100031854200909700000000000000015310403022035122200, NULL; 3100031597040209600000000000000015310473251221141222159, NULL; 31000315970139096000000000000000153114739853147326403031521, NULL; 31000315970006096000000000000000153104730221141222159, NULL; 31000311847794096000000000000000153114739853147326403031521, NULL; 3100031597018809600000000000000015310473251221141222159, NULL; 31000315970212096000000000000000153114739853147326403031521, NULL; 31000315970279096000000000000000153114739853147326403031521, NULL; 31000304140330096000000000000000153104710221141222120, NULL; 31000315970311096000000000000000153104730221141222159, NULL; 3100031597023809600000000000000015310473251221141222159, NULL; 3100031597021209600000000000000015310473251221141222159, NULL; 31000315970345096000000000000000153104730221141222159, NULL; 31000313517171096000000000000000153104730221141222159, NULL; 31000315970261096000000000000000153104730221141222159, NULL; 31000315970006096000000000000000153114739853147326403031521, NULL; 31000307530917096000000000000000153104730221141222159, NULL</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</si>
  <si>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89000020240000766001520240649911; 89000020240000766001520240650354; 89000020240000766001520240653173; 89000020240000766001520240653175; 89000020240000766001520250082927; 89000020240000766001520250143421; 89000020240000766001520250143775; 89000020240000766001520250143831; 89000020240000766001520250208678; 89000020240000766001520250208775; 89000020240000766001520250211010; 89000020240000766001520250260008; 89000020240000766001520250260193; 89000020240000766001520250327146; 89000020240000766001520250327167; 89000020240000766001520250327371; 89000020240000766001520250327441; 89000020240000766001520250327468; 89000020240000766001520250327722; 89000020240000766001520250327824; 89000020240000766001520250451527; 89000020240000766001520250451667; 89000020240000766001520250451752; 89000020240000766001520250451789; 89000020240000766001520250507939; 89000020240000766001520250508106; 89000020240000766001520250508420; 89000020240000766001520250508453; 89000020240000766001520240650385; 89000020240000766001520240650412; 89000020240000766001520240651645; 89000020240000766001520240652371; 89000020240000766001520240652376; 89000020240000766001520240654438; 89000020240000766001520250143517; 89000020240000766001520250143752; 89000020240000766001520250259839; 89000020240000766001520250327206; 89000020240000766001520250400605; 89000020240000766001520250400668; 89000020240000766001520250400835; 89000020240000766001520250400880; 89000020240000766001520250451416; 89000020240000766001520250451678; 89000020240000766001520250451895; 89000020240000766001520250451903; 89000020240000766001520250508368; 89000020240000766001520250508481; 89000020240000766001520240650478; 89000020240000766001520240650957; 89000020240000766001520240650987; 89000020240000766001520250143621; 89000020240000766001520250143636; 89000020240000766001520250208844; 89000020240000766001520250259965; 89000020240000766001520250260252; 89000020240000766001520250260272; 89000020240000766001520250327111; 89000020240000766001520250327432; 89000020240000766001520250327447; 89000020240000766001520250327917; 89000020240000766001520250400587; 89000020240000766001520250400600; 89000020240000766001520250400679; 89000020240000766001520250400731; 89000020240000766001520250400747; 89000020240000766001520250451340; 89000020240000766001520250451404; 89000020240000766001520250451476; 89000020240000766001520250451832; 89000020240000766001520250451929; 89000020240000766001520250451942; 89000020240000766001520250507853; 89000020240000766001520250507879; 89000020240000766001520250508167; 89000020240000766001520240652377; 89000020240000766001520240654079; 89000020240000766001520250143585; 89000020240000766001520250143925; 89000020240000766001520250208806; 89000020240000766001520250208876; 89000020240000766001520250211045; 89000020240000766001520250327209; 89000020240000766001520250327361; 89000020240000766001520250327492; 89000020240000766001520250327559; 89000020240000766001520250327681; 89000020240000766001520250400713; 89000020240000766001520250451321; 89000020240000766001520250451631; 89000020240000766001520250451773; 89000020240000766001520250451878; 89000020240000766001520250508142; 89000020240000766001520250508413; 89000020240000766001520240649827; 89000020240000766001520240650350; 89000020240000766001520240650373; 89000020240000766001520240650404; 89000020240000766001520240650556; 89000020240000766001520240650954; 89000020240000766001520240651708; 89000020240000766001520250143490; 89000020240000766001520250143526; 89000020240000766001520250143593; 89000020240000766001520250208764; 89000020240000766001520250208996; 89000020240000766001520250209002; 89000020240000766001520250210993; 89000020240000766001520250211051; 89000020240000766001520250260017; 89000020240000766001520250260174; 89000020240000766001520250260224; 89000020240000766001520250260244; 89000020240000766001520250327180; 89000020240000766001520250327375; 89000020240000766001520250327388; 89000020240000766001520250327614; 89000020240000766001520250327955; 89000020240000766001520250400883; 89000020240000766001520250451319; 89000020240000766001520250451418; 89000020240000766001520250451480; 89000020240000766001520250451634; 89000020240000766001520250451688; 89000020240000766001520250508037; 89000020240000766001520250508257; 89000020240000766001520240650989; 89000020240000766001520240652448; 89000020240000766001520250082898; 89000020240000766001520250208834; 89000020240000766001520250259776; 89000020240000766001520250259949; 89000020240000766001520250327306; 89000020240000766001520250327356; 89000020240000766001520250327580; 89000020240000766001520250327596; 89000020240000766001520250327702; 89000020240000766001520250327797; 89000020240000766001520250327798; 89000020240000766001520250327835; 89000020240000766001520250327850; 89000020240000766001520250400749; 89000020240000766001520250400790; 89000020240000766001520250451338; 89000020240000766001520250451515; 89000020240000766001520250508266; 89000020240000766001520250508478; 89000020240000766001520240650356; 89000020240000766001520240650492; 89000020240000766001520240650503; 89000020240000766001520250143501; 89000020240000766001520250143582; 89000020240000766001520250143842; 89000020240000766001520250211072; 89000020240000766001520250259891; 89000020240000766001520250327191; 89000020240000766001520250327679; 89000020240000766001520250327927; 89000020240000766001520250327963; 89000020240000766001520250400743; 89000020240000766001520250451510; 89000020240000766001520250451621; 89000020240000766001520250451622; 89000020240000766001520250451674; 89000020240000766001520250451685; 89000020240000766001520250508056; 89000020240000766001520250508307; 89000020240000766001520250508356; 89000020240000766001520250508471; 89000020240000766001520250508490; 89000020240000766001520240650534; 89000020240000766001520240654422; 89000020240000766001520250143413; 89000020240000766001520250143457; 89000020240000766001520250143684; 89000020240000766001520250208719; 89000020240000766001520250208760; 89000020240000766001520250210954; 89000020240000766001520250259953; 89000020240000766001520250260002; 89000020240000766001520250260080; 89000020240000766001520250260112; 89000020240000766001520250260207; 89000020240000766001520250260261; 89000020240000766001520250327275; 89000020240000766001520250327478; 89000020240000766001520250327745; 89000020240000766001520250400732; 89000020240000766001520250400872; 89000020240000766001520250451317; 89000020240000766001520250451690; 89000020240000766001520250451721; 89000020240000766001520250451819; 89000020240000766001520250451918; 89000020240000766001520250507901; 89000020240000766001520250508015; 89000020240000766001520250508099; 89000020240000766001520250508503; 89000020240000766001520240652460; 89000020240000766001520250208814; 89000020240000766001520250208847; 89000020240000766001520250259930; 89000020240000766001520250259933; 89000020240000766001520250259960; 89000020240000766001520250260044; 89000020240000766001520250260227; 89000020240000766001520250327321; 89000020240000766001520250327355; 89000020240000766001520250400778; 89000020240000766001520250451441; 89000020240000766001520250451563; 89000020240000766001520250451635; 89000020240000766001520250508010; 89000020240000766001520240650485; 89000020240000766001520240650533; 89000020240000766001520240650550; 89000020240000766001520240654459; 89000020240000766001520250082936; 89000020240000766001520250143668; 89000020240000766001520250143808; 89000020240000766001520250208746; 89000020240000766001520250208777; 89000020240000766001520250210955; 89000020240000766001520250210961; 89000020240000766001520250210974; 89000020240000766001520250211006; 89000020240000766001520250259803; 89000020240000766001520250259820; 89000020240000766001520250327234; 89000020240000766001520250327829; 89000020240000766001520250327901; 89000020240000766001520250327926; 89000020240000766001520250451371; 89000020240000766001520250451534; 89000020240000766001520250451558; 89000020240000766001520250451644; 89000020240000766001520250451648; 89000020240000766001520250508019; 89000020240000766001520250508133; 89000020240000766001520250508156; 89000020240000766001520240649914; 89000020240000766001520250082934; 89000020240000766001520250208672; 89000020240000766001520250211011; 89000020240000766001520250259872; 89000020240000766001520250259959; 89000020240000766001520250260023; 89000020240000766001520250327116; 89000020240000766001520250327329; 89000020240000766001520250327352; 89000020240000766001520250327457; 89000020240000766001520250327761; 89000020240000766001520250327821; 89000020240000766001520250400850; 89000020240000766001520250451471; 89000020240000766001520250451580; 89000020240000766001520250451593; 89000020240000766001520250508442; 89000020240000766001520240650531; 89000020240000766001520240650993; 89000020240000766001520240651475; 89000020240000766001520250143632; 89000020240000766001520250143911; 89000020240000766001520250208683; 89000020240000766001520250259835; 89000020240000766001520250260146; 89000020240000766001520250327118; 89000020240000766001520250327148; 89000020240000766001520250327381; 89000020240000766001520250327515; 89000020240000766001520250400841; 89000020240000766001520250451328; 89000020240000766001520250451399; 89000020240000766001520250451439; 89000020240000766001520250451538; 89000020240000766001520250451798; 89000020240000766001520250507981; 89000020240000766001520250507995; 89000020240000766001520250508174; 89000020240000766001520250508292; 89000020240000766001520240649916; 89000020240000766001520240649945; 89000020240000766001520240650405; 89000020240000766001520240650504; 89000020240000766001520240651202; 89000020240000766001520240651644; 89000020240000766001520250143610; 89000020240000766001520250208700; 89000020240000766001520250208747; 89000020240000766001520250208799; 89000020240000766001520250208836; 89000020240000766001520250211016; 89000020240000766001520250259751; 89000020240000766001520250259834; 89000020240000766001520250259894; 89000020240000766001520250259924; 89000020240000766001520250259966; 89000020240000766001520250259975; 89000020240000766001520250327337; 89000020240000766001520250327998; 89000020240000766001520250400594; 89000020240000766001520250400777; 89000020240000766001520250400781; 89000020240000766001520250451440; 89000020240000766001520250451488; 89000020240000766001520250451584; 89000020240000766001520250508456; 89000020240000766001520240650004; 89000020240000766001520240650368; 89000020240000766001520240650979; 89000020240000766001520240653787; 89000020240000766001520240654092; 89000020240000766001520250143949; 89000020240000766001520250208687; 89000020240000766001520250208848; 89000020240000766001520250208929; 89000020240000766001520250210979; 89000020240000766001520250259759; 89000020240000766001520250259833; 89000020240000766001520250259947; 89000020240000766001520250259981; 89000020240000766001520250260178; 89000020240000766001520250327154; 89000020240000766001520250327668; 89000020240000766001520250400724; 89000020240000766001520250451352; 89000020240000766001520250451555; 89000020240000766001520250507958; 89000020240000766001520250508083; 89000020240000766001520250508159; 89000020240000766001520250508168; 89000020240000766001520250508269; 89000020240000766001520250508419; 31000315970121096000000000000000; 89000020240000766001520240650508; 89000020240000766001520240651454; 89000020240000766001520240651709; 89000020240000766001520240652455; 89000020240000766001520240653182; 89000020240000766001520250208689; 89000020240000766001520250208839; 89000020240000766001520250210940; 89000020240000766001520250210989; 89000020240000766001520250211022; 89000020240000766001520250259781; 89000020240000766001520250259806; 89000020240000766001520250327345; 89000020240000766001520250327419; 89000020240000766001520250327523; 89000020240000766001520250327728; 89000020240000766001520250327869; 89000020240000766001520250327883; 89000020240000766001520250327938; 89000020240000766001520250400798; 89000020240000766001520250451454; 89000020240000766001520250451564; 89000020240000766001520250451577; 89000020240000766001520250507864; 89000020240000766001520250507920; 89000020240000766001520250508071; 89000020240000766001520250508215; 89000020240000766001520250508429; 31000000000000000962304890482490; 89000020240000766001520240650976; 89000020240000766001520240652450; 89000020240000766001520240654069; 89000020240000766001520240654453; 89000020240000766001520240654637; 89000020240000766001520240654665; 89000020240000766001520250208859; 89000020240000766001520250208879; 89000020240000766001520250208882; 89000020240000766001520250260063; 89000020240000766001520250260105; 89000020240000766001520250327220; 89000020240000766001520250327856; 89000020240000766001520250400877; 89000020240000766001520250451414; 89000020240000766001520250508023; 89000020240000766001520250508417; 89000020240000766001520250508449; 89000020240000766001520240650495; 89000020240000766001520240650962; 89000020240000766001520240651699; 89000020240000766001520240654662; 89000020240000766001520250143596; 89000020240000766001520250208838; 89000020240000766001520250210968; 89000020240000766001520250260084; 89000020240000766001520250260229; 89000020240000766001520250327219; 89000020240000766001520250327487; 89000020240000766001520250327516; 89000020240000766001520250327590; 89000020240000766001520250327799; 89000020240000766001520250327876; 89000020240000766001520250400625; 89000020240000766001520250400784; 89000020240000766001520250451294; 89000020240000766001520250451353; 89000020240000766001520250451486; 89000020240000766001520250451570; 89000020240000766001520250451651; 89000020240000766001520250451897; 89000020240000766001520250507927; 89000020240000766001520250508025; 89000020240000766001520250508070; 89000020240000766001520250508112; 89000020240000766001520250508256; 89000020240000766001520250508279; 89000020240000766001520240650515; 89000020240000766001520240654448; 89000020240000766001520250143486; 89000020240000766001520250210941; 89000020240000766001520250211089; 89000020240000766001520250327198; 89000020240000766001520250400671; 89000020240000766001520250400776; 89000020240000766001520250400786; 89000020240000766001520250451310; 89000020240000766001520250451427; 89000020240000766001520250507847; 89000020240000766001520250508330; 31000000342178002000000000000000; 89000020240000766001520240650352; 89000020240000766001520240654447; 89000020240000766001520250143439; 89000020240000766001520250143469; 89000020240000766001520250143594; 89000020240000766001520250143728; 89000020240000766001520250143848; 89000020240000766001520250208802; 89000020240000766001520250208830; 89000020240000766001520250259813; 89000020240000766001520250327133; 89000020240000766001520250327176; 89000020240000766001520250327207; 89000020240000766001520250327431; 89000020240000766001520250327871; 89000020240000766001520250327918; 89000020240000766001520250400659; 89000020240000766001520250451304; 89000020240000766001520250451445; 89000020240000766001520250451552; 89000020240000766001520250507993; 89000020240000766001520250508014; 89000020240000766001520250508034; 89000020240000766001520250508281; 89000020240000766001520240650396; 89000020240000766001520240650546; 89000020240000766001520240650549; 89000020240000766001520240650560; 89000020240000766001520240651001; 89000020240000766001520240651411; 89000020240000766001520250082904; 89000020240000766001520</t>
  </si>
  <si>
    <t>31000315970188096000000000000000; 31000307044893096000000000000000; 31000315970139096000000000000000; 31000315979890096000000000000000; 31000315970428096000000000000000; 31000315970238096000000000000000; 31000313517171096000000000000000; 31000315970329096000000000000000; 31000311847794096000000000000000; 31641600005800007PTCPP0AM0007000; 31000315970345096000000000000000; 31000315970402096000000000000000; 31000315970121096000000000000000; 31000000000000000962304890482490; 31000315970279096000000000000000; 31000315970212096000000000000000; 31000315970261096000000000000000; 31000315970469096000000000000000; 31000307530917096000000000000000; 31000315970006096000000000000000; 31000315970311096000000000000000; 31000304140330096000000000000000; 31000311450813096000000000000000</t>
  </si>
  <si>
    <t>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31000000342178002000000000000000; 89000020240000766001520240650352; 89000020240000766001520240654447; 89000020240000766001520250143439; 89000020240000766001520250143469; 89000020240000766001520250143594; 89000020240000766001520250143728; 89000020240000766001520250143848; 89000020240000766001520250208802; 89000020240000766001520250208830; 89000020240000766001520250259813; 89000020240000766001520250327133; 89000020240000766001520250327176; 89000020240000766001520250327207; 89000020240000766001520250327431; 89000020240000766001520250327871; 89000020240000766001520250327918; 89000020240000766001520250400659; 89000020240000766001520250451304; 89000020240000766001520250451445; 89000020240000766001520250451552; 89000020240000766001520250507993; 89000020240000766001520250508014; 89000020240000766001520250508034; 89000020240000766001520250508281; 89000020240000766001520240650478; 89000020240000766001520240650957; 89000020240000766001520240650987; 89000020240000766001520250143621; 89000020240000766001520250143636; 89000020240000766001520250208844; 89000020240000766001520250259965; 89000020240000766001520250260252; 89000020240000766001520250260272; 89000020240000766001520250327111; 89000020240000766001520250327432; 89000020240000766001520250327447; 89000020240000766001520250327917; 89000020240000766001520250400587; 89000020240000766001520250400600; 89000020240000766001520250400679; 89000020240000766001520250400731; 89000020240000766001520250400747; 89000020240000766001520250451340; 89000020240000766001520250451404; 89000020240000766001520250451476; 89000020240000766001520250451832; 89000020240000766001520250451929; 89000020240000766001520250451942; 89000020240000766001520250507853; 89000020240000766001520250507879; 89000020240000766001520250508167; 89000020240000766001520240649914; 89000020240000766001520250082934; 89000020240000766001520250208672; 89000020240000766001520250211011; 89000020240000766001520250259872; 89000020240000766001520250259959; 89000020240000766001520250260023; 89000020240000766001520250327116; 89000020240000766001520250327329; 89000020240000766001520250327352; 89000020240000766001520250327457; 89000020240000766001520250327761; 89000020240000766001520250327821; 89000020240000766001520250400850; 89000020240000766001520250451471; 89000020240000766001520250451580; 89000020240000766001520250451593; 89000020240000766001520250508442; 89000020240000766001520240650515; 89000020240000766001520240654448; 89000020240000766001520250143486; 89000020240000766001520250210941; 89000020240000766001520250211089; 89000020240000766001520250327198; 89000020240000766001520250400671; 89000020240000766001520250400776; 89000020240000766001520250400786; 89000020240000766001520250451310; 89000020240000766001520250451427; 89000020240000766001520250507847; 89000020240000766001520250508330; 89000020240000766001520240652377; 89000020240000766001520240654079; 89000020240000766001520250143585; 89000020240000766001520250143925; 89000020240000766001520250208806; 89000020240000766001520250208876; 89000020240000766001520250211045; 89000020240000766001520250327209; 89000020240000766001520250327361; 89000020240000766001520250327492; 89000020240000766001520250327559; 89000020240000766001520250327681; 89000020240000766001520250400713; 89000020240000766001520250451321; 89000020240000766001520250451631; 89000020240000766001520250451773; 89000020240000766001520250451878; 89000020240000766001520250508142; 89000020240000766001520250508413; 89000020240000766001520240650004; 89000020240000766001520240650368; 89000020240000766001520240650979; 89000020240000766001520240653787; 89000020240000766001520240654092; 89000020240000766001520250143949; 89000020240000766001520250208687; 89000020240000766001520250208848; 89000020240000766001520250208929; 89000020240000766001520250210979; 89000020240000766001520250259759; 89000020240000766001520250259833; 89000020240000766001520250259947; 89000020240000766001520250259981; 89000020240000766001520250260178; 89000020240000766001520250327154; 89000020240000766001520250327668; 89000020240000766001520250400724; 89000020240000766001520250451352; 89000020240000766001520250451555; 89000020240000766001520250507958; 89000020240000766001520250508083; 89000020240000766001520250508159; 89000020240000766001520250508168; 89000020240000766001520250508269; 89000020240000766001520250508419; 89000020240000766001520240649827; 89000020240000766001520240650350; 89000020240000766001520240650373; 89000020240000766001520240650404; 89000020240000766001520240650556; 89000020240000766001520240650954; 89000020240000766001520240651708; 89000020240000766001520250143490; 89000020240000766001520250143526; 89000020240000766001520250143593; 89000020240000766001520250208764; 89000020240000766001520250208996; 89000020240000766001520250209002; 89000020240000766001520250210993; 89000020240000766001520250211051; 89000020240000766001520250260017; 89000020240000766001520250260174; 89000020240000766001520250260224; 89000020240000766001520250260244; 89000020240000766001520250327180; 89000020240000766001520250327375; 89000020240000766001520250327388; 89000020240000766001520250327614; 89000020240000766001520250327955; 89000020240000766001520250400883; 89000020240000766001520250451319; 89000020240000766001520250451418; 89000020240000766001520250451480; 89000020240000766001520250451634; 89000020240000766001520250451688; 89000020240000766001520250508037; 89000020240000766001520250508257; 89000020240000766001520240649911; 89000020240000766001520240650354; 89000020240000766001520240653173; 89000020240000766001520240653175; 89000020240000766001520250082927; 89000020240000766001520250143421; 89000020240000766001520250143775; 89000020240000766001520250143831; 89000020240000766001520250208678; 89000020240000766001520250208775; 89000020240000766001520250211010; 89000020240000766001520250260008; 89000020240000766001520250260193; 89000020240000766001520250327146; 89000020240000766001520250327167; 89000020240000766001520250327371; 89000020240000766001520250327441; 89000020240000766001520250327468; 89000020240000766001520250327722; 89000020240000766001520250327824; 89000020240000766001520250451527; 89000020240000766001520250451667; 89000020240000766001520250451752; 89000020240000766001520250451789; 89000020240000766001520250507939; 89000020240000766001520250508106; 89000020240000766001520250508420; 89000020240000766001520250508453; 89000020240000766001520240649916; 89000020240000766001520240649945; 89000020240000766001520240650405; 89000020240000766001520240650504; 89000020240000766001520240651202; 89000020240000766001520240651644; 89000020240000766001520250143610; 89000020240000766001520250208700; 89000020240000766001520250208747; 89000020240000766001520250208799; 89000020240000766001520250208836; 89000020240000766001520250211016; 89000020240000766001520250259751; 89000020240000766001520250259834; 89000020240000766001520250259894; 89000020240000766001520250259924; 89000020240000766001520250259966; 89000020240000766001520250259975; 89000020240000766001520250327337; 89000020240000766001520250327998; 89000020240000766001520250400594; 89000020240000766001520250400777; 89000020240000766001520250400781; 89000020240000766001520250451440; 89000020240000766001520250451488; 89000020240000766001520250451584; 89000020240000766001520250508456; 31000315970121096000000000000000; 89000020240000766001520240650508; 89000020240000766001520240651454; 89000020240000766001520240651709; 89000020240000766001520240652455; 89000020240000766001520240653182; 89000020240000766001520250208689; 89000020240000766001520250208839; 89000020240000766001520250210940; 89000020240000766001520250210989; 89000020240000766001520250211022; 89000020240000766001520250259781; 89000020240000766001520250259806; 89000020240000766001520250327345; 89000020240000766001520250327419; 89000020240000766001520250327523; 89000020240000766001520250327728; 89000020240000766001520250327869; 89000020240000766001520250327883; 89000020240000766001520250327938; 89000020240000766001520250400798; 89000020240000766001520250451454; 89000020240000766001520250451564; 89000020240000766001520250451577; 89000020240000766001520250507864; 89000020240000766001520250507920; 89000020240000766001520250508071; 89000020240000766001520250508215; 89000020240000766001520250508429; 89000020240000766001520240650396; 89000020240000766001520240650546; 89000020240000766001520240650549; 89000020240000766001520240650560; 89000020240000766001520240651001; 89000020240000766001520240651411; 89000020240000766001520250082904; 89000020240000766001520250143860; 89000020240000766001520250143862; 89000020240000766001520250143883; 89000020240000766001520250143932; 89000020240000766001520250210936; 89000020240000766001520250210971; 89000020240000766001520250210994; 89000020240000766001520250211076; 89000020240000766001520250259732; 89000020240000766001520250259849; 89000020240000766001520250259918; 89000020240000766001520250259945; 89000020240000766001520250260202; 89000020240000766001520250260283; 89000020240000766001520250327510; 89000020240000766001520250327530; 89000020240000766001520250327604; 89000020240000766001520250327669; 89000020240000766001520250327726; 89000020240000766001520250327727; 89000020240000766001520250327755; 89000020240000766001520250327802; 89000020240000766001520250327937; 89000020240000766001520250400814; 89000020240000766001520250451330; 89000020240000766001520250451410; 89000020240000766001520250451426; 89000020240000766001520250451915; 89000020240000766001520250451952; 89000020240000766001520250507910; 89000020240000766001520250507959; 89000020240000766001520250507988; 89000020240000766001520250508267; 89000020240000766001520250508301; 89000020240000766001520250508312; 89000020240000766001520240652460; 89000020240000766001520250208814; 89000020240000766001520250208847; 89000020240000766001520250259930; 89000020240000766001520250259933; 89000020240000766001520250259960; 89000020240000766001520250260044; 89000020240000766001520250260227; 89000020240000766001520250327321; 89000020240000766001520250327355; 89000020240000766001520250400778; 89000020240000766001520250451441; 89000020240000766001520250451563; 89000020240000766001520250451635; 89000020240000766001520250508010; 89000020240000766001520240650989; 89000020240000766001520240652448; 89000020240000766001520250082898; 89000020240000766001520250208834; 89000020240000766001520250259776; 89000020240000766001520250259949; 89000020240000766001520250327306; 89000020240000766001520250327356; 89000020240000766001520250327580; 89000020240000766001520250327596; 89000020240000766001520250327702; 89000020240000766001520250327797; 89000020240000766001520250327798; 89000020240000766001520250327835; 89000020240000766001520250327850; 89000020240000766001520250400749; 89000020240000766001520250400790; 89000020240000766001520250451338; 89000020240000766001520250451515; 89000020240000766001520250508266; 89000020240000766001520250508478; 89000020240000766001520240650356; 89000020240000766001520240650492; 89000020240000766001520240650503; 89000020240000766001520250143501; 89000020240000766001520250143582; 89000020240000766001520250143842; 89000020240000766001520250211072; 89000020240000766001520250259891; 89000020240000766001520250327191; 89000020240000766001520250327679; 89000020240000766001520250327927; 89000020240000766001520250327963; 89000020240000766001520250400743; 89000020240000766001520250451510; 89000020240000766001520250451621; 89000020240000766001520250451622; 89000020240000766001520250451674; 89000020240000766001520250451685; 89000020240000766001520250508056; 89000020240000766001520250508307; 89000020240000766001520250508356; 89000020240000766001520250508471; 89000020240000766001520250508490; 89000020240000766001520240650435; 89000020240000766001520240650865; 89000020240000766001520240651198; 89000020240000766001520240651694; 89000020240000766001520250143541; 89000020240000766001520250208877; 89000020240000766001520250211062; 89000020240000766001520250259769; 89000020240000766001520250259867; 89000020240000766001520250260053; 89000020240000766001520250327106; 89000020240000766001520250327129; 89000020240000766001520250327474; 89000020240000766001520250327501; 89000020240000766001520250327526; 89000020240000766001520250327712; 89000020240000766001520250327837; 89000020240000766001520250400624; 89000020240000766001520250400746; 89000020240000766001520250400857; 89000020240000766001520250451286; 89000020240000766001520250451376; 89000020240000766001520250451591; 89000020240000766001520250451700; 89000020240000766001520250507841; 89000020240000766001520250508009; 89000020240000766001520250508053; 89000020240000766001520250508232; 89000020240000766001520250508439; 89000020240000766001520240650485; 89000020240000766001520240650533; 89000020240000766001520240650550; 89000020240000766001520240654459; 89000020240000766001520250082936; 89000020240000766001520250143668; 89000020240000766001520250143808; 89000020240000766001520250208746; 89000020240000766001520250208777; 89000020240000766001520250210955; 89000020240000766001520250210961; 89000020240000766001520250210974; 89000020240000766001520250211006; 89000020240000766001520250259803; 89000020240000766001520250259820; 89000020240000766001520250327234; 89000020240000766001520250327829; 89000020240000766001520250327901; 89000020240000766001520250327926; 89000020240000766001520250451371; 89000020240000766001520250451534; 89000020240000766001520250451558; 89000020240000766001520250451644; 89000020240000766001520250451648; 89000020240000766001520250508019; 89000020240000766001520250508133; 89000020240000766001520250508156; 89000020240000766001520240650385; 89000020240000766001520240650412; 89000020240000766001520240651645; 89000020240000766001520240652371; 89000020240000766001520240652376; 89000020240000766001520240654438; 89000020240000766001520250143517; 89000020240000766001520250143752; 89000020240000766001520250259839; 89000020240000766001520250327206; 89000020240000766001520250400605; 89000020240000766001520250400668; 89000020240000766001520250400835; 89000020240000766001520250400880; 89000020240000766001520250451416; 89000020240000766001520250451678; 89000020240000766001520250451895; 89000020240000766001520250451903; 89000020240000766001520250508368; 89000020240000766001520250508481; 89000020240000766001520240650495; 89000020240000766001520240650962; 89000020240000766001520240651699; 89000020240000766001520</t>
  </si>
  <si>
    <t>31000307530917096000000000000000153114739853147326403031521, NULL; 31000315970428096000000000000000153114739853147326403031521, NULL; 31000315970121096000000000000000153114739853147326403031521, NULL; 3100031597989009600000000000000015320433022114122210, NULL; 31000315970188096000000000000000153114739853147326403031521, NULL; 31000311450813096000000000000000153304730221141403152, NULL; 3100031829309009700000000000000015321403985324032640403001, NULL; 3100031854200909700000000000000015311403985314032640303001, NULL; 3100031597031109600000000000000015310473251221141222159, NULL; 31000315970212096000000000000000153104730221141222159, NULL; 31000315970329096000000000000000153104730221141222159, NULL; 31000315970402096000000000000000153114739853147326403031521, NULL; 3100030704489309600000000000000015310473251221141222159, NULL; 31000315970469096000000000000000153114739853147326403031521, NULL; 31000315970121096000000000000000153104730221141222159, NULL; 3100031597027909600000000000000015310473251221141222159, NULL; 31000307044893096000000000000000153104730221141222159, NULL; 310003159798900960000000000000001532043325122114122210, NULL; 31000313517171096000000000000000153114739853147326403031521, NULL; 3100031829309009700000000000000015320403022035122200, NULL; 31000304140330096000000000000000153114719853147126403031201, NULL; 3100031597042809600000000000000015310473251221141222159, NULL; 3100031597046909600000000000000015310473251221141222159, NULL; 3100031597989009600000000000000015321433985324332640403101, NULL; 31000315970188096000000000000000153104730221141222159, NULL; 3100031597032909600000000000000015310473251221141222159, NULL; 3100031597012109600000000000000015310473251221141222159, NULL; 31000311847794096000000000000000153104730221141222159, NULL; 3100031597034509600000000000000015310473251221141222159, NULL; 31000315970238096000000000000000153114739853147326403031521, NULL; 3100031597000609600000000000000015310473251221141222159, NULL; 3100031145081309600000000000000015331047398533047326400031520, NULL; 31000315970469096000000000000000153104730221141222159, NULL; 3100031829309009700000000000000015320403251220304122200, NULL; 31000315970261096000000000000000153114739853147326403031521,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3100031597026109600000000000000015310473251221141222159, NULL; 3100031597018809600000000000000015310473251221141222159, NULL; 31000315970329096000000000000000153114739853147326403031521, NULL; 31000315970279096000000000000000153114739853147326403031521, NULL; 31000315970311096000000000000000153104730221141222159, NULL; 3100031854200909700000000000000015310403022035122200, NULL; 31000315970212096000000000000000153114739853147326403031521, NULL; 3100031597023809600000000000000015310473251221141222159, NULL; 3100031597040209600000000000000015310473251221141222159, NULL; 31000315970139096000000000000000153114739853147326403031521, NULL; 31000315970006096000000000000000153104730221141222159, NULL; 31000311847794096000000000000000153114739853147326403031521, NULL; 31000304140330096000000000000000153104710221141222120, NULL; 31000315970311096000000000000000153114739853147326403031521, NULL; 3100031854200909700000000000000015310403251220304122200, NULL; 31000315970279096000000000000000153104730221141222159, NULL; 3100030414033009600000000000000015310471251221141222120, NULL; 3100031597013909600000000000000015310473251221141222159, NULL; 3100031184779409600000000000000015310473251221141222159, NULL; 31000315970345096000000000000000153114739853147326403031521, NULL; 31000315970139096000000000000000153104730221141222159, NULL; 31000311450813096000000000000000153304730282030501403152, NULL; 31000315970428096000000000000000153104730221141222159, NULL; 31000315970402096000000000000000153104730221141222159, NULL; 31000307530917096000000000000000153104730221141222159, NULL; 31000315970261096000000000000000153104730221141222159, NULL; 31000315970006096000000000000000153114739853147326403031521, NULL; 31000313517171096000000000000000153104730221141222159, NULL; 3100031597021209600000000000000015310473251221141222159, NULL; 31000315970345096000000000000000153104730221141222159, NULL</t>
  </si>
  <si>
    <t>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t>
  </si>
  <si>
    <t>31000315970006096000000000000000; 31000315970345096000000000000000; 31000315970329096000000000000000; 31000315970402096000000000000000; 31000313517171096000000000000000; 31000311847794096000000000000000; 31641600005800007PTCPP0AM0007000; 31000307044893096000000000000000; 31000315970188096000000000000000; 31000315970238096000000000000000; 31000315970428096000000000000000; 31000315970139096000000000000000; 31000315979890096000000000000000; 31000315970469096000000000000000; 31000307530917096000000000000000; 31000315970121096000000000000000; 31000000000000000962304890482490; 31000315970212096000000000000000; 31000315970279096000000000000000; 31000315970261096000000000000000; 31000304140330096000000000000000; 31000315970311096000000000000000; 31000311450813096000000000000000</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</si>
  <si>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t>
  </si>
  <si>
    <t>2.1. Controlos</t>
  </si>
  <si>
    <t>2.2. Controlos regulamentares (Aux)</t>
  </si>
  <si>
    <t>2.3. Outros controlos (Aux)</t>
  </si>
  <si>
    <t>AUX_TAB</t>
  </si>
  <si>
    <t>AUX_SEVERITY</t>
  </si>
  <si>
    <t>NOK</t>
  </si>
  <si>
    <t>Justificados(#)</t>
  </si>
  <si>
    <t>Justificados (%)</t>
  </si>
  <si>
    <t>Não Justificados(#)</t>
  </si>
  <si>
    <t>Não Justificados (%)</t>
  </si>
  <si>
    <t>2. Tabelas Output</t>
  </si>
  <si>
    <t>1. Reconciliação</t>
  </si>
  <si>
    <t>3. Processo (HUE vs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</si>
</sst>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
      <sz val="11"/>
      <color theme="0" tint="-0.249977111117893"/>
      <name val="Aptos Narrow"/>
      <family val="2"/>
      <scheme val="minor"/>
    </font>
    <font>
      <b/>
      <sz val="11"/>
      <color rgb="FF000000"/>
      <name val="Aptos Narrow"/>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11">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15" fillId="3" borderId="0" xfId="0" applyFont="1" applyFill="1"/>
    <xf numFmtId="0" fontId="15" fillId="3" borderId="3" xfId="0" applyFont="1" applyFill="1" applyBorder="1" applyAlignment="1">
      <alignment horizontal="centerContinuous" vertical="center"/>
    </xf>
    <xf numFmtId="0" fontId="24" fillId="0" borderId="0" xfId="0" applyFont="1" applyAlignment="1">
      <alignment horizontal="center"/>
    </xf>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28">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theme="0"/>
        <name val="Aptos Narrow"/>
        <family val="2"/>
        <scheme val="minor"/>
      </font>
      <fill>
        <patternFill patternType="solid">
          <fgColor indexed="64"/>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theme="0"/>
        <name val="Aptos Narrow"/>
        <family val="2"/>
        <scheme val="minor"/>
      </font>
      <fill>
        <patternFill patternType="solid">
          <fgColor indexed="64"/>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theme="0"/>
        <name val="Aptos Narrow"/>
        <family val="2"/>
        <scheme val="minor"/>
      </font>
      <fill>
        <patternFill patternType="solid">
          <fgColor indexed="64"/>
          <bgColor rgb="FFFF0000"/>
        </patternFill>
      </fil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Dashboard'!$I$62</c:f>
              <c:strCache>
                <c:ptCount val="1"/>
                <c:pt idx="0">
                  <c:v>Não Justificados(#)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ext>
              </c:extLst>
              <c:f>('1. Dashboard'!$C$63,'1. Dashboard'!$C$73,'1. Dashboard'!$C$83)</c:f>
              <c:strCache>
                <c:ptCount val="3"/>
                <c:pt idx="0">
                  <c:v>B02.00</c:v>
                </c:pt>
                <c:pt idx="1">
                  <c:v>B05.00</c:v>
                </c:pt>
                <c:pt idx="2">
                  <c:v>B90.00</c:v>
                </c:pt>
              </c:strCache>
            </c:strRef>
          </c:cat>
          <c:val>
            <c:numRef>
              <c:extLst>
                <c:ext xmlns:c15="http://schemas.microsoft.com/office/drawing/2012/chart" uri="{02D57815-91ED-43cb-92C2-25804820EDAC}">
                  <c15:fullRef>
                    <c15:sqref>'1. Dashboard'!$I$63:$I$92</c15:sqref>
                  </c15:fullRef>
                </c:ext>
              </c:extLst>
              <c:f>('1. Dashboard'!$I$63,'1. Dashboard'!$I$73,'1. Dashboard'!$I$83)</c:f>
              <c:numCache>
                <c:formatCode>General</c:formatCode>
                <c:ptCount val="3"/>
                <c:pt idx="0">
                  <c:v>24</c:v>
                </c:pt>
                <c:pt idx="1">
                  <c:v>2</c:v>
                </c:pt>
                <c:pt idx="2">
                  <c:v>5</c:v>
                </c:pt>
              </c:numCache>
            </c:numRef>
          </c:val>
          <c:extLst>
            <c:ext xmlns:c16="http://schemas.microsoft.com/office/drawing/2014/chart" uri="{C3380CC4-5D6E-409C-BE32-E72D297353CC}">
              <c16:uniqueId val="{00000000-7FAB-47A0-9185-F969C5F12A7A}"/>
            </c:ext>
          </c:extLst>
        </c:ser>
        <c:ser>
          <c:idx val="3"/>
          <c:order val="2"/>
          <c:tx>
            <c:strRef>
              <c:f>'1. Dashboard'!$G$62</c:f>
              <c:strCache>
                <c:ptCount val="1"/>
                <c:pt idx="0">
                  <c:v>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ext>
              </c:extLst>
              <c:f>('1. Dashboard'!$C$63,'1. Dashboard'!$C$73,'1. Dashboard'!$C$83)</c:f>
              <c:strCache>
                <c:ptCount val="3"/>
                <c:pt idx="0">
                  <c:v>B02.00</c:v>
                </c:pt>
                <c:pt idx="1">
                  <c:v>B05.00</c:v>
                </c:pt>
                <c:pt idx="2">
                  <c:v>B90.00</c:v>
                </c:pt>
              </c:strCache>
            </c:strRef>
          </c:cat>
          <c:val>
            <c:numRef>
              <c:extLst>
                <c:ext xmlns:c15="http://schemas.microsoft.com/office/drawing/2012/chart" uri="{02D57815-91ED-43cb-92C2-25804820EDAC}">
                  <c15:fullRef>
                    <c15:sqref>'1. Dashboard'!$G$63:$G$92</c15:sqref>
                  </c15:fullRef>
                </c:ext>
              </c:extLst>
              <c:f>('1. Dashboard'!$G$63,'1. Dashboard'!$G$73,'1. Dashboard'!$G$83)</c:f>
              <c:numCache>
                <c:formatCode>0</c:formatCode>
                <c:ptCount val="3"/>
                <c:pt idx="0">
                  <c:v>6</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Dashboard'!$E$62</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ext>
              </c:extLst>
              <c:f>('1. Dashboard'!$C$63,'1. Dashboard'!$C$73,'1. Dashboard'!$C$83)</c:f>
              <c:strCache>
                <c:ptCount val="3"/>
                <c:pt idx="0">
                  <c:v>B02.00</c:v>
                </c:pt>
                <c:pt idx="1">
                  <c:v>B05.00</c:v>
                </c:pt>
                <c:pt idx="2">
                  <c:v>B90.00</c:v>
                </c:pt>
              </c:strCache>
            </c:strRef>
          </c:cat>
          <c:val>
            <c:numRef>
              <c:extLst>
                <c:ext xmlns:c15="http://schemas.microsoft.com/office/drawing/2012/chart" uri="{02D57815-91ED-43cb-92C2-25804820EDAC}">
                  <c15:fullRef>
                    <c15:sqref>'1. Dashboard'!$E$63:$E$92</c15:sqref>
                  </c15:fullRef>
                </c:ext>
              </c:extLst>
              <c:f>('1. Dashboard'!$E$63,'1. Dashboard'!$E$73,'1. Dashboard'!$E$83)</c:f>
              <c:numCache>
                <c:formatCode>0</c:formatCode>
                <c:ptCount val="3"/>
                <c:pt idx="0" formatCode="General">
                  <c:v>203</c:v>
                </c:pt>
                <c:pt idx="1" formatCode="General">
                  <c:v>32</c:v>
                </c:pt>
                <c:pt idx="2" formatCode="General">
                  <c:v>20</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Dashboard'!$D$62</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Dashboard'!$C$63:$C$92</c15:sqref>
                        </c15:fullRef>
                        <c15:formulaRef>
                          <c15:sqref>('1. Dashboard'!$C$63,'1. Dashboard'!$C$73,'1. Dashboard'!$C$83)</c15:sqref>
                        </c15:formulaRef>
                      </c:ext>
                    </c:extLst>
                    <c:strCache>
                      <c:ptCount val="3"/>
                      <c:pt idx="0">
                        <c:v>B02.00</c:v>
                      </c:pt>
                      <c:pt idx="1">
                        <c:v>B05.00</c:v>
                      </c:pt>
                      <c:pt idx="2">
                        <c:v>B90.00</c:v>
                      </c:pt>
                    </c:strCache>
                  </c:strRef>
                </c:cat>
                <c:val>
                  <c:numRef>
                    <c:extLst>
                      <c:ext uri="{02D57815-91ED-43cb-92C2-25804820EDAC}">
                        <c15:fullRef>
                          <c15:sqref>'1. Dashboard'!$D$63:$D$92</c15:sqref>
                        </c15:fullRef>
                        <c15:formulaRef>
                          <c15:sqref>('1. Dashboard'!$D$63,'1. Dashboard'!$D$73,'1. Dashboard'!$D$83)</c15:sqref>
                        </c15:formulaRef>
                      </c:ext>
                    </c:extLst>
                    <c:numCache>
                      <c:formatCode>0</c:formatCode>
                      <c:ptCount val="3"/>
                      <c:pt idx="0">
                        <c:v>233</c:v>
                      </c:pt>
                      <c:pt idx="1">
                        <c:v>36</c:v>
                      </c:pt>
                      <c:pt idx="2">
                        <c:v>27</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Dashboard'!$F$62</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15:formulaRef>
                          <c15:sqref>('1. Dashboard'!$C$63,'1. Dashboard'!$C$73,'1. Dashboard'!$C$83)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Dashboard'!$F$63:$F$92</c15:sqref>
                        </c15:fullRef>
                        <c15:formulaRef>
                          <c15:sqref>('1. Dashboard'!$F$63,'1. Dashboard'!$F$73,'1. Dashboard'!$F$83)</c15:sqref>
                        </c15:formulaRef>
                      </c:ext>
                    </c:extLst>
                    <c:numCache>
                      <c:formatCode>0.0%</c:formatCode>
                      <c:ptCount val="3"/>
                      <c:pt idx="0">
                        <c:v>0.871244635193133</c:v>
                      </c:pt>
                      <c:pt idx="1">
                        <c:v>0.88888888888888884</c:v>
                      </c:pt>
                      <c:pt idx="2">
                        <c:v>0.7407407407407407</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Dashboard'!$H$62</c15:sqref>
                        </c15:formulaRef>
                      </c:ext>
                    </c:extLst>
                    <c:strCache>
                      <c:ptCount val="1"/>
                      <c:pt idx="0">
                        <c:v>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15:formulaRef>
                          <c15:sqref>('1. Dashboard'!$C$63,'1. Dashboard'!$C$73,'1. Dashboard'!$C$83)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Dashboard'!$H$63:$H$92</c15:sqref>
                        </c15:fullRef>
                        <c15:formulaRef>
                          <c15:sqref>('1. Dashboard'!$H$63,'1. Dashboard'!$H$73,'1. Dashboard'!$H$83)</c15:sqref>
                        </c15:formulaRef>
                      </c:ext>
                    </c:extLst>
                    <c:numCache>
                      <c:formatCode>0.0%</c:formatCode>
                      <c:ptCount val="3"/>
                      <c:pt idx="0">
                        <c:v>2.575107296137339E-2</c:v>
                      </c:pt>
                      <c:pt idx="1">
                        <c:v>5.5555555555555552E-2</c:v>
                      </c:pt>
                      <c:pt idx="2">
                        <c:v>7.407407407407407E-2</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Dashboard'!$J$62</c15:sqref>
                        </c15:formulaRef>
                      </c:ext>
                    </c:extLst>
                    <c:strCache>
                      <c:ptCount val="1"/>
                      <c:pt idx="0">
                        <c:v>Não Justificados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Dashboard'!$C$63:$C$92</c15:sqref>
                        </c15:fullRef>
                        <c15:formulaRef>
                          <c15:sqref>('1. Dashboard'!$C$63,'1. Dashboard'!$C$73,'1. Dashboard'!$C$83)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Dashboard'!$J$63:$J$92</c15:sqref>
                        </c15:fullRef>
                        <c15:formulaRef>
                          <c15:sqref>('1. Dashboard'!$J$63,'1. Dashboard'!$J$73,'1. Dashboard'!$J$83)</c15:sqref>
                        </c15:formulaRef>
                      </c:ext>
                    </c:extLst>
                    <c:numCache>
                      <c:formatCode>0.0%</c:formatCode>
                      <c:ptCount val="3"/>
                      <c:pt idx="0">
                        <c:v>0.10300429184549356</c:v>
                      </c:pt>
                      <c:pt idx="1">
                        <c:v>5.5555555555555552E-2</c:v>
                      </c:pt>
                      <c:pt idx="2">
                        <c:v>0.18518518518518517</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Dashboard'!$F$98</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ext>
              </c:extLst>
              <c:f>('1. Dashboard'!$C$99,'1. Dashboard'!$C$101,'1. Dashboard'!$C$103)</c:f>
              <c:strCache>
                <c:ptCount val="3"/>
                <c:pt idx="0">
                  <c:v>B02.00</c:v>
                </c:pt>
                <c:pt idx="1">
                  <c:v>B05.00</c:v>
                </c:pt>
                <c:pt idx="2">
                  <c:v>B90.00</c:v>
                </c:pt>
              </c:strCache>
            </c:strRef>
          </c:cat>
          <c:val>
            <c:numRef>
              <c:extLst>
                <c:ext xmlns:c15="http://schemas.microsoft.com/office/drawing/2012/chart" uri="{02D57815-91ED-43cb-92C2-25804820EDAC}">
                  <c15:fullRef>
                    <c15:sqref>'1. Dashboard'!$F$99:$F$104</c15:sqref>
                  </c15:fullRef>
                </c:ext>
              </c:extLst>
              <c:f>('1. Dashboard'!$F$99,'1. Dashboard'!$F$101,'1. Dashboard'!$F$103)</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Dashboard'!$H$98</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ext>
              </c:extLst>
              <c:f>('1. Dashboard'!$C$99,'1. Dashboard'!$C$101,'1. Dashboard'!$C$103)</c:f>
              <c:strCache>
                <c:ptCount val="3"/>
                <c:pt idx="0">
                  <c:v>B02.00</c:v>
                </c:pt>
                <c:pt idx="1">
                  <c:v>B05.00</c:v>
                </c:pt>
                <c:pt idx="2">
                  <c:v>B90.00</c:v>
                </c:pt>
              </c:strCache>
            </c:strRef>
          </c:cat>
          <c:val>
            <c:numRef>
              <c:extLst>
                <c:ext xmlns:c15="http://schemas.microsoft.com/office/drawing/2012/chart" uri="{02D57815-91ED-43cb-92C2-25804820EDAC}">
                  <c15:fullRef>
                    <c15:sqref>'1. Dashboard'!$H$99:$H$104</c15:sqref>
                  </c15:fullRef>
                </c:ext>
              </c:extLst>
              <c:f>('1. Dashboard'!$H$99,'1. Dashboard'!$H$101,'1. Dashboard'!$H$103)</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Dashboard'!$J$98</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ext>
              </c:extLst>
              <c:f>('1. Dashboard'!$C$99,'1. Dashboard'!$C$101,'1. Dashboard'!$C$103)</c:f>
              <c:strCache>
                <c:ptCount val="3"/>
                <c:pt idx="0">
                  <c:v>B02.00</c:v>
                </c:pt>
                <c:pt idx="1">
                  <c:v>B05.00</c:v>
                </c:pt>
                <c:pt idx="2">
                  <c:v>B90.00</c:v>
                </c:pt>
              </c:strCache>
            </c:strRef>
          </c:cat>
          <c:val>
            <c:numRef>
              <c:extLst>
                <c:ext xmlns:c15="http://schemas.microsoft.com/office/drawing/2012/chart" uri="{02D57815-91ED-43cb-92C2-25804820EDAC}">
                  <c15:fullRef>
                    <c15:sqref>'1. Dashboard'!$J$99:$J$104</c15:sqref>
                  </c15:fullRef>
                </c:ext>
              </c:extLst>
              <c:f>('1. Dashboard'!$J$99,'1. Dashboard'!$J$101,'1. Dashboard'!$J$103)</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Dashboard'!$D$98</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Dashboard'!$C$99:$C$104</c15:sqref>
                        </c15:fullRef>
                        <c15:formulaRef>
                          <c15:sqref>('1. Dashboard'!$C$99,'1. Dashboard'!$C$101,'1. Dashboard'!$C$103)</c15:sqref>
                        </c15:formulaRef>
                      </c:ext>
                    </c:extLst>
                    <c:strCache>
                      <c:ptCount val="3"/>
                      <c:pt idx="0">
                        <c:v>B02.00</c:v>
                      </c:pt>
                      <c:pt idx="1">
                        <c:v>B05.00</c:v>
                      </c:pt>
                      <c:pt idx="2">
                        <c:v>B90.00</c:v>
                      </c:pt>
                    </c:strCache>
                  </c:strRef>
                </c:cat>
                <c:val>
                  <c:numRef>
                    <c:extLst>
                      <c:ext uri="{02D57815-91ED-43cb-92C2-25804820EDAC}">
                        <c15:fullRef>
                          <c15:sqref>'1. Dashboard'!$D$99:$D$104</c15:sqref>
                        </c15:fullRef>
                        <c15:formulaRef>
                          <c15:sqref>('1. Dashboard'!$D$99,'1. Dashboard'!$D$101,'1. Dashboard'!$D$103)</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Dashboard'!$E$98</c15:sqref>
                        </c15:formulaRef>
                      </c:ext>
                    </c:extLst>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15:formulaRef>
                          <c15:sqref>('1. Dashboard'!$C$99,'1. Dashboard'!$C$101,'1. Dashboard'!$C$103)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Dashboard'!$E$99:$E$104</c15:sqref>
                        </c15:fullRef>
                        <c15:formulaRef>
                          <c15:sqref>('1. Dashboard'!$E$99,'1. Dashboard'!$E$101,'1. Dashboard'!$E$103)</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Dashboard'!$G$98</c15:sqref>
                        </c15:formulaRef>
                      </c:ext>
                    </c:extLst>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15:formulaRef>
                          <c15:sqref>('1. Dashboard'!$C$99,'1. Dashboard'!$C$101,'1. Dashboard'!$C$103)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Dashboard'!$G$99:$G$104</c15:sqref>
                        </c15:fullRef>
                        <c15:formulaRef>
                          <c15:sqref>('1. Dashboard'!$G$99,'1. Dashboard'!$G$101,'1. Dashboard'!$G$103)</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Dashboard'!$I$98</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Dashboard'!$C$99:$C$104</c15:sqref>
                        </c15:fullRef>
                        <c15:formulaRef>
                          <c15:sqref>('1. Dashboard'!$C$99,'1. Dashboard'!$C$101,'1. Dashboard'!$C$103)</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Dashboard'!$I$99:$I$104</c15:sqref>
                        </c15:fullRef>
                        <c15:formulaRef>
                          <c15:sqref>('1. Dashboard'!$I$99,'1. Dashboard'!$I$101,'1. Dashboard'!$I$103)</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Dashboard'!$C$63</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ext>
              </c:extLst>
              <c:f>('1. Dashboard'!$F$62,'1. Dashboard'!$H$62,'1. Dashboard'!$J$62)</c:f>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Dashboard'!$D$63:$J$63</c15:sqref>
                  </c15:fullRef>
                </c:ext>
              </c:extLst>
              <c:f>('1. Dashboard'!$F$63,'1. Dashboard'!$H$63,'1. Dashboard'!$J$63)</c:f>
              <c:numCache>
                <c:formatCode>General</c:formatCode>
                <c:ptCount val="3"/>
                <c:pt idx="0" formatCode="0.0%">
                  <c:v>0.871244635193133</c:v>
                </c:pt>
                <c:pt idx="1" formatCode="0.0%">
                  <c:v>2.575107296137339E-2</c:v>
                </c:pt>
                <c:pt idx="2" formatCode="0.0%">
                  <c:v>0.10300429184549356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Dashboard'!$C$64</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uri="{02D57815-91ED-43cb-92C2-25804820EDAC}">
                        <c15:fullRef>
                          <c15:sqref>'1. Dashboard'!$D$64:$J$64</c15:sqref>
                        </c15:fullRef>
                        <c15:formulaRef>
                          <c15:sqref>('1. Dashboard'!$F$64,'1. Dashboard'!$H$64,'1. Dashboard'!$J$64)</c15:sqref>
                        </c15:formulaRef>
                      </c:ext>
                    </c:extLst>
                    <c:numCache>
                      <c:formatCode>0</c:formatCode>
                      <c:ptCount val="3"/>
                      <c:pt idx="0" formatCode="0.0%">
                        <c:v>0.84768211920529801</c:v>
                      </c:pt>
                      <c:pt idx="1" formatCode="0.0%">
                        <c:v>3.9735099337748346E-2</c:v>
                      </c:pt>
                      <c:pt idx="2" formatCode="0.0%">
                        <c:v>0.11258278145695365</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Dashboard'!$C$65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0.89655172413793105</c:v>
                      </c:pt>
                      <c:pt idx="1" formatCode="0.0%">
                        <c:v>0</c:v>
                      </c:pt>
                      <c:pt idx="2" formatCode="0.0%">
                        <c:v>0.10344827586206896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Dashboard'!$C$66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0.83333333333333337</c:v>
                      </c:pt>
                      <c:pt idx="1" formatCode="0.0%">
                        <c:v>0</c:v>
                      </c:pt>
                      <c:pt idx="2" formatCode="0.0%">
                        <c:v>0.16666666666666666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Dashboard'!$C$68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Dashboard'!$D$68:$J$68</c15:sqref>
                        </c15:fullRef>
                        <c15:formulaRef>
                          <c15:sqref>('1. Dashboard'!$F$68,'1. Dashboard'!$H$68,'1. Dashboard'!$J$68)</c15:sqref>
                        </c15:formulaRef>
                      </c:ext>
                    </c:extLst>
                    <c:numCache>
                      <c:formatCode>General</c:formatCode>
                      <c:ptCount val="3"/>
                      <c:pt idx="0" formatCode="0.0%">
                        <c:v>0.91463414634146345</c:v>
                      </c:pt>
                      <c:pt idx="1" formatCode="0.0%">
                        <c:v>0</c:v>
                      </c:pt>
                      <c:pt idx="2" formatCode="0.0%">
                        <c:v>8.5365853658536592E-2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Dashboard'!$C$69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Dashboard'!$D$69:$J$69</c15:sqref>
                        </c15:fullRef>
                        <c15:formulaRef>
                          <c15:sqref>('1. Dashboard'!$F$69,'1. Dashboard'!$H$69,'1. Dashboard'!$J$69)</c15:sqref>
                        </c15:formulaRef>
                      </c:ext>
                    </c:extLst>
                    <c:numCache>
                      <c:formatCode>General</c:formatCode>
                      <c:ptCount val="3"/>
                      <c:pt idx="0" formatCode="0.0%">
                        <c:v>0.9135802469135802</c:v>
                      </c:pt>
                      <c:pt idx="1" formatCode="0.0%">
                        <c:v>0</c:v>
                      </c:pt>
                      <c:pt idx="2" formatCode="0.0%">
                        <c:v>8.6419753086419748E-2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Dashboard'!$C$70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Dashboard'!$D$70:$J$70</c15:sqref>
                        </c15:fullRef>
                        <c15:formulaRef>
                          <c15:sqref>('1. Dashboard'!$F$70,'1. Dashboard'!$H$70,'1. Dashboard'!$J$70)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Dashboard'!$C$71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Dashboard'!$D$71:$J$71</c15:sqref>
                        </c15:fullRef>
                        <c15:formulaRef>
                          <c15:sqref>('1. Dashboard'!$F$71,'1. Dashboard'!$H$71,'1. Dashboard'!$J$71)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Dashboard'!$C$72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Dashboard'!$D$72:$J$72</c15:sqref>
                        </c15:fullRef>
                        <c15:formulaRef>
                          <c15:sqref>('1. Dashboard'!$F$72,'1. Dashboard'!$H$72,'1. Dashboard'!$J$72)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Dashboard'!$C$73</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Dashboard'!$D$73:$J$73</c15:sqref>
                        </c15:fullRef>
                        <c15:formulaRef>
                          <c15:sqref>('1. Dashboard'!$F$73,'1. Dashboard'!$H$73,'1. Dashboard'!$J$73)</c15:sqref>
                        </c15:formulaRef>
                      </c:ext>
                    </c:extLst>
                    <c:numCache>
                      <c:formatCode>General</c:formatCode>
                      <c:ptCount val="3"/>
                      <c:pt idx="0" formatCode="0.0%">
                        <c:v>0.88888888888888884</c:v>
                      </c:pt>
                      <c:pt idx="1" formatCode="0.0%">
                        <c:v>5.5555555555555552E-2</c:v>
                      </c:pt>
                      <c:pt idx="2" formatCode="0.0%">
                        <c:v>5.5555555555555552E-2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Dashboard'!$C$74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Dashboard'!$D$74:$J$74</c15:sqref>
                        </c15:fullRef>
                        <c15:formulaRef>
                          <c15:sqref>('1. Dashboard'!$F$74,'1. Dashboard'!$H$74,'1. Dashboard'!$J$74)</c15:sqref>
                        </c15:formulaRef>
                      </c:ext>
                    </c:extLst>
                    <c:numCache>
                      <c:formatCode>0</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Dashboard'!$C$75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Dashboard'!$D$75:$J$75</c15:sqref>
                        </c15:fullRef>
                        <c15:formulaRef>
                          <c15:sqref>('1. Dashboard'!$F$75,'1. Dashboard'!$H$75,'1. Dashboard'!$J$75)</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Dashboard'!$C$76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Dashboard'!$D$76:$J$76</c15:sqref>
                        </c15:fullRef>
                        <c15:formulaRef>
                          <c15:sqref>('1. Dashboard'!$F$76,'1. Dashboard'!$H$76,'1. Dashboard'!$J$76)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Dashboard'!$C$78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Dashboard'!$D$78:$J$78</c15:sqref>
                        </c15:fullRef>
                        <c15:formulaRef>
                          <c15:sqref>('1. Dashboard'!$F$78,'1. Dashboard'!$H$78,'1. Dashboard'!$J$78)</c15:sqref>
                        </c15:formulaRef>
                      </c:ext>
                    </c:extLst>
                    <c:numCache>
                      <c:formatCode>General</c:formatCode>
                      <c:ptCount val="3"/>
                      <c:pt idx="0" formatCode="0.0%">
                        <c:v>0.9375</c:v>
                      </c:pt>
                      <c:pt idx="1" formatCode="0.0%">
                        <c:v>0</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Dashboard'!$C$79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Dashboard'!$D$79:$J$79</c15:sqref>
                        </c15:fullRef>
                        <c15:formulaRef>
                          <c15:sqref>('1. Dashboard'!$F$79,'1. Dashboard'!$H$79,'1. Dashboard'!$J$79)</c15:sqref>
                        </c15:formulaRef>
                      </c:ext>
                    </c:extLst>
                    <c:numCache>
                      <c:formatCode>General</c:formatCode>
                      <c:ptCount val="3"/>
                      <c:pt idx="0" formatCode="0.0%">
                        <c:v>0.93333333333333335</c:v>
                      </c:pt>
                      <c:pt idx="1" formatCode="0.0%">
                        <c:v>0</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Dashboard'!$C$80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Dashboard'!$D$80:$J$80</c15:sqref>
                        </c15:fullRef>
                        <c15:formulaRef>
                          <c15:sqref>('1. Dashboard'!$F$80,'1. Dashboard'!$H$80,'1. Dashboard'!$J$80)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Dashboard'!$C$81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Dashboard'!$D$81:$J$81</c15:sqref>
                        </c15:fullRef>
                        <c15:formulaRef>
                          <c15:sqref>('1. Dashboard'!$F$81,'1. Dashboard'!$H$81,'1. Dashboard'!$J$81)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Dashboard'!$C$82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Dashboard'!$D$82:$J$82</c15:sqref>
                        </c15:fullRef>
                        <c15:formulaRef>
                          <c15:sqref>('1. Dashboard'!$F$82,'1. Dashboard'!$H$82,'1. Dashboard'!$J$82)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Dashboard'!$C$83</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Dashboard'!$D$83:$J$83</c15:sqref>
                        </c15:fullRef>
                        <c15:formulaRef>
                          <c15:sqref>('1. Dashboard'!$F$83,'1. Dashboard'!$H$83,'1. Dashboard'!$J$83)</c15:sqref>
                        </c15:formulaRef>
                      </c:ext>
                    </c:extLst>
                    <c:numCache>
                      <c:formatCode>General</c:formatCode>
                      <c:ptCount val="3"/>
                      <c:pt idx="0" formatCode="0.0%">
                        <c:v>0.7407407407407407</c:v>
                      </c:pt>
                      <c:pt idx="1" formatCode="0.0%">
                        <c:v>7.407407407407407E-2</c:v>
                      </c:pt>
                      <c:pt idx="2" formatCode="0.0%">
                        <c:v>0.18518518518518517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Dashboard'!$C$84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Dashboard'!$D$84:$J$84</c15:sqref>
                        </c15:fullRef>
                        <c15:formulaRef>
                          <c15:sqref>('1. Dashboard'!$F$84,'1. Dashboard'!$H$84,'1. Dashboard'!$J$84)</c15:sqref>
                        </c15:formulaRef>
                      </c:ext>
                    </c:extLst>
                    <c:numCache>
                      <c:formatCode>General</c:formatCode>
                      <c:ptCount val="3"/>
                      <c:pt idx="0" formatCode="0.0%">
                        <c:v>0.73333333333333328</c:v>
                      </c:pt>
                      <c:pt idx="1" formatCode="0.0%">
                        <c:v>0.13333333333333333</c:v>
                      </c:pt>
                      <c:pt idx="2" formatCode="0.0%">
                        <c:v>0.13333333333333333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Dashboard'!$C$85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Dashboard'!$D$85:$J$85</c15:sqref>
                        </c15:fullRef>
                        <c15:formulaRef>
                          <c15:sqref>('1. Dashboard'!$F$85,'1. Dashboard'!$H$85,'1. Dashboard'!$J$85)</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Dashboard'!$C$86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Dashboard'!$D$86:$J$86</c15:sqref>
                        </c15:fullRef>
                        <c15:formulaRef>
                          <c15:sqref>('1. Dashboard'!$F$86,'1. Dashboard'!$H$86,'1. Dashboard'!$J$86)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Dashboard'!$C$88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Dashboard'!$D$88:$J$88</c15:sqref>
                        </c15:fullRef>
                        <c15:formulaRef>
                          <c15:sqref>('1. Dashboard'!$F$88,'1. Dashboard'!$H$88,'1. Dashboard'!$J$88)</c15:sqref>
                        </c15:formulaRef>
                      </c:ext>
                    </c:extLst>
                    <c:numCache>
                      <c:formatCode>General</c:formatCode>
                      <c:ptCount val="3"/>
                      <c:pt idx="0" formatCode="0.0%">
                        <c:v>0.75</c:v>
                      </c:pt>
                      <c:pt idx="1" formatCode="0.0%">
                        <c:v>0</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Dashboard'!$C$89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Dashboard'!$D$89:$J$89</c15:sqref>
                        </c15:fullRef>
                        <c15:formulaRef>
                          <c15:sqref>('1. Dashboard'!$F$89,'1. Dashboard'!$H$89,'1. Dashboard'!$J$89)</c15:sqref>
                        </c15:formulaRef>
                      </c:ext>
                    </c:extLst>
                    <c:numCache>
                      <c:formatCode>General</c:formatCode>
                      <c:ptCount val="3"/>
                      <c:pt idx="0" formatCode="0.0%">
                        <c:v>0.72727272727272729</c:v>
                      </c:pt>
                      <c:pt idx="1" formatCode="0.0%">
                        <c:v>0</c:v>
                      </c:pt>
                      <c:pt idx="2" formatCode="0.0%">
                        <c:v>0.27272727272727271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Dashboard'!$C$90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Dashboard'!$D$90:$J$90</c15:sqref>
                        </c15:fullRef>
                        <c15:formulaRef>
                          <c15:sqref>('1. Dashboard'!$F$90,'1. Dashboard'!$H$90,'1. Dashboard'!$J$90)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Dashboard'!$C$91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Dashboard'!$D$91:$J$91</c15:sqref>
                        </c15:fullRef>
                        <c15:formulaRef>
                          <c15:sqref>('1. Dashboard'!$F$91,'1. Dashboard'!$H$91,'1. Dashboard'!$J$91)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Dashboard'!$C$92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Dashboard'!$D$92:$J$92</c15:sqref>
                        </c15:fullRef>
                        <c15:formulaRef>
                          <c15:sqref>('1. Dashboard'!$F$92,'1. Dashboard'!$H$92,'1. Dashboard'!$J$92)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Dashboard'!$C$73</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ext>
              </c:extLst>
              <c:f>('1. Dashboard'!$F$62,'1. Dashboard'!$H$62,'1. Dashboard'!$J$62)</c:f>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Dashboard'!$D$73:$J$73</c15:sqref>
                  </c15:fullRef>
                </c:ext>
              </c:extLst>
              <c:f>('1. Dashboard'!$F$73,'1. Dashboard'!$H$73,'1. Dashboard'!$J$73)</c:f>
              <c:numCache>
                <c:formatCode>General</c:formatCode>
                <c:ptCount val="3"/>
                <c:pt idx="0" formatCode="0.0%">
                  <c:v>0.88888888888888884</c:v>
                </c:pt>
                <c:pt idx="1" formatCode="0.0%">
                  <c:v>5.5555555555555552E-2</c:v>
                </c:pt>
                <c:pt idx="2" formatCode="0.0%">
                  <c:v>5.5555555555555552E-2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Dashboard'!$C$63</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uri="{02D57815-91ED-43cb-92C2-25804820EDAC}">
                        <c15:fullRef>
                          <c15:sqref>'1. Dashboard'!$D$63:$J$63</c15:sqref>
                        </c15:fullRef>
                        <c15:formulaRef>
                          <c15:sqref>('1. Dashboard'!$F$63,'1. Dashboard'!$H$63,'1. Dashboard'!$J$63)</c15:sqref>
                        </c15:formulaRef>
                      </c:ext>
                    </c:extLst>
                    <c:numCache>
                      <c:formatCode>General</c:formatCode>
                      <c:ptCount val="3"/>
                      <c:pt idx="0" formatCode="0.0%">
                        <c:v>0.871244635193133</c:v>
                      </c:pt>
                      <c:pt idx="1" formatCode="0.0%">
                        <c:v>2.575107296137339E-2</c:v>
                      </c:pt>
                      <c:pt idx="2" formatCode="0.0%">
                        <c:v>0.10300429184549356</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Dashboard'!$C$64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0</c:formatCode>
                      <c:ptCount val="3"/>
                      <c:pt idx="0" formatCode="0.0%">
                        <c:v>0.84768211920529801</c:v>
                      </c:pt>
                      <c:pt idx="1" formatCode="0.0%">
                        <c:v>3.9735099337748346E-2</c:v>
                      </c:pt>
                      <c:pt idx="2" formatCode="0.0%">
                        <c:v>0.11258278145695365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Dashboard'!$C$65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0.89655172413793105</c:v>
                      </c:pt>
                      <c:pt idx="1" formatCode="0.0%">
                        <c:v>0</c:v>
                      </c:pt>
                      <c:pt idx="2" formatCode="0.0%">
                        <c:v>0.10344827586206896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Dashboard'!$C$66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0.83333333333333337</c:v>
                      </c:pt>
                      <c:pt idx="1" formatCode="0.0%">
                        <c:v>0</c:v>
                      </c:pt>
                      <c:pt idx="2" formatCode="0.0%">
                        <c:v>0.16666666666666666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Dashboard'!$C$68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Dashboard'!$D$68:$J$68</c15:sqref>
                        </c15:fullRef>
                        <c15:formulaRef>
                          <c15:sqref>('1. Dashboard'!$F$68,'1. Dashboard'!$H$68,'1. Dashboard'!$J$68)</c15:sqref>
                        </c15:formulaRef>
                      </c:ext>
                    </c:extLst>
                    <c:numCache>
                      <c:formatCode>General</c:formatCode>
                      <c:ptCount val="3"/>
                      <c:pt idx="0" formatCode="0.0%">
                        <c:v>0.91463414634146345</c:v>
                      </c:pt>
                      <c:pt idx="1" formatCode="0.0%">
                        <c:v>0</c:v>
                      </c:pt>
                      <c:pt idx="2" formatCode="0.0%">
                        <c:v>8.5365853658536592E-2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Dashboard'!$C$69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Dashboard'!$D$69:$J$69</c15:sqref>
                        </c15:fullRef>
                        <c15:formulaRef>
                          <c15:sqref>('1. Dashboard'!$F$69,'1. Dashboard'!$H$69,'1. Dashboard'!$J$69)</c15:sqref>
                        </c15:formulaRef>
                      </c:ext>
                    </c:extLst>
                    <c:numCache>
                      <c:formatCode>General</c:formatCode>
                      <c:ptCount val="3"/>
                      <c:pt idx="0" formatCode="0.0%">
                        <c:v>0.9135802469135802</c:v>
                      </c:pt>
                      <c:pt idx="1" formatCode="0.0%">
                        <c:v>0</c:v>
                      </c:pt>
                      <c:pt idx="2" formatCode="0.0%">
                        <c:v>8.6419753086419748E-2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Dashboard'!$C$70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Dashboard'!$D$70:$J$70</c15:sqref>
                        </c15:fullRef>
                        <c15:formulaRef>
                          <c15:sqref>('1. Dashboard'!$F$70,'1. Dashboard'!$H$70,'1. Dashboard'!$J$70)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Dashboard'!$C$71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Dashboard'!$D$71:$J$71</c15:sqref>
                        </c15:fullRef>
                        <c15:formulaRef>
                          <c15:sqref>('1. Dashboard'!$F$71,'1. Dashboard'!$H$71,'1. Dashboard'!$J$71)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Dashboard'!$C$72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Dashboard'!$D$72:$J$72</c15:sqref>
                        </c15:fullRef>
                        <c15:formulaRef>
                          <c15:sqref>('1. Dashboard'!$F$72,'1. Dashboard'!$H$72,'1. Dashboard'!$J$72)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Dashboard'!$C$74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Dashboard'!$D$74:$J$74</c15:sqref>
                        </c15:fullRef>
                        <c15:formulaRef>
                          <c15:sqref>('1. Dashboard'!$F$74,'1. Dashboard'!$H$74,'1. Dashboard'!$J$74)</c15:sqref>
                        </c15:formulaRef>
                      </c:ext>
                    </c:extLst>
                    <c:numCache>
                      <c:formatCode>0</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Dashboard'!$C$75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Dashboard'!$D$75:$J$75</c15:sqref>
                        </c15:fullRef>
                        <c15:formulaRef>
                          <c15:sqref>('1. Dashboard'!$F$75,'1. Dashboard'!$H$75,'1. Dashboard'!$J$75)</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Dashboard'!$C$76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Dashboard'!$D$76:$J$76</c15:sqref>
                        </c15:fullRef>
                        <c15:formulaRef>
                          <c15:sqref>('1. Dashboard'!$F$76,'1. Dashboard'!$H$76,'1. Dashboard'!$J$76)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Dashboard'!$C$78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Dashboard'!$D$78:$J$78</c15:sqref>
                        </c15:fullRef>
                        <c15:formulaRef>
                          <c15:sqref>('1. Dashboard'!$F$78,'1. Dashboard'!$H$78,'1. Dashboard'!$J$78)</c15:sqref>
                        </c15:formulaRef>
                      </c:ext>
                    </c:extLst>
                    <c:numCache>
                      <c:formatCode>General</c:formatCode>
                      <c:ptCount val="3"/>
                      <c:pt idx="0" formatCode="0.0%">
                        <c:v>0.9375</c:v>
                      </c:pt>
                      <c:pt idx="1" formatCode="0.0%">
                        <c:v>0</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Dashboard'!$C$79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Dashboard'!$D$79:$J$79</c15:sqref>
                        </c15:fullRef>
                        <c15:formulaRef>
                          <c15:sqref>('1. Dashboard'!$F$79,'1. Dashboard'!$H$79,'1. Dashboard'!$J$79)</c15:sqref>
                        </c15:formulaRef>
                      </c:ext>
                    </c:extLst>
                    <c:numCache>
                      <c:formatCode>General</c:formatCode>
                      <c:ptCount val="3"/>
                      <c:pt idx="0" formatCode="0.0%">
                        <c:v>0.93333333333333335</c:v>
                      </c:pt>
                      <c:pt idx="1" formatCode="0.0%">
                        <c:v>0</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Dashboard'!$C$80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Dashboard'!$D$80:$J$80</c15:sqref>
                        </c15:fullRef>
                        <c15:formulaRef>
                          <c15:sqref>('1. Dashboard'!$F$80,'1. Dashboard'!$H$80,'1. Dashboard'!$J$80)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Dashboard'!$C$81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Dashboard'!$D$81:$J$81</c15:sqref>
                        </c15:fullRef>
                        <c15:formulaRef>
                          <c15:sqref>('1. Dashboard'!$F$81,'1. Dashboard'!$H$81,'1. Dashboard'!$J$81)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Dashboard'!$C$82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Dashboard'!$D$82:$J$82</c15:sqref>
                        </c15:fullRef>
                        <c15:formulaRef>
                          <c15:sqref>('1. Dashboard'!$F$82,'1. Dashboard'!$H$82,'1. Dashboard'!$J$82)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Dashboard'!$C$83</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Dashboard'!$D$83:$J$83</c15:sqref>
                        </c15:fullRef>
                        <c15:formulaRef>
                          <c15:sqref>('1. Dashboard'!$F$83,'1. Dashboard'!$H$83,'1. Dashboard'!$J$83)</c15:sqref>
                        </c15:formulaRef>
                      </c:ext>
                    </c:extLst>
                    <c:numCache>
                      <c:formatCode>General</c:formatCode>
                      <c:ptCount val="3"/>
                      <c:pt idx="0" formatCode="0.0%">
                        <c:v>0.7407407407407407</c:v>
                      </c:pt>
                      <c:pt idx="1" formatCode="0.0%">
                        <c:v>7.407407407407407E-2</c:v>
                      </c:pt>
                      <c:pt idx="2" formatCode="0.0%">
                        <c:v>0.18518518518518517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Dashboard'!$C$84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Dashboard'!$D$84:$J$84</c15:sqref>
                        </c15:fullRef>
                        <c15:formulaRef>
                          <c15:sqref>('1. Dashboard'!$F$84,'1. Dashboard'!$H$84,'1. Dashboard'!$J$84)</c15:sqref>
                        </c15:formulaRef>
                      </c:ext>
                    </c:extLst>
                    <c:numCache>
                      <c:formatCode>General</c:formatCode>
                      <c:ptCount val="3"/>
                      <c:pt idx="0" formatCode="0.0%">
                        <c:v>0.73333333333333328</c:v>
                      </c:pt>
                      <c:pt idx="1" formatCode="0.0%">
                        <c:v>0.13333333333333333</c:v>
                      </c:pt>
                      <c:pt idx="2" formatCode="0.0%">
                        <c:v>0.13333333333333333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Dashboard'!$C$85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Dashboard'!$D$85:$J$85</c15:sqref>
                        </c15:fullRef>
                        <c15:formulaRef>
                          <c15:sqref>('1. Dashboard'!$F$85,'1. Dashboard'!$H$85,'1. Dashboard'!$J$85)</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Dashboard'!$C$86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Dashboard'!$D$86:$J$86</c15:sqref>
                        </c15:fullRef>
                        <c15:formulaRef>
                          <c15:sqref>('1. Dashboard'!$F$86,'1. Dashboard'!$H$86,'1. Dashboard'!$J$86)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Dashboard'!$C$88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Dashboard'!$D$88:$J$88</c15:sqref>
                        </c15:fullRef>
                        <c15:formulaRef>
                          <c15:sqref>('1. Dashboard'!$F$88,'1. Dashboard'!$H$88,'1. Dashboard'!$J$88)</c15:sqref>
                        </c15:formulaRef>
                      </c:ext>
                    </c:extLst>
                    <c:numCache>
                      <c:formatCode>General</c:formatCode>
                      <c:ptCount val="3"/>
                      <c:pt idx="0" formatCode="0.0%">
                        <c:v>0.75</c:v>
                      </c:pt>
                      <c:pt idx="1" formatCode="0.0%">
                        <c:v>0</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Dashboard'!$C$89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Dashboard'!$D$89:$J$89</c15:sqref>
                        </c15:fullRef>
                        <c15:formulaRef>
                          <c15:sqref>('1. Dashboard'!$F$89,'1. Dashboard'!$H$89,'1. Dashboard'!$J$89)</c15:sqref>
                        </c15:formulaRef>
                      </c:ext>
                    </c:extLst>
                    <c:numCache>
                      <c:formatCode>General</c:formatCode>
                      <c:ptCount val="3"/>
                      <c:pt idx="0" formatCode="0.0%">
                        <c:v>0.72727272727272729</c:v>
                      </c:pt>
                      <c:pt idx="1" formatCode="0.0%">
                        <c:v>0</c:v>
                      </c:pt>
                      <c:pt idx="2" formatCode="0.0%">
                        <c:v>0.27272727272727271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Dashboard'!$C$90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Dashboard'!$D$90:$J$90</c15:sqref>
                        </c15:fullRef>
                        <c15:formulaRef>
                          <c15:sqref>('1. Dashboard'!$F$90,'1. Dashboard'!$H$90,'1. Dashboard'!$J$90)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Dashboard'!$C$91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Dashboard'!$D$91:$J$91</c15:sqref>
                        </c15:fullRef>
                        <c15:formulaRef>
                          <c15:sqref>('1. Dashboard'!$F$91,'1. Dashboard'!$H$91,'1. Dashboard'!$J$91)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Dashboard'!$C$92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Dashboard'!$D$92:$J$92</c15:sqref>
                        </c15:fullRef>
                        <c15:formulaRef>
                          <c15:sqref>('1. Dashboard'!$F$92,'1. Dashboard'!$H$92,'1. Dashboard'!$J$92)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Dashboard'!$C$83</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ext>
              </c:extLst>
              <c:f>('1. Dashboard'!$F$62,'1. Dashboard'!$H$62,'1. Dashboard'!$J$62)</c:f>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Dashboard'!$D$83:$J$83</c15:sqref>
                  </c15:fullRef>
                </c:ext>
              </c:extLst>
              <c:f>('1. Dashboard'!$F$83,'1. Dashboard'!$H$83,'1. Dashboard'!$J$83)</c:f>
              <c:numCache>
                <c:formatCode>General</c:formatCode>
                <c:ptCount val="3"/>
                <c:pt idx="0" formatCode="0.0%">
                  <c:v>0.7407407407407407</c:v>
                </c:pt>
                <c:pt idx="1" formatCode="0.0%">
                  <c:v>7.407407407407407E-2</c:v>
                </c:pt>
                <c:pt idx="2" formatCode="0.0%">
                  <c:v>0.18518518518518517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Dashboard'!$C$63</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uri="{02D57815-91ED-43cb-92C2-25804820EDAC}">
                        <c15:fullRef>
                          <c15:sqref>'1. Dashboard'!$D$63:$J$63</c15:sqref>
                        </c15:fullRef>
                        <c15:formulaRef>
                          <c15:sqref>('1. Dashboard'!$F$63,'1. Dashboard'!$H$63,'1. Dashboard'!$J$63)</c15:sqref>
                        </c15:formulaRef>
                      </c:ext>
                    </c:extLst>
                    <c:numCache>
                      <c:formatCode>General</c:formatCode>
                      <c:ptCount val="3"/>
                      <c:pt idx="0" formatCode="0.0%">
                        <c:v>0.871244635193133</c:v>
                      </c:pt>
                      <c:pt idx="1" formatCode="0.0%">
                        <c:v>2.575107296137339E-2</c:v>
                      </c:pt>
                      <c:pt idx="2" formatCode="0.0%">
                        <c:v>0.10300429184549356</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Dashboard'!$C$64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0</c:formatCode>
                      <c:ptCount val="3"/>
                      <c:pt idx="0" formatCode="0.0%">
                        <c:v>0.84768211920529801</c:v>
                      </c:pt>
                      <c:pt idx="1" formatCode="0.0%">
                        <c:v>3.9735099337748346E-2</c:v>
                      </c:pt>
                      <c:pt idx="2" formatCode="0.0%">
                        <c:v>0.11258278145695365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Dashboard'!$C$65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0.89655172413793105</c:v>
                      </c:pt>
                      <c:pt idx="1" formatCode="0.0%">
                        <c:v>0</c:v>
                      </c:pt>
                      <c:pt idx="2" formatCode="0.0%">
                        <c:v>0.10344827586206896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Dashboard'!$C$66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0.83333333333333337</c:v>
                      </c:pt>
                      <c:pt idx="1" formatCode="0.0%">
                        <c:v>0</c:v>
                      </c:pt>
                      <c:pt idx="2" formatCode="0.0%">
                        <c:v>0.16666666666666666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Dashboard'!$C$68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Dashboard'!$D$68:$J$68</c15:sqref>
                        </c15:fullRef>
                        <c15:formulaRef>
                          <c15:sqref>('1. Dashboard'!$F$68,'1. Dashboard'!$H$68,'1. Dashboard'!$J$68)</c15:sqref>
                        </c15:formulaRef>
                      </c:ext>
                    </c:extLst>
                    <c:numCache>
                      <c:formatCode>General</c:formatCode>
                      <c:ptCount val="3"/>
                      <c:pt idx="0" formatCode="0.0%">
                        <c:v>0.91463414634146345</c:v>
                      </c:pt>
                      <c:pt idx="1" formatCode="0.0%">
                        <c:v>0</c:v>
                      </c:pt>
                      <c:pt idx="2" formatCode="0.0%">
                        <c:v>8.5365853658536592E-2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Dashboard'!$C$69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Dashboard'!$D$69:$J$69</c15:sqref>
                        </c15:fullRef>
                        <c15:formulaRef>
                          <c15:sqref>('1. Dashboard'!$F$69,'1. Dashboard'!$H$69,'1. Dashboard'!$J$69)</c15:sqref>
                        </c15:formulaRef>
                      </c:ext>
                    </c:extLst>
                    <c:numCache>
                      <c:formatCode>General</c:formatCode>
                      <c:ptCount val="3"/>
                      <c:pt idx="0" formatCode="0.0%">
                        <c:v>0.9135802469135802</c:v>
                      </c:pt>
                      <c:pt idx="1" formatCode="0.0%">
                        <c:v>0</c:v>
                      </c:pt>
                      <c:pt idx="2" formatCode="0.0%">
                        <c:v>8.6419753086419748E-2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Dashboard'!$C$70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Dashboard'!$D$70:$J$70</c15:sqref>
                        </c15:fullRef>
                        <c15:formulaRef>
                          <c15:sqref>('1. Dashboard'!$F$70,'1. Dashboard'!$H$70,'1. Dashboard'!$J$70)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Dashboard'!$C$71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Dashboard'!$D$71:$J$71</c15:sqref>
                        </c15:fullRef>
                        <c15:formulaRef>
                          <c15:sqref>('1. Dashboard'!$F$71,'1. Dashboard'!$H$71,'1. Dashboard'!$J$71)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Dashboard'!$C$72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Dashboard'!$D$72:$J$72</c15:sqref>
                        </c15:fullRef>
                        <c15:formulaRef>
                          <c15:sqref>('1. Dashboard'!$F$72,'1. Dashboard'!$H$72,'1. Dashboard'!$J$72)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Dashboard'!$C$73</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Dashboard'!$D$73:$J$73</c15:sqref>
                        </c15:fullRef>
                        <c15:formulaRef>
                          <c15:sqref>('1. Dashboard'!$F$73,'1. Dashboard'!$H$73,'1. Dashboard'!$J$73)</c15:sqref>
                        </c15:formulaRef>
                      </c:ext>
                    </c:extLst>
                    <c:numCache>
                      <c:formatCode>General</c:formatCode>
                      <c:ptCount val="3"/>
                      <c:pt idx="0" formatCode="0.0%">
                        <c:v>0.88888888888888884</c:v>
                      </c:pt>
                      <c:pt idx="1" formatCode="0.0%">
                        <c:v>5.5555555555555552E-2</c:v>
                      </c:pt>
                      <c:pt idx="2" formatCode="0.0%">
                        <c:v>5.5555555555555552E-2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Dashboard'!$C$74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Dashboard'!$D$74:$J$74</c15:sqref>
                        </c15:fullRef>
                        <c15:formulaRef>
                          <c15:sqref>('1. Dashboard'!$F$74,'1. Dashboard'!$H$74,'1. Dashboard'!$J$74)</c15:sqref>
                        </c15:formulaRef>
                      </c:ext>
                    </c:extLst>
                    <c:numCache>
                      <c:formatCode>0</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Dashboard'!$C$75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Dashboard'!$D$75:$J$75</c15:sqref>
                        </c15:fullRef>
                        <c15:formulaRef>
                          <c15:sqref>('1. Dashboard'!$F$75,'1. Dashboard'!$H$75,'1. Dashboard'!$J$75)</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Dashboard'!$C$76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Dashboard'!$D$76:$J$76</c15:sqref>
                        </c15:fullRef>
                        <c15:formulaRef>
                          <c15:sqref>('1. Dashboard'!$F$76,'1. Dashboard'!$H$76,'1. Dashboard'!$J$76)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Dashboard'!$C$78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Dashboard'!$D$78:$J$78</c15:sqref>
                        </c15:fullRef>
                        <c15:formulaRef>
                          <c15:sqref>('1. Dashboard'!$F$78,'1. Dashboard'!$H$78,'1. Dashboard'!$J$78)</c15:sqref>
                        </c15:formulaRef>
                      </c:ext>
                    </c:extLst>
                    <c:numCache>
                      <c:formatCode>General</c:formatCode>
                      <c:ptCount val="3"/>
                      <c:pt idx="0" formatCode="0.0%">
                        <c:v>0.9375</c:v>
                      </c:pt>
                      <c:pt idx="1" formatCode="0.0%">
                        <c:v>0</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Dashboard'!$C$79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Dashboard'!$D$79:$J$79</c15:sqref>
                        </c15:fullRef>
                        <c15:formulaRef>
                          <c15:sqref>('1. Dashboard'!$F$79,'1. Dashboard'!$H$79,'1. Dashboard'!$J$79)</c15:sqref>
                        </c15:formulaRef>
                      </c:ext>
                    </c:extLst>
                    <c:numCache>
                      <c:formatCode>General</c:formatCode>
                      <c:ptCount val="3"/>
                      <c:pt idx="0" formatCode="0.0%">
                        <c:v>0.93333333333333335</c:v>
                      </c:pt>
                      <c:pt idx="1" formatCode="0.0%">
                        <c:v>0</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Dashboard'!$C$80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Dashboard'!$D$80:$J$80</c15:sqref>
                        </c15:fullRef>
                        <c15:formulaRef>
                          <c15:sqref>('1. Dashboard'!$F$80,'1. Dashboard'!$H$80,'1. Dashboard'!$J$80)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Dashboard'!$C$81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Dashboard'!$D$81:$J$81</c15:sqref>
                        </c15:fullRef>
                        <c15:formulaRef>
                          <c15:sqref>('1. Dashboard'!$F$81,'1. Dashboard'!$H$81,'1. Dashboard'!$J$81)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Dashboard'!$C$82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Dashboard'!$D$82:$J$82</c15:sqref>
                        </c15:fullRef>
                        <c15:formulaRef>
                          <c15:sqref>('1. Dashboard'!$F$82,'1. Dashboard'!$H$82,'1. Dashboard'!$J$82)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Dashboard'!$C$84</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Dashboard'!$D$84:$J$84</c15:sqref>
                        </c15:fullRef>
                        <c15:formulaRef>
                          <c15:sqref>('1. Dashboard'!$F$84,'1. Dashboard'!$H$84,'1. Dashboard'!$J$84)</c15:sqref>
                        </c15:formulaRef>
                      </c:ext>
                    </c:extLst>
                    <c:numCache>
                      <c:formatCode>General</c:formatCode>
                      <c:ptCount val="3"/>
                      <c:pt idx="0" formatCode="0.0%">
                        <c:v>0.73333333333333328</c:v>
                      </c:pt>
                      <c:pt idx="1" formatCode="0.0%">
                        <c:v>0.13333333333333333</c:v>
                      </c:pt>
                      <c:pt idx="2" formatCode="0.0%">
                        <c:v>0.13333333333333333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Dashboard'!$C$85</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Dashboard'!$D$85:$J$85</c15:sqref>
                        </c15:fullRef>
                        <c15:formulaRef>
                          <c15:sqref>('1. Dashboard'!$F$85,'1. Dashboard'!$H$85,'1. Dashboard'!$J$85)</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Dashboard'!$C$86</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Dashboard'!$D$86:$J$86</c15:sqref>
                        </c15:fullRef>
                        <c15:formulaRef>
                          <c15:sqref>('1. Dashboard'!$F$86,'1. Dashboard'!$H$86,'1. Dashboard'!$J$86)</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Dashboard'!$C$88</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Dashboard'!$D$88:$J$88</c15:sqref>
                        </c15:fullRef>
                        <c15:formulaRef>
                          <c15:sqref>('1. Dashboard'!$F$88,'1. Dashboard'!$H$88,'1. Dashboard'!$J$88)</c15:sqref>
                        </c15:formulaRef>
                      </c:ext>
                    </c:extLst>
                    <c:numCache>
                      <c:formatCode>General</c:formatCode>
                      <c:ptCount val="3"/>
                      <c:pt idx="0" formatCode="0.0%">
                        <c:v>0.75</c:v>
                      </c:pt>
                      <c:pt idx="1" formatCode="0.0%">
                        <c:v>0</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Dashboard'!$C$89</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Dashboard'!$D$89:$J$89</c15:sqref>
                        </c15:fullRef>
                        <c15:formulaRef>
                          <c15:sqref>('1. Dashboard'!$F$89,'1. Dashboard'!$H$89,'1. Dashboard'!$J$89)</c15:sqref>
                        </c15:formulaRef>
                      </c:ext>
                    </c:extLst>
                    <c:numCache>
                      <c:formatCode>General</c:formatCode>
                      <c:ptCount val="3"/>
                      <c:pt idx="0" formatCode="0.0%">
                        <c:v>0.72727272727272729</c:v>
                      </c:pt>
                      <c:pt idx="1" formatCode="0.0%">
                        <c:v>0</c:v>
                      </c:pt>
                      <c:pt idx="2" formatCode="0.0%">
                        <c:v>0.27272727272727271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Dashboard'!$C$90</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Dashboard'!$D$90:$J$90</c15:sqref>
                        </c15:fullRef>
                        <c15:formulaRef>
                          <c15:sqref>('1. Dashboard'!$F$90,'1. Dashboard'!$H$90,'1. Dashboard'!$J$90)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Dashboard'!$C$91</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Dashboard'!$D$91:$J$91</c15:sqref>
                        </c15:fullRef>
                        <c15:formulaRef>
                          <c15:sqref>('1. Dashboard'!$F$91,'1. Dashboard'!$H$91,'1. Dashboard'!$J$91)</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Dashboard'!$C$92</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Dashboard'!$D$62:$J$62</c15:sqref>
                        </c15:fullRef>
                        <c15:formulaRef>
                          <c15:sqref>('1. Dashboard'!$F$62,'1. Dashboard'!$H$62,'1. Dashboard'!$J$62)</c15:sqref>
                        </c15:formulaRef>
                      </c:ext>
                    </c:extLst>
                    <c:strCache>
                      <c:ptCount val="3"/>
                      <c:pt idx="0">
                        <c:v>OK (%)</c:v>
                      </c:pt>
                      <c:pt idx="1">
                        <c:v>Justificados (%)</c:v>
                      </c:pt>
                      <c:pt idx="2">
                        <c:v>Não Justificados (%)</c:v>
                      </c:pt>
                    </c:strCache>
                  </c:strRef>
                </c:cat>
                <c:val>
                  <c:numRef>
                    <c:extLst>
                      <c:ext xmlns:c15="http://schemas.microsoft.com/office/drawing/2012/chart" uri="{02D57815-91ED-43cb-92C2-25804820EDAC}">
                        <c15:fullRef>
                          <c15:sqref>'1. Dashboard'!$D$92:$J$92</c15:sqref>
                        </c15:fullRef>
                        <c15:formulaRef>
                          <c15:sqref>('1. Dashboard'!$F$92,'1. Dashboard'!$H$92,'1. Dashboard'!$J$92)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283651</xdr:colOff>
      <xdr:row>60</xdr:row>
      <xdr:rowOff>41094</xdr:rowOff>
    </xdr:from>
    <xdr:to>
      <xdr:col>16</xdr:col>
      <xdr:colOff>1030800</xdr:colOff>
      <xdr:row>94</xdr:row>
      <xdr:rowOff>93346</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608511</xdr:colOff>
      <xdr:row>97</xdr:row>
      <xdr:rowOff>94428</xdr:rowOff>
    </xdr:from>
    <xdr:to>
      <xdr:col>18</xdr:col>
      <xdr:colOff>688703</xdr:colOff>
      <xdr:row>112</xdr:row>
      <xdr:rowOff>93344</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16</xdr:col>
      <xdr:colOff>1087641</xdr:colOff>
      <xdr:row>83</xdr:row>
      <xdr:rowOff>56627</xdr:rowOff>
    </xdr:from>
    <xdr:to>
      <xdr:col>18</xdr:col>
      <xdr:colOff>875258</xdr:colOff>
      <xdr:row>94</xdr:row>
      <xdr:rowOff>93346</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554107</xdr:colOff>
      <xdr:row>87</xdr:row>
      <xdr:rowOff>94535</xdr:rowOff>
    </xdr:from>
    <xdr:to>
      <xdr:col>18</xdr:col>
      <xdr:colOff>325936</xdr:colOff>
      <xdr:row>90</xdr:row>
      <xdr:rowOff>53533</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2038153" y="14869715"/>
          <a:ext cx="885165" cy="478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1609</xdr:colOff>
      <xdr:row>71</xdr:row>
      <xdr:rowOff>167787</xdr:rowOff>
    </xdr:from>
    <xdr:to>
      <xdr:col>18</xdr:col>
      <xdr:colOff>875258</xdr:colOff>
      <xdr:row>82</xdr:row>
      <xdr:rowOff>167675</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534953</xdr:colOff>
      <xdr:row>76</xdr:row>
      <xdr:rowOff>20616</xdr:rowOff>
    </xdr:from>
    <xdr:to>
      <xdr:col>18</xdr:col>
      <xdr:colOff>341914</xdr:colOff>
      <xdr:row>78</xdr:row>
      <xdr:rowOff>149384</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2034239" y="12827115"/>
          <a:ext cx="895532" cy="49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16214</xdr:colOff>
      <xdr:row>60</xdr:row>
      <xdr:rowOff>41094</xdr:rowOff>
    </xdr:from>
    <xdr:to>
      <xdr:col>18</xdr:col>
      <xdr:colOff>875258</xdr:colOff>
      <xdr:row>71</xdr:row>
      <xdr:rowOff>92418</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550081</xdr:colOff>
      <xdr:row>64</xdr:row>
      <xdr:rowOff>98545</xdr:rowOff>
    </xdr:from>
    <xdr:to>
      <xdr:col>18</xdr:col>
      <xdr:colOff>322340</xdr:colOff>
      <xdr:row>67</xdr:row>
      <xdr:rowOff>17822</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2056987" y="10793759"/>
          <a:ext cx="864640" cy="457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mc:AlternateContent xmlns:mc="http://schemas.openxmlformats.org/markup-compatibility/2006">
    <mc:Choice xmlns:a14="http://schemas.microsoft.com/office/drawing/2010/main" Requires="a14">
      <xdr:twoCellAnchor>
        <xdr:from>
          <xdr:col>4</xdr:col>
          <xdr:colOff>107950</xdr:colOff>
          <xdr:row>21</xdr:row>
          <xdr:rowOff>82550</xdr:rowOff>
        </xdr:from>
        <xdr:to>
          <xdr:col>5</xdr:col>
          <xdr:colOff>152400</xdr:colOff>
          <xdr:row>23</xdr:row>
          <xdr:rowOff>101600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pt-PT" sz="1100" b="1" i="0" u="none" strike="noStrike" baseline="0">
                  <a:solidFill>
                    <a:srgbClr val="000000"/>
                  </a:solidFill>
                  <a:latin typeface="Aptos Narrow"/>
                </a:rPr>
                <a:t>GERAR</a:t>
              </a:r>
            </a:p>
          </xdr:txBody>
        </xdr:sp>
        <xdr:clientData fPrintsWithSheet="0"/>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7F07B31-8BF9-4321-BD3A-4DCA6C193BBE}"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6F938C6A-23EC-4202-8F9D-5DD993D4442D}"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A7CEC7-F20C-4771-9CDF-10E125E0924F}" name="Controlos" displayName="Controlos" ref="F8:N353" tableType="queryTable" totalsRowShown="0" headerRowDxfId="26">
  <autoFilter ref="F8:N353" xr:uid="{10A7CEC7-F20C-4771-9CDF-10E125E0924F}">
    <filterColumn colId="2">
      <filters>
        <filter val="MISSINGS"/>
      </filters>
    </filterColumn>
    <filterColumn colId="4">
      <filters>
        <filter val="BU_LOANTAPE_WORK.OUT_B0200_MAIN_LIABILITIES"/>
        <filter val="BU_LOANTAPE_WORK.OUT_B0500_GUARANTEES"/>
        <filter val="BU_LOANTAPE_WORK.OUT_B9000_COUNTERPARTIES"/>
      </filters>
    </filterColumn>
  </autoFilter>
  <tableColumns count="9">
    <tableColumn id="1" xr3:uid="{B2FE7314-64CE-44C0-89EA-2F3A0FDD912E}" uniqueName="1" name="ref_date" queryTableFieldId="1" dataDxfId="25"/>
    <tableColumn id="2" xr3:uid="{5448FBA7-4389-428E-8FB7-4364CCE5CAD6}" uniqueName="2" name="cod_kpi" queryTableFieldId="2" dataDxfId="24"/>
    <tableColumn id="3" xr3:uid="{9487EA88-749E-47F9-97A7-11AA4B0AC3EC}" uniqueName="3" name="tipologia_teste" queryTableFieldId="3" dataDxfId="23"/>
    <tableColumn id="4" xr3:uid="{097BD10C-C812-43E6-B087-824AF97718F9}" uniqueName="4" name="descrição" queryTableFieldId="4" dataDxfId="22"/>
    <tableColumn id="5" xr3:uid="{1FA83886-FCD7-4601-B14E-E8A02FF77949}" uniqueName="5" name="tabela" queryTableFieldId="5" dataDxfId="21"/>
    <tableColumn id="6" xr3:uid="{F9E63AF2-07FD-42B7-A7CF-787F8B2D0773}" uniqueName="6" name="campo" queryTableFieldId="6" dataDxfId="20"/>
    <tableColumn id="7" xr3:uid="{A89A0B91-4D7E-4871-BB60-7F6016F5BFA9}" uniqueName="7" name="num_reg" queryTableFieldId="7"/>
    <tableColumn id="8" xr3:uid="{4BDFF061-59F1-41DB-9680-3F0107DC3165}" uniqueName="8" name="num_reg_dif" queryTableFieldId="8"/>
    <tableColumn id="9" xr3:uid="{48B34178-683B-410F-8433-BF2130284FA1}" uniqueName="9" name="detalhe" queryTableFieldId="9" dataDxfId="1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Outros" displayName="Outros" ref="B8:J167" tableType="queryTable" totalsRowShown="0" headerRowDxfId="18">
  <autoFilter ref="B8:J167" xr:uid="{1C0715A1-AABC-40CB-AFAC-E6A4491CB880}"/>
  <tableColumns count="9">
    <tableColumn id="7" xr3:uid="{D4F9D360-26D0-459F-B069-A23B2ACEC847}" uniqueName="7" name="ref_date" queryTableFieldId="7" dataDxfId="17"/>
    <tableColumn id="8" xr3:uid="{EC194072-ED3B-4437-9454-90CA47C6C6D7}" uniqueName="8" name="cod_kpi" queryTableFieldId="9" dataDxfId="16"/>
    <tableColumn id="3" xr3:uid="{C806F35C-EC01-4658-B622-B37B143E32BF}" uniqueName="3" name="tipologia_teste" queryTableFieldId="3" dataDxfId="15"/>
    <tableColumn id="9" xr3:uid="{BB2CE20C-3970-4B21-AA6A-2DE9F556085F}" uniqueName="9" name="descrição" queryTableFieldId="10" dataDxfId="14"/>
    <tableColumn id="1" xr3:uid="{8E03818A-FE6E-407A-8308-9158A7C4FCEB}" uniqueName="1" name="tabela" queryTableFieldId="1" dataDxfId="13"/>
    <tableColumn id="2" xr3:uid="{FBF429CB-F460-483B-BF3E-3994F6A15B00}" uniqueName="2" name="campo" queryTableFieldId="2" dataDxfId="12"/>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1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097386-977D-4D4C-934D-575D6314EAF0}" name="Regulamentares" displayName="Regulamentares" ref="B8:J194" tableType="queryTable" totalsRowShown="0" headerRowDxfId="10">
  <autoFilter ref="B8:J194" xr:uid="{FB097386-977D-4D4C-934D-575D6314EAF0}"/>
  <tableColumns count="9">
    <tableColumn id="1" xr3:uid="{505E6379-A3AF-4C16-8A9C-A89EDF7514CE}" uniqueName="1" name="ref_date" queryTableFieldId="1" dataDxfId="9"/>
    <tableColumn id="2" xr3:uid="{1CF97B64-599D-45D9-AD61-AD92E9D1419C}" uniqueName="2" name="cod_kpi" queryTableFieldId="2" dataDxfId="8"/>
    <tableColumn id="3" xr3:uid="{8F088FDC-FCF2-4A35-A5DE-60D36F5B2B4E}" uniqueName="3" name="tipologia_teste" queryTableFieldId="3" dataDxfId="7"/>
    <tableColumn id="4" xr3:uid="{69D1893F-EBDB-4847-9F7C-31B20DDAEC1D}" uniqueName="4" name="descrição" queryTableFieldId="4" dataDxfId="6"/>
    <tableColumn id="5" xr3:uid="{6D6E9E20-0E9B-460E-80EE-2461D34D4A85}" uniqueName="5" name="tabela" queryTableFieldId="5" dataDxfId="5"/>
    <tableColumn id="6" xr3:uid="{F06CCC45-6700-4F59-8EDC-97C3366B2CEA}" uniqueName="6" name="campo" queryTableFieldId="6" dataDxfId="4"/>
    <tableColumn id="7" xr3:uid="{674CBBB1-58DB-4DE1-AA7C-D7C7312B837D}" uniqueName="7" name="num_reg" queryTableFieldId="7"/>
    <tableColumn id="8" xr3:uid="{3E39B554-60A1-432C-A7E9-E6FCDA2B4D66}" uniqueName="8" name="num_reg_dif" queryTableFieldId="8"/>
    <tableColumn id="9" xr3:uid="{C2DB56DE-DD97-4089-B126-3F2862DC6C7D}" uniqueName="9" name="detalhe" queryTableFieldId="9"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5" zeroHeight="1" x14ac:dyDescent="0.35"/>
  <cols>
    <col min="1" max="2" width="3.81640625" customWidth="1"/>
    <col min="3" max="21" width="8.90625" customWidth="1"/>
    <col min="22" max="22" width="3.81640625" customWidth="1"/>
    <col min="23" max="16384" width="8.90625" hidden="1"/>
  </cols>
  <sheetData>
    <row r="1" spans="1:22" x14ac:dyDescent="0.35">
      <c r="A1" s="66"/>
      <c r="B1" s="66"/>
      <c r="C1" s="66"/>
      <c r="D1" s="66"/>
      <c r="E1" s="66"/>
      <c r="F1" s="66"/>
      <c r="G1" s="66"/>
      <c r="H1" s="66"/>
      <c r="I1" s="66"/>
      <c r="J1" s="66"/>
      <c r="K1" s="66"/>
      <c r="L1" s="66"/>
      <c r="M1" s="66"/>
      <c r="N1" s="66"/>
      <c r="O1" s="66"/>
      <c r="P1" s="66"/>
      <c r="Q1" s="66"/>
      <c r="R1" s="66"/>
      <c r="S1" s="66"/>
      <c r="T1" s="66"/>
      <c r="U1" s="66"/>
      <c r="V1" s="66"/>
    </row>
    <row r="2" spans="1:22" x14ac:dyDescent="0.35">
      <c r="A2" s="66"/>
      <c r="B2" s="66"/>
      <c r="C2" s="66"/>
      <c r="D2" s="66"/>
      <c r="E2" s="66"/>
      <c r="F2" s="66"/>
      <c r="G2" s="66"/>
      <c r="H2" s="66"/>
      <c r="I2" s="66"/>
      <c r="J2" s="66"/>
      <c r="K2" s="66"/>
      <c r="L2" s="66"/>
      <c r="M2" s="66"/>
      <c r="N2" s="66"/>
      <c r="O2" s="66"/>
      <c r="P2" s="66"/>
      <c r="Q2" s="66"/>
      <c r="R2" s="66"/>
      <c r="S2" s="97"/>
      <c r="T2" s="66"/>
      <c r="U2" s="66"/>
      <c r="V2" s="66"/>
    </row>
    <row r="3" spans="1:22" x14ac:dyDescent="0.35">
      <c r="A3" s="66"/>
      <c r="B3" s="66"/>
      <c r="C3" s="66"/>
      <c r="D3" s="66"/>
      <c r="E3" s="66"/>
      <c r="F3" s="66"/>
      <c r="G3" s="66"/>
      <c r="H3" s="66"/>
      <c r="I3" s="66"/>
      <c r="J3" s="66"/>
      <c r="K3" s="66"/>
      <c r="L3" s="66"/>
      <c r="M3" s="66"/>
      <c r="N3" s="66"/>
      <c r="O3" s="66"/>
      <c r="P3" s="66"/>
      <c r="Q3" s="66"/>
      <c r="R3" s="66"/>
      <c r="S3" s="66"/>
      <c r="T3" s="66"/>
      <c r="U3" s="66"/>
      <c r="V3" s="66"/>
    </row>
    <row r="4" spans="1:22" ht="3" customHeight="1" x14ac:dyDescent="0.35">
      <c r="A4" s="67"/>
      <c r="B4" s="67"/>
      <c r="C4" s="67"/>
      <c r="D4" s="67"/>
      <c r="E4" s="67"/>
      <c r="F4" s="67"/>
      <c r="G4" s="67"/>
      <c r="H4" s="67"/>
      <c r="I4" s="67"/>
      <c r="J4" s="67"/>
      <c r="K4" s="67"/>
      <c r="L4" s="67"/>
      <c r="M4" s="67"/>
      <c r="N4" s="67"/>
      <c r="O4" s="67"/>
      <c r="P4" s="67"/>
      <c r="Q4" s="67"/>
      <c r="R4" s="67"/>
      <c r="S4" s="67"/>
      <c r="T4" s="67"/>
      <c r="U4" s="67"/>
      <c r="V4" s="67"/>
    </row>
    <row r="5" spans="1:22" x14ac:dyDescent="0.35">
      <c r="A5" s="68"/>
      <c r="B5" s="68"/>
      <c r="C5" s="68"/>
      <c r="D5" s="68"/>
      <c r="E5" s="68"/>
      <c r="F5" s="68"/>
      <c r="G5" s="68"/>
      <c r="H5" s="68"/>
      <c r="I5" s="68"/>
      <c r="J5" s="68"/>
      <c r="K5" s="68"/>
      <c r="L5" s="68"/>
      <c r="M5" s="68"/>
      <c r="N5" s="68"/>
      <c r="O5" s="68"/>
      <c r="P5" s="68"/>
      <c r="Q5" s="68"/>
      <c r="R5" s="68"/>
      <c r="S5" s="68"/>
      <c r="T5" s="68"/>
      <c r="U5" s="68"/>
      <c r="V5" s="68"/>
    </row>
    <row r="6" spans="1:22" ht="15" thickBot="1" x14ac:dyDescent="0.4">
      <c r="A6" s="68"/>
      <c r="B6" s="104" t="s">
        <v>323</v>
      </c>
      <c r="C6" s="69"/>
      <c r="D6" s="70"/>
      <c r="E6" s="70"/>
      <c r="F6" s="70"/>
      <c r="G6" s="70"/>
      <c r="H6" s="70"/>
      <c r="I6" s="70"/>
      <c r="J6" s="70"/>
      <c r="K6" s="70"/>
      <c r="L6" s="70"/>
      <c r="M6" s="70"/>
      <c r="N6" s="70"/>
      <c r="O6" s="70"/>
      <c r="P6" s="70"/>
      <c r="Q6" s="70"/>
      <c r="R6" s="70"/>
      <c r="S6" s="70"/>
      <c r="T6" s="70"/>
      <c r="U6" s="70"/>
      <c r="V6" s="68"/>
    </row>
    <row r="7" spans="1:22" x14ac:dyDescent="0.35">
      <c r="A7" s="68"/>
      <c r="B7" s="68"/>
      <c r="C7" s="68"/>
      <c r="D7" s="68"/>
      <c r="E7" s="68"/>
      <c r="F7" s="68"/>
      <c r="G7" s="68"/>
      <c r="H7" s="68"/>
      <c r="I7" s="68"/>
      <c r="J7" s="68"/>
      <c r="K7" s="68"/>
      <c r="L7" s="68"/>
      <c r="M7" s="68"/>
      <c r="N7" s="68"/>
      <c r="O7" s="68"/>
      <c r="P7" s="68"/>
      <c r="Q7" s="68"/>
      <c r="R7" s="68"/>
      <c r="S7" s="68"/>
      <c r="T7" s="68"/>
      <c r="U7" s="68"/>
      <c r="V7" s="68"/>
    </row>
    <row r="8" spans="1:22" x14ac:dyDescent="0.35">
      <c r="C8" t="s">
        <v>345</v>
      </c>
    </row>
    <row r="9" spans="1:22" x14ac:dyDescent="0.35">
      <c r="C9" t="s">
        <v>346</v>
      </c>
    </row>
    <row r="10" spans="1:22" x14ac:dyDescent="0.35">
      <c r="C10" t="s">
        <v>347</v>
      </c>
    </row>
    <row r="11" spans="1:22"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338</v>
      </c>
    </row>
    <row r="2" spans="1:1" x14ac:dyDescent="0.35">
      <c r="A2" t="s">
        <v>339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123"/>
  <sheetViews>
    <sheetView showGridLines="0" tabSelected="1" zoomScale="70" zoomScaleNormal="70" workbookViewId="0">
      <selection activeCell="F26" sqref="F26"/>
    </sheetView>
  </sheetViews>
  <sheetFormatPr defaultColWidth="0" defaultRowHeight="14.5" zero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9" width="23.1796875" bestFit="1" customWidth="1"/>
    <col min="10" max="10" width="24.36328125" bestFit="1" customWidth="1"/>
    <col min="11" max="12" width="19.81640625" customWidth="1"/>
    <col min="13" max="19" width="15.81640625" customWidth="1"/>
    <col min="20" max="21" width="3.81640625" customWidth="1"/>
    <col min="22" max="16384" width="8.90625" hidden="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29</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row r="9" spans="1:2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thickTop="1" x14ac:dyDescent="0.35">
      <c r="B11" s="15"/>
      <c r="C11" s="52"/>
      <c r="D11" s="52"/>
      <c r="E11" s="52"/>
      <c r="F11" s="52"/>
      <c r="G11" s="52"/>
      <c r="H11" s="52"/>
      <c r="I11" s="52"/>
      <c r="J11" s="52"/>
      <c r="K11" s="52"/>
      <c r="L11" s="15"/>
      <c r="M11" s="5"/>
      <c r="N11" s="5"/>
      <c r="O11" s="5"/>
      <c r="P11" s="5"/>
      <c r="Q11" s="5"/>
      <c r="R11" s="5"/>
      <c r="S11" s="5"/>
      <c r="T11" s="5"/>
    </row>
    <row r="12" spans="1:21" x14ac:dyDescent="0.35">
      <c r="B12" s="15"/>
      <c r="C12" s="8" t="s">
        <v>22</v>
      </c>
      <c r="D12" s="64" t="s">
        <v>339</v>
      </c>
      <c r="E12" s="54"/>
      <c r="F12" s="54"/>
      <c r="G12" s="52"/>
      <c r="H12" s="52"/>
      <c r="I12" s="52"/>
      <c r="J12" s="52"/>
      <c r="K12" s="52"/>
      <c r="L12" s="15"/>
      <c r="M12" s="5"/>
      <c r="N12" s="5"/>
      <c r="O12" s="5"/>
      <c r="P12" s="5"/>
      <c r="Q12" s="5"/>
      <c r="R12" s="5"/>
      <c r="S12" s="5"/>
      <c r="T12" s="5"/>
    </row>
    <row r="13" spans="1:21" x14ac:dyDescent="0.35">
      <c r="B13" s="55"/>
      <c r="C13" s="54"/>
      <c r="D13" s="54"/>
      <c r="E13" s="54"/>
      <c r="F13" s="54"/>
      <c r="G13" s="54"/>
      <c r="H13" s="54"/>
      <c r="I13" s="54"/>
      <c r="J13" s="54"/>
      <c r="K13" s="54"/>
      <c r="L13" s="55"/>
      <c r="M13" s="14"/>
      <c r="N13" s="5"/>
      <c r="O13" s="5"/>
      <c r="P13" s="5"/>
      <c r="Q13" s="5"/>
      <c r="R13" s="14"/>
      <c r="S13" s="14"/>
      <c r="T13" s="14"/>
    </row>
    <row r="14" spans="1:21" x14ac:dyDescent="0.35">
      <c r="B14" s="55"/>
      <c r="C14" s="13"/>
      <c r="D14" s="56"/>
      <c r="E14" s="57"/>
      <c r="F14" s="13"/>
      <c r="G14" s="56"/>
      <c r="H14" s="57"/>
      <c r="I14" s="54"/>
      <c r="J14" s="56"/>
      <c r="K14" s="92"/>
      <c r="L14" s="57"/>
      <c r="M14" s="14"/>
      <c r="N14" s="5"/>
      <c r="O14" s="5"/>
      <c r="P14" s="5"/>
      <c r="Q14" s="5"/>
      <c r="R14" s="14"/>
      <c r="S14" s="14"/>
      <c r="T14" s="14"/>
    </row>
    <row r="15" spans="1:21" x14ac:dyDescent="0.35">
      <c r="B15" s="15"/>
      <c r="C15" s="13"/>
      <c r="D15" s="58" t="s">
        <v>7</v>
      </c>
      <c r="E15" s="59"/>
      <c r="F15" s="13"/>
      <c r="G15" s="58" t="s">
        <v>8</v>
      </c>
      <c r="H15" s="59"/>
      <c r="I15" s="13"/>
      <c r="J15" s="58" t="s">
        <v>28</v>
      </c>
      <c r="K15" s="94"/>
      <c r="L15" s="59"/>
      <c r="M15" s="13"/>
      <c r="N15" s="13"/>
      <c r="O15" s="13"/>
      <c r="P15" s="13"/>
      <c r="Q15" s="13"/>
      <c r="R15" s="13"/>
      <c r="S15" s="13"/>
      <c r="T15" s="13"/>
    </row>
    <row r="16" spans="1:21" x14ac:dyDescent="0.35">
      <c r="B16" s="55"/>
      <c r="C16" s="13"/>
      <c r="D16" s="60"/>
      <c r="E16" s="61"/>
      <c r="F16" s="13"/>
      <c r="G16" s="60"/>
      <c r="H16" s="61"/>
      <c r="I16" s="54"/>
      <c r="J16" s="60"/>
      <c r="K16" s="93"/>
      <c r="L16" s="61"/>
      <c r="M16" s="14"/>
      <c r="N16" s="5"/>
      <c r="O16" s="5"/>
      <c r="P16" s="5"/>
      <c r="Q16" s="5"/>
      <c r="R16" s="13"/>
      <c r="S16" s="13"/>
      <c r="T16" s="13"/>
    </row>
    <row r="17" spans="2:20" ht="5" customHeight="1" x14ac:dyDescent="0.35">
      <c r="B17" s="55"/>
      <c r="C17" s="13"/>
      <c r="D17" s="62"/>
      <c r="E17" s="62"/>
      <c r="F17" s="13"/>
      <c r="G17" s="62"/>
      <c r="H17" s="62"/>
      <c r="I17" s="54"/>
      <c r="J17" s="62"/>
      <c r="K17" s="62"/>
      <c r="L17" s="55"/>
      <c r="M17" s="14"/>
      <c r="N17" s="5"/>
      <c r="O17" s="5"/>
      <c r="P17" s="5"/>
      <c r="Q17" s="5"/>
      <c r="R17" s="13"/>
      <c r="S17" s="13"/>
      <c r="T17" s="13"/>
    </row>
    <row r="18" spans="2:20" x14ac:dyDescent="0.35">
      <c r="B18" s="55"/>
      <c r="C18" s="13"/>
      <c r="D18" s="108" t="s">
        <v>9</v>
      </c>
      <c r="E18" s="109"/>
      <c r="F18" s="13"/>
      <c r="G18" s="108" t="s">
        <v>27</v>
      </c>
      <c r="H18" s="109"/>
      <c r="I18" s="54"/>
      <c r="J18" s="108" t="s">
        <v>27</v>
      </c>
      <c r="K18" s="110"/>
      <c r="L18" s="109"/>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x14ac:dyDescent="0.35">
      <c r="B20" s="55"/>
      <c r="C20" s="13"/>
      <c r="D20" s="8" t="s">
        <v>348</v>
      </c>
      <c r="E20" s="64" t="s">
        <v>1</v>
      </c>
      <c r="F20" s="13"/>
      <c r="G20" s="8" t="s">
        <v>348</v>
      </c>
      <c r="H20" s="64" t="s">
        <v>1</v>
      </c>
      <c r="I20" s="54"/>
      <c r="J20" s="95" t="s">
        <v>349</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x14ac:dyDescent="0.35">
      <c r="B22" s="55"/>
      <c r="C22" s="13"/>
      <c r="D22" s="13"/>
      <c r="E22" s="13"/>
      <c r="F22" s="13"/>
      <c r="G22" s="13"/>
      <c r="H22" s="13"/>
      <c r="I22" s="54"/>
      <c r="J22" s="95" t="s">
        <v>350</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5" thickBot="1" x14ac:dyDescent="0.4">
      <c r="B24" s="6"/>
      <c r="C24" s="7"/>
      <c r="D24" s="7"/>
      <c r="E24" s="7"/>
      <c r="F24" s="7"/>
      <c r="G24" s="7"/>
      <c r="H24" s="7"/>
      <c r="I24" s="7"/>
      <c r="J24" s="7"/>
      <c r="K24" s="7"/>
      <c r="L24" s="6"/>
      <c r="M24" s="7"/>
      <c r="N24" s="7"/>
      <c r="O24" s="7"/>
      <c r="P24" s="7"/>
      <c r="Q24" s="7"/>
      <c r="R24" s="7"/>
      <c r="S24" s="7"/>
      <c r="T24" s="7"/>
    </row>
    <row r="25" spans="2:20" x14ac:dyDescent="0.35">
      <c r="B25" s="9"/>
      <c r="C25" s="10"/>
      <c r="D25" s="1"/>
      <c r="E25" s="1"/>
      <c r="F25" s="1"/>
      <c r="G25" s="1"/>
      <c r="H25" s="1"/>
      <c r="I25" s="1"/>
      <c r="J25" s="1"/>
      <c r="K25" s="1"/>
      <c r="L25" s="9"/>
      <c r="M25" s="10"/>
      <c r="N25" s="1"/>
      <c r="O25" s="1"/>
      <c r="P25" s="1"/>
      <c r="Q25" s="1"/>
      <c r="R25" s="1"/>
      <c r="S25" s="1"/>
      <c r="T25" s="1"/>
    </row>
    <row r="26" spans="2:20" ht="15" thickBot="1" x14ac:dyDescent="0.4">
      <c r="B26" s="4"/>
      <c r="C26" s="4"/>
      <c r="D26" s="4"/>
      <c r="E26" s="4"/>
      <c r="F26" s="4"/>
      <c r="G26" s="4"/>
      <c r="H26" s="4"/>
      <c r="I26" s="4"/>
      <c r="J26" s="4"/>
      <c r="K26" s="4"/>
      <c r="L26" s="4"/>
      <c r="M26" s="4"/>
      <c r="N26" s="4"/>
      <c r="O26" s="4"/>
      <c r="P26" s="4"/>
      <c r="Q26" s="4"/>
      <c r="R26" s="4"/>
      <c r="S26" s="4"/>
      <c r="T26" s="4"/>
    </row>
    <row r="27" spans="2:20" ht="15" thickTop="1" x14ac:dyDescent="0.35">
      <c r="B27" s="12"/>
      <c r="C27" s="5"/>
      <c r="D27" s="5"/>
      <c r="E27" s="5"/>
      <c r="F27" s="5"/>
      <c r="G27" s="5"/>
      <c r="H27" s="5"/>
      <c r="I27" s="5"/>
      <c r="J27" s="5"/>
      <c r="K27" s="5"/>
      <c r="L27" s="12"/>
      <c r="M27" s="5"/>
      <c r="N27" s="5"/>
      <c r="O27" s="5"/>
      <c r="P27" s="5"/>
      <c r="Q27" s="5"/>
      <c r="R27" s="5"/>
      <c r="S27" s="5"/>
      <c r="T27" s="5"/>
    </row>
    <row r="28" spans="2:20" x14ac:dyDescent="0.35">
      <c r="B28" s="12"/>
      <c r="C28" s="5"/>
      <c r="D28" s="5"/>
      <c r="E28" s="5"/>
      <c r="F28" s="5"/>
      <c r="G28" s="5"/>
      <c r="H28" s="19"/>
      <c r="I28" s="43"/>
      <c r="J28" s="43"/>
      <c r="K28" s="28"/>
      <c r="L28" s="29"/>
      <c r="M28" s="20"/>
      <c r="N28" s="5"/>
      <c r="O28" s="5"/>
      <c r="P28" s="5"/>
      <c r="Q28" s="5"/>
      <c r="R28" s="5"/>
      <c r="S28" s="5"/>
      <c r="T28" s="5"/>
    </row>
    <row r="29" spans="2:20" ht="16" x14ac:dyDescent="0.4">
      <c r="B29" s="12"/>
      <c r="C29" s="5"/>
      <c r="D29" s="5"/>
      <c r="E29" s="5"/>
      <c r="F29" s="5"/>
      <c r="G29" s="5"/>
      <c r="H29" s="34" t="s">
        <v>2</v>
      </c>
      <c r="I29" s="44"/>
      <c r="J29" s="65"/>
      <c r="K29" s="26"/>
      <c r="L29" s="25"/>
      <c r="M29" s="27"/>
      <c r="N29" s="5"/>
      <c r="O29" s="5"/>
      <c r="P29" s="5"/>
      <c r="Q29" s="5"/>
      <c r="R29" s="5"/>
      <c r="S29" s="5"/>
      <c r="T29" s="5"/>
    </row>
    <row r="30" spans="2:20" x14ac:dyDescent="0.35">
      <c r="B30" s="12"/>
      <c r="C30" s="5"/>
      <c r="D30" s="5"/>
      <c r="E30" s="5"/>
      <c r="F30" s="5"/>
      <c r="G30" s="5"/>
      <c r="H30" s="30"/>
      <c r="I30" s="45"/>
      <c r="J30" s="45"/>
      <c r="K30" s="31"/>
      <c r="L30" s="32"/>
      <c r="M30" s="33"/>
      <c r="N30" s="5"/>
      <c r="O30" s="5"/>
      <c r="P30" s="5"/>
      <c r="Q30" s="5"/>
      <c r="R30" s="5"/>
      <c r="S30" s="5"/>
      <c r="T30" s="5"/>
    </row>
    <row r="31" spans="2:20" x14ac:dyDescent="0.35">
      <c r="B31" s="12"/>
      <c r="C31" s="5"/>
      <c r="D31" s="5"/>
      <c r="E31" s="5"/>
      <c r="F31" s="5"/>
      <c r="G31" s="5"/>
      <c r="H31" s="5"/>
      <c r="I31" s="5"/>
      <c r="J31" s="5"/>
      <c r="K31" s="5"/>
      <c r="L31" s="5"/>
      <c r="M31" s="5"/>
      <c r="N31" s="5"/>
      <c r="O31" s="5"/>
      <c r="P31" s="5"/>
      <c r="Q31" s="5"/>
      <c r="R31" s="5"/>
      <c r="S31" s="5"/>
      <c r="T31" s="5"/>
    </row>
    <row r="32" spans="2:20" ht="15" thickBot="1" x14ac:dyDescent="0.4">
      <c r="B32" s="12"/>
      <c r="C32" s="87" t="s">
        <v>972</v>
      </c>
      <c r="D32" s="88"/>
      <c r="E32" s="88"/>
      <c r="F32" s="88"/>
      <c r="G32" s="88"/>
      <c r="H32" s="88"/>
      <c r="I32" s="88"/>
      <c r="J32" s="88"/>
      <c r="K32" s="88"/>
      <c r="L32" s="88"/>
      <c r="M32" s="88"/>
      <c r="N32" s="88"/>
      <c r="O32" s="88"/>
      <c r="P32" s="88"/>
      <c r="Q32" s="88"/>
      <c r="R32" s="88"/>
      <c r="S32" s="88"/>
      <c r="T32" s="13"/>
    </row>
    <row r="33" spans="2:20" x14ac:dyDescent="0.35">
      <c r="B33" s="12"/>
      <c r="C33" s="5"/>
      <c r="D33" s="5"/>
      <c r="E33" s="5"/>
      <c r="F33" s="5"/>
      <c r="G33" s="5"/>
      <c r="H33" s="5"/>
      <c r="I33" s="5"/>
      <c r="J33" s="5"/>
      <c r="K33" s="5"/>
      <c r="L33" s="5"/>
      <c r="M33" s="5"/>
      <c r="N33" s="5"/>
      <c r="O33" s="5"/>
      <c r="P33" s="5"/>
      <c r="Q33" s="5"/>
      <c r="R33" s="5"/>
      <c r="S33" s="5"/>
      <c r="T33" s="5"/>
    </row>
    <row r="34" spans="2:20" x14ac:dyDescent="0.35">
      <c r="B34" s="12"/>
      <c r="C34" s="5"/>
      <c r="D34" s="5"/>
      <c r="E34" s="5"/>
      <c r="F34" s="5"/>
      <c r="G34" s="5"/>
      <c r="H34" s="5"/>
      <c r="I34" s="5"/>
      <c r="J34" s="5"/>
      <c r="K34" s="5"/>
      <c r="L34" s="5"/>
      <c r="M34" s="5"/>
      <c r="N34" s="5"/>
      <c r="O34" s="5"/>
      <c r="P34" s="5"/>
      <c r="Q34" s="5"/>
      <c r="R34" s="5"/>
      <c r="S34" s="5"/>
      <c r="T34" s="5"/>
    </row>
    <row r="35" spans="2:20" x14ac:dyDescent="0.35">
      <c r="B35" s="12"/>
      <c r="C35" s="5"/>
      <c r="D35" s="5"/>
      <c r="E35" s="5"/>
      <c r="F35" s="5"/>
      <c r="G35" s="5"/>
      <c r="H35" s="5"/>
      <c r="I35" s="5"/>
      <c r="J35" s="5"/>
      <c r="K35" s="5"/>
      <c r="L35" s="5"/>
      <c r="M35" s="5"/>
      <c r="N35" s="5"/>
      <c r="O35" s="5"/>
      <c r="P35" s="5"/>
      <c r="Q35" s="5"/>
      <c r="R35" s="5"/>
      <c r="S35" s="5"/>
      <c r="T35" s="5"/>
    </row>
    <row r="36" spans="2:20" x14ac:dyDescent="0.35">
      <c r="B36" s="12"/>
      <c r="C36" s="5"/>
      <c r="D36" s="5"/>
      <c r="E36" s="5"/>
      <c r="F36" s="5"/>
      <c r="G36" s="5"/>
      <c r="H36" s="5"/>
      <c r="I36" s="5"/>
      <c r="J36" s="5"/>
      <c r="K36" s="5"/>
      <c r="L36" s="5"/>
      <c r="M36" s="5"/>
      <c r="N36" s="5"/>
      <c r="O36" s="5"/>
      <c r="P36" s="5"/>
      <c r="Q36" s="5"/>
      <c r="R36" s="5"/>
      <c r="S36" s="5"/>
      <c r="T36" s="5"/>
    </row>
    <row r="37" spans="2:20" x14ac:dyDescent="0.35">
      <c r="B37" s="12"/>
      <c r="C37" s="5"/>
      <c r="D37" s="5"/>
      <c r="E37" s="5"/>
      <c r="F37" s="5"/>
      <c r="G37" s="5"/>
      <c r="H37" s="5"/>
      <c r="I37" s="5"/>
      <c r="J37" s="5"/>
      <c r="K37" s="5"/>
      <c r="L37" s="5"/>
      <c r="M37" s="5"/>
      <c r="N37" s="5"/>
      <c r="O37" s="5"/>
      <c r="P37" s="5"/>
      <c r="Q37" s="5"/>
      <c r="R37" s="5"/>
      <c r="S37" s="5"/>
      <c r="T37" s="5"/>
    </row>
    <row r="38" spans="2:20" x14ac:dyDescent="0.35">
      <c r="B38" s="12"/>
      <c r="C38" s="5"/>
      <c r="D38" s="5"/>
      <c r="E38" s="5"/>
      <c r="F38" s="5"/>
      <c r="G38" s="5"/>
      <c r="H38" s="5"/>
      <c r="I38" s="5"/>
      <c r="J38" s="5"/>
      <c r="K38" s="5"/>
      <c r="L38" s="5"/>
      <c r="M38" s="5"/>
      <c r="N38" s="5"/>
      <c r="O38" s="5"/>
      <c r="P38" s="5"/>
      <c r="Q38" s="5"/>
      <c r="R38" s="5"/>
      <c r="S38" s="5"/>
      <c r="T38" s="5"/>
    </row>
    <row r="39" spans="2:20" x14ac:dyDescent="0.35">
      <c r="B39" s="12"/>
      <c r="C39" s="5"/>
      <c r="D39" s="5"/>
      <c r="E39" s="5"/>
      <c r="F39" s="5"/>
      <c r="G39" s="5"/>
      <c r="H39" s="5"/>
      <c r="I39" s="5"/>
      <c r="J39" s="5"/>
      <c r="K39" s="5"/>
      <c r="L39" s="5"/>
      <c r="M39" s="5"/>
      <c r="N39" s="5"/>
      <c r="O39" s="5"/>
      <c r="P39" s="5"/>
      <c r="Q39" s="5"/>
      <c r="R39" s="5"/>
      <c r="S39" s="5"/>
      <c r="T39" s="5"/>
    </row>
    <row r="40" spans="2:20" x14ac:dyDescent="0.35">
      <c r="B40" s="12"/>
      <c r="C40" s="5"/>
      <c r="D40" s="5"/>
      <c r="E40" s="5"/>
      <c r="F40" s="5"/>
      <c r="G40" s="5"/>
      <c r="H40" s="5"/>
      <c r="I40" s="5"/>
      <c r="J40" s="5"/>
      <c r="K40" s="5"/>
      <c r="L40" s="5"/>
      <c r="M40" s="5"/>
      <c r="N40" s="5"/>
      <c r="O40" s="5"/>
      <c r="P40" s="5"/>
      <c r="Q40" s="5"/>
      <c r="R40" s="5"/>
      <c r="S40" s="5"/>
      <c r="T40" s="5"/>
    </row>
    <row r="41" spans="2:20" x14ac:dyDescent="0.35">
      <c r="B41" s="12"/>
      <c r="C41" s="5"/>
      <c r="D41" s="5"/>
      <c r="E41" s="5"/>
      <c r="F41" s="5"/>
      <c r="G41" s="5"/>
      <c r="H41" s="5"/>
      <c r="I41" s="5"/>
      <c r="J41" s="5"/>
      <c r="K41" s="5"/>
      <c r="L41" s="5"/>
      <c r="M41" s="5"/>
      <c r="N41" s="5"/>
      <c r="O41" s="5"/>
      <c r="P41" s="5"/>
      <c r="Q41" s="5"/>
      <c r="R41" s="5"/>
      <c r="S41" s="5"/>
      <c r="T41" s="5"/>
    </row>
    <row r="42" spans="2:20" x14ac:dyDescent="0.35">
      <c r="B42" s="12"/>
      <c r="C42" s="5"/>
      <c r="D42" s="5"/>
      <c r="E42" s="5"/>
      <c r="F42" s="5"/>
      <c r="G42" s="5"/>
      <c r="H42" s="5"/>
      <c r="I42" s="5"/>
      <c r="J42" s="5"/>
      <c r="K42" s="5"/>
      <c r="L42" s="5"/>
      <c r="M42" s="5"/>
      <c r="N42" s="5"/>
      <c r="O42" s="5"/>
      <c r="P42" s="5"/>
      <c r="Q42" s="5"/>
      <c r="R42" s="5"/>
      <c r="S42" s="5"/>
      <c r="T42" s="5"/>
    </row>
    <row r="43" spans="2:20" x14ac:dyDescent="0.35">
      <c r="B43" s="12"/>
      <c r="C43" s="5"/>
      <c r="D43" s="5"/>
      <c r="E43" s="5"/>
      <c r="F43" s="5"/>
      <c r="G43" s="5"/>
      <c r="H43" s="5"/>
      <c r="I43" s="5"/>
      <c r="J43" s="5"/>
      <c r="K43" s="5"/>
      <c r="L43" s="5"/>
      <c r="M43" s="5"/>
      <c r="N43" s="5"/>
      <c r="O43" s="5"/>
      <c r="P43" s="5"/>
      <c r="Q43" s="5"/>
      <c r="R43" s="5"/>
      <c r="S43" s="5"/>
      <c r="T43" s="5"/>
    </row>
    <row r="44" spans="2:20" x14ac:dyDescent="0.35">
      <c r="B44" s="12"/>
      <c r="C44" s="5"/>
      <c r="D44" s="5"/>
      <c r="E44" s="5"/>
      <c r="F44" s="5"/>
      <c r="G44" s="5"/>
      <c r="H44" s="5"/>
      <c r="I44" s="5"/>
      <c r="J44" s="5"/>
      <c r="K44" s="5"/>
      <c r="L44" s="5"/>
      <c r="M44" s="5"/>
      <c r="N44" s="5"/>
      <c r="O44" s="5"/>
      <c r="P44" s="5"/>
      <c r="Q44" s="5"/>
      <c r="R44" s="5"/>
      <c r="S44" s="5"/>
      <c r="T44" s="5"/>
    </row>
    <row r="45" spans="2:20" x14ac:dyDescent="0.35">
      <c r="B45" s="12"/>
      <c r="C45" s="5"/>
      <c r="D45" s="5"/>
      <c r="E45" s="5"/>
      <c r="F45" s="5"/>
      <c r="G45" s="5"/>
      <c r="H45" s="5"/>
      <c r="I45" s="5"/>
      <c r="J45" s="5"/>
      <c r="K45" s="5"/>
      <c r="L45" s="5"/>
      <c r="M45" s="5"/>
      <c r="N45" s="5"/>
      <c r="O45" s="5"/>
      <c r="P45" s="5"/>
      <c r="Q45" s="5"/>
      <c r="R45" s="5"/>
      <c r="S45" s="5"/>
      <c r="T45" s="5"/>
    </row>
    <row r="46" spans="2:20" x14ac:dyDescent="0.35">
      <c r="B46" s="12"/>
      <c r="C46" s="5"/>
      <c r="D46" s="5"/>
      <c r="E46" s="5"/>
      <c r="F46" s="5"/>
      <c r="G46" s="5"/>
      <c r="H46" s="5"/>
      <c r="I46" s="5"/>
      <c r="J46" s="5"/>
      <c r="K46" s="5"/>
      <c r="L46" s="5"/>
      <c r="M46" s="5"/>
      <c r="N46" s="5"/>
      <c r="O46" s="5"/>
      <c r="P46" s="5"/>
      <c r="Q46" s="5"/>
      <c r="R46" s="5"/>
      <c r="S46" s="5"/>
      <c r="T46" s="5"/>
    </row>
    <row r="47" spans="2:20" x14ac:dyDescent="0.35">
      <c r="B47" s="12"/>
      <c r="C47" s="5"/>
      <c r="D47" s="5"/>
      <c r="E47" s="5"/>
      <c r="F47" s="5"/>
      <c r="G47" s="5"/>
      <c r="H47" s="5"/>
      <c r="I47" s="5"/>
      <c r="J47" s="5"/>
      <c r="K47" s="5"/>
      <c r="L47" s="5"/>
      <c r="M47" s="5"/>
      <c r="N47" s="5"/>
      <c r="O47" s="5"/>
      <c r="P47" s="5"/>
      <c r="Q47" s="5"/>
      <c r="R47" s="5"/>
      <c r="S47" s="5"/>
      <c r="T47" s="5"/>
    </row>
    <row r="48" spans="2:20" x14ac:dyDescent="0.35">
      <c r="B48" s="12"/>
      <c r="C48" s="5"/>
      <c r="D48" s="5"/>
      <c r="E48" s="5"/>
      <c r="F48" s="5"/>
      <c r="G48" s="5"/>
      <c r="H48" s="5"/>
      <c r="I48" s="5"/>
      <c r="J48" s="5"/>
      <c r="K48" s="5"/>
      <c r="L48" s="5"/>
      <c r="M48" s="5"/>
      <c r="N48" s="5"/>
      <c r="O48" s="5"/>
      <c r="P48" s="5"/>
      <c r="Q48" s="5"/>
      <c r="R48" s="5"/>
      <c r="S48" s="5"/>
      <c r="T48" s="5"/>
    </row>
    <row r="49" spans="2:20" x14ac:dyDescent="0.35">
      <c r="B49" s="12"/>
      <c r="C49" s="5"/>
      <c r="D49" s="5"/>
      <c r="E49" s="5"/>
      <c r="F49" s="5"/>
      <c r="G49" s="5"/>
      <c r="H49" s="5"/>
      <c r="I49" s="5"/>
      <c r="J49" s="5"/>
      <c r="K49" s="5"/>
      <c r="L49" s="5"/>
      <c r="M49" s="5"/>
      <c r="N49" s="5"/>
      <c r="O49" s="5"/>
      <c r="P49" s="5"/>
      <c r="Q49" s="5"/>
      <c r="R49" s="5"/>
      <c r="S49" s="5"/>
      <c r="T49" s="5"/>
    </row>
    <row r="50" spans="2:20" x14ac:dyDescent="0.35">
      <c r="B50" s="12"/>
      <c r="C50" s="5"/>
      <c r="D50" s="5"/>
      <c r="E50" s="5"/>
      <c r="F50" s="5"/>
      <c r="G50" s="5"/>
      <c r="H50" s="5"/>
      <c r="I50" s="5"/>
      <c r="J50" s="5"/>
      <c r="K50" s="5"/>
      <c r="L50" s="5"/>
      <c r="M50" s="5"/>
      <c r="N50" s="5"/>
      <c r="O50" s="5"/>
      <c r="P50" s="5"/>
      <c r="Q50" s="5"/>
      <c r="R50" s="5"/>
      <c r="S50" s="5"/>
      <c r="T50" s="5"/>
    </row>
    <row r="51" spans="2:20" x14ac:dyDescent="0.35">
      <c r="B51" s="12"/>
      <c r="C51" s="5"/>
      <c r="D51" s="5"/>
      <c r="E51" s="5"/>
      <c r="F51" s="5"/>
      <c r="G51" s="5"/>
      <c r="H51" s="5"/>
      <c r="I51" s="5"/>
      <c r="J51" s="5"/>
      <c r="K51" s="5"/>
      <c r="L51" s="5"/>
      <c r="M51" s="5"/>
      <c r="N51" s="5"/>
      <c r="O51" s="5"/>
      <c r="P51" s="5"/>
      <c r="Q51" s="5"/>
      <c r="R51" s="5"/>
      <c r="S51" s="5"/>
      <c r="T51" s="5"/>
    </row>
    <row r="52" spans="2:20" x14ac:dyDescent="0.35">
      <c r="B52" s="12"/>
      <c r="C52" s="5"/>
      <c r="D52" s="5"/>
      <c r="E52" s="5"/>
      <c r="F52" s="5"/>
      <c r="G52" s="5"/>
      <c r="H52" s="5"/>
      <c r="I52" s="5"/>
      <c r="J52" s="5"/>
      <c r="K52" s="5"/>
      <c r="L52" s="5"/>
      <c r="M52" s="5"/>
      <c r="N52" s="5"/>
      <c r="O52" s="5"/>
      <c r="P52" s="5"/>
      <c r="Q52" s="5"/>
      <c r="R52" s="5"/>
      <c r="S52" s="5"/>
      <c r="T52" s="5"/>
    </row>
    <row r="53" spans="2:20" x14ac:dyDescent="0.35">
      <c r="B53" s="12"/>
      <c r="C53" s="5"/>
      <c r="D53" s="5"/>
      <c r="E53" s="5"/>
      <c r="F53" s="5"/>
      <c r="G53" s="5"/>
      <c r="H53" s="5"/>
      <c r="I53" s="5"/>
      <c r="J53" s="5"/>
      <c r="K53" s="5"/>
      <c r="L53" s="5"/>
      <c r="M53" s="5"/>
      <c r="N53" s="5"/>
      <c r="O53" s="5"/>
      <c r="P53" s="5"/>
      <c r="Q53" s="5"/>
      <c r="R53" s="5"/>
      <c r="S53" s="5"/>
      <c r="T53" s="5"/>
    </row>
    <row r="54" spans="2:20" x14ac:dyDescent="0.35">
      <c r="B54" s="12"/>
      <c r="C54" s="5"/>
      <c r="D54" s="5"/>
      <c r="E54" s="5"/>
      <c r="F54" s="5"/>
      <c r="G54" s="5"/>
      <c r="H54" s="5"/>
      <c r="I54" s="5"/>
      <c r="J54" s="5"/>
      <c r="K54" s="5"/>
      <c r="L54" s="5"/>
      <c r="M54" s="5"/>
      <c r="N54" s="5"/>
      <c r="O54" s="5"/>
      <c r="P54" s="5"/>
      <c r="Q54" s="5"/>
      <c r="R54" s="5"/>
      <c r="S54" s="5"/>
      <c r="T54" s="5"/>
    </row>
    <row r="55" spans="2:20" x14ac:dyDescent="0.35">
      <c r="B55" s="12"/>
      <c r="C55" s="5"/>
      <c r="D55" s="5"/>
      <c r="E55" s="5"/>
      <c r="F55" s="5"/>
      <c r="G55" s="5"/>
      <c r="H55" s="5"/>
      <c r="I55" s="5"/>
      <c r="J55" s="5"/>
      <c r="K55" s="5"/>
      <c r="L55" s="5"/>
      <c r="M55" s="5"/>
      <c r="N55" s="5"/>
      <c r="O55" s="5"/>
      <c r="P55" s="5"/>
      <c r="Q55" s="5"/>
      <c r="R55" s="5"/>
      <c r="S55" s="5"/>
      <c r="T55" s="5"/>
    </row>
    <row r="56" spans="2:20" x14ac:dyDescent="0.35">
      <c r="B56" s="12"/>
      <c r="C56" s="5"/>
      <c r="D56" s="5"/>
      <c r="E56" s="5"/>
      <c r="F56" s="5"/>
      <c r="G56" s="5"/>
      <c r="H56" s="5"/>
      <c r="I56" s="5"/>
      <c r="J56" s="5"/>
      <c r="K56" s="5"/>
      <c r="L56" s="5"/>
      <c r="M56" s="5"/>
      <c r="N56" s="5"/>
      <c r="O56" s="5"/>
      <c r="P56" s="5"/>
      <c r="Q56" s="5"/>
      <c r="R56" s="5"/>
      <c r="S56" s="5"/>
      <c r="T56" s="5"/>
    </row>
    <row r="57" spans="2:20" x14ac:dyDescent="0.35">
      <c r="B57" s="12"/>
      <c r="C57" s="5"/>
      <c r="D57" s="5"/>
      <c r="E57" s="5"/>
      <c r="F57" s="5"/>
      <c r="G57" s="5"/>
      <c r="H57" s="5"/>
      <c r="I57" s="5"/>
      <c r="J57" s="5"/>
      <c r="K57" s="5"/>
      <c r="L57" s="5"/>
      <c r="M57" s="5"/>
      <c r="N57" s="5"/>
      <c r="O57" s="5"/>
      <c r="P57" s="5"/>
      <c r="Q57" s="5"/>
      <c r="R57" s="5"/>
      <c r="S57" s="5"/>
      <c r="T57" s="5"/>
    </row>
    <row r="58" spans="2:20" x14ac:dyDescent="0.35">
      <c r="B58" s="12"/>
      <c r="C58" s="5"/>
      <c r="D58" s="5"/>
      <c r="E58" s="5"/>
      <c r="F58" s="5"/>
      <c r="G58" s="5"/>
      <c r="H58" s="5"/>
      <c r="I58" s="5"/>
      <c r="J58" s="5"/>
      <c r="K58" s="5"/>
      <c r="L58" s="5"/>
      <c r="M58" s="5"/>
      <c r="N58" s="5"/>
      <c r="O58" s="5"/>
      <c r="P58" s="5"/>
      <c r="Q58" s="5"/>
      <c r="R58" s="5"/>
      <c r="S58" s="5"/>
      <c r="T58" s="5"/>
    </row>
    <row r="59" spans="2:20" ht="15" thickBot="1" x14ac:dyDescent="0.4">
      <c r="B59" s="13"/>
      <c r="C59" s="87" t="s">
        <v>971</v>
      </c>
      <c r="D59" s="88"/>
      <c r="E59" s="88"/>
      <c r="F59" s="88"/>
      <c r="G59" s="88"/>
      <c r="H59" s="88"/>
      <c r="I59" s="88"/>
      <c r="J59" s="88"/>
      <c r="K59" s="88"/>
      <c r="L59" s="88"/>
      <c r="M59" s="88"/>
      <c r="N59" s="88"/>
      <c r="O59" s="88"/>
      <c r="P59" s="88"/>
      <c r="Q59" s="88"/>
      <c r="R59" s="88"/>
      <c r="S59" s="88"/>
      <c r="T59" s="13"/>
    </row>
    <row r="60" spans="2:20" x14ac:dyDescent="0.35">
      <c r="B60" s="13"/>
      <c r="C60" s="13"/>
      <c r="D60" s="13"/>
      <c r="E60" s="13"/>
      <c r="F60" s="13"/>
      <c r="G60" s="13"/>
      <c r="H60" s="13"/>
      <c r="I60" s="13"/>
      <c r="J60" s="13"/>
      <c r="K60" s="13"/>
      <c r="L60" s="13"/>
      <c r="M60" s="13"/>
      <c r="N60" s="13"/>
      <c r="O60" s="13"/>
      <c r="P60" s="13"/>
      <c r="Q60" s="13"/>
      <c r="R60" s="13"/>
      <c r="S60" s="13"/>
      <c r="T60" s="13"/>
    </row>
    <row r="61" spans="2:20" x14ac:dyDescent="0.35">
      <c r="B61" s="13"/>
      <c r="C61" s="13"/>
      <c r="D61" s="13"/>
      <c r="E61" s="13"/>
      <c r="F61" s="13"/>
      <c r="G61" s="106" t="s">
        <v>966</v>
      </c>
      <c r="H61" s="106"/>
      <c r="I61" s="106"/>
      <c r="J61" s="106"/>
      <c r="K61" s="13"/>
      <c r="L61" s="13"/>
      <c r="M61" s="13"/>
      <c r="N61" s="13"/>
      <c r="O61" s="13"/>
      <c r="P61" s="13"/>
      <c r="Q61" s="13"/>
      <c r="R61" s="13"/>
      <c r="S61" s="13"/>
      <c r="T61" s="13"/>
    </row>
    <row r="62" spans="2:20" x14ac:dyDescent="0.35">
      <c r="B62" s="13"/>
      <c r="C62" s="77" t="s">
        <v>13</v>
      </c>
      <c r="D62" s="77" t="s">
        <v>318</v>
      </c>
      <c r="E62" s="77" t="s">
        <v>3</v>
      </c>
      <c r="F62" s="77" t="s">
        <v>5</v>
      </c>
      <c r="G62" s="77" t="s">
        <v>967</v>
      </c>
      <c r="H62" s="77" t="s">
        <v>968</v>
      </c>
      <c r="I62" s="77" t="s">
        <v>969</v>
      </c>
      <c r="J62" s="77" t="s">
        <v>970</v>
      </c>
      <c r="K62" s="13"/>
      <c r="L62" s="13"/>
      <c r="M62" s="13"/>
      <c r="N62" s="13"/>
      <c r="O62" s="13"/>
      <c r="P62" s="13"/>
      <c r="Q62" s="13"/>
      <c r="R62" s="13"/>
      <c r="S62" s="13"/>
      <c r="T62" s="13"/>
    </row>
    <row r="63" spans="2:20" x14ac:dyDescent="0.35">
      <c r="B63" s="13"/>
      <c r="C63" s="71" t="s">
        <v>10</v>
      </c>
      <c r="D63" s="72">
        <f>+SUM(D64,D68)</f>
        <v>233</v>
      </c>
      <c r="E63" s="73">
        <f>+SUM(E64,E68)</f>
        <v>203</v>
      </c>
      <c r="F63" s="74">
        <f>IFERROR(E63/D63,0)</f>
        <v>0.871244635193133</v>
      </c>
      <c r="G63" s="75">
        <f>+SUM(G64,G68)</f>
        <v>6</v>
      </c>
      <c r="H63" s="74">
        <f t="shared" ref="H63:H74" si="0">IFERROR(G63/D63,0)</f>
        <v>2.575107296137339E-2</v>
      </c>
      <c r="I63" s="73">
        <f>+SUM(I64,I68)</f>
        <v>24</v>
      </c>
      <c r="J63" s="74">
        <f t="shared" ref="J63:J93" si="1">IFERROR(I63/D63,0)</f>
        <v>0.10300429184549356</v>
      </c>
      <c r="K63" s="13"/>
      <c r="L63" s="13"/>
      <c r="M63" s="13"/>
      <c r="N63" s="13"/>
      <c r="O63" s="13"/>
      <c r="P63" s="13"/>
      <c r="Q63" s="13"/>
      <c r="R63" s="13"/>
      <c r="S63" s="13"/>
      <c r="T63" s="13"/>
    </row>
    <row r="64" spans="2:20" x14ac:dyDescent="0.35">
      <c r="B64" s="13"/>
      <c r="C64" s="78" t="s">
        <v>14</v>
      </c>
      <c r="D64" s="79">
        <f>+SUM(D65:D67)</f>
        <v>151</v>
      </c>
      <c r="E64" s="79">
        <f>+SUM(E65:E67)</f>
        <v>128</v>
      </c>
      <c r="F64" s="81">
        <f t="shared" ref="F64:F65" si="2">IFERROR(E64/D64,0)</f>
        <v>0.84768211920529801</v>
      </c>
      <c r="G64" s="82">
        <f>+SUM(G65:G67)</f>
        <v>6</v>
      </c>
      <c r="H64" s="81">
        <f t="shared" si="0"/>
        <v>3.9735099337748346E-2</v>
      </c>
      <c r="I64" s="83">
        <f>+SUM(I65:I67)</f>
        <v>17</v>
      </c>
      <c r="J64" s="81">
        <f t="shared" si="1"/>
        <v>0.11258278145695365</v>
      </c>
      <c r="K64" s="13"/>
      <c r="L64" s="13"/>
      <c r="M64" s="13"/>
      <c r="N64" s="13"/>
      <c r="O64" s="13"/>
      <c r="P64" s="13"/>
      <c r="Q64" s="13"/>
      <c r="R64" s="13"/>
      <c r="S64" s="13"/>
      <c r="T64" s="13"/>
    </row>
    <row r="65" spans="2:20" outlineLevel="1" x14ac:dyDescent="0.35">
      <c r="B65" s="13"/>
      <c r="C65" s="36" t="s">
        <v>17</v>
      </c>
      <c r="D65" s="21">
        <f>+COUNTIFS('2.1. Controlos'!J:J,"BU_LOANTAPE_WORK.OUT_B0200_MAIN_LIABILITIES",'2.1. Controlos'!C:C,"H")</f>
        <v>58</v>
      </c>
      <c r="E65" s="23">
        <f>+COUNTIFS('2.1. Controlos'!J:J,"BU_LOANTAPE_WORK.OUT_B0200_MAIN_LIABILITIES",'2.1. Controlos'!C:C,"H",'2.1. Controlos'!M:M,0)</f>
        <v>52</v>
      </c>
      <c r="F65" s="22">
        <f t="shared" si="2"/>
        <v>0.89655172413793105</v>
      </c>
      <c r="G65" s="24">
        <f>+COUNTIFS('2.1. Controlos'!J:J,"BU_LOANTAPE_WORK.OUT_B0200_MAIN_LIABILITIES",'2.1. Controlos'!C:C,"H",'2.1. Controlos'!M:M,"&gt;0",'2.1. Controlos'!P:P,"&lt;&gt;")</f>
        <v>0</v>
      </c>
      <c r="H65" s="22">
        <f t="shared" si="0"/>
        <v>0</v>
      </c>
      <c r="I65" s="46">
        <f>+COUNTIFS('2.1. Controlos'!J:J,"BU_LOANTAPE_WORK.OUT_B0200_MAIN_LIABILITIES",'2.1. Controlos'!C:C,"H",'2.1. Controlos'!M:M,"&gt;0",'2.1. Controlos'!P:P,"")</f>
        <v>6</v>
      </c>
      <c r="J65" s="22">
        <f t="shared" si="1"/>
        <v>0.10344827586206896</v>
      </c>
      <c r="K65" s="13"/>
      <c r="L65" s="13"/>
      <c r="M65" s="13"/>
      <c r="N65" s="13"/>
      <c r="O65" s="13"/>
      <c r="P65" s="13"/>
      <c r="Q65" s="13"/>
      <c r="R65" s="13"/>
      <c r="S65" s="13"/>
      <c r="T65" s="13"/>
    </row>
    <row r="66" spans="2:20" outlineLevel="1" x14ac:dyDescent="0.35">
      <c r="B66" s="13"/>
      <c r="C66" s="36" t="s">
        <v>16</v>
      </c>
      <c r="D66" s="21">
        <f>+COUNTIFS('2.1. Controlos'!J:J,"BU_LOANTAPE_WORK.OUT_B0200_MAIN_LIABILITIES",'2.1. Controlos'!C:C,"W")</f>
        <v>12</v>
      </c>
      <c r="E66" s="23">
        <f>+COUNTIFS('2.1. Controlos'!J:J,"BU_LOANTAPE_WORK.OUT_B0200_MAIN_LIABILITIES",'2.1. Controlos'!C:C,"W",'2.1. Controlos'!M:M,0)</f>
        <v>10</v>
      </c>
      <c r="F66" s="22">
        <f t="shared" ref="F66:F93" si="3">IFERROR(E66/D66,0)</f>
        <v>0.83333333333333337</v>
      </c>
      <c r="G66" s="24">
        <f>+COUNTIFS('2.1. Controlos'!J:J,"BU_LOANTAPE_WORK.OUT_B0200_MAIN_LIABILITIES",'2.1. Controlos'!C:C,"W",'2.1. Controlos'!M:M,"&gt;0",'2.1. Controlos'!P:P,"&lt;&gt;")</f>
        <v>0</v>
      </c>
      <c r="H66" s="22">
        <f t="shared" si="0"/>
        <v>0</v>
      </c>
      <c r="I66" s="46">
        <f>+COUNTIFS('2.1. Controlos'!J:J,"BU_LOANTAPE_WORK.OUT_B0200_MAIN_LIABILITIES",'2.1. Controlos'!C:C,"W",'2.1. Controlos'!M:M,"&gt;0",'2.1. Controlos'!P:P,"")</f>
        <v>2</v>
      </c>
      <c r="J66" s="22">
        <f t="shared" si="1"/>
        <v>0.16666666666666666</v>
      </c>
      <c r="K66" s="13"/>
      <c r="L66" s="13"/>
      <c r="M66" s="13"/>
      <c r="N66" s="13"/>
      <c r="O66" s="13"/>
      <c r="P66" s="13"/>
      <c r="Q66" s="13"/>
      <c r="R66" s="13"/>
      <c r="S66" s="13"/>
      <c r="T66" s="13"/>
    </row>
    <row r="67" spans="2:20" outlineLevel="1" x14ac:dyDescent="0.35">
      <c r="B67" s="13"/>
      <c r="C67" s="36" t="s">
        <v>319</v>
      </c>
      <c r="D67" s="21">
        <f>+COUNTIFS('2.1. Controlos'!J:J,"BU_LOANTAPE_WORK.OUT_B0200_MAIN_LIABILITIES",'2.1. Controlos'!C:C,"F")</f>
        <v>81</v>
      </c>
      <c r="E67" s="23">
        <f>+COUNTIFS('2.1. Controlos'!J:J,"BU_LOANTAPE_WORK.OUT_B0200_MAIN_LIABILITIES",'2.1. Controlos'!C:C,"F",'2.1. Controlos'!M:M,0)</f>
        <v>66</v>
      </c>
      <c r="F67" s="22">
        <f t="shared" si="3"/>
        <v>0.81481481481481477</v>
      </c>
      <c r="G67" s="24">
        <f>+COUNTIFS('2.1. Controlos'!J:J,"BU_LOANTAPE_WORK.OUT_B0200_MAIN_LIABILITIES",'2.1. Controlos'!C:C,"F",'2.1. Controlos'!M:M,"&gt;0",'2.1. Controlos'!P:P,"&lt;&gt;")</f>
        <v>6</v>
      </c>
      <c r="H67" s="22">
        <f t="shared" si="0"/>
        <v>7.407407407407407E-2</v>
      </c>
      <c r="I67" s="46">
        <f>+COUNTIFS('2.1. Controlos'!J:J,"BU_LOANTAPE_WORK.OUT_B0200_MAIN_LIABILITIES",'2.1. Controlos'!C:C,"F",'2.1. Controlos'!M:M,"&gt;0",'2.1. Controlos'!P:P,"")</f>
        <v>9</v>
      </c>
      <c r="J67" s="22">
        <f t="shared" si="1"/>
        <v>0.1111111111111111</v>
      </c>
      <c r="K67" s="13"/>
      <c r="L67" s="13"/>
      <c r="M67" s="13"/>
      <c r="N67" s="13"/>
      <c r="O67" s="13"/>
      <c r="P67" s="13"/>
      <c r="Q67" s="13"/>
      <c r="R67" s="13"/>
      <c r="S67" s="13"/>
      <c r="T67" s="13"/>
    </row>
    <row r="68" spans="2:20" x14ac:dyDescent="0.35">
      <c r="B68" s="13"/>
      <c r="C68" s="78" t="s">
        <v>15</v>
      </c>
      <c r="D68" s="79">
        <f>+SUM(D69:D72)</f>
        <v>82</v>
      </c>
      <c r="E68" s="80">
        <f t="shared" ref="E68:I68" si="4">+SUM(E69:E72)</f>
        <v>75</v>
      </c>
      <c r="F68" s="81">
        <f t="shared" si="3"/>
        <v>0.91463414634146345</v>
      </c>
      <c r="G68" s="82">
        <f t="shared" si="4"/>
        <v>0</v>
      </c>
      <c r="H68" s="81">
        <f t="shared" si="0"/>
        <v>0</v>
      </c>
      <c r="I68" s="83">
        <f t="shared" si="4"/>
        <v>7</v>
      </c>
      <c r="J68" s="81">
        <f t="shared" si="1"/>
        <v>8.5365853658536592E-2</v>
      </c>
      <c r="K68" s="13"/>
      <c r="L68" s="13"/>
      <c r="M68" s="13"/>
      <c r="N68" s="13"/>
      <c r="O68" s="13"/>
      <c r="P68" s="13"/>
      <c r="Q68" s="13"/>
      <c r="R68" s="13"/>
      <c r="S68" s="13"/>
      <c r="T68" s="13"/>
    </row>
    <row r="69" spans="2:20" outlineLevel="1" x14ac:dyDescent="0.35">
      <c r="B69" s="13"/>
      <c r="C69" s="36" t="s">
        <v>20</v>
      </c>
      <c r="D69" s="21">
        <f>+COUNTIFS('2.1. Controlos'!J:J,"BU_LOANTAPE_WORK.OUT_B0200_MAIN_LIABILITIES",'2.1. Controlos'!H:H,"MISSINGS")</f>
        <v>81</v>
      </c>
      <c r="E69" s="23">
        <f>+COUNTIFS('2.1. Controlos'!J:J,"BU_LOANTAPE_WORK.OUT_B0200_MAIN_LIABILITIES",'2.1. Controlos'!H:H,"MISSINGS",'2.1. Controlos'!M:M,0)</f>
        <v>74</v>
      </c>
      <c r="F69" s="22">
        <f t="shared" si="3"/>
        <v>0.9135802469135802</v>
      </c>
      <c r="G69" s="24">
        <f>+COUNTIFS('2.1. Controlos'!J:J,"BU_LOANTAPE_WORK.OUT_B0200_MAIN_LIABILITIES",'2.1. Controlos'!H:H,"MISSINGS",'2.1. Controlos'!M:M,"&gt;0",'2.1. Controlos'!P:P,"&lt;&gt;")</f>
        <v>0</v>
      </c>
      <c r="H69" s="22">
        <f t="shared" si="0"/>
        <v>0</v>
      </c>
      <c r="I69" s="46">
        <f>+COUNTIFS('2.1. Controlos'!J:J,"BU_LOANTAPE_WORK.OUT_B0200_MAIN_LIABILITIES",'2.1. Controlos'!H:H,"MISSINGS",'2.1. Controlos'!M:M,"&gt;0",'2.1. Controlos'!P:P,"")</f>
        <v>7</v>
      </c>
      <c r="J69" s="22">
        <f t="shared" si="1"/>
        <v>8.6419753086419748E-2</v>
      </c>
      <c r="K69" s="13"/>
      <c r="L69" s="13"/>
      <c r="M69" s="13"/>
      <c r="N69" s="13"/>
      <c r="O69" s="13"/>
      <c r="P69" s="13"/>
      <c r="Q69" s="13"/>
      <c r="R69" s="13"/>
      <c r="S69" s="13"/>
      <c r="T69" s="13"/>
    </row>
    <row r="70" spans="2:20" outlineLevel="1" x14ac:dyDescent="0.35">
      <c r="B70" s="13"/>
      <c r="C70" s="36" t="s">
        <v>21</v>
      </c>
      <c r="D70" s="21"/>
      <c r="E70" s="23"/>
      <c r="F70" s="22">
        <f t="shared" si="3"/>
        <v>0</v>
      </c>
      <c r="G70" s="24"/>
      <c r="H70" s="22">
        <f t="shared" si="0"/>
        <v>0</v>
      </c>
      <c r="I70" s="46"/>
      <c r="J70" s="22">
        <f t="shared" si="1"/>
        <v>0</v>
      </c>
      <c r="K70" s="13"/>
      <c r="L70" s="13"/>
      <c r="M70" s="13"/>
      <c r="N70" s="13"/>
      <c r="O70" s="13"/>
      <c r="P70" s="13"/>
      <c r="Q70" s="13"/>
      <c r="R70" s="13"/>
      <c r="S70" s="13"/>
      <c r="T70" s="13"/>
    </row>
    <row r="71" spans="2:20" outlineLevel="1" x14ac:dyDescent="0.35">
      <c r="B71" s="13"/>
      <c r="C71" s="36" t="s">
        <v>18</v>
      </c>
      <c r="D71" s="21">
        <f>+COUNTIFS('2.1. Controlos'!J:J,"BU_LOANTAPE_WORK.OUT_B0200_MAIN_LIABILITIES",'2.1. Controlos'!H:H,"DUPLICADOS")</f>
        <v>1</v>
      </c>
      <c r="E71" s="23">
        <f>+COUNTIFS('2.1. Controlos'!J:J,"BU_LOANTAPE_WORK.OUT_B0200_MAIN_LIABILITIES",'2.1. Controlos'!H:H,"DUPLICADOS",'2.1. Controlos'!M:M,0)</f>
        <v>1</v>
      </c>
      <c r="F71" s="22">
        <f t="shared" si="3"/>
        <v>1</v>
      </c>
      <c r="G71" s="24">
        <f>+COUNTIFS('2.1. Controlos'!J:J,"BU_LOANTAPE_WORK.OUT_B0200_MAIN_LIABILITIES",'2.1. Controlos'!H:H,"DUPLICADOS",'2.1. Controlos'!M:M,"&gt;0",'2.1. Controlos'!P:P,"&lt;&gt;")</f>
        <v>0</v>
      </c>
      <c r="H71" s="22">
        <f t="shared" si="0"/>
        <v>0</v>
      </c>
      <c r="I71" s="46">
        <f>+COUNTIFS('2.1. Controlos'!J:J,"BU_LOANTAPE_WORK.OUT_B0200_MAIN_LIABILITIES",'2.1. Controlos'!H:H,"DUPLICADOS",'2.1. Controlos'!M:M,"&gt;0",'2.1. Controlos'!P:P,"")</f>
        <v>0</v>
      </c>
      <c r="J71" s="22">
        <f t="shared" si="1"/>
        <v>0</v>
      </c>
      <c r="K71" s="13"/>
      <c r="L71" s="13"/>
      <c r="M71" s="13"/>
      <c r="N71" s="13"/>
      <c r="O71" s="13"/>
      <c r="P71" s="13"/>
      <c r="Q71" s="13"/>
      <c r="R71" s="13"/>
      <c r="S71" s="13"/>
      <c r="T71" s="13"/>
    </row>
    <row r="72" spans="2:20" outlineLevel="1" x14ac:dyDescent="0.35">
      <c r="B72" s="13"/>
      <c r="C72" s="36" t="s">
        <v>19</v>
      </c>
      <c r="D72" s="21"/>
      <c r="E72" s="23"/>
      <c r="F72" s="22">
        <f t="shared" si="3"/>
        <v>0</v>
      </c>
      <c r="G72" s="24"/>
      <c r="H72" s="22">
        <f t="shared" si="0"/>
        <v>0</v>
      </c>
      <c r="I72" s="46"/>
      <c r="J72" s="22">
        <f t="shared" si="1"/>
        <v>0</v>
      </c>
      <c r="K72" s="13"/>
      <c r="L72" s="13"/>
      <c r="M72" s="13"/>
      <c r="N72" s="13"/>
      <c r="O72" s="13"/>
      <c r="P72" s="13"/>
      <c r="Q72" s="13"/>
      <c r="R72" s="13"/>
      <c r="S72" s="13"/>
      <c r="T72" s="13"/>
    </row>
    <row r="73" spans="2:20" x14ac:dyDescent="0.35">
      <c r="B73" s="13"/>
      <c r="C73" s="71" t="s">
        <v>11</v>
      </c>
      <c r="D73" s="72">
        <f>+SUM(D74,D78)</f>
        <v>36</v>
      </c>
      <c r="E73" s="73">
        <f>+SUM(E74,E78)</f>
        <v>32</v>
      </c>
      <c r="F73" s="74">
        <f t="shared" si="3"/>
        <v>0.88888888888888884</v>
      </c>
      <c r="G73" s="75">
        <f>+SUM(G74,G78)</f>
        <v>2</v>
      </c>
      <c r="H73" s="74">
        <f t="shared" si="0"/>
        <v>5.5555555555555552E-2</v>
      </c>
      <c r="I73" s="73">
        <f>+SUM(I74,I78)</f>
        <v>2</v>
      </c>
      <c r="J73" s="74">
        <f t="shared" si="1"/>
        <v>5.5555555555555552E-2</v>
      </c>
      <c r="K73" s="13"/>
      <c r="L73" s="13"/>
      <c r="M73" s="13"/>
      <c r="N73" s="13"/>
      <c r="O73" s="13"/>
      <c r="P73" s="13"/>
      <c r="Q73" s="13"/>
      <c r="R73" s="13"/>
      <c r="S73" s="13"/>
      <c r="T73" s="13"/>
    </row>
    <row r="74" spans="2:20" x14ac:dyDescent="0.35">
      <c r="B74" s="13"/>
      <c r="C74" s="78" t="s">
        <v>14</v>
      </c>
      <c r="D74" s="79">
        <f>+SUM(D75:D77)</f>
        <v>20</v>
      </c>
      <c r="E74" s="79">
        <f>+SUM(E75:E77)</f>
        <v>17</v>
      </c>
      <c r="F74" s="81">
        <f t="shared" si="3"/>
        <v>0.85</v>
      </c>
      <c r="G74" s="82">
        <f>+SUM(G75:G77)</f>
        <v>2</v>
      </c>
      <c r="H74" s="81">
        <f t="shared" si="0"/>
        <v>0.1</v>
      </c>
      <c r="I74" s="83">
        <f>+SUM(I75:I77)</f>
        <v>1</v>
      </c>
      <c r="J74" s="81">
        <f t="shared" si="1"/>
        <v>0.05</v>
      </c>
      <c r="K74" s="13"/>
      <c r="L74" s="13"/>
      <c r="M74" s="13"/>
      <c r="N74" s="13"/>
      <c r="O74" s="13"/>
      <c r="P74" s="13"/>
      <c r="Q74" s="13"/>
      <c r="R74" s="13"/>
      <c r="S74" s="13"/>
      <c r="T74" s="13"/>
    </row>
    <row r="75" spans="2:20" outlineLevel="1" x14ac:dyDescent="0.35">
      <c r="B75" s="13"/>
      <c r="C75" s="36" t="s">
        <v>17</v>
      </c>
      <c r="D75" s="21">
        <f>+COUNTIFS('2.1. Controlos'!J:J,"BU_LOANTAPE_WORK.OUT_B0500_GUARANTEES",'2.1. Controlos'!C:C,"H")</f>
        <v>5</v>
      </c>
      <c r="E75" s="23">
        <f>+COUNTIFS('2.1. Controlos'!J:J,"BU_LOANTAPE_WORK.OUT_B0500_GUARANTEES",'2.1. Controlos'!C:C,"H",'2.1. Controlos'!M:M,0)</f>
        <v>4</v>
      </c>
      <c r="F75" s="22">
        <f t="shared" si="3"/>
        <v>0.8</v>
      </c>
      <c r="G75" s="24">
        <f>+COUNTIFS('2.1. Controlos'!J:J,"BU_LOANTAPE_WORK.OUT_B0500_GUARANTEES",'2.1. Controlos'!C:C,"H",'2.1. Controlos'!M:M,"&gt;0",'2.1. Controlos'!P:P,"&lt;&gt;")</f>
        <v>0</v>
      </c>
      <c r="H75" s="22">
        <f t="shared" ref="H75:H77" si="5">IFERROR(G75/D75,0)</f>
        <v>0</v>
      </c>
      <c r="I75" s="46">
        <f>+COUNTIFS('2.1. Controlos'!J:J,"BU_LOANTAPE_WORK.OUT_B0500_GUARANTEES",'2.1. Controlos'!C:C,"H",'2.1. Controlos'!M:M,"&gt;0",'2.1. Controlos'!P:P,"")</f>
        <v>1</v>
      </c>
      <c r="J75" s="22">
        <f t="shared" ref="J75:J77" si="6">IFERROR(I75/D75,0)</f>
        <v>0.2</v>
      </c>
      <c r="K75" s="13"/>
      <c r="L75" s="13"/>
      <c r="M75" s="13"/>
      <c r="N75" s="13"/>
      <c r="O75" s="13"/>
      <c r="P75" s="13"/>
      <c r="Q75" s="13"/>
      <c r="R75" s="13"/>
      <c r="S75" s="13"/>
      <c r="T75" s="13"/>
    </row>
    <row r="76" spans="2:20" outlineLevel="1" x14ac:dyDescent="0.35">
      <c r="B76" s="13"/>
      <c r="C76" s="37" t="s">
        <v>16</v>
      </c>
      <c r="D76" s="21">
        <f>+COUNTIFS('2.1. Controlos'!J:J,"BU_LOANTAPE_WORK.OUT_B0500_GUARANTEES",'2.1. Controlos'!C:C,"W")</f>
        <v>0</v>
      </c>
      <c r="E76" s="23">
        <f>+COUNTIFS('2.1. Controlos'!J:J,"BU_LOANTAPE_WORK.OUT_B0500_GUARANTEES",'2.1. Controlos'!C:C,"W",'2.1. Controlos'!M:M,0)</f>
        <v>0</v>
      </c>
      <c r="F76" s="22">
        <f t="shared" ref="F76:F77" si="7">IFERROR(E76/D76,0)</f>
        <v>0</v>
      </c>
      <c r="G76" s="24">
        <f>+COUNTIFS('2.1. Controlos'!J:J,"BU_LOANTAPE_WORK.OUT_B0500_GUARANTEES",'2.1. Controlos'!C:C,"W",'2.1. Controlos'!M:M,"&gt;0",'2.1. Controlos'!P:P,"&lt;&gt;")</f>
        <v>0</v>
      </c>
      <c r="H76" s="22">
        <f t="shared" si="5"/>
        <v>0</v>
      </c>
      <c r="I76" s="46">
        <f>+COUNTIFS('2.1. Controlos'!J:J,"BU_LOANTAPE_WORK.OUT_B0500_GUARANTEES",'2.1. Controlos'!C:C,"W",'2.1. Controlos'!M:M,"&gt;0",'2.1. Controlos'!P:P,"")</f>
        <v>0</v>
      </c>
      <c r="J76" s="22">
        <f t="shared" si="6"/>
        <v>0</v>
      </c>
      <c r="K76" s="13"/>
      <c r="L76" s="13"/>
      <c r="M76" s="16"/>
      <c r="N76" s="17"/>
      <c r="O76" s="17"/>
      <c r="P76" s="17"/>
      <c r="Q76" s="17"/>
      <c r="R76" s="17"/>
      <c r="S76" s="17"/>
      <c r="T76" s="17"/>
    </row>
    <row r="77" spans="2:20" outlineLevel="1" x14ac:dyDescent="0.35">
      <c r="B77" s="13"/>
      <c r="C77" s="37" t="s">
        <v>319</v>
      </c>
      <c r="D77" s="21">
        <f>+COUNTIFS('2.1. Controlos'!J:J,"BU_LOANTAPE_WORK.OUT_B0500_GUARANTEES",'2.1. Controlos'!C:C,"F")</f>
        <v>15</v>
      </c>
      <c r="E77" s="23">
        <f>+COUNTIFS('2.1. Controlos'!J:J,"BU_LOANTAPE_WORK.OUT_B0500_GUARANTEES",'2.1. Controlos'!C:C,"F",'2.1. Controlos'!M:M,0)</f>
        <v>13</v>
      </c>
      <c r="F77" s="22">
        <f t="shared" si="7"/>
        <v>0.8666666666666667</v>
      </c>
      <c r="G77" s="24">
        <f>+COUNTIFS('2.1. Controlos'!J:J,"BU_LOANTAPE_WORK.OUT_B0500_GUARANTEES",'2.1. Controlos'!C:C,"F",'2.1. Controlos'!M:M,"&gt;0",'2.1. Controlos'!P:P,"&lt;&gt;")</f>
        <v>2</v>
      </c>
      <c r="H77" s="22">
        <f t="shared" si="5"/>
        <v>0.13333333333333333</v>
      </c>
      <c r="I77" s="46">
        <f>+COUNTIFS('2.1. Controlos'!J:J,"BU_LOANTAPE_WORK.OUT_B0500_GUARANTEES",'2.1. Controlos'!C:C,"F",'2.1. Controlos'!M:M,"&gt;0",'2.1. Controlos'!P:P,"")</f>
        <v>0</v>
      </c>
      <c r="J77" s="22">
        <f t="shared" si="6"/>
        <v>0</v>
      </c>
      <c r="K77" s="13"/>
      <c r="L77" s="13"/>
      <c r="M77" s="16"/>
      <c r="N77" s="17"/>
      <c r="O77" s="17"/>
      <c r="P77" s="17"/>
      <c r="Q77" s="17"/>
      <c r="R77" s="17"/>
      <c r="S77" s="17"/>
      <c r="T77" s="17"/>
    </row>
    <row r="78" spans="2:20" x14ac:dyDescent="0.35">
      <c r="B78" s="13"/>
      <c r="C78" s="78" t="s">
        <v>15</v>
      </c>
      <c r="D78" s="79">
        <f t="shared" ref="D78:I78" si="8">+SUM(D79:D82)</f>
        <v>16</v>
      </c>
      <c r="E78" s="80">
        <f t="shared" si="8"/>
        <v>15</v>
      </c>
      <c r="F78" s="81">
        <f t="shared" si="3"/>
        <v>0.9375</v>
      </c>
      <c r="G78" s="82">
        <f t="shared" si="8"/>
        <v>0</v>
      </c>
      <c r="H78" s="81">
        <f t="shared" ref="H78:H93" si="9">IFERROR(G78/D78,0)</f>
        <v>0</v>
      </c>
      <c r="I78" s="83">
        <f t="shared" si="8"/>
        <v>1</v>
      </c>
      <c r="J78" s="81">
        <f t="shared" si="1"/>
        <v>6.25E-2</v>
      </c>
      <c r="K78" s="13"/>
      <c r="L78" s="13"/>
      <c r="M78" s="16"/>
      <c r="N78" s="17"/>
      <c r="O78" s="17"/>
      <c r="P78" s="17"/>
      <c r="Q78" s="17"/>
      <c r="R78" s="17"/>
      <c r="S78" s="17"/>
      <c r="T78" s="17"/>
    </row>
    <row r="79" spans="2:20" outlineLevel="1" x14ac:dyDescent="0.35">
      <c r="B79" s="13"/>
      <c r="C79" s="36" t="s">
        <v>20</v>
      </c>
      <c r="D79" s="21">
        <f>+COUNTIFS('2.1. Controlos'!J:J,"BU_LOANTAPE_WORK.OUT_B0500_GUARANTEES",'2.1. Controlos'!H:H,"MISSINGS")</f>
        <v>15</v>
      </c>
      <c r="E79" s="23">
        <f>+COUNTIFS('2.1. Controlos'!J:J,"BU_LOANTAPE_WORK.OUT_B0500_GUARANTEES",'2.1. Controlos'!H:H,"MISSINGS",'2.1. Controlos'!M:M,0)</f>
        <v>14</v>
      </c>
      <c r="F79" s="22">
        <f t="shared" ref="F79:F82" si="10">IFERROR(E79/D79,0)</f>
        <v>0.93333333333333335</v>
      </c>
      <c r="G79" s="24">
        <f>+COUNTIFS('2.1. Controlos'!J:J,"BU_LOANTAPE_WORK.OUT_B0500_GUARANTEES",'2.1. Controlos'!H:H,"MISSINGS",'2.1. Controlos'!M:M,"&gt;0",'2.1. Controlos'!P:P,"&lt;&gt;")</f>
        <v>0</v>
      </c>
      <c r="H79" s="22">
        <f t="shared" si="9"/>
        <v>0</v>
      </c>
      <c r="I79" s="46">
        <f>+COUNTIFS('2.1. Controlos'!J:J,"BU_LOANTAPE_WORK.OUT_B0500_GUARANTEES",'2.1. Controlos'!H:H,"MISSINGS",'2.1. Controlos'!M:M,"&gt;0",'2.1. Controlos'!P:P,"")</f>
        <v>1</v>
      </c>
      <c r="J79" s="22">
        <f t="shared" ref="J79:J82" si="11">IFERROR(I79/D79,0)</f>
        <v>6.6666666666666666E-2</v>
      </c>
      <c r="K79" s="13"/>
      <c r="L79" s="13"/>
      <c r="M79" s="16"/>
      <c r="N79" s="17"/>
      <c r="O79" s="17"/>
      <c r="P79" s="17"/>
      <c r="Q79" s="17"/>
      <c r="R79" s="17"/>
      <c r="S79" s="17"/>
      <c r="T79" s="17"/>
    </row>
    <row r="80" spans="2:20" outlineLevel="1" x14ac:dyDescent="0.35">
      <c r="B80" s="13"/>
      <c r="C80" s="36" t="s">
        <v>21</v>
      </c>
      <c r="D80" s="21"/>
      <c r="E80" s="23"/>
      <c r="F80" s="22">
        <f t="shared" si="10"/>
        <v>0</v>
      </c>
      <c r="G80" s="24"/>
      <c r="H80" s="22">
        <f t="shared" si="9"/>
        <v>0</v>
      </c>
      <c r="I80" s="46"/>
      <c r="J80" s="22">
        <f t="shared" si="11"/>
        <v>0</v>
      </c>
      <c r="K80" s="13"/>
      <c r="L80" s="13"/>
      <c r="M80" s="16"/>
      <c r="N80" s="17"/>
      <c r="O80" s="17"/>
      <c r="P80" s="17"/>
      <c r="Q80" s="17"/>
      <c r="R80" s="17"/>
      <c r="S80" s="17"/>
      <c r="T80" s="17"/>
    </row>
    <row r="81" spans="2:20" outlineLevel="1" x14ac:dyDescent="0.35">
      <c r="B81" s="13"/>
      <c r="C81" s="36" t="s">
        <v>18</v>
      </c>
      <c r="D81" s="21">
        <f>+COUNTIFS('2.1. Controlos'!J:J,"BU_LOANTAPE_WORK.OUT_B0500_GUARANTEES",'2.1. Controlos'!H:H,"DUPLICADOS")</f>
        <v>1</v>
      </c>
      <c r="E81" s="23">
        <f>+COUNTIFS('2.1. Controlos'!J:J,"BU_LOANTAPE_WORK.OUT_B0500_GUARANTEES",'2.1. Controlos'!H:H,"DUPLICADOS",'2.1. Controlos'!M:M,0)</f>
        <v>1</v>
      </c>
      <c r="F81" s="22">
        <f t="shared" si="10"/>
        <v>1</v>
      </c>
      <c r="G81" s="24">
        <f>+COUNTIFS('2.1. Controlos'!J:J,"BU_LOANTAPE_WORK.OUT_B0500_GUARANTEES",'2.1. Controlos'!H:H,"DUPLICADOS",'2.1. Controlos'!M:M,"&gt;0",'2.1. Controlos'!P:P,"&lt;&gt;")</f>
        <v>0</v>
      </c>
      <c r="H81" s="22">
        <f t="shared" si="9"/>
        <v>0</v>
      </c>
      <c r="I81" s="46">
        <f>+COUNTIFS('2.1. Controlos'!J:J,"BU_LOANTAPE_WORK.OUT_B0500_GUARANTEES",'2.1. Controlos'!H:H,"DUPLICADOS",'2.1. Controlos'!M:M,"&gt;0",'2.1. Controlos'!P:P,"")</f>
        <v>0</v>
      </c>
      <c r="J81" s="22">
        <f t="shared" si="11"/>
        <v>0</v>
      </c>
      <c r="K81" s="13"/>
      <c r="L81" s="13"/>
      <c r="M81" s="16"/>
      <c r="N81" s="17"/>
      <c r="O81" s="17"/>
      <c r="P81" s="17"/>
      <c r="Q81" s="17"/>
      <c r="R81" s="17"/>
      <c r="S81" s="17"/>
      <c r="T81" s="17"/>
    </row>
    <row r="82" spans="2:20" outlineLevel="1" x14ac:dyDescent="0.35">
      <c r="B82" s="13"/>
      <c r="C82" s="36" t="s">
        <v>19</v>
      </c>
      <c r="D82" s="21"/>
      <c r="E82" s="23"/>
      <c r="F82" s="22">
        <f t="shared" si="10"/>
        <v>0</v>
      </c>
      <c r="G82" s="24"/>
      <c r="H82" s="22">
        <f t="shared" si="9"/>
        <v>0</v>
      </c>
      <c r="I82" s="46"/>
      <c r="J82" s="22">
        <f t="shared" si="11"/>
        <v>0</v>
      </c>
      <c r="K82" s="13"/>
      <c r="L82" s="13"/>
      <c r="M82" s="16"/>
      <c r="N82" s="17"/>
      <c r="O82" s="17"/>
      <c r="P82" s="17"/>
      <c r="Q82" s="17"/>
      <c r="R82" s="17"/>
      <c r="S82" s="17"/>
      <c r="T82" s="17"/>
    </row>
    <row r="83" spans="2:20" x14ac:dyDescent="0.35">
      <c r="B83" s="13"/>
      <c r="C83" s="76" t="s">
        <v>12</v>
      </c>
      <c r="D83" s="72">
        <f>+SUM(D84,D88)</f>
        <v>27</v>
      </c>
      <c r="E83" s="73">
        <f>+SUM(E84,E88)</f>
        <v>20</v>
      </c>
      <c r="F83" s="74">
        <f t="shared" si="3"/>
        <v>0.7407407407407407</v>
      </c>
      <c r="G83" s="75">
        <f>+SUM(G84,G88)</f>
        <v>2</v>
      </c>
      <c r="H83" s="74">
        <f t="shared" si="9"/>
        <v>7.407407407407407E-2</v>
      </c>
      <c r="I83" s="73">
        <f>+SUM(I84,I88)</f>
        <v>5</v>
      </c>
      <c r="J83" s="74">
        <f t="shared" si="1"/>
        <v>0.18518518518518517</v>
      </c>
      <c r="K83" s="13"/>
      <c r="L83" s="13"/>
      <c r="M83" s="16"/>
      <c r="N83" s="17"/>
      <c r="O83" s="17"/>
      <c r="P83" s="17"/>
      <c r="Q83" s="17"/>
      <c r="R83" s="17"/>
      <c r="S83" s="17"/>
      <c r="T83" s="17"/>
    </row>
    <row r="84" spans="2:20" x14ac:dyDescent="0.35">
      <c r="B84" s="13"/>
      <c r="C84" s="78" t="s">
        <v>14</v>
      </c>
      <c r="D84" s="79">
        <f>+SUM(D85:D87)</f>
        <v>15</v>
      </c>
      <c r="E84" s="80">
        <f>+SUM(E85:E87)</f>
        <v>11</v>
      </c>
      <c r="F84" s="81">
        <f t="shared" si="3"/>
        <v>0.73333333333333328</v>
      </c>
      <c r="G84" s="82">
        <f>+SUM(G85:G87)</f>
        <v>2</v>
      </c>
      <c r="H84" s="81">
        <f t="shared" si="9"/>
        <v>0.13333333333333333</v>
      </c>
      <c r="I84" s="83">
        <f>+SUM(I85:I87)</f>
        <v>2</v>
      </c>
      <c r="J84" s="81">
        <f t="shared" si="1"/>
        <v>0.13333333333333333</v>
      </c>
      <c r="K84" s="13"/>
      <c r="L84" s="13"/>
      <c r="M84" s="16"/>
      <c r="N84" s="17"/>
      <c r="O84" s="17"/>
      <c r="P84" s="17"/>
      <c r="Q84" s="17"/>
      <c r="R84" s="17"/>
      <c r="S84" s="17"/>
      <c r="T84" s="17"/>
    </row>
    <row r="85" spans="2:20" outlineLevel="1" x14ac:dyDescent="0.35">
      <c r="B85" s="13"/>
      <c r="C85" s="36" t="s">
        <v>17</v>
      </c>
      <c r="D85" s="21">
        <f>+COUNTIFS('2.1. Controlos'!J:J,"BU_LOANTAPE_WORK.OUT_B9000_COUNTERPARTIES",'2.1. Controlos'!C:C,"H")</f>
        <v>4</v>
      </c>
      <c r="E85" s="23">
        <f>+COUNTIFS('2.1. Controlos'!J:J,"BU_LOANTAPE_WORK.OUT_B9000_COUNTERPARTIES",'2.1. Controlos'!C:C,"H",'2.1. Controlos'!M:M,0)</f>
        <v>2</v>
      </c>
      <c r="F85" s="22">
        <f t="shared" si="3"/>
        <v>0.5</v>
      </c>
      <c r="G85" s="24">
        <f>+COUNTIFS('2.1. Controlos'!J:J,"BU_LOANTAPE_WORK.OUT_B9000_COUNTERPARTIES",'2.1. Controlos'!C:C,"H",'2.1. Controlos'!M:M,"&gt;0",'2.1. Controlos'!P:P,"&lt;&gt;")</f>
        <v>1</v>
      </c>
      <c r="H85" s="22">
        <f t="shared" si="9"/>
        <v>0.25</v>
      </c>
      <c r="I85" s="46">
        <f>+COUNTIFS('2.1. Controlos'!J:J,"BU_LOANTAPE_WORK.OUT_B9000_COUNTERPARTIES",'2.1. Controlos'!C:C,"H",'2.1. Controlos'!M:M,"&gt;0",'2.1. Controlos'!P:P,"")</f>
        <v>1</v>
      </c>
      <c r="J85" s="22">
        <f t="shared" ref="J85:J87" si="12">IFERROR(I85/D85,0)</f>
        <v>0.25</v>
      </c>
      <c r="K85" s="13"/>
      <c r="L85" s="13"/>
      <c r="M85" s="16"/>
      <c r="N85" s="17"/>
      <c r="O85" s="17"/>
      <c r="P85" s="17"/>
      <c r="Q85" s="17"/>
      <c r="R85" s="17"/>
      <c r="S85" s="17"/>
      <c r="T85" s="17"/>
    </row>
    <row r="86" spans="2:20" outlineLevel="1" x14ac:dyDescent="0.35">
      <c r="B86" s="13"/>
      <c r="C86" s="37" t="s">
        <v>16</v>
      </c>
      <c r="D86" s="21">
        <f>+COUNTIFS('2.1. Controlos'!J:J,"BU_LOANTAPE_WORK.OUT_B9000_COUNTERPARTIES",'2.1. Controlos'!C:C,"W")</f>
        <v>0</v>
      </c>
      <c r="E86" s="23">
        <f>+COUNTIFS('2.1. Controlos'!J:J,"BU_LOANTAPE_WORK.OUT_B9000_COUNTERPARTIES",'2.1. Controlos'!C:C,"W",'2.1. Controlos'!M:M,0)</f>
        <v>0</v>
      </c>
      <c r="F86" s="22">
        <f t="shared" ref="F86:F87" si="13">IFERROR(E86/D86,0)</f>
        <v>0</v>
      </c>
      <c r="G86" s="24">
        <f>+COUNTIFS('2.1. Controlos'!J:J,"BU_LOANTAPE_WORK.OUT_B9000_COUNTERPARTIES",'2.1. Controlos'!C:C,"W",'2.1. Controlos'!M:M,"&gt;0",'2.1. Controlos'!P:P,"&lt;&gt;")</f>
        <v>0</v>
      </c>
      <c r="H86" s="22">
        <f t="shared" si="9"/>
        <v>0</v>
      </c>
      <c r="I86" s="46">
        <f>+COUNTIFS('2.1. Controlos'!J:J,"BU_LOANTAPE_WORK.OUT_B9000_COUNTERPARTIES",'2.1. Controlos'!C:C,"W",'2.1. Controlos'!M:M,"&gt;0",'2.1. Controlos'!P:P,"")</f>
        <v>0</v>
      </c>
      <c r="J86" s="22">
        <f t="shared" si="12"/>
        <v>0</v>
      </c>
      <c r="K86" s="13"/>
      <c r="L86" s="13"/>
      <c r="M86" s="16"/>
      <c r="N86" s="17"/>
      <c r="O86" s="17"/>
      <c r="P86" s="17"/>
      <c r="Q86" s="17"/>
      <c r="R86" s="17"/>
      <c r="S86" s="17"/>
      <c r="T86" s="17"/>
    </row>
    <row r="87" spans="2:20" outlineLevel="1" x14ac:dyDescent="0.35">
      <c r="B87" s="13"/>
      <c r="C87" s="37" t="s">
        <v>319</v>
      </c>
      <c r="D87" s="21">
        <f>+COUNTIFS('2.1. Controlos'!J:J,"BU_LOANTAPE_WORK.OUT_B9000_COUNTERPARTIES",'2.1. Controlos'!C:C,"F")</f>
        <v>11</v>
      </c>
      <c r="E87" s="23">
        <f>+COUNTIFS('2.1. Controlos'!J:J,"BU_LOANTAPE_WORK.OUT_B9000_COUNTERPARTIES",'2.1. Controlos'!C:C,"F",'2.1. Controlos'!M:M,0)</f>
        <v>9</v>
      </c>
      <c r="F87" s="22">
        <f t="shared" si="13"/>
        <v>0.81818181818181823</v>
      </c>
      <c r="G87" s="24">
        <f>+COUNTIFS('2.1. Controlos'!J:J,"BU_LOANTAPE_WORK.OUT_B9000_COUNTERPARTIES",'2.1. Controlos'!C:C,"F",'2.1. Controlos'!M:M,"&gt;0",'2.1. Controlos'!P:P,"&lt;&gt;")</f>
        <v>1</v>
      </c>
      <c r="H87" s="22">
        <f t="shared" si="9"/>
        <v>9.0909090909090912E-2</v>
      </c>
      <c r="I87" s="46">
        <f>+COUNTIFS('2.1. Controlos'!J:J,"BU_LOANTAPE_WORK.OUT_B9000_COUNTERPARTIES",'2.1. Controlos'!C:C,"F",'2.1. Controlos'!M:M,"&gt;0",'2.1. Controlos'!P:P,"")</f>
        <v>1</v>
      </c>
      <c r="J87" s="22">
        <f t="shared" si="12"/>
        <v>9.0909090909090912E-2</v>
      </c>
      <c r="K87" s="13"/>
      <c r="L87" s="13"/>
      <c r="M87" s="16"/>
      <c r="N87" s="17"/>
      <c r="O87" s="17"/>
      <c r="P87" s="17"/>
      <c r="Q87" s="17"/>
      <c r="R87" s="17"/>
      <c r="S87" s="17"/>
      <c r="T87" s="17"/>
    </row>
    <row r="88" spans="2:20" x14ac:dyDescent="0.35">
      <c r="B88" s="13"/>
      <c r="C88" s="78" t="s">
        <v>15</v>
      </c>
      <c r="D88" s="79">
        <f t="shared" ref="D88:I88" si="14">+SUM(D89:D92)</f>
        <v>12</v>
      </c>
      <c r="E88" s="80">
        <f t="shared" si="14"/>
        <v>9</v>
      </c>
      <c r="F88" s="81">
        <f t="shared" si="3"/>
        <v>0.75</v>
      </c>
      <c r="G88" s="82">
        <f t="shared" si="14"/>
        <v>0</v>
      </c>
      <c r="H88" s="81">
        <f t="shared" si="9"/>
        <v>0</v>
      </c>
      <c r="I88" s="83">
        <f t="shared" si="14"/>
        <v>3</v>
      </c>
      <c r="J88" s="81">
        <f t="shared" si="1"/>
        <v>0.25</v>
      </c>
      <c r="K88" s="13"/>
      <c r="L88" s="13"/>
      <c r="M88" s="16"/>
      <c r="N88" s="17"/>
      <c r="O88" s="17"/>
      <c r="P88" s="17"/>
      <c r="Q88" s="17"/>
      <c r="R88" s="17"/>
      <c r="S88" s="17"/>
      <c r="T88" s="17"/>
    </row>
    <row r="89" spans="2:20" outlineLevel="1" x14ac:dyDescent="0.35">
      <c r="B89" s="13"/>
      <c r="C89" s="36" t="s">
        <v>20</v>
      </c>
      <c r="D89" s="21">
        <f>+COUNTIFS('2.1. Controlos'!J:J,"BU_LOANTAPE_WORK.OUT_B9000_COUNTERPARTIES",'2.1. Controlos'!H:H,"MISSINGS")</f>
        <v>11</v>
      </c>
      <c r="E89" s="23">
        <f>+COUNTIFS('2.1. Controlos'!J:J,"BU_LOANTAPE_WORK.OUT_B9000_COUNTERPARTIES",'2.1. Controlos'!H:H,"MISSINGS",'2.1. Controlos'!M:M,0)</f>
        <v>8</v>
      </c>
      <c r="F89" s="22">
        <f t="shared" ref="F89:F92" si="15">IFERROR(E89/D89,0)</f>
        <v>0.72727272727272729</v>
      </c>
      <c r="G89" s="24">
        <f>+COUNTIFS('2.1. Controlos'!J:J,"BU_LOANTAPE_WORK.OUT_B9000_COUNTERPARTIES",'2.1. Controlos'!H:H,"MISSINGS",'2.1. Controlos'!M:M,"&gt;0",'2.1. Controlos'!P:P,"&lt;&gt;")</f>
        <v>0</v>
      </c>
      <c r="H89" s="22">
        <f t="shared" si="9"/>
        <v>0</v>
      </c>
      <c r="I89" s="46">
        <f>+COUNTIFS('2.1. Controlos'!J:J,"BU_LOANTAPE_WORK.OUT_B9000_COUNTERPARTIES",'2.1. Controlos'!H:H,"MISSINGS",'2.1. Controlos'!M:M,"&gt;0",'2.1. Controlos'!P:P,"")</f>
        <v>3</v>
      </c>
      <c r="J89" s="22">
        <f t="shared" ref="J89:J92" si="16">IFERROR(I89/D89,0)</f>
        <v>0.27272727272727271</v>
      </c>
      <c r="K89" s="13"/>
      <c r="L89" s="13"/>
      <c r="M89" s="16"/>
      <c r="N89" s="17"/>
      <c r="O89" s="17"/>
      <c r="P89" s="17"/>
      <c r="Q89" s="17"/>
      <c r="R89" s="17"/>
      <c r="S89" s="17"/>
      <c r="T89" s="17"/>
    </row>
    <row r="90" spans="2:20" outlineLevel="1" x14ac:dyDescent="0.35">
      <c r="B90" s="13"/>
      <c r="C90" s="36" t="s">
        <v>21</v>
      </c>
      <c r="D90" s="21"/>
      <c r="E90" s="23"/>
      <c r="F90" s="22">
        <f t="shared" si="15"/>
        <v>0</v>
      </c>
      <c r="G90" s="24"/>
      <c r="H90" s="22">
        <f t="shared" si="9"/>
        <v>0</v>
      </c>
      <c r="I90" s="46"/>
      <c r="J90" s="22">
        <f t="shared" si="16"/>
        <v>0</v>
      </c>
      <c r="K90" s="13"/>
      <c r="L90" s="13"/>
      <c r="M90" s="16"/>
      <c r="N90" s="17"/>
      <c r="O90" s="17"/>
      <c r="P90" s="17"/>
      <c r="Q90" s="17"/>
      <c r="R90" s="17"/>
      <c r="S90" s="17"/>
      <c r="T90" s="17"/>
    </row>
    <row r="91" spans="2:20" outlineLevel="1" x14ac:dyDescent="0.35">
      <c r="B91" s="13"/>
      <c r="C91" s="36" t="s">
        <v>18</v>
      </c>
      <c r="D91" s="21">
        <f>+COUNTIFS('2.1. Controlos'!J:J,"BU_LOANTAPE_WORK.OUT_B9000_COUNTERPARTIES",'2.1. Controlos'!H:H,"DUPLICADOS")</f>
        <v>1</v>
      </c>
      <c r="E91" s="23">
        <f>+COUNTIFS('2.1. Controlos'!J:J,"BU_LOANTAPE_WORK.OUT_B9000_COUNTERPARTIES",'2.1. Controlos'!H:H,"DUPLICADOS",'2.1. Controlos'!M:M,0)</f>
        <v>1</v>
      </c>
      <c r="F91" s="22">
        <f t="shared" si="15"/>
        <v>1</v>
      </c>
      <c r="G91" s="24">
        <f>+COUNTIFS('2.1. Controlos'!J:J,"BU_LOANTAPE_WORK.OUT_B9000_COUNTERPARTIES",'2.1. Controlos'!H:H,"DUPLICADOS",'2.1. Controlos'!M:M,"&gt;0",'2.1. Controlos'!P:P,"&lt;&gt;")</f>
        <v>0</v>
      </c>
      <c r="H91" s="22">
        <f t="shared" si="9"/>
        <v>0</v>
      </c>
      <c r="I91" s="46">
        <f>+COUNTIFS('2.1. Controlos'!J:J,"BU_LOANTAPE_WORK.OUT_B9000_COUNTERPARTIES",'2.1. Controlos'!H:H,"DUPLICADOS",'2.1. Controlos'!M:M,"&gt;0",'2.1. Controlos'!P:P,"")</f>
        <v>0</v>
      </c>
      <c r="J91" s="22">
        <f t="shared" si="16"/>
        <v>0</v>
      </c>
      <c r="K91" s="13"/>
      <c r="L91" s="13"/>
      <c r="M91" s="16"/>
      <c r="N91" s="17"/>
      <c r="O91" s="17"/>
      <c r="P91" s="17"/>
      <c r="Q91" s="17"/>
      <c r="R91" s="17"/>
      <c r="S91" s="17"/>
      <c r="T91" s="17"/>
    </row>
    <row r="92" spans="2:20" outlineLevel="1" x14ac:dyDescent="0.35">
      <c r="B92" s="13"/>
      <c r="C92" s="36" t="s">
        <v>19</v>
      </c>
      <c r="D92" s="21"/>
      <c r="E92" s="23"/>
      <c r="F92" s="22">
        <f t="shared" si="15"/>
        <v>0</v>
      </c>
      <c r="G92" s="24"/>
      <c r="H92" s="22">
        <f t="shared" si="9"/>
        <v>0</v>
      </c>
      <c r="I92" s="46"/>
      <c r="J92" s="22">
        <f t="shared" si="16"/>
        <v>0</v>
      </c>
      <c r="K92" s="13"/>
      <c r="L92" s="13"/>
      <c r="M92" s="16"/>
      <c r="N92" s="17"/>
      <c r="O92" s="17"/>
      <c r="P92" s="17"/>
      <c r="Q92" s="17"/>
      <c r="R92" s="17"/>
      <c r="S92" s="17"/>
      <c r="T92" s="17"/>
    </row>
    <row r="93" spans="2:20" x14ac:dyDescent="0.35">
      <c r="B93" s="16"/>
      <c r="C93" s="38" t="s">
        <v>24</v>
      </c>
      <c r="D93" s="39">
        <f>SUM(D83,D73,D63)</f>
        <v>296</v>
      </c>
      <c r="E93" s="40">
        <f t="shared" ref="E93:G93" si="17">SUM(E83,E73,E63)</f>
        <v>255</v>
      </c>
      <c r="F93" s="41">
        <f t="shared" si="3"/>
        <v>0.86148648648648651</v>
      </c>
      <c r="G93" s="42">
        <f t="shared" si="17"/>
        <v>10</v>
      </c>
      <c r="H93" s="41">
        <f t="shared" si="9"/>
        <v>3.3783783783783786E-2</v>
      </c>
      <c r="I93" s="47">
        <f>SUM(I83,I73,I63)</f>
        <v>31</v>
      </c>
      <c r="J93" s="41">
        <f t="shared" si="1"/>
        <v>0.10472972972972973</v>
      </c>
      <c r="K93" s="13"/>
      <c r="L93" s="13"/>
      <c r="M93" s="16"/>
      <c r="N93" s="17"/>
      <c r="O93" s="17"/>
      <c r="P93" s="17"/>
      <c r="Q93" s="17"/>
      <c r="R93" s="17"/>
      <c r="S93" s="17"/>
      <c r="T93" s="17"/>
    </row>
    <row r="94" spans="2:20" x14ac:dyDescent="0.35">
      <c r="B94" s="16"/>
      <c r="C94" s="16"/>
      <c r="D94" s="17"/>
      <c r="E94" s="17"/>
      <c r="F94" s="17"/>
      <c r="G94" s="17"/>
      <c r="H94" s="17"/>
      <c r="I94" s="17"/>
      <c r="J94" s="17"/>
      <c r="K94" s="13"/>
      <c r="L94" s="13"/>
      <c r="M94" s="16"/>
      <c r="N94" s="17"/>
      <c r="O94" s="17"/>
      <c r="P94" s="17"/>
      <c r="Q94" s="17"/>
      <c r="R94" s="17"/>
      <c r="S94" s="17"/>
      <c r="T94" s="17"/>
    </row>
    <row r="95" spans="2:20" x14ac:dyDescent="0.35">
      <c r="B95" s="16"/>
      <c r="C95" s="16"/>
      <c r="D95" s="17"/>
      <c r="E95" s="17"/>
      <c r="F95" s="17"/>
      <c r="G95" s="17"/>
      <c r="H95" s="17"/>
      <c r="I95" s="17"/>
      <c r="J95" s="17"/>
      <c r="K95" s="13"/>
      <c r="L95" s="13"/>
      <c r="M95" s="16"/>
      <c r="N95" s="17"/>
      <c r="O95" s="17"/>
      <c r="P95" s="17"/>
      <c r="Q95" s="17"/>
      <c r="R95" s="17"/>
      <c r="S95" s="17"/>
      <c r="T95" s="17"/>
    </row>
    <row r="96" spans="2:20" ht="15" thickBot="1" x14ac:dyDescent="0.4">
      <c r="B96" s="16"/>
      <c r="C96" s="87" t="s">
        <v>973</v>
      </c>
      <c r="D96" s="88"/>
      <c r="E96" s="88"/>
      <c r="F96" s="88"/>
      <c r="G96" s="88"/>
      <c r="H96" s="88"/>
      <c r="I96" s="88"/>
      <c r="J96" s="88"/>
      <c r="K96" s="88"/>
      <c r="L96" s="88"/>
      <c r="M96" s="88"/>
      <c r="N96" s="88"/>
      <c r="O96" s="88"/>
      <c r="P96" s="88"/>
      <c r="Q96" s="88"/>
      <c r="R96" s="88"/>
      <c r="S96" s="88"/>
      <c r="T96" s="17"/>
    </row>
    <row r="97" spans="2:20" x14ac:dyDescent="0.35">
      <c r="B97" s="16"/>
      <c r="C97" s="16"/>
      <c r="D97" s="17"/>
      <c r="E97" s="17"/>
      <c r="F97" s="17"/>
      <c r="G97" s="17"/>
      <c r="H97" s="17"/>
      <c r="I97" s="17"/>
      <c r="J97" s="17"/>
      <c r="K97" s="13"/>
      <c r="L97" s="13"/>
      <c r="M97" s="16"/>
      <c r="N97" s="17"/>
      <c r="O97" s="17"/>
      <c r="P97" s="17"/>
      <c r="Q97" s="17"/>
      <c r="R97" s="17"/>
      <c r="S97" s="17"/>
      <c r="T97" s="17"/>
    </row>
    <row r="98" spans="2:20" x14ac:dyDescent="0.35">
      <c r="B98" s="13"/>
      <c r="C98" s="77" t="s">
        <v>13</v>
      </c>
      <c r="D98" s="77" t="s">
        <v>318</v>
      </c>
      <c r="E98" s="77" t="s">
        <v>3</v>
      </c>
      <c r="F98" s="77" t="s">
        <v>5</v>
      </c>
      <c r="G98" s="77" t="s">
        <v>25</v>
      </c>
      <c r="H98" s="77" t="s">
        <v>26</v>
      </c>
      <c r="I98" s="77" t="s">
        <v>4</v>
      </c>
      <c r="J98" s="77" t="s">
        <v>6</v>
      </c>
      <c r="K98" s="13"/>
      <c r="L98" s="13"/>
      <c r="M98" s="16"/>
      <c r="N98" s="17"/>
      <c r="O98" s="17"/>
      <c r="P98" s="17"/>
      <c r="Q98" s="17"/>
      <c r="R98" s="17"/>
      <c r="S98" s="17"/>
      <c r="T98" s="17"/>
    </row>
    <row r="99" spans="2:20" x14ac:dyDescent="0.35">
      <c r="B99" s="13"/>
      <c r="C99" s="71" t="s">
        <v>10</v>
      </c>
      <c r="D99" s="72">
        <f>+D100</f>
        <v>20</v>
      </c>
      <c r="E99" s="73">
        <f t="shared" ref="E99:I99" si="18">+E100</f>
        <v>16</v>
      </c>
      <c r="F99" s="74">
        <f>+E99/$D99</f>
        <v>0.8</v>
      </c>
      <c r="G99" s="75">
        <f t="shared" si="18"/>
        <v>3</v>
      </c>
      <c r="H99" s="74">
        <f t="shared" ref="H99:H104" si="19">+G99/$D99</f>
        <v>0.15</v>
      </c>
      <c r="I99" s="75">
        <f t="shared" si="18"/>
        <v>1</v>
      </c>
      <c r="J99" s="74">
        <f>+I99/$D99</f>
        <v>0.05</v>
      </c>
      <c r="K99" s="13"/>
      <c r="L99" s="13"/>
      <c r="M99" s="16"/>
      <c r="N99" s="17"/>
      <c r="O99" s="17"/>
      <c r="P99" s="17"/>
      <c r="Q99" s="17"/>
      <c r="R99" s="17"/>
      <c r="S99" s="17"/>
      <c r="T99" s="17"/>
    </row>
    <row r="100" spans="2:20" x14ac:dyDescent="0.35">
      <c r="B100" s="15"/>
      <c r="C100" s="35" t="s">
        <v>23</v>
      </c>
      <c r="D100" s="21">
        <v>20</v>
      </c>
      <c r="E100" s="23">
        <v>16</v>
      </c>
      <c r="F100" s="22">
        <f t="shared" ref="F100:F104" si="20">+E100/$D100</f>
        <v>0.8</v>
      </c>
      <c r="G100" s="24">
        <v>3</v>
      </c>
      <c r="H100" s="22">
        <f t="shared" si="19"/>
        <v>0.15</v>
      </c>
      <c r="I100" s="24">
        <v>1</v>
      </c>
      <c r="J100" s="22">
        <f t="shared" ref="J100:J104" si="21">+I100/$D100</f>
        <v>0.05</v>
      </c>
      <c r="K100" s="13"/>
      <c r="L100" s="15"/>
      <c r="M100" s="16"/>
      <c r="N100" s="17"/>
      <c r="O100" s="17"/>
      <c r="P100" s="17"/>
      <c r="Q100" s="17"/>
      <c r="R100" s="17"/>
      <c r="S100" s="17"/>
      <c r="T100" s="17"/>
    </row>
    <row r="101" spans="2:20" x14ac:dyDescent="0.35">
      <c r="B101" s="15"/>
      <c r="C101" s="71" t="s">
        <v>11</v>
      </c>
      <c r="D101" s="72">
        <f t="shared" ref="D101:I101" si="22">+D102</f>
        <v>15</v>
      </c>
      <c r="E101" s="73">
        <f t="shared" si="22"/>
        <v>10</v>
      </c>
      <c r="F101" s="74">
        <f t="shared" si="20"/>
        <v>0.66666666666666663</v>
      </c>
      <c r="G101" s="75">
        <f t="shared" si="22"/>
        <v>2</v>
      </c>
      <c r="H101" s="74">
        <f t="shared" si="19"/>
        <v>0.13333333333333333</v>
      </c>
      <c r="I101" s="75">
        <f t="shared" si="22"/>
        <v>3</v>
      </c>
      <c r="J101" s="74">
        <f t="shared" si="21"/>
        <v>0.2</v>
      </c>
      <c r="K101" s="13"/>
      <c r="L101" s="15"/>
      <c r="M101" s="16"/>
      <c r="N101" s="17"/>
      <c r="O101" s="17"/>
      <c r="P101" s="17"/>
      <c r="Q101" s="17"/>
      <c r="R101" s="17"/>
      <c r="S101" s="17"/>
      <c r="T101" s="17"/>
    </row>
    <row r="102" spans="2:20" x14ac:dyDescent="0.35">
      <c r="B102" s="15"/>
      <c r="C102" s="35" t="s">
        <v>23</v>
      </c>
      <c r="D102" s="21">
        <v>15</v>
      </c>
      <c r="E102" s="23">
        <v>10</v>
      </c>
      <c r="F102" s="22">
        <f t="shared" si="20"/>
        <v>0.66666666666666663</v>
      </c>
      <c r="G102" s="24">
        <v>2</v>
      </c>
      <c r="H102" s="22">
        <f t="shared" si="19"/>
        <v>0.13333333333333333</v>
      </c>
      <c r="I102" s="24">
        <v>3</v>
      </c>
      <c r="J102" s="22">
        <f t="shared" si="21"/>
        <v>0.2</v>
      </c>
      <c r="K102" s="13"/>
      <c r="L102" s="15"/>
      <c r="M102" s="16"/>
      <c r="N102" s="17"/>
      <c r="O102" s="17"/>
      <c r="P102" s="17"/>
      <c r="Q102" s="17"/>
      <c r="R102" s="17"/>
      <c r="S102" s="17"/>
      <c r="T102" s="17"/>
    </row>
    <row r="103" spans="2:20" x14ac:dyDescent="0.35">
      <c r="B103" s="15"/>
      <c r="C103" s="76" t="s">
        <v>12</v>
      </c>
      <c r="D103" s="72">
        <f t="shared" ref="D103:I103" si="23">+D104</f>
        <v>20</v>
      </c>
      <c r="E103" s="73">
        <f t="shared" si="23"/>
        <v>12</v>
      </c>
      <c r="F103" s="74">
        <f t="shared" si="20"/>
        <v>0.6</v>
      </c>
      <c r="G103" s="75">
        <f t="shared" si="23"/>
        <v>4</v>
      </c>
      <c r="H103" s="74">
        <f t="shared" si="19"/>
        <v>0.2</v>
      </c>
      <c r="I103" s="75">
        <f t="shared" si="23"/>
        <v>4</v>
      </c>
      <c r="J103" s="74">
        <f t="shared" si="21"/>
        <v>0.2</v>
      </c>
      <c r="K103" s="13"/>
      <c r="L103" s="15"/>
      <c r="M103" s="16"/>
      <c r="N103" s="17"/>
      <c r="O103" s="17"/>
      <c r="P103" s="17"/>
      <c r="Q103" s="17"/>
      <c r="R103" s="17"/>
      <c r="S103" s="17"/>
      <c r="T103" s="17"/>
    </row>
    <row r="104" spans="2:20" x14ac:dyDescent="0.35">
      <c r="B104" s="15"/>
      <c r="C104" s="35" t="s">
        <v>23</v>
      </c>
      <c r="D104" s="21">
        <v>20</v>
      </c>
      <c r="E104" s="23">
        <v>12</v>
      </c>
      <c r="F104" s="22">
        <f t="shared" si="20"/>
        <v>0.6</v>
      </c>
      <c r="G104" s="24">
        <v>4</v>
      </c>
      <c r="H104" s="22">
        <f t="shared" si="19"/>
        <v>0.2</v>
      </c>
      <c r="I104" s="24">
        <v>4</v>
      </c>
      <c r="J104" s="22">
        <f t="shared" si="21"/>
        <v>0.2</v>
      </c>
      <c r="K104" s="13"/>
      <c r="L104" s="15"/>
      <c r="M104" s="16"/>
      <c r="N104" s="17"/>
      <c r="O104" s="17"/>
      <c r="P104" s="17"/>
      <c r="Q104" s="17"/>
      <c r="R104" s="17"/>
      <c r="S104" s="17"/>
      <c r="T104" s="17"/>
    </row>
    <row r="105" spans="2:20" x14ac:dyDescent="0.35">
      <c r="B105" s="15"/>
      <c r="C105" s="16"/>
      <c r="D105" s="17"/>
      <c r="E105" s="17"/>
      <c r="F105" s="17"/>
      <c r="G105" s="17"/>
      <c r="H105" s="17"/>
      <c r="I105" s="17"/>
      <c r="J105" s="17"/>
      <c r="K105" s="13"/>
      <c r="L105" s="15"/>
      <c r="M105" s="16"/>
      <c r="N105" s="17"/>
      <c r="O105" s="17"/>
      <c r="P105" s="17"/>
      <c r="Q105" s="17"/>
      <c r="R105" s="17"/>
      <c r="S105" s="17"/>
      <c r="T105" s="17"/>
    </row>
    <row r="106" spans="2:20" x14ac:dyDescent="0.35">
      <c r="B106" s="15"/>
      <c r="C106" s="16"/>
      <c r="D106" s="17"/>
      <c r="E106" s="17"/>
      <c r="F106" s="17"/>
      <c r="G106" s="17"/>
      <c r="H106" s="17"/>
      <c r="I106" s="17"/>
      <c r="J106" s="17"/>
      <c r="K106" s="13"/>
      <c r="L106" s="15"/>
      <c r="M106" s="16"/>
      <c r="N106" s="17"/>
      <c r="O106" s="17"/>
      <c r="P106" s="17"/>
      <c r="Q106" s="17"/>
      <c r="R106" s="17"/>
      <c r="S106" s="17"/>
      <c r="T106" s="17"/>
    </row>
    <row r="107" spans="2:20" x14ac:dyDescent="0.35">
      <c r="B107" s="15"/>
      <c r="C107" s="16"/>
      <c r="D107" s="17"/>
      <c r="E107" s="17"/>
      <c r="F107" s="17"/>
      <c r="G107" s="17"/>
      <c r="H107" s="17"/>
      <c r="I107" s="17"/>
      <c r="J107" s="17"/>
      <c r="K107" s="13"/>
      <c r="L107" s="15"/>
      <c r="M107" s="16"/>
      <c r="N107" s="17"/>
      <c r="O107" s="17"/>
      <c r="P107" s="17"/>
      <c r="Q107" s="17"/>
      <c r="R107" s="17"/>
      <c r="S107" s="17"/>
      <c r="T107" s="17"/>
    </row>
    <row r="108" spans="2:20" x14ac:dyDescent="0.35">
      <c r="B108" s="15"/>
      <c r="C108" s="16"/>
      <c r="D108" s="17"/>
      <c r="E108" s="17"/>
      <c r="F108" s="17"/>
      <c r="G108" s="17"/>
      <c r="H108" s="17"/>
      <c r="I108" s="17"/>
      <c r="J108" s="17"/>
      <c r="K108" s="13"/>
      <c r="L108" s="15"/>
      <c r="M108" s="16"/>
      <c r="N108" s="17"/>
      <c r="O108" s="17"/>
      <c r="P108" s="17"/>
      <c r="Q108" s="17"/>
      <c r="R108" s="17"/>
      <c r="S108" s="17"/>
      <c r="T108" s="17"/>
    </row>
    <row r="109" spans="2:20" x14ac:dyDescent="0.35">
      <c r="B109" s="15"/>
      <c r="C109" s="16"/>
      <c r="D109" s="17"/>
      <c r="E109" s="17"/>
      <c r="F109" s="17"/>
      <c r="G109" s="17"/>
      <c r="H109" s="17"/>
      <c r="I109" s="17"/>
      <c r="J109" s="17"/>
      <c r="K109" s="13"/>
      <c r="L109" s="15"/>
      <c r="M109" s="16"/>
      <c r="N109" s="17"/>
      <c r="O109" s="17"/>
      <c r="P109" s="17"/>
      <c r="Q109" s="17"/>
      <c r="R109" s="17"/>
      <c r="S109" s="17"/>
      <c r="T109" s="17"/>
    </row>
    <row r="110" spans="2:20" x14ac:dyDescent="0.35">
      <c r="B110" s="15"/>
      <c r="C110" s="16"/>
      <c r="D110" s="17"/>
      <c r="E110" s="17"/>
      <c r="F110" s="17"/>
      <c r="G110" s="17"/>
      <c r="H110" s="17"/>
      <c r="I110" s="17"/>
      <c r="J110" s="17"/>
      <c r="K110" s="13"/>
      <c r="L110" s="15"/>
      <c r="M110" s="16"/>
      <c r="N110" s="17"/>
      <c r="O110" s="17"/>
      <c r="P110" s="17"/>
      <c r="Q110" s="17"/>
      <c r="R110" s="17"/>
      <c r="S110" s="17"/>
      <c r="T110" s="17"/>
    </row>
    <row r="111" spans="2:20" x14ac:dyDescent="0.35">
      <c r="B111" s="15"/>
      <c r="C111" s="16"/>
      <c r="D111" s="17"/>
      <c r="E111" s="17"/>
      <c r="F111" s="17"/>
      <c r="G111" s="17"/>
      <c r="H111" s="17"/>
      <c r="I111" s="17"/>
      <c r="J111" s="17"/>
      <c r="K111" s="13"/>
      <c r="L111" s="15"/>
      <c r="M111" s="16"/>
      <c r="N111" s="17"/>
      <c r="O111" s="17"/>
      <c r="P111" s="17"/>
      <c r="Q111" s="17"/>
      <c r="R111" s="17"/>
      <c r="S111" s="17"/>
      <c r="T111" s="17"/>
    </row>
    <row r="112" spans="2:20" x14ac:dyDescent="0.35">
      <c r="B112" s="15"/>
      <c r="C112" s="16"/>
      <c r="D112" s="17"/>
      <c r="E112" s="17"/>
      <c r="F112" s="17"/>
      <c r="G112" s="17"/>
      <c r="H112" s="17"/>
      <c r="I112" s="17"/>
      <c r="J112" s="17"/>
      <c r="K112" s="13"/>
      <c r="L112" s="15"/>
      <c r="M112" s="16"/>
      <c r="N112" s="17"/>
      <c r="O112" s="17"/>
      <c r="P112" s="17"/>
      <c r="Q112" s="17"/>
      <c r="R112" s="17"/>
      <c r="S112" s="17"/>
      <c r="T112" s="17"/>
    </row>
    <row r="113" spans="2:20" x14ac:dyDescent="0.35">
      <c r="B113" s="15"/>
      <c r="C113" s="16"/>
      <c r="D113" s="17"/>
      <c r="E113" s="17"/>
      <c r="F113" s="17"/>
      <c r="G113" s="17"/>
      <c r="H113" s="17"/>
      <c r="I113" s="17"/>
      <c r="J113" s="17"/>
      <c r="K113" s="13"/>
      <c r="L113" s="15"/>
      <c r="M113" s="16"/>
      <c r="N113" s="17"/>
      <c r="O113" s="17"/>
      <c r="P113" s="17"/>
      <c r="Q113" s="17"/>
      <c r="R113" s="17"/>
      <c r="S113" s="17"/>
      <c r="T113" s="17"/>
    </row>
    <row r="114" spans="2:20" ht="15" thickBot="1" x14ac:dyDescent="0.4">
      <c r="B114" s="6"/>
      <c r="C114" s="7"/>
      <c r="D114" s="7"/>
      <c r="E114" s="7"/>
      <c r="F114" s="7"/>
      <c r="G114" s="7"/>
      <c r="H114" s="7"/>
      <c r="I114" s="7"/>
      <c r="J114" s="7"/>
      <c r="K114" s="7"/>
      <c r="L114" s="6"/>
      <c r="M114" s="7"/>
      <c r="N114" s="7"/>
      <c r="O114" s="7"/>
      <c r="P114" s="7"/>
      <c r="Q114" s="7"/>
      <c r="R114" s="7"/>
      <c r="S114" s="7"/>
      <c r="T114" s="7"/>
    </row>
    <row r="115" spans="2:20" x14ac:dyDescent="0.35">
      <c r="D115" s="11"/>
      <c r="E115" s="1"/>
      <c r="F115" s="1"/>
      <c r="G115" s="1"/>
      <c r="H115" s="1"/>
      <c r="I115" s="1"/>
      <c r="J115" s="1"/>
      <c r="N115" s="11"/>
      <c r="O115" s="1"/>
      <c r="P115" s="1"/>
      <c r="Q115" s="1"/>
      <c r="R115" s="1"/>
      <c r="S115" s="1"/>
      <c r="T115" s="1"/>
    </row>
    <row r="116" spans="2:20" hidden="1" x14ac:dyDescent="0.35">
      <c r="D116" s="11"/>
      <c r="E116" s="1"/>
      <c r="F116" s="1"/>
      <c r="G116" s="1"/>
      <c r="H116" s="1"/>
      <c r="I116" s="1"/>
      <c r="J116" s="1"/>
      <c r="N116" s="11"/>
      <c r="O116" s="1"/>
      <c r="P116" s="1"/>
      <c r="Q116" s="1"/>
      <c r="R116" s="1"/>
      <c r="S116" s="1"/>
      <c r="T116" s="1"/>
    </row>
    <row r="117" spans="2:20" hidden="1" x14ac:dyDescent="0.35">
      <c r="D117" s="11"/>
      <c r="E117" s="1"/>
      <c r="F117" s="1"/>
      <c r="G117" s="1"/>
      <c r="H117" s="1"/>
      <c r="I117" s="1"/>
      <c r="J117" s="1"/>
      <c r="N117" s="11"/>
      <c r="O117" s="1"/>
      <c r="P117" s="1"/>
      <c r="Q117" s="1"/>
      <c r="R117" s="1"/>
      <c r="S117" s="1"/>
      <c r="T117" s="1"/>
    </row>
    <row r="118" spans="2:20" hidden="1" x14ac:dyDescent="0.35">
      <c r="D118" s="11"/>
      <c r="E118" s="1"/>
      <c r="F118" s="1"/>
      <c r="G118" s="1"/>
      <c r="H118" s="1"/>
      <c r="I118" s="1"/>
      <c r="J118" s="1"/>
      <c r="N118" s="11"/>
      <c r="O118" s="1"/>
      <c r="P118" s="1"/>
      <c r="Q118" s="1"/>
      <c r="R118" s="1"/>
      <c r="S118" s="1"/>
      <c r="T118" s="1"/>
    </row>
    <row r="119" spans="2:20" hidden="1" x14ac:dyDescent="0.35">
      <c r="D119" s="11"/>
      <c r="E119" s="1"/>
      <c r="F119" s="1"/>
      <c r="G119" s="1"/>
      <c r="H119" s="1"/>
      <c r="I119" s="1"/>
      <c r="J119" s="1"/>
      <c r="N119" s="11"/>
      <c r="O119" s="1"/>
      <c r="P119" s="1"/>
      <c r="Q119" s="1"/>
      <c r="R119" s="1"/>
      <c r="S119" s="1"/>
      <c r="T119" s="1"/>
    </row>
    <row r="120" spans="2:20" hidden="1" x14ac:dyDescent="0.35">
      <c r="D120" s="11"/>
      <c r="E120" s="1"/>
      <c r="F120" s="1"/>
      <c r="G120" s="1"/>
      <c r="H120" s="1"/>
      <c r="I120" s="1"/>
      <c r="J120" s="1"/>
      <c r="N120" s="11"/>
      <c r="O120" s="1"/>
      <c r="P120" s="1"/>
      <c r="Q120" s="1"/>
      <c r="R120" s="1"/>
      <c r="S120" s="1"/>
      <c r="T120" s="1"/>
    </row>
    <row r="121" spans="2:20" hidden="1" x14ac:dyDescent="0.35">
      <c r="D121" s="11"/>
      <c r="E121" s="1"/>
      <c r="F121" s="1"/>
      <c r="G121" s="1"/>
      <c r="H121" s="1"/>
      <c r="I121" s="1"/>
      <c r="J121" s="1"/>
      <c r="N121" s="11"/>
      <c r="O121" s="1"/>
      <c r="P121" s="1"/>
      <c r="Q121" s="1"/>
      <c r="R121" s="1"/>
      <c r="S121" s="1"/>
      <c r="T121" s="1"/>
    </row>
    <row r="122" spans="2:20" hidden="1" x14ac:dyDescent="0.35">
      <c r="D122" s="11"/>
      <c r="E122" s="1"/>
      <c r="F122" s="1"/>
      <c r="G122" s="1"/>
      <c r="H122" s="1"/>
      <c r="I122" s="1"/>
      <c r="J122" s="1"/>
      <c r="N122" s="11"/>
      <c r="O122" s="1"/>
      <c r="P122" s="1"/>
      <c r="Q122" s="1"/>
      <c r="R122" s="1"/>
      <c r="S122" s="1"/>
      <c r="T122" s="1"/>
    </row>
    <row r="123" spans="2:20" hidden="1" x14ac:dyDescent="0.35">
      <c r="D123" s="11"/>
      <c r="E123" s="1"/>
      <c r="F123" s="1"/>
      <c r="G123" s="1"/>
      <c r="H123" s="1"/>
      <c r="I123" s="1"/>
      <c r="J123" s="1"/>
      <c r="N123" s="11"/>
      <c r="O123" s="1"/>
      <c r="P123" s="1"/>
      <c r="Q123" s="1"/>
      <c r="R123" s="1"/>
      <c r="S123" s="1"/>
      <c r="T123" s="1"/>
    </row>
  </sheetData>
  <mergeCells count="3">
    <mergeCell ref="D18:E18"/>
    <mergeCell ref="G18:H18"/>
    <mergeCell ref="J18:L18"/>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Gerar">
                <anchor moveWithCells="1" sizeWithCells="1">
                  <from>
                    <xdr:col>4</xdr:col>
                    <xdr:colOff>107950</xdr:colOff>
                    <xdr:row>21</xdr:row>
                    <xdr:rowOff>82550</xdr:rowOff>
                  </from>
                  <to>
                    <xdr:col>5</xdr:col>
                    <xdr:colOff>152400</xdr:colOff>
                    <xdr:row>23</xdr:row>
                    <xdr:rowOff>101600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A3AE-F8F4-47D1-B73E-99F916B307F0}">
  <dimension ref="A1:R353"/>
  <sheetViews>
    <sheetView showGridLines="0" topLeftCell="A68" zoomScale="80" zoomScaleNormal="80" workbookViewId="0">
      <selection activeCell="J9" sqref="J9:J115"/>
    </sheetView>
  </sheetViews>
  <sheetFormatPr defaultRowHeight="14.5" x14ac:dyDescent="0.35"/>
  <cols>
    <col min="1" max="1" width="3.81640625" customWidth="1"/>
    <col min="2" max="3" width="15.81640625" customWidth="1"/>
    <col min="5" max="5" width="3.81640625" customWidth="1"/>
    <col min="6" max="6" width="10.36328125" bestFit="1" customWidth="1"/>
    <col min="7" max="7" width="43.08984375" bestFit="1" customWidth="1"/>
    <col min="8" max="8" width="16.1796875" bestFit="1" customWidth="1"/>
    <col min="9" max="9" width="80.81640625" bestFit="1" customWidth="1"/>
    <col min="10" max="10" width="45.36328125" bestFit="1" customWidth="1"/>
    <col min="11" max="11" width="80.81640625" bestFit="1" customWidth="1"/>
    <col min="12" max="12" width="10.6328125" bestFit="1" customWidth="1"/>
    <col min="13" max="13" width="13.81640625" bestFit="1" customWidth="1"/>
    <col min="14" max="14" width="80.81640625" customWidth="1"/>
    <col min="15" max="15" width="3.81640625" customWidth="1"/>
    <col min="16" max="16" width="80.81640625" customWidth="1"/>
    <col min="17" max="17" width="3.81640625" customWidth="1"/>
  </cols>
  <sheetData>
    <row r="1" spans="1:18" x14ac:dyDescent="0.35">
      <c r="A1" s="66"/>
      <c r="B1" s="66"/>
      <c r="C1" s="66"/>
      <c r="D1" s="66"/>
      <c r="E1" s="66"/>
      <c r="F1" s="66"/>
      <c r="G1" s="66"/>
      <c r="H1" s="66"/>
      <c r="I1" s="66"/>
      <c r="J1" s="66"/>
      <c r="K1" s="66"/>
      <c r="L1" s="66"/>
      <c r="M1" s="66"/>
      <c r="N1" s="66"/>
      <c r="O1" s="66"/>
      <c r="P1" s="66"/>
      <c r="Q1" s="66"/>
    </row>
    <row r="2" spans="1:18" x14ac:dyDescent="0.35">
      <c r="A2" s="66"/>
      <c r="B2" s="66"/>
      <c r="C2" s="66"/>
      <c r="D2" s="66"/>
      <c r="E2" s="66"/>
      <c r="F2" s="66"/>
      <c r="G2" s="66"/>
      <c r="H2" s="66"/>
      <c r="I2" s="66"/>
      <c r="J2" s="66"/>
      <c r="K2" s="66"/>
      <c r="L2" s="66"/>
      <c r="M2" s="66"/>
      <c r="N2" s="66"/>
      <c r="O2" s="66"/>
      <c r="P2" s="66"/>
      <c r="Q2" s="66"/>
      <c r="R2" s="100"/>
    </row>
    <row r="3" spans="1:18" x14ac:dyDescent="0.35">
      <c r="A3" s="66"/>
      <c r="B3" s="66"/>
      <c r="C3" s="66"/>
      <c r="D3" s="66"/>
      <c r="E3" s="66"/>
      <c r="F3" s="66"/>
      <c r="G3" s="66"/>
      <c r="H3" s="66"/>
      <c r="I3" s="66"/>
      <c r="J3" s="66"/>
      <c r="K3" s="66"/>
      <c r="L3" s="66"/>
      <c r="M3" s="66"/>
      <c r="N3" s="66"/>
      <c r="O3" s="66"/>
      <c r="P3" s="66"/>
      <c r="Q3" s="66"/>
      <c r="R3" s="100"/>
    </row>
    <row r="4" spans="1:18" ht="3" customHeight="1" x14ac:dyDescent="0.35">
      <c r="A4" s="67"/>
      <c r="B4" s="67"/>
      <c r="C4" s="67"/>
      <c r="D4" s="67"/>
      <c r="E4" s="67"/>
      <c r="F4" s="67"/>
      <c r="G4" s="67"/>
      <c r="H4" s="67"/>
      <c r="I4" s="67"/>
      <c r="J4" s="67"/>
      <c r="K4" s="67"/>
      <c r="L4" s="67"/>
      <c r="M4" s="67"/>
      <c r="N4" s="67"/>
      <c r="O4" s="67"/>
      <c r="P4" s="67"/>
      <c r="Q4" s="67"/>
    </row>
    <row r="5" spans="1:18" x14ac:dyDescent="0.35">
      <c r="A5" s="68"/>
      <c r="B5" s="68"/>
      <c r="C5" s="68"/>
      <c r="D5" s="68"/>
      <c r="E5" s="68"/>
      <c r="F5" s="68"/>
      <c r="G5" s="68"/>
      <c r="H5" s="68"/>
      <c r="I5" s="68"/>
      <c r="J5" s="68"/>
      <c r="K5" s="68"/>
      <c r="L5" s="68"/>
      <c r="M5" s="68"/>
      <c r="N5" s="68"/>
      <c r="O5" s="68"/>
      <c r="P5" s="68"/>
      <c r="Q5" s="68"/>
    </row>
    <row r="6" spans="1:18" ht="15" thickBot="1" x14ac:dyDescent="0.4">
      <c r="E6" s="68"/>
      <c r="F6" s="69" t="s">
        <v>961</v>
      </c>
      <c r="G6" s="70"/>
      <c r="H6" s="70"/>
      <c r="I6" s="70"/>
      <c r="J6" s="70"/>
      <c r="K6" s="70"/>
      <c r="L6" s="70"/>
      <c r="M6" s="70"/>
      <c r="N6" s="70"/>
      <c r="O6" s="70"/>
      <c r="P6" s="70"/>
    </row>
    <row r="8" spans="1:18" x14ac:dyDescent="0.35">
      <c r="B8" s="107" t="s">
        <v>964</v>
      </c>
      <c r="C8" s="107" t="s">
        <v>965</v>
      </c>
      <c r="F8" s="105" t="s">
        <v>340</v>
      </c>
      <c r="G8" s="105" t="s">
        <v>341</v>
      </c>
      <c r="H8" s="105" t="s">
        <v>326</v>
      </c>
      <c r="I8" s="105" t="s">
        <v>342</v>
      </c>
      <c r="J8" s="105" t="s">
        <v>324</v>
      </c>
      <c r="K8" s="105" t="s">
        <v>325</v>
      </c>
      <c r="L8" s="105" t="s">
        <v>327</v>
      </c>
      <c r="M8" s="105" t="s">
        <v>328</v>
      </c>
      <c r="N8" s="105" t="s">
        <v>336</v>
      </c>
      <c r="P8" s="105" t="s">
        <v>118</v>
      </c>
    </row>
    <row r="9" spans="1:18" x14ac:dyDescent="0.35">
      <c r="B9" s="107" t="str">
        <f>+IF(LEFT(MID(Controlos[[#This Row],[tabela]],22,5),1)="B",MID(Controlos[[#This Row],[tabela]],22,5),MID(Controlos[[#This Row],[tabela]],18,5))</f>
        <v>B0200</v>
      </c>
      <c r="C9" s="107">
        <f>+IF(Controlos[[#This Row],[tipologia_teste]]="REGULAMENTAR",IF(LEFT(Controlos[[#This Row],[cod_kpi]],1)="v",IF(LEFT(Controlos[[#This Row],[descrição]],6)="Alerta","W","H"),"F"),0)</f>
        <v>0</v>
      </c>
      <c r="F9" t="s">
        <v>339</v>
      </c>
      <c r="G9" t="s">
        <v>361</v>
      </c>
      <c r="H9" t="s">
        <v>362</v>
      </c>
      <c r="I9" t="s">
        <v>363</v>
      </c>
      <c r="J9" t="s">
        <v>37</v>
      </c>
      <c r="K9" t="s">
        <v>38</v>
      </c>
      <c r="L9">
        <v>8</v>
      </c>
      <c r="M9">
        <v>0</v>
      </c>
    </row>
    <row r="10" spans="1:18" x14ac:dyDescent="0.35">
      <c r="B10" s="107" t="str">
        <f>+IF(LEFT(MID(Controlos[[#This Row],[tabela]],22,5),1)="B",MID(Controlos[[#This Row],[tabela]],22,5),MID(Controlos[[#This Row],[tabela]],18,5))</f>
        <v>B0200</v>
      </c>
      <c r="C10" s="107">
        <f>+IF(Controlos[[#This Row],[tipologia_teste]]="REGULAMENTAR",IF(LEFT(Controlos[[#This Row],[cod_kpi]],1)="v",IF(LEFT(Controlos[[#This Row],[descrição]],6)="Alerta","W","H"),"F"),0)</f>
        <v>0</v>
      </c>
      <c r="F10" t="s">
        <v>339</v>
      </c>
      <c r="G10" t="s">
        <v>364</v>
      </c>
      <c r="H10" t="s">
        <v>362</v>
      </c>
      <c r="I10" t="s">
        <v>363</v>
      </c>
      <c r="J10" t="s">
        <v>37</v>
      </c>
      <c r="K10" t="s">
        <v>40</v>
      </c>
      <c r="L10">
        <v>8</v>
      </c>
      <c r="M10">
        <v>0</v>
      </c>
    </row>
    <row r="11" spans="1:18" x14ac:dyDescent="0.35">
      <c r="B11" s="107" t="str">
        <f>+IF(LEFT(MID(Controlos[[#This Row],[tabela]],22,5),1)="B",MID(Controlos[[#This Row],[tabela]],22,5),MID(Controlos[[#This Row],[tabela]],18,5))</f>
        <v>B0200</v>
      </c>
      <c r="C11" s="107">
        <f>+IF(Controlos[[#This Row],[tipologia_teste]]="REGULAMENTAR",IF(LEFT(Controlos[[#This Row],[cod_kpi]],1)="v",IF(LEFT(Controlos[[#This Row],[descrição]],6)="Alerta","W","H"),"F"),0)</f>
        <v>0</v>
      </c>
      <c r="F11" t="s">
        <v>339</v>
      </c>
      <c r="G11" t="s">
        <v>365</v>
      </c>
      <c r="H11" t="s">
        <v>362</v>
      </c>
      <c r="I11" t="s">
        <v>363</v>
      </c>
      <c r="J11" t="s">
        <v>37</v>
      </c>
      <c r="K11" t="s">
        <v>41</v>
      </c>
      <c r="L11">
        <v>8</v>
      </c>
      <c r="M11">
        <v>0</v>
      </c>
    </row>
    <row r="12" spans="1:18" x14ac:dyDescent="0.35">
      <c r="B12" s="107" t="str">
        <f>+IF(LEFT(MID(Controlos[[#This Row],[tabela]],22,5),1)="B",MID(Controlos[[#This Row],[tabela]],22,5),MID(Controlos[[#This Row],[tabela]],18,5))</f>
        <v>B0200</v>
      </c>
      <c r="C12" s="107">
        <f>+IF(Controlos[[#This Row],[tipologia_teste]]="REGULAMENTAR",IF(LEFT(Controlos[[#This Row],[cod_kpi]],1)="v",IF(LEFT(Controlos[[#This Row],[descrição]],6)="Alerta","W","H"),"F"),0)</f>
        <v>0</v>
      </c>
      <c r="F12" t="s">
        <v>339</v>
      </c>
      <c r="G12" t="s">
        <v>366</v>
      </c>
      <c r="H12" t="s">
        <v>362</v>
      </c>
      <c r="I12" t="s">
        <v>363</v>
      </c>
      <c r="J12" t="s">
        <v>37</v>
      </c>
      <c r="K12" t="s">
        <v>42</v>
      </c>
      <c r="L12">
        <v>8</v>
      </c>
      <c r="M12">
        <v>0</v>
      </c>
    </row>
    <row r="13" spans="1:18" x14ac:dyDescent="0.35">
      <c r="B13" s="107" t="str">
        <f>+IF(LEFT(MID(Controlos[[#This Row],[tabela]],22,5),1)="B",MID(Controlos[[#This Row],[tabela]],22,5),MID(Controlos[[#This Row],[tabela]],18,5))</f>
        <v>B0200</v>
      </c>
      <c r="C13" s="107">
        <f>+IF(Controlos[[#This Row],[tipologia_teste]]="REGULAMENTAR",IF(LEFT(Controlos[[#This Row],[cod_kpi]],1)="v",IF(LEFT(Controlos[[#This Row],[descrição]],6)="Alerta","W","H"),"F"),0)</f>
        <v>0</v>
      </c>
      <c r="F13" t="s">
        <v>339</v>
      </c>
      <c r="G13" t="s">
        <v>367</v>
      </c>
      <c r="H13" t="s">
        <v>362</v>
      </c>
      <c r="I13" t="s">
        <v>363</v>
      </c>
      <c r="J13" t="s">
        <v>37</v>
      </c>
      <c r="K13" t="s">
        <v>43</v>
      </c>
      <c r="L13">
        <v>8</v>
      </c>
      <c r="M13">
        <v>0</v>
      </c>
    </row>
    <row r="14" spans="1:18" x14ac:dyDescent="0.35">
      <c r="B14" s="107" t="str">
        <f>+IF(LEFT(MID(Controlos[[#This Row],[tabela]],22,5),1)="B",MID(Controlos[[#This Row],[tabela]],22,5),MID(Controlos[[#This Row],[tabela]],18,5))</f>
        <v>B0200</v>
      </c>
      <c r="C14" s="107">
        <f>+IF(Controlos[[#This Row],[tipologia_teste]]="REGULAMENTAR",IF(LEFT(Controlos[[#This Row],[cod_kpi]],1)="v",IF(LEFT(Controlos[[#This Row],[descrição]],6)="Alerta","W","H"),"F"),0)</f>
        <v>0</v>
      </c>
      <c r="F14" t="s">
        <v>339</v>
      </c>
      <c r="G14" t="s">
        <v>368</v>
      </c>
      <c r="H14" t="s">
        <v>362</v>
      </c>
      <c r="I14" t="s">
        <v>363</v>
      </c>
      <c r="J14" t="s">
        <v>37</v>
      </c>
      <c r="K14" t="s">
        <v>44</v>
      </c>
      <c r="L14">
        <v>8</v>
      </c>
      <c r="M14">
        <v>0</v>
      </c>
    </row>
    <row r="15" spans="1:18" x14ac:dyDescent="0.35">
      <c r="B15" s="107" t="str">
        <f>+IF(LEFT(MID(Controlos[[#This Row],[tabela]],22,5),1)="B",MID(Controlos[[#This Row],[tabela]],22,5),MID(Controlos[[#This Row],[tabela]],18,5))</f>
        <v>B0200</v>
      </c>
      <c r="C15" s="107">
        <f>+IF(Controlos[[#This Row],[tipologia_teste]]="REGULAMENTAR",IF(LEFT(Controlos[[#This Row],[cod_kpi]],1)="v",IF(LEFT(Controlos[[#This Row],[descrição]],6)="Alerta","W","H"),"F"),0)</f>
        <v>0</v>
      </c>
      <c r="F15" t="s">
        <v>339</v>
      </c>
      <c r="G15" t="s">
        <v>369</v>
      </c>
      <c r="H15" t="s">
        <v>362</v>
      </c>
      <c r="I15" t="s">
        <v>363</v>
      </c>
      <c r="J15" t="s">
        <v>37</v>
      </c>
      <c r="K15" t="s">
        <v>45</v>
      </c>
      <c r="L15">
        <v>8</v>
      </c>
      <c r="M15">
        <v>0</v>
      </c>
    </row>
    <row r="16" spans="1:18" x14ac:dyDescent="0.35">
      <c r="B16" s="107" t="str">
        <f>+IF(LEFT(MID(Controlos[[#This Row],[tabela]],22,5),1)="B",MID(Controlos[[#This Row],[tabela]],22,5),MID(Controlos[[#This Row],[tabela]],18,5))</f>
        <v>B0200</v>
      </c>
      <c r="C16" s="107">
        <f>+IF(Controlos[[#This Row],[tipologia_teste]]="REGULAMENTAR",IF(LEFT(Controlos[[#This Row],[cod_kpi]],1)="v",IF(LEFT(Controlos[[#This Row],[descrição]],6)="Alerta","W","H"),"F"),0)</f>
        <v>0</v>
      </c>
      <c r="F16" t="s">
        <v>339</v>
      </c>
      <c r="G16" t="s">
        <v>370</v>
      </c>
      <c r="H16" t="s">
        <v>362</v>
      </c>
      <c r="I16" t="s">
        <v>363</v>
      </c>
      <c r="J16" t="s">
        <v>37</v>
      </c>
      <c r="K16" t="s">
        <v>371</v>
      </c>
      <c r="L16">
        <v>8</v>
      </c>
      <c r="M16">
        <v>8</v>
      </c>
      <c r="N16" t="s">
        <v>453</v>
      </c>
    </row>
    <row r="17" spans="2:14" x14ac:dyDescent="0.35">
      <c r="B17" s="107" t="str">
        <f>+IF(LEFT(MID(Controlos[[#This Row],[tabela]],22,5),1)="B",MID(Controlos[[#This Row],[tabela]],22,5),MID(Controlos[[#This Row],[tabela]],18,5))</f>
        <v>B0200</v>
      </c>
      <c r="C17" s="107">
        <f>+IF(Controlos[[#This Row],[tipologia_teste]]="REGULAMENTAR",IF(LEFT(Controlos[[#This Row],[cod_kpi]],1)="v",IF(LEFT(Controlos[[#This Row],[descrição]],6)="Alerta","W","H"),"F"),0)</f>
        <v>0</v>
      </c>
      <c r="F17" t="s">
        <v>339</v>
      </c>
      <c r="G17" t="s">
        <v>372</v>
      </c>
      <c r="H17" t="s">
        <v>362</v>
      </c>
      <c r="I17" t="s">
        <v>363</v>
      </c>
      <c r="J17" t="s">
        <v>37</v>
      </c>
      <c r="K17" t="s">
        <v>373</v>
      </c>
      <c r="L17">
        <v>8</v>
      </c>
      <c r="M17">
        <v>8</v>
      </c>
      <c r="N17" t="s">
        <v>453</v>
      </c>
    </row>
    <row r="18" spans="2:14" x14ac:dyDescent="0.35">
      <c r="B18" s="107" t="str">
        <f>+IF(LEFT(MID(Controlos[[#This Row],[tabela]],22,5),1)="B",MID(Controlos[[#This Row],[tabela]],22,5),MID(Controlos[[#This Row],[tabela]],18,5))</f>
        <v>B0200</v>
      </c>
      <c r="C18" s="107">
        <f>+IF(Controlos[[#This Row],[tipologia_teste]]="REGULAMENTAR",IF(LEFT(Controlos[[#This Row],[cod_kpi]],1)="v",IF(LEFT(Controlos[[#This Row],[descrição]],6)="Alerta","W","H"),"F"),0)</f>
        <v>0</v>
      </c>
      <c r="F18" t="s">
        <v>339</v>
      </c>
      <c r="G18" t="s">
        <v>374</v>
      </c>
      <c r="H18" t="s">
        <v>362</v>
      </c>
      <c r="I18" t="s">
        <v>363</v>
      </c>
      <c r="J18" t="s">
        <v>37</v>
      </c>
      <c r="K18" t="s">
        <v>46</v>
      </c>
      <c r="L18">
        <v>8</v>
      </c>
      <c r="M18">
        <v>0</v>
      </c>
    </row>
    <row r="19" spans="2:14" x14ac:dyDescent="0.35">
      <c r="B19" s="107" t="str">
        <f>+IF(LEFT(MID(Controlos[[#This Row],[tabela]],22,5),1)="B",MID(Controlos[[#This Row],[tabela]],22,5),MID(Controlos[[#This Row],[tabela]],18,5))</f>
        <v>B0200</v>
      </c>
      <c r="C19" s="107">
        <f>+IF(Controlos[[#This Row],[tipologia_teste]]="REGULAMENTAR",IF(LEFT(Controlos[[#This Row],[cod_kpi]],1)="v",IF(LEFT(Controlos[[#This Row],[descrição]],6)="Alerta","W","H"),"F"),0)</f>
        <v>0</v>
      </c>
      <c r="F19" t="s">
        <v>339</v>
      </c>
      <c r="G19" t="s">
        <v>375</v>
      </c>
      <c r="H19" t="s">
        <v>362</v>
      </c>
      <c r="I19" t="s">
        <v>363</v>
      </c>
      <c r="J19" t="s">
        <v>37</v>
      </c>
      <c r="K19" t="s">
        <v>47</v>
      </c>
      <c r="L19">
        <v>8</v>
      </c>
      <c r="M19">
        <v>0</v>
      </c>
    </row>
    <row r="20" spans="2:14" x14ac:dyDescent="0.35">
      <c r="B20" s="107" t="str">
        <f>+IF(LEFT(MID(Controlos[[#This Row],[tabela]],22,5),1)="B",MID(Controlos[[#This Row],[tabela]],22,5),MID(Controlos[[#This Row],[tabela]],18,5))</f>
        <v>B0200</v>
      </c>
      <c r="C20" s="107">
        <f>+IF(Controlos[[#This Row],[tipologia_teste]]="REGULAMENTAR",IF(LEFT(Controlos[[#This Row],[cod_kpi]],1)="v",IF(LEFT(Controlos[[#This Row],[descrição]],6)="Alerta","W","H"),"F"),0)</f>
        <v>0</v>
      </c>
      <c r="F20" t="s">
        <v>339</v>
      </c>
      <c r="G20" t="s">
        <v>376</v>
      </c>
      <c r="H20" t="s">
        <v>362</v>
      </c>
      <c r="I20" t="s">
        <v>363</v>
      </c>
      <c r="J20" t="s">
        <v>37</v>
      </c>
      <c r="K20" t="s">
        <v>377</v>
      </c>
      <c r="L20">
        <v>8</v>
      </c>
      <c r="M20">
        <v>8</v>
      </c>
      <c r="N20" t="s">
        <v>453</v>
      </c>
    </row>
    <row r="21" spans="2:14" x14ac:dyDescent="0.35">
      <c r="B21" s="107" t="str">
        <f>+IF(LEFT(MID(Controlos[[#This Row],[tabela]],22,5),1)="B",MID(Controlos[[#This Row],[tabela]],22,5),MID(Controlos[[#This Row],[tabela]],18,5))</f>
        <v>B0200</v>
      </c>
      <c r="C21" s="107">
        <f>+IF(Controlos[[#This Row],[tipologia_teste]]="REGULAMENTAR",IF(LEFT(Controlos[[#This Row],[cod_kpi]],1)="v",IF(LEFT(Controlos[[#This Row],[descrição]],6)="Alerta","W","H"),"F"),0)</f>
        <v>0</v>
      </c>
      <c r="F21" t="s">
        <v>339</v>
      </c>
      <c r="G21" t="s">
        <v>378</v>
      </c>
      <c r="H21" t="s">
        <v>362</v>
      </c>
      <c r="I21" t="s">
        <v>363</v>
      </c>
      <c r="J21" t="s">
        <v>37</v>
      </c>
      <c r="K21" t="s">
        <v>379</v>
      </c>
      <c r="L21">
        <v>8</v>
      </c>
      <c r="M21">
        <v>8</v>
      </c>
      <c r="N21" t="s">
        <v>453</v>
      </c>
    </row>
    <row r="22" spans="2:14" x14ac:dyDescent="0.35">
      <c r="B22" s="107" t="str">
        <f>+IF(LEFT(MID(Controlos[[#This Row],[tabela]],22,5),1)="B",MID(Controlos[[#This Row],[tabela]],22,5),MID(Controlos[[#This Row],[tabela]],18,5))</f>
        <v>B0200</v>
      </c>
      <c r="C22" s="107">
        <f>+IF(Controlos[[#This Row],[tipologia_teste]]="REGULAMENTAR",IF(LEFT(Controlos[[#This Row],[cod_kpi]],1)="v",IF(LEFT(Controlos[[#This Row],[descrição]],6)="Alerta","W","H"),"F"),0)</f>
        <v>0</v>
      </c>
      <c r="F22" t="s">
        <v>339</v>
      </c>
      <c r="G22" t="s">
        <v>380</v>
      </c>
      <c r="H22" t="s">
        <v>362</v>
      </c>
      <c r="I22" t="s">
        <v>363</v>
      </c>
      <c r="J22" t="s">
        <v>37</v>
      </c>
      <c r="K22" t="s">
        <v>48</v>
      </c>
      <c r="L22">
        <v>8</v>
      </c>
      <c r="M22">
        <v>0</v>
      </c>
    </row>
    <row r="23" spans="2:14" x14ac:dyDescent="0.35">
      <c r="B23" s="107" t="str">
        <f>+IF(LEFT(MID(Controlos[[#This Row],[tabela]],22,5),1)="B",MID(Controlos[[#This Row],[tabela]],22,5),MID(Controlos[[#This Row],[tabela]],18,5))</f>
        <v>B0200</v>
      </c>
      <c r="C23" s="107">
        <f>+IF(Controlos[[#This Row],[tipologia_teste]]="REGULAMENTAR",IF(LEFT(Controlos[[#This Row],[cod_kpi]],1)="v",IF(LEFT(Controlos[[#This Row],[descrição]],6)="Alerta","W","H"),"F"),0)</f>
        <v>0</v>
      </c>
      <c r="F23" t="s">
        <v>339</v>
      </c>
      <c r="G23" t="s">
        <v>381</v>
      </c>
      <c r="H23" t="s">
        <v>362</v>
      </c>
      <c r="I23" t="s">
        <v>363</v>
      </c>
      <c r="J23" t="s">
        <v>37</v>
      </c>
      <c r="K23" t="s">
        <v>49</v>
      </c>
      <c r="L23">
        <v>8</v>
      </c>
      <c r="M23">
        <v>0</v>
      </c>
    </row>
    <row r="24" spans="2:14" x14ac:dyDescent="0.35">
      <c r="B24" s="107" t="str">
        <f>+IF(LEFT(MID(Controlos[[#This Row],[tabela]],22,5),1)="B",MID(Controlos[[#This Row],[tabela]],22,5),MID(Controlos[[#This Row],[tabela]],18,5))</f>
        <v>B0200</v>
      </c>
      <c r="C24" s="107">
        <f>+IF(Controlos[[#This Row],[tipologia_teste]]="REGULAMENTAR",IF(LEFT(Controlos[[#This Row],[cod_kpi]],1)="v",IF(LEFT(Controlos[[#This Row],[descrição]],6)="Alerta","W","H"),"F"),0)</f>
        <v>0</v>
      </c>
      <c r="F24" t="s">
        <v>339</v>
      </c>
      <c r="G24" t="s">
        <v>382</v>
      </c>
      <c r="H24" t="s">
        <v>362</v>
      </c>
      <c r="I24" t="s">
        <v>363</v>
      </c>
      <c r="J24" t="s">
        <v>37</v>
      </c>
      <c r="K24" t="s">
        <v>50</v>
      </c>
      <c r="L24">
        <v>8</v>
      </c>
      <c r="M24">
        <v>0</v>
      </c>
    </row>
    <row r="25" spans="2:14" x14ac:dyDescent="0.35">
      <c r="B25" s="107" t="str">
        <f>+IF(LEFT(MID(Controlos[[#This Row],[tabela]],22,5),1)="B",MID(Controlos[[#This Row],[tabela]],22,5),MID(Controlos[[#This Row],[tabela]],18,5))</f>
        <v>B0200</v>
      </c>
      <c r="C25" s="107">
        <f>+IF(Controlos[[#This Row],[tipologia_teste]]="REGULAMENTAR",IF(LEFT(Controlos[[#This Row],[cod_kpi]],1)="v",IF(LEFT(Controlos[[#This Row],[descrição]],6)="Alerta","W","H"),"F"),0)</f>
        <v>0</v>
      </c>
      <c r="F25" t="s">
        <v>339</v>
      </c>
      <c r="G25" t="s">
        <v>383</v>
      </c>
      <c r="H25" t="s">
        <v>362</v>
      </c>
      <c r="I25" t="s">
        <v>363</v>
      </c>
      <c r="J25" t="s">
        <v>37</v>
      </c>
      <c r="K25" t="s">
        <v>51</v>
      </c>
      <c r="L25">
        <v>8</v>
      </c>
      <c r="M25">
        <v>0</v>
      </c>
    </row>
    <row r="26" spans="2:14" x14ac:dyDescent="0.35">
      <c r="B26" s="107" t="str">
        <f>+IF(LEFT(MID(Controlos[[#This Row],[tabela]],22,5),1)="B",MID(Controlos[[#This Row],[tabela]],22,5),MID(Controlos[[#This Row],[tabela]],18,5))</f>
        <v>B0200</v>
      </c>
      <c r="C26" s="107">
        <f>+IF(Controlos[[#This Row],[tipologia_teste]]="REGULAMENTAR",IF(LEFT(Controlos[[#This Row],[cod_kpi]],1)="v",IF(LEFT(Controlos[[#This Row],[descrição]],6)="Alerta","W","H"),"F"),0)</f>
        <v>0</v>
      </c>
      <c r="F26" t="s">
        <v>339</v>
      </c>
      <c r="G26" t="s">
        <v>384</v>
      </c>
      <c r="H26" t="s">
        <v>362</v>
      </c>
      <c r="I26" t="s">
        <v>363</v>
      </c>
      <c r="J26" t="s">
        <v>37</v>
      </c>
      <c r="K26" t="s">
        <v>52</v>
      </c>
      <c r="L26">
        <v>8</v>
      </c>
      <c r="M26">
        <v>0</v>
      </c>
    </row>
    <row r="27" spans="2:14" x14ac:dyDescent="0.35">
      <c r="B27" s="107" t="str">
        <f>+IF(LEFT(MID(Controlos[[#This Row],[tabela]],22,5),1)="B",MID(Controlos[[#This Row],[tabela]],22,5),MID(Controlos[[#This Row],[tabela]],18,5))</f>
        <v>B0200</v>
      </c>
      <c r="C27" s="107">
        <f>+IF(Controlos[[#This Row],[tipologia_teste]]="REGULAMENTAR",IF(LEFT(Controlos[[#This Row],[cod_kpi]],1)="v",IF(LEFT(Controlos[[#This Row],[descrição]],6)="Alerta","W","H"),"F"),0)</f>
        <v>0</v>
      </c>
      <c r="F27" t="s">
        <v>339</v>
      </c>
      <c r="G27" t="s">
        <v>385</v>
      </c>
      <c r="H27" t="s">
        <v>362</v>
      </c>
      <c r="I27" t="s">
        <v>363</v>
      </c>
      <c r="J27" t="s">
        <v>37</v>
      </c>
      <c r="K27" t="s">
        <v>53</v>
      </c>
      <c r="L27">
        <v>8</v>
      </c>
      <c r="M27">
        <v>0</v>
      </c>
    </row>
    <row r="28" spans="2:14" x14ac:dyDescent="0.35">
      <c r="B28" s="107" t="str">
        <f>+IF(LEFT(MID(Controlos[[#This Row],[tabela]],22,5),1)="B",MID(Controlos[[#This Row],[tabela]],22,5),MID(Controlos[[#This Row],[tabela]],18,5))</f>
        <v>B0200</v>
      </c>
      <c r="C28" s="107">
        <f>+IF(Controlos[[#This Row],[tipologia_teste]]="REGULAMENTAR",IF(LEFT(Controlos[[#This Row],[cod_kpi]],1)="v",IF(LEFT(Controlos[[#This Row],[descrição]],6)="Alerta","W","H"),"F"),0)</f>
        <v>0</v>
      </c>
      <c r="F28" t="s">
        <v>339</v>
      </c>
      <c r="G28" t="s">
        <v>386</v>
      </c>
      <c r="H28" t="s">
        <v>362</v>
      </c>
      <c r="I28" t="s">
        <v>363</v>
      </c>
      <c r="J28" t="s">
        <v>37</v>
      </c>
      <c r="K28" t="s">
        <v>54</v>
      </c>
      <c r="L28">
        <v>8</v>
      </c>
      <c r="M28">
        <v>0</v>
      </c>
    </row>
    <row r="29" spans="2:14" x14ac:dyDescent="0.35">
      <c r="B29" s="107" t="str">
        <f>+IF(LEFT(MID(Controlos[[#This Row],[tabela]],22,5),1)="B",MID(Controlos[[#This Row],[tabela]],22,5),MID(Controlos[[#This Row],[tabela]],18,5))</f>
        <v>B0200</v>
      </c>
      <c r="C29" s="107">
        <f>+IF(Controlos[[#This Row],[tipologia_teste]]="REGULAMENTAR",IF(LEFT(Controlos[[#This Row],[cod_kpi]],1)="v",IF(LEFT(Controlos[[#This Row],[descrição]],6)="Alerta","W","H"),"F"),0)</f>
        <v>0</v>
      </c>
      <c r="F29" t="s">
        <v>339</v>
      </c>
      <c r="G29" t="s">
        <v>387</v>
      </c>
      <c r="H29" t="s">
        <v>362</v>
      </c>
      <c r="I29" t="s">
        <v>363</v>
      </c>
      <c r="J29" t="s">
        <v>37</v>
      </c>
      <c r="K29" t="s">
        <v>55</v>
      </c>
      <c r="L29">
        <v>8</v>
      </c>
      <c r="M29">
        <v>0</v>
      </c>
    </row>
    <row r="30" spans="2:14" x14ac:dyDescent="0.35">
      <c r="B30" s="107" t="str">
        <f>+IF(LEFT(MID(Controlos[[#This Row],[tabela]],22,5),1)="B",MID(Controlos[[#This Row],[tabela]],22,5),MID(Controlos[[#This Row],[tabela]],18,5))</f>
        <v>B0200</v>
      </c>
      <c r="C30" s="107">
        <f>+IF(Controlos[[#This Row],[tipologia_teste]]="REGULAMENTAR",IF(LEFT(Controlos[[#This Row],[cod_kpi]],1)="v",IF(LEFT(Controlos[[#This Row],[descrição]],6)="Alerta","W","H"),"F"),0)</f>
        <v>0</v>
      </c>
      <c r="F30" t="s">
        <v>339</v>
      </c>
      <c r="G30" t="s">
        <v>388</v>
      </c>
      <c r="H30" t="s">
        <v>362</v>
      </c>
      <c r="I30" t="s">
        <v>363</v>
      </c>
      <c r="J30" t="s">
        <v>37</v>
      </c>
      <c r="K30" t="s">
        <v>56</v>
      </c>
      <c r="L30">
        <v>8</v>
      </c>
      <c r="M30">
        <v>0</v>
      </c>
    </row>
    <row r="31" spans="2:14" x14ac:dyDescent="0.35">
      <c r="B31" s="107" t="str">
        <f>+IF(LEFT(MID(Controlos[[#This Row],[tabela]],22,5),1)="B",MID(Controlos[[#This Row],[tabela]],22,5),MID(Controlos[[#This Row],[tabela]],18,5))</f>
        <v>B0200</v>
      </c>
      <c r="C31" s="107">
        <f>+IF(Controlos[[#This Row],[tipologia_teste]]="REGULAMENTAR",IF(LEFT(Controlos[[#This Row],[cod_kpi]],1)="v",IF(LEFT(Controlos[[#This Row],[descrição]],6)="Alerta","W","H"),"F"),0)</f>
        <v>0</v>
      </c>
      <c r="F31" t="s">
        <v>339</v>
      </c>
      <c r="G31" t="s">
        <v>389</v>
      </c>
      <c r="H31" t="s">
        <v>362</v>
      </c>
      <c r="I31" t="s">
        <v>363</v>
      </c>
      <c r="J31" t="s">
        <v>37</v>
      </c>
      <c r="K31" t="s">
        <v>57</v>
      </c>
      <c r="L31">
        <v>8</v>
      </c>
      <c r="M31">
        <v>0</v>
      </c>
    </row>
    <row r="32" spans="2:14" x14ac:dyDescent="0.35">
      <c r="B32" s="107" t="str">
        <f>+IF(LEFT(MID(Controlos[[#This Row],[tabela]],22,5),1)="B",MID(Controlos[[#This Row],[tabela]],22,5),MID(Controlos[[#This Row],[tabela]],18,5))</f>
        <v>B0200</v>
      </c>
      <c r="C32" s="107">
        <f>+IF(Controlos[[#This Row],[tipologia_teste]]="REGULAMENTAR",IF(LEFT(Controlos[[#This Row],[cod_kpi]],1)="v",IF(LEFT(Controlos[[#This Row],[descrição]],6)="Alerta","W","H"),"F"),0)</f>
        <v>0</v>
      </c>
      <c r="F32" t="s">
        <v>339</v>
      </c>
      <c r="G32" t="s">
        <v>390</v>
      </c>
      <c r="H32" t="s">
        <v>362</v>
      </c>
      <c r="I32" t="s">
        <v>363</v>
      </c>
      <c r="J32" t="s">
        <v>37</v>
      </c>
      <c r="K32" t="s">
        <v>58</v>
      </c>
      <c r="L32">
        <v>8</v>
      </c>
      <c r="M32">
        <v>0</v>
      </c>
    </row>
    <row r="33" spans="2:13" x14ac:dyDescent="0.35">
      <c r="B33" s="107" t="str">
        <f>+IF(LEFT(MID(Controlos[[#This Row],[tabela]],22,5),1)="B",MID(Controlos[[#This Row],[tabela]],22,5),MID(Controlos[[#This Row],[tabela]],18,5))</f>
        <v>B0200</v>
      </c>
      <c r="C33" s="107">
        <f>+IF(Controlos[[#This Row],[tipologia_teste]]="REGULAMENTAR",IF(LEFT(Controlos[[#This Row],[cod_kpi]],1)="v",IF(LEFT(Controlos[[#This Row],[descrição]],6)="Alerta","W","H"),"F"),0)</f>
        <v>0</v>
      </c>
      <c r="F33" t="s">
        <v>339</v>
      </c>
      <c r="G33" t="s">
        <v>391</v>
      </c>
      <c r="H33" t="s">
        <v>362</v>
      </c>
      <c r="I33" t="s">
        <v>363</v>
      </c>
      <c r="J33" t="s">
        <v>37</v>
      </c>
      <c r="K33" t="s">
        <v>59</v>
      </c>
      <c r="L33">
        <v>8</v>
      </c>
      <c r="M33">
        <v>0</v>
      </c>
    </row>
    <row r="34" spans="2:13" x14ac:dyDescent="0.35">
      <c r="B34" s="107" t="str">
        <f>+IF(LEFT(MID(Controlos[[#This Row],[tabela]],22,5),1)="B",MID(Controlos[[#This Row],[tabela]],22,5),MID(Controlos[[#This Row],[tabela]],18,5))</f>
        <v>B0200</v>
      </c>
      <c r="C34" s="107">
        <f>+IF(Controlos[[#This Row],[tipologia_teste]]="REGULAMENTAR",IF(LEFT(Controlos[[#This Row],[cod_kpi]],1)="v",IF(LEFT(Controlos[[#This Row],[descrição]],6)="Alerta","W","H"),"F"),0)</f>
        <v>0</v>
      </c>
      <c r="F34" t="s">
        <v>339</v>
      </c>
      <c r="G34" t="s">
        <v>392</v>
      </c>
      <c r="H34" t="s">
        <v>362</v>
      </c>
      <c r="I34" t="s">
        <v>363</v>
      </c>
      <c r="J34" t="s">
        <v>37</v>
      </c>
      <c r="K34" t="s">
        <v>60</v>
      </c>
      <c r="L34">
        <v>8</v>
      </c>
      <c r="M34">
        <v>0</v>
      </c>
    </row>
    <row r="35" spans="2:13" x14ac:dyDescent="0.35">
      <c r="B35" s="107" t="str">
        <f>+IF(LEFT(MID(Controlos[[#This Row],[tabela]],22,5),1)="B",MID(Controlos[[#This Row],[tabela]],22,5),MID(Controlos[[#This Row],[tabela]],18,5))</f>
        <v>B0200</v>
      </c>
      <c r="C35" s="107">
        <f>+IF(Controlos[[#This Row],[tipologia_teste]]="REGULAMENTAR",IF(LEFT(Controlos[[#This Row],[cod_kpi]],1)="v",IF(LEFT(Controlos[[#This Row],[descrição]],6)="Alerta","W","H"),"F"),0)</f>
        <v>0</v>
      </c>
      <c r="F35" t="s">
        <v>339</v>
      </c>
      <c r="G35" t="s">
        <v>393</v>
      </c>
      <c r="H35" t="s">
        <v>362</v>
      </c>
      <c r="I35" t="s">
        <v>363</v>
      </c>
      <c r="J35" t="s">
        <v>37</v>
      </c>
      <c r="K35" t="s">
        <v>61</v>
      </c>
      <c r="L35">
        <v>8</v>
      </c>
      <c r="M35">
        <v>0</v>
      </c>
    </row>
    <row r="36" spans="2:13" x14ac:dyDescent="0.35">
      <c r="B36" s="107" t="str">
        <f>+IF(LEFT(MID(Controlos[[#This Row],[tabela]],22,5),1)="B",MID(Controlos[[#This Row],[tabela]],22,5),MID(Controlos[[#This Row],[tabela]],18,5))</f>
        <v>B0200</v>
      </c>
      <c r="C36" s="107">
        <f>+IF(Controlos[[#This Row],[tipologia_teste]]="REGULAMENTAR",IF(LEFT(Controlos[[#This Row],[cod_kpi]],1)="v",IF(LEFT(Controlos[[#This Row],[descrição]],6)="Alerta","W","H"),"F"),0)</f>
        <v>0</v>
      </c>
      <c r="F36" t="s">
        <v>339</v>
      </c>
      <c r="G36" t="s">
        <v>394</v>
      </c>
      <c r="H36" t="s">
        <v>362</v>
      </c>
      <c r="I36" t="s">
        <v>363</v>
      </c>
      <c r="J36" t="s">
        <v>37</v>
      </c>
      <c r="K36" t="s">
        <v>62</v>
      </c>
      <c r="L36">
        <v>8</v>
      </c>
      <c r="M36">
        <v>0</v>
      </c>
    </row>
    <row r="37" spans="2:13" x14ac:dyDescent="0.35">
      <c r="B37" s="107" t="str">
        <f>+IF(LEFT(MID(Controlos[[#This Row],[tabela]],22,5),1)="B",MID(Controlos[[#This Row],[tabela]],22,5),MID(Controlos[[#This Row],[tabela]],18,5))</f>
        <v>B0200</v>
      </c>
      <c r="C37" s="107">
        <f>+IF(Controlos[[#This Row],[tipologia_teste]]="REGULAMENTAR",IF(LEFT(Controlos[[#This Row],[cod_kpi]],1)="v",IF(LEFT(Controlos[[#This Row],[descrição]],6)="Alerta","W","H"),"F"),0)</f>
        <v>0</v>
      </c>
      <c r="F37" t="s">
        <v>339</v>
      </c>
      <c r="G37" t="s">
        <v>395</v>
      </c>
      <c r="H37" t="s">
        <v>362</v>
      </c>
      <c r="I37" t="s">
        <v>363</v>
      </c>
      <c r="J37" t="s">
        <v>37</v>
      </c>
      <c r="K37" t="s">
        <v>63</v>
      </c>
      <c r="L37">
        <v>8</v>
      </c>
      <c r="M37">
        <v>0</v>
      </c>
    </row>
    <row r="38" spans="2:13" x14ac:dyDescent="0.35">
      <c r="B38" s="107" t="str">
        <f>+IF(LEFT(MID(Controlos[[#This Row],[tabela]],22,5),1)="B",MID(Controlos[[#This Row],[tabela]],22,5),MID(Controlos[[#This Row],[tabela]],18,5))</f>
        <v>B0200</v>
      </c>
      <c r="C38" s="107">
        <f>+IF(Controlos[[#This Row],[tipologia_teste]]="REGULAMENTAR",IF(LEFT(Controlos[[#This Row],[cod_kpi]],1)="v",IF(LEFT(Controlos[[#This Row],[descrição]],6)="Alerta","W","H"),"F"),0)</f>
        <v>0</v>
      </c>
      <c r="F38" t="s">
        <v>339</v>
      </c>
      <c r="G38" t="s">
        <v>396</v>
      </c>
      <c r="H38" t="s">
        <v>362</v>
      </c>
      <c r="I38" t="s">
        <v>363</v>
      </c>
      <c r="J38" t="s">
        <v>37</v>
      </c>
      <c r="K38" t="s">
        <v>64</v>
      </c>
      <c r="L38">
        <v>8</v>
      </c>
      <c r="M38">
        <v>0</v>
      </c>
    </row>
    <row r="39" spans="2:13" x14ac:dyDescent="0.35">
      <c r="B39" s="107" t="str">
        <f>+IF(LEFT(MID(Controlos[[#This Row],[tabela]],22,5),1)="B",MID(Controlos[[#This Row],[tabela]],22,5),MID(Controlos[[#This Row],[tabela]],18,5))</f>
        <v>B0200</v>
      </c>
      <c r="C39" s="107">
        <f>+IF(Controlos[[#This Row],[tipologia_teste]]="REGULAMENTAR",IF(LEFT(Controlos[[#This Row],[cod_kpi]],1)="v",IF(LEFT(Controlos[[#This Row],[descrição]],6)="Alerta","W","H"),"F"),0)</f>
        <v>0</v>
      </c>
      <c r="F39" t="s">
        <v>339</v>
      </c>
      <c r="G39" t="s">
        <v>397</v>
      </c>
      <c r="H39" t="s">
        <v>362</v>
      </c>
      <c r="I39" t="s">
        <v>363</v>
      </c>
      <c r="J39" t="s">
        <v>37</v>
      </c>
      <c r="K39" t="s">
        <v>65</v>
      </c>
      <c r="L39">
        <v>8</v>
      </c>
      <c r="M39">
        <v>0</v>
      </c>
    </row>
    <row r="40" spans="2:13" x14ac:dyDescent="0.35">
      <c r="B40" s="107" t="str">
        <f>+IF(LEFT(MID(Controlos[[#This Row],[tabela]],22,5),1)="B",MID(Controlos[[#This Row],[tabela]],22,5),MID(Controlos[[#This Row],[tabela]],18,5))</f>
        <v>B0200</v>
      </c>
      <c r="C40" s="107">
        <f>+IF(Controlos[[#This Row],[tipologia_teste]]="REGULAMENTAR",IF(LEFT(Controlos[[#This Row],[cod_kpi]],1)="v",IF(LEFT(Controlos[[#This Row],[descrição]],6)="Alerta","W","H"),"F"),0)</f>
        <v>0</v>
      </c>
      <c r="F40" t="s">
        <v>339</v>
      </c>
      <c r="G40" t="s">
        <v>398</v>
      </c>
      <c r="H40" t="s">
        <v>362</v>
      </c>
      <c r="I40" t="s">
        <v>363</v>
      </c>
      <c r="J40" t="s">
        <v>37</v>
      </c>
      <c r="K40" t="s">
        <v>66</v>
      </c>
      <c r="L40">
        <v>8</v>
      </c>
      <c r="M40">
        <v>0</v>
      </c>
    </row>
    <row r="41" spans="2:13" x14ac:dyDescent="0.35">
      <c r="B41" s="107" t="str">
        <f>+IF(LEFT(MID(Controlos[[#This Row],[tabela]],22,5),1)="B",MID(Controlos[[#This Row],[tabela]],22,5),MID(Controlos[[#This Row],[tabela]],18,5))</f>
        <v>B0200</v>
      </c>
      <c r="C41" s="107">
        <f>+IF(Controlos[[#This Row],[tipologia_teste]]="REGULAMENTAR",IF(LEFT(Controlos[[#This Row],[cod_kpi]],1)="v",IF(LEFT(Controlos[[#This Row],[descrição]],6)="Alerta","W","H"),"F"),0)</f>
        <v>0</v>
      </c>
      <c r="F41" t="s">
        <v>339</v>
      </c>
      <c r="G41" t="s">
        <v>399</v>
      </c>
      <c r="H41" t="s">
        <v>362</v>
      </c>
      <c r="I41" t="s">
        <v>363</v>
      </c>
      <c r="J41" t="s">
        <v>37</v>
      </c>
      <c r="K41" t="s">
        <v>67</v>
      </c>
      <c r="L41">
        <v>8</v>
      </c>
      <c r="M41">
        <v>0</v>
      </c>
    </row>
    <row r="42" spans="2:13" x14ac:dyDescent="0.35">
      <c r="B42" s="107" t="str">
        <f>+IF(LEFT(MID(Controlos[[#This Row],[tabela]],22,5),1)="B",MID(Controlos[[#This Row],[tabela]],22,5),MID(Controlos[[#This Row],[tabela]],18,5))</f>
        <v>B0200</v>
      </c>
      <c r="C42" s="107">
        <f>+IF(Controlos[[#This Row],[tipologia_teste]]="REGULAMENTAR",IF(LEFT(Controlos[[#This Row],[cod_kpi]],1)="v",IF(LEFT(Controlos[[#This Row],[descrição]],6)="Alerta","W","H"),"F"),0)</f>
        <v>0</v>
      </c>
      <c r="F42" t="s">
        <v>339</v>
      </c>
      <c r="G42" t="s">
        <v>400</v>
      </c>
      <c r="H42" t="s">
        <v>362</v>
      </c>
      <c r="I42" t="s">
        <v>363</v>
      </c>
      <c r="J42" t="s">
        <v>37</v>
      </c>
      <c r="K42" t="s">
        <v>401</v>
      </c>
      <c r="L42">
        <v>8</v>
      </c>
      <c r="M42">
        <v>0</v>
      </c>
    </row>
    <row r="43" spans="2:13" x14ac:dyDescent="0.35">
      <c r="B43" s="107" t="str">
        <f>+IF(LEFT(MID(Controlos[[#This Row],[tabela]],22,5),1)="B",MID(Controlos[[#This Row],[tabela]],22,5),MID(Controlos[[#This Row],[tabela]],18,5))</f>
        <v>B0200</v>
      </c>
      <c r="C43" s="107">
        <f>+IF(Controlos[[#This Row],[tipologia_teste]]="REGULAMENTAR",IF(LEFT(Controlos[[#This Row],[cod_kpi]],1)="v",IF(LEFT(Controlos[[#This Row],[descrição]],6)="Alerta","W","H"),"F"),0)</f>
        <v>0</v>
      </c>
      <c r="F43" t="s">
        <v>339</v>
      </c>
      <c r="G43" t="s">
        <v>402</v>
      </c>
      <c r="H43" t="s">
        <v>362</v>
      </c>
      <c r="I43" t="s">
        <v>363</v>
      </c>
      <c r="J43" t="s">
        <v>37</v>
      </c>
      <c r="K43" t="s">
        <v>69</v>
      </c>
      <c r="L43">
        <v>8</v>
      </c>
      <c r="M43">
        <v>0</v>
      </c>
    </row>
    <row r="44" spans="2:13" x14ac:dyDescent="0.35">
      <c r="B44" s="107" t="str">
        <f>+IF(LEFT(MID(Controlos[[#This Row],[tabela]],22,5),1)="B",MID(Controlos[[#This Row],[tabela]],22,5),MID(Controlos[[#This Row],[tabela]],18,5))</f>
        <v>B0200</v>
      </c>
      <c r="C44" s="107">
        <f>+IF(Controlos[[#This Row],[tipologia_teste]]="REGULAMENTAR",IF(LEFT(Controlos[[#This Row],[cod_kpi]],1)="v",IF(LEFT(Controlos[[#This Row],[descrição]],6)="Alerta","W","H"),"F"),0)</f>
        <v>0</v>
      </c>
      <c r="F44" t="s">
        <v>339</v>
      </c>
      <c r="G44" t="s">
        <v>403</v>
      </c>
      <c r="H44" t="s">
        <v>362</v>
      </c>
      <c r="I44" t="s">
        <v>363</v>
      </c>
      <c r="J44" t="s">
        <v>37</v>
      </c>
      <c r="K44" t="s">
        <v>70</v>
      </c>
      <c r="L44">
        <v>8</v>
      </c>
      <c r="M44">
        <v>0</v>
      </c>
    </row>
    <row r="45" spans="2:13" x14ac:dyDescent="0.35">
      <c r="B45" s="107" t="str">
        <f>+IF(LEFT(MID(Controlos[[#This Row],[tabela]],22,5),1)="B",MID(Controlos[[#This Row],[tabela]],22,5),MID(Controlos[[#This Row],[tabela]],18,5))</f>
        <v>B0200</v>
      </c>
      <c r="C45" s="107">
        <f>+IF(Controlos[[#This Row],[tipologia_teste]]="REGULAMENTAR",IF(LEFT(Controlos[[#This Row],[cod_kpi]],1)="v",IF(LEFT(Controlos[[#This Row],[descrição]],6)="Alerta","W","H"),"F"),0)</f>
        <v>0</v>
      </c>
      <c r="F45" t="s">
        <v>339</v>
      </c>
      <c r="G45" t="s">
        <v>404</v>
      </c>
      <c r="H45" t="s">
        <v>362</v>
      </c>
      <c r="I45" t="s">
        <v>363</v>
      </c>
      <c r="J45" t="s">
        <v>37</v>
      </c>
      <c r="K45" t="s">
        <v>71</v>
      </c>
      <c r="L45">
        <v>8</v>
      </c>
      <c r="M45">
        <v>0</v>
      </c>
    </row>
    <row r="46" spans="2:13" x14ac:dyDescent="0.35">
      <c r="B46" s="107" t="str">
        <f>+IF(LEFT(MID(Controlos[[#This Row],[tabela]],22,5),1)="B",MID(Controlos[[#This Row],[tabela]],22,5),MID(Controlos[[#This Row],[tabela]],18,5))</f>
        <v>B0200</v>
      </c>
      <c r="C46" s="107">
        <f>+IF(Controlos[[#This Row],[tipologia_teste]]="REGULAMENTAR",IF(LEFT(Controlos[[#This Row],[cod_kpi]],1)="v",IF(LEFT(Controlos[[#This Row],[descrição]],6)="Alerta","W","H"),"F"),0)</f>
        <v>0</v>
      </c>
      <c r="F46" t="s">
        <v>339</v>
      </c>
      <c r="G46" t="s">
        <v>405</v>
      </c>
      <c r="H46" t="s">
        <v>362</v>
      </c>
      <c r="I46" t="s">
        <v>363</v>
      </c>
      <c r="J46" t="s">
        <v>37</v>
      </c>
      <c r="K46" t="s">
        <v>72</v>
      </c>
      <c r="L46">
        <v>8</v>
      </c>
      <c r="M46">
        <v>0</v>
      </c>
    </row>
    <row r="47" spans="2:13" x14ac:dyDescent="0.35">
      <c r="B47" s="107" t="str">
        <f>+IF(LEFT(MID(Controlos[[#This Row],[tabela]],22,5),1)="B",MID(Controlos[[#This Row],[tabela]],22,5),MID(Controlos[[#This Row],[tabela]],18,5))</f>
        <v>B0200</v>
      </c>
      <c r="C47" s="107">
        <f>+IF(Controlos[[#This Row],[tipologia_teste]]="REGULAMENTAR",IF(LEFT(Controlos[[#This Row],[cod_kpi]],1)="v",IF(LEFT(Controlos[[#This Row],[descrição]],6)="Alerta","W","H"),"F"),0)</f>
        <v>0</v>
      </c>
      <c r="F47" t="s">
        <v>339</v>
      </c>
      <c r="G47" t="s">
        <v>406</v>
      </c>
      <c r="H47" t="s">
        <v>362</v>
      </c>
      <c r="I47" t="s">
        <v>363</v>
      </c>
      <c r="J47" t="s">
        <v>37</v>
      </c>
      <c r="K47" t="s">
        <v>73</v>
      </c>
      <c r="L47">
        <v>8</v>
      </c>
      <c r="M47">
        <v>0</v>
      </c>
    </row>
    <row r="48" spans="2:13" x14ac:dyDescent="0.35">
      <c r="B48" s="107" t="str">
        <f>+IF(LEFT(MID(Controlos[[#This Row],[tabela]],22,5),1)="B",MID(Controlos[[#This Row],[tabela]],22,5),MID(Controlos[[#This Row],[tabela]],18,5))</f>
        <v>B0200</v>
      </c>
      <c r="C48" s="107">
        <f>+IF(Controlos[[#This Row],[tipologia_teste]]="REGULAMENTAR",IF(LEFT(Controlos[[#This Row],[cod_kpi]],1)="v",IF(LEFT(Controlos[[#This Row],[descrição]],6)="Alerta","W","H"),"F"),0)</f>
        <v>0</v>
      </c>
      <c r="F48" t="s">
        <v>339</v>
      </c>
      <c r="G48" t="s">
        <v>407</v>
      </c>
      <c r="H48" t="s">
        <v>362</v>
      </c>
      <c r="I48" t="s">
        <v>363</v>
      </c>
      <c r="J48" t="s">
        <v>37</v>
      </c>
      <c r="K48" t="s">
        <v>408</v>
      </c>
      <c r="L48">
        <v>8</v>
      </c>
      <c r="M48">
        <v>0</v>
      </c>
    </row>
    <row r="49" spans="2:14" x14ac:dyDescent="0.35">
      <c r="B49" s="107" t="str">
        <f>+IF(LEFT(MID(Controlos[[#This Row],[tabela]],22,5),1)="B",MID(Controlos[[#This Row],[tabela]],22,5),MID(Controlos[[#This Row],[tabela]],18,5))</f>
        <v>B0200</v>
      </c>
      <c r="C49" s="107">
        <f>+IF(Controlos[[#This Row],[tipologia_teste]]="REGULAMENTAR",IF(LEFT(Controlos[[#This Row],[cod_kpi]],1)="v",IF(LEFT(Controlos[[#This Row],[descrição]],6)="Alerta","W","H"),"F"),0)</f>
        <v>0</v>
      </c>
      <c r="F49" t="s">
        <v>339</v>
      </c>
      <c r="G49" t="s">
        <v>409</v>
      </c>
      <c r="H49" t="s">
        <v>362</v>
      </c>
      <c r="I49" t="s">
        <v>363</v>
      </c>
      <c r="J49" t="s">
        <v>37</v>
      </c>
      <c r="K49" t="s">
        <v>74</v>
      </c>
      <c r="L49">
        <v>8</v>
      </c>
      <c r="M49">
        <v>0</v>
      </c>
    </row>
    <row r="50" spans="2:14" x14ac:dyDescent="0.35">
      <c r="B50" s="107" t="str">
        <f>+IF(LEFT(MID(Controlos[[#This Row],[tabela]],22,5),1)="B",MID(Controlos[[#This Row],[tabela]],22,5),MID(Controlos[[#This Row],[tabela]],18,5))</f>
        <v>B0200</v>
      </c>
      <c r="C50" s="107">
        <f>+IF(Controlos[[#This Row],[tipologia_teste]]="REGULAMENTAR",IF(LEFT(Controlos[[#This Row],[cod_kpi]],1)="v",IF(LEFT(Controlos[[#This Row],[descrição]],6)="Alerta","W","H"),"F"),0)</f>
        <v>0</v>
      </c>
      <c r="F50" t="s">
        <v>339</v>
      </c>
      <c r="G50" t="s">
        <v>410</v>
      </c>
      <c r="H50" t="s">
        <v>362</v>
      </c>
      <c r="I50" t="s">
        <v>363</v>
      </c>
      <c r="J50" t="s">
        <v>37</v>
      </c>
      <c r="K50" t="s">
        <v>75</v>
      </c>
      <c r="L50">
        <v>8</v>
      </c>
      <c r="M50">
        <v>0</v>
      </c>
    </row>
    <row r="51" spans="2:14" x14ac:dyDescent="0.35">
      <c r="B51" s="107" t="str">
        <f>+IF(LEFT(MID(Controlos[[#This Row],[tabela]],22,5),1)="B",MID(Controlos[[#This Row],[tabela]],22,5),MID(Controlos[[#This Row],[tabela]],18,5))</f>
        <v>B0200</v>
      </c>
      <c r="C51" s="107">
        <f>+IF(Controlos[[#This Row],[tipologia_teste]]="REGULAMENTAR",IF(LEFT(Controlos[[#This Row],[cod_kpi]],1)="v",IF(LEFT(Controlos[[#This Row],[descrição]],6)="Alerta","W","H"),"F"),0)</f>
        <v>0</v>
      </c>
      <c r="F51" t="s">
        <v>339</v>
      </c>
      <c r="G51" t="s">
        <v>411</v>
      </c>
      <c r="H51" t="s">
        <v>362</v>
      </c>
      <c r="I51" t="s">
        <v>363</v>
      </c>
      <c r="J51" t="s">
        <v>37</v>
      </c>
      <c r="K51" t="s">
        <v>412</v>
      </c>
      <c r="L51">
        <v>8</v>
      </c>
      <c r="M51">
        <v>8</v>
      </c>
      <c r="N51" t="s">
        <v>453</v>
      </c>
    </row>
    <row r="52" spans="2:14" x14ac:dyDescent="0.35">
      <c r="B52" s="107" t="str">
        <f>+IF(LEFT(MID(Controlos[[#This Row],[tabela]],22,5),1)="B",MID(Controlos[[#This Row],[tabela]],22,5),MID(Controlos[[#This Row],[tabela]],18,5))</f>
        <v>B0200</v>
      </c>
      <c r="C52" s="107">
        <f>+IF(Controlos[[#This Row],[tipologia_teste]]="REGULAMENTAR",IF(LEFT(Controlos[[#This Row],[cod_kpi]],1)="v",IF(LEFT(Controlos[[#This Row],[descrição]],6)="Alerta","W","H"),"F"),0)</f>
        <v>0</v>
      </c>
      <c r="F52" t="s">
        <v>339</v>
      </c>
      <c r="G52" t="s">
        <v>413</v>
      </c>
      <c r="H52" t="s">
        <v>362</v>
      </c>
      <c r="I52" t="s">
        <v>363</v>
      </c>
      <c r="J52" t="s">
        <v>37</v>
      </c>
      <c r="K52" t="s">
        <v>414</v>
      </c>
      <c r="L52">
        <v>8</v>
      </c>
      <c r="M52">
        <v>8</v>
      </c>
      <c r="N52" t="s">
        <v>453</v>
      </c>
    </row>
    <row r="53" spans="2:14" x14ac:dyDescent="0.35">
      <c r="B53" s="107" t="str">
        <f>+IF(LEFT(MID(Controlos[[#This Row],[tabela]],22,5),1)="B",MID(Controlos[[#This Row],[tabela]],22,5),MID(Controlos[[#This Row],[tabela]],18,5))</f>
        <v>B0200</v>
      </c>
      <c r="C53" s="107">
        <f>+IF(Controlos[[#This Row],[tipologia_teste]]="REGULAMENTAR",IF(LEFT(Controlos[[#This Row],[cod_kpi]],1)="v",IF(LEFT(Controlos[[#This Row],[descrição]],6)="Alerta","W","H"),"F"),0)</f>
        <v>0</v>
      </c>
      <c r="F53" t="s">
        <v>339</v>
      </c>
      <c r="G53" t="s">
        <v>415</v>
      </c>
      <c r="H53" t="s">
        <v>362</v>
      </c>
      <c r="I53" t="s">
        <v>363</v>
      </c>
      <c r="J53" t="s">
        <v>37</v>
      </c>
      <c r="K53" t="s">
        <v>416</v>
      </c>
      <c r="L53">
        <v>8</v>
      </c>
      <c r="M53">
        <v>8</v>
      </c>
      <c r="N53" t="s">
        <v>453</v>
      </c>
    </row>
    <row r="54" spans="2:14" x14ac:dyDescent="0.35">
      <c r="B54" s="107" t="str">
        <f>+IF(LEFT(MID(Controlos[[#This Row],[tabela]],22,5),1)="B",MID(Controlos[[#This Row],[tabela]],22,5),MID(Controlos[[#This Row],[tabela]],18,5))</f>
        <v>B0200</v>
      </c>
      <c r="C54" s="107">
        <f>+IF(Controlos[[#This Row],[tipologia_teste]]="REGULAMENTAR",IF(LEFT(Controlos[[#This Row],[cod_kpi]],1)="v",IF(LEFT(Controlos[[#This Row],[descrição]],6)="Alerta","W","H"),"F"),0)</f>
        <v>0</v>
      </c>
      <c r="F54" t="s">
        <v>339</v>
      </c>
      <c r="G54" t="s">
        <v>417</v>
      </c>
      <c r="H54" t="s">
        <v>362</v>
      </c>
      <c r="I54" t="s">
        <v>363</v>
      </c>
      <c r="J54" t="s">
        <v>37</v>
      </c>
      <c r="K54" t="s">
        <v>76</v>
      </c>
      <c r="L54">
        <v>8</v>
      </c>
      <c r="M54">
        <v>0</v>
      </c>
    </row>
    <row r="55" spans="2:14" x14ac:dyDescent="0.35">
      <c r="B55" s="107" t="str">
        <f>+IF(LEFT(MID(Controlos[[#This Row],[tabela]],22,5),1)="B",MID(Controlos[[#This Row],[tabela]],22,5),MID(Controlos[[#This Row],[tabela]],18,5))</f>
        <v>B0200</v>
      </c>
      <c r="C55" s="107">
        <f>+IF(Controlos[[#This Row],[tipologia_teste]]="REGULAMENTAR",IF(LEFT(Controlos[[#This Row],[cod_kpi]],1)="v",IF(LEFT(Controlos[[#This Row],[descrição]],6)="Alerta","W","H"),"F"),0)</f>
        <v>0</v>
      </c>
      <c r="F55" t="s">
        <v>339</v>
      </c>
      <c r="G55" t="s">
        <v>418</v>
      </c>
      <c r="H55" t="s">
        <v>362</v>
      </c>
      <c r="I55" t="s">
        <v>363</v>
      </c>
      <c r="J55" t="s">
        <v>37</v>
      </c>
      <c r="K55" t="s">
        <v>77</v>
      </c>
      <c r="L55">
        <v>8</v>
      </c>
      <c r="M55">
        <v>0</v>
      </c>
    </row>
    <row r="56" spans="2:14" x14ac:dyDescent="0.35">
      <c r="B56" s="107" t="str">
        <f>+IF(LEFT(MID(Controlos[[#This Row],[tabela]],22,5),1)="B",MID(Controlos[[#This Row],[tabela]],22,5),MID(Controlos[[#This Row],[tabela]],18,5))</f>
        <v>B0200</v>
      </c>
      <c r="C56" s="107">
        <f>+IF(Controlos[[#This Row],[tipologia_teste]]="REGULAMENTAR",IF(LEFT(Controlos[[#This Row],[cod_kpi]],1)="v",IF(LEFT(Controlos[[#This Row],[descrição]],6)="Alerta","W","H"),"F"),0)</f>
        <v>0</v>
      </c>
      <c r="F56" t="s">
        <v>339</v>
      </c>
      <c r="G56" t="s">
        <v>419</v>
      </c>
      <c r="H56" t="s">
        <v>362</v>
      </c>
      <c r="I56" t="s">
        <v>363</v>
      </c>
      <c r="J56" t="s">
        <v>37</v>
      </c>
      <c r="K56" t="s">
        <v>78</v>
      </c>
      <c r="L56">
        <v>8</v>
      </c>
      <c r="M56">
        <v>0</v>
      </c>
    </row>
    <row r="57" spans="2:14" x14ac:dyDescent="0.35">
      <c r="B57" s="107" t="str">
        <f>+IF(LEFT(MID(Controlos[[#This Row],[tabela]],22,5),1)="B",MID(Controlos[[#This Row],[tabela]],22,5),MID(Controlos[[#This Row],[tabela]],18,5))</f>
        <v>B0200</v>
      </c>
      <c r="C57" s="107">
        <f>+IF(Controlos[[#This Row],[tipologia_teste]]="REGULAMENTAR",IF(LEFT(Controlos[[#This Row],[cod_kpi]],1)="v",IF(LEFT(Controlos[[#This Row],[descrição]],6)="Alerta","W","H"),"F"),0)</f>
        <v>0</v>
      </c>
      <c r="F57" t="s">
        <v>339</v>
      </c>
      <c r="G57" t="s">
        <v>420</v>
      </c>
      <c r="H57" t="s">
        <v>362</v>
      </c>
      <c r="I57" t="s">
        <v>363</v>
      </c>
      <c r="J57" t="s">
        <v>37</v>
      </c>
      <c r="K57" t="s">
        <v>79</v>
      </c>
      <c r="L57">
        <v>8</v>
      </c>
      <c r="M57">
        <v>0</v>
      </c>
    </row>
    <row r="58" spans="2:14" x14ac:dyDescent="0.35">
      <c r="B58" s="107" t="str">
        <f>+IF(LEFT(MID(Controlos[[#This Row],[tabela]],22,5),1)="B",MID(Controlos[[#This Row],[tabela]],22,5),MID(Controlos[[#This Row],[tabela]],18,5))</f>
        <v>B0200</v>
      </c>
      <c r="C58" s="107">
        <f>+IF(Controlos[[#This Row],[tipologia_teste]]="REGULAMENTAR",IF(LEFT(Controlos[[#This Row],[cod_kpi]],1)="v",IF(LEFT(Controlos[[#This Row],[descrição]],6)="Alerta","W","H"),"F"),0)</f>
        <v>0</v>
      </c>
      <c r="F58" t="s">
        <v>339</v>
      </c>
      <c r="G58" t="s">
        <v>421</v>
      </c>
      <c r="H58" t="s">
        <v>362</v>
      </c>
      <c r="I58" t="s">
        <v>363</v>
      </c>
      <c r="J58" t="s">
        <v>37</v>
      </c>
      <c r="K58" t="s">
        <v>80</v>
      </c>
      <c r="L58">
        <v>8</v>
      </c>
      <c r="M58">
        <v>0</v>
      </c>
    </row>
    <row r="59" spans="2:14" x14ac:dyDescent="0.35">
      <c r="B59" s="107" t="str">
        <f>+IF(LEFT(MID(Controlos[[#This Row],[tabela]],22,5),1)="B",MID(Controlos[[#This Row],[tabela]],22,5),MID(Controlos[[#This Row],[tabela]],18,5))</f>
        <v>B0200</v>
      </c>
      <c r="C59" s="107">
        <f>+IF(Controlos[[#This Row],[tipologia_teste]]="REGULAMENTAR",IF(LEFT(Controlos[[#This Row],[cod_kpi]],1)="v",IF(LEFT(Controlos[[#This Row],[descrição]],6)="Alerta","W","H"),"F"),0)</f>
        <v>0</v>
      </c>
      <c r="F59" t="s">
        <v>339</v>
      </c>
      <c r="G59" t="s">
        <v>422</v>
      </c>
      <c r="H59" t="s">
        <v>362</v>
      </c>
      <c r="I59" t="s">
        <v>363</v>
      </c>
      <c r="J59" t="s">
        <v>37</v>
      </c>
      <c r="K59" t="s">
        <v>81</v>
      </c>
      <c r="L59">
        <v>8</v>
      </c>
      <c r="M59">
        <v>0</v>
      </c>
    </row>
    <row r="60" spans="2:14" x14ac:dyDescent="0.35">
      <c r="B60" s="107" t="str">
        <f>+IF(LEFT(MID(Controlos[[#This Row],[tabela]],22,5),1)="B",MID(Controlos[[#This Row],[tabela]],22,5),MID(Controlos[[#This Row],[tabela]],18,5))</f>
        <v>B0200</v>
      </c>
      <c r="C60" s="107">
        <f>+IF(Controlos[[#This Row],[tipologia_teste]]="REGULAMENTAR",IF(LEFT(Controlos[[#This Row],[cod_kpi]],1)="v",IF(LEFT(Controlos[[#This Row],[descrição]],6)="Alerta","W","H"),"F"),0)</f>
        <v>0</v>
      </c>
      <c r="F60" t="s">
        <v>339</v>
      </c>
      <c r="G60" t="s">
        <v>423</v>
      </c>
      <c r="H60" t="s">
        <v>362</v>
      </c>
      <c r="I60" t="s">
        <v>363</v>
      </c>
      <c r="J60" t="s">
        <v>37</v>
      </c>
      <c r="K60" t="s">
        <v>82</v>
      </c>
      <c r="L60">
        <v>8</v>
      </c>
      <c r="M60">
        <v>0</v>
      </c>
    </row>
    <row r="61" spans="2:14" x14ac:dyDescent="0.35">
      <c r="B61" s="107" t="str">
        <f>+IF(LEFT(MID(Controlos[[#This Row],[tabela]],22,5),1)="B",MID(Controlos[[#This Row],[tabela]],22,5),MID(Controlos[[#This Row],[tabela]],18,5))</f>
        <v>B0200</v>
      </c>
      <c r="C61" s="107">
        <f>+IF(Controlos[[#This Row],[tipologia_teste]]="REGULAMENTAR",IF(LEFT(Controlos[[#This Row],[cod_kpi]],1)="v",IF(LEFT(Controlos[[#This Row],[descrição]],6)="Alerta","W","H"),"F"),0)</f>
        <v>0</v>
      </c>
      <c r="F61" t="s">
        <v>339</v>
      </c>
      <c r="G61" t="s">
        <v>424</v>
      </c>
      <c r="H61" t="s">
        <v>362</v>
      </c>
      <c r="I61" t="s">
        <v>363</v>
      </c>
      <c r="J61" t="s">
        <v>37</v>
      </c>
      <c r="K61" t="s">
        <v>83</v>
      </c>
      <c r="L61">
        <v>8</v>
      </c>
      <c r="M61">
        <v>0</v>
      </c>
    </row>
    <row r="62" spans="2:14" x14ac:dyDescent="0.35">
      <c r="B62" s="107" t="str">
        <f>+IF(LEFT(MID(Controlos[[#This Row],[tabela]],22,5),1)="B",MID(Controlos[[#This Row],[tabela]],22,5),MID(Controlos[[#This Row],[tabela]],18,5))</f>
        <v>B0200</v>
      </c>
      <c r="C62" s="107">
        <f>+IF(Controlos[[#This Row],[tipologia_teste]]="REGULAMENTAR",IF(LEFT(Controlos[[#This Row],[cod_kpi]],1)="v",IF(LEFT(Controlos[[#This Row],[descrição]],6)="Alerta","W","H"),"F"),0)</f>
        <v>0</v>
      </c>
      <c r="F62" t="s">
        <v>339</v>
      </c>
      <c r="G62" t="s">
        <v>425</v>
      </c>
      <c r="H62" t="s">
        <v>362</v>
      </c>
      <c r="I62" t="s">
        <v>363</v>
      </c>
      <c r="J62" t="s">
        <v>37</v>
      </c>
      <c r="K62" t="s">
        <v>84</v>
      </c>
      <c r="L62">
        <v>8</v>
      </c>
      <c r="M62">
        <v>0</v>
      </c>
    </row>
    <row r="63" spans="2:14" x14ac:dyDescent="0.35">
      <c r="B63" s="107" t="str">
        <f>+IF(LEFT(MID(Controlos[[#This Row],[tabela]],22,5),1)="B",MID(Controlos[[#This Row],[tabela]],22,5),MID(Controlos[[#This Row],[tabela]],18,5))</f>
        <v>B0200</v>
      </c>
      <c r="C63" s="107">
        <f>+IF(Controlos[[#This Row],[tipologia_teste]]="REGULAMENTAR",IF(LEFT(Controlos[[#This Row],[cod_kpi]],1)="v",IF(LEFT(Controlos[[#This Row],[descrição]],6)="Alerta","W","H"),"F"),0)</f>
        <v>0</v>
      </c>
      <c r="F63" t="s">
        <v>339</v>
      </c>
      <c r="G63" t="s">
        <v>426</v>
      </c>
      <c r="H63" t="s">
        <v>362</v>
      </c>
      <c r="I63" t="s">
        <v>363</v>
      </c>
      <c r="J63" t="s">
        <v>37</v>
      </c>
      <c r="K63" t="s">
        <v>85</v>
      </c>
      <c r="L63">
        <v>8</v>
      </c>
      <c r="M63">
        <v>0</v>
      </c>
    </row>
    <row r="64" spans="2:14" x14ac:dyDescent="0.35">
      <c r="B64" s="107" t="str">
        <f>+IF(LEFT(MID(Controlos[[#This Row],[tabela]],22,5),1)="B",MID(Controlos[[#This Row],[tabela]],22,5),MID(Controlos[[#This Row],[tabela]],18,5))</f>
        <v>B0200</v>
      </c>
      <c r="C64" s="107">
        <f>+IF(Controlos[[#This Row],[tipologia_teste]]="REGULAMENTAR",IF(LEFT(Controlos[[#This Row],[cod_kpi]],1)="v",IF(LEFT(Controlos[[#This Row],[descrição]],6)="Alerta","W","H"),"F"),0)</f>
        <v>0</v>
      </c>
      <c r="F64" t="s">
        <v>339</v>
      </c>
      <c r="G64" t="s">
        <v>427</v>
      </c>
      <c r="H64" t="s">
        <v>362</v>
      </c>
      <c r="I64" t="s">
        <v>363</v>
      </c>
      <c r="J64" t="s">
        <v>37</v>
      </c>
      <c r="K64" t="s">
        <v>86</v>
      </c>
      <c r="L64">
        <v>8</v>
      </c>
      <c r="M64">
        <v>0</v>
      </c>
    </row>
    <row r="65" spans="2:13" x14ac:dyDescent="0.35">
      <c r="B65" s="107" t="str">
        <f>+IF(LEFT(MID(Controlos[[#This Row],[tabela]],22,5),1)="B",MID(Controlos[[#This Row],[tabela]],22,5),MID(Controlos[[#This Row],[tabela]],18,5))</f>
        <v>B0200</v>
      </c>
      <c r="C65" s="107">
        <f>+IF(Controlos[[#This Row],[tipologia_teste]]="REGULAMENTAR",IF(LEFT(Controlos[[#This Row],[cod_kpi]],1)="v",IF(LEFT(Controlos[[#This Row],[descrição]],6)="Alerta","W","H"),"F"),0)</f>
        <v>0</v>
      </c>
      <c r="F65" t="s">
        <v>339</v>
      </c>
      <c r="G65" t="s">
        <v>428</v>
      </c>
      <c r="H65" t="s">
        <v>362</v>
      </c>
      <c r="I65" t="s">
        <v>363</v>
      </c>
      <c r="J65" t="s">
        <v>37</v>
      </c>
      <c r="K65" t="s">
        <v>87</v>
      </c>
      <c r="L65">
        <v>8</v>
      </c>
      <c r="M65">
        <v>0</v>
      </c>
    </row>
    <row r="66" spans="2:13" x14ac:dyDescent="0.35">
      <c r="B66" s="107" t="str">
        <f>+IF(LEFT(MID(Controlos[[#This Row],[tabela]],22,5),1)="B",MID(Controlos[[#This Row],[tabela]],22,5),MID(Controlos[[#This Row],[tabela]],18,5))</f>
        <v>B0200</v>
      </c>
      <c r="C66" s="107">
        <f>+IF(Controlos[[#This Row],[tipologia_teste]]="REGULAMENTAR",IF(LEFT(Controlos[[#This Row],[cod_kpi]],1)="v",IF(LEFT(Controlos[[#This Row],[descrição]],6)="Alerta","W","H"),"F"),0)</f>
        <v>0</v>
      </c>
      <c r="F66" t="s">
        <v>339</v>
      </c>
      <c r="G66" t="s">
        <v>429</v>
      </c>
      <c r="H66" t="s">
        <v>362</v>
      </c>
      <c r="I66" t="s">
        <v>363</v>
      </c>
      <c r="J66" t="s">
        <v>37</v>
      </c>
      <c r="K66" t="s">
        <v>88</v>
      </c>
      <c r="L66">
        <v>8</v>
      </c>
      <c r="M66">
        <v>0</v>
      </c>
    </row>
    <row r="67" spans="2:13" x14ac:dyDescent="0.35">
      <c r="B67" s="107" t="str">
        <f>+IF(LEFT(MID(Controlos[[#This Row],[tabela]],22,5),1)="B",MID(Controlos[[#This Row],[tabela]],22,5),MID(Controlos[[#This Row],[tabela]],18,5))</f>
        <v>B0200</v>
      </c>
      <c r="C67" s="107">
        <f>+IF(Controlos[[#This Row],[tipologia_teste]]="REGULAMENTAR",IF(LEFT(Controlos[[#This Row],[cod_kpi]],1)="v",IF(LEFT(Controlos[[#This Row],[descrição]],6)="Alerta","W","H"),"F"),0)</f>
        <v>0</v>
      </c>
      <c r="F67" t="s">
        <v>339</v>
      </c>
      <c r="G67" t="s">
        <v>430</v>
      </c>
      <c r="H67" t="s">
        <v>362</v>
      </c>
      <c r="I67" t="s">
        <v>363</v>
      </c>
      <c r="J67" t="s">
        <v>37</v>
      </c>
      <c r="K67" t="s">
        <v>89</v>
      </c>
      <c r="L67">
        <v>8</v>
      </c>
      <c r="M67">
        <v>0</v>
      </c>
    </row>
    <row r="68" spans="2:13" x14ac:dyDescent="0.35">
      <c r="B68" s="107" t="str">
        <f>+IF(LEFT(MID(Controlos[[#This Row],[tabela]],22,5),1)="B",MID(Controlos[[#This Row],[tabela]],22,5),MID(Controlos[[#This Row],[tabela]],18,5))</f>
        <v>B0200</v>
      </c>
      <c r="C68" s="107">
        <f>+IF(Controlos[[#This Row],[tipologia_teste]]="REGULAMENTAR",IF(LEFT(Controlos[[#This Row],[cod_kpi]],1)="v",IF(LEFT(Controlos[[#This Row],[descrição]],6)="Alerta","W","H"),"F"),0)</f>
        <v>0</v>
      </c>
      <c r="F68" t="s">
        <v>339</v>
      </c>
      <c r="G68" t="s">
        <v>431</v>
      </c>
      <c r="H68" t="s">
        <v>362</v>
      </c>
      <c r="I68" t="s">
        <v>363</v>
      </c>
      <c r="J68" t="s">
        <v>37</v>
      </c>
      <c r="K68" t="s">
        <v>90</v>
      </c>
      <c r="L68">
        <v>8</v>
      </c>
      <c r="M68">
        <v>0</v>
      </c>
    </row>
    <row r="69" spans="2:13" x14ac:dyDescent="0.35">
      <c r="B69" s="107" t="str">
        <f>+IF(LEFT(MID(Controlos[[#This Row],[tabela]],22,5),1)="B",MID(Controlos[[#This Row],[tabela]],22,5),MID(Controlos[[#This Row],[tabela]],18,5))</f>
        <v>B0200</v>
      </c>
      <c r="C69" s="107">
        <f>+IF(Controlos[[#This Row],[tipologia_teste]]="REGULAMENTAR",IF(LEFT(Controlos[[#This Row],[cod_kpi]],1)="v",IF(LEFT(Controlos[[#This Row],[descrição]],6)="Alerta","W","H"),"F"),0)</f>
        <v>0</v>
      </c>
      <c r="F69" t="s">
        <v>339</v>
      </c>
      <c r="G69" t="s">
        <v>432</v>
      </c>
      <c r="H69" t="s">
        <v>362</v>
      </c>
      <c r="I69" t="s">
        <v>363</v>
      </c>
      <c r="J69" t="s">
        <v>37</v>
      </c>
      <c r="K69" t="s">
        <v>91</v>
      </c>
      <c r="L69">
        <v>8</v>
      </c>
      <c r="M69">
        <v>0</v>
      </c>
    </row>
    <row r="70" spans="2:13" x14ac:dyDescent="0.35">
      <c r="B70" s="107" t="str">
        <f>+IF(LEFT(MID(Controlos[[#This Row],[tabela]],22,5),1)="B",MID(Controlos[[#This Row],[tabela]],22,5),MID(Controlos[[#This Row],[tabela]],18,5))</f>
        <v>B0200</v>
      </c>
      <c r="C70" s="107">
        <f>+IF(Controlos[[#This Row],[tipologia_teste]]="REGULAMENTAR",IF(LEFT(Controlos[[#This Row],[cod_kpi]],1)="v",IF(LEFT(Controlos[[#This Row],[descrição]],6)="Alerta","W","H"),"F"),0)</f>
        <v>0</v>
      </c>
      <c r="F70" t="s">
        <v>339</v>
      </c>
      <c r="G70" t="s">
        <v>433</v>
      </c>
      <c r="H70" t="s">
        <v>362</v>
      </c>
      <c r="I70" t="s">
        <v>363</v>
      </c>
      <c r="J70" t="s">
        <v>37</v>
      </c>
      <c r="K70" t="s">
        <v>92</v>
      </c>
      <c r="L70">
        <v>8</v>
      </c>
      <c r="M70">
        <v>0</v>
      </c>
    </row>
    <row r="71" spans="2:13" x14ac:dyDescent="0.35">
      <c r="B71" s="107" t="str">
        <f>+IF(LEFT(MID(Controlos[[#This Row],[tabela]],22,5),1)="B",MID(Controlos[[#This Row],[tabela]],22,5),MID(Controlos[[#This Row],[tabela]],18,5))</f>
        <v>B0200</v>
      </c>
      <c r="C71" s="107">
        <f>+IF(Controlos[[#This Row],[tipologia_teste]]="REGULAMENTAR",IF(LEFT(Controlos[[#This Row],[cod_kpi]],1)="v",IF(LEFT(Controlos[[#This Row],[descrição]],6)="Alerta","W","H"),"F"),0)</f>
        <v>0</v>
      </c>
      <c r="F71" t="s">
        <v>339</v>
      </c>
      <c r="G71" t="s">
        <v>434</v>
      </c>
      <c r="H71" t="s">
        <v>362</v>
      </c>
      <c r="I71" t="s">
        <v>363</v>
      </c>
      <c r="J71" t="s">
        <v>37</v>
      </c>
      <c r="K71" t="s">
        <v>93</v>
      </c>
      <c r="L71">
        <v>8</v>
      </c>
      <c r="M71">
        <v>0</v>
      </c>
    </row>
    <row r="72" spans="2:13" x14ac:dyDescent="0.35">
      <c r="B72" s="107" t="str">
        <f>+IF(LEFT(MID(Controlos[[#This Row],[tabela]],22,5),1)="B",MID(Controlos[[#This Row],[tabela]],22,5),MID(Controlos[[#This Row],[tabela]],18,5))</f>
        <v>B0200</v>
      </c>
      <c r="C72" s="107">
        <f>+IF(Controlos[[#This Row],[tipologia_teste]]="REGULAMENTAR",IF(LEFT(Controlos[[#This Row],[cod_kpi]],1)="v",IF(LEFT(Controlos[[#This Row],[descrição]],6)="Alerta","W","H"),"F"),0)</f>
        <v>0</v>
      </c>
      <c r="F72" t="s">
        <v>339</v>
      </c>
      <c r="G72" t="s">
        <v>435</v>
      </c>
      <c r="H72" t="s">
        <v>362</v>
      </c>
      <c r="I72" t="s">
        <v>363</v>
      </c>
      <c r="J72" t="s">
        <v>37</v>
      </c>
      <c r="K72" t="s">
        <v>94</v>
      </c>
      <c r="L72">
        <v>8</v>
      </c>
      <c r="M72">
        <v>0</v>
      </c>
    </row>
    <row r="73" spans="2:13" x14ac:dyDescent="0.35">
      <c r="B73" s="107" t="str">
        <f>+IF(LEFT(MID(Controlos[[#This Row],[tabela]],22,5),1)="B",MID(Controlos[[#This Row],[tabela]],22,5),MID(Controlos[[#This Row],[tabela]],18,5))</f>
        <v>B0200</v>
      </c>
      <c r="C73" s="107">
        <f>+IF(Controlos[[#This Row],[tipologia_teste]]="REGULAMENTAR",IF(LEFT(Controlos[[#This Row],[cod_kpi]],1)="v",IF(LEFT(Controlos[[#This Row],[descrição]],6)="Alerta","W","H"),"F"),0)</f>
        <v>0</v>
      </c>
      <c r="F73" t="s">
        <v>339</v>
      </c>
      <c r="G73" t="s">
        <v>436</v>
      </c>
      <c r="H73" t="s">
        <v>362</v>
      </c>
      <c r="I73" t="s">
        <v>363</v>
      </c>
      <c r="J73" t="s">
        <v>37</v>
      </c>
      <c r="K73" t="s">
        <v>95</v>
      </c>
      <c r="L73">
        <v>8</v>
      </c>
      <c r="M73">
        <v>0</v>
      </c>
    </row>
    <row r="74" spans="2:13" x14ac:dyDescent="0.35">
      <c r="B74" s="107" t="str">
        <f>+IF(LEFT(MID(Controlos[[#This Row],[tabela]],22,5),1)="B",MID(Controlos[[#This Row],[tabela]],22,5),MID(Controlos[[#This Row],[tabela]],18,5))</f>
        <v>B0200</v>
      </c>
      <c r="C74" s="107">
        <f>+IF(Controlos[[#This Row],[tipologia_teste]]="REGULAMENTAR",IF(LEFT(Controlos[[#This Row],[cod_kpi]],1)="v",IF(LEFT(Controlos[[#This Row],[descrição]],6)="Alerta","W","H"),"F"),0)</f>
        <v>0</v>
      </c>
      <c r="F74" t="s">
        <v>339</v>
      </c>
      <c r="G74" t="s">
        <v>437</v>
      </c>
      <c r="H74" t="s">
        <v>362</v>
      </c>
      <c r="I74" t="s">
        <v>363</v>
      </c>
      <c r="J74" t="s">
        <v>37</v>
      </c>
      <c r="K74" t="s">
        <v>96</v>
      </c>
      <c r="L74">
        <v>8</v>
      </c>
      <c r="M74">
        <v>0</v>
      </c>
    </row>
    <row r="75" spans="2:13" x14ac:dyDescent="0.35">
      <c r="B75" s="107" t="str">
        <f>+IF(LEFT(MID(Controlos[[#This Row],[tabela]],22,5),1)="B",MID(Controlos[[#This Row],[tabela]],22,5),MID(Controlos[[#This Row],[tabela]],18,5))</f>
        <v>B0200</v>
      </c>
      <c r="C75" s="107">
        <f>+IF(Controlos[[#This Row],[tipologia_teste]]="REGULAMENTAR",IF(LEFT(Controlos[[#This Row],[cod_kpi]],1)="v",IF(LEFT(Controlos[[#This Row],[descrição]],6)="Alerta","W","H"),"F"),0)</f>
        <v>0</v>
      </c>
      <c r="F75" t="s">
        <v>339</v>
      </c>
      <c r="G75" t="s">
        <v>438</v>
      </c>
      <c r="H75" t="s">
        <v>362</v>
      </c>
      <c r="I75" t="s">
        <v>363</v>
      </c>
      <c r="J75" t="s">
        <v>37</v>
      </c>
      <c r="K75" t="s">
        <v>97</v>
      </c>
      <c r="L75">
        <v>8</v>
      </c>
      <c r="M75">
        <v>0</v>
      </c>
    </row>
    <row r="76" spans="2:13" x14ac:dyDescent="0.35">
      <c r="B76" s="107" t="str">
        <f>+IF(LEFT(MID(Controlos[[#This Row],[tabela]],22,5),1)="B",MID(Controlos[[#This Row],[tabela]],22,5),MID(Controlos[[#This Row],[tabela]],18,5))</f>
        <v>B0200</v>
      </c>
      <c r="C76" s="107">
        <f>+IF(Controlos[[#This Row],[tipologia_teste]]="REGULAMENTAR",IF(LEFT(Controlos[[#This Row],[cod_kpi]],1)="v",IF(LEFT(Controlos[[#This Row],[descrição]],6)="Alerta","W","H"),"F"),0)</f>
        <v>0</v>
      </c>
      <c r="F76" t="s">
        <v>339</v>
      </c>
      <c r="G76" t="s">
        <v>439</v>
      </c>
      <c r="H76" t="s">
        <v>362</v>
      </c>
      <c r="I76" t="s">
        <v>363</v>
      </c>
      <c r="J76" t="s">
        <v>37</v>
      </c>
      <c r="K76" t="s">
        <v>98</v>
      </c>
      <c r="L76">
        <v>8</v>
      </c>
      <c r="M76">
        <v>0</v>
      </c>
    </row>
    <row r="77" spans="2:13" x14ac:dyDescent="0.35">
      <c r="B77" s="107" t="str">
        <f>+IF(LEFT(MID(Controlos[[#This Row],[tabela]],22,5),1)="B",MID(Controlos[[#This Row],[tabela]],22,5),MID(Controlos[[#This Row],[tabela]],18,5))</f>
        <v>B0200</v>
      </c>
      <c r="C77" s="107">
        <f>+IF(Controlos[[#This Row],[tipologia_teste]]="REGULAMENTAR",IF(LEFT(Controlos[[#This Row],[cod_kpi]],1)="v",IF(LEFT(Controlos[[#This Row],[descrição]],6)="Alerta","W","H"),"F"),0)</f>
        <v>0</v>
      </c>
      <c r="F77" t="s">
        <v>339</v>
      </c>
      <c r="G77" t="s">
        <v>440</v>
      </c>
      <c r="H77" t="s">
        <v>362</v>
      </c>
      <c r="I77" t="s">
        <v>363</v>
      </c>
      <c r="J77" t="s">
        <v>37</v>
      </c>
      <c r="K77" t="s">
        <v>99</v>
      </c>
      <c r="L77">
        <v>8</v>
      </c>
      <c r="M77">
        <v>0</v>
      </c>
    </row>
    <row r="78" spans="2:13" x14ac:dyDescent="0.35">
      <c r="B78" s="107" t="str">
        <f>+IF(LEFT(MID(Controlos[[#This Row],[tabela]],22,5),1)="B",MID(Controlos[[#This Row],[tabela]],22,5),MID(Controlos[[#This Row],[tabela]],18,5))</f>
        <v>B0200</v>
      </c>
      <c r="C78" s="107">
        <f>+IF(Controlos[[#This Row],[tipologia_teste]]="REGULAMENTAR",IF(LEFT(Controlos[[#This Row],[cod_kpi]],1)="v",IF(LEFT(Controlos[[#This Row],[descrição]],6)="Alerta","W","H"),"F"),0)</f>
        <v>0</v>
      </c>
      <c r="F78" t="s">
        <v>339</v>
      </c>
      <c r="G78" t="s">
        <v>441</v>
      </c>
      <c r="H78" t="s">
        <v>362</v>
      </c>
      <c r="I78" t="s">
        <v>363</v>
      </c>
      <c r="J78" t="s">
        <v>37</v>
      </c>
      <c r="K78" t="s">
        <v>100</v>
      </c>
      <c r="L78">
        <v>8</v>
      </c>
      <c r="M78">
        <v>0</v>
      </c>
    </row>
    <row r="79" spans="2:13" x14ac:dyDescent="0.35">
      <c r="B79" s="107" t="str">
        <f>+IF(LEFT(MID(Controlos[[#This Row],[tabela]],22,5),1)="B",MID(Controlos[[#This Row],[tabela]],22,5),MID(Controlos[[#This Row],[tabela]],18,5))</f>
        <v>B0200</v>
      </c>
      <c r="C79" s="107">
        <f>+IF(Controlos[[#This Row],[tipologia_teste]]="REGULAMENTAR",IF(LEFT(Controlos[[#This Row],[cod_kpi]],1)="v",IF(LEFT(Controlos[[#This Row],[descrição]],6)="Alerta","W","H"),"F"),0)</f>
        <v>0</v>
      </c>
      <c r="F79" t="s">
        <v>339</v>
      </c>
      <c r="G79" t="s">
        <v>442</v>
      </c>
      <c r="H79" t="s">
        <v>362</v>
      </c>
      <c r="I79" t="s">
        <v>363</v>
      </c>
      <c r="J79" t="s">
        <v>37</v>
      </c>
      <c r="K79" t="s">
        <v>101</v>
      </c>
      <c r="L79">
        <v>8</v>
      </c>
      <c r="M79">
        <v>0</v>
      </c>
    </row>
    <row r="80" spans="2:13" x14ac:dyDescent="0.35">
      <c r="B80" s="107" t="str">
        <f>+IF(LEFT(MID(Controlos[[#This Row],[tabela]],22,5),1)="B",MID(Controlos[[#This Row],[tabela]],22,5),MID(Controlos[[#This Row],[tabela]],18,5))</f>
        <v>B0200</v>
      </c>
      <c r="C80" s="107">
        <f>+IF(Controlos[[#This Row],[tipologia_teste]]="REGULAMENTAR",IF(LEFT(Controlos[[#This Row],[cod_kpi]],1)="v",IF(LEFT(Controlos[[#This Row],[descrição]],6)="Alerta","W","H"),"F"),0)</f>
        <v>0</v>
      </c>
      <c r="F80" t="s">
        <v>339</v>
      </c>
      <c r="G80" t="s">
        <v>443</v>
      </c>
      <c r="H80" t="s">
        <v>362</v>
      </c>
      <c r="I80" t="s">
        <v>363</v>
      </c>
      <c r="J80" t="s">
        <v>37</v>
      </c>
      <c r="K80" t="s">
        <v>102</v>
      </c>
      <c r="L80">
        <v>8</v>
      </c>
      <c r="M80">
        <v>0</v>
      </c>
    </row>
    <row r="81" spans="2:14" x14ac:dyDescent="0.35">
      <c r="B81" s="107" t="str">
        <f>+IF(LEFT(MID(Controlos[[#This Row],[tabela]],22,5),1)="B",MID(Controlos[[#This Row],[tabela]],22,5),MID(Controlos[[#This Row],[tabela]],18,5))</f>
        <v>B0200</v>
      </c>
      <c r="C81" s="107">
        <f>+IF(Controlos[[#This Row],[tipologia_teste]]="REGULAMENTAR",IF(LEFT(Controlos[[#This Row],[cod_kpi]],1)="v",IF(LEFT(Controlos[[#This Row],[descrição]],6)="Alerta","W","H"),"F"),0)</f>
        <v>0</v>
      </c>
      <c r="F81" t="s">
        <v>339</v>
      </c>
      <c r="G81" t="s">
        <v>444</v>
      </c>
      <c r="H81" t="s">
        <v>362</v>
      </c>
      <c r="I81" t="s">
        <v>363</v>
      </c>
      <c r="J81" t="s">
        <v>37</v>
      </c>
      <c r="K81" t="s">
        <v>103</v>
      </c>
      <c r="L81">
        <v>8</v>
      </c>
      <c r="M81">
        <v>0</v>
      </c>
    </row>
    <row r="82" spans="2:14" x14ac:dyDescent="0.35">
      <c r="B82" s="107" t="str">
        <f>+IF(LEFT(MID(Controlos[[#This Row],[tabela]],22,5),1)="B",MID(Controlos[[#This Row],[tabela]],22,5),MID(Controlos[[#This Row],[tabela]],18,5))</f>
        <v>B0200</v>
      </c>
      <c r="C82" s="107">
        <f>+IF(Controlos[[#This Row],[tipologia_teste]]="REGULAMENTAR",IF(LEFT(Controlos[[#This Row],[cod_kpi]],1)="v",IF(LEFT(Controlos[[#This Row],[descrição]],6)="Alerta","W","H"),"F"),0)</f>
        <v>0</v>
      </c>
      <c r="F82" t="s">
        <v>339</v>
      </c>
      <c r="G82" t="s">
        <v>445</v>
      </c>
      <c r="H82" t="s">
        <v>362</v>
      </c>
      <c r="I82" t="s">
        <v>363</v>
      </c>
      <c r="J82" t="s">
        <v>37</v>
      </c>
      <c r="K82" t="s">
        <v>104</v>
      </c>
      <c r="L82">
        <v>8</v>
      </c>
      <c r="M82">
        <v>0</v>
      </c>
    </row>
    <row r="83" spans="2:14" x14ac:dyDescent="0.35">
      <c r="B83" s="107" t="str">
        <f>+IF(LEFT(MID(Controlos[[#This Row],[tabela]],22,5),1)="B",MID(Controlos[[#This Row],[tabela]],22,5),MID(Controlos[[#This Row],[tabela]],18,5))</f>
        <v>B0200</v>
      </c>
      <c r="C83" s="107">
        <f>+IF(Controlos[[#This Row],[tipologia_teste]]="REGULAMENTAR",IF(LEFT(Controlos[[#This Row],[cod_kpi]],1)="v",IF(LEFT(Controlos[[#This Row],[descrição]],6)="Alerta","W","H"),"F"),0)</f>
        <v>0</v>
      </c>
      <c r="F83" t="s">
        <v>339</v>
      </c>
      <c r="G83" t="s">
        <v>446</v>
      </c>
      <c r="H83" t="s">
        <v>362</v>
      </c>
      <c r="I83" t="s">
        <v>363</v>
      </c>
      <c r="J83" t="s">
        <v>37</v>
      </c>
      <c r="K83" t="s">
        <v>105</v>
      </c>
      <c r="L83">
        <v>8</v>
      </c>
      <c r="M83">
        <v>0</v>
      </c>
    </row>
    <row r="84" spans="2:14" x14ac:dyDescent="0.35">
      <c r="B84" s="107" t="str">
        <f>+IF(LEFT(MID(Controlos[[#This Row],[tabela]],22,5),1)="B",MID(Controlos[[#This Row],[tabela]],22,5),MID(Controlos[[#This Row],[tabela]],18,5))</f>
        <v>B0200</v>
      </c>
      <c r="C84" s="107">
        <f>+IF(Controlos[[#This Row],[tipologia_teste]]="REGULAMENTAR",IF(LEFT(Controlos[[#This Row],[cod_kpi]],1)="v",IF(LEFT(Controlos[[#This Row],[descrição]],6)="Alerta","W","H"),"F"),0)</f>
        <v>0</v>
      </c>
      <c r="F84" t="s">
        <v>339</v>
      </c>
      <c r="G84" t="s">
        <v>447</v>
      </c>
      <c r="H84" t="s">
        <v>362</v>
      </c>
      <c r="I84" t="s">
        <v>363</v>
      </c>
      <c r="J84" t="s">
        <v>37</v>
      </c>
      <c r="K84" t="s">
        <v>106</v>
      </c>
      <c r="L84">
        <v>8</v>
      </c>
      <c r="M84">
        <v>0</v>
      </c>
    </row>
    <row r="85" spans="2:14" x14ac:dyDescent="0.35">
      <c r="B85" s="107" t="str">
        <f>+IF(LEFT(MID(Controlos[[#This Row],[tabela]],22,5),1)="B",MID(Controlos[[#This Row],[tabela]],22,5),MID(Controlos[[#This Row],[tabela]],18,5))</f>
        <v>B0200</v>
      </c>
      <c r="C85" s="107">
        <f>+IF(Controlos[[#This Row],[tipologia_teste]]="REGULAMENTAR",IF(LEFT(Controlos[[#This Row],[cod_kpi]],1)="v",IF(LEFT(Controlos[[#This Row],[descrição]],6)="Alerta","W","H"),"F"),0)</f>
        <v>0</v>
      </c>
      <c r="F85" t="s">
        <v>339</v>
      </c>
      <c r="G85" t="s">
        <v>448</v>
      </c>
      <c r="H85" t="s">
        <v>362</v>
      </c>
      <c r="I85" t="s">
        <v>363</v>
      </c>
      <c r="J85" t="s">
        <v>37</v>
      </c>
      <c r="K85" t="s">
        <v>107</v>
      </c>
      <c r="L85">
        <v>8</v>
      </c>
      <c r="M85">
        <v>0</v>
      </c>
    </row>
    <row r="86" spans="2:14" x14ac:dyDescent="0.35">
      <c r="B86" s="107" t="str">
        <f>+IF(LEFT(MID(Controlos[[#This Row],[tabela]],22,5),1)="B",MID(Controlos[[#This Row],[tabela]],22,5),MID(Controlos[[#This Row],[tabela]],18,5))</f>
        <v>B0200</v>
      </c>
      <c r="C86" s="107">
        <f>+IF(Controlos[[#This Row],[tipologia_teste]]="REGULAMENTAR",IF(LEFT(Controlos[[#This Row],[cod_kpi]],1)="v",IF(LEFT(Controlos[[#This Row],[descrição]],6)="Alerta","W","H"),"F"),0)</f>
        <v>0</v>
      </c>
      <c r="F86" t="s">
        <v>339</v>
      </c>
      <c r="G86" t="s">
        <v>449</v>
      </c>
      <c r="H86" t="s">
        <v>362</v>
      </c>
      <c r="I86" t="s">
        <v>363</v>
      </c>
      <c r="J86" t="s">
        <v>37</v>
      </c>
      <c r="K86" t="s">
        <v>108</v>
      </c>
      <c r="L86">
        <v>8</v>
      </c>
      <c r="M86">
        <v>0</v>
      </c>
    </row>
    <row r="87" spans="2:14" x14ac:dyDescent="0.35">
      <c r="B87" s="107" t="str">
        <f>+IF(LEFT(MID(Controlos[[#This Row],[tabela]],22,5),1)="B",MID(Controlos[[#This Row],[tabela]],22,5),MID(Controlos[[#This Row],[tabela]],18,5))</f>
        <v>B0200</v>
      </c>
      <c r="C87" s="107">
        <f>+IF(Controlos[[#This Row],[tipologia_teste]]="REGULAMENTAR",IF(LEFT(Controlos[[#This Row],[cod_kpi]],1)="v",IF(LEFT(Controlos[[#This Row],[descrição]],6)="Alerta","W","H"),"F"),0)</f>
        <v>0</v>
      </c>
      <c r="F87" t="s">
        <v>339</v>
      </c>
      <c r="G87" t="s">
        <v>450</v>
      </c>
      <c r="H87" t="s">
        <v>362</v>
      </c>
      <c r="I87" t="s">
        <v>363</v>
      </c>
      <c r="J87" t="s">
        <v>37</v>
      </c>
      <c r="K87" t="s">
        <v>109</v>
      </c>
      <c r="L87">
        <v>8</v>
      </c>
      <c r="M87">
        <v>0</v>
      </c>
    </row>
    <row r="88" spans="2:14" x14ac:dyDescent="0.35">
      <c r="B88" s="107" t="str">
        <f>+IF(LEFT(MID(Controlos[[#This Row],[tabela]],22,5),1)="B",MID(Controlos[[#This Row],[tabela]],22,5),MID(Controlos[[#This Row],[tabela]],18,5))</f>
        <v>B0200</v>
      </c>
      <c r="C88" s="107">
        <f>+IF(Controlos[[#This Row],[tipologia_teste]]="REGULAMENTAR",IF(LEFT(Controlos[[#This Row],[cod_kpi]],1)="v",IF(LEFT(Controlos[[#This Row],[descrição]],6)="Alerta","W","H"),"F"),0)</f>
        <v>0</v>
      </c>
      <c r="F88" t="s">
        <v>339</v>
      </c>
      <c r="G88" t="s">
        <v>451</v>
      </c>
      <c r="H88" t="s">
        <v>362</v>
      </c>
      <c r="I88" t="s">
        <v>363</v>
      </c>
      <c r="J88" t="s">
        <v>37</v>
      </c>
      <c r="K88" t="s">
        <v>110</v>
      </c>
      <c r="L88">
        <v>8</v>
      </c>
      <c r="M88">
        <v>0</v>
      </c>
    </row>
    <row r="89" spans="2:14" x14ac:dyDescent="0.35">
      <c r="B89" s="107" t="str">
        <f>+IF(LEFT(MID(Controlos[[#This Row],[tabela]],22,5),1)="B",MID(Controlos[[#This Row],[tabela]],22,5),MID(Controlos[[#This Row],[tabela]],18,5))</f>
        <v>B0200</v>
      </c>
      <c r="C89" s="107">
        <f>+IF(Controlos[[#This Row],[tipologia_teste]]="REGULAMENTAR",IF(LEFT(Controlos[[#This Row],[cod_kpi]],1)="v",IF(LEFT(Controlos[[#This Row],[descrição]],6)="Alerta","W","H"),"F"),0)</f>
        <v>0</v>
      </c>
      <c r="F89" t="s">
        <v>339</v>
      </c>
      <c r="G89" t="s">
        <v>452</v>
      </c>
      <c r="H89" t="s">
        <v>362</v>
      </c>
      <c r="I89" t="s">
        <v>363</v>
      </c>
      <c r="J89" t="s">
        <v>37</v>
      </c>
      <c r="K89" t="s">
        <v>111</v>
      </c>
      <c r="L89">
        <v>8</v>
      </c>
      <c r="M89">
        <v>0</v>
      </c>
    </row>
    <row r="90" spans="2:14" x14ac:dyDescent="0.35">
      <c r="B90" s="107" t="str">
        <f>+IF(LEFT(MID(Controlos[[#This Row],[tabela]],22,5),1)="B",MID(Controlos[[#This Row],[tabela]],22,5),MID(Controlos[[#This Row],[tabela]],18,5))</f>
        <v>B0500</v>
      </c>
      <c r="C90" s="107">
        <f>+IF(Controlos[[#This Row],[tipologia_teste]]="REGULAMENTAR",IF(LEFT(Controlos[[#This Row],[cod_kpi]],1)="v",IF(LEFT(Controlos[[#This Row],[descrição]],6)="Alerta","W","H"),"F"),0)</f>
        <v>0</v>
      </c>
      <c r="F90" t="s">
        <v>339</v>
      </c>
      <c r="G90" t="s">
        <v>454</v>
      </c>
      <c r="H90" t="s">
        <v>362</v>
      </c>
      <c r="I90" t="s">
        <v>363</v>
      </c>
      <c r="J90" t="s">
        <v>329</v>
      </c>
      <c r="K90" t="s">
        <v>38</v>
      </c>
      <c r="L90">
        <v>4730</v>
      </c>
      <c r="M90">
        <v>0</v>
      </c>
    </row>
    <row r="91" spans="2:14" x14ac:dyDescent="0.35">
      <c r="B91" s="107" t="str">
        <f>+IF(LEFT(MID(Controlos[[#This Row],[tabela]],22,5),1)="B",MID(Controlos[[#This Row],[tabela]],22,5),MID(Controlos[[#This Row],[tabela]],18,5))</f>
        <v>B0500</v>
      </c>
      <c r="C91" s="107">
        <f>+IF(Controlos[[#This Row],[tipologia_teste]]="REGULAMENTAR",IF(LEFT(Controlos[[#This Row],[cod_kpi]],1)="v",IF(LEFT(Controlos[[#This Row],[descrição]],6)="Alerta","W","H"),"F"),0)</f>
        <v>0</v>
      </c>
      <c r="F91" t="s">
        <v>339</v>
      </c>
      <c r="G91" t="s">
        <v>455</v>
      </c>
      <c r="H91" t="s">
        <v>362</v>
      </c>
      <c r="I91" t="s">
        <v>363</v>
      </c>
      <c r="J91" t="s">
        <v>329</v>
      </c>
      <c r="K91" t="s">
        <v>330</v>
      </c>
      <c r="L91">
        <v>4730</v>
      </c>
      <c r="M91">
        <v>0</v>
      </c>
    </row>
    <row r="92" spans="2:14" x14ac:dyDescent="0.35">
      <c r="B92" s="107" t="str">
        <f>+IF(LEFT(MID(Controlos[[#This Row],[tabela]],22,5),1)="B",MID(Controlos[[#This Row],[tabela]],22,5),MID(Controlos[[#This Row],[tabela]],18,5))</f>
        <v>B0500</v>
      </c>
      <c r="C92" s="107">
        <f>+IF(Controlos[[#This Row],[tipologia_teste]]="REGULAMENTAR",IF(LEFT(Controlos[[#This Row],[cod_kpi]],1)="v",IF(LEFT(Controlos[[#This Row],[descrição]],6)="Alerta","W","H"),"F"),0)</f>
        <v>0</v>
      </c>
      <c r="F92" t="s">
        <v>339</v>
      </c>
      <c r="G92" t="s">
        <v>456</v>
      </c>
      <c r="H92" t="s">
        <v>362</v>
      </c>
      <c r="I92" t="s">
        <v>363</v>
      </c>
      <c r="J92" t="s">
        <v>329</v>
      </c>
      <c r="K92" t="s">
        <v>457</v>
      </c>
      <c r="L92">
        <v>4730</v>
      </c>
      <c r="M92">
        <v>0</v>
      </c>
    </row>
    <row r="93" spans="2:14" x14ac:dyDescent="0.35">
      <c r="B93" s="107" t="str">
        <f>+IF(LEFT(MID(Controlos[[#This Row],[tabela]],22,5),1)="B",MID(Controlos[[#This Row],[tabela]],22,5),MID(Controlos[[#This Row],[tabela]],18,5))</f>
        <v>B0500</v>
      </c>
      <c r="C93" s="107">
        <f>+IF(Controlos[[#This Row],[tipologia_teste]]="REGULAMENTAR",IF(LEFT(Controlos[[#This Row],[cod_kpi]],1)="v",IF(LEFT(Controlos[[#This Row],[descrição]],6)="Alerta","W","H"),"F"),0)</f>
        <v>0</v>
      </c>
      <c r="F93" t="s">
        <v>339</v>
      </c>
      <c r="G93" t="s">
        <v>458</v>
      </c>
      <c r="H93" t="s">
        <v>362</v>
      </c>
      <c r="I93" t="s">
        <v>363</v>
      </c>
      <c r="J93" t="s">
        <v>329</v>
      </c>
      <c r="K93" t="s">
        <v>459</v>
      </c>
      <c r="L93">
        <v>4730</v>
      </c>
      <c r="M93">
        <v>0</v>
      </c>
    </row>
    <row r="94" spans="2:14" x14ac:dyDescent="0.35">
      <c r="B94" s="107" t="str">
        <f>+IF(LEFT(MID(Controlos[[#This Row],[tabela]],22,5),1)="B",MID(Controlos[[#This Row],[tabela]],22,5),MID(Controlos[[#This Row],[tabela]],18,5))</f>
        <v>B0500</v>
      </c>
      <c r="C94" s="107">
        <f>+IF(Controlos[[#This Row],[tipologia_teste]]="REGULAMENTAR",IF(LEFT(Controlos[[#This Row],[cod_kpi]],1)="v",IF(LEFT(Controlos[[#This Row],[descrição]],6)="Alerta","W","H"),"F"),0)</f>
        <v>0</v>
      </c>
      <c r="F94" t="s">
        <v>339</v>
      </c>
      <c r="G94" t="s">
        <v>460</v>
      </c>
      <c r="H94" t="s">
        <v>362</v>
      </c>
      <c r="I94" t="s">
        <v>363</v>
      </c>
      <c r="J94" t="s">
        <v>329</v>
      </c>
      <c r="K94" t="s">
        <v>461</v>
      </c>
      <c r="L94">
        <v>4730</v>
      </c>
      <c r="M94">
        <v>0</v>
      </c>
    </row>
    <row r="95" spans="2:14" x14ac:dyDescent="0.35">
      <c r="B95" s="107" t="str">
        <f>+IF(LEFT(MID(Controlos[[#This Row],[tabela]],22,5),1)="B",MID(Controlos[[#This Row],[tabela]],22,5),MID(Controlos[[#This Row],[tabela]],18,5))</f>
        <v>B0500</v>
      </c>
      <c r="C95" s="107">
        <f>+IF(Controlos[[#This Row],[tipologia_teste]]="REGULAMENTAR",IF(LEFT(Controlos[[#This Row],[cod_kpi]],1)="v",IF(LEFT(Controlos[[#This Row],[descrição]],6)="Alerta","W","H"),"F"),0)</f>
        <v>0</v>
      </c>
      <c r="F95" t="s">
        <v>339</v>
      </c>
      <c r="G95" t="s">
        <v>462</v>
      </c>
      <c r="H95" t="s">
        <v>362</v>
      </c>
      <c r="I95" t="s">
        <v>363</v>
      </c>
      <c r="J95" t="s">
        <v>329</v>
      </c>
      <c r="K95" t="s">
        <v>463</v>
      </c>
      <c r="L95">
        <v>4730</v>
      </c>
      <c r="M95">
        <v>0</v>
      </c>
    </row>
    <row r="96" spans="2:14" x14ac:dyDescent="0.35">
      <c r="B96" s="107" t="str">
        <f>+IF(LEFT(MID(Controlos[[#This Row],[tabela]],22,5),1)="B",MID(Controlos[[#This Row],[tabela]],22,5),MID(Controlos[[#This Row],[tabela]],18,5))</f>
        <v>B0500</v>
      </c>
      <c r="C96" s="107">
        <f>+IF(Controlos[[#This Row],[tipologia_teste]]="REGULAMENTAR",IF(LEFT(Controlos[[#This Row],[cod_kpi]],1)="v",IF(LEFT(Controlos[[#This Row],[descrição]],6)="Alerta","W","H"),"F"),0)</f>
        <v>0</v>
      </c>
      <c r="F96" t="s">
        <v>339</v>
      </c>
      <c r="G96" t="s">
        <v>464</v>
      </c>
      <c r="H96" t="s">
        <v>362</v>
      </c>
      <c r="I96" t="s">
        <v>363</v>
      </c>
      <c r="J96" t="s">
        <v>329</v>
      </c>
      <c r="K96" t="s">
        <v>465</v>
      </c>
      <c r="L96">
        <v>4730</v>
      </c>
      <c r="M96">
        <v>4730</v>
      </c>
      <c r="N96" t="s">
        <v>466</v>
      </c>
    </row>
    <row r="97" spans="2:14" x14ac:dyDescent="0.35">
      <c r="B97" s="107" t="str">
        <f>+IF(LEFT(MID(Controlos[[#This Row],[tabela]],22,5),1)="B",MID(Controlos[[#This Row],[tabela]],22,5),MID(Controlos[[#This Row],[tabela]],18,5))</f>
        <v>B0500</v>
      </c>
      <c r="C97" s="107">
        <f>+IF(Controlos[[#This Row],[tipologia_teste]]="REGULAMENTAR",IF(LEFT(Controlos[[#This Row],[cod_kpi]],1)="v",IF(LEFT(Controlos[[#This Row],[descrição]],6)="Alerta","W","H"),"F"),0)</f>
        <v>0</v>
      </c>
      <c r="F97" t="s">
        <v>339</v>
      </c>
      <c r="G97" t="s">
        <v>467</v>
      </c>
      <c r="H97" t="s">
        <v>362</v>
      </c>
      <c r="I97" t="s">
        <v>363</v>
      </c>
      <c r="J97" t="s">
        <v>329</v>
      </c>
      <c r="K97" t="s">
        <v>468</v>
      </c>
      <c r="L97">
        <v>4730</v>
      </c>
      <c r="M97">
        <v>0</v>
      </c>
    </row>
    <row r="98" spans="2:14" x14ac:dyDescent="0.35">
      <c r="B98" s="107" t="str">
        <f>+IF(LEFT(MID(Controlos[[#This Row],[tabela]],22,5),1)="B",MID(Controlos[[#This Row],[tabela]],22,5),MID(Controlos[[#This Row],[tabela]],18,5))</f>
        <v>B0500</v>
      </c>
      <c r="C98" s="107">
        <f>+IF(Controlos[[#This Row],[tipologia_teste]]="REGULAMENTAR",IF(LEFT(Controlos[[#This Row],[cod_kpi]],1)="v",IF(LEFT(Controlos[[#This Row],[descrição]],6)="Alerta","W","H"),"F"),0)</f>
        <v>0</v>
      </c>
      <c r="F98" t="s">
        <v>339</v>
      </c>
      <c r="G98" t="s">
        <v>469</v>
      </c>
      <c r="H98" t="s">
        <v>362</v>
      </c>
      <c r="I98" t="s">
        <v>363</v>
      </c>
      <c r="J98" t="s">
        <v>329</v>
      </c>
      <c r="K98" t="s">
        <v>470</v>
      </c>
      <c r="L98">
        <v>4730</v>
      </c>
      <c r="M98">
        <v>0</v>
      </c>
    </row>
    <row r="99" spans="2:14" x14ac:dyDescent="0.35">
      <c r="B99" s="107" t="str">
        <f>+IF(LEFT(MID(Controlos[[#This Row],[tabela]],22,5),1)="B",MID(Controlos[[#This Row],[tabela]],22,5),MID(Controlos[[#This Row],[tabela]],18,5))</f>
        <v>B0500</v>
      </c>
      <c r="C99" s="107">
        <f>+IF(Controlos[[#This Row],[tipologia_teste]]="REGULAMENTAR",IF(LEFT(Controlos[[#This Row],[cod_kpi]],1)="v",IF(LEFT(Controlos[[#This Row],[descrição]],6)="Alerta","W","H"),"F"),0)</f>
        <v>0</v>
      </c>
      <c r="F99" t="s">
        <v>339</v>
      </c>
      <c r="G99" t="s">
        <v>471</v>
      </c>
      <c r="H99" t="s">
        <v>362</v>
      </c>
      <c r="I99" t="s">
        <v>363</v>
      </c>
      <c r="J99" t="s">
        <v>329</v>
      </c>
      <c r="K99" t="s">
        <v>472</v>
      </c>
      <c r="L99">
        <v>4730</v>
      </c>
      <c r="M99">
        <v>0</v>
      </c>
    </row>
    <row r="100" spans="2:14" x14ac:dyDescent="0.35">
      <c r="B100" s="107" t="str">
        <f>+IF(LEFT(MID(Controlos[[#This Row],[tabela]],22,5),1)="B",MID(Controlos[[#This Row],[tabela]],22,5),MID(Controlos[[#This Row],[tabela]],18,5))</f>
        <v>B0500</v>
      </c>
      <c r="C100" s="107">
        <f>+IF(Controlos[[#This Row],[tipologia_teste]]="REGULAMENTAR",IF(LEFT(Controlos[[#This Row],[cod_kpi]],1)="v",IF(LEFT(Controlos[[#This Row],[descrição]],6)="Alerta","W","H"),"F"),0)</f>
        <v>0</v>
      </c>
      <c r="F100" t="s">
        <v>339</v>
      </c>
      <c r="G100" t="s">
        <v>473</v>
      </c>
      <c r="H100" t="s">
        <v>362</v>
      </c>
      <c r="I100" t="s">
        <v>363</v>
      </c>
      <c r="J100" t="s">
        <v>329</v>
      </c>
      <c r="K100" t="s">
        <v>474</v>
      </c>
      <c r="L100">
        <v>4730</v>
      </c>
      <c r="M100">
        <v>0</v>
      </c>
    </row>
    <row r="101" spans="2:14" x14ac:dyDescent="0.35">
      <c r="B101" s="107" t="str">
        <f>+IF(LEFT(MID(Controlos[[#This Row],[tabela]],22,5),1)="B",MID(Controlos[[#This Row],[tabela]],22,5),MID(Controlos[[#This Row],[tabela]],18,5))</f>
        <v>B0500</v>
      </c>
      <c r="C101" s="107">
        <f>+IF(Controlos[[#This Row],[tipologia_teste]]="REGULAMENTAR",IF(LEFT(Controlos[[#This Row],[cod_kpi]],1)="v",IF(LEFT(Controlos[[#This Row],[descrição]],6)="Alerta","W","H"),"F"),0)</f>
        <v>0</v>
      </c>
      <c r="F101" t="s">
        <v>339</v>
      </c>
      <c r="G101" t="s">
        <v>475</v>
      </c>
      <c r="H101" t="s">
        <v>362</v>
      </c>
      <c r="I101" t="s">
        <v>363</v>
      </c>
      <c r="J101" t="s">
        <v>329</v>
      </c>
      <c r="K101" t="s">
        <v>476</v>
      </c>
      <c r="L101">
        <v>4730</v>
      </c>
      <c r="M101">
        <v>0</v>
      </c>
    </row>
    <row r="102" spans="2:14" x14ac:dyDescent="0.35">
      <c r="B102" s="107" t="str">
        <f>+IF(LEFT(MID(Controlos[[#This Row],[tabela]],22,5),1)="B",MID(Controlos[[#This Row],[tabela]],22,5),MID(Controlos[[#This Row],[tabela]],18,5))</f>
        <v>B0500</v>
      </c>
      <c r="C102" s="107">
        <f>+IF(Controlos[[#This Row],[tipologia_teste]]="REGULAMENTAR",IF(LEFT(Controlos[[#This Row],[cod_kpi]],1)="v",IF(LEFT(Controlos[[#This Row],[descrição]],6)="Alerta","W","H"),"F"),0)</f>
        <v>0</v>
      </c>
      <c r="F102" t="s">
        <v>339</v>
      </c>
      <c r="G102" t="s">
        <v>477</v>
      </c>
      <c r="H102" t="s">
        <v>362</v>
      </c>
      <c r="I102" t="s">
        <v>363</v>
      </c>
      <c r="J102" t="s">
        <v>329</v>
      </c>
      <c r="K102" t="s">
        <v>478</v>
      </c>
      <c r="L102">
        <v>4730</v>
      </c>
      <c r="M102">
        <v>0</v>
      </c>
    </row>
    <row r="103" spans="2:14" x14ac:dyDescent="0.35">
      <c r="B103" s="107" t="str">
        <f>+IF(LEFT(MID(Controlos[[#This Row],[tabela]],22,5),1)="B",MID(Controlos[[#This Row],[tabela]],22,5),MID(Controlos[[#This Row],[tabela]],18,5))</f>
        <v>B0500</v>
      </c>
      <c r="C103" s="107">
        <f>+IF(Controlos[[#This Row],[tipologia_teste]]="REGULAMENTAR",IF(LEFT(Controlos[[#This Row],[cod_kpi]],1)="v",IF(LEFT(Controlos[[#This Row],[descrição]],6)="Alerta","W","H"),"F"),0)</f>
        <v>0</v>
      </c>
      <c r="F103" t="s">
        <v>339</v>
      </c>
      <c r="G103" t="s">
        <v>479</v>
      </c>
      <c r="H103" t="s">
        <v>362</v>
      </c>
      <c r="I103" t="s">
        <v>363</v>
      </c>
      <c r="J103" t="s">
        <v>329</v>
      </c>
      <c r="K103" t="s">
        <v>480</v>
      </c>
      <c r="L103">
        <v>4730</v>
      </c>
      <c r="M103">
        <v>0</v>
      </c>
    </row>
    <row r="104" spans="2:14" x14ac:dyDescent="0.35">
      <c r="B104" s="107" t="str">
        <f>+IF(LEFT(MID(Controlos[[#This Row],[tabela]],22,5),1)="B",MID(Controlos[[#This Row],[tabela]],22,5),MID(Controlos[[#This Row],[tabela]],18,5))</f>
        <v>B0500</v>
      </c>
      <c r="C104" s="107">
        <f>+IF(Controlos[[#This Row],[tipologia_teste]]="REGULAMENTAR",IF(LEFT(Controlos[[#This Row],[cod_kpi]],1)="v",IF(LEFT(Controlos[[#This Row],[descrição]],6)="Alerta","W","H"),"F"),0)</f>
        <v>0</v>
      </c>
      <c r="F104" t="s">
        <v>339</v>
      </c>
      <c r="G104" t="s">
        <v>481</v>
      </c>
      <c r="H104" t="s">
        <v>362</v>
      </c>
      <c r="I104" t="s">
        <v>363</v>
      </c>
      <c r="J104" t="s">
        <v>329</v>
      </c>
      <c r="K104" t="s">
        <v>482</v>
      </c>
      <c r="L104">
        <v>4730</v>
      </c>
      <c r="M104">
        <v>0</v>
      </c>
    </row>
    <row r="105" spans="2:14" x14ac:dyDescent="0.35">
      <c r="B105" s="107" t="str">
        <f>+IF(LEFT(MID(Controlos[[#This Row],[tabela]],22,5),1)="B",MID(Controlos[[#This Row],[tabela]],22,5),MID(Controlos[[#This Row],[tabela]],18,5))</f>
        <v>B9000</v>
      </c>
      <c r="C105" s="107">
        <f>+IF(Controlos[[#This Row],[tipologia_teste]]="REGULAMENTAR",IF(LEFT(Controlos[[#This Row],[cod_kpi]],1)="v",IF(LEFT(Controlos[[#This Row],[descrição]],6)="Alerta","W","H"),"F"),0)</f>
        <v>0</v>
      </c>
      <c r="F105" t="s">
        <v>339</v>
      </c>
      <c r="G105" t="s">
        <v>483</v>
      </c>
      <c r="H105" t="s">
        <v>362</v>
      </c>
      <c r="I105" t="s">
        <v>363</v>
      </c>
      <c r="J105" t="s">
        <v>331</v>
      </c>
      <c r="K105" t="s">
        <v>38</v>
      </c>
      <c r="L105">
        <v>4740</v>
      </c>
      <c r="M105">
        <v>0</v>
      </c>
    </row>
    <row r="106" spans="2:14" x14ac:dyDescent="0.35">
      <c r="B106" s="107" t="str">
        <f>+IF(LEFT(MID(Controlos[[#This Row],[tabela]],22,5),1)="B",MID(Controlos[[#This Row],[tabela]],22,5),MID(Controlos[[#This Row],[tabela]],18,5))</f>
        <v>B9000</v>
      </c>
      <c r="C106" s="107">
        <f>+IF(Controlos[[#This Row],[tipologia_teste]]="REGULAMENTAR",IF(LEFT(Controlos[[#This Row],[cod_kpi]],1)="v",IF(LEFT(Controlos[[#This Row],[descrição]],6)="Alerta","W","H"),"F"),0)</f>
        <v>0</v>
      </c>
      <c r="F106" t="s">
        <v>339</v>
      </c>
      <c r="G106" t="s">
        <v>484</v>
      </c>
      <c r="H106" t="s">
        <v>362</v>
      </c>
      <c r="I106" t="s">
        <v>363</v>
      </c>
      <c r="J106" t="s">
        <v>331</v>
      </c>
      <c r="K106" t="s">
        <v>485</v>
      </c>
      <c r="L106">
        <v>4740</v>
      </c>
      <c r="M106">
        <v>0</v>
      </c>
    </row>
    <row r="107" spans="2:14" x14ac:dyDescent="0.35">
      <c r="B107" s="107" t="str">
        <f>+IF(LEFT(MID(Controlos[[#This Row],[tabela]],22,5),1)="B",MID(Controlos[[#This Row],[tabela]],22,5),MID(Controlos[[#This Row],[tabela]],18,5))</f>
        <v>B9000</v>
      </c>
      <c r="C107" s="107">
        <f>+IF(Controlos[[#This Row],[tipologia_teste]]="REGULAMENTAR",IF(LEFT(Controlos[[#This Row],[cod_kpi]],1)="v",IF(LEFT(Controlos[[#This Row],[descrição]],6)="Alerta","W","H"),"F"),0)</f>
        <v>0</v>
      </c>
      <c r="F107" t="s">
        <v>339</v>
      </c>
      <c r="G107" t="s">
        <v>486</v>
      </c>
      <c r="H107" t="s">
        <v>362</v>
      </c>
      <c r="I107" t="s">
        <v>363</v>
      </c>
      <c r="J107" t="s">
        <v>331</v>
      </c>
      <c r="K107" t="s">
        <v>332</v>
      </c>
      <c r="L107">
        <v>4740</v>
      </c>
      <c r="M107">
        <v>0</v>
      </c>
    </row>
    <row r="108" spans="2:14" x14ac:dyDescent="0.35">
      <c r="B108" s="107" t="str">
        <f>+IF(LEFT(MID(Controlos[[#This Row],[tabela]],22,5),1)="B",MID(Controlos[[#This Row],[tabela]],22,5),MID(Controlos[[#This Row],[tabela]],18,5))</f>
        <v>B9000</v>
      </c>
      <c r="C108" s="107">
        <f>+IF(Controlos[[#This Row],[tipologia_teste]]="REGULAMENTAR",IF(LEFT(Controlos[[#This Row],[cod_kpi]],1)="v",IF(LEFT(Controlos[[#This Row],[descrição]],6)="Alerta","W","H"),"F"),0)</f>
        <v>0</v>
      </c>
      <c r="F108" t="s">
        <v>339</v>
      </c>
      <c r="G108" t="s">
        <v>487</v>
      </c>
      <c r="H108" t="s">
        <v>362</v>
      </c>
      <c r="I108" t="s">
        <v>363</v>
      </c>
      <c r="J108" t="s">
        <v>331</v>
      </c>
      <c r="K108" t="s">
        <v>488</v>
      </c>
      <c r="L108">
        <v>4740</v>
      </c>
      <c r="M108">
        <v>4740</v>
      </c>
      <c r="N108" t="s">
        <v>489</v>
      </c>
    </row>
    <row r="109" spans="2:14" x14ac:dyDescent="0.35">
      <c r="B109" s="107" t="str">
        <f>+IF(LEFT(MID(Controlos[[#This Row],[tabela]],22,5),1)="B",MID(Controlos[[#This Row],[tabela]],22,5),MID(Controlos[[#This Row],[tabela]],18,5))</f>
        <v>B9000</v>
      </c>
      <c r="C109" s="107">
        <f>+IF(Controlos[[#This Row],[tipologia_teste]]="REGULAMENTAR",IF(LEFT(Controlos[[#This Row],[cod_kpi]],1)="v",IF(LEFT(Controlos[[#This Row],[descrição]],6)="Alerta","W","H"),"F"),0)</f>
        <v>0</v>
      </c>
      <c r="F109" t="s">
        <v>339</v>
      </c>
      <c r="G109" t="s">
        <v>490</v>
      </c>
      <c r="H109" t="s">
        <v>362</v>
      </c>
      <c r="I109" t="s">
        <v>363</v>
      </c>
      <c r="J109" t="s">
        <v>331</v>
      </c>
      <c r="K109" t="s">
        <v>491</v>
      </c>
      <c r="L109">
        <v>4740</v>
      </c>
      <c r="M109">
        <v>2</v>
      </c>
      <c r="N109" t="s">
        <v>492</v>
      </c>
    </row>
    <row r="110" spans="2:14" x14ac:dyDescent="0.35">
      <c r="B110" s="107" t="str">
        <f>+IF(LEFT(MID(Controlos[[#This Row],[tabela]],22,5),1)="B",MID(Controlos[[#This Row],[tabela]],22,5),MID(Controlos[[#This Row],[tabela]],18,5))</f>
        <v>B9000</v>
      </c>
      <c r="C110" s="107">
        <f>+IF(Controlos[[#This Row],[tipologia_teste]]="REGULAMENTAR",IF(LEFT(Controlos[[#This Row],[cod_kpi]],1)="v",IF(LEFT(Controlos[[#This Row],[descrição]],6)="Alerta","W","H"),"F"),0)</f>
        <v>0</v>
      </c>
      <c r="F110" t="s">
        <v>339</v>
      </c>
      <c r="G110" t="s">
        <v>493</v>
      </c>
      <c r="H110" t="s">
        <v>362</v>
      </c>
      <c r="I110" t="s">
        <v>363</v>
      </c>
      <c r="J110" t="s">
        <v>331</v>
      </c>
      <c r="K110" t="s">
        <v>494</v>
      </c>
      <c r="L110">
        <v>4740</v>
      </c>
      <c r="M110">
        <v>0</v>
      </c>
    </row>
    <row r="111" spans="2:14" x14ac:dyDescent="0.35">
      <c r="B111" s="107" t="str">
        <f>+IF(LEFT(MID(Controlos[[#This Row],[tabela]],22,5),1)="B",MID(Controlos[[#This Row],[tabela]],22,5),MID(Controlos[[#This Row],[tabela]],18,5))</f>
        <v>B9000</v>
      </c>
      <c r="C111" s="107">
        <f>+IF(Controlos[[#This Row],[tipologia_teste]]="REGULAMENTAR",IF(LEFT(Controlos[[#This Row],[cod_kpi]],1)="v",IF(LEFT(Controlos[[#This Row],[descrição]],6)="Alerta","W","H"),"F"),0)</f>
        <v>0</v>
      </c>
      <c r="F111" t="s">
        <v>339</v>
      </c>
      <c r="G111" t="s">
        <v>495</v>
      </c>
      <c r="H111" t="s">
        <v>362</v>
      </c>
      <c r="I111" t="s">
        <v>363</v>
      </c>
      <c r="J111" t="s">
        <v>331</v>
      </c>
      <c r="K111" t="s">
        <v>496</v>
      </c>
      <c r="L111">
        <v>4740</v>
      </c>
      <c r="M111">
        <v>0</v>
      </c>
    </row>
    <row r="112" spans="2:14" x14ac:dyDescent="0.35">
      <c r="B112" s="107" t="str">
        <f>+IF(LEFT(MID(Controlos[[#This Row],[tabela]],22,5),1)="B",MID(Controlos[[#This Row],[tabela]],22,5),MID(Controlos[[#This Row],[tabela]],18,5))</f>
        <v>B9000</v>
      </c>
      <c r="C112" s="107">
        <f>+IF(Controlos[[#This Row],[tipologia_teste]]="REGULAMENTAR",IF(LEFT(Controlos[[#This Row],[cod_kpi]],1)="v",IF(LEFT(Controlos[[#This Row],[descrição]],6)="Alerta","W","H"),"F"),0)</f>
        <v>0</v>
      </c>
      <c r="F112" t="s">
        <v>339</v>
      </c>
      <c r="G112" t="s">
        <v>497</v>
      </c>
      <c r="H112" t="s">
        <v>362</v>
      </c>
      <c r="I112" t="s">
        <v>363</v>
      </c>
      <c r="J112" t="s">
        <v>331</v>
      </c>
      <c r="K112" t="s">
        <v>498</v>
      </c>
      <c r="L112">
        <v>4740</v>
      </c>
      <c r="M112">
        <v>0</v>
      </c>
    </row>
    <row r="113" spans="2:14" x14ac:dyDescent="0.35">
      <c r="B113" s="107" t="str">
        <f>+IF(LEFT(MID(Controlos[[#This Row],[tabela]],22,5),1)="B",MID(Controlos[[#This Row],[tabela]],22,5),MID(Controlos[[#This Row],[tabela]],18,5))</f>
        <v>B9000</v>
      </c>
      <c r="C113" s="107">
        <f>+IF(Controlos[[#This Row],[tipologia_teste]]="REGULAMENTAR",IF(LEFT(Controlos[[#This Row],[cod_kpi]],1)="v",IF(LEFT(Controlos[[#This Row],[descrição]],6)="Alerta","W","H"),"F"),0)</f>
        <v>0</v>
      </c>
      <c r="F113" t="s">
        <v>339</v>
      </c>
      <c r="G113" t="s">
        <v>499</v>
      </c>
      <c r="H113" t="s">
        <v>362</v>
      </c>
      <c r="I113" t="s">
        <v>363</v>
      </c>
      <c r="J113" t="s">
        <v>331</v>
      </c>
      <c r="K113" t="s">
        <v>500</v>
      </c>
      <c r="L113">
        <v>4740</v>
      </c>
      <c r="M113">
        <v>0</v>
      </c>
    </row>
    <row r="114" spans="2:14" x14ac:dyDescent="0.35">
      <c r="B114" s="107" t="str">
        <f>+IF(LEFT(MID(Controlos[[#This Row],[tabela]],22,5),1)="B",MID(Controlos[[#This Row],[tabela]],22,5),MID(Controlos[[#This Row],[tabela]],18,5))</f>
        <v>B9000</v>
      </c>
      <c r="C114" s="107">
        <f>+IF(Controlos[[#This Row],[tipologia_teste]]="REGULAMENTAR",IF(LEFT(Controlos[[#This Row],[cod_kpi]],1)="v",IF(LEFT(Controlos[[#This Row],[descrição]],6)="Alerta","W","H"),"F"),0)</f>
        <v>0</v>
      </c>
      <c r="F114" t="s">
        <v>339</v>
      </c>
      <c r="G114" t="s">
        <v>501</v>
      </c>
      <c r="H114" t="s">
        <v>362</v>
      </c>
      <c r="I114" t="s">
        <v>363</v>
      </c>
      <c r="J114" t="s">
        <v>331</v>
      </c>
      <c r="K114" t="s">
        <v>502</v>
      </c>
      <c r="L114">
        <v>4740</v>
      </c>
      <c r="M114">
        <v>0</v>
      </c>
    </row>
    <row r="115" spans="2:14" x14ac:dyDescent="0.35">
      <c r="B115" s="107" t="str">
        <f>+IF(LEFT(MID(Controlos[[#This Row],[tabela]],22,5),1)="B",MID(Controlos[[#This Row],[tabela]],22,5),MID(Controlos[[#This Row],[tabela]],18,5))</f>
        <v>B9000</v>
      </c>
      <c r="C115" s="107">
        <f>+IF(Controlos[[#This Row],[tipologia_teste]]="REGULAMENTAR",IF(LEFT(Controlos[[#This Row],[cod_kpi]],1)="v",IF(LEFT(Controlos[[#This Row],[descrição]],6)="Alerta","W","H"),"F"),0)</f>
        <v>0</v>
      </c>
      <c r="F115" t="s">
        <v>339</v>
      </c>
      <c r="G115" t="s">
        <v>503</v>
      </c>
      <c r="H115" t="s">
        <v>362</v>
      </c>
      <c r="I115" t="s">
        <v>363</v>
      </c>
      <c r="J115" t="s">
        <v>331</v>
      </c>
      <c r="K115" t="s">
        <v>504</v>
      </c>
      <c r="L115">
        <v>4740</v>
      </c>
      <c r="M115">
        <v>4740</v>
      </c>
      <c r="N115" t="s">
        <v>489</v>
      </c>
    </row>
    <row r="116" spans="2:14" hidden="1" x14ac:dyDescent="0.35">
      <c r="B116" s="107" t="str">
        <f>+IF(LEFT(MID(Controlos[[#This Row],[tabela]],22,5),1)="B",MID(Controlos[[#This Row],[tabela]],22,5),MID(Controlos[[#This Row],[tabela]],18,5))</f>
        <v>LT001</v>
      </c>
      <c r="C116" s="107">
        <f>+IF(Controlos[[#This Row],[tipologia_teste]]="REGULAMENTAR",IF(LEFT(Controlos[[#This Row],[cod_kpi]],1)="v",IF(LEFT(Controlos[[#This Row],[descrição]],6)="Alerta","W","H"),"F"),0)</f>
        <v>0</v>
      </c>
      <c r="F116" t="s">
        <v>339</v>
      </c>
      <c r="G116" t="s">
        <v>584</v>
      </c>
      <c r="H116" t="s">
        <v>362</v>
      </c>
      <c r="I116" t="s">
        <v>363</v>
      </c>
      <c r="J116" t="s">
        <v>585</v>
      </c>
      <c r="K116" t="s">
        <v>586</v>
      </c>
      <c r="L116">
        <v>14293</v>
      </c>
      <c r="M116">
        <v>69</v>
      </c>
      <c r="N116" t="s">
        <v>957</v>
      </c>
    </row>
    <row r="117" spans="2:14" hidden="1" x14ac:dyDescent="0.35">
      <c r="B117" s="107" t="str">
        <f>+IF(LEFT(MID(Controlos[[#This Row],[tabela]],22,5),1)="B",MID(Controlos[[#This Row],[tabela]],22,5),MID(Controlos[[#This Row],[tabela]],18,5))</f>
        <v>LT001</v>
      </c>
      <c r="C117" s="107">
        <f>+IF(Controlos[[#This Row],[tipologia_teste]]="REGULAMENTAR",IF(LEFT(Controlos[[#This Row],[cod_kpi]],1)="v",IF(LEFT(Controlos[[#This Row],[descrição]],6)="Alerta","W","H"),"F"),0)</f>
        <v>0</v>
      </c>
      <c r="F117" t="s">
        <v>339</v>
      </c>
      <c r="G117" t="s">
        <v>587</v>
      </c>
      <c r="H117" t="s">
        <v>362</v>
      </c>
      <c r="I117" t="s">
        <v>363</v>
      </c>
      <c r="J117" t="s">
        <v>585</v>
      </c>
      <c r="K117" t="s">
        <v>588</v>
      </c>
      <c r="L117">
        <v>14293</v>
      </c>
      <c r="M117">
        <v>0</v>
      </c>
    </row>
    <row r="118" spans="2:14" hidden="1" x14ac:dyDescent="0.35">
      <c r="B118" s="107" t="str">
        <f>+IF(LEFT(MID(Controlos[[#This Row],[tabela]],22,5),1)="B",MID(Controlos[[#This Row],[tabela]],22,5),MID(Controlos[[#This Row],[tabela]],18,5))</f>
        <v>LT001</v>
      </c>
      <c r="C118" s="107">
        <f>+IF(Controlos[[#This Row],[tipologia_teste]]="REGULAMENTAR",IF(LEFT(Controlos[[#This Row],[cod_kpi]],1)="v",IF(LEFT(Controlos[[#This Row],[descrição]],6)="Alerta","W","H"),"F"),0)</f>
        <v>0</v>
      </c>
      <c r="F118" t="s">
        <v>339</v>
      </c>
      <c r="G118" t="s">
        <v>589</v>
      </c>
      <c r="H118" t="s">
        <v>362</v>
      </c>
      <c r="I118" t="s">
        <v>363</v>
      </c>
      <c r="J118" t="s">
        <v>585</v>
      </c>
      <c r="K118" t="s">
        <v>590</v>
      </c>
      <c r="L118">
        <v>14293</v>
      </c>
      <c r="M118">
        <v>0</v>
      </c>
    </row>
    <row r="119" spans="2:14" hidden="1" x14ac:dyDescent="0.35">
      <c r="B119" s="107" t="str">
        <f>+IF(LEFT(MID(Controlos[[#This Row],[tabela]],22,5),1)="B",MID(Controlos[[#This Row],[tabela]],22,5),MID(Controlos[[#This Row],[tabela]],18,5))</f>
        <v>LT001</v>
      </c>
      <c r="C119" s="107">
        <f>+IF(Controlos[[#This Row],[tipologia_teste]]="REGULAMENTAR",IF(LEFT(Controlos[[#This Row],[cod_kpi]],1)="v",IF(LEFT(Controlos[[#This Row],[descrição]],6)="Alerta","W","H"),"F"),0)</f>
        <v>0</v>
      </c>
      <c r="F119" t="s">
        <v>339</v>
      </c>
      <c r="G119" t="s">
        <v>591</v>
      </c>
      <c r="H119" t="s">
        <v>362</v>
      </c>
      <c r="I119" t="s">
        <v>363</v>
      </c>
      <c r="J119" t="s">
        <v>585</v>
      </c>
      <c r="K119" t="s">
        <v>592</v>
      </c>
      <c r="L119">
        <v>14293</v>
      </c>
      <c r="M119">
        <v>0</v>
      </c>
    </row>
    <row r="120" spans="2:14" hidden="1" x14ac:dyDescent="0.35">
      <c r="B120" s="107" t="str">
        <f>+IF(LEFT(MID(Controlos[[#This Row],[tabela]],22,5),1)="B",MID(Controlos[[#This Row],[tabela]],22,5),MID(Controlos[[#This Row],[tabela]],18,5))</f>
        <v>LT002</v>
      </c>
      <c r="C120" s="107">
        <f>+IF(Controlos[[#This Row],[tipologia_teste]]="REGULAMENTAR",IF(LEFT(Controlos[[#This Row],[cod_kpi]],1)="v",IF(LEFT(Controlos[[#This Row],[descrição]],6)="Alerta","W","H"),"F"),0)</f>
        <v>0</v>
      </c>
      <c r="F120" t="s">
        <v>339</v>
      </c>
      <c r="G120" t="s">
        <v>505</v>
      </c>
      <c r="H120" t="s">
        <v>362</v>
      </c>
      <c r="I120" t="s">
        <v>363</v>
      </c>
      <c r="J120" t="s">
        <v>506</v>
      </c>
      <c r="K120" t="s">
        <v>507</v>
      </c>
      <c r="L120">
        <v>4742</v>
      </c>
      <c r="M120">
        <v>0</v>
      </c>
    </row>
    <row r="121" spans="2:14" hidden="1" x14ac:dyDescent="0.35">
      <c r="B121" s="107" t="str">
        <f>+IF(LEFT(MID(Controlos[[#This Row],[tabela]],22,5),1)="B",MID(Controlos[[#This Row],[tabela]],22,5),MID(Controlos[[#This Row],[tabela]],18,5))</f>
        <v>LT002</v>
      </c>
      <c r="C121" s="107">
        <f>+IF(Controlos[[#This Row],[tipologia_teste]]="REGULAMENTAR",IF(LEFT(Controlos[[#This Row],[cod_kpi]],1)="v",IF(LEFT(Controlos[[#This Row],[descrição]],6)="Alerta","W","H"),"F"),0)</f>
        <v>0</v>
      </c>
      <c r="F121" t="s">
        <v>339</v>
      </c>
      <c r="G121" t="s">
        <v>508</v>
      </c>
      <c r="H121" t="s">
        <v>362</v>
      </c>
      <c r="I121" t="s">
        <v>363</v>
      </c>
      <c r="J121" t="s">
        <v>506</v>
      </c>
      <c r="K121" t="s">
        <v>509</v>
      </c>
      <c r="L121">
        <v>4742</v>
      </c>
      <c r="M121">
        <v>0</v>
      </c>
    </row>
    <row r="122" spans="2:14" hidden="1" x14ac:dyDescent="0.35">
      <c r="B122" s="107" t="str">
        <f>+IF(LEFT(MID(Controlos[[#This Row],[tabela]],22,5),1)="B",MID(Controlos[[#This Row],[tabela]],22,5),MID(Controlos[[#This Row],[tabela]],18,5))</f>
        <v>LT002</v>
      </c>
      <c r="C122" s="107">
        <f>+IF(Controlos[[#This Row],[tipologia_teste]]="REGULAMENTAR",IF(LEFT(Controlos[[#This Row],[cod_kpi]],1)="v",IF(LEFT(Controlos[[#This Row],[descrição]],6)="Alerta","W","H"),"F"),0)</f>
        <v>0</v>
      </c>
      <c r="F122" t="s">
        <v>339</v>
      </c>
      <c r="G122" t="s">
        <v>510</v>
      </c>
      <c r="H122" t="s">
        <v>362</v>
      </c>
      <c r="I122" t="s">
        <v>363</v>
      </c>
      <c r="J122" t="s">
        <v>506</v>
      </c>
      <c r="K122" t="s">
        <v>511</v>
      </c>
      <c r="L122">
        <v>4742</v>
      </c>
      <c r="M122">
        <v>0</v>
      </c>
    </row>
    <row r="123" spans="2:14" hidden="1" x14ac:dyDescent="0.35">
      <c r="B123" s="107" t="str">
        <f>+IF(LEFT(MID(Controlos[[#This Row],[tabela]],22,5),1)="B",MID(Controlos[[#This Row],[tabela]],22,5),MID(Controlos[[#This Row],[tabela]],18,5))</f>
        <v>LT002</v>
      </c>
      <c r="C123" s="107">
        <f>+IF(Controlos[[#This Row],[tipologia_teste]]="REGULAMENTAR",IF(LEFT(Controlos[[#This Row],[cod_kpi]],1)="v",IF(LEFT(Controlos[[#This Row],[descrição]],6)="Alerta","W","H"),"F"),0)</f>
        <v>0</v>
      </c>
      <c r="F123" t="s">
        <v>339</v>
      </c>
      <c r="G123" t="s">
        <v>512</v>
      </c>
      <c r="H123" t="s">
        <v>362</v>
      </c>
      <c r="I123" t="s">
        <v>363</v>
      </c>
      <c r="J123" t="s">
        <v>506</v>
      </c>
      <c r="K123" t="s">
        <v>513</v>
      </c>
      <c r="L123">
        <v>4742</v>
      </c>
      <c r="M123">
        <v>0</v>
      </c>
    </row>
    <row r="124" spans="2:14" hidden="1" x14ac:dyDescent="0.35">
      <c r="B124" s="107" t="str">
        <f>+IF(LEFT(MID(Controlos[[#This Row],[tabela]],22,5),1)="B",MID(Controlos[[#This Row],[tabela]],22,5),MID(Controlos[[#This Row],[tabela]],18,5))</f>
        <v>LT002</v>
      </c>
      <c r="C124" s="107">
        <f>+IF(Controlos[[#This Row],[tipologia_teste]]="REGULAMENTAR",IF(LEFT(Controlos[[#This Row],[cod_kpi]],1)="v",IF(LEFT(Controlos[[#This Row],[descrição]],6)="Alerta","W","H"),"F"),0)</f>
        <v>0</v>
      </c>
      <c r="F124" t="s">
        <v>339</v>
      </c>
      <c r="G124" t="s">
        <v>514</v>
      </c>
      <c r="H124" t="s">
        <v>362</v>
      </c>
      <c r="I124" t="s">
        <v>363</v>
      </c>
      <c r="J124" t="s">
        <v>506</v>
      </c>
      <c r="K124" t="s">
        <v>515</v>
      </c>
      <c r="L124">
        <v>4742</v>
      </c>
      <c r="M124">
        <v>0</v>
      </c>
    </row>
    <row r="125" spans="2:14" hidden="1" x14ac:dyDescent="0.35">
      <c r="B125" s="107" t="str">
        <f>+IF(LEFT(MID(Controlos[[#This Row],[tabela]],22,5),1)="B",MID(Controlos[[#This Row],[tabela]],22,5),MID(Controlos[[#This Row],[tabela]],18,5))</f>
        <v>LT002</v>
      </c>
      <c r="C125" s="107">
        <f>+IF(Controlos[[#This Row],[tipologia_teste]]="REGULAMENTAR",IF(LEFT(Controlos[[#This Row],[cod_kpi]],1)="v",IF(LEFT(Controlos[[#This Row],[descrição]],6)="Alerta","W","H"),"F"),0)</f>
        <v>0</v>
      </c>
      <c r="F125" t="s">
        <v>339</v>
      </c>
      <c r="G125" t="s">
        <v>516</v>
      </c>
      <c r="H125" t="s">
        <v>362</v>
      </c>
      <c r="I125" t="s">
        <v>363</v>
      </c>
      <c r="J125" t="s">
        <v>506</v>
      </c>
      <c r="K125" t="s">
        <v>517</v>
      </c>
      <c r="L125">
        <v>4742</v>
      </c>
      <c r="M125">
        <v>0</v>
      </c>
    </row>
    <row r="126" spans="2:14" hidden="1" x14ac:dyDescent="0.35">
      <c r="B126" s="107" t="str">
        <f>+IF(LEFT(MID(Controlos[[#This Row],[tabela]],22,5),1)="B",MID(Controlos[[#This Row],[tabela]],22,5),MID(Controlos[[#This Row],[tabela]],18,5))</f>
        <v>LT002</v>
      </c>
      <c r="C126" s="107">
        <f>+IF(Controlos[[#This Row],[tipologia_teste]]="REGULAMENTAR",IF(LEFT(Controlos[[#This Row],[cod_kpi]],1)="v",IF(LEFT(Controlos[[#This Row],[descrição]],6)="Alerta","W","H"),"F"),0)</f>
        <v>0</v>
      </c>
      <c r="F126" t="s">
        <v>339</v>
      </c>
      <c r="G126" t="s">
        <v>518</v>
      </c>
      <c r="H126" t="s">
        <v>362</v>
      </c>
      <c r="I126" t="s">
        <v>363</v>
      </c>
      <c r="J126" t="s">
        <v>506</v>
      </c>
      <c r="K126" t="s">
        <v>519</v>
      </c>
      <c r="L126">
        <v>4742</v>
      </c>
      <c r="M126">
        <v>0</v>
      </c>
    </row>
    <row r="127" spans="2:14" hidden="1" x14ac:dyDescent="0.35">
      <c r="B127" s="107" t="str">
        <f>+IF(LEFT(MID(Controlos[[#This Row],[tabela]],22,5),1)="B",MID(Controlos[[#This Row],[tabela]],22,5),MID(Controlos[[#This Row],[tabela]],18,5))</f>
        <v>LT002</v>
      </c>
      <c r="C127" s="107">
        <f>+IF(Controlos[[#This Row],[tipologia_teste]]="REGULAMENTAR",IF(LEFT(Controlos[[#This Row],[cod_kpi]],1)="v",IF(LEFT(Controlos[[#This Row],[descrição]],6)="Alerta","W","H"),"F"),0)</f>
        <v>0</v>
      </c>
      <c r="F127" t="s">
        <v>339</v>
      </c>
      <c r="G127" t="s">
        <v>520</v>
      </c>
      <c r="H127" t="s">
        <v>362</v>
      </c>
      <c r="I127" t="s">
        <v>363</v>
      </c>
      <c r="J127" t="s">
        <v>506</v>
      </c>
      <c r="K127" t="s">
        <v>521</v>
      </c>
      <c r="L127">
        <v>4742</v>
      </c>
      <c r="M127">
        <v>4734</v>
      </c>
      <c r="N127" t="s">
        <v>958</v>
      </c>
    </row>
    <row r="128" spans="2:14" hidden="1" x14ac:dyDescent="0.35">
      <c r="B128" s="107" t="str">
        <f>+IF(LEFT(MID(Controlos[[#This Row],[tabela]],22,5),1)="B",MID(Controlos[[#This Row],[tabela]],22,5),MID(Controlos[[#This Row],[tabela]],18,5))</f>
        <v>LT002</v>
      </c>
      <c r="C128" s="107">
        <f>+IF(Controlos[[#This Row],[tipologia_teste]]="REGULAMENTAR",IF(LEFT(Controlos[[#This Row],[cod_kpi]],1)="v",IF(LEFT(Controlos[[#This Row],[descrição]],6)="Alerta","W","H"),"F"),0)</f>
        <v>0</v>
      </c>
      <c r="F128" t="s">
        <v>339</v>
      </c>
      <c r="G128" t="s">
        <v>522</v>
      </c>
      <c r="H128" t="s">
        <v>362</v>
      </c>
      <c r="I128" t="s">
        <v>363</v>
      </c>
      <c r="J128" t="s">
        <v>506</v>
      </c>
      <c r="K128" t="s">
        <v>523</v>
      </c>
      <c r="L128">
        <v>4742</v>
      </c>
      <c r="M128">
        <v>0</v>
      </c>
    </row>
    <row r="129" spans="2:14" hidden="1" x14ac:dyDescent="0.35">
      <c r="B129" s="107" t="str">
        <f>+IF(LEFT(MID(Controlos[[#This Row],[tabela]],22,5),1)="B",MID(Controlos[[#This Row],[tabela]],22,5),MID(Controlos[[#This Row],[tabela]],18,5))</f>
        <v>LT002</v>
      </c>
      <c r="C129" s="107">
        <f>+IF(Controlos[[#This Row],[tipologia_teste]]="REGULAMENTAR",IF(LEFT(Controlos[[#This Row],[cod_kpi]],1)="v",IF(LEFT(Controlos[[#This Row],[descrição]],6)="Alerta","W","H"),"F"),0)</f>
        <v>0</v>
      </c>
      <c r="F129" t="s">
        <v>339</v>
      </c>
      <c r="G129" t="s">
        <v>524</v>
      </c>
      <c r="H129" t="s">
        <v>362</v>
      </c>
      <c r="I129" t="s">
        <v>363</v>
      </c>
      <c r="J129" t="s">
        <v>506</v>
      </c>
      <c r="K129" t="s">
        <v>525</v>
      </c>
      <c r="L129">
        <v>4742</v>
      </c>
      <c r="M129">
        <v>23</v>
      </c>
      <c r="N129" t="s">
        <v>959</v>
      </c>
    </row>
    <row r="130" spans="2:14" hidden="1" x14ac:dyDescent="0.35">
      <c r="B130" s="107" t="str">
        <f>+IF(LEFT(MID(Controlos[[#This Row],[tabela]],22,5),1)="B",MID(Controlos[[#This Row],[tabela]],22,5),MID(Controlos[[#This Row],[tabela]],18,5))</f>
        <v>LT002</v>
      </c>
      <c r="C130" s="107">
        <f>+IF(Controlos[[#This Row],[tipologia_teste]]="REGULAMENTAR",IF(LEFT(Controlos[[#This Row],[cod_kpi]],1)="v",IF(LEFT(Controlos[[#This Row],[descrição]],6)="Alerta","W","H"),"F"),0)</f>
        <v>0</v>
      </c>
      <c r="F130" t="s">
        <v>339</v>
      </c>
      <c r="G130" t="s">
        <v>526</v>
      </c>
      <c r="H130" t="s">
        <v>362</v>
      </c>
      <c r="I130" t="s">
        <v>363</v>
      </c>
      <c r="J130" t="s">
        <v>506</v>
      </c>
      <c r="K130" t="s">
        <v>527</v>
      </c>
      <c r="L130">
        <v>4742</v>
      </c>
      <c r="M130">
        <v>0</v>
      </c>
    </row>
    <row r="131" spans="2:14" hidden="1" x14ac:dyDescent="0.35">
      <c r="B131" s="107" t="str">
        <f>+IF(LEFT(MID(Controlos[[#This Row],[tabela]],22,5),1)="B",MID(Controlos[[#This Row],[tabela]],22,5),MID(Controlos[[#This Row],[tabela]],18,5))</f>
        <v>LT002</v>
      </c>
      <c r="C131" s="107">
        <f>+IF(Controlos[[#This Row],[tipologia_teste]]="REGULAMENTAR",IF(LEFT(Controlos[[#This Row],[cod_kpi]],1)="v",IF(LEFT(Controlos[[#This Row],[descrição]],6)="Alerta","W","H"),"F"),0)</f>
        <v>0</v>
      </c>
      <c r="F131" t="s">
        <v>339</v>
      </c>
      <c r="G131" t="s">
        <v>550</v>
      </c>
      <c r="H131" t="s">
        <v>362</v>
      </c>
      <c r="I131" t="s">
        <v>363</v>
      </c>
      <c r="J131" t="s">
        <v>506</v>
      </c>
      <c r="K131" t="s">
        <v>551</v>
      </c>
      <c r="L131">
        <v>4742</v>
      </c>
      <c r="M131">
        <v>4734</v>
      </c>
      <c r="N131" t="s">
        <v>960</v>
      </c>
    </row>
    <row r="132" spans="2:14" hidden="1" x14ac:dyDescent="0.35">
      <c r="B132" s="107" t="str">
        <f>+IF(LEFT(MID(Controlos[[#This Row],[tabela]],22,5),1)="B",MID(Controlos[[#This Row],[tabela]],22,5),MID(Controlos[[#This Row],[tabela]],18,5))</f>
        <v>LT002</v>
      </c>
      <c r="C132" s="107">
        <f>+IF(Controlos[[#This Row],[tipologia_teste]]="REGULAMENTAR",IF(LEFT(Controlos[[#This Row],[cod_kpi]],1)="v",IF(LEFT(Controlos[[#This Row],[descrição]],6)="Alerta","W","H"),"F"),0)</f>
        <v>0</v>
      </c>
      <c r="F132" t="s">
        <v>339</v>
      </c>
      <c r="G132" t="s">
        <v>546</v>
      </c>
      <c r="H132" t="s">
        <v>362</v>
      </c>
      <c r="I132" t="s">
        <v>363</v>
      </c>
      <c r="J132" t="s">
        <v>506</v>
      </c>
      <c r="K132" t="s">
        <v>547</v>
      </c>
      <c r="L132">
        <v>4742</v>
      </c>
      <c r="M132">
        <v>0</v>
      </c>
    </row>
    <row r="133" spans="2:14" hidden="1" x14ac:dyDescent="0.35">
      <c r="B133" s="107" t="str">
        <f>+IF(LEFT(MID(Controlos[[#This Row],[tabela]],22,5),1)="B",MID(Controlos[[#This Row],[tabela]],22,5),MID(Controlos[[#This Row],[tabela]],18,5))</f>
        <v>LT002</v>
      </c>
      <c r="C133" s="107">
        <f>+IF(Controlos[[#This Row],[tipologia_teste]]="REGULAMENTAR",IF(LEFT(Controlos[[#This Row],[cod_kpi]],1)="v",IF(LEFT(Controlos[[#This Row],[descrição]],6)="Alerta","W","H"),"F"),0)</f>
        <v>0</v>
      </c>
      <c r="F133" t="s">
        <v>339</v>
      </c>
      <c r="G133" t="s">
        <v>528</v>
      </c>
      <c r="H133" t="s">
        <v>362</v>
      </c>
      <c r="I133" t="s">
        <v>363</v>
      </c>
      <c r="J133" t="s">
        <v>506</v>
      </c>
      <c r="K133" t="s">
        <v>529</v>
      </c>
      <c r="L133">
        <v>4742</v>
      </c>
      <c r="M133">
        <v>0</v>
      </c>
    </row>
    <row r="134" spans="2:14" hidden="1" x14ac:dyDescent="0.35">
      <c r="B134" s="107" t="str">
        <f>+IF(LEFT(MID(Controlos[[#This Row],[tabela]],22,5),1)="B",MID(Controlos[[#This Row],[tabela]],22,5),MID(Controlos[[#This Row],[tabela]],18,5))</f>
        <v>LT002</v>
      </c>
      <c r="C134" s="107">
        <f>+IF(Controlos[[#This Row],[tipologia_teste]]="REGULAMENTAR",IF(LEFT(Controlos[[#This Row],[cod_kpi]],1)="v",IF(LEFT(Controlos[[#This Row],[descrição]],6)="Alerta","W","H"),"F"),0)</f>
        <v>0</v>
      </c>
      <c r="F134" t="s">
        <v>339</v>
      </c>
      <c r="G134" t="s">
        <v>530</v>
      </c>
      <c r="H134" t="s">
        <v>362</v>
      </c>
      <c r="I134" t="s">
        <v>363</v>
      </c>
      <c r="J134" t="s">
        <v>506</v>
      </c>
      <c r="K134" t="s">
        <v>531</v>
      </c>
      <c r="L134">
        <v>4742</v>
      </c>
      <c r="M134">
        <v>0</v>
      </c>
    </row>
    <row r="135" spans="2:14" hidden="1" x14ac:dyDescent="0.35">
      <c r="B135" s="107" t="str">
        <f>+IF(LEFT(MID(Controlos[[#This Row],[tabela]],22,5),1)="B",MID(Controlos[[#This Row],[tabela]],22,5),MID(Controlos[[#This Row],[tabela]],18,5))</f>
        <v>LT002</v>
      </c>
      <c r="C135" s="107">
        <f>+IF(Controlos[[#This Row],[tipologia_teste]]="REGULAMENTAR",IF(LEFT(Controlos[[#This Row],[cod_kpi]],1)="v",IF(LEFT(Controlos[[#This Row],[descrição]],6)="Alerta","W","H"),"F"),0)</f>
        <v>0</v>
      </c>
      <c r="F135" t="s">
        <v>339</v>
      </c>
      <c r="G135" t="s">
        <v>532</v>
      </c>
      <c r="H135" t="s">
        <v>362</v>
      </c>
      <c r="I135" t="s">
        <v>363</v>
      </c>
      <c r="J135" t="s">
        <v>506</v>
      </c>
      <c r="K135" t="s">
        <v>533</v>
      </c>
      <c r="L135">
        <v>4742</v>
      </c>
      <c r="M135">
        <v>0</v>
      </c>
    </row>
    <row r="136" spans="2:14" hidden="1" x14ac:dyDescent="0.35">
      <c r="B136" s="107" t="str">
        <f>+IF(LEFT(MID(Controlos[[#This Row],[tabela]],22,5),1)="B",MID(Controlos[[#This Row],[tabela]],22,5),MID(Controlos[[#This Row],[tabela]],18,5))</f>
        <v>LT002</v>
      </c>
      <c r="C136" s="107">
        <f>+IF(Controlos[[#This Row],[tipologia_teste]]="REGULAMENTAR",IF(LEFT(Controlos[[#This Row],[cod_kpi]],1)="v",IF(LEFT(Controlos[[#This Row],[descrição]],6)="Alerta","W","H"),"F"),0)</f>
        <v>0</v>
      </c>
      <c r="F136" t="s">
        <v>339</v>
      </c>
      <c r="G136" t="s">
        <v>534</v>
      </c>
      <c r="H136" t="s">
        <v>362</v>
      </c>
      <c r="I136" t="s">
        <v>363</v>
      </c>
      <c r="J136" t="s">
        <v>506</v>
      </c>
      <c r="K136" t="s">
        <v>535</v>
      </c>
      <c r="L136">
        <v>4742</v>
      </c>
      <c r="M136">
        <v>0</v>
      </c>
    </row>
    <row r="137" spans="2:14" hidden="1" x14ac:dyDescent="0.35">
      <c r="B137" s="107" t="str">
        <f>+IF(LEFT(MID(Controlos[[#This Row],[tabela]],22,5),1)="B",MID(Controlos[[#This Row],[tabela]],22,5),MID(Controlos[[#This Row],[tabela]],18,5))</f>
        <v>LT002</v>
      </c>
      <c r="C137" s="107">
        <f>+IF(Controlos[[#This Row],[tipologia_teste]]="REGULAMENTAR",IF(LEFT(Controlos[[#This Row],[cod_kpi]],1)="v",IF(LEFT(Controlos[[#This Row],[descrição]],6)="Alerta","W","H"),"F"),0)</f>
        <v>0</v>
      </c>
      <c r="F137" t="s">
        <v>339</v>
      </c>
      <c r="G137" t="s">
        <v>536</v>
      </c>
      <c r="H137" t="s">
        <v>362</v>
      </c>
      <c r="I137" t="s">
        <v>363</v>
      </c>
      <c r="J137" t="s">
        <v>506</v>
      </c>
      <c r="K137" t="s">
        <v>537</v>
      </c>
      <c r="L137">
        <v>4742</v>
      </c>
      <c r="M137">
        <v>0</v>
      </c>
    </row>
    <row r="138" spans="2:14" hidden="1" x14ac:dyDescent="0.35">
      <c r="B138" s="107" t="str">
        <f>+IF(LEFT(MID(Controlos[[#This Row],[tabela]],22,5),1)="B",MID(Controlos[[#This Row],[tabela]],22,5),MID(Controlos[[#This Row],[tabela]],18,5))</f>
        <v>LT002</v>
      </c>
      <c r="C138" s="107">
        <f>+IF(Controlos[[#This Row],[tipologia_teste]]="REGULAMENTAR",IF(LEFT(Controlos[[#This Row],[cod_kpi]],1)="v",IF(LEFT(Controlos[[#This Row],[descrição]],6)="Alerta","W","H"),"F"),0)</f>
        <v>0</v>
      </c>
      <c r="F138" t="s">
        <v>339</v>
      </c>
      <c r="G138" t="s">
        <v>538</v>
      </c>
      <c r="H138" t="s">
        <v>362</v>
      </c>
      <c r="I138" t="s">
        <v>363</v>
      </c>
      <c r="J138" t="s">
        <v>506</v>
      </c>
      <c r="K138" t="s">
        <v>539</v>
      </c>
      <c r="L138">
        <v>4742</v>
      </c>
      <c r="M138">
        <v>0</v>
      </c>
    </row>
    <row r="139" spans="2:14" hidden="1" x14ac:dyDescent="0.35">
      <c r="B139" s="107" t="str">
        <f>+IF(LEFT(MID(Controlos[[#This Row],[tabela]],22,5),1)="B",MID(Controlos[[#This Row],[tabela]],22,5),MID(Controlos[[#This Row],[tabela]],18,5))</f>
        <v>LT002</v>
      </c>
      <c r="C139" s="107">
        <f>+IF(Controlos[[#This Row],[tipologia_teste]]="REGULAMENTAR",IF(LEFT(Controlos[[#This Row],[cod_kpi]],1)="v",IF(LEFT(Controlos[[#This Row],[descrição]],6)="Alerta","W","H"),"F"),0)</f>
        <v>0</v>
      </c>
      <c r="F139" t="s">
        <v>339</v>
      </c>
      <c r="G139" t="s">
        <v>540</v>
      </c>
      <c r="H139" t="s">
        <v>362</v>
      </c>
      <c r="I139" t="s">
        <v>363</v>
      </c>
      <c r="J139" t="s">
        <v>506</v>
      </c>
      <c r="K139" t="s">
        <v>541</v>
      </c>
      <c r="L139">
        <v>4742</v>
      </c>
      <c r="M139">
        <v>0</v>
      </c>
    </row>
    <row r="140" spans="2:14" hidden="1" x14ac:dyDescent="0.35">
      <c r="B140" s="107" t="str">
        <f>+IF(LEFT(MID(Controlos[[#This Row],[tabela]],22,5),1)="B",MID(Controlos[[#This Row],[tabela]],22,5),MID(Controlos[[#This Row],[tabela]],18,5))</f>
        <v>LT002</v>
      </c>
      <c r="C140" s="107">
        <f>+IF(Controlos[[#This Row],[tipologia_teste]]="REGULAMENTAR",IF(LEFT(Controlos[[#This Row],[cod_kpi]],1)="v",IF(LEFT(Controlos[[#This Row],[descrição]],6)="Alerta","W","H"),"F"),0)</f>
        <v>0</v>
      </c>
      <c r="F140" t="s">
        <v>339</v>
      </c>
      <c r="G140" t="s">
        <v>542</v>
      </c>
      <c r="H140" t="s">
        <v>362</v>
      </c>
      <c r="I140" t="s">
        <v>363</v>
      </c>
      <c r="J140" t="s">
        <v>506</v>
      </c>
      <c r="K140" t="s">
        <v>543</v>
      </c>
      <c r="L140">
        <v>4742</v>
      </c>
      <c r="M140">
        <v>0</v>
      </c>
    </row>
    <row r="141" spans="2:14" hidden="1" x14ac:dyDescent="0.35">
      <c r="B141" s="107" t="str">
        <f>+IF(LEFT(MID(Controlos[[#This Row],[tabela]],22,5),1)="B",MID(Controlos[[#This Row],[tabela]],22,5),MID(Controlos[[#This Row],[tabela]],18,5))</f>
        <v>LT002</v>
      </c>
      <c r="C141" s="107">
        <f>+IF(Controlos[[#This Row],[tipologia_teste]]="REGULAMENTAR",IF(LEFT(Controlos[[#This Row],[cod_kpi]],1)="v",IF(LEFT(Controlos[[#This Row],[descrição]],6)="Alerta","W","H"),"F"),0)</f>
        <v>0</v>
      </c>
      <c r="F141" t="s">
        <v>339</v>
      </c>
      <c r="G141" t="s">
        <v>544</v>
      </c>
      <c r="H141" t="s">
        <v>362</v>
      </c>
      <c r="I141" t="s">
        <v>363</v>
      </c>
      <c r="J141" t="s">
        <v>506</v>
      </c>
      <c r="K141" t="s">
        <v>545</v>
      </c>
      <c r="L141">
        <v>4742</v>
      </c>
      <c r="M141">
        <v>0</v>
      </c>
    </row>
    <row r="142" spans="2:14" hidden="1" x14ac:dyDescent="0.35">
      <c r="B142" s="107" t="str">
        <f>+IF(LEFT(MID(Controlos[[#This Row],[tabela]],22,5),1)="B",MID(Controlos[[#This Row],[tabela]],22,5),MID(Controlos[[#This Row],[tabela]],18,5))</f>
        <v>LT002</v>
      </c>
      <c r="C142" s="107">
        <f>+IF(Controlos[[#This Row],[tipologia_teste]]="REGULAMENTAR",IF(LEFT(Controlos[[#This Row],[cod_kpi]],1)="v",IF(LEFT(Controlos[[#This Row],[descrição]],6)="Alerta","W","H"),"F"),0)</f>
        <v>0</v>
      </c>
      <c r="F142" t="s">
        <v>339</v>
      </c>
      <c r="G142" t="s">
        <v>548</v>
      </c>
      <c r="H142" t="s">
        <v>362</v>
      </c>
      <c r="I142" t="s">
        <v>363</v>
      </c>
      <c r="J142" t="s">
        <v>506</v>
      </c>
      <c r="K142" t="s">
        <v>549</v>
      </c>
      <c r="L142">
        <v>4742</v>
      </c>
      <c r="M142">
        <v>0</v>
      </c>
    </row>
    <row r="143" spans="2:14" hidden="1" x14ac:dyDescent="0.35">
      <c r="B143" s="107" t="str">
        <f>+IF(LEFT(MID(Controlos[[#This Row],[tabela]],22,5),1)="B",MID(Controlos[[#This Row],[tabela]],22,5),MID(Controlos[[#This Row],[tabela]],18,5))</f>
        <v>LT003</v>
      </c>
      <c r="C143" s="107">
        <f>+IF(Controlos[[#This Row],[tipologia_teste]]="REGULAMENTAR",IF(LEFT(Controlos[[#This Row],[cod_kpi]],1)="v",IF(LEFT(Controlos[[#This Row],[descrição]],6)="Alerta","W","H"),"F"),0)</f>
        <v>0</v>
      </c>
      <c r="F143" t="s">
        <v>339</v>
      </c>
      <c r="G143" t="s">
        <v>552</v>
      </c>
      <c r="H143" t="s">
        <v>362</v>
      </c>
      <c r="I143" t="s">
        <v>363</v>
      </c>
      <c r="J143" t="s">
        <v>553</v>
      </c>
      <c r="K143" t="s">
        <v>554</v>
      </c>
      <c r="L143">
        <v>37</v>
      </c>
      <c r="M143">
        <v>0</v>
      </c>
    </row>
    <row r="144" spans="2:14" hidden="1" x14ac:dyDescent="0.35">
      <c r="B144" s="107" t="str">
        <f>+IF(LEFT(MID(Controlos[[#This Row],[tabela]],22,5),1)="B",MID(Controlos[[#This Row],[tabela]],22,5),MID(Controlos[[#This Row],[tabela]],18,5))</f>
        <v>LT003</v>
      </c>
      <c r="C144" s="107">
        <f>+IF(Controlos[[#This Row],[tipologia_teste]]="REGULAMENTAR",IF(LEFT(Controlos[[#This Row],[cod_kpi]],1)="v",IF(LEFT(Controlos[[#This Row],[descrição]],6)="Alerta","W","H"),"F"),0)</f>
        <v>0</v>
      </c>
      <c r="F144" t="s">
        <v>339</v>
      </c>
      <c r="G144" t="s">
        <v>555</v>
      </c>
      <c r="H144" t="s">
        <v>362</v>
      </c>
      <c r="I144" t="s">
        <v>363</v>
      </c>
      <c r="J144" t="s">
        <v>553</v>
      </c>
      <c r="K144" t="s">
        <v>556</v>
      </c>
      <c r="L144">
        <v>37</v>
      </c>
      <c r="M144">
        <v>1</v>
      </c>
      <c r="N144" t="s">
        <v>557</v>
      </c>
    </row>
    <row r="145" spans="2:14" hidden="1" x14ac:dyDescent="0.35">
      <c r="B145" s="107" t="str">
        <f>+IF(LEFT(MID(Controlos[[#This Row],[tabela]],22,5),1)="B",MID(Controlos[[#This Row],[tabela]],22,5),MID(Controlos[[#This Row],[tabela]],18,5))</f>
        <v>LT003</v>
      </c>
      <c r="C145" s="107">
        <f>+IF(Controlos[[#This Row],[tipologia_teste]]="REGULAMENTAR",IF(LEFT(Controlos[[#This Row],[cod_kpi]],1)="v",IF(LEFT(Controlos[[#This Row],[descrição]],6)="Alerta","W","H"),"F"),0)</f>
        <v>0</v>
      </c>
      <c r="F145" t="s">
        <v>339</v>
      </c>
      <c r="G145" t="s">
        <v>558</v>
      </c>
      <c r="H145" t="s">
        <v>362</v>
      </c>
      <c r="I145" t="s">
        <v>363</v>
      </c>
      <c r="J145" t="s">
        <v>553</v>
      </c>
      <c r="K145" t="s">
        <v>559</v>
      </c>
      <c r="L145">
        <v>37</v>
      </c>
      <c r="M145">
        <v>1</v>
      </c>
      <c r="N145" t="s">
        <v>557</v>
      </c>
    </row>
    <row r="146" spans="2:14" hidden="1" x14ac:dyDescent="0.35">
      <c r="B146" s="107" t="str">
        <f>+IF(LEFT(MID(Controlos[[#This Row],[tabela]],22,5),1)="B",MID(Controlos[[#This Row],[tabela]],22,5),MID(Controlos[[#This Row],[tabela]],18,5))</f>
        <v>LT003</v>
      </c>
      <c r="C146" s="107">
        <f>+IF(Controlos[[#This Row],[tipologia_teste]]="REGULAMENTAR",IF(LEFT(Controlos[[#This Row],[cod_kpi]],1)="v",IF(LEFT(Controlos[[#This Row],[descrição]],6)="Alerta","W","H"),"F"),0)</f>
        <v>0</v>
      </c>
      <c r="F146" t="s">
        <v>339</v>
      </c>
      <c r="G146" t="s">
        <v>560</v>
      </c>
      <c r="H146" t="s">
        <v>362</v>
      </c>
      <c r="I146" t="s">
        <v>363</v>
      </c>
      <c r="J146" t="s">
        <v>553</v>
      </c>
      <c r="K146" t="s">
        <v>561</v>
      </c>
      <c r="L146">
        <v>37</v>
      </c>
      <c r="M146">
        <v>0</v>
      </c>
    </row>
    <row r="147" spans="2:14" hidden="1" x14ac:dyDescent="0.35">
      <c r="B147" s="107" t="str">
        <f>+IF(LEFT(MID(Controlos[[#This Row],[tabela]],22,5),1)="B",MID(Controlos[[#This Row],[tabela]],22,5),MID(Controlos[[#This Row],[tabela]],18,5))</f>
        <v>LT003</v>
      </c>
      <c r="C147" s="107">
        <f>+IF(Controlos[[#This Row],[tipologia_teste]]="REGULAMENTAR",IF(LEFT(Controlos[[#This Row],[cod_kpi]],1)="v",IF(LEFT(Controlos[[#This Row],[descrição]],6)="Alerta","W","H"),"F"),0)</f>
        <v>0</v>
      </c>
      <c r="F147" t="s">
        <v>339</v>
      </c>
      <c r="G147" t="s">
        <v>562</v>
      </c>
      <c r="H147" t="s">
        <v>362</v>
      </c>
      <c r="I147" t="s">
        <v>363</v>
      </c>
      <c r="J147" t="s">
        <v>553</v>
      </c>
      <c r="K147" t="s">
        <v>563</v>
      </c>
      <c r="L147">
        <v>37</v>
      </c>
      <c r="M147">
        <v>0</v>
      </c>
    </row>
    <row r="148" spans="2:14" hidden="1" x14ac:dyDescent="0.35">
      <c r="B148" s="107" t="str">
        <f>+IF(LEFT(MID(Controlos[[#This Row],[tabela]],22,5),1)="B",MID(Controlos[[#This Row],[tabela]],22,5),MID(Controlos[[#This Row],[tabela]],18,5))</f>
        <v>LT003</v>
      </c>
      <c r="C148" s="107">
        <f>+IF(Controlos[[#This Row],[tipologia_teste]]="REGULAMENTAR",IF(LEFT(Controlos[[#This Row],[cod_kpi]],1)="v",IF(LEFT(Controlos[[#This Row],[descrição]],6)="Alerta","W","H"),"F"),0)</f>
        <v>0</v>
      </c>
      <c r="F148" t="s">
        <v>339</v>
      </c>
      <c r="G148" t="s">
        <v>564</v>
      </c>
      <c r="H148" t="s">
        <v>362</v>
      </c>
      <c r="I148" t="s">
        <v>363</v>
      </c>
      <c r="J148" t="s">
        <v>553</v>
      </c>
      <c r="K148" t="s">
        <v>565</v>
      </c>
      <c r="L148">
        <v>37</v>
      </c>
      <c r="M148">
        <v>0</v>
      </c>
    </row>
    <row r="149" spans="2:14" hidden="1" x14ac:dyDescent="0.35">
      <c r="B149" s="107" t="str">
        <f>+IF(LEFT(MID(Controlos[[#This Row],[tabela]],22,5),1)="B",MID(Controlos[[#This Row],[tabela]],22,5),MID(Controlos[[#This Row],[tabela]],18,5))</f>
        <v>LT003</v>
      </c>
      <c r="C149" s="107">
        <f>+IF(Controlos[[#This Row],[tipologia_teste]]="REGULAMENTAR",IF(LEFT(Controlos[[#This Row],[cod_kpi]],1)="v",IF(LEFT(Controlos[[#This Row],[descrição]],6)="Alerta","W","H"),"F"),0)</f>
        <v>0</v>
      </c>
      <c r="F149" t="s">
        <v>339</v>
      </c>
      <c r="G149" t="s">
        <v>566</v>
      </c>
      <c r="H149" t="s">
        <v>362</v>
      </c>
      <c r="I149" t="s">
        <v>363</v>
      </c>
      <c r="J149" t="s">
        <v>553</v>
      </c>
      <c r="K149" t="s">
        <v>567</v>
      </c>
      <c r="L149">
        <v>37</v>
      </c>
      <c r="M149">
        <v>1</v>
      </c>
      <c r="N149" t="s">
        <v>557</v>
      </c>
    </row>
    <row r="150" spans="2:14" hidden="1" x14ac:dyDescent="0.35">
      <c r="B150" s="107" t="str">
        <f>+IF(LEFT(MID(Controlos[[#This Row],[tabela]],22,5),1)="B",MID(Controlos[[#This Row],[tabela]],22,5),MID(Controlos[[#This Row],[tabela]],18,5))</f>
        <v>LT004</v>
      </c>
      <c r="C150" s="107">
        <f>+IF(Controlos[[#This Row],[tipologia_teste]]="REGULAMENTAR",IF(LEFT(Controlos[[#This Row],[cod_kpi]],1)="v",IF(LEFT(Controlos[[#This Row],[descrição]],6)="Alerta","W","H"),"F"),0)</f>
        <v>0</v>
      </c>
      <c r="F150" t="s">
        <v>339</v>
      </c>
      <c r="G150" t="s">
        <v>568</v>
      </c>
      <c r="H150" t="s">
        <v>362</v>
      </c>
      <c r="I150" t="s">
        <v>363</v>
      </c>
      <c r="J150" t="s">
        <v>569</v>
      </c>
      <c r="K150" t="s">
        <v>570</v>
      </c>
      <c r="L150">
        <v>6</v>
      </c>
      <c r="M150">
        <v>0</v>
      </c>
    </row>
    <row r="151" spans="2:14" hidden="1" x14ac:dyDescent="0.35">
      <c r="B151" s="107" t="str">
        <f>+IF(LEFT(MID(Controlos[[#This Row],[tabela]],22,5),1)="B",MID(Controlos[[#This Row],[tabela]],22,5),MID(Controlos[[#This Row],[tabela]],18,5))</f>
        <v>LT004</v>
      </c>
      <c r="C151" s="107">
        <f>+IF(Controlos[[#This Row],[tipologia_teste]]="REGULAMENTAR",IF(LEFT(Controlos[[#This Row],[cod_kpi]],1)="v",IF(LEFT(Controlos[[#This Row],[descrição]],6)="Alerta","W","H"),"F"),0)</f>
        <v>0</v>
      </c>
      <c r="F151" t="s">
        <v>339</v>
      </c>
      <c r="G151" t="s">
        <v>571</v>
      </c>
      <c r="H151" t="s">
        <v>362</v>
      </c>
      <c r="I151" t="s">
        <v>363</v>
      </c>
      <c r="J151" t="s">
        <v>569</v>
      </c>
      <c r="K151" t="s">
        <v>572</v>
      </c>
      <c r="L151">
        <v>6</v>
      </c>
      <c r="M151">
        <v>0</v>
      </c>
    </row>
    <row r="152" spans="2:14" hidden="1" x14ac:dyDescent="0.35">
      <c r="B152" s="107" t="str">
        <f>+IF(LEFT(MID(Controlos[[#This Row],[tabela]],22,5),1)="B",MID(Controlos[[#This Row],[tabela]],22,5),MID(Controlos[[#This Row],[tabela]],18,5))</f>
        <v>LT004</v>
      </c>
      <c r="C152" s="107">
        <f>+IF(Controlos[[#This Row],[tipologia_teste]]="REGULAMENTAR",IF(LEFT(Controlos[[#This Row],[cod_kpi]],1)="v",IF(LEFT(Controlos[[#This Row],[descrição]],6)="Alerta","W","H"),"F"),0)</f>
        <v>0</v>
      </c>
      <c r="F152" t="s">
        <v>339</v>
      </c>
      <c r="G152" t="s">
        <v>573</v>
      </c>
      <c r="H152" t="s">
        <v>362</v>
      </c>
      <c r="I152" t="s">
        <v>363</v>
      </c>
      <c r="J152" t="s">
        <v>569</v>
      </c>
      <c r="K152" t="s">
        <v>574</v>
      </c>
      <c r="L152">
        <v>6</v>
      </c>
      <c r="M152">
        <v>0</v>
      </c>
    </row>
    <row r="153" spans="2:14" hidden="1" x14ac:dyDescent="0.35">
      <c r="B153" s="107" t="str">
        <f>+IF(LEFT(MID(Controlos[[#This Row],[tabela]],22,5),1)="B",MID(Controlos[[#This Row],[tabela]],22,5),MID(Controlos[[#This Row],[tabela]],18,5))</f>
        <v>LT005</v>
      </c>
      <c r="C153" s="107">
        <f>+IF(Controlos[[#This Row],[tipologia_teste]]="REGULAMENTAR",IF(LEFT(Controlos[[#This Row],[cod_kpi]],1)="v",IF(LEFT(Controlos[[#This Row],[descrição]],6)="Alerta","W","H"),"F"),0)</f>
        <v>0</v>
      </c>
      <c r="F153" t="s">
        <v>339</v>
      </c>
      <c r="G153" t="s">
        <v>575</v>
      </c>
      <c r="H153" t="s">
        <v>362</v>
      </c>
      <c r="I153" t="s">
        <v>363</v>
      </c>
      <c r="J153" t="s">
        <v>576</v>
      </c>
      <c r="K153" t="s">
        <v>563</v>
      </c>
      <c r="L153">
        <v>4744</v>
      </c>
      <c r="M153">
        <v>0</v>
      </c>
    </row>
    <row r="154" spans="2:14" hidden="1" x14ac:dyDescent="0.35">
      <c r="B154" s="107" t="str">
        <f>+IF(LEFT(MID(Controlos[[#This Row],[tabela]],22,5),1)="B",MID(Controlos[[#This Row],[tabela]],22,5),MID(Controlos[[#This Row],[tabela]],18,5))</f>
        <v>LT005</v>
      </c>
      <c r="C154" s="107">
        <f>+IF(Controlos[[#This Row],[tipologia_teste]]="REGULAMENTAR",IF(LEFT(Controlos[[#This Row],[cod_kpi]],1)="v",IF(LEFT(Controlos[[#This Row],[descrição]],6)="Alerta","W","H"),"F"),0)</f>
        <v>0</v>
      </c>
      <c r="F154" t="s">
        <v>339</v>
      </c>
      <c r="G154" t="s">
        <v>577</v>
      </c>
      <c r="H154" t="s">
        <v>362</v>
      </c>
      <c r="I154" t="s">
        <v>363</v>
      </c>
      <c r="J154" t="s">
        <v>576</v>
      </c>
      <c r="K154" t="s">
        <v>507</v>
      </c>
      <c r="L154">
        <v>4744</v>
      </c>
      <c r="M154">
        <v>0</v>
      </c>
    </row>
    <row r="155" spans="2:14" hidden="1" x14ac:dyDescent="0.35">
      <c r="B155" s="107" t="str">
        <f>+IF(LEFT(MID(Controlos[[#This Row],[tabela]],22,5),1)="B",MID(Controlos[[#This Row],[tabela]],22,5),MID(Controlos[[#This Row],[tabela]],18,5))</f>
        <v>LT005</v>
      </c>
      <c r="C155" s="107">
        <f>+IF(Controlos[[#This Row],[tipologia_teste]]="REGULAMENTAR",IF(LEFT(Controlos[[#This Row],[cod_kpi]],1)="v",IF(LEFT(Controlos[[#This Row],[descrição]],6)="Alerta","W","H"),"F"),0)</f>
        <v>0</v>
      </c>
      <c r="F155" t="s">
        <v>339</v>
      </c>
      <c r="G155" t="s">
        <v>578</v>
      </c>
      <c r="H155" t="s">
        <v>362</v>
      </c>
      <c r="I155" t="s">
        <v>363</v>
      </c>
      <c r="J155" t="s">
        <v>576</v>
      </c>
      <c r="K155" t="s">
        <v>517</v>
      </c>
      <c r="L155">
        <v>4744</v>
      </c>
      <c r="M155">
        <v>0</v>
      </c>
    </row>
    <row r="156" spans="2:14" hidden="1" x14ac:dyDescent="0.35">
      <c r="B156" s="107" t="str">
        <f>+IF(LEFT(MID(Controlos[[#This Row],[tabela]],22,5),1)="B",MID(Controlos[[#This Row],[tabela]],22,5),MID(Controlos[[#This Row],[tabela]],18,5))</f>
        <v>LT006</v>
      </c>
      <c r="C156" s="107">
        <f>+IF(Controlos[[#This Row],[tipologia_teste]]="REGULAMENTAR",IF(LEFT(Controlos[[#This Row],[cod_kpi]],1)="v",IF(LEFT(Controlos[[#This Row],[descrição]],6)="Alerta","W","H"),"F"),0)</f>
        <v>0</v>
      </c>
      <c r="F156" t="s">
        <v>339</v>
      </c>
      <c r="G156" t="s">
        <v>579</v>
      </c>
      <c r="H156" t="s">
        <v>362</v>
      </c>
      <c r="I156" t="s">
        <v>363</v>
      </c>
      <c r="J156" t="s">
        <v>580</v>
      </c>
      <c r="K156" t="s">
        <v>507</v>
      </c>
      <c r="L156">
        <v>9431</v>
      </c>
      <c r="M156">
        <v>0</v>
      </c>
    </row>
    <row r="157" spans="2:14" hidden="1" x14ac:dyDescent="0.35">
      <c r="B157" s="107" t="str">
        <f>+IF(LEFT(MID(Controlos[[#This Row],[tabela]],22,5),1)="B",MID(Controlos[[#This Row],[tabela]],22,5),MID(Controlos[[#This Row],[tabela]],18,5))</f>
        <v>LT006</v>
      </c>
      <c r="C157" s="107">
        <f>+IF(Controlos[[#This Row],[tipologia_teste]]="REGULAMENTAR",IF(LEFT(Controlos[[#This Row],[cod_kpi]],1)="v",IF(LEFT(Controlos[[#This Row],[descrição]],6)="Alerta","W","H"),"F"),0)</f>
        <v>0</v>
      </c>
      <c r="F157" t="s">
        <v>339</v>
      </c>
      <c r="G157" t="s">
        <v>581</v>
      </c>
      <c r="H157" t="s">
        <v>362</v>
      </c>
      <c r="I157" t="s">
        <v>363</v>
      </c>
      <c r="J157" t="s">
        <v>580</v>
      </c>
      <c r="K157" t="s">
        <v>570</v>
      </c>
      <c r="L157">
        <v>9431</v>
      </c>
      <c r="M157">
        <v>0</v>
      </c>
    </row>
    <row r="158" spans="2:14" hidden="1" x14ac:dyDescent="0.35">
      <c r="B158" s="107" t="str">
        <f>+IF(LEFT(MID(Controlos[[#This Row],[tabela]],22,5),1)="B",MID(Controlos[[#This Row],[tabela]],22,5),MID(Controlos[[#This Row],[tabela]],18,5))</f>
        <v>LT006</v>
      </c>
      <c r="C158" s="107">
        <f>+IF(Controlos[[#This Row],[tipologia_teste]]="REGULAMENTAR",IF(LEFT(Controlos[[#This Row],[cod_kpi]],1)="v",IF(LEFT(Controlos[[#This Row],[descrição]],6)="Alerta","W","H"),"F"),0)</f>
        <v>0</v>
      </c>
      <c r="F158" t="s">
        <v>339</v>
      </c>
      <c r="G158" t="s">
        <v>582</v>
      </c>
      <c r="H158" t="s">
        <v>362</v>
      </c>
      <c r="I158" t="s">
        <v>363</v>
      </c>
      <c r="J158" t="s">
        <v>580</v>
      </c>
      <c r="K158" t="s">
        <v>583</v>
      </c>
      <c r="L158">
        <v>9431</v>
      </c>
      <c r="M158">
        <v>0</v>
      </c>
    </row>
    <row r="159" spans="2:14" hidden="1" x14ac:dyDescent="0.35">
      <c r="B159" s="107" t="str">
        <f>+IF(LEFT(MID(Controlos[[#This Row],[tabela]],22,5),1)="B",MID(Controlos[[#This Row],[tabela]],22,5),MID(Controlos[[#This Row],[tabela]],18,5))</f>
        <v>B0200</v>
      </c>
      <c r="C159" s="107">
        <f>+IF(Controlos[[#This Row],[tipologia_teste]]="REGULAMENTAR",IF(LEFT(Controlos[[#This Row],[cod_kpi]],1)="v",IF(LEFT(Controlos[[#This Row],[descrição]],6)="Alerta","W","H"),"F"),0)</f>
        <v>0</v>
      </c>
      <c r="F159" t="s">
        <v>339</v>
      </c>
      <c r="G159" t="s">
        <v>343</v>
      </c>
      <c r="H159" t="s">
        <v>322</v>
      </c>
      <c r="I159" t="s">
        <v>344</v>
      </c>
      <c r="J159" t="s">
        <v>37</v>
      </c>
      <c r="K159" t="s">
        <v>40</v>
      </c>
      <c r="L159">
        <v>8</v>
      </c>
      <c r="M159">
        <v>0</v>
      </c>
    </row>
    <row r="160" spans="2:14" hidden="1" x14ac:dyDescent="0.35">
      <c r="B160" s="107" t="str">
        <f>+IF(LEFT(MID(Controlos[[#This Row],[tabela]],22,5),1)="B",MID(Controlos[[#This Row],[tabela]],22,5),MID(Controlos[[#This Row],[tabela]],18,5))</f>
        <v>B0500</v>
      </c>
      <c r="C160" s="107">
        <f>+IF(Controlos[[#This Row],[tipologia_teste]]="REGULAMENTAR",IF(LEFT(Controlos[[#This Row],[cod_kpi]],1)="v",IF(LEFT(Controlos[[#This Row],[descrição]],6)="Alerta","W","H"),"F"),0)</f>
        <v>0</v>
      </c>
      <c r="F160" t="s">
        <v>339</v>
      </c>
      <c r="G160" t="s">
        <v>593</v>
      </c>
      <c r="H160" t="s">
        <v>322</v>
      </c>
      <c r="I160" t="s">
        <v>344</v>
      </c>
      <c r="J160" t="s">
        <v>329</v>
      </c>
      <c r="K160" t="s">
        <v>330</v>
      </c>
      <c r="L160">
        <v>4730</v>
      </c>
      <c r="M160">
        <v>0</v>
      </c>
    </row>
    <row r="161" spans="2:14" hidden="1" x14ac:dyDescent="0.35">
      <c r="B161" s="107" t="str">
        <f>+IF(LEFT(MID(Controlos[[#This Row],[tabela]],22,5),1)="B",MID(Controlos[[#This Row],[tabela]],22,5),MID(Controlos[[#This Row],[tabela]],18,5))</f>
        <v>B9000</v>
      </c>
      <c r="C161" s="107">
        <f>+IF(Controlos[[#This Row],[tipologia_teste]]="REGULAMENTAR",IF(LEFT(Controlos[[#This Row],[cod_kpi]],1)="v",IF(LEFT(Controlos[[#This Row],[descrição]],6)="Alerta","W","H"),"F"),0)</f>
        <v>0</v>
      </c>
      <c r="F161" t="s">
        <v>339</v>
      </c>
      <c r="G161" t="s">
        <v>594</v>
      </c>
      <c r="H161" t="s">
        <v>322</v>
      </c>
      <c r="I161" t="s">
        <v>344</v>
      </c>
      <c r="J161" t="s">
        <v>331</v>
      </c>
      <c r="K161" t="s">
        <v>337</v>
      </c>
      <c r="L161">
        <v>4740</v>
      </c>
      <c r="M161">
        <v>0</v>
      </c>
    </row>
    <row r="162" spans="2:14" hidden="1" x14ac:dyDescent="0.35">
      <c r="B162" s="107" t="str">
        <f>+IF(LEFT(MID(Controlos[[#This Row],[tabela]],22,5),1)="B",MID(Controlos[[#This Row],[tabela]],22,5),MID(Controlos[[#This Row],[tabela]],18,5))</f>
        <v>LT001</v>
      </c>
      <c r="C162" s="107">
        <f>+IF(Controlos[[#This Row],[tipologia_teste]]="REGULAMENTAR",IF(LEFT(Controlos[[#This Row],[cod_kpi]],1)="v",IF(LEFT(Controlos[[#This Row],[descrição]],6)="Alerta","W","H"),"F"),0)</f>
        <v>0</v>
      </c>
      <c r="F162" t="s">
        <v>339</v>
      </c>
      <c r="G162" t="s">
        <v>595</v>
      </c>
      <c r="H162" t="s">
        <v>322</v>
      </c>
      <c r="I162" t="s">
        <v>344</v>
      </c>
      <c r="J162" t="s">
        <v>585</v>
      </c>
      <c r="K162" t="s">
        <v>596</v>
      </c>
      <c r="L162">
        <v>14293</v>
      </c>
      <c r="M162">
        <v>0</v>
      </c>
    </row>
    <row r="163" spans="2:14" hidden="1" x14ac:dyDescent="0.35">
      <c r="B163" s="107" t="str">
        <f>+IF(LEFT(MID(Controlos[[#This Row],[tabela]],22,5),1)="B",MID(Controlos[[#This Row],[tabela]],22,5),MID(Controlos[[#This Row],[tabela]],18,5))</f>
        <v>LT002</v>
      </c>
      <c r="C163" s="107">
        <f>+IF(Controlos[[#This Row],[tipologia_teste]]="REGULAMENTAR",IF(LEFT(Controlos[[#This Row],[cod_kpi]],1)="v",IF(LEFT(Controlos[[#This Row],[descrição]],6)="Alerta","W","H"),"F"),0)</f>
        <v>0</v>
      </c>
      <c r="F163" t="s">
        <v>339</v>
      </c>
      <c r="G163" t="s">
        <v>597</v>
      </c>
      <c r="H163" t="s">
        <v>322</v>
      </c>
      <c r="I163" t="s">
        <v>344</v>
      </c>
      <c r="J163" t="s">
        <v>506</v>
      </c>
      <c r="K163" t="s">
        <v>507</v>
      </c>
      <c r="L163">
        <v>4742</v>
      </c>
      <c r="M163">
        <v>0</v>
      </c>
    </row>
    <row r="164" spans="2:14" hidden="1" x14ac:dyDescent="0.35">
      <c r="B164" s="107" t="str">
        <f>+IF(LEFT(MID(Controlos[[#This Row],[tabela]],22,5),1)="B",MID(Controlos[[#This Row],[tabela]],22,5),MID(Controlos[[#This Row],[tabela]],18,5))</f>
        <v>LT003</v>
      </c>
      <c r="C164" s="107">
        <f>+IF(Controlos[[#This Row],[tipologia_teste]]="REGULAMENTAR",IF(LEFT(Controlos[[#This Row],[cod_kpi]],1)="v",IF(LEFT(Controlos[[#This Row],[descrição]],6)="Alerta","W","H"),"F"),0)</f>
        <v>0</v>
      </c>
      <c r="F164" t="s">
        <v>339</v>
      </c>
      <c r="G164" t="s">
        <v>598</v>
      </c>
      <c r="H164" t="s">
        <v>322</v>
      </c>
      <c r="I164" t="s">
        <v>344</v>
      </c>
      <c r="J164" t="s">
        <v>553</v>
      </c>
      <c r="K164" t="s">
        <v>563</v>
      </c>
      <c r="L164">
        <v>37</v>
      </c>
      <c r="M164">
        <v>0</v>
      </c>
    </row>
    <row r="165" spans="2:14" hidden="1" x14ac:dyDescent="0.35">
      <c r="B165" s="107" t="str">
        <f>+IF(LEFT(MID(Controlos[[#This Row],[tabela]],22,5),1)="B",MID(Controlos[[#This Row],[tabela]],22,5),MID(Controlos[[#This Row],[tabela]],18,5))</f>
        <v>LT004</v>
      </c>
      <c r="C165" s="107">
        <f>+IF(Controlos[[#This Row],[tipologia_teste]]="REGULAMENTAR",IF(LEFT(Controlos[[#This Row],[cod_kpi]],1)="v",IF(LEFT(Controlos[[#This Row],[descrição]],6)="Alerta","W","H"),"F"),0)</f>
        <v>0</v>
      </c>
      <c r="F165" t="s">
        <v>339</v>
      </c>
      <c r="G165" t="s">
        <v>599</v>
      </c>
      <c r="H165" t="s">
        <v>322</v>
      </c>
      <c r="I165" t="s">
        <v>344</v>
      </c>
      <c r="J165" t="s">
        <v>569</v>
      </c>
      <c r="K165" t="s">
        <v>570</v>
      </c>
      <c r="L165">
        <v>6</v>
      </c>
      <c r="M165">
        <v>0</v>
      </c>
    </row>
    <row r="166" spans="2:14" hidden="1" x14ac:dyDescent="0.35">
      <c r="B166" s="107" t="str">
        <f>+IF(LEFT(MID(Controlos[[#This Row],[tabela]],22,5),1)="B",MID(Controlos[[#This Row],[tabela]],22,5),MID(Controlos[[#This Row],[tabela]],18,5))</f>
        <v>LT005</v>
      </c>
      <c r="C166" s="107">
        <f>+IF(Controlos[[#This Row],[tipologia_teste]]="REGULAMENTAR",IF(LEFT(Controlos[[#This Row],[cod_kpi]],1)="v",IF(LEFT(Controlos[[#This Row],[descrição]],6)="Alerta","W","H"),"F"),0)</f>
        <v>0</v>
      </c>
      <c r="F166" t="s">
        <v>339</v>
      </c>
      <c r="G166" t="s">
        <v>600</v>
      </c>
      <c r="H166" t="s">
        <v>322</v>
      </c>
      <c r="I166" t="s">
        <v>344</v>
      </c>
      <c r="J166" t="s">
        <v>576</v>
      </c>
      <c r="K166" t="s">
        <v>601</v>
      </c>
      <c r="L166">
        <v>4744</v>
      </c>
      <c r="M166">
        <v>0</v>
      </c>
    </row>
    <row r="167" spans="2:14" hidden="1" x14ac:dyDescent="0.35">
      <c r="B167" s="107" t="str">
        <f>+IF(LEFT(MID(Controlos[[#This Row],[tabela]],22,5),1)="B",MID(Controlos[[#This Row],[tabela]],22,5),MID(Controlos[[#This Row],[tabela]],18,5))</f>
        <v>LT006</v>
      </c>
      <c r="C167" s="107">
        <f>+IF(Controlos[[#This Row],[tipologia_teste]]="REGULAMENTAR",IF(LEFT(Controlos[[#This Row],[cod_kpi]],1)="v",IF(LEFT(Controlos[[#This Row],[descrição]],6)="Alerta","W","H"),"F"),0)</f>
        <v>0</v>
      </c>
      <c r="F167" t="s">
        <v>339</v>
      </c>
      <c r="G167" t="s">
        <v>602</v>
      </c>
      <c r="H167" t="s">
        <v>322</v>
      </c>
      <c r="I167" t="s">
        <v>344</v>
      </c>
      <c r="J167" t="s">
        <v>580</v>
      </c>
      <c r="K167" t="s">
        <v>603</v>
      </c>
      <c r="L167">
        <v>9431</v>
      </c>
      <c r="M167">
        <v>0</v>
      </c>
    </row>
    <row r="168" spans="2:14" hidden="1" x14ac:dyDescent="0.35">
      <c r="B168" s="107" t="str">
        <f>+IF(LEFT(MID(Controlos[[#This Row],[tabela]],22,5),1)="B",MID(Controlos[[#This Row],[tabela]],22,5),MID(Controlos[[#This Row],[tabela]],18,5))</f>
        <v>B0200</v>
      </c>
      <c r="C168" s="107" t="str">
        <f>+IF(Controlos[[#This Row],[tipologia_teste]]="REGULAMENTAR",IF(LEFT(Controlos[[#This Row],[cod_kpi]],1)="v",IF(LEFT(Controlos[[#This Row],[descrição]],6)="Alerta","W","H"),"F"),0)</f>
        <v>H</v>
      </c>
      <c r="F168" t="s">
        <v>339</v>
      </c>
      <c r="G168" t="s">
        <v>604</v>
      </c>
      <c r="H168" t="s">
        <v>605</v>
      </c>
      <c r="I168" t="s">
        <v>623</v>
      </c>
      <c r="J168" t="s">
        <v>37</v>
      </c>
      <c r="K168" t="s">
        <v>606</v>
      </c>
      <c r="L168">
        <v>8</v>
      </c>
      <c r="M168">
        <v>0</v>
      </c>
    </row>
    <row r="169" spans="2:14" hidden="1" x14ac:dyDescent="0.35">
      <c r="B169" s="107" t="str">
        <f>+IF(LEFT(MID(Controlos[[#This Row],[tabela]],22,5),1)="B",MID(Controlos[[#This Row],[tabela]],22,5),MID(Controlos[[#This Row],[tabela]],18,5))</f>
        <v>B0200</v>
      </c>
      <c r="C169" s="107" t="str">
        <f>+IF(Controlos[[#This Row],[tipologia_teste]]="REGULAMENTAR",IF(LEFT(Controlos[[#This Row],[cod_kpi]],1)="v",IF(LEFT(Controlos[[#This Row],[descrição]],6)="Alerta","W","H"),"F"),0)</f>
        <v>H</v>
      </c>
      <c r="F169" t="s">
        <v>339</v>
      </c>
      <c r="G169" t="s">
        <v>607</v>
      </c>
      <c r="H169" t="s">
        <v>605</v>
      </c>
      <c r="I169" t="s">
        <v>623</v>
      </c>
      <c r="J169" t="s">
        <v>37</v>
      </c>
      <c r="K169" t="s">
        <v>608</v>
      </c>
      <c r="L169">
        <v>8</v>
      </c>
      <c r="M169">
        <v>0</v>
      </c>
    </row>
    <row r="170" spans="2:14" hidden="1" x14ac:dyDescent="0.35">
      <c r="B170" s="107" t="str">
        <f>+IF(LEFT(MID(Controlos[[#This Row],[tabela]],22,5),1)="B",MID(Controlos[[#This Row],[tabela]],22,5),MID(Controlos[[#This Row],[tabela]],18,5))</f>
        <v>B0200</v>
      </c>
      <c r="C170" s="107" t="str">
        <f>+IF(Controlos[[#This Row],[tipologia_teste]]="REGULAMENTAR",IF(LEFT(Controlos[[#This Row],[cod_kpi]],1)="v",IF(LEFT(Controlos[[#This Row],[descrição]],6)="Alerta","W","H"),"F"),0)</f>
        <v>H</v>
      </c>
      <c r="F170" t="s">
        <v>339</v>
      </c>
      <c r="G170" t="s">
        <v>609</v>
      </c>
      <c r="H170" t="s">
        <v>605</v>
      </c>
      <c r="I170" t="s">
        <v>623</v>
      </c>
      <c r="J170" t="s">
        <v>37</v>
      </c>
      <c r="K170" t="s">
        <v>610</v>
      </c>
      <c r="L170">
        <v>8</v>
      </c>
      <c r="M170">
        <v>0</v>
      </c>
    </row>
    <row r="171" spans="2:14" hidden="1" x14ac:dyDescent="0.35">
      <c r="B171" s="107" t="str">
        <f>+IF(LEFT(MID(Controlos[[#This Row],[tabela]],22,5),1)="B",MID(Controlos[[#This Row],[tabela]],22,5),MID(Controlos[[#This Row],[tabela]],18,5))</f>
        <v>B0200</v>
      </c>
      <c r="C171" s="107" t="str">
        <f>+IF(Controlos[[#This Row],[tipologia_teste]]="REGULAMENTAR",IF(LEFT(Controlos[[#This Row],[cod_kpi]],1)="v",IF(LEFT(Controlos[[#This Row],[descrição]],6)="Alerta","W","H"),"F"),0)</f>
        <v>H</v>
      </c>
      <c r="F171" t="s">
        <v>339</v>
      </c>
      <c r="G171" t="s">
        <v>611</v>
      </c>
      <c r="H171" t="s">
        <v>605</v>
      </c>
      <c r="I171" t="s">
        <v>623</v>
      </c>
      <c r="J171" t="s">
        <v>37</v>
      </c>
      <c r="K171" t="s">
        <v>612</v>
      </c>
      <c r="L171">
        <v>8</v>
      </c>
      <c r="M171">
        <v>0</v>
      </c>
    </row>
    <row r="172" spans="2:14" hidden="1" x14ac:dyDescent="0.35">
      <c r="B172" s="107" t="str">
        <f>+IF(LEFT(MID(Controlos[[#This Row],[tabela]],22,5),1)="B",MID(Controlos[[#This Row],[tabela]],22,5),MID(Controlos[[#This Row],[tabela]],18,5))</f>
        <v>B0200</v>
      </c>
      <c r="C172" s="107" t="str">
        <f>+IF(Controlos[[#This Row],[tipologia_teste]]="REGULAMENTAR",IF(LEFT(Controlos[[#This Row],[cod_kpi]],1)="v",IF(LEFT(Controlos[[#This Row],[descrição]],6)="Alerta","W","H"),"F"),0)</f>
        <v>H</v>
      </c>
      <c r="F172" t="s">
        <v>339</v>
      </c>
      <c r="G172" t="s">
        <v>613</v>
      </c>
      <c r="H172" t="s">
        <v>605</v>
      </c>
      <c r="I172" t="s">
        <v>624</v>
      </c>
      <c r="J172" t="s">
        <v>37</v>
      </c>
      <c r="K172" t="s">
        <v>614</v>
      </c>
      <c r="L172">
        <v>8</v>
      </c>
      <c r="M172">
        <v>0</v>
      </c>
    </row>
    <row r="173" spans="2:14" hidden="1" x14ac:dyDescent="0.35">
      <c r="B173" s="107" t="str">
        <f>+IF(LEFT(MID(Controlos[[#This Row],[tabela]],22,5),1)="B",MID(Controlos[[#This Row],[tabela]],22,5),MID(Controlos[[#This Row],[tabela]],18,5))</f>
        <v>B0200</v>
      </c>
      <c r="C173" s="107" t="str">
        <f>+IF(Controlos[[#This Row],[tipologia_teste]]="REGULAMENTAR",IF(LEFT(Controlos[[#This Row],[cod_kpi]],1)="v",IF(LEFT(Controlos[[#This Row],[descrição]],6)="Alerta","W","H"),"F"),0)</f>
        <v>W</v>
      </c>
      <c r="F173" t="s">
        <v>339</v>
      </c>
      <c r="G173" t="s">
        <v>615</v>
      </c>
      <c r="H173" t="s">
        <v>605</v>
      </c>
      <c r="I173" t="s">
        <v>625</v>
      </c>
      <c r="J173" t="s">
        <v>37</v>
      </c>
      <c r="K173" t="s">
        <v>614</v>
      </c>
      <c r="L173">
        <v>8</v>
      </c>
      <c r="M173">
        <v>0</v>
      </c>
    </row>
    <row r="174" spans="2:14" hidden="1" x14ac:dyDescent="0.35">
      <c r="B174" s="107" t="str">
        <f>+IF(LEFT(MID(Controlos[[#This Row],[tabela]],22,5),1)="B",MID(Controlos[[#This Row],[tabela]],22,5),MID(Controlos[[#This Row],[tabela]],18,5))</f>
        <v>B0200</v>
      </c>
      <c r="C174" s="107" t="str">
        <f>+IF(Controlos[[#This Row],[tipologia_teste]]="REGULAMENTAR",IF(LEFT(Controlos[[#This Row],[cod_kpi]],1)="v",IF(LEFT(Controlos[[#This Row],[descrição]],6)="Alerta","W","H"),"F"),0)</f>
        <v>H</v>
      </c>
      <c r="F174" t="s">
        <v>339</v>
      </c>
      <c r="G174" t="s">
        <v>616</v>
      </c>
      <c r="H174" t="s">
        <v>605</v>
      </c>
      <c r="I174" t="s">
        <v>626</v>
      </c>
      <c r="J174" t="s">
        <v>37</v>
      </c>
      <c r="K174" t="s">
        <v>617</v>
      </c>
      <c r="L174">
        <v>8</v>
      </c>
      <c r="M174">
        <v>8</v>
      </c>
      <c r="N174" t="s">
        <v>453</v>
      </c>
    </row>
    <row r="175" spans="2:14" hidden="1" x14ac:dyDescent="0.35">
      <c r="B175" s="107" t="str">
        <f>+IF(LEFT(MID(Controlos[[#This Row],[tabela]],22,5),1)="B",MID(Controlos[[#This Row],[tabela]],22,5),MID(Controlos[[#This Row],[tabela]],18,5))</f>
        <v>B0200</v>
      </c>
      <c r="C175" s="107" t="str">
        <f>+IF(Controlos[[#This Row],[tipologia_teste]]="REGULAMENTAR",IF(LEFT(Controlos[[#This Row],[cod_kpi]],1)="v",IF(LEFT(Controlos[[#This Row],[descrição]],6)="Alerta","W","H"),"F"),0)</f>
        <v>H</v>
      </c>
      <c r="F175" t="s">
        <v>339</v>
      </c>
      <c r="G175" t="s">
        <v>618</v>
      </c>
      <c r="H175" t="s">
        <v>605</v>
      </c>
      <c r="I175" t="s">
        <v>627</v>
      </c>
      <c r="J175" t="s">
        <v>37</v>
      </c>
      <c r="K175" t="s">
        <v>619</v>
      </c>
      <c r="L175">
        <v>8</v>
      </c>
      <c r="M175">
        <v>0</v>
      </c>
    </row>
    <row r="176" spans="2:14" hidden="1" x14ac:dyDescent="0.35">
      <c r="B176" s="107" t="str">
        <f>+IF(LEFT(MID(Controlos[[#This Row],[tabela]],22,5),1)="B",MID(Controlos[[#This Row],[tabela]],22,5),MID(Controlos[[#This Row],[tabela]],18,5))</f>
        <v>B0200</v>
      </c>
      <c r="C176" s="107" t="str">
        <f>+IF(Controlos[[#This Row],[tipologia_teste]]="REGULAMENTAR",IF(LEFT(Controlos[[#This Row],[cod_kpi]],1)="v",IF(LEFT(Controlos[[#This Row],[descrição]],6)="Alerta","W","H"),"F"),0)</f>
        <v>W</v>
      </c>
      <c r="F176" t="s">
        <v>339</v>
      </c>
      <c r="G176" t="s">
        <v>620</v>
      </c>
      <c r="H176" t="s">
        <v>605</v>
      </c>
      <c r="I176" t="s">
        <v>625</v>
      </c>
      <c r="J176" t="s">
        <v>37</v>
      </c>
      <c r="K176" t="s">
        <v>619</v>
      </c>
      <c r="L176">
        <v>8</v>
      </c>
      <c r="M176">
        <v>0</v>
      </c>
    </row>
    <row r="177" spans="2:14" hidden="1" x14ac:dyDescent="0.35">
      <c r="B177" s="107" t="str">
        <f>+IF(LEFT(MID(Controlos[[#This Row],[tabela]],22,5),1)="B",MID(Controlos[[#This Row],[tabela]],22,5),MID(Controlos[[#This Row],[tabela]],18,5))</f>
        <v>B0200</v>
      </c>
      <c r="C177" s="107" t="str">
        <f>+IF(Controlos[[#This Row],[tipologia_teste]]="REGULAMENTAR",IF(LEFT(Controlos[[#This Row],[cod_kpi]],1)="v",IF(LEFT(Controlos[[#This Row],[descrição]],6)="Alerta","W","H"),"F"),0)</f>
        <v>H</v>
      </c>
      <c r="F177" t="s">
        <v>339</v>
      </c>
      <c r="G177" t="s">
        <v>621</v>
      </c>
      <c r="H177" t="s">
        <v>605</v>
      </c>
      <c r="I177" t="s">
        <v>628</v>
      </c>
      <c r="J177" t="s">
        <v>37</v>
      </c>
      <c r="K177" t="s">
        <v>622</v>
      </c>
      <c r="L177">
        <v>8</v>
      </c>
      <c r="M177">
        <v>0</v>
      </c>
    </row>
    <row r="178" spans="2:14" hidden="1" x14ac:dyDescent="0.35">
      <c r="B178" s="107" t="str">
        <f>+IF(LEFT(MID(Controlos[[#This Row],[tabela]],22,5),1)="B",MID(Controlos[[#This Row],[tabela]],22,5),MID(Controlos[[#This Row],[tabela]],18,5))</f>
        <v>B0200</v>
      </c>
      <c r="C178" s="107" t="str">
        <f>+IF(Controlos[[#This Row],[tipologia_teste]]="REGULAMENTAR",IF(LEFT(Controlos[[#This Row],[cod_kpi]],1)="v",IF(LEFT(Controlos[[#This Row],[descrição]],6)="Alerta","W","H"),"F"),0)</f>
        <v>W</v>
      </c>
      <c r="F178" t="s">
        <v>339</v>
      </c>
      <c r="G178" t="s">
        <v>629</v>
      </c>
      <c r="H178" t="s">
        <v>605</v>
      </c>
      <c r="I178" t="s">
        <v>625</v>
      </c>
      <c r="J178" t="s">
        <v>37</v>
      </c>
      <c r="K178" t="s">
        <v>622</v>
      </c>
      <c r="L178">
        <v>8</v>
      </c>
      <c r="M178">
        <v>8</v>
      </c>
      <c r="N178" t="s">
        <v>453</v>
      </c>
    </row>
    <row r="179" spans="2:14" hidden="1" x14ac:dyDescent="0.35">
      <c r="B179" s="107" t="str">
        <f>+IF(LEFT(MID(Controlos[[#This Row],[tabela]],22,5),1)="B",MID(Controlos[[#This Row],[tabela]],22,5),MID(Controlos[[#This Row],[tabela]],18,5))</f>
        <v>B0200</v>
      </c>
      <c r="C179" s="107" t="str">
        <f>+IF(Controlos[[#This Row],[tipologia_teste]]="REGULAMENTAR",IF(LEFT(Controlos[[#This Row],[cod_kpi]],1)="v",IF(LEFT(Controlos[[#This Row],[descrição]],6)="Alerta","W","H"),"F"),0)</f>
        <v>H</v>
      </c>
      <c r="F179" t="s">
        <v>339</v>
      </c>
      <c r="G179" t="s">
        <v>630</v>
      </c>
      <c r="H179" t="s">
        <v>605</v>
      </c>
      <c r="I179" t="s">
        <v>623</v>
      </c>
      <c r="J179" t="s">
        <v>37</v>
      </c>
      <c r="K179" t="s">
        <v>631</v>
      </c>
      <c r="L179">
        <v>8</v>
      </c>
      <c r="M179">
        <v>8</v>
      </c>
      <c r="N179" t="s">
        <v>453</v>
      </c>
    </row>
    <row r="180" spans="2:14" hidden="1" x14ac:dyDescent="0.35">
      <c r="B180" s="107" t="str">
        <f>+IF(LEFT(MID(Controlos[[#This Row],[tabela]],22,5),1)="B",MID(Controlos[[#This Row],[tabela]],22,5),MID(Controlos[[#This Row],[tabela]],18,5))</f>
        <v>B0200</v>
      </c>
      <c r="C180" s="107" t="str">
        <f>+IF(Controlos[[#This Row],[tipologia_teste]]="REGULAMENTAR",IF(LEFT(Controlos[[#This Row],[cod_kpi]],1)="v",IF(LEFT(Controlos[[#This Row],[descrição]],6)="Alerta","W","H"),"F"),0)</f>
        <v>H</v>
      </c>
      <c r="F180" t="s">
        <v>339</v>
      </c>
      <c r="G180" t="s">
        <v>632</v>
      </c>
      <c r="H180" t="s">
        <v>605</v>
      </c>
      <c r="I180" t="s">
        <v>623</v>
      </c>
      <c r="J180" t="s">
        <v>37</v>
      </c>
      <c r="K180" t="s">
        <v>633</v>
      </c>
      <c r="L180">
        <v>8</v>
      </c>
      <c r="M180">
        <v>0</v>
      </c>
    </row>
    <row r="181" spans="2:14" hidden="1" x14ac:dyDescent="0.35">
      <c r="B181" s="107" t="str">
        <f>+IF(LEFT(MID(Controlos[[#This Row],[tabela]],22,5),1)="B",MID(Controlos[[#This Row],[tabela]],22,5),MID(Controlos[[#This Row],[tabela]],18,5))</f>
        <v>B0200</v>
      </c>
      <c r="C181" s="107" t="str">
        <f>+IF(Controlos[[#This Row],[tipologia_teste]]="REGULAMENTAR",IF(LEFT(Controlos[[#This Row],[cod_kpi]],1)="v",IF(LEFT(Controlos[[#This Row],[descrição]],6)="Alerta","W","H"),"F"),0)</f>
        <v>H</v>
      </c>
      <c r="F181" t="s">
        <v>339</v>
      </c>
      <c r="G181" t="s">
        <v>634</v>
      </c>
      <c r="H181" t="s">
        <v>605</v>
      </c>
      <c r="I181" t="s">
        <v>635</v>
      </c>
      <c r="J181" t="s">
        <v>37</v>
      </c>
      <c r="K181" t="s">
        <v>636</v>
      </c>
      <c r="L181">
        <v>8</v>
      </c>
      <c r="M181">
        <v>0</v>
      </c>
    </row>
    <row r="182" spans="2:14" hidden="1" x14ac:dyDescent="0.35">
      <c r="B182" s="107" t="str">
        <f>+IF(LEFT(MID(Controlos[[#This Row],[tabela]],22,5),1)="B",MID(Controlos[[#This Row],[tabela]],22,5),MID(Controlos[[#This Row],[tabela]],18,5))</f>
        <v>B0200</v>
      </c>
      <c r="C182" s="107" t="str">
        <f>+IF(Controlos[[#This Row],[tipologia_teste]]="REGULAMENTAR",IF(LEFT(Controlos[[#This Row],[cod_kpi]],1)="v",IF(LEFT(Controlos[[#This Row],[descrição]],6)="Alerta","W","H"),"F"),0)</f>
        <v>H</v>
      </c>
      <c r="F182" t="s">
        <v>339</v>
      </c>
      <c r="G182" t="s">
        <v>637</v>
      </c>
      <c r="H182" t="s">
        <v>605</v>
      </c>
      <c r="I182" t="s">
        <v>623</v>
      </c>
      <c r="J182" t="s">
        <v>37</v>
      </c>
      <c r="K182" t="s">
        <v>638</v>
      </c>
      <c r="L182">
        <v>8</v>
      </c>
      <c r="M182">
        <v>0</v>
      </c>
    </row>
    <row r="183" spans="2:14" hidden="1" x14ac:dyDescent="0.35">
      <c r="B183" s="107" t="str">
        <f>+IF(LEFT(MID(Controlos[[#This Row],[tabela]],22,5),1)="B",MID(Controlos[[#This Row],[tabela]],22,5),MID(Controlos[[#This Row],[tabela]],18,5))</f>
        <v>B0200</v>
      </c>
      <c r="C183" s="107" t="str">
        <f>+IF(Controlos[[#This Row],[tipologia_teste]]="REGULAMENTAR",IF(LEFT(Controlos[[#This Row],[cod_kpi]],1)="v",IF(LEFT(Controlos[[#This Row],[descrição]],6)="Alerta","W","H"),"F"),0)</f>
        <v>H</v>
      </c>
      <c r="F183" t="s">
        <v>339</v>
      </c>
      <c r="G183" t="s">
        <v>639</v>
      </c>
      <c r="H183" t="s">
        <v>605</v>
      </c>
      <c r="I183" t="s">
        <v>623</v>
      </c>
      <c r="J183" t="s">
        <v>37</v>
      </c>
      <c r="K183" t="s">
        <v>640</v>
      </c>
      <c r="L183">
        <v>8</v>
      </c>
      <c r="M183">
        <v>0</v>
      </c>
    </row>
    <row r="184" spans="2:14" hidden="1" x14ac:dyDescent="0.35">
      <c r="B184" s="107" t="str">
        <f>+IF(LEFT(MID(Controlos[[#This Row],[tabela]],22,5),1)="B",MID(Controlos[[#This Row],[tabela]],22,5),MID(Controlos[[#This Row],[tabela]],18,5))</f>
        <v>B0200</v>
      </c>
      <c r="C184" s="107" t="str">
        <f>+IF(Controlos[[#This Row],[tipologia_teste]]="REGULAMENTAR",IF(LEFT(Controlos[[#This Row],[cod_kpi]],1)="v",IF(LEFT(Controlos[[#This Row],[descrição]],6)="Alerta","W","H"),"F"),0)</f>
        <v>H</v>
      </c>
      <c r="F184" t="s">
        <v>339</v>
      </c>
      <c r="G184" t="s">
        <v>641</v>
      </c>
      <c r="H184" t="s">
        <v>605</v>
      </c>
      <c r="I184" t="s">
        <v>627</v>
      </c>
      <c r="J184" t="s">
        <v>37</v>
      </c>
      <c r="K184" t="s">
        <v>642</v>
      </c>
      <c r="L184">
        <v>8</v>
      </c>
      <c r="M184">
        <v>0</v>
      </c>
    </row>
    <row r="185" spans="2:14" hidden="1" x14ac:dyDescent="0.35">
      <c r="B185" s="107" t="str">
        <f>+IF(LEFT(MID(Controlos[[#This Row],[tabela]],22,5),1)="B",MID(Controlos[[#This Row],[tabela]],22,5),MID(Controlos[[#This Row],[tabela]],18,5))</f>
        <v>B0200</v>
      </c>
      <c r="C185" s="107" t="str">
        <f>+IF(Controlos[[#This Row],[tipologia_teste]]="REGULAMENTAR",IF(LEFT(Controlos[[#This Row],[cod_kpi]],1)="v",IF(LEFT(Controlos[[#This Row],[descrição]],6)="Alerta","W","H"),"F"),0)</f>
        <v>W</v>
      </c>
      <c r="F185" t="s">
        <v>339</v>
      </c>
      <c r="G185" t="s">
        <v>643</v>
      </c>
      <c r="H185" t="s">
        <v>605</v>
      </c>
      <c r="I185" t="s">
        <v>644</v>
      </c>
      <c r="J185" t="s">
        <v>37</v>
      </c>
      <c r="K185" t="s">
        <v>642</v>
      </c>
      <c r="L185">
        <v>8</v>
      </c>
      <c r="M185">
        <v>0</v>
      </c>
    </row>
    <row r="186" spans="2:14" hidden="1" x14ac:dyDescent="0.35">
      <c r="B186" s="107" t="str">
        <f>+IF(LEFT(MID(Controlos[[#This Row],[tabela]],22,5),1)="B",MID(Controlos[[#This Row],[tabela]],22,5),MID(Controlos[[#This Row],[tabela]],18,5))</f>
        <v>B0200</v>
      </c>
      <c r="C186" s="107" t="str">
        <f>+IF(Controlos[[#This Row],[tipologia_teste]]="REGULAMENTAR",IF(LEFT(Controlos[[#This Row],[cod_kpi]],1)="v",IF(LEFT(Controlos[[#This Row],[descrição]],6)="Alerta","W","H"),"F"),0)</f>
        <v>W</v>
      </c>
      <c r="F186" t="s">
        <v>339</v>
      </c>
      <c r="G186" t="s">
        <v>645</v>
      </c>
      <c r="H186" t="s">
        <v>605</v>
      </c>
      <c r="I186" t="s">
        <v>646</v>
      </c>
      <c r="J186" t="s">
        <v>37</v>
      </c>
      <c r="K186" t="s">
        <v>647</v>
      </c>
      <c r="L186">
        <v>8</v>
      </c>
      <c r="M186">
        <v>0</v>
      </c>
    </row>
    <row r="187" spans="2:14" hidden="1" x14ac:dyDescent="0.35">
      <c r="B187" s="107" t="str">
        <f>+IF(LEFT(MID(Controlos[[#This Row],[tabela]],22,5),1)="B",MID(Controlos[[#This Row],[tabela]],22,5),MID(Controlos[[#This Row],[tabela]],18,5))</f>
        <v>B0200</v>
      </c>
      <c r="C187" s="107" t="str">
        <f>+IF(Controlos[[#This Row],[tipologia_teste]]="REGULAMENTAR",IF(LEFT(Controlos[[#This Row],[cod_kpi]],1)="v",IF(LEFT(Controlos[[#This Row],[descrição]],6)="Alerta","W","H"),"F"),0)</f>
        <v>H</v>
      </c>
      <c r="F187" t="s">
        <v>339</v>
      </c>
      <c r="G187" t="s">
        <v>648</v>
      </c>
      <c r="H187" t="s">
        <v>605</v>
      </c>
      <c r="I187" t="s">
        <v>649</v>
      </c>
      <c r="J187" t="s">
        <v>37</v>
      </c>
      <c r="K187" t="s">
        <v>650</v>
      </c>
      <c r="L187">
        <v>8</v>
      </c>
      <c r="M187">
        <v>0</v>
      </c>
    </row>
    <row r="188" spans="2:14" hidden="1" x14ac:dyDescent="0.35">
      <c r="B188" s="107" t="str">
        <f>+IF(LEFT(MID(Controlos[[#This Row],[tabela]],22,5),1)="B",MID(Controlos[[#This Row],[tabela]],22,5),MID(Controlos[[#This Row],[tabela]],18,5))</f>
        <v>B0200</v>
      </c>
      <c r="C188" s="107" t="str">
        <f>+IF(Controlos[[#This Row],[tipologia_teste]]="REGULAMENTAR",IF(LEFT(Controlos[[#This Row],[cod_kpi]],1)="v",IF(LEFT(Controlos[[#This Row],[descrição]],6)="Alerta","W","H"),"F"),0)</f>
        <v>H</v>
      </c>
      <c r="F188" t="s">
        <v>339</v>
      </c>
      <c r="G188" t="s">
        <v>651</v>
      </c>
      <c r="H188" t="s">
        <v>605</v>
      </c>
      <c r="I188" t="s">
        <v>623</v>
      </c>
      <c r="J188" t="s">
        <v>37</v>
      </c>
      <c r="K188" t="s">
        <v>652</v>
      </c>
      <c r="L188">
        <v>8</v>
      </c>
      <c r="M188">
        <v>0</v>
      </c>
    </row>
    <row r="189" spans="2:14" hidden="1" x14ac:dyDescent="0.35">
      <c r="B189" s="107" t="str">
        <f>+IF(LEFT(MID(Controlos[[#This Row],[tabela]],22,5),1)="B",MID(Controlos[[#This Row],[tabela]],22,5),MID(Controlos[[#This Row],[tabela]],18,5))</f>
        <v>B0200</v>
      </c>
      <c r="C189" s="107" t="str">
        <f>+IF(Controlos[[#This Row],[tipologia_teste]]="REGULAMENTAR",IF(LEFT(Controlos[[#This Row],[cod_kpi]],1)="v",IF(LEFT(Controlos[[#This Row],[descrição]],6)="Alerta","W","H"),"F"),0)</f>
        <v>H</v>
      </c>
      <c r="F189" t="s">
        <v>339</v>
      </c>
      <c r="G189" t="s">
        <v>653</v>
      </c>
      <c r="H189" t="s">
        <v>605</v>
      </c>
      <c r="I189" t="s">
        <v>623</v>
      </c>
      <c r="J189" t="s">
        <v>37</v>
      </c>
      <c r="K189" t="s">
        <v>654</v>
      </c>
      <c r="L189">
        <v>8</v>
      </c>
      <c r="M189">
        <v>0</v>
      </c>
    </row>
    <row r="190" spans="2:14" hidden="1" x14ac:dyDescent="0.35">
      <c r="B190" s="107" t="str">
        <f>+IF(LEFT(MID(Controlos[[#This Row],[tabela]],22,5),1)="B",MID(Controlos[[#This Row],[tabela]],22,5),MID(Controlos[[#This Row],[tabela]],18,5))</f>
        <v>B0200</v>
      </c>
      <c r="C190" s="107" t="str">
        <f>+IF(Controlos[[#This Row],[tipologia_teste]]="REGULAMENTAR",IF(LEFT(Controlos[[#This Row],[cod_kpi]],1)="v",IF(LEFT(Controlos[[#This Row],[descrição]],6)="Alerta","W","H"),"F"),0)</f>
        <v>W</v>
      </c>
      <c r="F190" t="s">
        <v>339</v>
      </c>
      <c r="G190" t="s">
        <v>655</v>
      </c>
      <c r="H190" t="s">
        <v>605</v>
      </c>
      <c r="I190" t="s">
        <v>656</v>
      </c>
      <c r="J190" t="s">
        <v>37</v>
      </c>
      <c r="K190" t="s">
        <v>657</v>
      </c>
      <c r="L190">
        <v>8</v>
      </c>
      <c r="M190">
        <v>0</v>
      </c>
    </row>
    <row r="191" spans="2:14" hidden="1" x14ac:dyDescent="0.35">
      <c r="B191" s="107" t="str">
        <f>+IF(LEFT(MID(Controlos[[#This Row],[tabela]],22,5),1)="B",MID(Controlos[[#This Row],[tabela]],22,5),MID(Controlos[[#This Row],[tabela]],18,5))</f>
        <v>B0200</v>
      </c>
      <c r="C191" s="107" t="str">
        <f>+IF(Controlos[[#This Row],[tipologia_teste]]="REGULAMENTAR",IF(LEFT(Controlos[[#This Row],[cod_kpi]],1)="v",IF(LEFT(Controlos[[#This Row],[descrição]],6)="Alerta","W","H"),"F"),0)</f>
        <v>H</v>
      </c>
      <c r="F191" t="s">
        <v>339</v>
      </c>
      <c r="G191" t="s">
        <v>658</v>
      </c>
      <c r="H191" t="s">
        <v>605</v>
      </c>
      <c r="I191" t="s">
        <v>659</v>
      </c>
      <c r="J191" t="s">
        <v>37</v>
      </c>
      <c r="K191" t="s">
        <v>660</v>
      </c>
      <c r="L191">
        <v>8</v>
      </c>
      <c r="M191">
        <v>0</v>
      </c>
    </row>
    <row r="192" spans="2:14" hidden="1" x14ac:dyDescent="0.35">
      <c r="B192" s="107" t="str">
        <f>+IF(LEFT(MID(Controlos[[#This Row],[tabela]],22,5),1)="B",MID(Controlos[[#This Row],[tabela]],22,5),MID(Controlos[[#This Row],[tabela]],18,5))</f>
        <v>B0200</v>
      </c>
      <c r="C192" s="107" t="str">
        <f>+IF(Controlos[[#This Row],[tipologia_teste]]="REGULAMENTAR",IF(LEFT(Controlos[[#This Row],[cod_kpi]],1)="v",IF(LEFT(Controlos[[#This Row],[descrição]],6)="Alerta","W","H"),"F"),0)</f>
        <v>H</v>
      </c>
      <c r="F192" t="s">
        <v>339</v>
      </c>
      <c r="G192" t="s">
        <v>661</v>
      </c>
      <c r="H192" t="s">
        <v>605</v>
      </c>
      <c r="I192" t="s">
        <v>662</v>
      </c>
      <c r="J192" t="s">
        <v>37</v>
      </c>
      <c r="K192" t="s">
        <v>663</v>
      </c>
      <c r="L192">
        <v>8</v>
      </c>
      <c r="M192">
        <v>0</v>
      </c>
    </row>
    <row r="193" spans="2:14" hidden="1" x14ac:dyDescent="0.35">
      <c r="B193" s="107" t="str">
        <f>+IF(LEFT(MID(Controlos[[#This Row],[tabela]],22,5),1)="B",MID(Controlos[[#This Row],[tabela]],22,5),MID(Controlos[[#This Row],[tabela]],18,5))</f>
        <v>B0200</v>
      </c>
      <c r="C193" s="107" t="str">
        <f>+IF(Controlos[[#This Row],[tipologia_teste]]="REGULAMENTAR",IF(LEFT(Controlos[[#This Row],[cod_kpi]],1)="v",IF(LEFT(Controlos[[#This Row],[descrição]],6)="Alerta","W","H"),"F"),0)</f>
        <v>H</v>
      </c>
      <c r="F193" t="s">
        <v>339</v>
      </c>
      <c r="G193" t="s">
        <v>664</v>
      </c>
      <c r="H193" t="s">
        <v>605</v>
      </c>
      <c r="I193" t="s">
        <v>623</v>
      </c>
      <c r="J193" t="s">
        <v>37</v>
      </c>
      <c r="K193" t="s">
        <v>665</v>
      </c>
      <c r="L193">
        <v>8</v>
      </c>
      <c r="M193">
        <v>0</v>
      </c>
    </row>
    <row r="194" spans="2:14" hidden="1" x14ac:dyDescent="0.35">
      <c r="B194" s="107" t="str">
        <f>+IF(LEFT(MID(Controlos[[#This Row],[tabela]],22,5),1)="B",MID(Controlos[[#This Row],[tabela]],22,5),MID(Controlos[[#This Row],[tabela]],18,5))</f>
        <v>B0200</v>
      </c>
      <c r="C194" s="107" t="str">
        <f>+IF(Controlos[[#This Row],[tipologia_teste]]="REGULAMENTAR",IF(LEFT(Controlos[[#This Row],[cod_kpi]],1)="v",IF(LEFT(Controlos[[#This Row],[descrição]],6)="Alerta","W","H"),"F"),0)</f>
        <v>H</v>
      </c>
      <c r="F194" t="s">
        <v>339</v>
      </c>
      <c r="G194" t="s">
        <v>666</v>
      </c>
      <c r="H194" t="s">
        <v>605</v>
      </c>
      <c r="I194" t="s">
        <v>667</v>
      </c>
      <c r="J194" t="s">
        <v>37</v>
      </c>
      <c r="K194" t="s">
        <v>668</v>
      </c>
      <c r="L194">
        <v>8</v>
      </c>
      <c r="M194">
        <v>0</v>
      </c>
    </row>
    <row r="195" spans="2:14" hidden="1" x14ac:dyDescent="0.35">
      <c r="B195" s="107" t="str">
        <f>+IF(LEFT(MID(Controlos[[#This Row],[tabela]],22,5),1)="B",MID(Controlos[[#This Row],[tabela]],22,5),MID(Controlos[[#This Row],[tabela]],18,5))</f>
        <v>B0200</v>
      </c>
      <c r="C195" s="107" t="str">
        <f>+IF(Controlos[[#This Row],[tipologia_teste]]="REGULAMENTAR",IF(LEFT(Controlos[[#This Row],[cod_kpi]],1)="v",IF(LEFT(Controlos[[#This Row],[descrição]],6)="Alerta","W","H"),"F"),0)</f>
        <v>H</v>
      </c>
      <c r="F195" t="s">
        <v>339</v>
      </c>
      <c r="G195" t="s">
        <v>669</v>
      </c>
      <c r="H195" t="s">
        <v>605</v>
      </c>
      <c r="I195" t="s">
        <v>670</v>
      </c>
      <c r="J195" t="s">
        <v>37</v>
      </c>
      <c r="K195" t="s">
        <v>671</v>
      </c>
      <c r="L195">
        <v>8</v>
      </c>
      <c r="M195">
        <v>0</v>
      </c>
    </row>
    <row r="196" spans="2:14" hidden="1" x14ac:dyDescent="0.35">
      <c r="B196" s="107" t="str">
        <f>+IF(LEFT(MID(Controlos[[#This Row],[tabela]],22,5),1)="B",MID(Controlos[[#This Row],[tabela]],22,5),MID(Controlos[[#This Row],[tabela]],18,5))</f>
        <v>B0200</v>
      </c>
      <c r="C196" s="107" t="str">
        <f>+IF(Controlos[[#This Row],[tipologia_teste]]="REGULAMENTAR",IF(LEFT(Controlos[[#This Row],[cod_kpi]],1)="v",IF(LEFT(Controlos[[#This Row],[descrição]],6)="Alerta","W","H"),"F"),0)</f>
        <v>H</v>
      </c>
      <c r="F196" t="s">
        <v>339</v>
      </c>
      <c r="G196" t="s">
        <v>672</v>
      </c>
      <c r="H196" t="s">
        <v>605</v>
      </c>
      <c r="I196" t="s">
        <v>670</v>
      </c>
      <c r="J196" t="s">
        <v>37</v>
      </c>
      <c r="K196" t="s">
        <v>673</v>
      </c>
      <c r="L196">
        <v>8</v>
      </c>
      <c r="M196">
        <v>0</v>
      </c>
    </row>
    <row r="197" spans="2:14" hidden="1" x14ac:dyDescent="0.35">
      <c r="B197" s="107" t="str">
        <f>+IF(LEFT(MID(Controlos[[#This Row],[tabela]],22,5),1)="B",MID(Controlos[[#This Row],[tabela]],22,5),MID(Controlos[[#This Row],[tabela]],18,5))</f>
        <v>B0200</v>
      </c>
      <c r="C197" s="107" t="str">
        <f>+IF(Controlos[[#This Row],[tipologia_teste]]="REGULAMENTAR",IF(LEFT(Controlos[[#This Row],[cod_kpi]],1)="v",IF(LEFT(Controlos[[#This Row],[descrição]],6)="Alerta","W","H"),"F"),0)</f>
        <v>H</v>
      </c>
      <c r="F197" t="s">
        <v>339</v>
      </c>
      <c r="G197" t="s">
        <v>674</v>
      </c>
      <c r="H197" t="s">
        <v>605</v>
      </c>
      <c r="I197" t="s">
        <v>675</v>
      </c>
      <c r="J197" t="s">
        <v>37</v>
      </c>
      <c r="K197" t="s">
        <v>676</v>
      </c>
      <c r="L197">
        <v>8</v>
      </c>
      <c r="M197">
        <v>0</v>
      </c>
    </row>
    <row r="198" spans="2:14" hidden="1" x14ac:dyDescent="0.35">
      <c r="B198" s="107" t="str">
        <f>+IF(LEFT(MID(Controlos[[#This Row],[tabela]],22,5),1)="B",MID(Controlos[[#This Row],[tabela]],22,5),MID(Controlos[[#This Row],[tabela]],18,5))</f>
        <v>B0200</v>
      </c>
      <c r="C198" s="107" t="str">
        <f>+IF(Controlos[[#This Row],[tipologia_teste]]="REGULAMENTAR",IF(LEFT(Controlos[[#This Row],[cod_kpi]],1)="v",IF(LEFT(Controlos[[#This Row],[descrição]],6)="Alerta","W","H"),"F"),0)</f>
        <v>H</v>
      </c>
      <c r="F198" t="s">
        <v>339</v>
      </c>
      <c r="G198" t="s">
        <v>677</v>
      </c>
      <c r="H198" t="s">
        <v>605</v>
      </c>
      <c r="I198" t="s">
        <v>678</v>
      </c>
      <c r="J198" t="s">
        <v>37</v>
      </c>
      <c r="K198" t="s">
        <v>679</v>
      </c>
      <c r="L198">
        <v>8</v>
      </c>
      <c r="M198">
        <v>0</v>
      </c>
    </row>
    <row r="199" spans="2:14" hidden="1" x14ac:dyDescent="0.35">
      <c r="B199" s="107" t="str">
        <f>+IF(LEFT(MID(Controlos[[#This Row],[tabela]],22,5),1)="B",MID(Controlos[[#This Row],[tabela]],22,5),MID(Controlos[[#This Row],[tabela]],18,5))</f>
        <v>B0200</v>
      </c>
      <c r="C199" s="107" t="str">
        <f>+IF(Controlos[[#This Row],[tipologia_teste]]="REGULAMENTAR",IF(LEFT(Controlos[[#This Row],[cod_kpi]],1)="v",IF(LEFT(Controlos[[#This Row],[descrição]],6)="Alerta","W","H"),"F"),0)</f>
        <v>W</v>
      </c>
      <c r="F199" t="s">
        <v>339</v>
      </c>
      <c r="G199" t="s">
        <v>680</v>
      </c>
      <c r="H199" t="s">
        <v>605</v>
      </c>
      <c r="I199" t="s">
        <v>681</v>
      </c>
      <c r="J199" t="s">
        <v>37</v>
      </c>
      <c r="K199" t="s">
        <v>679</v>
      </c>
      <c r="L199">
        <v>8</v>
      </c>
      <c r="M199">
        <v>0</v>
      </c>
    </row>
    <row r="200" spans="2:14" hidden="1" x14ac:dyDescent="0.35">
      <c r="B200" s="107" t="str">
        <f>+IF(LEFT(MID(Controlos[[#This Row],[tabela]],22,5),1)="B",MID(Controlos[[#This Row],[tabela]],22,5),MID(Controlos[[#This Row],[tabela]],18,5))</f>
        <v>B0200</v>
      </c>
      <c r="C200" s="107" t="str">
        <f>+IF(Controlos[[#This Row],[tipologia_teste]]="REGULAMENTAR",IF(LEFT(Controlos[[#This Row],[cod_kpi]],1)="v",IF(LEFT(Controlos[[#This Row],[descrição]],6)="Alerta","W","H"),"F"),0)</f>
        <v>H</v>
      </c>
      <c r="F200" t="s">
        <v>339</v>
      </c>
      <c r="G200" t="s">
        <v>682</v>
      </c>
      <c r="H200" t="s">
        <v>605</v>
      </c>
      <c r="I200" t="s">
        <v>683</v>
      </c>
      <c r="J200" t="s">
        <v>37</v>
      </c>
      <c r="K200" t="s">
        <v>684</v>
      </c>
      <c r="L200">
        <v>8</v>
      </c>
      <c r="M200">
        <v>8</v>
      </c>
      <c r="N200" t="s">
        <v>453</v>
      </c>
    </row>
    <row r="201" spans="2:14" hidden="1" x14ac:dyDescent="0.35">
      <c r="B201" s="107" t="str">
        <f>+IF(LEFT(MID(Controlos[[#This Row],[tabela]],22,5),1)="B",MID(Controlos[[#This Row],[tabela]],22,5),MID(Controlos[[#This Row],[tabela]],18,5))</f>
        <v>B0200</v>
      </c>
      <c r="C201" s="107" t="str">
        <f>+IF(Controlos[[#This Row],[tipologia_teste]]="REGULAMENTAR",IF(LEFT(Controlos[[#This Row],[cod_kpi]],1)="v",IF(LEFT(Controlos[[#This Row],[descrição]],6)="Alerta","W","H"),"F"),0)</f>
        <v>H</v>
      </c>
      <c r="F201" t="s">
        <v>339</v>
      </c>
      <c r="G201" t="s">
        <v>685</v>
      </c>
      <c r="H201" t="s">
        <v>605</v>
      </c>
      <c r="I201" t="s">
        <v>686</v>
      </c>
      <c r="J201" t="s">
        <v>37</v>
      </c>
      <c r="K201" t="s">
        <v>687</v>
      </c>
      <c r="L201">
        <v>8</v>
      </c>
      <c r="M201">
        <v>8</v>
      </c>
      <c r="N201" t="s">
        <v>453</v>
      </c>
    </row>
    <row r="202" spans="2:14" hidden="1" x14ac:dyDescent="0.35">
      <c r="B202" s="107" t="str">
        <f>+IF(LEFT(MID(Controlos[[#This Row],[tabela]],22,5),1)="B",MID(Controlos[[#This Row],[tabela]],22,5),MID(Controlos[[#This Row],[tabela]],18,5))</f>
        <v>B0200</v>
      </c>
      <c r="C202" s="107" t="str">
        <f>+IF(Controlos[[#This Row],[tipologia_teste]]="REGULAMENTAR",IF(LEFT(Controlos[[#This Row],[cod_kpi]],1)="v",IF(LEFT(Controlos[[#This Row],[descrição]],6)="Alerta","W","H"),"F"),0)</f>
        <v>H</v>
      </c>
      <c r="F202" t="s">
        <v>339</v>
      </c>
      <c r="G202" t="s">
        <v>688</v>
      </c>
      <c r="H202" t="s">
        <v>605</v>
      </c>
      <c r="I202" t="s">
        <v>689</v>
      </c>
      <c r="J202" t="s">
        <v>37</v>
      </c>
      <c r="K202" t="s">
        <v>690</v>
      </c>
      <c r="L202">
        <v>8</v>
      </c>
      <c r="M202">
        <v>0</v>
      </c>
    </row>
    <row r="203" spans="2:14" hidden="1" x14ac:dyDescent="0.35">
      <c r="B203" s="107" t="str">
        <f>+IF(LEFT(MID(Controlos[[#This Row],[tabela]],22,5),1)="B",MID(Controlos[[#This Row],[tabela]],22,5),MID(Controlos[[#This Row],[tabela]],18,5))</f>
        <v>B0200</v>
      </c>
      <c r="C203" s="107" t="str">
        <f>+IF(Controlos[[#This Row],[tipologia_teste]]="REGULAMENTAR",IF(LEFT(Controlos[[#This Row],[cod_kpi]],1)="v",IF(LEFT(Controlos[[#This Row],[descrição]],6)="Alerta","W","H"),"F"),0)</f>
        <v>W</v>
      </c>
      <c r="F203" t="s">
        <v>339</v>
      </c>
      <c r="G203" t="s">
        <v>691</v>
      </c>
      <c r="H203" t="s">
        <v>605</v>
      </c>
      <c r="I203" t="s">
        <v>692</v>
      </c>
      <c r="J203" t="s">
        <v>37</v>
      </c>
      <c r="K203" t="s">
        <v>690</v>
      </c>
      <c r="L203">
        <v>8</v>
      </c>
      <c r="M203">
        <v>8</v>
      </c>
      <c r="N203" t="s">
        <v>453</v>
      </c>
    </row>
    <row r="204" spans="2:14" hidden="1" x14ac:dyDescent="0.35">
      <c r="B204" s="107" t="str">
        <f>+IF(LEFT(MID(Controlos[[#This Row],[tabela]],22,5),1)="B",MID(Controlos[[#This Row],[tabela]],22,5),MID(Controlos[[#This Row],[tabela]],18,5))</f>
        <v>B0200</v>
      </c>
      <c r="C204" s="107" t="str">
        <f>+IF(Controlos[[#This Row],[tipologia_teste]]="REGULAMENTAR",IF(LEFT(Controlos[[#This Row],[cod_kpi]],1)="v",IF(LEFT(Controlos[[#This Row],[descrição]],6)="Alerta","W","H"),"F"),0)</f>
        <v>W</v>
      </c>
      <c r="F204" t="s">
        <v>339</v>
      </c>
      <c r="G204" t="s">
        <v>693</v>
      </c>
      <c r="H204" t="s">
        <v>605</v>
      </c>
      <c r="I204" t="s">
        <v>694</v>
      </c>
      <c r="J204" t="s">
        <v>37</v>
      </c>
      <c r="K204" t="s">
        <v>695</v>
      </c>
      <c r="L204">
        <v>8</v>
      </c>
      <c r="M204">
        <v>0</v>
      </c>
    </row>
    <row r="205" spans="2:14" hidden="1" x14ac:dyDescent="0.35">
      <c r="B205" s="107" t="str">
        <f>+IF(LEFT(MID(Controlos[[#This Row],[tabela]],22,5),1)="B",MID(Controlos[[#This Row],[tabela]],22,5),MID(Controlos[[#This Row],[tabela]],18,5))</f>
        <v>B0200</v>
      </c>
      <c r="C205" s="107" t="str">
        <f>+IF(Controlos[[#This Row],[tipologia_teste]]="REGULAMENTAR",IF(LEFT(Controlos[[#This Row],[cod_kpi]],1)="v",IF(LEFT(Controlos[[#This Row],[descrição]],6)="Alerta","W","H"),"F"),0)</f>
        <v>H</v>
      </c>
      <c r="F205" t="s">
        <v>339</v>
      </c>
      <c r="G205" t="s">
        <v>696</v>
      </c>
      <c r="H205" t="s">
        <v>605</v>
      </c>
      <c r="I205" t="s">
        <v>697</v>
      </c>
      <c r="J205" t="s">
        <v>37</v>
      </c>
      <c r="K205" t="s">
        <v>608</v>
      </c>
      <c r="L205">
        <v>8</v>
      </c>
      <c r="M205">
        <v>0</v>
      </c>
    </row>
    <row r="206" spans="2:14" hidden="1" x14ac:dyDescent="0.35">
      <c r="B206" s="107" t="str">
        <f>+IF(LEFT(MID(Controlos[[#This Row],[tabela]],22,5),1)="B",MID(Controlos[[#This Row],[tabela]],22,5),MID(Controlos[[#This Row],[tabela]],18,5))</f>
        <v>B0200</v>
      </c>
      <c r="C206" s="107" t="str">
        <f>+IF(Controlos[[#This Row],[tipologia_teste]]="REGULAMENTAR",IF(LEFT(Controlos[[#This Row],[cod_kpi]],1)="v",IF(LEFT(Controlos[[#This Row],[descrição]],6)="Alerta","W","H"),"F"),0)</f>
        <v>H</v>
      </c>
      <c r="F206" t="s">
        <v>339</v>
      </c>
      <c r="G206" t="s">
        <v>698</v>
      </c>
      <c r="H206" t="s">
        <v>605</v>
      </c>
      <c r="I206" t="s">
        <v>699</v>
      </c>
      <c r="J206" t="s">
        <v>37</v>
      </c>
      <c r="K206" t="s">
        <v>612</v>
      </c>
      <c r="L206">
        <v>8</v>
      </c>
      <c r="M206">
        <v>0</v>
      </c>
    </row>
    <row r="207" spans="2:14" hidden="1" x14ac:dyDescent="0.35">
      <c r="B207" s="107" t="str">
        <f>+IF(LEFT(MID(Controlos[[#This Row],[tabela]],22,5),1)="B",MID(Controlos[[#This Row],[tabela]],22,5),MID(Controlos[[#This Row],[tabela]],18,5))</f>
        <v>B0200</v>
      </c>
      <c r="C207" s="107" t="str">
        <f>+IF(Controlos[[#This Row],[tipologia_teste]]="REGULAMENTAR",IF(LEFT(Controlos[[#This Row],[cod_kpi]],1)="v",IF(LEFT(Controlos[[#This Row],[descrição]],6)="Alerta","W","H"),"F"),0)</f>
        <v>W</v>
      </c>
      <c r="F207" t="s">
        <v>339</v>
      </c>
      <c r="G207" t="s">
        <v>700</v>
      </c>
      <c r="H207" t="s">
        <v>605</v>
      </c>
      <c r="I207" t="s">
        <v>701</v>
      </c>
      <c r="J207" t="s">
        <v>37</v>
      </c>
      <c r="K207" t="s">
        <v>614</v>
      </c>
      <c r="L207">
        <v>8</v>
      </c>
      <c r="M207">
        <v>0</v>
      </c>
    </row>
    <row r="208" spans="2:14" hidden="1" x14ac:dyDescent="0.35">
      <c r="B208" s="107" t="str">
        <f>+IF(LEFT(MID(Controlos[[#This Row],[tabela]],22,5),1)="B",MID(Controlos[[#This Row],[tabela]],22,5),MID(Controlos[[#This Row],[tabela]],18,5))</f>
        <v>B0200</v>
      </c>
      <c r="C208" s="107" t="str">
        <f>+IF(Controlos[[#This Row],[tipologia_teste]]="REGULAMENTAR",IF(LEFT(Controlos[[#This Row],[cod_kpi]],1)="v",IF(LEFT(Controlos[[#This Row],[descrição]],6)="Alerta","W","H"),"F"),0)</f>
        <v>H</v>
      </c>
      <c r="F208" t="s">
        <v>339</v>
      </c>
      <c r="G208" t="s">
        <v>702</v>
      </c>
      <c r="H208" t="s">
        <v>605</v>
      </c>
      <c r="I208" t="s">
        <v>703</v>
      </c>
      <c r="J208" t="s">
        <v>37</v>
      </c>
      <c r="K208" t="s">
        <v>617</v>
      </c>
      <c r="L208">
        <v>8</v>
      </c>
      <c r="M208">
        <v>0</v>
      </c>
    </row>
    <row r="209" spans="2:14" hidden="1" x14ac:dyDescent="0.35">
      <c r="B209" s="107" t="str">
        <f>+IF(LEFT(MID(Controlos[[#This Row],[tabela]],22,5),1)="B",MID(Controlos[[#This Row],[tabela]],22,5),MID(Controlos[[#This Row],[tabela]],18,5))</f>
        <v>B0200</v>
      </c>
      <c r="C209" s="107" t="str">
        <f>+IF(Controlos[[#This Row],[tipologia_teste]]="REGULAMENTAR",IF(LEFT(Controlos[[#This Row],[cod_kpi]],1)="v",IF(LEFT(Controlos[[#This Row],[descrição]],6)="Alerta","W","H"),"F"),0)</f>
        <v>W</v>
      </c>
      <c r="F209" t="s">
        <v>339</v>
      </c>
      <c r="G209" t="s">
        <v>704</v>
      </c>
      <c r="H209" t="s">
        <v>605</v>
      </c>
      <c r="I209" t="s">
        <v>705</v>
      </c>
      <c r="J209" t="s">
        <v>37</v>
      </c>
      <c r="K209" t="s">
        <v>619</v>
      </c>
      <c r="L209">
        <v>8</v>
      </c>
      <c r="M209">
        <v>0</v>
      </c>
    </row>
    <row r="210" spans="2:14" hidden="1" x14ac:dyDescent="0.35">
      <c r="B210" s="107" t="str">
        <f>+IF(LEFT(MID(Controlos[[#This Row],[tabela]],22,5),1)="B",MID(Controlos[[#This Row],[tabela]],22,5),MID(Controlos[[#This Row],[tabela]],18,5))</f>
        <v>B0200</v>
      </c>
      <c r="C210" s="107" t="str">
        <f>+IF(Controlos[[#This Row],[tipologia_teste]]="REGULAMENTAR",IF(LEFT(Controlos[[#This Row],[cod_kpi]],1)="v",IF(LEFT(Controlos[[#This Row],[descrição]],6)="Alerta","W","H"),"F"),0)</f>
        <v>W</v>
      </c>
      <c r="F210" t="s">
        <v>339</v>
      </c>
      <c r="G210" t="s">
        <v>706</v>
      </c>
      <c r="H210" t="s">
        <v>605</v>
      </c>
      <c r="I210" t="s">
        <v>707</v>
      </c>
      <c r="J210" t="s">
        <v>37</v>
      </c>
      <c r="K210" t="s">
        <v>708</v>
      </c>
      <c r="L210">
        <v>8</v>
      </c>
      <c r="M210">
        <v>0</v>
      </c>
    </row>
    <row r="211" spans="2:14" hidden="1" x14ac:dyDescent="0.35">
      <c r="B211" s="107" t="str">
        <f>+IF(LEFT(MID(Controlos[[#This Row],[tabela]],22,5),1)="B",MID(Controlos[[#This Row],[tabela]],22,5),MID(Controlos[[#This Row],[tabela]],18,5))</f>
        <v>B0200</v>
      </c>
      <c r="C211" s="107" t="str">
        <f>+IF(Controlos[[#This Row],[tipologia_teste]]="REGULAMENTAR",IF(LEFT(Controlos[[#This Row],[cod_kpi]],1)="v",IF(LEFT(Controlos[[#This Row],[descrição]],6)="Alerta","W","H"),"F"),0)</f>
        <v>H</v>
      </c>
      <c r="F211" t="s">
        <v>339</v>
      </c>
      <c r="G211" t="s">
        <v>709</v>
      </c>
      <c r="H211" t="s">
        <v>605</v>
      </c>
      <c r="I211" t="s">
        <v>710</v>
      </c>
      <c r="J211" t="s">
        <v>37</v>
      </c>
      <c r="K211" t="s">
        <v>622</v>
      </c>
      <c r="L211">
        <v>8</v>
      </c>
      <c r="M211">
        <v>0</v>
      </c>
    </row>
    <row r="212" spans="2:14" hidden="1" x14ac:dyDescent="0.35">
      <c r="B212" s="107" t="str">
        <f>+IF(LEFT(MID(Controlos[[#This Row],[tabela]],22,5),1)="B",MID(Controlos[[#This Row],[tabela]],22,5),MID(Controlos[[#This Row],[tabela]],18,5))</f>
        <v>B0200</v>
      </c>
      <c r="C212" s="107" t="str">
        <f>+IF(Controlos[[#This Row],[tipologia_teste]]="REGULAMENTAR",IF(LEFT(Controlos[[#This Row],[cod_kpi]],1)="v",IF(LEFT(Controlos[[#This Row],[descrição]],6)="Alerta","W","H"),"F"),0)</f>
        <v>H</v>
      </c>
      <c r="F212" t="s">
        <v>339</v>
      </c>
      <c r="G212" t="s">
        <v>711</v>
      </c>
      <c r="H212" t="s">
        <v>605</v>
      </c>
      <c r="I212" t="s">
        <v>712</v>
      </c>
      <c r="J212" t="s">
        <v>37</v>
      </c>
      <c r="K212" t="s">
        <v>622</v>
      </c>
      <c r="L212">
        <v>8</v>
      </c>
      <c r="M212">
        <v>0</v>
      </c>
    </row>
    <row r="213" spans="2:14" hidden="1" x14ac:dyDescent="0.35">
      <c r="B213" s="107" t="str">
        <f>+IF(LEFT(MID(Controlos[[#This Row],[tabela]],22,5),1)="B",MID(Controlos[[#This Row],[tabela]],22,5),MID(Controlos[[#This Row],[tabela]],18,5))</f>
        <v>B0200</v>
      </c>
      <c r="C213" s="107" t="str">
        <f>+IF(Controlos[[#This Row],[tipologia_teste]]="REGULAMENTAR",IF(LEFT(Controlos[[#This Row],[cod_kpi]],1)="v",IF(LEFT(Controlos[[#This Row],[descrição]],6)="Alerta","W","H"),"F"),0)</f>
        <v>H</v>
      </c>
      <c r="F213" t="s">
        <v>339</v>
      </c>
      <c r="G213" t="s">
        <v>713</v>
      </c>
      <c r="H213" t="s">
        <v>605</v>
      </c>
      <c r="I213" t="s">
        <v>714</v>
      </c>
      <c r="J213" t="s">
        <v>37</v>
      </c>
      <c r="K213" t="s">
        <v>631</v>
      </c>
      <c r="L213">
        <v>8</v>
      </c>
      <c r="M213">
        <v>0</v>
      </c>
    </row>
    <row r="214" spans="2:14" hidden="1" x14ac:dyDescent="0.35">
      <c r="B214" s="107" t="str">
        <f>+IF(LEFT(MID(Controlos[[#This Row],[tabela]],22,5),1)="B",MID(Controlos[[#This Row],[tabela]],22,5),MID(Controlos[[#This Row],[tabela]],18,5))</f>
        <v>B0200</v>
      </c>
      <c r="C214" s="107" t="str">
        <f>+IF(Controlos[[#This Row],[tipologia_teste]]="REGULAMENTAR",IF(LEFT(Controlos[[#This Row],[cod_kpi]],1)="v",IF(LEFT(Controlos[[#This Row],[descrição]],6)="Alerta","W","H"),"F"),0)</f>
        <v>H</v>
      </c>
      <c r="F214" t="s">
        <v>339</v>
      </c>
      <c r="G214" t="s">
        <v>715</v>
      </c>
      <c r="H214" t="s">
        <v>605</v>
      </c>
      <c r="I214" t="s">
        <v>716</v>
      </c>
      <c r="J214" t="s">
        <v>37</v>
      </c>
      <c r="K214" t="s">
        <v>631</v>
      </c>
      <c r="L214">
        <v>8</v>
      </c>
      <c r="M214">
        <v>0</v>
      </c>
    </row>
    <row r="215" spans="2:14" hidden="1" x14ac:dyDescent="0.35">
      <c r="B215" s="107" t="str">
        <f>+IF(LEFT(MID(Controlos[[#This Row],[tabela]],22,5),1)="B",MID(Controlos[[#This Row],[tabela]],22,5),MID(Controlos[[#This Row],[tabela]],18,5))</f>
        <v>B0200</v>
      </c>
      <c r="C215" s="107" t="str">
        <f>+IF(Controlos[[#This Row],[tipologia_teste]]="REGULAMENTAR",IF(LEFT(Controlos[[#This Row],[cod_kpi]],1)="v",IF(LEFT(Controlos[[#This Row],[descrição]],6)="Alerta","W","H"),"F"),0)</f>
        <v>H</v>
      </c>
      <c r="F215" t="s">
        <v>339</v>
      </c>
      <c r="G215" t="s">
        <v>717</v>
      </c>
      <c r="H215" t="s">
        <v>605</v>
      </c>
      <c r="I215" t="s">
        <v>718</v>
      </c>
      <c r="J215" t="s">
        <v>37</v>
      </c>
      <c r="K215" t="s">
        <v>633</v>
      </c>
      <c r="L215">
        <v>8</v>
      </c>
      <c r="M215">
        <v>4</v>
      </c>
      <c r="N215" t="s">
        <v>719</v>
      </c>
    </row>
    <row r="216" spans="2:14" hidden="1" x14ac:dyDescent="0.35">
      <c r="B216" s="107" t="str">
        <f>+IF(LEFT(MID(Controlos[[#This Row],[tabela]],22,5),1)="B",MID(Controlos[[#This Row],[tabela]],22,5),MID(Controlos[[#This Row],[tabela]],18,5))</f>
        <v>B0200</v>
      </c>
      <c r="C216" s="107" t="str">
        <f>+IF(Controlos[[#This Row],[tipologia_teste]]="REGULAMENTAR",IF(LEFT(Controlos[[#This Row],[cod_kpi]],1)="v",IF(LEFT(Controlos[[#This Row],[descrição]],6)="Alerta","W","H"),"F"),0)</f>
        <v>H</v>
      </c>
      <c r="F216" t="s">
        <v>339</v>
      </c>
      <c r="G216" t="s">
        <v>720</v>
      </c>
      <c r="H216" t="s">
        <v>605</v>
      </c>
      <c r="I216" t="s">
        <v>721</v>
      </c>
      <c r="J216" t="s">
        <v>37</v>
      </c>
      <c r="K216" t="s">
        <v>638</v>
      </c>
      <c r="L216">
        <v>8</v>
      </c>
      <c r="M216">
        <v>0</v>
      </c>
    </row>
    <row r="217" spans="2:14" hidden="1" x14ac:dyDescent="0.35">
      <c r="B217" s="107" t="str">
        <f>+IF(LEFT(MID(Controlos[[#This Row],[tabela]],22,5),1)="B",MID(Controlos[[#This Row],[tabela]],22,5),MID(Controlos[[#This Row],[tabela]],18,5))</f>
        <v>B0200</v>
      </c>
      <c r="C217" s="107" t="str">
        <f>+IF(Controlos[[#This Row],[tipologia_teste]]="REGULAMENTAR",IF(LEFT(Controlos[[#This Row],[cod_kpi]],1)="v",IF(LEFT(Controlos[[#This Row],[descrição]],6)="Alerta","W","H"),"F"),0)</f>
        <v>H</v>
      </c>
      <c r="F217" t="s">
        <v>339</v>
      </c>
      <c r="G217" t="s">
        <v>722</v>
      </c>
      <c r="H217" t="s">
        <v>605</v>
      </c>
      <c r="I217" t="s">
        <v>723</v>
      </c>
      <c r="J217" t="s">
        <v>37</v>
      </c>
      <c r="K217" t="s">
        <v>724</v>
      </c>
      <c r="L217">
        <v>8</v>
      </c>
      <c r="M217">
        <v>0</v>
      </c>
    </row>
    <row r="218" spans="2:14" hidden="1" x14ac:dyDescent="0.35">
      <c r="B218" s="107" t="str">
        <f>+IF(LEFT(MID(Controlos[[#This Row],[tabela]],22,5),1)="B",MID(Controlos[[#This Row],[tabela]],22,5),MID(Controlos[[#This Row],[tabela]],18,5))</f>
        <v>B0200</v>
      </c>
      <c r="C218" s="107" t="str">
        <f>+IF(Controlos[[#This Row],[tipologia_teste]]="REGULAMENTAR",IF(LEFT(Controlos[[#This Row],[cod_kpi]],1)="v",IF(LEFT(Controlos[[#This Row],[descrição]],6)="Alerta","W","H"),"F"),0)</f>
        <v>H</v>
      </c>
      <c r="F218" t="s">
        <v>339</v>
      </c>
      <c r="G218" t="s">
        <v>725</v>
      </c>
      <c r="H218" t="s">
        <v>605</v>
      </c>
      <c r="I218" t="s">
        <v>726</v>
      </c>
      <c r="J218" t="s">
        <v>37</v>
      </c>
      <c r="K218" t="s">
        <v>724</v>
      </c>
      <c r="L218">
        <v>8</v>
      </c>
      <c r="M218">
        <v>0</v>
      </c>
    </row>
    <row r="219" spans="2:14" hidden="1" x14ac:dyDescent="0.35">
      <c r="B219" s="107" t="str">
        <f>+IF(LEFT(MID(Controlos[[#This Row],[tabela]],22,5),1)="B",MID(Controlos[[#This Row],[tabela]],22,5),MID(Controlos[[#This Row],[tabela]],18,5))</f>
        <v>B0200</v>
      </c>
      <c r="C219" s="107" t="str">
        <f>+IF(Controlos[[#This Row],[tipologia_teste]]="REGULAMENTAR",IF(LEFT(Controlos[[#This Row],[cod_kpi]],1)="v",IF(LEFT(Controlos[[#This Row],[descrição]],6)="Alerta","W","H"),"F"),0)</f>
        <v>H</v>
      </c>
      <c r="F219" t="s">
        <v>339</v>
      </c>
      <c r="G219" t="s">
        <v>727</v>
      </c>
      <c r="H219" t="s">
        <v>605</v>
      </c>
      <c r="I219" t="s">
        <v>723</v>
      </c>
      <c r="J219" t="s">
        <v>37</v>
      </c>
      <c r="K219" t="s">
        <v>642</v>
      </c>
      <c r="L219">
        <v>8</v>
      </c>
      <c r="M219">
        <v>1</v>
      </c>
      <c r="N219" t="s">
        <v>728</v>
      </c>
    </row>
    <row r="220" spans="2:14" hidden="1" x14ac:dyDescent="0.35">
      <c r="B220" s="107" t="str">
        <f>+IF(LEFT(MID(Controlos[[#This Row],[tabela]],22,5),1)="B",MID(Controlos[[#This Row],[tabela]],22,5),MID(Controlos[[#This Row],[tabela]],18,5))</f>
        <v>B0200</v>
      </c>
      <c r="C220" s="107" t="str">
        <f>+IF(Controlos[[#This Row],[tipologia_teste]]="REGULAMENTAR",IF(LEFT(Controlos[[#This Row],[cod_kpi]],1)="v",IF(LEFT(Controlos[[#This Row],[descrição]],6)="Alerta","W","H"),"F"),0)</f>
        <v>H</v>
      </c>
      <c r="F220" t="s">
        <v>339</v>
      </c>
      <c r="G220" t="s">
        <v>729</v>
      </c>
      <c r="H220" t="s">
        <v>605</v>
      </c>
      <c r="I220" t="s">
        <v>723</v>
      </c>
      <c r="J220" t="s">
        <v>37</v>
      </c>
      <c r="K220" t="s">
        <v>647</v>
      </c>
      <c r="L220">
        <v>8</v>
      </c>
      <c r="M220">
        <v>0</v>
      </c>
    </row>
    <row r="221" spans="2:14" hidden="1" x14ac:dyDescent="0.35">
      <c r="B221" s="107" t="str">
        <f>+IF(LEFT(MID(Controlos[[#This Row],[tabela]],22,5),1)="B",MID(Controlos[[#This Row],[tabela]],22,5),MID(Controlos[[#This Row],[tabela]],18,5))</f>
        <v>B0200</v>
      </c>
      <c r="C221" s="107" t="str">
        <f>+IF(Controlos[[#This Row],[tipologia_teste]]="REGULAMENTAR",IF(LEFT(Controlos[[#This Row],[cod_kpi]],1)="v",IF(LEFT(Controlos[[#This Row],[descrição]],6)="Alerta","W","H"),"F"),0)</f>
        <v>H</v>
      </c>
      <c r="F221" t="s">
        <v>339</v>
      </c>
      <c r="G221" t="s">
        <v>730</v>
      </c>
      <c r="H221" t="s">
        <v>605</v>
      </c>
      <c r="I221" t="s">
        <v>723</v>
      </c>
      <c r="J221" t="s">
        <v>37</v>
      </c>
      <c r="K221" t="s">
        <v>650</v>
      </c>
      <c r="L221">
        <v>8</v>
      </c>
      <c r="M221">
        <v>0</v>
      </c>
    </row>
    <row r="222" spans="2:14" hidden="1" x14ac:dyDescent="0.35">
      <c r="B222" s="107" t="str">
        <f>+IF(LEFT(MID(Controlos[[#This Row],[tabela]],22,5),1)="B",MID(Controlos[[#This Row],[tabela]],22,5),MID(Controlos[[#This Row],[tabela]],18,5))</f>
        <v>B0200</v>
      </c>
      <c r="C222" s="107" t="str">
        <f>+IF(Controlos[[#This Row],[tipologia_teste]]="REGULAMENTAR",IF(LEFT(Controlos[[#This Row],[cod_kpi]],1)="v",IF(LEFT(Controlos[[#This Row],[descrição]],6)="Alerta","W","H"),"F"),0)</f>
        <v>H</v>
      </c>
      <c r="F222" t="s">
        <v>339</v>
      </c>
      <c r="G222" t="s">
        <v>731</v>
      </c>
      <c r="H222" t="s">
        <v>605</v>
      </c>
      <c r="I222" t="s">
        <v>732</v>
      </c>
      <c r="J222" t="s">
        <v>37</v>
      </c>
      <c r="K222" t="s">
        <v>652</v>
      </c>
      <c r="L222">
        <v>8</v>
      </c>
      <c r="M222">
        <v>0</v>
      </c>
    </row>
    <row r="223" spans="2:14" hidden="1" x14ac:dyDescent="0.35">
      <c r="B223" s="107" t="str">
        <f>+IF(LEFT(MID(Controlos[[#This Row],[tabela]],22,5),1)="B",MID(Controlos[[#This Row],[tabela]],22,5),MID(Controlos[[#This Row],[tabela]],18,5))</f>
        <v>B0200</v>
      </c>
      <c r="C223" s="107" t="str">
        <f>+IF(Controlos[[#This Row],[tipologia_teste]]="REGULAMENTAR",IF(LEFT(Controlos[[#This Row],[cod_kpi]],1)="v",IF(LEFT(Controlos[[#This Row],[descrição]],6)="Alerta","W","H"),"F"),0)</f>
        <v>H</v>
      </c>
      <c r="F223" t="s">
        <v>339</v>
      </c>
      <c r="G223" t="s">
        <v>733</v>
      </c>
      <c r="H223" t="s">
        <v>605</v>
      </c>
      <c r="I223" t="s">
        <v>718</v>
      </c>
      <c r="J223" t="s">
        <v>37</v>
      </c>
      <c r="K223" t="s">
        <v>734</v>
      </c>
      <c r="L223">
        <v>8</v>
      </c>
      <c r="M223">
        <v>0</v>
      </c>
    </row>
    <row r="224" spans="2:14" hidden="1" x14ac:dyDescent="0.35">
      <c r="B224" s="107" t="str">
        <f>+IF(LEFT(MID(Controlos[[#This Row],[tabela]],22,5),1)="B",MID(Controlos[[#This Row],[tabela]],22,5),MID(Controlos[[#This Row],[tabela]],18,5))</f>
        <v>B0200</v>
      </c>
      <c r="C224" s="107" t="str">
        <f>+IF(Controlos[[#This Row],[tipologia_teste]]="REGULAMENTAR",IF(LEFT(Controlos[[#This Row],[cod_kpi]],1)="v",IF(LEFT(Controlos[[#This Row],[descrição]],6)="Alerta","W","H"),"F"),0)</f>
        <v>H</v>
      </c>
      <c r="F224" t="s">
        <v>339</v>
      </c>
      <c r="G224" t="s">
        <v>735</v>
      </c>
      <c r="H224" t="s">
        <v>605</v>
      </c>
      <c r="I224" t="s">
        <v>718</v>
      </c>
      <c r="J224" t="s">
        <v>37</v>
      </c>
      <c r="K224" t="s">
        <v>654</v>
      </c>
      <c r="L224">
        <v>8</v>
      </c>
      <c r="M224">
        <v>0</v>
      </c>
    </row>
    <row r="225" spans="2:13" hidden="1" x14ac:dyDescent="0.35">
      <c r="B225" s="107" t="str">
        <f>+IF(LEFT(MID(Controlos[[#This Row],[tabela]],22,5),1)="B",MID(Controlos[[#This Row],[tabela]],22,5),MID(Controlos[[#This Row],[tabela]],18,5))</f>
        <v>B0200</v>
      </c>
      <c r="C225" s="107" t="str">
        <f>+IF(Controlos[[#This Row],[tipologia_teste]]="REGULAMENTAR",IF(LEFT(Controlos[[#This Row],[cod_kpi]],1)="v",IF(LEFT(Controlos[[#This Row],[descrição]],6)="Alerta","W","H"),"F"),0)</f>
        <v>H</v>
      </c>
      <c r="F225" t="s">
        <v>339</v>
      </c>
      <c r="G225" t="s">
        <v>736</v>
      </c>
      <c r="H225" t="s">
        <v>605</v>
      </c>
      <c r="I225" t="s">
        <v>718</v>
      </c>
      <c r="J225" t="s">
        <v>37</v>
      </c>
      <c r="K225" t="s">
        <v>665</v>
      </c>
      <c r="L225">
        <v>8</v>
      </c>
      <c r="M225">
        <v>0</v>
      </c>
    </row>
    <row r="226" spans="2:13" hidden="1" x14ac:dyDescent="0.35">
      <c r="B226" s="107" t="str">
        <f>+IF(LEFT(MID(Controlos[[#This Row],[tabela]],22,5),1)="B",MID(Controlos[[#This Row],[tabela]],22,5),MID(Controlos[[#This Row],[tabela]],18,5))</f>
        <v>B0200</v>
      </c>
      <c r="C226" s="107" t="str">
        <f>+IF(Controlos[[#This Row],[tipologia_teste]]="REGULAMENTAR",IF(LEFT(Controlos[[#This Row],[cod_kpi]],1)="v",IF(LEFT(Controlos[[#This Row],[descrição]],6)="Alerta","W","H"),"F"),0)</f>
        <v>H</v>
      </c>
      <c r="F226" t="s">
        <v>339</v>
      </c>
      <c r="G226" t="s">
        <v>737</v>
      </c>
      <c r="H226" t="s">
        <v>605</v>
      </c>
      <c r="I226" t="s">
        <v>738</v>
      </c>
      <c r="J226" t="s">
        <v>37</v>
      </c>
      <c r="K226" t="s">
        <v>671</v>
      </c>
      <c r="L226">
        <v>8</v>
      </c>
      <c r="M226">
        <v>0</v>
      </c>
    </row>
    <row r="227" spans="2:13" hidden="1" x14ac:dyDescent="0.35">
      <c r="B227" s="107" t="str">
        <f>+IF(LEFT(MID(Controlos[[#This Row],[tabela]],22,5),1)="B",MID(Controlos[[#This Row],[tabela]],22,5),MID(Controlos[[#This Row],[tabela]],18,5))</f>
        <v>B0200</v>
      </c>
      <c r="C227" s="107" t="str">
        <f>+IF(Controlos[[#This Row],[tipologia_teste]]="REGULAMENTAR",IF(LEFT(Controlos[[#This Row],[cod_kpi]],1)="v",IF(LEFT(Controlos[[#This Row],[descrição]],6)="Alerta","W","H"),"F"),0)</f>
        <v>H</v>
      </c>
      <c r="F227" t="s">
        <v>339</v>
      </c>
      <c r="G227" t="s">
        <v>739</v>
      </c>
      <c r="H227" t="s">
        <v>605</v>
      </c>
      <c r="I227" t="s">
        <v>740</v>
      </c>
      <c r="J227" t="s">
        <v>37</v>
      </c>
      <c r="K227" t="s">
        <v>671</v>
      </c>
      <c r="L227">
        <v>8</v>
      </c>
      <c r="M227">
        <v>0</v>
      </c>
    </row>
    <row r="228" spans="2:13" hidden="1" x14ac:dyDescent="0.35">
      <c r="B228" s="107" t="str">
        <f>+IF(LEFT(MID(Controlos[[#This Row],[tabela]],22,5),1)="B",MID(Controlos[[#This Row],[tabela]],22,5),MID(Controlos[[#This Row],[tabela]],18,5))</f>
        <v>B0200</v>
      </c>
      <c r="C228" s="107" t="str">
        <f>+IF(Controlos[[#This Row],[tipologia_teste]]="REGULAMENTAR",IF(LEFT(Controlos[[#This Row],[cod_kpi]],1)="v",IF(LEFT(Controlos[[#This Row],[descrição]],6)="Alerta","W","H"),"F"),0)</f>
        <v>H</v>
      </c>
      <c r="F228" t="s">
        <v>339</v>
      </c>
      <c r="G228" t="s">
        <v>741</v>
      </c>
      <c r="H228" t="s">
        <v>605</v>
      </c>
      <c r="I228" t="s">
        <v>718</v>
      </c>
      <c r="J228" t="s">
        <v>37</v>
      </c>
      <c r="K228" t="s">
        <v>673</v>
      </c>
      <c r="L228">
        <v>8</v>
      </c>
      <c r="M228">
        <v>0</v>
      </c>
    </row>
    <row r="229" spans="2:13" hidden="1" x14ac:dyDescent="0.35">
      <c r="B229" s="107" t="str">
        <f>+IF(LEFT(MID(Controlos[[#This Row],[tabela]],22,5),1)="B",MID(Controlos[[#This Row],[tabela]],22,5),MID(Controlos[[#This Row],[tabela]],18,5))</f>
        <v>B0200</v>
      </c>
      <c r="C229" s="107" t="str">
        <f>+IF(Controlos[[#This Row],[tipologia_teste]]="REGULAMENTAR",IF(LEFT(Controlos[[#This Row],[cod_kpi]],1)="v",IF(LEFT(Controlos[[#This Row],[descrição]],6)="Alerta","W","H"),"F"),0)</f>
        <v>H</v>
      </c>
      <c r="F229" t="s">
        <v>339</v>
      </c>
      <c r="G229" t="s">
        <v>742</v>
      </c>
      <c r="H229" t="s">
        <v>605</v>
      </c>
      <c r="I229" t="s">
        <v>743</v>
      </c>
      <c r="J229" t="s">
        <v>37</v>
      </c>
      <c r="K229" t="s">
        <v>673</v>
      </c>
      <c r="L229">
        <v>8</v>
      </c>
      <c r="M229">
        <v>0</v>
      </c>
    </row>
    <row r="230" spans="2:13" hidden="1" x14ac:dyDescent="0.35">
      <c r="B230" s="107" t="str">
        <f>+IF(LEFT(MID(Controlos[[#This Row],[tabela]],22,5),1)="B",MID(Controlos[[#This Row],[tabela]],22,5),MID(Controlos[[#This Row],[tabela]],18,5))</f>
        <v>B0200</v>
      </c>
      <c r="C230" s="107" t="str">
        <f>+IF(Controlos[[#This Row],[tipologia_teste]]="REGULAMENTAR",IF(LEFT(Controlos[[#This Row],[cod_kpi]],1)="v",IF(LEFT(Controlos[[#This Row],[descrição]],6)="Alerta","W","H"),"F"),0)</f>
        <v>H</v>
      </c>
      <c r="F230" t="s">
        <v>339</v>
      </c>
      <c r="G230" t="s">
        <v>744</v>
      </c>
      <c r="H230" t="s">
        <v>605</v>
      </c>
      <c r="I230" t="s">
        <v>718</v>
      </c>
      <c r="J230" t="s">
        <v>37</v>
      </c>
      <c r="K230" t="s">
        <v>745</v>
      </c>
      <c r="L230">
        <v>8</v>
      </c>
      <c r="M230">
        <v>0</v>
      </c>
    </row>
    <row r="231" spans="2:13" hidden="1" x14ac:dyDescent="0.35">
      <c r="B231" s="107" t="str">
        <f>+IF(LEFT(MID(Controlos[[#This Row],[tabela]],22,5),1)="B",MID(Controlos[[#This Row],[tabela]],22,5),MID(Controlos[[#This Row],[tabela]],18,5))</f>
        <v>B0200</v>
      </c>
      <c r="C231" s="107" t="str">
        <f>+IF(Controlos[[#This Row],[tipologia_teste]]="REGULAMENTAR",IF(LEFT(Controlos[[#This Row],[cod_kpi]],1)="v",IF(LEFT(Controlos[[#This Row],[descrição]],6)="Alerta","W","H"),"F"),0)</f>
        <v>H</v>
      </c>
      <c r="F231" t="s">
        <v>339</v>
      </c>
      <c r="G231" t="s">
        <v>746</v>
      </c>
      <c r="H231" t="s">
        <v>605</v>
      </c>
      <c r="I231" t="s">
        <v>718</v>
      </c>
      <c r="J231" t="s">
        <v>37</v>
      </c>
      <c r="K231" t="s">
        <v>747</v>
      </c>
      <c r="L231">
        <v>8</v>
      </c>
      <c r="M231">
        <v>0</v>
      </c>
    </row>
    <row r="232" spans="2:13" hidden="1" x14ac:dyDescent="0.35">
      <c r="B232" s="107" t="str">
        <f>+IF(LEFT(MID(Controlos[[#This Row],[tabela]],22,5),1)="B",MID(Controlos[[#This Row],[tabela]],22,5),MID(Controlos[[#This Row],[tabela]],18,5))</f>
        <v>B0200</v>
      </c>
      <c r="C232" s="107" t="str">
        <f>+IF(Controlos[[#This Row],[tipologia_teste]]="REGULAMENTAR",IF(LEFT(Controlos[[#This Row],[cod_kpi]],1)="v",IF(LEFT(Controlos[[#This Row],[descrição]],6)="Alerta","W","H"),"F"),0)</f>
        <v>H</v>
      </c>
      <c r="F232" t="s">
        <v>339</v>
      </c>
      <c r="G232" t="s">
        <v>748</v>
      </c>
      <c r="H232" t="s">
        <v>605</v>
      </c>
      <c r="I232" t="s">
        <v>703</v>
      </c>
      <c r="J232" t="s">
        <v>37</v>
      </c>
      <c r="K232" t="s">
        <v>749</v>
      </c>
      <c r="L232">
        <v>8</v>
      </c>
      <c r="M232">
        <v>0</v>
      </c>
    </row>
    <row r="233" spans="2:13" hidden="1" x14ac:dyDescent="0.35">
      <c r="B233" s="107" t="str">
        <f>+IF(LEFT(MID(Controlos[[#This Row],[tabela]],22,5),1)="B",MID(Controlos[[#This Row],[tabela]],22,5),MID(Controlos[[#This Row],[tabela]],18,5))</f>
        <v>B0200</v>
      </c>
      <c r="C233" s="107" t="str">
        <f>+IF(Controlos[[#This Row],[tipologia_teste]]="REGULAMENTAR",IF(LEFT(Controlos[[#This Row],[cod_kpi]],1)="v",IF(LEFT(Controlos[[#This Row],[descrição]],6)="Alerta","W","H"),"F"),0)</f>
        <v>H</v>
      </c>
      <c r="F233" t="s">
        <v>339</v>
      </c>
      <c r="G233" t="s">
        <v>750</v>
      </c>
      <c r="H233" t="s">
        <v>605</v>
      </c>
      <c r="I233" t="s">
        <v>718</v>
      </c>
      <c r="J233" t="s">
        <v>37</v>
      </c>
      <c r="K233" t="s">
        <v>751</v>
      </c>
      <c r="L233">
        <v>8</v>
      </c>
      <c r="M233">
        <v>0</v>
      </c>
    </row>
    <row r="234" spans="2:13" hidden="1" x14ac:dyDescent="0.35">
      <c r="B234" s="107" t="str">
        <f>+IF(LEFT(MID(Controlos[[#This Row],[tabela]],22,5),1)="B",MID(Controlos[[#This Row],[tabela]],22,5),MID(Controlos[[#This Row],[tabela]],18,5))</f>
        <v>B0200</v>
      </c>
      <c r="C234" s="107" t="str">
        <f>+IF(Controlos[[#This Row],[tipologia_teste]]="REGULAMENTAR",IF(LEFT(Controlos[[#This Row],[cod_kpi]],1)="v",IF(LEFT(Controlos[[#This Row],[descrição]],6)="Alerta","W","H"),"F"),0)</f>
        <v>H</v>
      </c>
      <c r="F234" t="s">
        <v>339</v>
      </c>
      <c r="G234" t="s">
        <v>752</v>
      </c>
      <c r="H234" t="s">
        <v>605</v>
      </c>
      <c r="I234" t="s">
        <v>703</v>
      </c>
      <c r="J234" t="s">
        <v>37</v>
      </c>
      <c r="K234" t="s">
        <v>753</v>
      </c>
      <c r="L234">
        <v>8</v>
      </c>
      <c r="M234">
        <v>0</v>
      </c>
    </row>
    <row r="235" spans="2:13" hidden="1" x14ac:dyDescent="0.35">
      <c r="B235" s="107" t="str">
        <f>+IF(LEFT(MID(Controlos[[#This Row],[tabela]],22,5),1)="B",MID(Controlos[[#This Row],[tabela]],22,5),MID(Controlos[[#This Row],[tabela]],18,5))</f>
        <v>B0200</v>
      </c>
      <c r="C235" s="107" t="str">
        <f>+IF(Controlos[[#This Row],[tipologia_teste]]="REGULAMENTAR",IF(LEFT(Controlos[[#This Row],[cod_kpi]],1)="v",IF(LEFT(Controlos[[#This Row],[descrição]],6)="Alerta","W","H"),"F"),0)</f>
        <v>H</v>
      </c>
      <c r="F235" t="s">
        <v>339</v>
      </c>
      <c r="G235" t="s">
        <v>754</v>
      </c>
      <c r="H235" t="s">
        <v>605</v>
      </c>
      <c r="I235" t="s">
        <v>718</v>
      </c>
      <c r="J235" t="s">
        <v>37</v>
      </c>
      <c r="K235" t="s">
        <v>755</v>
      </c>
      <c r="L235">
        <v>8</v>
      </c>
      <c r="M235">
        <v>0</v>
      </c>
    </row>
    <row r="236" spans="2:13" hidden="1" x14ac:dyDescent="0.35">
      <c r="B236" s="107" t="str">
        <f>+IF(LEFT(MID(Controlos[[#This Row],[tabela]],22,5),1)="B",MID(Controlos[[#This Row],[tabela]],22,5),MID(Controlos[[#This Row],[tabela]],18,5))</f>
        <v>B0200</v>
      </c>
      <c r="C236" s="107" t="str">
        <f>+IF(Controlos[[#This Row],[tipologia_teste]]="REGULAMENTAR",IF(LEFT(Controlos[[#This Row],[cod_kpi]],1)="v",IF(LEFT(Controlos[[#This Row],[descrição]],6)="Alerta","W","H"),"F"),0)</f>
        <v>H</v>
      </c>
      <c r="F236" t="s">
        <v>339</v>
      </c>
      <c r="G236" t="s">
        <v>756</v>
      </c>
      <c r="H236" t="s">
        <v>605</v>
      </c>
      <c r="I236" t="s">
        <v>703</v>
      </c>
      <c r="J236" t="s">
        <v>37</v>
      </c>
      <c r="K236" t="s">
        <v>695</v>
      </c>
      <c r="L236">
        <v>8</v>
      </c>
      <c r="M236">
        <v>0</v>
      </c>
    </row>
    <row r="237" spans="2:13" hidden="1" x14ac:dyDescent="0.35">
      <c r="B237" s="107" t="str">
        <f>+IF(LEFT(MID(Controlos[[#This Row],[tabela]],22,5),1)="B",MID(Controlos[[#This Row],[tabela]],22,5),MID(Controlos[[#This Row],[tabela]],18,5))</f>
        <v>B0200</v>
      </c>
      <c r="C237" s="107" t="str">
        <f>+IF(Controlos[[#This Row],[tipologia_teste]]="REGULAMENTAR",IF(LEFT(Controlos[[#This Row],[cod_kpi]],1)="v",IF(LEFT(Controlos[[#This Row],[descrição]],6)="Alerta","W","H"),"F"),0)</f>
        <v>H</v>
      </c>
      <c r="F237" t="s">
        <v>339</v>
      </c>
      <c r="G237" t="s">
        <v>757</v>
      </c>
      <c r="H237" t="s">
        <v>605</v>
      </c>
      <c r="I237" t="s">
        <v>718</v>
      </c>
      <c r="J237" t="s">
        <v>37</v>
      </c>
      <c r="K237" t="s">
        <v>758</v>
      </c>
      <c r="L237">
        <v>8</v>
      </c>
      <c r="M237">
        <v>0</v>
      </c>
    </row>
    <row r="238" spans="2:13" hidden="1" x14ac:dyDescent="0.35">
      <c r="B238" s="107" t="str">
        <f>+IF(LEFT(MID(Controlos[[#This Row],[tabela]],22,5),1)="B",MID(Controlos[[#This Row],[tabela]],22,5),MID(Controlos[[#This Row],[tabela]],18,5))</f>
        <v>B0200</v>
      </c>
      <c r="C238" s="107" t="str">
        <f>+IF(Controlos[[#This Row],[tipologia_teste]]="REGULAMENTAR",IF(LEFT(Controlos[[#This Row],[cod_kpi]],1)="v",IF(LEFT(Controlos[[#This Row],[descrição]],6)="Alerta","W","H"),"F"),0)</f>
        <v>F</v>
      </c>
      <c r="F238" t="s">
        <v>339</v>
      </c>
      <c r="G238" t="s">
        <v>759</v>
      </c>
      <c r="H238" t="s">
        <v>605</v>
      </c>
      <c r="I238" t="s">
        <v>760</v>
      </c>
      <c r="J238" t="s">
        <v>37</v>
      </c>
      <c r="K238" t="s">
        <v>606</v>
      </c>
      <c r="L238">
        <v>8</v>
      </c>
      <c r="M238">
        <v>0</v>
      </c>
    </row>
    <row r="239" spans="2:13" hidden="1" x14ac:dyDescent="0.35">
      <c r="B239" s="107" t="str">
        <f>+IF(LEFT(MID(Controlos[[#This Row],[tabela]],22,5),1)="B",MID(Controlos[[#This Row],[tabela]],22,5),MID(Controlos[[#This Row],[tabela]],18,5))</f>
        <v>B0200</v>
      </c>
      <c r="C239" s="107" t="str">
        <f>+IF(Controlos[[#This Row],[tipologia_teste]]="REGULAMENTAR",IF(LEFT(Controlos[[#This Row],[cod_kpi]],1)="v",IF(LEFT(Controlos[[#This Row],[descrição]],6)="Alerta","W","H"),"F"),0)</f>
        <v>F</v>
      </c>
      <c r="F239" t="s">
        <v>339</v>
      </c>
      <c r="G239" t="s">
        <v>761</v>
      </c>
      <c r="H239" t="s">
        <v>605</v>
      </c>
      <c r="I239" t="s">
        <v>762</v>
      </c>
      <c r="J239" t="s">
        <v>37</v>
      </c>
      <c r="K239" t="s">
        <v>763</v>
      </c>
      <c r="L239">
        <v>8</v>
      </c>
      <c r="M239">
        <v>0</v>
      </c>
    </row>
    <row r="240" spans="2:13" hidden="1" x14ac:dyDescent="0.35">
      <c r="B240" s="107" t="str">
        <f>+IF(LEFT(MID(Controlos[[#This Row],[tabela]],22,5),1)="B",MID(Controlos[[#This Row],[tabela]],22,5),MID(Controlos[[#This Row],[tabela]],18,5))</f>
        <v>B0200</v>
      </c>
      <c r="C240" s="107" t="str">
        <f>+IF(Controlos[[#This Row],[tipologia_teste]]="REGULAMENTAR",IF(LEFT(Controlos[[#This Row],[cod_kpi]],1)="v",IF(LEFT(Controlos[[#This Row],[descrição]],6)="Alerta","W","H"),"F"),0)</f>
        <v>F</v>
      </c>
      <c r="F240" t="s">
        <v>339</v>
      </c>
      <c r="G240" t="s">
        <v>764</v>
      </c>
      <c r="H240" t="s">
        <v>605</v>
      </c>
      <c r="I240" t="s">
        <v>762</v>
      </c>
      <c r="J240" t="s">
        <v>37</v>
      </c>
      <c r="K240" t="s">
        <v>608</v>
      </c>
      <c r="L240">
        <v>8</v>
      </c>
      <c r="M240">
        <v>0</v>
      </c>
    </row>
    <row r="241" spans="2:16" hidden="1" x14ac:dyDescent="0.35">
      <c r="B241" s="107" t="str">
        <f>+IF(LEFT(MID(Controlos[[#This Row],[tabela]],22,5),1)="B",MID(Controlos[[#This Row],[tabela]],22,5),MID(Controlos[[#This Row],[tabela]],18,5))</f>
        <v>B0200</v>
      </c>
      <c r="C241" s="107" t="str">
        <f>+IF(Controlos[[#This Row],[tipologia_teste]]="REGULAMENTAR",IF(LEFT(Controlos[[#This Row],[cod_kpi]],1)="v",IF(LEFT(Controlos[[#This Row],[descrição]],6)="Alerta","W","H"),"F"),0)</f>
        <v>F</v>
      </c>
      <c r="F241" t="s">
        <v>339</v>
      </c>
      <c r="G241" t="s">
        <v>765</v>
      </c>
      <c r="H241" t="s">
        <v>605</v>
      </c>
      <c r="I241" t="s">
        <v>762</v>
      </c>
      <c r="J241" t="s">
        <v>37</v>
      </c>
      <c r="K241" t="s">
        <v>610</v>
      </c>
      <c r="L241">
        <v>8</v>
      </c>
      <c r="M241">
        <v>0</v>
      </c>
    </row>
    <row r="242" spans="2:16" hidden="1" x14ac:dyDescent="0.35">
      <c r="B242" s="107" t="str">
        <f>+IF(LEFT(MID(Controlos[[#This Row],[tabela]],22,5),1)="B",MID(Controlos[[#This Row],[tabela]],22,5),MID(Controlos[[#This Row],[tabela]],18,5))</f>
        <v>B0200</v>
      </c>
      <c r="C242" s="107" t="str">
        <f>+IF(Controlos[[#This Row],[tipologia_teste]]="REGULAMENTAR",IF(LEFT(Controlos[[#This Row],[cod_kpi]],1)="v",IF(LEFT(Controlos[[#This Row],[descrição]],6)="Alerta","W","H"),"F"),0)</f>
        <v>F</v>
      </c>
      <c r="F242" t="s">
        <v>339</v>
      </c>
      <c r="G242" t="s">
        <v>766</v>
      </c>
      <c r="H242" t="s">
        <v>605</v>
      </c>
      <c r="I242" t="s">
        <v>767</v>
      </c>
      <c r="J242" t="s">
        <v>37</v>
      </c>
      <c r="K242" t="s">
        <v>768</v>
      </c>
      <c r="L242">
        <v>8</v>
      </c>
      <c r="M242">
        <v>0</v>
      </c>
    </row>
    <row r="243" spans="2:16" hidden="1" x14ac:dyDescent="0.35">
      <c r="B243" s="107" t="str">
        <f>+IF(LEFT(MID(Controlos[[#This Row],[tabela]],22,5),1)="B",MID(Controlos[[#This Row],[tabela]],22,5),MID(Controlos[[#This Row],[tabela]],18,5))</f>
        <v>B0200</v>
      </c>
      <c r="C243" s="107" t="str">
        <f>+IF(Controlos[[#This Row],[tipologia_teste]]="REGULAMENTAR",IF(LEFT(Controlos[[#This Row],[cod_kpi]],1)="v",IF(LEFT(Controlos[[#This Row],[descrição]],6)="Alerta","W","H"),"F"),0)</f>
        <v>F</v>
      </c>
      <c r="F243" t="s">
        <v>339</v>
      </c>
      <c r="G243" t="s">
        <v>769</v>
      </c>
      <c r="H243" t="s">
        <v>605</v>
      </c>
      <c r="I243" t="s">
        <v>767</v>
      </c>
      <c r="J243" t="s">
        <v>37</v>
      </c>
      <c r="K243" t="s">
        <v>770</v>
      </c>
      <c r="L243">
        <v>8</v>
      </c>
      <c r="M243">
        <v>0</v>
      </c>
    </row>
    <row r="244" spans="2:16" hidden="1" x14ac:dyDescent="0.35">
      <c r="B244" s="107" t="str">
        <f>+IF(LEFT(MID(Controlos[[#This Row],[tabela]],22,5),1)="B",MID(Controlos[[#This Row],[tabela]],22,5),MID(Controlos[[#This Row],[tabela]],18,5))</f>
        <v>B0200</v>
      </c>
      <c r="C244" s="107" t="str">
        <f>+IF(Controlos[[#This Row],[tipologia_teste]]="REGULAMENTAR",IF(LEFT(Controlos[[#This Row],[cod_kpi]],1)="v",IF(LEFT(Controlos[[#This Row],[descrição]],6)="Alerta","W","H"),"F"),0)</f>
        <v>F</v>
      </c>
      <c r="F244" t="s">
        <v>339</v>
      </c>
      <c r="G244" t="s">
        <v>771</v>
      </c>
      <c r="H244" t="s">
        <v>605</v>
      </c>
      <c r="I244" t="s">
        <v>772</v>
      </c>
      <c r="J244" t="s">
        <v>37</v>
      </c>
      <c r="K244" t="s">
        <v>612</v>
      </c>
      <c r="L244">
        <v>8</v>
      </c>
      <c r="M244">
        <v>0</v>
      </c>
    </row>
    <row r="245" spans="2:16" hidden="1" x14ac:dyDescent="0.35">
      <c r="B245" s="107" t="str">
        <f>+IF(LEFT(MID(Controlos[[#This Row],[tabela]],22,5),1)="B",MID(Controlos[[#This Row],[tabela]],22,5),MID(Controlos[[#This Row],[tabela]],18,5))</f>
        <v>B0200</v>
      </c>
      <c r="C245" s="107" t="str">
        <f>+IF(Controlos[[#This Row],[tipologia_teste]]="REGULAMENTAR",IF(LEFT(Controlos[[#This Row],[cod_kpi]],1)="v",IF(LEFT(Controlos[[#This Row],[descrição]],6)="Alerta","W","H"),"F"),0)</f>
        <v>F</v>
      </c>
      <c r="F245" t="s">
        <v>339</v>
      </c>
      <c r="G245" t="s">
        <v>773</v>
      </c>
      <c r="H245" t="s">
        <v>605</v>
      </c>
      <c r="I245" t="s">
        <v>767</v>
      </c>
      <c r="J245" t="s">
        <v>37</v>
      </c>
      <c r="K245" t="s">
        <v>614</v>
      </c>
      <c r="L245">
        <v>8</v>
      </c>
      <c r="M245">
        <v>8</v>
      </c>
      <c r="N245" t="s">
        <v>453</v>
      </c>
    </row>
    <row r="246" spans="2:16" hidden="1" x14ac:dyDescent="0.35">
      <c r="B246" s="107" t="str">
        <f>+IF(LEFT(MID(Controlos[[#This Row],[tabela]],22,5),1)="B",MID(Controlos[[#This Row],[tabela]],22,5),MID(Controlos[[#This Row],[tabela]],18,5))</f>
        <v>B0200</v>
      </c>
      <c r="C246" s="107" t="str">
        <f>+IF(Controlos[[#This Row],[tipologia_teste]]="REGULAMENTAR",IF(LEFT(Controlos[[#This Row],[cod_kpi]],1)="v",IF(LEFT(Controlos[[#This Row],[descrição]],6)="Alerta","W","H"),"F"),0)</f>
        <v>F</v>
      </c>
      <c r="F246" t="s">
        <v>339</v>
      </c>
      <c r="G246" t="s">
        <v>774</v>
      </c>
      <c r="H246" t="s">
        <v>605</v>
      </c>
      <c r="I246" t="s">
        <v>767</v>
      </c>
      <c r="J246" t="s">
        <v>37</v>
      </c>
      <c r="K246" t="s">
        <v>617</v>
      </c>
      <c r="L246">
        <v>8</v>
      </c>
      <c r="M246">
        <v>8</v>
      </c>
      <c r="N246" t="s">
        <v>453</v>
      </c>
    </row>
    <row r="247" spans="2:16" hidden="1" x14ac:dyDescent="0.35">
      <c r="B247" s="107" t="str">
        <f>+IF(LEFT(MID(Controlos[[#This Row],[tabela]],22,5),1)="B",MID(Controlos[[#This Row],[tabela]],22,5),MID(Controlos[[#This Row],[tabela]],18,5))</f>
        <v>B0200</v>
      </c>
      <c r="C247" s="107" t="str">
        <f>+IF(Controlos[[#This Row],[tipologia_teste]]="REGULAMENTAR",IF(LEFT(Controlos[[#This Row],[cod_kpi]],1)="v",IF(LEFT(Controlos[[#This Row],[descrição]],6)="Alerta","W","H"),"F"),0)</f>
        <v>F</v>
      </c>
      <c r="F247" t="s">
        <v>339</v>
      </c>
      <c r="G247" t="s">
        <v>775</v>
      </c>
      <c r="H247" t="s">
        <v>605</v>
      </c>
      <c r="I247" t="s">
        <v>767</v>
      </c>
      <c r="J247" t="s">
        <v>37</v>
      </c>
      <c r="K247" t="s">
        <v>619</v>
      </c>
      <c r="L247">
        <v>8</v>
      </c>
      <c r="M247">
        <v>0</v>
      </c>
    </row>
    <row r="248" spans="2:16" hidden="1" x14ac:dyDescent="0.35">
      <c r="B248" s="107" t="str">
        <f>+IF(LEFT(MID(Controlos[[#This Row],[tabela]],22,5),1)="B",MID(Controlos[[#This Row],[tabela]],22,5),MID(Controlos[[#This Row],[tabela]],18,5))</f>
        <v>B0200</v>
      </c>
      <c r="C248" s="107" t="str">
        <f>+IF(Controlos[[#This Row],[tipologia_teste]]="REGULAMENTAR",IF(LEFT(Controlos[[#This Row],[cod_kpi]],1)="v",IF(LEFT(Controlos[[#This Row],[descrição]],6)="Alerta","W","H"),"F"),0)</f>
        <v>F</v>
      </c>
      <c r="F248" t="s">
        <v>339</v>
      </c>
      <c r="G248" t="s">
        <v>776</v>
      </c>
      <c r="H248" t="s">
        <v>605</v>
      </c>
      <c r="I248" t="s">
        <v>767</v>
      </c>
      <c r="J248" t="s">
        <v>37</v>
      </c>
      <c r="K248" t="s">
        <v>708</v>
      </c>
      <c r="L248">
        <v>8</v>
      </c>
      <c r="M248">
        <v>0</v>
      </c>
    </row>
    <row r="249" spans="2:16" hidden="1" x14ac:dyDescent="0.35">
      <c r="B249" s="107" t="str">
        <f>+IF(LEFT(MID(Controlos[[#This Row],[tabela]],22,5),1)="B",MID(Controlos[[#This Row],[tabela]],22,5),MID(Controlos[[#This Row],[tabela]],18,5))</f>
        <v>B0200</v>
      </c>
      <c r="C249" s="107" t="str">
        <f>+IF(Controlos[[#This Row],[tipologia_teste]]="REGULAMENTAR",IF(LEFT(Controlos[[#This Row],[cod_kpi]],1)="v",IF(LEFT(Controlos[[#This Row],[descrição]],6)="Alerta","W","H"),"F"),0)</f>
        <v>F</v>
      </c>
      <c r="F249" t="s">
        <v>339</v>
      </c>
      <c r="G249" t="s">
        <v>777</v>
      </c>
      <c r="H249" t="s">
        <v>605</v>
      </c>
      <c r="I249" t="s">
        <v>767</v>
      </c>
      <c r="J249" t="s">
        <v>37</v>
      </c>
      <c r="K249" t="s">
        <v>622</v>
      </c>
      <c r="L249">
        <v>8</v>
      </c>
      <c r="M249">
        <v>8</v>
      </c>
      <c r="N249" t="s">
        <v>453</v>
      </c>
    </row>
    <row r="250" spans="2:16" hidden="1" x14ac:dyDescent="0.35">
      <c r="B250" s="107" t="str">
        <f>+IF(LEFT(MID(Controlos[[#This Row],[tabela]],22,5),1)="B",MID(Controlos[[#This Row],[tabela]],22,5),MID(Controlos[[#This Row],[tabela]],18,5))</f>
        <v>B0200</v>
      </c>
      <c r="C250" s="107" t="str">
        <f>+IF(Controlos[[#This Row],[tipologia_teste]]="REGULAMENTAR",IF(LEFT(Controlos[[#This Row],[cod_kpi]],1)="v",IF(LEFT(Controlos[[#This Row],[descrição]],6)="Alerta","W","H"),"F"),0)</f>
        <v>F</v>
      </c>
      <c r="F250" t="s">
        <v>339</v>
      </c>
      <c r="G250" t="s">
        <v>778</v>
      </c>
      <c r="H250" t="s">
        <v>605</v>
      </c>
      <c r="I250" t="s">
        <v>767</v>
      </c>
      <c r="J250" t="s">
        <v>37</v>
      </c>
      <c r="K250" t="s">
        <v>631</v>
      </c>
      <c r="L250">
        <v>8</v>
      </c>
      <c r="M250">
        <v>8</v>
      </c>
      <c r="N250" t="s">
        <v>453</v>
      </c>
    </row>
    <row r="251" spans="2:16" hidden="1" x14ac:dyDescent="0.35">
      <c r="B251" s="107" t="str">
        <f>+IF(LEFT(MID(Controlos[[#This Row],[tabela]],22,5),1)="B",MID(Controlos[[#This Row],[tabela]],22,5),MID(Controlos[[#This Row],[tabela]],18,5))</f>
        <v>B0200</v>
      </c>
      <c r="C251" s="107" t="str">
        <f>+IF(Controlos[[#This Row],[tipologia_teste]]="REGULAMENTAR",IF(LEFT(Controlos[[#This Row],[cod_kpi]],1)="v",IF(LEFT(Controlos[[#This Row],[descrição]],6)="Alerta","W","H"),"F"),0)</f>
        <v>F</v>
      </c>
      <c r="F251" t="s">
        <v>339</v>
      </c>
      <c r="G251" t="s">
        <v>779</v>
      </c>
      <c r="H251" t="s">
        <v>605</v>
      </c>
      <c r="I251" t="s">
        <v>718</v>
      </c>
      <c r="J251" t="s">
        <v>37</v>
      </c>
      <c r="K251" t="s">
        <v>633</v>
      </c>
      <c r="L251">
        <v>8</v>
      </c>
      <c r="M251">
        <v>4</v>
      </c>
      <c r="N251" t="s">
        <v>719</v>
      </c>
    </row>
    <row r="252" spans="2:16" hidden="1" x14ac:dyDescent="0.35">
      <c r="B252" s="107" t="str">
        <f>+IF(LEFT(MID(Controlos[[#This Row],[tabela]],22,5),1)="B",MID(Controlos[[#This Row],[tabela]],22,5),MID(Controlos[[#This Row],[tabela]],18,5))</f>
        <v>B0200</v>
      </c>
      <c r="C252" s="107" t="str">
        <f>+IF(Controlos[[#This Row],[tipologia_teste]]="REGULAMENTAR",IF(LEFT(Controlos[[#This Row],[cod_kpi]],1)="v",IF(LEFT(Controlos[[#This Row],[descrição]],6)="Alerta","W","H"),"F"),0)</f>
        <v>F</v>
      </c>
      <c r="F252" t="s">
        <v>339</v>
      </c>
      <c r="G252" t="s">
        <v>780</v>
      </c>
      <c r="H252" t="s">
        <v>605</v>
      </c>
      <c r="I252" t="s">
        <v>762</v>
      </c>
      <c r="J252" t="s">
        <v>37</v>
      </c>
      <c r="K252" t="s">
        <v>636</v>
      </c>
      <c r="L252">
        <v>8</v>
      </c>
      <c r="M252">
        <v>8</v>
      </c>
      <c r="N252" t="s">
        <v>453</v>
      </c>
      <c r="P252" t="s">
        <v>209</v>
      </c>
    </row>
    <row r="253" spans="2:16" hidden="1" x14ac:dyDescent="0.35">
      <c r="B253" s="107" t="str">
        <f>+IF(LEFT(MID(Controlos[[#This Row],[tabela]],22,5),1)="B",MID(Controlos[[#This Row],[tabela]],22,5),MID(Controlos[[#This Row],[tabela]],18,5))</f>
        <v>B0200</v>
      </c>
      <c r="C253" s="107" t="str">
        <f>+IF(Controlos[[#This Row],[tipologia_teste]]="REGULAMENTAR",IF(LEFT(Controlos[[#This Row],[cod_kpi]],1)="v",IF(LEFT(Controlos[[#This Row],[descrição]],6)="Alerta","W","H"),"F"),0)</f>
        <v>F</v>
      </c>
      <c r="F253" t="s">
        <v>339</v>
      </c>
      <c r="G253" t="s">
        <v>781</v>
      </c>
      <c r="H253" t="s">
        <v>605</v>
      </c>
      <c r="I253" t="s">
        <v>782</v>
      </c>
      <c r="J253" t="s">
        <v>37</v>
      </c>
      <c r="K253" t="s">
        <v>783</v>
      </c>
      <c r="L253">
        <v>8</v>
      </c>
      <c r="M253">
        <v>8</v>
      </c>
      <c r="N253" t="s">
        <v>453</v>
      </c>
      <c r="P253" t="s">
        <v>211</v>
      </c>
    </row>
    <row r="254" spans="2:16" hidden="1" x14ac:dyDescent="0.35">
      <c r="B254" s="107" t="str">
        <f>+IF(LEFT(MID(Controlos[[#This Row],[tabela]],22,5),1)="B",MID(Controlos[[#This Row],[tabela]],22,5),MID(Controlos[[#This Row],[tabela]],18,5))</f>
        <v>B0200</v>
      </c>
      <c r="C254" s="107" t="str">
        <f>+IF(Controlos[[#This Row],[tipologia_teste]]="REGULAMENTAR",IF(LEFT(Controlos[[#This Row],[cod_kpi]],1)="v",IF(LEFT(Controlos[[#This Row],[descrição]],6)="Alerta","W","H"),"F"),0)</f>
        <v>F</v>
      </c>
      <c r="F254" t="s">
        <v>339</v>
      </c>
      <c r="G254" t="s">
        <v>784</v>
      </c>
      <c r="H254" t="s">
        <v>605</v>
      </c>
      <c r="I254" t="s">
        <v>760</v>
      </c>
      <c r="J254" t="s">
        <v>37</v>
      </c>
      <c r="K254" t="s">
        <v>638</v>
      </c>
      <c r="L254">
        <v>8</v>
      </c>
      <c r="M254">
        <v>0</v>
      </c>
    </row>
    <row r="255" spans="2:16" hidden="1" x14ac:dyDescent="0.35">
      <c r="B255" s="107" t="str">
        <f>+IF(LEFT(MID(Controlos[[#This Row],[tabela]],22,5),1)="B",MID(Controlos[[#This Row],[tabela]],22,5),MID(Controlos[[#This Row],[tabela]],18,5))</f>
        <v>B0200</v>
      </c>
      <c r="C255" s="107" t="str">
        <f>+IF(Controlos[[#This Row],[tipologia_teste]]="REGULAMENTAR",IF(LEFT(Controlos[[#This Row],[cod_kpi]],1)="v",IF(LEFT(Controlos[[#This Row],[descrição]],6)="Alerta","W","H"),"F"),0)</f>
        <v>F</v>
      </c>
      <c r="F255" t="s">
        <v>339</v>
      </c>
      <c r="G255" t="s">
        <v>785</v>
      </c>
      <c r="H255" t="s">
        <v>605</v>
      </c>
      <c r="I255" t="s">
        <v>767</v>
      </c>
      <c r="J255" t="s">
        <v>37</v>
      </c>
      <c r="K255" t="s">
        <v>786</v>
      </c>
      <c r="L255">
        <v>8</v>
      </c>
      <c r="M255">
        <v>0</v>
      </c>
    </row>
    <row r="256" spans="2:16" hidden="1" x14ac:dyDescent="0.35">
      <c r="B256" s="107" t="str">
        <f>+IF(LEFT(MID(Controlos[[#This Row],[tabela]],22,5),1)="B",MID(Controlos[[#This Row],[tabela]],22,5),MID(Controlos[[#This Row],[tabela]],18,5))</f>
        <v>B0200</v>
      </c>
      <c r="C256" s="107" t="str">
        <f>+IF(Controlos[[#This Row],[tipologia_teste]]="REGULAMENTAR",IF(LEFT(Controlos[[#This Row],[cod_kpi]],1)="v",IF(LEFT(Controlos[[#This Row],[descrição]],6)="Alerta","W","H"),"F"),0)</f>
        <v>F</v>
      </c>
      <c r="F256" t="s">
        <v>339</v>
      </c>
      <c r="G256" t="s">
        <v>787</v>
      </c>
      <c r="H256" t="s">
        <v>605</v>
      </c>
      <c r="I256" t="s">
        <v>788</v>
      </c>
      <c r="J256" t="s">
        <v>37</v>
      </c>
      <c r="K256" t="s">
        <v>640</v>
      </c>
      <c r="L256">
        <v>8</v>
      </c>
      <c r="M256">
        <v>0</v>
      </c>
    </row>
    <row r="257" spans="2:14" hidden="1" x14ac:dyDescent="0.35">
      <c r="B257" s="107" t="str">
        <f>+IF(LEFT(MID(Controlos[[#This Row],[tabela]],22,5),1)="B",MID(Controlos[[#This Row],[tabela]],22,5),MID(Controlos[[#This Row],[tabela]],18,5))</f>
        <v>B0200</v>
      </c>
      <c r="C257" s="107" t="str">
        <f>+IF(Controlos[[#This Row],[tipologia_teste]]="REGULAMENTAR",IF(LEFT(Controlos[[#This Row],[cod_kpi]],1)="v",IF(LEFT(Controlos[[#This Row],[descrição]],6)="Alerta","W","H"),"F"),0)</f>
        <v>F</v>
      </c>
      <c r="F257" t="s">
        <v>339</v>
      </c>
      <c r="G257" t="s">
        <v>789</v>
      </c>
      <c r="H257" t="s">
        <v>605</v>
      </c>
      <c r="I257" t="s">
        <v>790</v>
      </c>
      <c r="J257" t="s">
        <v>37</v>
      </c>
      <c r="K257" t="s">
        <v>724</v>
      </c>
      <c r="L257">
        <v>8</v>
      </c>
      <c r="M257">
        <v>0</v>
      </c>
    </row>
    <row r="258" spans="2:14" hidden="1" x14ac:dyDescent="0.35">
      <c r="B258" s="107" t="str">
        <f>+IF(LEFT(MID(Controlos[[#This Row],[tabela]],22,5),1)="B",MID(Controlos[[#This Row],[tabela]],22,5),MID(Controlos[[#This Row],[tabela]],18,5))</f>
        <v>B0200</v>
      </c>
      <c r="C258" s="107" t="str">
        <f>+IF(Controlos[[#This Row],[tipologia_teste]]="REGULAMENTAR",IF(LEFT(Controlos[[#This Row],[cod_kpi]],1)="v",IF(LEFT(Controlos[[#This Row],[descrição]],6)="Alerta","W","H"),"F"),0)</f>
        <v>F</v>
      </c>
      <c r="F258" t="s">
        <v>339</v>
      </c>
      <c r="G258" t="s">
        <v>791</v>
      </c>
      <c r="H258" t="s">
        <v>605</v>
      </c>
      <c r="I258" t="s">
        <v>790</v>
      </c>
      <c r="J258" t="s">
        <v>37</v>
      </c>
      <c r="K258" t="s">
        <v>642</v>
      </c>
      <c r="L258">
        <v>8</v>
      </c>
      <c r="M258">
        <v>1</v>
      </c>
      <c r="N258" t="s">
        <v>728</v>
      </c>
    </row>
    <row r="259" spans="2:14" hidden="1" x14ac:dyDescent="0.35">
      <c r="B259" s="107" t="str">
        <f>+IF(LEFT(MID(Controlos[[#This Row],[tabela]],22,5),1)="B",MID(Controlos[[#This Row],[tabela]],22,5),MID(Controlos[[#This Row],[tabela]],18,5))</f>
        <v>B0200</v>
      </c>
      <c r="C259" s="107" t="str">
        <f>+IF(Controlos[[#This Row],[tipologia_teste]]="REGULAMENTAR",IF(LEFT(Controlos[[#This Row],[cod_kpi]],1)="v",IF(LEFT(Controlos[[#This Row],[descrição]],6)="Alerta","W","H"),"F"),0)</f>
        <v>F</v>
      </c>
      <c r="F259" t="s">
        <v>339</v>
      </c>
      <c r="G259" t="s">
        <v>792</v>
      </c>
      <c r="H259" t="s">
        <v>605</v>
      </c>
      <c r="I259" t="s">
        <v>790</v>
      </c>
      <c r="J259" t="s">
        <v>37</v>
      </c>
      <c r="K259" t="s">
        <v>793</v>
      </c>
      <c r="L259">
        <v>8</v>
      </c>
      <c r="M259">
        <v>0</v>
      </c>
    </row>
    <row r="260" spans="2:14" hidden="1" x14ac:dyDescent="0.35">
      <c r="B260" s="107" t="str">
        <f>+IF(LEFT(MID(Controlos[[#This Row],[tabela]],22,5),1)="B",MID(Controlos[[#This Row],[tabela]],22,5),MID(Controlos[[#This Row],[tabela]],18,5))</f>
        <v>B0200</v>
      </c>
      <c r="C260" s="107" t="str">
        <f>+IF(Controlos[[#This Row],[tipologia_teste]]="REGULAMENTAR",IF(LEFT(Controlos[[#This Row],[cod_kpi]],1)="v",IF(LEFT(Controlos[[#This Row],[descrição]],6)="Alerta","W","H"),"F"),0)</f>
        <v>F</v>
      </c>
      <c r="F260" t="s">
        <v>339</v>
      </c>
      <c r="G260" t="s">
        <v>794</v>
      </c>
      <c r="H260" t="s">
        <v>605</v>
      </c>
      <c r="I260" t="s">
        <v>790</v>
      </c>
      <c r="J260" t="s">
        <v>37</v>
      </c>
      <c r="K260" t="s">
        <v>647</v>
      </c>
      <c r="L260">
        <v>8</v>
      </c>
      <c r="M260">
        <v>0</v>
      </c>
    </row>
    <row r="261" spans="2:14" hidden="1" x14ac:dyDescent="0.35">
      <c r="B261" s="107" t="str">
        <f>+IF(LEFT(MID(Controlos[[#This Row],[tabela]],22,5),1)="B",MID(Controlos[[#This Row],[tabela]],22,5),MID(Controlos[[#This Row],[tabela]],18,5))</f>
        <v>B0200</v>
      </c>
      <c r="C261" s="107" t="str">
        <f>+IF(Controlos[[#This Row],[tipologia_teste]]="REGULAMENTAR",IF(LEFT(Controlos[[#This Row],[cod_kpi]],1)="v",IF(LEFT(Controlos[[#This Row],[descrição]],6)="Alerta","W","H"),"F"),0)</f>
        <v>F</v>
      </c>
      <c r="F261" t="s">
        <v>339</v>
      </c>
      <c r="G261" t="s">
        <v>795</v>
      </c>
      <c r="H261" t="s">
        <v>605</v>
      </c>
      <c r="I261" t="s">
        <v>790</v>
      </c>
      <c r="J261" t="s">
        <v>37</v>
      </c>
      <c r="K261" t="s">
        <v>650</v>
      </c>
      <c r="L261">
        <v>8</v>
      </c>
      <c r="M261">
        <v>0</v>
      </c>
    </row>
    <row r="262" spans="2:14" hidden="1" x14ac:dyDescent="0.35">
      <c r="B262" s="107" t="str">
        <f>+IF(LEFT(MID(Controlos[[#This Row],[tabela]],22,5),1)="B",MID(Controlos[[#This Row],[tabela]],22,5),MID(Controlos[[#This Row],[tabela]],18,5))</f>
        <v>B0200</v>
      </c>
      <c r="C262" s="107" t="str">
        <f>+IF(Controlos[[#This Row],[tipologia_teste]]="REGULAMENTAR",IF(LEFT(Controlos[[#This Row],[cod_kpi]],1)="v",IF(LEFT(Controlos[[#This Row],[descrição]],6)="Alerta","W","H"),"F"),0)</f>
        <v>F</v>
      </c>
      <c r="F262" t="s">
        <v>339</v>
      </c>
      <c r="G262" t="s">
        <v>796</v>
      </c>
      <c r="H262" t="s">
        <v>605</v>
      </c>
      <c r="I262" t="s">
        <v>797</v>
      </c>
      <c r="J262" t="s">
        <v>37</v>
      </c>
      <c r="K262" t="s">
        <v>652</v>
      </c>
      <c r="L262">
        <v>8</v>
      </c>
      <c r="M262">
        <v>0</v>
      </c>
    </row>
    <row r="263" spans="2:14" hidden="1" x14ac:dyDescent="0.35">
      <c r="B263" s="107" t="str">
        <f>+IF(LEFT(MID(Controlos[[#This Row],[tabela]],22,5),1)="B",MID(Controlos[[#This Row],[tabela]],22,5),MID(Controlos[[#This Row],[tabela]],18,5))</f>
        <v>B0200</v>
      </c>
      <c r="C263" s="107" t="str">
        <f>+IF(Controlos[[#This Row],[tipologia_teste]]="REGULAMENTAR",IF(LEFT(Controlos[[#This Row],[cod_kpi]],1)="v",IF(LEFT(Controlos[[#This Row],[descrição]],6)="Alerta","W","H"),"F"),0)</f>
        <v>F</v>
      </c>
      <c r="F263" t="s">
        <v>339</v>
      </c>
      <c r="G263" t="s">
        <v>798</v>
      </c>
      <c r="H263" t="s">
        <v>605</v>
      </c>
      <c r="I263" t="s">
        <v>718</v>
      </c>
      <c r="J263" t="s">
        <v>37</v>
      </c>
      <c r="K263" t="s">
        <v>734</v>
      </c>
      <c r="L263">
        <v>8</v>
      </c>
      <c r="M263">
        <v>0</v>
      </c>
    </row>
    <row r="264" spans="2:14" hidden="1" x14ac:dyDescent="0.35">
      <c r="B264" s="107" t="str">
        <f>+IF(LEFT(MID(Controlos[[#This Row],[tabela]],22,5),1)="B",MID(Controlos[[#This Row],[tabela]],22,5),MID(Controlos[[#This Row],[tabela]],18,5))</f>
        <v>B0200</v>
      </c>
      <c r="C264" s="107" t="str">
        <f>+IF(Controlos[[#This Row],[tipologia_teste]]="REGULAMENTAR",IF(LEFT(Controlos[[#This Row],[cod_kpi]],1)="v",IF(LEFT(Controlos[[#This Row],[descrição]],6)="Alerta","W","H"),"F"),0)</f>
        <v>F</v>
      </c>
      <c r="F264" t="s">
        <v>339</v>
      </c>
      <c r="G264" t="s">
        <v>799</v>
      </c>
      <c r="H264" t="s">
        <v>605</v>
      </c>
      <c r="I264" t="s">
        <v>718</v>
      </c>
      <c r="J264" t="s">
        <v>37</v>
      </c>
      <c r="K264" t="s">
        <v>800</v>
      </c>
      <c r="L264">
        <v>8</v>
      </c>
      <c r="M264">
        <v>0</v>
      </c>
    </row>
    <row r="265" spans="2:14" hidden="1" x14ac:dyDescent="0.35">
      <c r="B265" s="107" t="str">
        <f>+IF(LEFT(MID(Controlos[[#This Row],[tabela]],22,5),1)="B",MID(Controlos[[#This Row],[tabela]],22,5),MID(Controlos[[#This Row],[tabela]],18,5))</f>
        <v>B0200</v>
      </c>
      <c r="C265" s="107" t="str">
        <f>+IF(Controlos[[#This Row],[tipologia_teste]]="REGULAMENTAR",IF(LEFT(Controlos[[#This Row],[cod_kpi]],1)="v",IF(LEFT(Controlos[[#This Row],[descrição]],6)="Alerta","W","H"),"F"),0)</f>
        <v>F</v>
      </c>
      <c r="F265" t="s">
        <v>339</v>
      </c>
      <c r="G265" t="s">
        <v>801</v>
      </c>
      <c r="H265" t="s">
        <v>605</v>
      </c>
      <c r="I265" t="s">
        <v>718</v>
      </c>
      <c r="J265" t="s">
        <v>37</v>
      </c>
      <c r="K265" t="s">
        <v>654</v>
      </c>
      <c r="L265">
        <v>8</v>
      </c>
      <c r="M265">
        <v>0</v>
      </c>
    </row>
    <row r="266" spans="2:14" hidden="1" x14ac:dyDescent="0.35">
      <c r="B266" s="107" t="str">
        <f>+IF(LEFT(MID(Controlos[[#This Row],[tabela]],22,5),1)="B",MID(Controlos[[#This Row],[tabela]],22,5),MID(Controlos[[#This Row],[tabela]],18,5))</f>
        <v>B0200</v>
      </c>
      <c r="C266" s="107" t="str">
        <f>+IF(Controlos[[#This Row],[tipologia_teste]]="REGULAMENTAR",IF(LEFT(Controlos[[#This Row],[cod_kpi]],1)="v",IF(LEFT(Controlos[[#This Row],[descrição]],6)="Alerta","W","H"),"F"),0)</f>
        <v>F</v>
      </c>
      <c r="F266" t="s">
        <v>339</v>
      </c>
      <c r="G266" t="s">
        <v>802</v>
      </c>
      <c r="H266" t="s">
        <v>605</v>
      </c>
      <c r="I266" t="s">
        <v>767</v>
      </c>
      <c r="J266" t="s">
        <v>37</v>
      </c>
      <c r="K266" t="s">
        <v>657</v>
      </c>
      <c r="L266">
        <v>8</v>
      </c>
      <c r="M266">
        <v>0</v>
      </c>
    </row>
    <row r="267" spans="2:14" hidden="1" x14ac:dyDescent="0.35">
      <c r="B267" s="107" t="str">
        <f>+IF(LEFT(MID(Controlos[[#This Row],[tabela]],22,5),1)="B",MID(Controlos[[#This Row],[tabela]],22,5),MID(Controlos[[#This Row],[tabela]],18,5))</f>
        <v>B0200</v>
      </c>
      <c r="C267" s="107" t="str">
        <f>+IF(Controlos[[#This Row],[tipologia_teste]]="REGULAMENTAR",IF(LEFT(Controlos[[#This Row],[cod_kpi]],1)="v",IF(LEFT(Controlos[[#This Row],[descrição]],6)="Alerta","W","H"),"F"),0)</f>
        <v>F</v>
      </c>
      <c r="F267" t="s">
        <v>339</v>
      </c>
      <c r="G267" t="s">
        <v>803</v>
      </c>
      <c r="H267" t="s">
        <v>605</v>
      </c>
      <c r="I267" t="s">
        <v>767</v>
      </c>
      <c r="J267" t="s">
        <v>37</v>
      </c>
      <c r="K267" t="s">
        <v>660</v>
      </c>
      <c r="L267">
        <v>8</v>
      </c>
      <c r="M267">
        <v>0</v>
      </c>
    </row>
    <row r="268" spans="2:14" hidden="1" x14ac:dyDescent="0.35">
      <c r="B268" s="107" t="str">
        <f>+IF(LEFT(MID(Controlos[[#This Row],[tabela]],22,5),1)="B",MID(Controlos[[#This Row],[tabela]],22,5),MID(Controlos[[#This Row],[tabela]],18,5))</f>
        <v>B0200</v>
      </c>
      <c r="C268" s="107" t="str">
        <f>+IF(Controlos[[#This Row],[tipologia_teste]]="REGULAMENTAR",IF(LEFT(Controlos[[#This Row],[cod_kpi]],1)="v",IF(LEFT(Controlos[[#This Row],[descrição]],6)="Alerta","W","H"),"F"),0)</f>
        <v>F</v>
      </c>
      <c r="F268" t="s">
        <v>339</v>
      </c>
      <c r="G268" t="s">
        <v>804</v>
      </c>
      <c r="H268" t="s">
        <v>605</v>
      </c>
      <c r="I268" t="s">
        <v>782</v>
      </c>
      <c r="J268" t="s">
        <v>37</v>
      </c>
      <c r="K268" t="s">
        <v>805</v>
      </c>
      <c r="L268">
        <v>8</v>
      </c>
      <c r="M268">
        <v>0</v>
      </c>
    </row>
    <row r="269" spans="2:14" hidden="1" x14ac:dyDescent="0.35">
      <c r="B269" s="107" t="str">
        <f>+IF(LEFT(MID(Controlos[[#This Row],[tabela]],22,5),1)="B",MID(Controlos[[#This Row],[tabela]],22,5),MID(Controlos[[#This Row],[tabela]],18,5))</f>
        <v>B0200</v>
      </c>
      <c r="C269" s="107" t="str">
        <f>+IF(Controlos[[#This Row],[tipologia_teste]]="REGULAMENTAR",IF(LEFT(Controlos[[#This Row],[cod_kpi]],1)="v",IF(LEFT(Controlos[[#This Row],[descrição]],6)="Alerta","W","H"),"F"),0)</f>
        <v>F</v>
      </c>
      <c r="F269" t="s">
        <v>339</v>
      </c>
      <c r="G269" t="s">
        <v>806</v>
      </c>
      <c r="H269" t="s">
        <v>605</v>
      </c>
      <c r="I269" t="s">
        <v>782</v>
      </c>
      <c r="J269" t="s">
        <v>37</v>
      </c>
      <c r="K269" t="s">
        <v>807</v>
      </c>
      <c r="L269">
        <v>8</v>
      </c>
      <c r="M269">
        <v>0</v>
      </c>
    </row>
    <row r="270" spans="2:14" hidden="1" x14ac:dyDescent="0.35">
      <c r="B270" s="107" t="str">
        <f>+IF(LEFT(MID(Controlos[[#This Row],[tabela]],22,5),1)="B",MID(Controlos[[#This Row],[tabela]],22,5),MID(Controlos[[#This Row],[tabela]],18,5))</f>
        <v>B0200</v>
      </c>
      <c r="C270" s="107" t="str">
        <f>+IF(Controlos[[#This Row],[tipologia_teste]]="REGULAMENTAR",IF(LEFT(Controlos[[#This Row],[cod_kpi]],1)="v",IF(LEFT(Controlos[[#This Row],[descrição]],6)="Alerta","W","H"),"F"),0)</f>
        <v>F</v>
      </c>
      <c r="F270" t="s">
        <v>339</v>
      </c>
      <c r="G270" t="s">
        <v>808</v>
      </c>
      <c r="H270" t="s">
        <v>605</v>
      </c>
      <c r="I270" t="s">
        <v>767</v>
      </c>
      <c r="J270" t="s">
        <v>37</v>
      </c>
      <c r="K270" t="s">
        <v>663</v>
      </c>
      <c r="L270">
        <v>8</v>
      </c>
      <c r="M270">
        <v>0</v>
      </c>
    </row>
    <row r="271" spans="2:14" hidden="1" x14ac:dyDescent="0.35">
      <c r="B271" s="107" t="str">
        <f>+IF(LEFT(MID(Controlos[[#This Row],[tabela]],22,5),1)="B",MID(Controlos[[#This Row],[tabela]],22,5),MID(Controlos[[#This Row],[tabela]],18,5))</f>
        <v>B0200</v>
      </c>
      <c r="C271" s="107" t="str">
        <f>+IF(Controlos[[#This Row],[tipologia_teste]]="REGULAMENTAR",IF(LEFT(Controlos[[#This Row],[cod_kpi]],1)="v",IF(LEFT(Controlos[[#This Row],[descrição]],6)="Alerta","W","H"),"F"),0)</f>
        <v>F</v>
      </c>
      <c r="F271" t="s">
        <v>339</v>
      </c>
      <c r="G271" t="s">
        <v>809</v>
      </c>
      <c r="H271" t="s">
        <v>605</v>
      </c>
      <c r="I271" t="s">
        <v>718</v>
      </c>
      <c r="J271" t="s">
        <v>37</v>
      </c>
      <c r="K271" t="s">
        <v>665</v>
      </c>
      <c r="L271">
        <v>8</v>
      </c>
      <c r="M271">
        <v>0</v>
      </c>
    </row>
    <row r="272" spans="2:14" hidden="1" x14ac:dyDescent="0.35">
      <c r="B272" s="107" t="str">
        <f>+IF(LEFT(MID(Controlos[[#This Row],[tabela]],22,5),1)="B",MID(Controlos[[#This Row],[tabela]],22,5),MID(Controlos[[#This Row],[tabela]],18,5))</f>
        <v>B0200</v>
      </c>
      <c r="C272" s="107" t="str">
        <f>+IF(Controlos[[#This Row],[tipologia_teste]]="REGULAMENTAR",IF(LEFT(Controlos[[#This Row],[cod_kpi]],1)="v",IF(LEFT(Controlos[[#This Row],[descrição]],6)="Alerta","W","H"),"F"),0)</f>
        <v>F</v>
      </c>
      <c r="F272" t="s">
        <v>339</v>
      </c>
      <c r="G272" t="s">
        <v>810</v>
      </c>
      <c r="H272" t="s">
        <v>605</v>
      </c>
      <c r="I272" t="s">
        <v>767</v>
      </c>
      <c r="J272" t="s">
        <v>37</v>
      </c>
      <c r="K272" t="s">
        <v>668</v>
      </c>
      <c r="L272">
        <v>8</v>
      </c>
      <c r="M272">
        <v>0</v>
      </c>
    </row>
    <row r="273" spans="2:16" hidden="1" x14ac:dyDescent="0.35">
      <c r="B273" s="107" t="str">
        <f>+IF(LEFT(MID(Controlos[[#This Row],[tabela]],22,5),1)="B",MID(Controlos[[#This Row],[tabela]],22,5),MID(Controlos[[#This Row],[tabela]],18,5))</f>
        <v>B0200</v>
      </c>
      <c r="C273" s="107" t="str">
        <f>+IF(Controlos[[#This Row],[tipologia_teste]]="REGULAMENTAR",IF(LEFT(Controlos[[#This Row],[cod_kpi]],1)="v",IF(LEFT(Controlos[[#This Row],[descrição]],6)="Alerta","W","H"),"F"),0)</f>
        <v>F</v>
      </c>
      <c r="F273" t="s">
        <v>339</v>
      </c>
      <c r="G273" t="s">
        <v>811</v>
      </c>
      <c r="H273" t="s">
        <v>605</v>
      </c>
      <c r="I273" t="s">
        <v>767</v>
      </c>
      <c r="J273" t="s">
        <v>37</v>
      </c>
      <c r="K273" t="s">
        <v>671</v>
      </c>
      <c r="L273">
        <v>8</v>
      </c>
      <c r="M273">
        <v>0</v>
      </c>
    </row>
    <row r="274" spans="2:16" hidden="1" x14ac:dyDescent="0.35">
      <c r="B274" s="107" t="str">
        <f>+IF(LEFT(MID(Controlos[[#This Row],[tabela]],22,5),1)="B",MID(Controlos[[#This Row],[tabela]],22,5),MID(Controlos[[#This Row],[tabela]],18,5))</f>
        <v>B0200</v>
      </c>
      <c r="C274" s="107" t="str">
        <f>+IF(Controlos[[#This Row],[tipologia_teste]]="REGULAMENTAR",IF(LEFT(Controlos[[#This Row],[cod_kpi]],1)="v",IF(LEFT(Controlos[[#This Row],[descrição]],6)="Alerta","W","H"),"F"),0)</f>
        <v>F</v>
      </c>
      <c r="F274" t="s">
        <v>339</v>
      </c>
      <c r="G274" t="s">
        <v>812</v>
      </c>
      <c r="H274" t="s">
        <v>605</v>
      </c>
      <c r="I274" t="s">
        <v>762</v>
      </c>
      <c r="J274" t="s">
        <v>37</v>
      </c>
      <c r="K274" t="s">
        <v>813</v>
      </c>
      <c r="L274">
        <v>8</v>
      </c>
      <c r="M274">
        <v>8</v>
      </c>
      <c r="N274" t="s">
        <v>453</v>
      </c>
      <c r="P274" t="s">
        <v>211</v>
      </c>
    </row>
    <row r="275" spans="2:16" hidden="1" x14ac:dyDescent="0.35">
      <c r="B275" s="107" t="str">
        <f>+IF(LEFT(MID(Controlos[[#This Row],[tabela]],22,5),1)="B",MID(Controlos[[#This Row],[tabela]],22,5),MID(Controlos[[#This Row],[tabela]],18,5))</f>
        <v>B0200</v>
      </c>
      <c r="C275" s="107" t="str">
        <f>+IF(Controlos[[#This Row],[tipologia_teste]]="REGULAMENTAR",IF(LEFT(Controlos[[#This Row],[cod_kpi]],1)="v",IF(LEFT(Controlos[[#This Row],[descrição]],6)="Alerta","W","H"),"F"),0)</f>
        <v>F</v>
      </c>
      <c r="F275" t="s">
        <v>339</v>
      </c>
      <c r="G275" t="s">
        <v>814</v>
      </c>
      <c r="H275" t="s">
        <v>605</v>
      </c>
      <c r="I275" t="s">
        <v>718</v>
      </c>
      <c r="J275" t="s">
        <v>37</v>
      </c>
      <c r="K275" t="s">
        <v>673</v>
      </c>
      <c r="L275">
        <v>8</v>
      </c>
      <c r="M275">
        <v>0</v>
      </c>
    </row>
    <row r="276" spans="2:16" hidden="1" x14ac:dyDescent="0.35">
      <c r="B276" s="107" t="str">
        <f>+IF(LEFT(MID(Controlos[[#This Row],[tabela]],22,5),1)="B",MID(Controlos[[#This Row],[tabela]],22,5),MID(Controlos[[#This Row],[tabela]],18,5))</f>
        <v>B0200</v>
      </c>
      <c r="C276" s="107" t="str">
        <f>+IF(Controlos[[#This Row],[tipologia_teste]]="REGULAMENTAR",IF(LEFT(Controlos[[#This Row],[cod_kpi]],1)="v",IF(LEFT(Controlos[[#This Row],[descrição]],6)="Alerta","W","H"),"F"),0)</f>
        <v>F</v>
      </c>
      <c r="F276" t="s">
        <v>339</v>
      </c>
      <c r="G276" t="s">
        <v>815</v>
      </c>
      <c r="H276" t="s">
        <v>605</v>
      </c>
      <c r="I276" t="s">
        <v>762</v>
      </c>
      <c r="J276" t="s">
        <v>37</v>
      </c>
      <c r="K276" t="s">
        <v>676</v>
      </c>
      <c r="L276">
        <v>8</v>
      </c>
      <c r="M276">
        <v>8</v>
      </c>
      <c r="N276" t="s">
        <v>453</v>
      </c>
      <c r="P276" t="s">
        <v>211</v>
      </c>
    </row>
    <row r="277" spans="2:16" hidden="1" x14ac:dyDescent="0.35">
      <c r="B277" s="107" t="str">
        <f>+IF(LEFT(MID(Controlos[[#This Row],[tabela]],22,5),1)="B",MID(Controlos[[#This Row],[tabela]],22,5),MID(Controlos[[#This Row],[tabela]],18,5))</f>
        <v>B0200</v>
      </c>
      <c r="C277" s="107" t="str">
        <f>+IF(Controlos[[#This Row],[tipologia_teste]]="REGULAMENTAR",IF(LEFT(Controlos[[#This Row],[cod_kpi]],1)="v",IF(LEFT(Controlos[[#This Row],[descrição]],6)="Alerta","W","H"),"F"),0)</f>
        <v>F</v>
      </c>
      <c r="F277" t="s">
        <v>339</v>
      </c>
      <c r="G277" t="s">
        <v>816</v>
      </c>
      <c r="H277" t="s">
        <v>605</v>
      </c>
      <c r="I277" t="s">
        <v>718</v>
      </c>
      <c r="J277" t="s">
        <v>37</v>
      </c>
      <c r="K277" t="s">
        <v>817</v>
      </c>
      <c r="L277">
        <v>8</v>
      </c>
      <c r="M277">
        <v>0</v>
      </c>
    </row>
    <row r="278" spans="2:16" hidden="1" x14ac:dyDescent="0.35">
      <c r="B278" s="107" t="str">
        <f>+IF(LEFT(MID(Controlos[[#This Row],[tabela]],22,5),1)="B",MID(Controlos[[#This Row],[tabela]],22,5),MID(Controlos[[#This Row],[tabela]],18,5))</f>
        <v>B0200</v>
      </c>
      <c r="C278" s="107" t="str">
        <f>+IF(Controlos[[#This Row],[tipologia_teste]]="REGULAMENTAR",IF(LEFT(Controlos[[#This Row],[cod_kpi]],1)="v",IF(LEFT(Controlos[[#This Row],[descrição]],6)="Alerta","W","H"),"F"),0)</f>
        <v>F</v>
      </c>
      <c r="F278" t="s">
        <v>339</v>
      </c>
      <c r="G278" t="s">
        <v>818</v>
      </c>
      <c r="H278" t="s">
        <v>605</v>
      </c>
      <c r="I278" t="s">
        <v>767</v>
      </c>
      <c r="J278" t="s">
        <v>37</v>
      </c>
      <c r="K278" t="s">
        <v>679</v>
      </c>
      <c r="L278">
        <v>8</v>
      </c>
      <c r="M278">
        <v>0</v>
      </c>
    </row>
    <row r="279" spans="2:16" hidden="1" x14ac:dyDescent="0.35">
      <c r="B279" s="107" t="str">
        <f>+IF(LEFT(MID(Controlos[[#This Row],[tabela]],22,5),1)="B",MID(Controlos[[#This Row],[tabela]],22,5),MID(Controlos[[#This Row],[tabela]],18,5))</f>
        <v>B0200</v>
      </c>
      <c r="C279" s="107" t="str">
        <f>+IF(Controlos[[#This Row],[tipologia_teste]]="REGULAMENTAR",IF(LEFT(Controlos[[#This Row],[cod_kpi]],1)="v",IF(LEFT(Controlos[[#This Row],[descrição]],6)="Alerta","W","H"),"F"),0)</f>
        <v>F</v>
      </c>
      <c r="F279" t="s">
        <v>339</v>
      </c>
      <c r="G279" t="s">
        <v>819</v>
      </c>
      <c r="H279" t="s">
        <v>605</v>
      </c>
      <c r="I279" t="s">
        <v>767</v>
      </c>
      <c r="J279" t="s">
        <v>37</v>
      </c>
      <c r="K279" t="s">
        <v>820</v>
      </c>
      <c r="L279">
        <v>8</v>
      </c>
      <c r="M279">
        <v>0</v>
      </c>
    </row>
    <row r="280" spans="2:16" hidden="1" x14ac:dyDescent="0.35">
      <c r="B280" s="107" t="str">
        <f>+IF(LEFT(MID(Controlos[[#This Row],[tabela]],22,5),1)="B",MID(Controlos[[#This Row],[tabela]],22,5),MID(Controlos[[#This Row],[tabela]],18,5))</f>
        <v>B0200</v>
      </c>
      <c r="C280" s="107" t="str">
        <f>+IF(Controlos[[#This Row],[tipologia_teste]]="REGULAMENTAR",IF(LEFT(Controlos[[#This Row],[cod_kpi]],1)="v",IF(LEFT(Controlos[[#This Row],[descrição]],6)="Alerta","W","H"),"F"),0)</f>
        <v>F</v>
      </c>
      <c r="F280" t="s">
        <v>339</v>
      </c>
      <c r="G280" t="s">
        <v>821</v>
      </c>
      <c r="H280" t="s">
        <v>605</v>
      </c>
      <c r="I280" t="s">
        <v>760</v>
      </c>
      <c r="J280" t="s">
        <v>37</v>
      </c>
      <c r="K280" t="s">
        <v>684</v>
      </c>
      <c r="L280">
        <v>8</v>
      </c>
      <c r="M280">
        <v>8</v>
      </c>
      <c r="N280" t="s">
        <v>453</v>
      </c>
    </row>
    <row r="281" spans="2:16" hidden="1" x14ac:dyDescent="0.35">
      <c r="B281" s="107" t="str">
        <f>+IF(LEFT(MID(Controlos[[#This Row],[tabela]],22,5),1)="B",MID(Controlos[[#This Row],[tabela]],22,5),MID(Controlos[[#This Row],[tabela]],18,5))</f>
        <v>B0200</v>
      </c>
      <c r="C281" s="107" t="str">
        <f>+IF(Controlos[[#This Row],[tipologia_teste]]="REGULAMENTAR",IF(LEFT(Controlos[[#This Row],[cod_kpi]],1)="v",IF(LEFT(Controlos[[#This Row],[descrição]],6)="Alerta","W","H"),"F"),0)</f>
        <v>F</v>
      </c>
      <c r="F281" t="s">
        <v>339</v>
      </c>
      <c r="G281" t="s">
        <v>822</v>
      </c>
      <c r="H281" t="s">
        <v>605</v>
      </c>
      <c r="I281" t="s">
        <v>760</v>
      </c>
      <c r="J281" t="s">
        <v>37</v>
      </c>
      <c r="K281" t="s">
        <v>687</v>
      </c>
      <c r="L281">
        <v>8</v>
      </c>
      <c r="M281">
        <v>8</v>
      </c>
      <c r="N281" t="s">
        <v>453</v>
      </c>
    </row>
    <row r="282" spans="2:16" hidden="1" x14ac:dyDescent="0.35">
      <c r="B282" s="107" t="str">
        <f>+IF(LEFT(MID(Controlos[[#This Row],[tabela]],22,5),1)="B",MID(Controlos[[#This Row],[tabela]],22,5),MID(Controlos[[#This Row],[tabela]],18,5))</f>
        <v>B0200</v>
      </c>
      <c r="C282" s="107" t="str">
        <f>+IF(Controlos[[#This Row],[tipologia_teste]]="REGULAMENTAR",IF(LEFT(Controlos[[#This Row],[cod_kpi]],1)="v",IF(LEFT(Controlos[[#This Row],[descrição]],6)="Alerta","W","H"),"F"),0)</f>
        <v>F</v>
      </c>
      <c r="F282" t="s">
        <v>339</v>
      </c>
      <c r="G282" t="s">
        <v>823</v>
      </c>
      <c r="H282" t="s">
        <v>605</v>
      </c>
      <c r="I282" t="s">
        <v>824</v>
      </c>
      <c r="J282" t="s">
        <v>37</v>
      </c>
      <c r="K282" t="s">
        <v>690</v>
      </c>
      <c r="L282">
        <v>8</v>
      </c>
      <c r="M282">
        <v>8</v>
      </c>
      <c r="N282" t="s">
        <v>453</v>
      </c>
    </row>
    <row r="283" spans="2:16" hidden="1" x14ac:dyDescent="0.35">
      <c r="B283" s="107" t="str">
        <f>+IF(LEFT(MID(Controlos[[#This Row],[tabela]],22,5),1)="B",MID(Controlos[[#This Row],[tabela]],22,5),MID(Controlos[[#This Row],[tabela]],18,5))</f>
        <v>B0200</v>
      </c>
      <c r="C283" s="107" t="str">
        <f>+IF(Controlos[[#This Row],[tipologia_teste]]="REGULAMENTAR",IF(LEFT(Controlos[[#This Row],[cod_kpi]],1)="v",IF(LEFT(Controlos[[#This Row],[descrição]],6)="Alerta","W","H"),"F"),0)</f>
        <v>F</v>
      </c>
      <c r="F283" t="s">
        <v>339</v>
      </c>
      <c r="G283" t="s">
        <v>825</v>
      </c>
      <c r="H283" t="s">
        <v>605</v>
      </c>
      <c r="I283" t="s">
        <v>824</v>
      </c>
      <c r="J283" t="s">
        <v>37</v>
      </c>
      <c r="K283" t="s">
        <v>826</v>
      </c>
      <c r="L283">
        <v>8</v>
      </c>
      <c r="M283">
        <v>0</v>
      </c>
    </row>
    <row r="284" spans="2:16" hidden="1" x14ac:dyDescent="0.35">
      <c r="B284" s="107" t="str">
        <f>+IF(LEFT(MID(Controlos[[#This Row],[tabela]],22,5),1)="B",MID(Controlos[[#This Row],[tabela]],22,5),MID(Controlos[[#This Row],[tabela]],18,5))</f>
        <v>B0200</v>
      </c>
      <c r="C284" s="107" t="str">
        <f>+IF(Controlos[[#This Row],[tipologia_teste]]="REGULAMENTAR",IF(LEFT(Controlos[[#This Row],[cod_kpi]],1)="v",IF(LEFT(Controlos[[#This Row],[descrição]],6)="Alerta","W","H"),"F"),0)</f>
        <v>F</v>
      </c>
      <c r="F284" t="s">
        <v>339</v>
      </c>
      <c r="G284" t="s">
        <v>827</v>
      </c>
      <c r="H284" t="s">
        <v>605</v>
      </c>
      <c r="I284" t="s">
        <v>824</v>
      </c>
      <c r="J284" t="s">
        <v>37</v>
      </c>
      <c r="K284" t="s">
        <v>828</v>
      </c>
      <c r="L284">
        <v>8</v>
      </c>
      <c r="M284">
        <v>0</v>
      </c>
    </row>
    <row r="285" spans="2:16" hidden="1" x14ac:dyDescent="0.35">
      <c r="B285" s="107" t="str">
        <f>+IF(LEFT(MID(Controlos[[#This Row],[tabela]],22,5),1)="B",MID(Controlos[[#This Row],[tabela]],22,5),MID(Controlos[[#This Row],[tabela]],18,5))</f>
        <v>B0200</v>
      </c>
      <c r="C285" s="107" t="str">
        <f>+IF(Controlos[[#This Row],[tipologia_teste]]="REGULAMENTAR",IF(LEFT(Controlos[[#This Row],[cod_kpi]],1)="v",IF(LEFT(Controlos[[#This Row],[descrição]],6)="Alerta","W","H"),"F"),0)</f>
        <v>F</v>
      </c>
      <c r="F285" t="s">
        <v>339</v>
      </c>
      <c r="G285" t="s">
        <v>829</v>
      </c>
      <c r="H285" t="s">
        <v>605</v>
      </c>
      <c r="I285" t="s">
        <v>767</v>
      </c>
      <c r="J285" t="s">
        <v>37</v>
      </c>
      <c r="K285" t="s">
        <v>830</v>
      </c>
      <c r="L285">
        <v>8</v>
      </c>
      <c r="M285">
        <v>0</v>
      </c>
    </row>
    <row r="286" spans="2:16" hidden="1" x14ac:dyDescent="0.35">
      <c r="B286" s="107" t="str">
        <f>+IF(LEFT(MID(Controlos[[#This Row],[tabela]],22,5),1)="B",MID(Controlos[[#This Row],[tabela]],22,5),MID(Controlos[[#This Row],[tabela]],18,5))</f>
        <v>B0200</v>
      </c>
      <c r="C286" s="107" t="str">
        <f>+IF(Controlos[[#This Row],[tipologia_teste]]="REGULAMENTAR",IF(LEFT(Controlos[[#This Row],[cod_kpi]],1)="v",IF(LEFT(Controlos[[#This Row],[descrição]],6)="Alerta","W","H"),"F"),0)</f>
        <v>F</v>
      </c>
      <c r="F286" t="s">
        <v>339</v>
      </c>
      <c r="G286" t="s">
        <v>831</v>
      </c>
      <c r="H286" t="s">
        <v>605</v>
      </c>
      <c r="I286" t="s">
        <v>767</v>
      </c>
      <c r="J286" t="s">
        <v>37</v>
      </c>
      <c r="K286" t="s">
        <v>832</v>
      </c>
      <c r="L286">
        <v>8</v>
      </c>
      <c r="M286">
        <v>0</v>
      </c>
    </row>
    <row r="287" spans="2:16" hidden="1" x14ac:dyDescent="0.35">
      <c r="B287" s="107" t="str">
        <f>+IF(LEFT(MID(Controlos[[#This Row],[tabela]],22,5),1)="B",MID(Controlos[[#This Row],[tabela]],22,5),MID(Controlos[[#This Row],[tabela]],18,5))</f>
        <v>B0200</v>
      </c>
      <c r="C287" s="107" t="str">
        <f>+IF(Controlos[[#This Row],[tipologia_teste]]="REGULAMENTAR",IF(LEFT(Controlos[[#This Row],[cod_kpi]],1)="v",IF(LEFT(Controlos[[#This Row],[descrição]],6)="Alerta","W","H"),"F"),0)</f>
        <v>F</v>
      </c>
      <c r="F287" t="s">
        <v>339</v>
      </c>
      <c r="G287" t="s">
        <v>833</v>
      </c>
      <c r="H287" t="s">
        <v>605</v>
      </c>
      <c r="I287" t="s">
        <v>718</v>
      </c>
      <c r="J287" t="s">
        <v>37</v>
      </c>
      <c r="K287" t="s">
        <v>745</v>
      </c>
      <c r="L287">
        <v>8</v>
      </c>
      <c r="M287">
        <v>0</v>
      </c>
    </row>
    <row r="288" spans="2:16" hidden="1" x14ac:dyDescent="0.35">
      <c r="B288" s="107" t="str">
        <f>+IF(LEFT(MID(Controlos[[#This Row],[tabela]],22,5),1)="B",MID(Controlos[[#This Row],[tabela]],22,5),MID(Controlos[[#This Row],[tabela]],18,5))</f>
        <v>B0200</v>
      </c>
      <c r="C288" s="107" t="str">
        <f>+IF(Controlos[[#This Row],[tipologia_teste]]="REGULAMENTAR",IF(LEFT(Controlos[[#This Row],[cod_kpi]],1)="v",IF(LEFT(Controlos[[#This Row],[descrição]],6)="Alerta","W","H"),"F"),0)</f>
        <v>F</v>
      </c>
      <c r="F288" t="s">
        <v>339</v>
      </c>
      <c r="G288" t="s">
        <v>834</v>
      </c>
      <c r="H288" t="s">
        <v>605</v>
      </c>
      <c r="I288" t="s">
        <v>835</v>
      </c>
      <c r="J288" t="s">
        <v>37</v>
      </c>
      <c r="K288" t="s">
        <v>836</v>
      </c>
      <c r="L288">
        <v>8</v>
      </c>
      <c r="M288">
        <v>0</v>
      </c>
    </row>
    <row r="289" spans="2:16" hidden="1" x14ac:dyDescent="0.35">
      <c r="B289" s="107" t="str">
        <f>+IF(LEFT(MID(Controlos[[#This Row],[tabela]],22,5),1)="B",MID(Controlos[[#This Row],[tabela]],22,5),MID(Controlos[[#This Row],[tabela]],18,5))</f>
        <v>B0200</v>
      </c>
      <c r="C289" s="107" t="str">
        <f>+IF(Controlos[[#This Row],[tipologia_teste]]="REGULAMENTAR",IF(LEFT(Controlos[[#This Row],[cod_kpi]],1)="v",IF(LEFT(Controlos[[#This Row],[descrição]],6)="Alerta","W","H"),"F"),0)</f>
        <v>F</v>
      </c>
      <c r="F289" t="s">
        <v>339</v>
      </c>
      <c r="G289" t="s">
        <v>837</v>
      </c>
      <c r="H289" t="s">
        <v>605</v>
      </c>
      <c r="I289" t="s">
        <v>788</v>
      </c>
      <c r="J289" t="s">
        <v>37</v>
      </c>
      <c r="K289" t="s">
        <v>838</v>
      </c>
      <c r="L289">
        <v>8</v>
      </c>
      <c r="M289">
        <v>0</v>
      </c>
    </row>
    <row r="290" spans="2:16" hidden="1" x14ac:dyDescent="0.35">
      <c r="B290" s="107" t="str">
        <f>+IF(LEFT(MID(Controlos[[#This Row],[tabela]],22,5),1)="B",MID(Controlos[[#This Row],[tabela]],22,5),MID(Controlos[[#This Row],[tabela]],18,5))</f>
        <v>B0200</v>
      </c>
      <c r="C290" s="107" t="str">
        <f>+IF(Controlos[[#This Row],[tipologia_teste]]="REGULAMENTAR",IF(LEFT(Controlos[[#This Row],[cod_kpi]],1)="v",IF(LEFT(Controlos[[#This Row],[descrição]],6)="Alerta","W","H"),"F"),0)</f>
        <v>F</v>
      </c>
      <c r="F290" t="s">
        <v>339</v>
      </c>
      <c r="G290" t="s">
        <v>839</v>
      </c>
      <c r="H290" t="s">
        <v>605</v>
      </c>
      <c r="I290" t="s">
        <v>762</v>
      </c>
      <c r="J290" t="s">
        <v>37</v>
      </c>
      <c r="K290" t="s">
        <v>840</v>
      </c>
      <c r="L290">
        <v>8</v>
      </c>
      <c r="M290">
        <v>0</v>
      </c>
    </row>
    <row r="291" spans="2:16" hidden="1" x14ac:dyDescent="0.35">
      <c r="B291" s="107" t="str">
        <f>+IF(LEFT(MID(Controlos[[#This Row],[tabela]],22,5),1)="B",MID(Controlos[[#This Row],[tabela]],22,5),MID(Controlos[[#This Row],[tabela]],18,5))</f>
        <v>B0200</v>
      </c>
      <c r="C291" s="107" t="str">
        <f>+IF(Controlos[[#This Row],[tipologia_teste]]="REGULAMENTAR",IF(LEFT(Controlos[[#This Row],[cod_kpi]],1)="v",IF(LEFT(Controlos[[#This Row],[descrição]],6)="Alerta","W","H"),"F"),0)</f>
        <v>F</v>
      </c>
      <c r="F291" t="s">
        <v>339</v>
      </c>
      <c r="G291" t="s">
        <v>841</v>
      </c>
      <c r="H291" t="s">
        <v>605</v>
      </c>
      <c r="I291" t="s">
        <v>762</v>
      </c>
      <c r="J291" t="s">
        <v>37</v>
      </c>
      <c r="K291" t="s">
        <v>842</v>
      </c>
      <c r="L291">
        <v>8</v>
      </c>
      <c r="M291">
        <v>8</v>
      </c>
      <c r="N291" t="s">
        <v>453</v>
      </c>
      <c r="P291" t="s">
        <v>250</v>
      </c>
    </row>
    <row r="292" spans="2:16" hidden="1" x14ac:dyDescent="0.35">
      <c r="B292" s="107" t="str">
        <f>+IF(LEFT(MID(Controlos[[#This Row],[tabela]],22,5),1)="B",MID(Controlos[[#This Row],[tabela]],22,5),MID(Controlos[[#This Row],[tabela]],18,5))</f>
        <v>B0200</v>
      </c>
      <c r="C292" s="107" t="str">
        <f>+IF(Controlos[[#This Row],[tipologia_teste]]="REGULAMENTAR",IF(LEFT(Controlos[[#This Row],[cod_kpi]],1)="v",IF(LEFT(Controlos[[#This Row],[descrição]],6)="Alerta","W","H"),"F"),0)</f>
        <v>F</v>
      </c>
      <c r="F292" t="s">
        <v>339</v>
      </c>
      <c r="G292" t="s">
        <v>843</v>
      </c>
      <c r="H292" t="s">
        <v>605</v>
      </c>
      <c r="I292" t="s">
        <v>762</v>
      </c>
      <c r="J292" t="s">
        <v>37</v>
      </c>
      <c r="K292" t="s">
        <v>844</v>
      </c>
      <c r="L292">
        <v>8</v>
      </c>
      <c r="M292">
        <v>0</v>
      </c>
    </row>
    <row r="293" spans="2:16" hidden="1" x14ac:dyDescent="0.35">
      <c r="B293" s="107" t="str">
        <f>+IF(LEFT(MID(Controlos[[#This Row],[tabela]],22,5),1)="B",MID(Controlos[[#This Row],[tabela]],22,5),MID(Controlos[[#This Row],[tabela]],18,5))</f>
        <v>B0200</v>
      </c>
      <c r="C293" s="107" t="str">
        <f>+IF(Controlos[[#This Row],[tipologia_teste]]="REGULAMENTAR",IF(LEFT(Controlos[[#This Row],[cod_kpi]],1)="v",IF(LEFT(Controlos[[#This Row],[descrição]],6)="Alerta","W","H"),"F"),0)</f>
        <v>F</v>
      </c>
      <c r="F293" t="s">
        <v>339</v>
      </c>
      <c r="G293" t="s">
        <v>845</v>
      </c>
      <c r="H293" t="s">
        <v>605</v>
      </c>
      <c r="I293" t="s">
        <v>762</v>
      </c>
      <c r="J293" t="s">
        <v>37</v>
      </c>
      <c r="K293" t="s">
        <v>846</v>
      </c>
      <c r="L293">
        <v>8</v>
      </c>
      <c r="M293">
        <v>0</v>
      </c>
    </row>
    <row r="294" spans="2:16" hidden="1" x14ac:dyDescent="0.35">
      <c r="B294" s="107" t="str">
        <f>+IF(LEFT(MID(Controlos[[#This Row],[tabela]],22,5),1)="B",MID(Controlos[[#This Row],[tabela]],22,5),MID(Controlos[[#This Row],[tabela]],18,5))</f>
        <v>B0200</v>
      </c>
      <c r="C294" s="107" t="str">
        <f>+IF(Controlos[[#This Row],[tipologia_teste]]="REGULAMENTAR",IF(LEFT(Controlos[[#This Row],[cod_kpi]],1)="v",IF(LEFT(Controlos[[#This Row],[descrição]],6)="Alerta","W","H"),"F"),0)</f>
        <v>F</v>
      </c>
      <c r="F294" t="s">
        <v>339</v>
      </c>
      <c r="G294" t="s">
        <v>847</v>
      </c>
      <c r="H294" t="s">
        <v>605</v>
      </c>
      <c r="I294" t="s">
        <v>762</v>
      </c>
      <c r="J294" t="s">
        <v>37</v>
      </c>
      <c r="K294" t="s">
        <v>848</v>
      </c>
      <c r="L294">
        <v>8</v>
      </c>
      <c r="M294">
        <v>0</v>
      </c>
    </row>
    <row r="295" spans="2:16" hidden="1" x14ac:dyDescent="0.35">
      <c r="B295" s="107" t="str">
        <f>+IF(LEFT(MID(Controlos[[#This Row],[tabela]],22,5),1)="B",MID(Controlos[[#This Row],[tabela]],22,5),MID(Controlos[[#This Row],[tabela]],18,5))</f>
        <v>B0200</v>
      </c>
      <c r="C295" s="107" t="str">
        <f>+IF(Controlos[[#This Row],[tipologia_teste]]="REGULAMENTAR",IF(LEFT(Controlos[[#This Row],[cod_kpi]],1)="v",IF(LEFT(Controlos[[#This Row],[descrição]],6)="Alerta","W","H"),"F"),0)</f>
        <v>F</v>
      </c>
      <c r="F295" t="s">
        <v>339</v>
      </c>
      <c r="G295" t="s">
        <v>849</v>
      </c>
      <c r="H295" t="s">
        <v>605</v>
      </c>
      <c r="I295" t="s">
        <v>762</v>
      </c>
      <c r="J295" t="s">
        <v>37</v>
      </c>
      <c r="K295" t="s">
        <v>850</v>
      </c>
      <c r="L295">
        <v>8</v>
      </c>
      <c r="M295">
        <v>0</v>
      </c>
    </row>
    <row r="296" spans="2:16" hidden="1" x14ac:dyDescent="0.35">
      <c r="B296" s="107" t="str">
        <f>+IF(LEFT(MID(Controlos[[#This Row],[tabela]],22,5),1)="B",MID(Controlos[[#This Row],[tabela]],22,5),MID(Controlos[[#This Row],[tabela]],18,5))</f>
        <v>B0200</v>
      </c>
      <c r="C296" s="107" t="str">
        <f>+IF(Controlos[[#This Row],[tipologia_teste]]="REGULAMENTAR",IF(LEFT(Controlos[[#This Row],[cod_kpi]],1)="v",IF(LEFT(Controlos[[#This Row],[descrição]],6)="Alerta","W","H"),"F"),0)</f>
        <v>F</v>
      </c>
      <c r="F296" t="s">
        <v>339</v>
      </c>
      <c r="G296" t="s">
        <v>851</v>
      </c>
      <c r="H296" t="s">
        <v>605</v>
      </c>
      <c r="I296" t="s">
        <v>762</v>
      </c>
      <c r="J296" t="s">
        <v>37</v>
      </c>
      <c r="K296" t="s">
        <v>852</v>
      </c>
      <c r="L296">
        <v>8</v>
      </c>
      <c r="M296">
        <v>0</v>
      </c>
    </row>
    <row r="297" spans="2:16" hidden="1" x14ac:dyDescent="0.35">
      <c r="B297" s="107" t="str">
        <f>+IF(LEFT(MID(Controlos[[#This Row],[tabela]],22,5),1)="B",MID(Controlos[[#This Row],[tabela]],22,5),MID(Controlos[[#This Row],[tabela]],18,5))</f>
        <v>B0200</v>
      </c>
      <c r="C297" s="107" t="str">
        <f>+IF(Controlos[[#This Row],[tipologia_teste]]="REGULAMENTAR",IF(LEFT(Controlos[[#This Row],[cod_kpi]],1)="v",IF(LEFT(Controlos[[#This Row],[descrição]],6)="Alerta","W","H"),"F"),0)</f>
        <v>F</v>
      </c>
      <c r="F297" t="s">
        <v>339</v>
      </c>
      <c r="G297" t="s">
        <v>853</v>
      </c>
      <c r="H297" t="s">
        <v>605</v>
      </c>
      <c r="I297" t="s">
        <v>762</v>
      </c>
      <c r="J297" t="s">
        <v>37</v>
      </c>
      <c r="K297" t="s">
        <v>854</v>
      </c>
      <c r="L297">
        <v>8</v>
      </c>
      <c r="M297">
        <v>0</v>
      </c>
    </row>
    <row r="298" spans="2:16" hidden="1" x14ac:dyDescent="0.35">
      <c r="B298" s="107" t="str">
        <f>+IF(LEFT(MID(Controlos[[#This Row],[tabela]],22,5),1)="B",MID(Controlos[[#This Row],[tabela]],22,5),MID(Controlos[[#This Row],[tabela]],18,5))</f>
        <v>B0200</v>
      </c>
      <c r="C298" s="107" t="str">
        <f>+IF(Controlos[[#This Row],[tipologia_teste]]="REGULAMENTAR",IF(LEFT(Controlos[[#This Row],[cod_kpi]],1)="v",IF(LEFT(Controlos[[#This Row],[descrição]],6)="Alerta","W","H"),"F"),0)</f>
        <v>F</v>
      </c>
      <c r="F298" t="s">
        <v>339</v>
      </c>
      <c r="G298" t="s">
        <v>855</v>
      </c>
      <c r="H298" t="s">
        <v>605</v>
      </c>
      <c r="I298" t="s">
        <v>762</v>
      </c>
      <c r="J298" t="s">
        <v>37</v>
      </c>
      <c r="K298" t="s">
        <v>856</v>
      </c>
      <c r="L298">
        <v>8</v>
      </c>
      <c r="M298">
        <v>0</v>
      </c>
    </row>
    <row r="299" spans="2:16" hidden="1" x14ac:dyDescent="0.35">
      <c r="B299" s="107" t="str">
        <f>+IF(LEFT(MID(Controlos[[#This Row],[tabela]],22,5),1)="B",MID(Controlos[[#This Row],[tabela]],22,5),MID(Controlos[[#This Row],[tabela]],18,5))</f>
        <v>B0200</v>
      </c>
      <c r="C299" s="107" t="str">
        <f>+IF(Controlos[[#This Row],[tipologia_teste]]="REGULAMENTAR",IF(LEFT(Controlos[[#This Row],[cod_kpi]],1)="v",IF(LEFT(Controlos[[#This Row],[descrição]],6)="Alerta","W","H"),"F"),0)</f>
        <v>F</v>
      </c>
      <c r="F299" t="s">
        <v>339</v>
      </c>
      <c r="G299" t="s">
        <v>857</v>
      </c>
      <c r="H299" t="s">
        <v>605</v>
      </c>
      <c r="I299" t="s">
        <v>762</v>
      </c>
      <c r="J299" t="s">
        <v>37</v>
      </c>
      <c r="K299" t="s">
        <v>858</v>
      </c>
      <c r="L299">
        <v>8</v>
      </c>
      <c r="M299">
        <v>0</v>
      </c>
    </row>
    <row r="300" spans="2:16" hidden="1" x14ac:dyDescent="0.35">
      <c r="B300" s="107" t="str">
        <f>+IF(LEFT(MID(Controlos[[#This Row],[tabela]],22,5),1)="B",MID(Controlos[[#This Row],[tabela]],22,5),MID(Controlos[[#This Row],[tabela]],18,5))</f>
        <v>B0200</v>
      </c>
      <c r="C300" s="107" t="str">
        <f>+IF(Controlos[[#This Row],[tipologia_teste]]="REGULAMENTAR",IF(LEFT(Controlos[[#This Row],[cod_kpi]],1)="v",IF(LEFT(Controlos[[#This Row],[descrição]],6)="Alerta","W","H"),"F"),0)</f>
        <v>F</v>
      </c>
      <c r="F300" t="s">
        <v>339</v>
      </c>
      <c r="G300" t="s">
        <v>859</v>
      </c>
      <c r="H300" t="s">
        <v>605</v>
      </c>
      <c r="I300" t="s">
        <v>762</v>
      </c>
      <c r="J300" t="s">
        <v>37</v>
      </c>
      <c r="K300" t="s">
        <v>860</v>
      </c>
      <c r="L300">
        <v>8</v>
      </c>
      <c r="M300">
        <v>0</v>
      </c>
    </row>
    <row r="301" spans="2:16" hidden="1" x14ac:dyDescent="0.35">
      <c r="B301" s="107" t="str">
        <f>+IF(LEFT(MID(Controlos[[#This Row],[tabela]],22,5),1)="B",MID(Controlos[[#This Row],[tabela]],22,5),MID(Controlos[[#This Row],[tabela]],18,5))</f>
        <v>B0200</v>
      </c>
      <c r="C301" s="107" t="str">
        <f>+IF(Controlos[[#This Row],[tipologia_teste]]="REGULAMENTAR",IF(LEFT(Controlos[[#This Row],[cod_kpi]],1)="v",IF(LEFT(Controlos[[#This Row],[descrição]],6)="Alerta","W","H"),"F"),0)</f>
        <v>F</v>
      </c>
      <c r="F301" t="s">
        <v>339</v>
      </c>
      <c r="G301" t="s">
        <v>861</v>
      </c>
      <c r="H301" t="s">
        <v>605</v>
      </c>
      <c r="I301" t="s">
        <v>762</v>
      </c>
      <c r="J301" t="s">
        <v>37</v>
      </c>
      <c r="K301" t="s">
        <v>862</v>
      </c>
      <c r="L301">
        <v>8</v>
      </c>
      <c r="M301">
        <v>0</v>
      </c>
    </row>
    <row r="302" spans="2:16" hidden="1" x14ac:dyDescent="0.35">
      <c r="B302" s="107" t="str">
        <f>+IF(LEFT(MID(Controlos[[#This Row],[tabela]],22,5),1)="B",MID(Controlos[[#This Row],[tabela]],22,5),MID(Controlos[[#This Row],[tabela]],18,5))</f>
        <v>B0200</v>
      </c>
      <c r="C302" s="107" t="str">
        <f>+IF(Controlos[[#This Row],[tipologia_teste]]="REGULAMENTAR",IF(LEFT(Controlos[[#This Row],[cod_kpi]],1)="v",IF(LEFT(Controlos[[#This Row],[descrição]],6)="Alerta","W","H"),"F"),0)</f>
        <v>F</v>
      </c>
      <c r="F302" t="s">
        <v>339</v>
      </c>
      <c r="G302" t="s">
        <v>863</v>
      </c>
      <c r="H302" t="s">
        <v>605</v>
      </c>
      <c r="I302" t="s">
        <v>762</v>
      </c>
      <c r="J302" t="s">
        <v>37</v>
      </c>
      <c r="K302" t="s">
        <v>864</v>
      </c>
      <c r="L302">
        <v>8</v>
      </c>
      <c r="M302">
        <v>0</v>
      </c>
    </row>
    <row r="303" spans="2:16" hidden="1" x14ac:dyDescent="0.35">
      <c r="B303" s="107" t="str">
        <f>+IF(LEFT(MID(Controlos[[#This Row],[tabela]],22,5),1)="B",MID(Controlos[[#This Row],[tabela]],22,5),MID(Controlos[[#This Row],[tabela]],18,5))</f>
        <v>B0200</v>
      </c>
      <c r="C303" s="107" t="str">
        <f>+IF(Controlos[[#This Row],[tipologia_teste]]="REGULAMENTAR",IF(LEFT(Controlos[[#This Row],[cod_kpi]],1)="v",IF(LEFT(Controlos[[#This Row],[descrição]],6)="Alerta","W","H"),"F"),0)</f>
        <v>F</v>
      </c>
      <c r="F303" t="s">
        <v>339</v>
      </c>
      <c r="G303" t="s">
        <v>865</v>
      </c>
      <c r="H303" t="s">
        <v>605</v>
      </c>
      <c r="I303" t="s">
        <v>762</v>
      </c>
      <c r="J303" t="s">
        <v>37</v>
      </c>
      <c r="K303" t="s">
        <v>866</v>
      </c>
      <c r="L303">
        <v>8</v>
      </c>
      <c r="M303">
        <v>0</v>
      </c>
    </row>
    <row r="304" spans="2:16" hidden="1" x14ac:dyDescent="0.35">
      <c r="B304" s="107" t="str">
        <f>+IF(LEFT(MID(Controlos[[#This Row],[tabela]],22,5),1)="B",MID(Controlos[[#This Row],[tabela]],22,5),MID(Controlos[[#This Row],[tabela]],18,5))</f>
        <v>B0200</v>
      </c>
      <c r="C304" s="107" t="str">
        <f>+IF(Controlos[[#This Row],[tipologia_teste]]="REGULAMENTAR",IF(LEFT(Controlos[[#This Row],[cod_kpi]],1)="v",IF(LEFT(Controlos[[#This Row],[descrição]],6)="Alerta","W","H"),"F"),0)</f>
        <v>F</v>
      </c>
      <c r="F304" t="s">
        <v>339</v>
      </c>
      <c r="G304" t="s">
        <v>867</v>
      </c>
      <c r="H304" t="s">
        <v>605</v>
      </c>
      <c r="I304" t="s">
        <v>718</v>
      </c>
      <c r="J304" t="s">
        <v>37</v>
      </c>
      <c r="K304" t="s">
        <v>747</v>
      </c>
      <c r="L304">
        <v>8</v>
      </c>
      <c r="M304">
        <v>0</v>
      </c>
    </row>
    <row r="305" spans="2:16" hidden="1" x14ac:dyDescent="0.35">
      <c r="B305" s="107" t="str">
        <f>+IF(LEFT(MID(Controlos[[#This Row],[tabela]],22,5),1)="B",MID(Controlos[[#This Row],[tabela]],22,5),MID(Controlos[[#This Row],[tabela]],18,5))</f>
        <v>B0200</v>
      </c>
      <c r="C305" s="107" t="str">
        <f>+IF(Controlos[[#This Row],[tipologia_teste]]="REGULAMENTAR",IF(LEFT(Controlos[[#This Row],[cod_kpi]],1)="v",IF(LEFT(Controlos[[#This Row],[descrição]],6)="Alerta","W","H"),"F"),0)</f>
        <v>F</v>
      </c>
      <c r="F305" t="s">
        <v>339</v>
      </c>
      <c r="G305" t="s">
        <v>868</v>
      </c>
      <c r="H305" t="s">
        <v>605</v>
      </c>
      <c r="I305" t="s">
        <v>767</v>
      </c>
      <c r="J305" t="s">
        <v>37</v>
      </c>
      <c r="K305" t="s">
        <v>749</v>
      </c>
      <c r="L305">
        <v>8</v>
      </c>
      <c r="M305">
        <v>0</v>
      </c>
    </row>
    <row r="306" spans="2:16" hidden="1" x14ac:dyDescent="0.35">
      <c r="B306" s="107" t="str">
        <f>+IF(LEFT(MID(Controlos[[#This Row],[tabela]],22,5),1)="B",MID(Controlos[[#This Row],[tabela]],22,5),MID(Controlos[[#This Row],[tabela]],18,5))</f>
        <v>B0200</v>
      </c>
      <c r="C306" s="107" t="str">
        <f>+IF(Controlos[[#This Row],[tipologia_teste]]="REGULAMENTAR",IF(LEFT(Controlos[[#This Row],[cod_kpi]],1)="v",IF(LEFT(Controlos[[#This Row],[descrição]],6)="Alerta","W","H"),"F"),0)</f>
        <v>F</v>
      </c>
      <c r="F306" t="s">
        <v>339</v>
      </c>
      <c r="G306" t="s">
        <v>869</v>
      </c>
      <c r="H306" t="s">
        <v>605</v>
      </c>
      <c r="I306" t="s">
        <v>718</v>
      </c>
      <c r="J306" t="s">
        <v>37</v>
      </c>
      <c r="K306" t="s">
        <v>751</v>
      </c>
      <c r="L306">
        <v>8</v>
      </c>
      <c r="M306">
        <v>0</v>
      </c>
    </row>
    <row r="307" spans="2:16" hidden="1" x14ac:dyDescent="0.35">
      <c r="B307" s="107" t="str">
        <f>+IF(LEFT(MID(Controlos[[#This Row],[tabela]],22,5),1)="B",MID(Controlos[[#This Row],[tabela]],22,5),MID(Controlos[[#This Row],[tabela]],18,5))</f>
        <v>B0200</v>
      </c>
      <c r="C307" s="107" t="str">
        <f>+IF(Controlos[[#This Row],[tipologia_teste]]="REGULAMENTAR",IF(LEFT(Controlos[[#This Row],[cod_kpi]],1)="v",IF(LEFT(Controlos[[#This Row],[descrição]],6)="Alerta","W","H"),"F"),0)</f>
        <v>F</v>
      </c>
      <c r="F307" t="s">
        <v>339</v>
      </c>
      <c r="G307" t="s">
        <v>870</v>
      </c>
      <c r="H307" t="s">
        <v>605</v>
      </c>
      <c r="I307" t="s">
        <v>767</v>
      </c>
      <c r="J307" t="s">
        <v>37</v>
      </c>
      <c r="K307" t="s">
        <v>753</v>
      </c>
      <c r="L307">
        <v>8</v>
      </c>
      <c r="M307">
        <v>0</v>
      </c>
    </row>
    <row r="308" spans="2:16" hidden="1" x14ac:dyDescent="0.35">
      <c r="B308" s="107" t="str">
        <f>+IF(LEFT(MID(Controlos[[#This Row],[tabela]],22,5),1)="B",MID(Controlos[[#This Row],[tabela]],22,5),MID(Controlos[[#This Row],[tabela]],18,5))</f>
        <v>B0200</v>
      </c>
      <c r="C308" s="107" t="str">
        <f>+IF(Controlos[[#This Row],[tipologia_teste]]="REGULAMENTAR",IF(LEFT(Controlos[[#This Row],[cod_kpi]],1)="v",IF(LEFT(Controlos[[#This Row],[descrição]],6)="Alerta","W","H"),"F"),0)</f>
        <v>F</v>
      </c>
      <c r="F308" t="s">
        <v>339</v>
      </c>
      <c r="G308" t="s">
        <v>871</v>
      </c>
      <c r="H308" t="s">
        <v>605</v>
      </c>
      <c r="I308" t="s">
        <v>767</v>
      </c>
      <c r="J308" t="s">
        <v>37</v>
      </c>
      <c r="K308" t="s">
        <v>872</v>
      </c>
      <c r="L308">
        <v>8</v>
      </c>
      <c r="M308">
        <v>0</v>
      </c>
    </row>
    <row r="309" spans="2:16" hidden="1" x14ac:dyDescent="0.35">
      <c r="B309" s="107" t="str">
        <f>+IF(LEFT(MID(Controlos[[#This Row],[tabela]],22,5),1)="B",MID(Controlos[[#This Row],[tabela]],22,5),MID(Controlos[[#This Row],[tabela]],18,5))</f>
        <v>B0200</v>
      </c>
      <c r="C309" s="107" t="str">
        <f>+IF(Controlos[[#This Row],[tipologia_teste]]="REGULAMENTAR",IF(LEFT(Controlos[[#This Row],[cod_kpi]],1)="v",IF(LEFT(Controlos[[#This Row],[descrição]],6)="Alerta","W","H"),"F"),0)</f>
        <v>F</v>
      </c>
      <c r="F309" t="s">
        <v>339</v>
      </c>
      <c r="G309" t="s">
        <v>873</v>
      </c>
      <c r="H309" t="s">
        <v>605</v>
      </c>
      <c r="I309" t="s">
        <v>762</v>
      </c>
      <c r="J309" t="s">
        <v>37</v>
      </c>
      <c r="K309" t="s">
        <v>874</v>
      </c>
      <c r="L309">
        <v>8</v>
      </c>
      <c r="M309">
        <v>0</v>
      </c>
    </row>
    <row r="310" spans="2:16" hidden="1" x14ac:dyDescent="0.35">
      <c r="B310" s="107" t="str">
        <f>+IF(LEFT(MID(Controlos[[#This Row],[tabela]],22,5),1)="B",MID(Controlos[[#This Row],[tabela]],22,5),MID(Controlos[[#This Row],[tabela]],18,5))</f>
        <v>B0200</v>
      </c>
      <c r="C310" s="107" t="str">
        <f>+IF(Controlos[[#This Row],[tipologia_teste]]="REGULAMENTAR",IF(LEFT(Controlos[[#This Row],[cod_kpi]],1)="v",IF(LEFT(Controlos[[#This Row],[descrição]],6)="Alerta","W","H"),"F"),0)</f>
        <v>F</v>
      </c>
      <c r="F310" t="s">
        <v>339</v>
      </c>
      <c r="G310" t="s">
        <v>875</v>
      </c>
      <c r="H310" t="s">
        <v>605</v>
      </c>
      <c r="I310" t="s">
        <v>762</v>
      </c>
      <c r="J310" t="s">
        <v>37</v>
      </c>
      <c r="K310" t="s">
        <v>876</v>
      </c>
      <c r="L310">
        <v>8</v>
      </c>
      <c r="M310">
        <v>0</v>
      </c>
    </row>
    <row r="311" spans="2:16" hidden="1" x14ac:dyDescent="0.35">
      <c r="B311" s="107" t="str">
        <f>+IF(LEFT(MID(Controlos[[#This Row],[tabela]],22,5),1)="B",MID(Controlos[[#This Row],[tabela]],22,5),MID(Controlos[[#This Row],[tabela]],18,5))</f>
        <v>B0200</v>
      </c>
      <c r="C311" s="107" t="str">
        <f>+IF(Controlos[[#This Row],[tipologia_teste]]="REGULAMENTAR",IF(LEFT(Controlos[[#This Row],[cod_kpi]],1)="v",IF(LEFT(Controlos[[#This Row],[descrição]],6)="Alerta","W","H"),"F"),0)</f>
        <v>F</v>
      </c>
      <c r="F311" t="s">
        <v>339</v>
      </c>
      <c r="G311" t="s">
        <v>877</v>
      </c>
      <c r="H311" t="s">
        <v>605</v>
      </c>
      <c r="I311" t="s">
        <v>718</v>
      </c>
      <c r="J311" t="s">
        <v>37</v>
      </c>
      <c r="K311" t="s">
        <v>755</v>
      </c>
      <c r="L311">
        <v>8</v>
      </c>
      <c r="M311">
        <v>0</v>
      </c>
    </row>
    <row r="312" spans="2:16" hidden="1" x14ac:dyDescent="0.35">
      <c r="B312" s="107" t="str">
        <f>+IF(LEFT(MID(Controlos[[#This Row],[tabela]],22,5),1)="B",MID(Controlos[[#This Row],[tabela]],22,5),MID(Controlos[[#This Row],[tabela]],18,5))</f>
        <v>B0200</v>
      </c>
      <c r="C312" s="107" t="str">
        <f>+IF(Controlos[[#This Row],[tipologia_teste]]="REGULAMENTAR",IF(LEFT(Controlos[[#This Row],[cod_kpi]],1)="v",IF(LEFT(Controlos[[#This Row],[descrição]],6)="Alerta","W","H"),"F"),0)</f>
        <v>F</v>
      </c>
      <c r="F312" t="s">
        <v>339</v>
      </c>
      <c r="G312" t="s">
        <v>878</v>
      </c>
      <c r="H312" t="s">
        <v>605</v>
      </c>
      <c r="I312" t="s">
        <v>782</v>
      </c>
      <c r="J312" t="s">
        <v>37</v>
      </c>
      <c r="K312" t="s">
        <v>879</v>
      </c>
      <c r="L312">
        <v>8</v>
      </c>
      <c r="M312">
        <v>0</v>
      </c>
    </row>
    <row r="313" spans="2:16" hidden="1" x14ac:dyDescent="0.35">
      <c r="B313" s="107" t="str">
        <f>+IF(LEFT(MID(Controlos[[#This Row],[tabela]],22,5),1)="B",MID(Controlos[[#This Row],[tabela]],22,5),MID(Controlos[[#This Row],[tabela]],18,5))</f>
        <v>B0200</v>
      </c>
      <c r="C313" s="107" t="str">
        <f>+IF(Controlos[[#This Row],[tipologia_teste]]="REGULAMENTAR",IF(LEFT(Controlos[[#This Row],[cod_kpi]],1)="v",IF(LEFT(Controlos[[#This Row],[descrição]],6)="Alerta","W","H"),"F"),0)</f>
        <v>F</v>
      </c>
      <c r="F313" t="s">
        <v>339</v>
      </c>
      <c r="G313" t="s">
        <v>880</v>
      </c>
      <c r="H313" t="s">
        <v>605</v>
      </c>
      <c r="I313" t="s">
        <v>767</v>
      </c>
      <c r="J313" t="s">
        <v>37</v>
      </c>
      <c r="K313" t="s">
        <v>695</v>
      </c>
      <c r="L313">
        <v>8</v>
      </c>
      <c r="M313">
        <v>0</v>
      </c>
    </row>
    <row r="314" spans="2:16" hidden="1" x14ac:dyDescent="0.35">
      <c r="B314" s="107" t="str">
        <f>+IF(LEFT(MID(Controlos[[#This Row],[tabela]],22,5),1)="B",MID(Controlos[[#This Row],[tabela]],22,5),MID(Controlos[[#This Row],[tabela]],18,5))</f>
        <v>B0200</v>
      </c>
      <c r="C314" s="107" t="str">
        <f>+IF(Controlos[[#This Row],[tipologia_teste]]="REGULAMENTAR",IF(LEFT(Controlos[[#This Row],[cod_kpi]],1)="v",IF(LEFT(Controlos[[#This Row],[descrição]],6)="Alerta","W","H"),"F"),0)</f>
        <v>F</v>
      </c>
      <c r="F314" t="s">
        <v>339</v>
      </c>
      <c r="G314" t="s">
        <v>881</v>
      </c>
      <c r="H314" t="s">
        <v>605</v>
      </c>
      <c r="I314" t="s">
        <v>718</v>
      </c>
      <c r="J314" t="s">
        <v>37</v>
      </c>
      <c r="K314" t="s">
        <v>758</v>
      </c>
      <c r="L314">
        <v>8</v>
      </c>
      <c r="M314">
        <v>0</v>
      </c>
    </row>
    <row r="315" spans="2:16" hidden="1" x14ac:dyDescent="0.35">
      <c r="B315" s="107" t="str">
        <f>+IF(LEFT(MID(Controlos[[#This Row],[tabela]],22,5),1)="B",MID(Controlos[[#This Row],[tabela]],22,5),MID(Controlos[[#This Row],[tabela]],18,5))</f>
        <v>B0200</v>
      </c>
      <c r="C315" s="107" t="str">
        <f>+IF(Controlos[[#This Row],[tipologia_teste]]="REGULAMENTAR",IF(LEFT(Controlos[[#This Row],[cod_kpi]],1)="v",IF(LEFT(Controlos[[#This Row],[descrição]],6)="Alerta","W","H"),"F"),0)</f>
        <v>F</v>
      </c>
      <c r="F315" t="s">
        <v>339</v>
      </c>
      <c r="G315" t="s">
        <v>882</v>
      </c>
      <c r="H315" t="s">
        <v>605</v>
      </c>
      <c r="I315" t="s">
        <v>767</v>
      </c>
      <c r="J315" t="s">
        <v>37</v>
      </c>
      <c r="K315" t="s">
        <v>883</v>
      </c>
      <c r="L315">
        <v>8</v>
      </c>
      <c r="M315">
        <v>0</v>
      </c>
    </row>
    <row r="316" spans="2:16" hidden="1" x14ac:dyDescent="0.35">
      <c r="B316" s="107" t="str">
        <f>+IF(LEFT(MID(Controlos[[#This Row],[tabela]],22,5),1)="B",MID(Controlos[[#This Row],[tabela]],22,5),MID(Controlos[[#This Row],[tabela]],18,5))</f>
        <v>B0200</v>
      </c>
      <c r="C316" s="107" t="str">
        <f>+IF(Controlos[[#This Row],[tipologia_teste]]="REGULAMENTAR",IF(LEFT(Controlos[[#This Row],[cod_kpi]],1)="v",IF(LEFT(Controlos[[#This Row],[descrição]],6)="Alerta","W","H"),"F"),0)</f>
        <v>F</v>
      </c>
      <c r="F316" t="s">
        <v>339</v>
      </c>
      <c r="G316" t="s">
        <v>884</v>
      </c>
      <c r="H316" t="s">
        <v>605</v>
      </c>
      <c r="I316" t="s">
        <v>762</v>
      </c>
      <c r="J316" t="s">
        <v>37</v>
      </c>
      <c r="K316" t="s">
        <v>885</v>
      </c>
      <c r="L316">
        <v>8</v>
      </c>
      <c r="M316">
        <v>8</v>
      </c>
      <c r="N316" t="s">
        <v>453</v>
      </c>
      <c r="P316" t="s">
        <v>276</v>
      </c>
    </row>
    <row r="317" spans="2:16" hidden="1" x14ac:dyDescent="0.35">
      <c r="B317" s="107" t="str">
        <f>+IF(LEFT(MID(Controlos[[#This Row],[tabela]],22,5),1)="B",MID(Controlos[[#This Row],[tabela]],22,5),MID(Controlos[[#This Row],[tabela]],18,5))</f>
        <v>B0200</v>
      </c>
      <c r="C317" s="107" t="str">
        <f>+IF(Controlos[[#This Row],[tipologia_teste]]="REGULAMENTAR",IF(LEFT(Controlos[[#This Row],[cod_kpi]],1)="v",IF(LEFT(Controlos[[#This Row],[descrição]],6)="Alerta","W","H"),"F"),0)</f>
        <v>F</v>
      </c>
      <c r="F317" t="s">
        <v>339</v>
      </c>
      <c r="G317" t="s">
        <v>886</v>
      </c>
      <c r="H317" t="s">
        <v>605</v>
      </c>
      <c r="I317" t="s">
        <v>782</v>
      </c>
      <c r="J317" t="s">
        <v>37</v>
      </c>
      <c r="K317" t="s">
        <v>887</v>
      </c>
      <c r="L317">
        <v>8</v>
      </c>
      <c r="M317">
        <v>0</v>
      </c>
    </row>
    <row r="318" spans="2:16" hidden="1" x14ac:dyDescent="0.35">
      <c r="B318" s="107" t="str">
        <f>+IF(LEFT(MID(Controlos[[#This Row],[tabela]],22,5),1)="B",MID(Controlos[[#This Row],[tabela]],22,5),MID(Controlos[[#This Row],[tabela]],18,5))</f>
        <v>B0200</v>
      </c>
      <c r="C318" s="107" t="str">
        <f>+IF(Controlos[[#This Row],[tipologia_teste]]="REGULAMENTAR",IF(LEFT(Controlos[[#This Row],[cod_kpi]],1)="v",IF(LEFT(Controlos[[#This Row],[descrição]],6)="Alerta","W","H"),"F"),0)</f>
        <v>F</v>
      </c>
      <c r="F318" t="s">
        <v>339</v>
      </c>
      <c r="G318" t="s">
        <v>888</v>
      </c>
      <c r="H318" t="s">
        <v>605</v>
      </c>
      <c r="I318" t="s">
        <v>782</v>
      </c>
      <c r="J318" t="s">
        <v>37</v>
      </c>
      <c r="K318" t="s">
        <v>889</v>
      </c>
      <c r="L318">
        <v>8</v>
      </c>
      <c r="M318">
        <v>0</v>
      </c>
    </row>
    <row r="319" spans="2:16" hidden="1" x14ac:dyDescent="0.35">
      <c r="B319" s="107" t="str">
        <f>+IF(LEFT(MID(Controlos[[#This Row],[tabela]],22,5),1)="B",MID(Controlos[[#This Row],[tabela]],22,5),MID(Controlos[[#This Row],[tabela]],18,5))</f>
        <v>B0500</v>
      </c>
      <c r="C319" s="107" t="str">
        <f>+IF(Controlos[[#This Row],[tipologia_teste]]="REGULAMENTAR",IF(LEFT(Controlos[[#This Row],[cod_kpi]],1)="v",IF(LEFT(Controlos[[#This Row],[descrição]],6)="Alerta","W","H"),"F"),0)</f>
        <v>H</v>
      </c>
      <c r="F319" t="s">
        <v>339</v>
      </c>
      <c r="G319" t="s">
        <v>890</v>
      </c>
      <c r="H319" t="s">
        <v>605</v>
      </c>
      <c r="I319" t="s">
        <v>891</v>
      </c>
      <c r="J319" t="s">
        <v>329</v>
      </c>
      <c r="K319" t="s">
        <v>892</v>
      </c>
      <c r="L319">
        <v>4730</v>
      </c>
      <c r="M319">
        <v>0</v>
      </c>
    </row>
    <row r="320" spans="2:16" hidden="1" x14ac:dyDescent="0.35">
      <c r="B320" s="107" t="str">
        <f>+IF(LEFT(MID(Controlos[[#This Row],[tabela]],22,5),1)="B",MID(Controlos[[#This Row],[tabela]],22,5),MID(Controlos[[#This Row],[tabela]],18,5))</f>
        <v>B0500</v>
      </c>
      <c r="C320" s="107" t="str">
        <f>+IF(Controlos[[#This Row],[tipologia_teste]]="REGULAMENTAR",IF(LEFT(Controlos[[#This Row],[cod_kpi]],1)="v",IF(LEFT(Controlos[[#This Row],[descrição]],6)="Alerta","W","H"),"F"),0)</f>
        <v>H</v>
      </c>
      <c r="F320" t="s">
        <v>339</v>
      </c>
      <c r="G320" t="s">
        <v>893</v>
      </c>
      <c r="H320" t="s">
        <v>605</v>
      </c>
      <c r="I320" t="s">
        <v>718</v>
      </c>
      <c r="J320" t="s">
        <v>329</v>
      </c>
      <c r="K320" t="s">
        <v>894</v>
      </c>
      <c r="L320">
        <v>4730</v>
      </c>
      <c r="M320">
        <v>0</v>
      </c>
    </row>
    <row r="321" spans="2:16" hidden="1" x14ac:dyDescent="0.35">
      <c r="B321" s="107" t="str">
        <f>+IF(LEFT(MID(Controlos[[#This Row],[tabela]],22,5),1)="B",MID(Controlos[[#This Row],[tabela]],22,5),MID(Controlos[[#This Row],[tabela]],18,5))</f>
        <v>B0500</v>
      </c>
      <c r="C321" s="107" t="str">
        <f>+IF(Controlos[[#This Row],[tipologia_teste]]="REGULAMENTAR",IF(LEFT(Controlos[[#This Row],[cod_kpi]],1)="v",IF(LEFT(Controlos[[#This Row],[descrição]],6)="Alerta","W","H"),"F"),0)</f>
        <v>H</v>
      </c>
      <c r="F321" t="s">
        <v>339</v>
      </c>
      <c r="G321" t="s">
        <v>895</v>
      </c>
      <c r="H321" t="s">
        <v>605</v>
      </c>
      <c r="I321" t="s">
        <v>703</v>
      </c>
      <c r="J321" t="s">
        <v>329</v>
      </c>
      <c r="K321" t="s">
        <v>896</v>
      </c>
      <c r="L321">
        <v>4730</v>
      </c>
      <c r="M321">
        <v>0</v>
      </c>
    </row>
    <row r="322" spans="2:16" hidden="1" x14ac:dyDescent="0.35">
      <c r="B322" s="107" t="str">
        <f>+IF(LEFT(MID(Controlos[[#This Row],[tabela]],22,5),1)="B",MID(Controlos[[#This Row],[tabela]],22,5),MID(Controlos[[#This Row],[tabela]],18,5))</f>
        <v>B0500</v>
      </c>
      <c r="C322" s="107" t="str">
        <f>+IF(Controlos[[#This Row],[tipologia_teste]]="REGULAMENTAR",IF(LEFT(Controlos[[#This Row],[cod_kpi]],1)="v",IF(LEFT(Controlos[[#This Row],[descrição]],6)="Alerta","W","H"),"F"),0)</f>
        <v>H</v>
      </c>
      <c r="F322" t="s">
        <v>339</v>
      </c>
      <c r="G322" t="s">
        <v>897</v>
      </c>
      <c r="H322" t="s">
        <v>605</v>
      </c>
      <c r="I322" t="s">
        <v>718</v>
      </c>
      <c r="J322" t="s">
        <v>329</v>
      </c>
      <c r="K322" t="s">
        <v>898</v>
      </c>
      <c r="L322">
        <v>4730</v>
      </c>
      <c r="M322">
        <v>4730</v>
      </c>
      <c r="N322" t="s">
        <v>466</v>
      </c>
    </row>
    <row r="323" spans="2:16" hidden="1" x14ac:dyDescent="0.35">
      <c r="B323" s="107" t="str">
        <f>+IF(LEFT(MID(Controlos[[#This Row],[tabela]],22,5),1)="B",MID(Controlos[[#This Row],[tabela]],22,5),MID(Controlos[[#This Row],[tabela]],18,5))</f>
        <v>B0500</v>
      </c>
      <c r="C323" s="107" t="str">
        <f>+IF(Controlos[[#This Row],[tipologia_teste]]="REGULAMENTAR",IF(LEFT(Controlos[[#This Row],[cod_kpi]],1)="v",IF(LEFT(Controlos[[#This Row],[descrição]],6)="Alerta","W","H"),"F"),0)</f>
        <v>H</v>
      </c>
      <c r="F323" t="s">
        <v>339</v>
      </c>
      <c r="G323" t="s">
        <v>899</v>
      </c>
      <c r="H323" t="s">
        <v>605</v>
      </c>
      <c r="I323" t="s">
        <v>703</v>
      </c>
      <c r="J323" t="s">
        <v>329</v>
      </c>
      <c r="K323" t="s">
        <v>900</v>
      </c>
      <c r="L323">
        <v>4730</v>
      </c>
      <c r="M323">
        <v>0</v>
      </c>
    </row>
    <row r="324" spans="2:16" hidden="1" x14ac:dyDescent="0.35">
      <c r="B324" s="107" t="str">
        <f>+IF(LEFT(MID(Controlos[[#This Row],[tabela]],22,5),1)="B",MID(Controlos[[#This Row],[tabela]],22,5),MID(Controlos[[#This Row],[tabela]],18,5))</f>
        <v>B0500</v>
      </c>
      <c r="C324" s="107" t="str">
        <f>+IF(Controlos[[#This Row],[tipologia_teste]]="REGULAMENTAR",IF(LEFT(Controlos[[#This Row],[cod_kpi]],1)="v",IF(LEFT(Controlos[[#This Row],[descrição]],6)="Alerta","W","H"),"F"),0)</f>
        <v>F</v>
      </c>
      <c r="F324" t="s">
        <v>339</v>
      </c>
      <c r="G324" t="s">
        <v>901</v>
      </c>
      <c r="H324" t="s">
        <v>605</v>
      </c>
      <c r="I324" t="s">
        <v>760</v>
      </c>
      <c r="J324" t="s">
        <v>329</v>
      </c>
      <c r="K324" t="s">
        <v>606</v>
      </c>
      <c r="L324">
        <v>4730</v>
      </c>
      <c r="M324">
        <v>0</v>
      </c>
    </row>
    <row r="325" spans="2:16" hidden="1" x14ac:dyDescent="0.35">
      <c r="B325" s="107" t="str">
        <f>+IF(LEFT(MID(Controlos[[#This Row],[tabela]],22,5),1)="B",MID(Controlos[[#This Row],[tabela]],22,5),MID(Controlos[[#This Row],[tabela]],18,5))</f>
        <v>B0500</v>
      </c>
      <c r="C325" s="107" t="str">
        <f>+IF(Controlos[[#This Row],[tipologia_teste]]="REGULAMENTAR",IF(LEFT(Controlos[[#This Row],[cod_kpi]],1)="v",IF(LEFT(Controlos[[#This Row],[descrição]],6)="Alerta","W","H"),"F"),0)</f>
        <v>F</v>
      </c>
      <c r="F325" t="s">
        <v>339</v>
      </c>
      <c r="G325" t="s">
        <v>902</v>
      </c>
      <c r="H325" t="s">
        <v>605</v>
      </c>
      <c r="I325" t="s">
        <v>762</v>
      </c>
      <c r="J325" t="s">
        <v>329</v>
      </c>
      <c r="K325" t="s">
        <v>903</v>
      </c>
      <c r="L325">
        <v>4730</v>
      </c>
      <c r="M325">
        <v>0</v>
      </c>
    </row>
    <row r="326" spans="2:16" hidden="1" x14ac:dyDescent="0.35">
      <c r="B326" s="107" t="str">
        <f>+IF(LEFT(MID(Controlos[[#This Row],[tabela]],22,5),1)="B",MID(Controlos[[#This Row],[tabela]],22,5),MID(Controlos[[#This Row],[tabela]],18,5))</f>
        <v>B0500</v>
      </c>
      <c r="C326" s="107" t="str">
        <f>+IF(Controlos[[#This Row],[tipologia_teste]]="REGULAMENTAR",IF(LEFT(Controlos[[#This Row],[cod_kpi]],1)="v",IF(LEFT(Controlos[[#This Row],[descrição]],6)="Alerta","W","H"),"F"),0)</f>
        <v>F</v>
      </c>
      <c r="F326" t="s">
        <v>339</v>
      </c>
      <c r="G326" t="s">
        <v>904</v>
      </c>
      <c r="H326" t="s">
        <v>605</v>
      </c>
      <c r="I326" t="s">
        <v>797</v>
      </c>
      <c r="J326" t="s">
        <v>329</v>
      </c>
      <c r="K326" t="s">
        <v>892</v>
      </c>
      <c r="L326">
        <v>4730</v>
      </c>
      <c r="M326">
        <v>0</v>
      </c>
    </row>
    <row r="327" spans="2:16" hidden="1" x14ac:dyDescent="0.35">
      <c r="B327" s="107" t="str">
        <f>+IF(LEFT(MID(Controlos[[#This Row],[tabela]],22,5),1)="B",MID(Controlos[[#This Row],[tabela]],22,5),MID(Controlos[[#This Row],[tabela]],18,5))</f>
        <v>B0500</v>
      </c>
      <c r="C327" s="107" t="str">
        <f>+IF(Controlos[[#This Row],[tipologia_teste]]="REGULAMENTAR",IF(LEFT(Controlos[[#This Row],[cod_kpi]],1)="v",IF(LEFT(Controlos[[#This Row],[descrição]],6)="Alerta","W","H"),"F"),0)</f>
        <v>F</v>
      </c>
      <c r="F327" t="s">
        <v>339</v>
      </c>
      <c r="G327" t="s">
        <v>905</v>
      </c>
      <c r="H327" t="s">
        <v>605</v>
      </c>
      <c r="I327" t="s">
        <v>782</v>
      </c>
      <c r="J327" t="s">
        <v>329</v>
      </c>
      <c r="K327" t="s">
        <v>906</v>
      </c>
      <c r="L327">
        <v>4730</v>
      </c>
      <c r="M327">
        <v>0</v>
      </c>
    </row>
    <row r="328" spans="2:16" hidden="1" x14ac:dyDescent="0.35">
      <c r="B328" s="107" t="str">
        <f>+IF(LEFT(MID(Controlos[[#This Row],[tabela]],22,5),1)="B",MID(Controlos[[#This Row],[tabela]],22,5),MID(Controlos[[#This Row],[tabela]],18,5))</f>
        <v>B0500</v>
      </c>
      <c r="C328" s="107" t="str">
        <f>+IF(Controlos[[#This Row],[tipologia_teste]]="REGULAMENTAR",IF(LEFT(Controlos[[#This Row],[cod_kpi]],1)="v",IF(LEFT(Controlos[[#This Row],[descrição]],6)="Alerta","W","H"),"F"),0)</f>
        <v>F</v>
      </c>
      <c r="F328" t="s">
        <v>339</v>
      </c>
      <c r="G328" t="s">
        <v>907</v>
      </c>
      <c r="H328" t="s">
        <v>605</v>
      </c>
      <c r="I328" t="s">
        <v>718</v>
      </c>
      <c r="J328" t="s">
        <v>329</v>
      </c>
      <c r="K328" t="s">
        <v>894</v>
      </c>
      <c r="L328">
        <v>4730</v>
      </c>
      <c r="M328">
        <v>0</v>
      </c>
    </row>
    <row r="329" spans="2:16" hidden="1" x14ac:dyDescent="0.35">
      <c r="B329" s="107" t="str">
        <f>+IF(LEFT(MID(Controlos[[#This Row],[tabela]],22,5),1)="B",MID(Controlos[[#This Row],[tabela]],22,5),MID(Controlos[[#This Row],[tabela]],18,5))</f>
        <v>B0500</v>
      </c>
      <c r="C329" s="107" t="str">
        <f>+IF(Controlos[[#This Row],[tipologia_teste]]="REGULAMENTAR",IF(LEFT(Controlos[[#This Row],[cod_kpi]],1)="v",IF(LEFT(Controlos[[#This Row],[descrição]],6)="Alerta","W","H"),"F"),0)</f>
        <v>F</v>
      </c>
      <c r="F329" t="s">
        <v>339</v>
      </c>
      <c r="G329" t="s">
        <v>908</v>
      </c>
      <c r="H329" t="s">
        <v>605</v>
      </c>
      <c r="I329" t="s">
        <v>767</v>
      </c>
      <c r="J329" t="s">
        <v>329</v>
      </c>
      <c r="K329" t="s">
        <v>896</v>
      </c>
      <c r="L329">
        <v>4730</v>
      </c>
      <c r="M329">
        <v>0</v>
      </c>
    </row>
    <row r="330" spans="2:16" hidden="1" x14ac:dyDescent="0.35">
      <c r="B330" s="107" t="str">
        <f>+IF(LEFT(MID(Controlos[[#This Row],[tabela]],22,5),1)="B",MID(Controlos[[#This Row],[tabela]],22,5),MID(Controlos[[#This Row],[tabela]],18,5))</f>
        <v>B0500</v>
      </c>
      <c r="C330" s="107" t="str">
        <f>+IF(Controlos[[#This Row],[tipologia_teste]]="REGULAMENTAR",IF(LEFT(Controlos[[#This Row],[cod_kpi]],1)="v",IF(LEFT(Controlos[[#This Row],[descrição]],6)="Alerta","W","H"),"F"),0)</f>
        <v>F</v>
      </c>
      <c r="F330" t="s">
        <v>339</v>
      </c>
      <c r="G330" t="s">
        <v>909</v>
      </c>
      <c r="H330" t="s">
        <v>605</v>
      </c>
      <c r="I330" t="s">
        <v>718</v>
      </c>
      <c r="J330" t="s">
        <v>329</v>
      </c>
      <c r="K330" t="s">
        <v>898</v>
      </c>
      <c r="L330">
        <v>4730</v>
      </c>
      <c r="M330">
        <v>0</v>
      </c>
    </row>
    <row r="331" spans="2:16" hidden="1" x14ac:dyDescent="0.35">
      <c r="B331" s="107" t="str">
        <f>+IF(LEFT(MID(Controlos[[#This Row],[tabela]],22,5),1)="B",MID(Controlos[[#This Row],[tabela]],22,5),MID(Controlos[[#This Row],[tabela]],18,5))</f>
        <v>B0500</v>
      </c>
      <c r="C331" s="107" t="str">
        <f>+IF(Controlos[[#This Row],[tipologia_teste]]="REGULAMENTAR",IF(LEFT(Controlos[[#This Row],[cod_kpi]],1)="v",IF(LEFT(Controlos[[#This Row],[descrição]],6)="Alerta","W","H"),"F"),0)</f>
        <v>F</v>
      </c>
      <c r="F331" t="s">
        <v>339</v>
      </c>
      <c r="G331" t="s">
        <v>910</v>
      </c>
      <c r="H331" t="s">
        <v>605</v>
      </c>
      <c r="I331" t="s">
        <v>767</v>
      </c>
      <c r="J331" t="s">
        <v>329</v>
      </c>
      <c r="K331" t="s">
        <v>900</v>
      </c>
      <c r="L331">
        <v>4730</v>
      </c>
      <c r="M331">
        <v>0</v>
      </c>
    </row>
    <row r="332" spans="2:16" hidden="1" x14ac:dyDescent="0.35">
      <c r="B332" s="107" t="str">
        <f>+IF(LEFT(MID(Controlos[[#This Row],[tabela]],22,5),1)="B",MID(Controlos[[#This Row],[tabela]],22,5),MID(Controlos[[#This Row],[tabela]],18,5))</f>
        <v>B0500</v>
      </c>
      <c r="C332" s="107" t="str">
        <f>+IF(Controlos[[#This Row],[tipologia_teste]]="REGULAMENTAR",IF(LEFT(Controlos[[#This Row],[cod_kpi]],1)="v",IF(LEFT(Controlos[[#This Row],[descrição]],6)="Alerta","W","H"),"F"),0)</f>
        <v>F</v>
      </c>
      <c r="F332" t="s">
        <v>339</v>
      </c>
      <c r="G332" t="s">
        <v>911</v>
      </c>
      <c r="H332" t="s">
        <v>605</v>
      </c>
      <c r="I332" t="s">
        <v>912</v>
      </c>
      <c r="J332" t="s">
        <v>329</v>
      </c>
      <c r="K332" t="s">
        <v>913</v>
      </c>
      <c r="L332">
        <v>4730</v>
      </c>
      <c r="M332">
        <v>0</v>
      </c>
    </row>
    <row r="333" spans="2:16" hidden="1" x14ac:dyDescent="0.35">
      <c r="B333" s="107" t="str">
        <f>+IF(LEFT(MID(Controlos[[#This Row],[tabela]],22,5),1)="B",MID(Controlos[[#This Row],[tabela]],22,5),MID(Controlos[[#This Row],[tabela]],18,5))</f>
        <v>B0500</v>
      </c>
      <c r="C333" s="107" t="str">
        <f>+IF(Controlos[[#This Row],[tipologia_teste]]="REGULAMENTAR",IF(LEFT(Controlos[[#This Row],[cod_kpi]],1)="v",IF(LEFT(Controlos[[#This Row],[descrição]],6)="Alerta","W","H"),"F"),0)</f>
        <v>F</v>
      </c>
      <c r="F333" t="s">
        <v>339</v>
      </c>
      <c r="G333" t="s">
        <v>914</v>
      </c>
      <c r="H333" t="s">
        <v>605</v>
      </c>
      <c r="I333" t="s">
        <v>790</v>
      </c>
      <c r="J333" t="s">
        <v>329</v>
      </c>
      <c r="K333" t="s">
        <v>915</v>
      </c>
      <c r="L333">
        <v>4730</v>
      </c>
      <c r="M333">
        <v>0</v>
      </c>
    </row>
    <row r="334" spans="2:16" hidden="1" x14ac:dyDescent="0.35">
      <c r="B334" s="107" t="str">
        <f>+IF(LEFT(MID(Controlos[[#This Row],[tabela]],22,5),1)="B",MID(Controlos[[#This Row],[tabela]],22,5),MID(Controlos[[#This Row],[tabela]],18,5))</f>
        <v>B0500</v>
      </c>
      <c r="C334" s="107" t="str">
        <f>+IF(Controlos[[#This Row],[tipologia_teste]]="REGULAMENTAR",IF(LEFT(Controlos[[#This Row],[cod_kpi]],1)="v",IF(LEFT(Controlos[[#This Row],[descrição]],6)="Alerta","W","H"),"F"),0)</f>
        <v>F</v>
      </c>
      <c r="F334" t="s">
        <v>339</v>
      </c>
      <c r="G334" t="s">
        <v>916</v>
      </c>
      <c r="H334" t="s">
        <v>605</v>
      </c>
      <c r="I334" t="s">
        <v>762</v>
      </c>
      <c r="J334" t="s">
        <v>329</v>
      </c>
      <c r="K334" t="s">
        <v>917</v>
      </c>
      <c r="L334">
        <v>4730</v>
      </c>
      <c r="M334">
        <v>0</v>
      </c>
    </row>
    <row r="335" spans="2:16" hidden="1" x14ac:dyDescent="0.35">
      <c r="B335" s="107" t="str">
        <f>+IF(LEFT(MID(Controlos[[#This Row],[tabela]],22,5),1)="B",MID(Controlos[[#This Row],[tabela]],22,5),MID(Controlos[[#This Row],[tabela]],18,5))</f>
        <v>B0500</v>
      </c>
      <c r="C335" s="107" t="str">
        <f>+IF(Controlos[[#This Row],[tipologia_teste]]="REGULAMENTAR",IF(LEFT(Controlos[[#This Row],[cod_kpi]],1)="v",IF(LEFT(Controlos[[#This Row],[descrição]],6)="Alerta","W","H"),"F"),0)</f>
        <v>F</v>
      </c>
      <c r="F335" t="s">
        <v>339</v>
      </c>
      <c r="G335" t="s">
        <v>918</v>
      </c>
      <c r="H335" t="s">
        <v>605</v>
      </c>
      <c r="I335" t="s">
        <v>762</v>
      </c>
      <c r="J335" t="s">
        <v>329</v>
      </c>
      <c r="K335" t="s">
        <v>919</v>
      </c>
      <c r="L335">
        <v>4730</v>
      </c>
      <c r="M335">
        <v>0</v>
      </c>
    </row>
    <row r="336" spans="2:16" hidden="1" x14ac:dyDescent="0.35">
      <c r="B336" s="107" t="str">
        <f>+IF(LEFT(MID(Controlos[[#This Row],[tabela]],22,5),1)="B",MID(Controlos[[#This Row],[tabela]],22,5),MID(Controlos[[#This Row],[tabela]],18,5))</f>
        <v>B0500</v>
      </c>
      <c r="C336" s="107" t="str">
        <f>+IF(Controlos[[#This Row],[tipologia_teste]]="REGULAMENTAR",IF(LEFT(Controlos[[#This Row],[cod_kpi]],1)="v",IF(LEFT(Controlos[[#This Row],[descrição]],6)="Alerta","W","H"),"F"),0)</f>
        <v>F</v>
      </c>
      <c r="F336" t="s">
        <v>339</v>
      </c>
      <c r="G336" t="s">
        <v>920</v>
      </c>
      <c r="H336" t="s">
        <v>605</v>
      </c>
      <c r="I336" t="s">
        <v>718</v>
      </c>
      <c r="J336" t="s">
        <v>329</v>
      </c>
      <c r="K336" t="s">
        <v>921</v>
      </c>
      <c r="L336">
        <v>4730</v>
      </c>
      <c r="M336">
        <v>4730</v>
      </c>
      <c r="N336" t="s">
        <v>466</v>
      </c>
      <c r="P336" t="s">
        <v>297</v>
      </c>
    </row>
    <row r="337" spans="2:16" hidden="1" x14ac:dyDescent="0.35">
      <c r="B337" s="107" t="str">
        <f>+IF(LEFT(MID(Controlos[[#This Row],[tabela]],22,5),1)="B",MID(Controlos[[#This Row],[tabela]],22,5),MID(Controlos[[#This Row],[tabela]],18,5))</f>
        <v>B0500</v>
      </c>
      <c r="C337" s="107" t="str">
        <f>+IF(Controlos[[#This Row],[tipologia_teste]]="REGULAMENTAR",IF(LEFT(Controlos[[#This Row],[cod_kpi]],1)="v",IF(LEFT(Controlos[[#This Row],[descrição]],6)="Alerta","W","H"),"F"),0)</f>
        <v>F</v>
      </c>
      <c r="F337" t="s">
        <v>339</v>
      </c>
      <c r="G337" t="s">
        <v>922</v>
      </c>
      <c r="H337" t="s">
        <v>605</v>
      </c>
      <c r="I337" t="s">
        <v>790</v>
      </c>
      <c r="J337" t="s">
        <v>329</v>
      </c>
      <c r="K337" t="s">
        <v>923</v>
      </c>
      <c r="L337">
        <v>4730</v>
      </c>
      <c r="M337">
        <v>0</v>
      </c>
    </row>
    <row r="338" spans="2:16" hidden="1" x14ac:dyDescent="0.35">
      <c r="B338" s="107" t="str">
        <f>+IF(LEFT(MID(Controlos[[#This Row],[tabela]],22,5),1)="B",MID(Controlos[[#This Row],[tabela]],22,5),MID(Controlos[[#This Row],[tabela]],18,5))</f>
        <v>B0500</v>
      </c>
      <c r="C338" s="107" t="str">
        <f>+IF(Controlos[[#This Row],[tipologia_teste]]="REGULAMENTAR",IF(LEFT(Controlos[[#This Row],[cod_kpi]],1)="v",IF(LEFT(Controlos[[#This Row],[descrição]],6)="Alerta","W","H"),"F"),0)</f>
        <v>F</v>
      </c>
      <c r="F338" t="s">
        <v>339</v>
      </c>
      <c r="G338" t="s">
        <v>924</v>
      </c>
      <c r="H338" t="s">
        <v>605</v>
      </c>
      <c r="I338" t="s">
        <v>718</v>
      </c>
      <c r="J338" t="s">
        <v>329</v>
      </c>
      <c r="K338" t="s">
        <v>925</v>
      </c>
      <c r="L338">
        <v>4730</v>
      </c>
      <c r="M338">
        <v>4730</v>
      </c>
      <c r="N338" t="s">
        <v>466</v>
      </c>
      <c r="P338" t="s">
        <v>297</v>
      </c>
    </row>
    <row r="339" spans="2:16" hidden="1" x14ac:dyDescent="0.35">
      <c r="B339" s="107" t="str">
        <f>+IF(LEFT(MID(Controlos[[#This Row],[tabela]],22,5),1)="B",MID(Controlos[[#This Row],[tabela]],22,5),MID(Controlos[[#This Row],[tabela]],18,5))</f>
        <v>B9000</v>
      </c>
      <c r="C339" s="107" t="str">
        <f>+IF(Controlos[[#This Row],[tipologia_teste]]="REGULAMENTAR",IF(LEFT(Controlos[[#This Row],[cod_kpi]],1)="v",IF(LEFT(Controlos[[#This Row],[descrição]],6)="Alerta","W","H"),"F"),0)</f>
        <v>H</v>
      </c>
      <c r="F339" t="s">
        <v>339</v>
      </c>
      <c r="G339" t="s">
        <v>926</v>
      </c>
      <c r="H339" t="s">
        <v>605</v>
      </c>
      <c r="I339" t="s">
        <v>623</v>
      </c>
      <c r="J339" t="s">
        <v>331</v>
      </c>
      <c r="K339" t="s">
        <v>927</v>
      </c>
      <c r="L339">
        <v>4740</v>
      </c>
      <c r="M339">
        <v>4740</v>
      </c>
      <c r="N339" t="s">
        <v>489</v>
      </c>
    </row>
    <row r="340" spans="2:16" hidden="1" x14ac:dyDescent="0.35">
      <c r="B340" s="107" t="str">
        <f>+IF(LEFT(MID(Controlos[[#This Row],[tabela]],22,5),1)="B",MID(Controlos[[#This Row],[tabela]],22,5),MID(Controlos[[#This Row],[tabela]],18,5))</f>
        <v>B9000</v>
      </c>
      <c r="C340" s="107" t="str">
        <f>+IF(Controlos[[#This Row],[tipologia_teste]]="REGULAMENTAR",IF(LEFT(Controlos[[#This Row],[cod_kpi]],1)="v",IF(LEFT(Controlos[[#This Row],[descrição]],6)="Alerta","W","H"),"F"),0)</f>
        <v>H</v>
      </c>
      <c r="F340" t="s">
        <v>339</v>
      </c>
      <c r="G340" t="s">
        <v>928</v>
      </c>
      <c r="H340" t="s">
        <v>605</v>
      </c>
      <c r="I340" t="s">
        <v>718</v>
      </c>
      <c r="J340" t="s">
        <v>331</v>
      </c>
      <c r="K340" t="s">
        <v>927</v>
      </c>
      <c r="L340">
        <v>4740</v>
      </c>
      <c r="M340">
        <v>0</v>
      </c>
    </row>
    <row r="341" spans="2:16" hidden="1" x14ac:dyDescent="0.35">
      <c r="B341" s="107" t="str">
        <f>+IF(LEFT(MID(Controlos[[#This Row],[tabela]],22,5),1)="B",MID(Controlos[[#This Row],[tabela]],22,5),MID(Controlos[[#This Row],[tabela]],18,5))</f>
        <v>B9000</v>
      </c>
      <c r="C341" s="107" t="str">
        <f>+IF(Controlos[[#This Row],[tipologia_teste]]="REGULAMENTAR",IF(LEFT(Controlos[[#This Row],[cod_kpi]],1)="v",IF(LEFT(Controlos[[#This Row],[descrição]],6)="Alerta","W","H"),"F"),0)</f>
        <v>H</v>
      </c>
      <c r="F341" t="s">
        <v>339</v>
      </c>
      <c r="G341" t="s">
        <v>929</v>
      </c>
      <c r="H341" t="s">
        <v>605</v>
      </c>
      <c r="I341" t="s">
        <v>718</v>
      </c>
      <c r="J341" t="s">
        <v>331</v>
      </c>
      <c r="K341" t="s">
        <v>930</v>
      </c>
      <c r="L341">
        <v>4740</v>
      </c>
      <c r="M341">
        <v>0</v>
      </c>
    </row>
    <row r="342" spans="2:16" hidden="1" x14ac:dyDescent="0.35">
      <c r="B342" s="107" t="str">
        <f>+IF(LEFT(MID(Controlos[[#This Row],[tabela]],22,5),1)="B",MID(Controlos[[#This Row],[tabela]],22,5),MID(Controlos[[#This Row],[tabela]],18,5))</f>
        <v>B9000</v>
      </c>
      <c r="C342" s="107" t="str">
        <f>+IF(Controlos[[#This Row],[tipologia_teste]]="REGULAMENTAR",IF(LEFT(Controlos[[#This Row],[cod_kpi]],1)="v",IF(LEFT(Controlos[[#This Row],[descrição]],6)="Alerta","W","H"),"F"),0)</f>
        <v>H</v>
      </c>
      <c r="F342" t="s">
        <v>339</v>
      </c>
      <c r="G342" t="s">
        <v>931</v>
      </c>
      <c r="H342" t="s">
        <v>605</v>
      </c>
      <c r="I342" t="s">
        <v>797</v>
      </c>
      <c r="J342" t="s">
        <v>331</v>
      </c>
      <c r="K342" t="s">
        <v>932</v>
      </c>
      <c r="L342">
        <v>4740</v>
      </c>
      <c r="M342">
        <v>2</v>
      </c>
      <c r="N342" t="s">
        <v>492</v>
      </c>
      <c r="P342" t="s">
        <v>303</v>
      </c>
    </row>
    <row r="343" spans="2:16" hidden="1" x14ac:dyDescent="0.35">
      <c r="B343" s="107" t="str">
        <f>+IF(LEFT(MID(Controlos[[#This Row],[tabela]],22,5),1)="B",MID(Controlos[[#This Row],[tabela]],22,5),MID(Controlos[[#This Row],[tabela]],18,5))</f>
        <v>B9000</v>
      </c>
      <c r="C343" s="107" t="str">
        <f>+IF(Controlos[[#This Row],[tipologia_teste]]="REGULAMENTAR",IF(LEFT(Controlos[[#This Row],[cod_kpi]],1)="v",IF(LEFT(Controlos[[#This Row],[descrição]],6)="Alerta","W","H"),"F"),0)</f>
        <v>F</v>
      </c>
      <c r="F343" t="s">
        <v>339</v>
      </c>
      <c r="G343" t="s">
        <v>933</v>
      </c>
      <c r="H343" t="s">
        <v>605</v>
      </c>
      <c r="I343" t="s">
        <v>934</v>
      </c>
      <c r="J343" t="s">
        <v>331</v>
      </c>
      <c r="K343" t="s">
        <v>606</v>
      </c>
      <c r="L343">
        <v>4740</v>
      </c>
      <c r="M343">
        <v>0</v>
      </c>
    </row>
    <row r="344" spans="2:16" hidden="1" x14ac:dyDescent="0.35">
      <c r="B344" s="107" t="str">
        <f>+IF(LEFT(MID(Controlos[[#This Row],[tabela]],22,5),1)="B",MID(Controlos[[#This Row],[tabela]],22,5),MID(Controlos[[#This Row],[tabela]],18,5))</f>
        <v>B9000</v>
      </c>
      <c r="C344" s="107" t="str">
        <f>+IF(Controlos[[#This Row],[tipologia_teste]]="REGULAMENTAR",IF(LEFT(Controlos[[#This Row],[cod_kpi]],1)="v",IF(LEFT(Controlos[[#This Row],[descrição]],6)="Alerta","W","H"),"F"),0)</f>
        <v>F</v>
      </c>
      <c r="F344" t="s">
        <v>339</v>
      </c>
      <c r="G344" t="s">
        <v>935</v>
      </c>
      <c r="H344" t="s">
        <v>605</v>
      </c>
      <c r="I344" t="s">
        <v>936</v>
      </c>
      <c r="J344" t="s">
        <v>331</v>
      </c>
      <c r="K344" t="s">
        <v>937</v>
      </c>
      <c r="L344">
        <v>4740</v>
      </c>
      <c r="M344">
        <v>0</v>
      </c>
    </row>
    <row r="345" spans="2:16" hidden="1" x14ac:dyDescent="0.35">
      <c r="B345" s="107" t="str">
        <f>+IF(LEFT(MID(Controlos[[#This Row],[tabela]],22,5),1)="B",MID(Controlos[[#This Row],[tabela]],22,5),MID(Controlos[[#This Row],[tabela]],18,5))</f>
        <v>B9000</v>
      </c>
      <c r="C345" s="107" t="str">
        <f>+IF(Controlos[[#This Row],[tipologia_teste]]="REGULAMENTAR",IF(LEFT(Controlos[[#This Row],[cod_kpi]],1)="v",IF(LEFT(Controlos[[#This Row],[descrição]],6)="Alerta","W","H"),"F"),0)</f>
        <v>F</v>
      </c>
      <c r="F345" t="s">
        <v>339</v>
      </c>
      <c r="G345" t="s">
        <v>938</v>
      </c>
      <c r="H345" t="s">
        <v>605</v>
      </c>
      <c r="I345" t="s">
        <v>936</v>
      </c>
      <c r="J345" t="s">
        <v>331</v>
      </c>
      <c r="K345" t="s">
        <v>939</v>
      </c>
      <c r="L345">
        <v>4740</v>
      </c>
      <c r="M345">
        <v>0</v>
      </c>
    </row>
    <row r="346" spans="2:16" hidden="1" x14ac:dyDescent="0.35">
      <c r="B346" s="107" t="str">
        <f>+IF(LEFT(MID(Controlos[[#This Row],[tabela]],22,5),1)="B",MID(Controlos[[#This Row],[tabela]],22,5),MID(Controlos[[#This Row],[tabela]],18,5))</f>
        <v>B9000</v>
      </c>
      <c r="C346" s="107" t="str">
        <f>+IF(Controlos[[#This Row],[tipologia_teste]]="REGULAMENTAR",IF(LEFT(Controlos[[#This Row],[cod_kpi]],1)="v",IF(LEFT(Controlos[[#This Row],[descrição]],6)="Alerta","W","H"),"F"),0)</f>
        <v>F</v>
      </c>
      <c r="F346" t="s">
        <v>339</v>
      </c>
      <c r="G346" t="s">
        <v>940</v>
      </c>
      <c r="H346" t="s">
        <v>605</v>
      </c>
      <c r="I346" t="s">
        <v>936</v>
      </c>
      <c r="J346" t="s">
        <v>331</v>
      </c>
      <c r="K346" t="s">
        <v>927</v>
      </c>
      <c r="L346">
        <v>4740</v>
      </c>
      <c r="M346">
        <v>0</v>
      </c>
    </row>
    <row r="347" spans="2:16" hidden="1" x14ac:dyDescent="0.35">
      <c r="B347" s="107" t="str">
        <f>+IF(LEFT(MID(Controlos[[#This Row],[tabela]],22,5),1)="B",MID(Controlos[[#This Row],[tabela]],22,5),MID(Controlos[[#This Row],[tabela]],18,5))</f>
        <v>B9000</v>
      </c>
      <c r="C347" s="107" t="str">
        <f>+IF(Controlos[[#This Row],[tipologia_teste]]="REGULAMENTAR",IF(LEFT(Controlos[[#This Row],[cod_kpi]],1)="v",IF(LEFT(Controlos[[#This Row],[descrição]],6)="Alerta","W","H"),"F"),0)</f>
        <v>F</v>
      </c>
      <c r="F347" t="s">
        <v>339</v>
      </c>
      <c r="G347" t="s">
        <v>941</v>
      </c>
      <c r="H347" t="s">
        <v>605</v>
      </c>
      <c r="I347" t="s">
        <v>936</v>
      </c>
      <c r="J347" t="s">
        <v>331</v>
      </c>
      <c r="K347" t="s">
        <v>942</v>
      </c>
      <c r="L347">
        <v>4740</v>
      </c>
      <c r="M347">
        <v>2</v>
      </c>
      <c r="N347" t="s">
        <v>492</v>
      </c>
    </row>
    <row r="348" spans="2:16" hidden="1" x14ac:dyDescent="0.35">
      <c r="B348" s="107" t="str">
        <f>+IF(LEFT(MID(Controlos[[#This Row],[tabela]],22,5),1)="B",MID(Controlos[[#This Row],[tabela]],22,5),MID(Controlos[[#This Row],[tabela]],18,5))</f>
        <v>B9000</v>
      </c>
      <c r="C348" s="107" t="str">
        <f>+IF(Controlos[[#This Row],[tipologia_teste]]="REGULAMENTAR",IF(LEFT(Controlos[[#This Row],[cod_kpi]],1)="v",IF(LEFT(Controlos[[#This Row],[descrição]],6)="Alerta","W","H"),"F"),0)</f>
        <v>F</v>
      </c>
      <c r="F348" t="s">
        <v>339</v>
      </c>
      <c r="G348" t="s">
        <v>943</v>
      </c>
      <c r="H348" t="s">
        <v>605</v>
      </c>
      <c r="I348" t="s">
        <v>936</v>
      </c>
      <c r="J348" t="s">
        <v>331</v>
      </c>
      <c r="K348" t="s">
        <v>944</v>
      </c>
      <c r="L348">
        <v>4740</v>
      </c>
      <c r="M348">
        <v>0</v>
      </c>
    </row>
    <row r="349" spans="2:16" hidden="1" x14ac:dyDescent="0.35">
      <c r="B349" s="107" t="str">
        <f>+IF(LEFT(MID(Controlos[[#This Row],[tabela]],22,5),1)="B",MID(Controlos[[#This Row],[tabela]],22,5),MID(Controlos[[#This Row],[tabela]],18,5))</f>
        <v>B9000</v>
      </c>
      <c r="C349" s="107" t="str">
        <f>+IF(Controlos[[#This Row],[tipologia_teste]]="REGULAMENTAR",IF(LEFT(Controlos[[#This Row],[cod_kpi]],1)="v",IF(LEFT(Controlos[[#This Row],[descrição]],6)="Alerta","W","H"),"F"),0)</f>
        <v>F</v>
      </c>
      <c r="F349" t="s">
        <v>339</v>
      </c>
      <c r="G349" t="s">
        <v>945</v>
      </c>
      <c r="H349" t="s">
        <v>605</v>
      </c>
      <c r="I349" t="s">
        <v>936</v>
      </c>
      <c r="J349" t="s">
        <v>331</v>
      </c>
      <c r="K349" t="s">
        <v>946</v>
      </c>
      <c r="L349">
        <v>4740</v>
      </c>
      <c r="M349">
        <v>0</v>
      </c>
    </row>
    <row r="350" spans="2:16" hidden="1" x14ac:dyDescent="0.35">
      <c r="B350" s="107" t="str">
        <f>+IF(LEFT(MID(Controlos[[#This Row],[tabela]],22,5),1)="B",MID(Controlos[[#This Row],[tabela]],22,5),MID(Controlos[[#This Row],[tabela]],18,5))</f>
        <v>B9000</v>
      </c>
      <c r="C350" s="107" t="str">
        <f>+IF(Controlos[[#This Row],[tipologia_teste]]="REGULAMENTAR",IF(LEFT(Controlos[[#This Row],[cod_kpi]],1)="v",IF(LEFT(Controlos[[#This Row],[descrição]],6)="Alerta","W","H"),"F"),0)</f>
        <v>F</v>
      </c>
      <c r="F350" t="s">
        <v>339</v>
      </c>
      <c r="G350" t="s">
        <v>947</v>
      </c>
      <c r="H350" t="s">
        <v>605</v>
      </c>
      <c r="I350" t="s">
        <v>936</v>
      </c>
      <c r="J350" t="s">
        <v>331</v>
      </c>
      <c r="K350" t="s">
        <v>948</v>
      </c>
      <c r="L350">
        <v>4740</v>
      </c>
      <c r="M350">
        <v>0</v>
      </c>
    </row>
    <row r="351" spans="2:16" hidden="1" x14ac:dyDescent="0.35">
      <c r="B351" s="107" t="str">
        <f>+IF(LEFT(MID(Controlos[[#This Row],[tabela]],22,5),1)="B",MID(Controlos[[#This Row],[tabela]],22,5),MID(Controlos[[#This Row],[tabela]],18,5))</f>
        <v>B9000</v>
      </c>
      <c r="C351" s="107" t="str">
        <f>+IF(Controlos[[#This Row],[tipologia_teste]]="REGULAMENTAR",IF(LEFT(Controlos[[#This Row],[cod_kpi]],1)="v",IF(LEFT(Controlos[[#This Row],[descrição]],6)="Alerta","W","H"),"F"),0)</f>
        <v>F</v>
      </c>
      <c r="F351" t="s">
        <v>339</v>
      </c>
      <c r="G351" t="s">
        <v>949</v>
      </c>
      <c r="H351" t="s">
        <v>605</v>
      </c>
      <c r="I351" t="s">
        <v>936</v>
      </c>
      <c r="J351" t="s">
        <v>331</v>
      </c>
      <c r="K351" t="s">
        <v>930</v>
      </c>
      <c r="L351">
        <v>4740</v>
      </c>
      <c r="M351">
        <v>0</v>
      </c>
    </row>
    <row r="352" spans="2:16" hidden="1" x14ac:dyDescent="0.35">
      <c r="B352" s="107" t="str">
        <f>+IF(LEFT(MID(Controlos[[#This Row],[tabela]],22,5),1)="B",MID(Controlos[[#This Row],[tabela]],22,5),MID(Controlos[[#This Row],[tabela]],18,5))</f>
        <v>B9000</v>
      </c>
      <c r="C352" s="107" t="str">
        <f>+IF(Controlos[[#This Row],[tipologia_teste]]="REGULAMENTAR",IF(LEFT(Controlos[[#This Row],[cod_kpi]],1)="v",IF(LEFT(Controlos[[#This Row],[descrição]],6)="Alerta","W","H"),"F"),0)</f>
        <v>F</v>
      </c>
      <c r="F352" t="s">
        <v>339</v>
      </c>
      <c r="G352" t="s">
        <v>950</v>
      </c>
      <c r="H352" t="s">
        <v>605</v>
      </c>
      <c r="I352" t="s">
        <v>936</v>
      </c>
      <c r="J352" t="s">
        <v>331</v>
      </c>
      <c r="K352" t="s">
        <v>932</v>
      </c>
      <c r="L352">
        <v>4740</v>
      </c>
      <c r="M352">
        <v>2</v>
      </c>
      <c r="N352" t="s">
        <v>492</v>
      </c>
      <c r="P352" t="s">
        <v>303</v>
      </c>
    </row>
    <row r="353" spans="2:13" hidden="1" x14ac:dyDescent="0.35">
      <c r="B353" s="107" t="str">
        <f>+IF(LEFT(MID(Controlos[[#This Row],[tabela]],22,5),1)="B",MID(Controlos[[#This Row],[tabela]],22,5),MID(Controlos[[#This Row],[tabela]],18,5))</f>
        <v>B9000</v>
      </c>
      <c r="C353" s="107" t="str">
        <f>+IF(Controlos[[#This Row],[tipologia_teste]]="REGULAMENTAR",IF(LEFT(Controlos[[#This Row],[cod_kpi]],1)="v",IF(LEFT(Controlos[[#This Row],[descrição]],6)="Alerta","W","H"),"F"),0)</f>
        <v>F</v>
      </c>
      <c r="F353" t="s">
        <v>339</v>
      </c>
      <c r="G353" t="s">
        <v>951</v>
      </c>
      <c r="H353" t="s">
        <v>605</v>
      </c>
      <c r="I353" t="s">
        <v>934</v>
      </c>
      <c r="J353" t="s">
        <v>331</v>
      </c>
      <c r="K353" t="s">
        <v>952</v>
      </c>
      <c r="L353">
        <v>4740</v>
      </c>
      <c r="M35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sheetPr filterMode="1"/>
  <dimension ref="A1:J198"/>
  <sheetViews>
    <sheetView showGridLines="0" zoomScale="80" zoomScaleNormal="80" workbookViewId="0">
      <selection activeCell="I197" sqref="I197"/>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317</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112</v>
      </c>
      <c r="C8" s="84" t="s">
        <v>113</v>
      </c>
      <c r="D8" s="84" t="s">
        <v>334</v>
      </c>
      <c r="E8" s="91" t="s">
        <v>114</v>
      </c>
      <c r="F8" s="91" t="s">
        <v>115</v>
      </c>
      <c r="G8" s="91" t="s">
        <v>116</v>
      </c>
      <c r="H8" s="91" t="s">
        <v>117</v>
      </c>
      <c r="I8" s="84" t="s">
        <v>118</v>
      </c>
    </row>
    <row r="9" spans="1:10" hidden="1" x14ac:dyDescent="0.35">
      <c r="B9" s="85" t="s">
        <v>119</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hidden="1" x14ac:dyDescent="0.35">
      <c r="B10" s="85" t="s">
        <v>120</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hidden="1" x14ac:dyDescent="0.35">
      <c r="B11" s="85" t="s">
        <v>121</v>
      </c>
      <c r="C11" s="86">
        <v>0</v>
      </c>
      <c r="D11" s="86"/>
      <c r="E11" s="86" t="str">
        <f t="shared" si="0"/>
        <v>lvl1</v>
      </c>
      <c r="F11" s="86" t="str">
        <f t="shared" si="1"/>
        <v>h</v>
      </c>
      <c r="G11" s="86" t="str">
        <f t="shared" si="2"/>
        <v>b02.00</v>
      </c>
      <c r="H11" s="86" t="str">
        <f t="shared" si="3"/>
        <v>0040_typ_uniq_id_knwn_cntrprty</v>
      </c>
      <c r="I11" s="86"/>
    </row>
    <row r="12" spans="1:10" hidden="1" x14ac:dyDescent="0.35">
      <c r="B12" s="85" t="s">
        <v>122</v>
      </c>
      <c r="C12" s="86">
        <v>0</v>
      </c>
      <c r="D12" s="86"/>
      <c r="E12" s="86" t="str">
        <f t="shared" si="0"/>
        <v>lvl1</v>
      </c>
      <c r="F12" s="86" t="str">
        <f t="shared" si="1"/>
        <v>h</v>
      </c>
      <c r="G12" s="86" t="str">
        <f t="shared" si="2"/>
        <v>b02.00</v>
      </c>
      <c r="H12" s="86" t="str">
        <f t="shared" si="3"/>
        <v>0070_cntrct_crrncy</v>
      </c>
      <c r="I12" s="86"/>
    </row>
    <row r="13" spans="1:10" hidden="1" x14ac:dyDescent="0.35">
      <c r="B13" s="85" t="s">
        <v>123</v>
      </c>
      <c r="C13" s="86">
        <v>0</v>
      </c>
      <c r="D13" s="86"/>
      <c r="E13" s="86" t="str">
        <f t="shared" si="0"/>
        <v>lvl1</v>
      </c>
      <c r="F13" s="86" t="str">
        <f t="shared" si="1"/>
        <v>h</v>
      </c>
      <c r="G13" s="86" t="str">
        <f t="shared" si="2"/>
        <v>b02.00</v>
      </c>
      <c r="H13" s="86" t="str">
        <f t="shared" si="3"/>
        <v>0080_otstndng_prncpl_amnt</v>
      </c>
      <c r="I13" s="86"/>
    </row>
    <row r="14" spans="1:10" hidden="1" x14ac:dyDescent="0.35">
      <c r="B14" s="85" t="s">
        <v>124</v>
      </c>
      <c r="C14" s="86">
        <v>0</v>
      </c>
      <c r="D14" s="86"/>
      <c r="E14" s="86" t="str">
        <f t="shared" si="0"/>
        <v>lvl1</v>
      </c>
      <c r="F14" s="86" t="str">
        <f t="shared" si="1"/>
        <v>w</v>
      </c>
      <c r="G14" s="86" t="str">
        <f t="shared" si="2"/>
        <v>b02.00</v>
      </c>
      <c r="H14" s="86" t="str">
        <f t="shared" si="3"/>
        <v>0080_otstndng_prncpl_amnt</v>
      </c>
      <c r="I14" s="86"/>
    </row>
    <row r="15" spans="1:10" hidden="1" x14ac:dyDescent="0.35">
      <c r="B15" s="85" t="s">
        <v>125</v>
      </c>
      <c r="C15" s="86">
        <v>0</v>
      </c>
      <c r="D15" s="86"/>
      <c r="E15" s="86" t="str">
        <f t="shared" si="0"/>
        <v>lvl1</v>
      </c>
      <c r="F15" s="86" t="str">
        <f t="shared" si="1"/>
        <v>h</v>
      </c>
      <c r="G15" s="86" t="str">
        <f t="shared" si="2"/>
        <v>b02.00</v>
      </c>
      <c r="H15" s="86" t="str">
        <f t="shared" si="3"/>
        <v>0090_prtn_amnt_rprtng_entty</v>
      </c>
      <c r="I15" s="86"/>
    </row>
    <row r="16" spans="1:10" hidden="1" x14ac:dyDescent="0.35">
      <c r="B16" s="85" t="s">
        <v>126</v>
      </c>
      <c r="C16" s="86">
        <v>0</v>
      </c>
      <c r="D16" s="86"/>
      <c r="E16" s="86" t="str">
        <f t="shared" si="0"/>
        <v>lvl1</v>
      </c>
      <c r="F16" s="86" t="str">
        <f t="shared" si="1"/>
        <v>h</v>
      </c>
      <c r="G16" s="86" t="str">
        <f t="shared" si="2"/>
        <v>b02.00</v>
      </c>
      <c r="H16" s="86" t="str">
        <f t="shared" si="3"/>
        <v>0100_accrd_intrst_instrmnt</v>
      </c>
      <c r="I16" s="86"/>
    </row>
    <row r="17" spans="2:9" hidden="1" x14ac:dyDescent="0.35">
      <c r="B17" s="85" t="s">
        <v>127</v>
      </c>
      <c r="C17" s="86">
        <v>0</v>
      </c>
      <c r="D17" s="86"/>
      <c r="E17" s="86" t="str">
        <f t="shared" si="0"/>
        <v>lvl1</v>
      </c>
      <c r="F17" s="86" t="str">
        <f t="shared" si="1"/>
        <v>w</v>
      </c>
      <c r="G17" s="86" t="str">
        <f t="shared" si="2"/>
        <v>b02.00</v>
      </c>
      <c r="H17" s="86" t="str">
        <f t="shared" si="3"/>
        <v>0100_accrd_intrst_instrmnt</v>
      </c>
      <c r="I17" s="86"/>
    </row>
    <row r="18" spans="2:9" hidden="1" x14ac:dyDescent="0.35">
      <c r="B18" s="85" t="s">
        <v>128</v>
      </c>
      <c r="C18" s="86">
        <v>0</v>
      </c>
      <c r="D18" s="86"/>
      <c r="E18" s="86" t="str">
        <f t="shared" si="0"/>
        <v>lvl1</v>
      </c>
      <c r="F18" s="86" t="str">
        <f t="shared" si="1"/>
        <v>h</v>
      </c>
      <c r="G18" s="86" t="str">
        <f t="shared" si="2"/>
        <v>b02.00</v>
      </c>
      <c r="H18" s="86" t="str">
        <f t="shared" si="3"/>
        <v>0120_otstndng_amnt</v>
      </c>
      <c r="I18" s="86"/>
    </row>
    <row r="19" spans="2:9" hidden="1" x14ac:dyDescent="0.35">
      <c r="B19" s="85" t="s">
        <v>129</v>
      </c>
      <c r="C19" s="86">
        <v>8</v>
      </c>
      <c r="D19" s="86"/>
      <c r="E19" s="86" t="str">
        <f t="shared" si="0"/>
        <v>lvl1</v>
      </c>
      <c r="F19" s="86" t="str">
        <f t="shared" si="1"/>
        <v>w</v>
      </c>
      <c r="G19" s="86" t="str">
        <f t="shared" si="2"/>
        <v>b02.00</v>
      </c>
      <c r="H19" s="86" t="str">
        <f t="shared" si="3"/>
        <v>0120_otstndng_amnt</v>
      </c>
      <c r="I19" s="86"/>
    </row>
    <row r="20" spans="2:9" hidden="1" x14ac:dyDescent="0.35">
      <c r="B20" s="85" t="s">
        <v>130</v>
      </c>
      <c r="C20" s="86">
        <v>8</v>
      </c>
      <c r="D20" s="86"/>
      <c r="E20" s="86" t="str">
        <f t="shared" si="0"/>
        <v>lvl1</v>
      </c>
      <c r="F20" s="86" t="str">
        <f t="shared" si="1"/>
        <v>h</v>
      </c>
      <c r="G20" s="86" t="str">
        <f t="shared" si="2"/>
        <v>b02.00</v>
      </c>
      <c r="H20" s="86" t="str">
        <f t="shared" si="3"/>
        <v>0130_rlvnt_amnt_wdc</v>
      </c>
      <c r="I20" s="86"/>
    </row>
    <row r="21" spans="2:9" hidden="1" x14ac:dyDescent="0.35">
      <c r="B21" s="85" t="s">
        <v>131</v>
      </c>
      <c r="C21" s="86">
        <v>0</v>
      </c>
      <c r="D21" s="86"/>
      <c r="E21" s="86" t="str">
        <f t="shared" si="0"/>
        <v>lvl1</v>
      </c>
      <c r="F21" s="86" t="str">
        <f t="shared" si="1"/>
        <v>h</v>
      </c>
      <c r="G21" s="86" t="str">
        <f t="shared" si="2"/>
        <v>b02.00</v>
      </c>
      <c r="H21" s="86" t="str">
        <f t="shared" si="3"/>
        <v>0140_ntr_lblty</v>
      </c>
      <c r="I21" s="86"/>
    </row>
    <row r="22" spans="2:9" hidden="1" x14ac:dyDescent="0.35">
      <c r="B22" s="85" t="s">
        <v>132</v>
      </c>
      <c r="C22" s="86">
        <v>0</v>
      </c>
      <c r="D22" s="86"/>
      <c r="E22" s="86" t="str">
        <f t="shared" si="0"/>
        <v>lvl1</v>
      </c>
      <c r="F22" s="86" t="str">
        <f t="shared" si="1"/>
        <v>h</v>
      </c>
      <c r="G22" s="86" t="str">
        <f t="shared" si="2"/>
        <v>b02.00</v>
      </c>
      <c r="H22" s="86" t="str">
        <f t="shared" si="3"/>
        <v>0141_ntr_lblty_othr</v>
      </c>
      <c r="I22" s="86"/>
    </row>
    <row r="23" spans="2:9" hidden="1" x14ac:dyDescent="0.35">
      <c r="B23" s="85" t="s">
        <v>133</v>
      </c>
      <c r="C23" s="86">
        <v>0</v>
      </c>
      <c r="D23" s="86"/>
      <c r="E23" s="86" t="str">
        <f t="shared" si="0"/>
        <v>lvl1</v>
      </c>
      <c r="F23" s="86" t="str">
        <f t="shared" si="1"/>
        <v>h</v>
      </c>
      <c r="G23" s="86" t="str">
        <f t="shared" si="2"/>
        <v>b02.00</v>
      </c>
      <c r="H23" s="86" t="str">
        <f t="shared" si="3"/>
        <v>0160_rank_insolv</v>
      </c>
      <c r="I23" s="86"/>
    </row>
    <row r="24" spans="2:9" hidden="1" x14ac:dyDescent="0.35">
      <c r="B24" s="85" t="s">
        <v>134</v>
      </c>
      <c r="C24" s="86">
        <v>0</v>
      </c>
      <c r="D24" s="86"/>
      <c r="E24" s="86" t="str">
        <f t="shared" si="0"/>
        <v>lvl1</v>
      </c>
      <c r="F24" s="86" t="str">
        <f t="shared" si="1"/>
        <v>h</v>
      </c>
      <c r="G24" s="86" t="str">
        <f t="shared" si="2"/>
        <v>b02.00</v>
      </c>
      <c r="H24" s="86" t="str">
        <f t="shared" si="3"/>
        <v>0162_bail_in_cascade</v>
      </c>
      <c r="I24" s="86"/>
    </row>
    <row r="25" spans="2:9" hidden="1" x14ac:dyDescent="0.35">
      <c r="B25" s="85" t="s">
        <v>135</v>
      </c>
      <c r="C25" s="86">
        <v>0</v>
      </c>
      <c r="D25" s="86"/>
      <c r="E25" s="86" t="str">
        <f t="shared" si="0"/>
        <v>lvl1</v>
      </c>
      <c r="F25" s="86" t="str">
        <f t="shared" si="1"/>
        <v>h</v>
      </c>
      <c r="G25" s="86" t="str">
        <f t="shared" si="2"/>
        <v>b02.00</v>
      </c>
      <c r="H25" s="86" t="str">
        <f t="shared" si="3"/>
        <v>0180_dt_nxt_intrst_pymnt</v>
      </c>
      <c r="I25" s="86"/>
    </row>
    <row r="26" spans="2:9" hidden="1" x14ac:dyDescent="0.35">
      <c r="B26" s="85" t="s">
        <v>136</v>
      </c>
      <c r="C26" s="86">
        <v>0</v>
      </c>
      <c r="D26" s="86"/>
      <c r="E26" s="86" t="str">
        <f t="shared" si="0"/>
        <v>lvl1</v>
      </c>
      <c r="F26" s="86" t="str">
        <f t="shared" si="1"/>
        <v>w</v>
      </c>
      <c r="G26" s="86" t="str">
        <f t="shared" si="2"/>
        <v>b02.00</v>
      </c>
      <c r="H26" s="86" t="str">
        <f t="shared" si="3"/>
        <v>0180_dt_nxt_intrst_pymnt</v>
      </c>
      <c r="I26" s="86"/>
    </row>
    <row r="27" spans="2:9" hidden="1" x14ac:dyDescent="0.35">
      <c r="B27" s="85" t="s">
        <v>137</v>
      </c>
      <c r="C27" s="86">
        <v>0</v>
      </c>
      <c r="D27" s="86"/>
      <c r="E27" s="86" t="str">
        <f t="shared" si="0"/>
        <v>lvl1</v>
      </c>
      <c r="F27" s="86" t="str">
        <f t="shared" si="1"/>
        <v>w</v>
      </c>
      <c r="G27" s="86" t="str">
        <f t="shared" si="2"/>
        <v>b02.00</v>
      </c>
      <c r="H27" s="86" t="str">
        <f t="shared" si="3"/>
        <v>0200_dt_erlst_rdmptn</v>
      </c>
      <c r="I27" s="86"/>
    </row>
    <row r="28" spans="2:9" hidden="1" x14ac:dyDescent="0.35">
      <c r="B28" s="85" t="s">
        <v>138</v>
      </c>
      <c r="C28" s="86">
        <v>0</v>
      </c>
      <c r="D28" s="86"/>
      <c r="E28" s="86" t="str">
        <f t="shared" si="0"/>
        <v>lvl1</v>
      </c>
      <c r="F28" s="86" t="str">
        <f t="shared" si="1"/>
        <v>h</v>
      </c>
      <c r="G28" s="86" t="str">
        <f t="shared" si="2"/>
        <v>b02.00</v>
      </c>
      <c r="H28" s="86" t="str">
        <f t="shared" si="3"/>
        <v>0210_dt_lgl_fnl_mtrty</v>
      </c>
      <c r="I28" s="86"/>
    </row>
    <row r="29" spans="2:9" hidden="1" x14ac:dyDescent="0.35">
      <c r="B29" s="85" t="s">
        <v>139</v>
      </c>
      <c r="C29" s="86">
        <v>0</v>
      </c>
      <c r="D29" s="101"/>
      <c r="E29" s="86" t="str">
        <f t="shared" si="0"/>
        <v>lvl1</v>
      </c>
      <c r="F29" s="86" t="str">
        <f t="shared" si="1"/>
        <v>h</v>
      </c>
      <c r="G29" s="86" t="str">
        <f t="shared" si="2"/>
        <v>b02.00</v>
      </c>
      <c r="H29" s="86" t="str">
        <f t="shared" si="3"/>
        <v>0220_governing_law</v>
      </c>
      <c r="I29" s="86"/>
    </row>
    <row r="30" spans="2:9" hidden="1" x14ac:dyDescent="0.35">
      <c r="B30" s="85" t="s">
        <v>140</v>
      </c>
      <c r="C30" s="86">
        <v>0</v>
      </c>
      <c r="D30" s="86"/>
      <c r="E30" s="86" t="str">
        <f t="shared" si="0"/>
        <v>lvl1</v>
      </c>
      <c r="F30" s="86" t="str">
        <f t="shared" si="1"/>
        <v>h</v>
      </c>
      <c r="G30" s="86" t="str">
        <f t="shared" si="2"/>
        <v>b02.00</v>
      </c>
      <c r="H30" s="86" t="str">
        <f t="shared" si="3"/>
        <v>0250_strctrd_prdct</v>
      </c>
      <c r="I30" s="86"/>
    </row>
    <row r="31" spans="2:9" hidden="1" x14ac:dyDescent="0.35">
      <c r="B31" s="85" t="s">
        <v>141</v>
      </c>
      <c r="C31" s="86">
        <v>0</v>
      </c>
      <c r="D31" s="86"/>
      <c r="E31" s="86" t="str">
        <f t="shared" si="0"/>
        <v>lvl1</v>
      </c>
      <c r="F31" s="86" t="str">
        <f t="shared" si="1"/>
        <v>w</v>
      </c>
      <c r="G31" s="86" t="str">
        <f t="shared" si="2"/>
        <v>b02.00</v>
      </c>
      <c r="H31" s="86" t="str">
        <f t="shared" si="3"/>
        <v>0260_grntd_min_amnt_strctrd_prdct</v>
      </c>
      <c r="I31" s="86"/>
    </row>
    <row r="32" spans="2:9" hidden="1" x14ac:dyDescent="0.35">
      <c r="B32" s="85" t="s">
        <v>142</v>
      </c>
      <c r="C32" s="86">
        <v>0</v>
      </c>
      <c r="D32" s="86"/>
      <c r="E32" s="86" t="str">
        <f t="shared" si="0"/>
        <v>lvl1</v>
      </c>
      <c r="F32" s="86" t="str">
        <f t="shared" si="1"/>
        <v>h</v>
      </c>
      <c r="G32" s="86" t="str">
        <f t="shared" si="2"/>
        <v>b02.00</v>
      </c>
      <c r="H32" s="86" t="str">
        <f t="shared" si="3"/>
        <v>0270_fv_amnt_strctrd_prdct</v>
      </c>
      <c r="I32" s="86"/>
    </row>
    <row r="33" spans="2:9" hidden="1" x14ac:dyDescent="0.35">
      <c r="B33" s="85" t="s">
        <v>143</v>
      </c>
      <c r="C33" s="86">
        <v>0</v>
      </c>
      <c r="D33" s="86"/>
      <c r="E33" s="86" t="str">
        <f t="shared" si="0"/>
        <v>lvl1</v>
      </c>
      <c r="F33" s="86" t="str">
        <f t="shared" si="1"/>
        <v>h</v>
      </c>
      <c r="G33" s="86" t="str">
        <f t="shared" si="2"/>
        <v>b02.00</v>
      </c>
      <c r="H33" s="86" t="str">
        <f t="shared" si="3"/>
        <v>0300_amnt_cvrd_elgbl_dpsts</v>
      </c>
      <c r="I33" s="86"/>
    </row>
    <row r="34" spans="2:9" hidden="1" x14ac:dyDescent="0.35">
      <c r="B34" s="85" t="s">
        <v>144</v>
      </c>
      <c r="C34" s="86">
        <v>0</v>
      </c>
      <c r="D34" s="86"/>
      <c r="E34" s="86" t="str">
        <f t="shared" si="0"/>
        <v>lvl1</v>
      </c>
      <c r="F34" s="86" t="str">
        <f t="shared" si="1"/>
        <v>h</v>
      </c>
      <c r="G34" s="86" t="str">
        <f t="shared" si="2"/>
        <v>b02.00</v>
      </c>
      <c r="H34" s="86" t="str">
        <f t="shared" si="3"/>
        <v>0310_flg_clltrl_agrmnts</v>
      </c>
      <c r="I34" s="86"/>
    </row>
    <row r="35" spans="2:9" hidden="1" x14ac:dyDescent="0.35">
      <c r="B35" s="85" t="s">
        <v>145</v>
      </c>
      <c r="C35" s="86">
        <v>0</v>
      </c>
      <c r="D35" s="86"/>
      <c r="E35" s="86" t="str">
        <f t="shared" si="0"/>
        <v>lvl1</v>
      </c>
      <c r="F35" s="86" t="str">
        <f t="shared" si="1"/>
        <v>h</v>
      </c>
      <c r="G35" s="86" t="str">
        <f t="shared" si="2"/>
        <v>b02.00</v>
      </c>
      <c r="H35" s="86" t="str">
        <f t="shared" si="3"/>
        <v>0320_amnt_clltrl</v>
      </c>
      <c r="I35" s="86"/>
    </row>
    <row r="36" spans="2:9" hidden="1" x14ac:dyDescent="0.35">
      <c r="B36" s="85" t="s">
        <v>146</v>
      </c>
      <c r="C36" s="86">
        <v>0</v>
      </c>
      <c r="D36" s="86"/>
      <c r="E36" s="86" t="str">
        <f t="shared" si="0"/>
        <v>lvl1</v>
      </c>
      <c r="F36" s="86" t="str">
        <f t="shared" si="1"/>
        <v>h</v>
      </c>
      <c r="G36" s="86" t="str">
        <f t="shared" si="2"/>
        <v>b02.00</v>
      </c>
      <c r="H36" s="86" t="str">
        <f t="shared" si="3"/>
        <v>0330_amnt_unclltrlzd</v>
      </c>
      <c r="I36" s="86"/>
    </row>
    <row r="37" spans="2:9" hidden="1" x14ac:dyDescent="0.35">
      <c r="B37" s="85" t="s">
        <v>147</v>
      </c>
      <c r="C37" s="86">
        <v>0</v>
      </c>
      <c r="D37" s="86"/>
      <c r="E37" s="86" t="str">
        <f t="shared" si="0"/>
        <v>lvl1</v>
      </c>
      <c r="F37" s="86" t="str">
        <f t="shared" si="1"/>
        <v>h</v>
      </c>
      <c r="G37" s="86" t="str">
        <f t="shared" si="2"/>
        <v>b02.00</v>
      </c>
      <c r="H37" s="86" t="str">
        <f t="shared" si="3"/>
        <v>0350_typ_clltrl</v>
      </c>
      <c r="I37" s="86"/>
    </row>
    <row r="38" spans="2:9" hidden="1" x14ac:dyDescent="0.35">
      <c r="B38" s="85" t="s">
        <v>148</v>
      </c>
      <c r="C38" s="86">
        <v>0</v>
      </c>
      <c r="D38" s="86"/>
      <c r="E38" s="86" t="str">
        <f t="shared" si="0"/>
        <v>lvl1</v>
      </c>
      <c r="F38" s="86" t="str">
        <f t="shared" si="1"/>
        <v>h</v>
      </c>
      <c r="G38" s="86" t="str">
        <f t="shared" si="2"/>
        <v>b02.00</v>
      </c>
      <c r="H38" s="86" t="str">
        <f t="shared" si="3"/>
        <v>0351_typ_clltrl_othr</v>
      </c>
      <c r="I38" s="86"/>
    </row>
    <row r="39" spans="2:9" hidden="1" x14ac:dyDescent="0.35">
      <c r="B39" s="85" t="s">
        <v>149</v>
      </c>
      <c r="C39" s="86">
        <v>0</v>
      </c>
      <c r="D39" s="86"/>
      <c r="E39" s="86" t="str">
        <f t="shared" si="0"/>
        <v>lvl1</v>
      </c>
      <c r="F39" s="86" t="str">
        <f t="shared" si="1"/>
        <v>h</v>
      </c>
      <c r="G39" s="86" t="str">
        <f t="shared" si="2"/>
        <v>b02.00</v>
      </c>
      <c r="H39" s="86" t="str">
        <f t="shared" si="3"/>
        <v>0370_amnt_scrty_eur</v>
      </c>
      <c r="I39" s="86"/>
    </row>
    <row r="40" spans="2:9" hidden="1" x14ac:dyDescent="0.35">
      <c r="B40" s="85" t="s">
        <v>150</v>
      </c>
      <c r="C40" s="86">
        <v>0</v>
      </c>
      <c r="D40" s="86"/>
      <c r="E40" s="86" t="str">
        <f t="shared" si="0"/>
        <v>lvl1</v>
      </c>
      <c r="F40" s="86" t="str">
        <f t="shared" si="1"/>
        <v>w</v>
      </c>
      <c r="G40" s="86" t="str">
        <f t="shared" si="2"/>
        <v>b02.00</v>
      </c>
      <c r="H40" s="86" t="str">
        <f t="shared" si="3"/>
        <v>0370_amnt_scrty_eur</v>
      </c>
      <c r="I40" s="86"/>
    </row>
    <row r="41" spans="2:9" hidden="1" x14ac:dyDescent="0.35">
      <c r="B41" s="85" t="s">
        <v>151</v>
      </c>
      <c r="C41" s="86">
        <v>0</v>
      </c>
      <c r="D41" s="86"/>
      <c r="E41" s="86" t="str">
        <f t="shared" si="0"/>
        <v>lvl1</v>
      </c>
      <c r="F41" s="86" t="str">
        <f t="shared" si="1"/>
        <v>h</v>
      </c>
      <c r="G41" s="86" t="str">
        <f t="shared" si="2"/>
        <v>b02.00</v>
      </c>
      <c r="H41" s="86" t="str">
        <f t="shared" si="3"/>
        <v>0390_nmbr_scrts_not_rprtng_entty</v>
      </c>
      <c r="I41" s="86"/>
    </row>
    <row r="42" spans="2:9" hidden="1" x14ac:dyDescent="0.35">
      <c r="B42" s="85" t="s">
        <v>152</v>
      </c>
      <c r="C42" s="86">
        <v>8</v>
      </c>
      <c r="D42" s="86"/>
      <c r="E42" s="86" t="str">
        <f t="shared" si="0"/>
        <v>lvl1</v>
      </c>
      <c r="F42" s="86" t="str">
        <f t="shared" si="1"/>
        <v>h</v>
      </c>
      <c r="G42" s="86" t="str">
        <f t="shared" si="2"/>
        <v>b02.00</v>
      </c>
      <c r="H42" s="86" t="str">
        <f t="shared" si="3"/>
        <v>0391_nmbr_scrts_rprtng_entty</v>
      </c>
      <c r="I42" s="86"/>
    </row>
    <row r="43" spans="2:9" hidden="1" x14ac:dyDescent="0.35">
      <c r="B43" s="85" t="s">
        <v>153</v>
      </c>
      <c r="C43" s="86">
        <v>0</v>
      </c>
      <c r="D43" s="86"/>
      <c r="E43" s="86" t="str">
        <f t="shared" si="0"/>
        <v>lvl1</v>
      </c>
      <c r="F43" s="86" t="str">
        <f t="shared" si="1"/>
        <v>h</v>
      </c>
      <c r="G43" s="86" t="str">
        <f t="shared" si="2"/>
        <v>b02.00</v>
      </c>
      <c r="H43" s="86" t="str">
        <f t="shared" si="3"/>
        <v>0400_accrd_intrst_scrty</v>
      </c>
      <c r="I43" s="86"/>
    </row>
    <row r="44" spans="2:9" hidden="1" x14ac:dyDescent="0.35">
      <c r="B44" s="85" t="s">
        <v>154</v>
      </c>
      <c r="C44" s="86">
        <v>0</v>
      </c>
      <c r="D44" s="86"/>
      <c r="E44" s="86" t="str">
        <f t="shared" si="0"/>
        <v>lvl1</v>
      </c>
      <c r="F44" s="86" t="str">
        <f t="shared" si="1"/>
        <v>w</v>
      </c>
      <c r="G44" s="86" t="str">
        <f t="shared" si="2"/>
        <v>b02.00</v>
      </c>
      <c r="H44" s="86" t="str">
        <f t="shared" si="3"/>
        <v>0400_accrd_intrst_scrty</v>
      </c>
      <c r="I44" s="86"/>
    </row>
    <row r="45" spans="2:9" hidden="1" x14ac:dyDescent="0.35">
      <c r="B45" s="85" t="s">
        <v>155</v>
      </c>
      <c r="C45" s="86">
        <v>0</v>
      </c>
      <c r="D45" s="86"/>
      <c r="E45" s="86" t="str">
        <f t="shared" si="0"/>
        <v>lvl1</v>
      </c>
      <c r="F45" s="86" t="str">
        <f t="shared" si="1"/>
        <v>w</v>
      </c>
      <c r="G45" s="86" t="str">
        <f t="shared" si="2"/>
        <v>b02.00</v>
      </c>
      <c r="H45" s="86" t="str">
        <f t="shared" si="3"/>
        <v>0610_crryng_amnt_ifrs</v>
      </c>
      <c r="I45" s="86"/>
    </row>
    <row r="46" spans="2:9" hidden="1" x14ac:dyDescent="0.35">
      <c r="B46" s="85" t="s">
        <v>156</v>
      </c>
      <c r="C46" s="86">
        <v>-9999</v>
      </c>
      <c r="D46" s="86"/>
      <c r="E46" s="86" t="str">
        <f t="shared" si="0"/>
        <v>lvl1</v>
      </c>
      <c r="F46" s="86" t="str">
        <f t="shared" si="1"/>
        <v>h</v>
      </c>
      <c r="G46" s="86" t="str">
        <f t="shared" si="2"/>
        <v>b02.00</v>
      </c>
      <c r="H46" s="86" t="str">
        <f t="shared" si="3"/>
        <v>5000_flg_shrhldr_not_rsltn_grp</v>
      </c>
      <c r="I46" s="86"/>
    </row>
    <row r="47" spans="2:9" hidden="1" x14ac:dyDescent="0.35">
      <c r="B47" s="85" t="s">
        <v>157</v>
      </c>
      <c r="C47" s="86">
        <v>-9999</v>
      </c>
      <c r="D47" s="86"/>
      <c r="E47" s="86" t="str">
        <f t="shared" si="0"/>
        <v>lvl1</v>
      </c>
      <c r="F47" s="86" t="str">
        <f t="shared" si="1"/>
        <v>h</v>
      </c>
      <c r="G47" s="86" t="str">
        <f t="shared" si="2"/>
        <v>b02.00</v>
      </c>
      <c r="H47" s="86" t="str">
        <f t="shared" si="3"/>
        <v>5010_flg_art21_7a_srmr</v>
      </c>
      <c r="I47" s="86"/>
    </row>
    <row r="48" spans="2:9" hidden="1" x14ac:dyDescent="0.35">
      <c r="B48" s="85" t="s">
        <v>158</v>
      </c>
      <c r="C48" s="86">
        <v>0</v>
      </c>
      <c r="D48" s="86"/>
      <c r="E48" s="86" t="str">
        <f t="shared" si="0"/>
        <v>lvl2</v>
      </c>
      <c r="F48" s="86" t="str">
        <f t="shared" si="1"/>
        <v>h</v>
      </c>
      <c r="G48" s="86" t="str">
        <f t="shared" si="2"/>
        <v>b02.00</v>
      </c>
      <c r="H48" s="86" t="str">
        <f t="shared" si="3"/>
        <v>0030_uniq_id_knwn_cntrprty</v>
      </c>
      <c r="I48" s="86"/>
    </row>
    <row r="49" spans="2:9" hidden="1" x14ac:dyDescent="0.35">
      <c r="B49" s="85" t="s">
        <v>159</v>
      </c>
      <c r="C49" s="86">
        <v>0</v>
      </c>
      <c r="D49" s="86"/>
      <c r="E49" s="86" t="str">
        <f t="shared" si="0"/>
        <v>lvl2</v>
      </c>
      <c r="F49" s="86" t="str">
        <f t="shared" si="1"/>
        <v>h</v>
      </c>
      <c r="G49" s="86" t="str">
        <f t="shared" si="2"/>
        <v>b02.00</v>
      </c>
      <c r="H49" s="86" t="str">
        <f t="shared" si="3"/>
        <v>0070_cntrct_crrncy</v>
      </c>
      <c r="I49" s="86"/>
    </row>
    <row r="50" spans="2:9" hidden="1" x14ac:dyDescent="0.35">
      <c r="B50" s="85" t="s">
        <v>160</v>
      </c>
      <c r="C50" s="86">
        <v>0</v>
      </c>
      <c r="D50" s="86"/>
      <c r="E50" s="86" t="str">
        <f t="shared" si="0"/>
        <v>lvl2</v>
      </c>
      <c r="F50" s="86" t="str">
        <f t="shared" si="1"/>
        <v>w</v>
      </c>
      <c r="G50" s="86" t="str">
        <f t="shared" si="2"/>
        <v>b02.00</v>
      </c>
      <c r="H50" s="86" t="str">
        <f t="shared" si="3"/>
        <v>0080_otstndng_prncpl_amnt</v>
      </c>
      <c r="I50" s="86"/>
    </row>
    <row r="51" spans="2:9" hidden="1" x14ac:dyDescent="0.35">
      <c r="B51" s="85" t="s">
        <v>161</v>
      </c>
      <c r="C51" s="86">
        <v>0</v>
      </c>
      <c r="D51" s="86"/>
      <c r="E51" s="86" t="str">
        <f t="shared" si="0"/>
        <v>lvl2</v>
      </c>
      <c r="F51" s="86" t="str">
        <f t="shared" si="1"/>
        <v>h</v>
      </c>
      <c r="G51" s="86" t="str">
        <f t="shared" si="2"/>
        <v>b02.00</v>
      </c>
      <c r="H51" s="86" t="str">
        <f t="shared" si="3"/>
        <v>0090_prtn_amnt_rprtng_entty</v>
      </c>
      <c r="I51" s="86"/>
    </row>
    <row r="52" spans="2:9" hidden="1" x14ac:dyDescent="0.35">
      <c r="B52" s="85" t="s">
        <v>162</v>
      </c>
      <c r="C52" s="86">
        <v>0</v>
      </c>
      <c r="D52" s="86"/>
      <c r="E52" s="86" t="str">
        <f t="shared" si="0"/>
        <v>lvl2</v>
      </c>
      <c r="F52" s="86" t="str">
        <f t="shared" si="1"/>
        <v>w</v>
      </c>
      <c r="G52" s="86" t="str">
        <f t="shared" si="2"/>
        <v>b02.00</v>
      </c>
      <c r="H52" s="86" t="str">
        <f t="shared" si="3"/>
        <v>0100_accrd_intrst_instrmnt</v>
      </c>
      <c r="I52" s="86"/>
    </row>
    <row r="53" spans="2:9" hidden="1" x14ac:dyDescent="0.35">
      <c r="B53" s="85" t="s">
        <v>163</v>
      </c>
      <c r="C53" s="86">
        <v>0</v>
      </c>
      <c r="D53" s="86"/>
      <c r="E53" s="86" t="str">
        <f t="shared" si="0"/>
        <v>lvl2</v>
      </c>
      <c r="F53" s="86" t="str">
        <f t="shared" si="1"/>
        <v>w</v>
      </c>
      <c r="G53" s="86" t="str">
        <f t="shared" si="2"/>
        <v>b02.00</v>
      </c>
      <c r="H53" s="86" t="str">
        <f t="shared" si="3"/>
        <v>0110_applcbl_fees_charges</v>
      </c>
      <c r="I53" s="86"/>
    </row>
    <row r="54" spans="2:9" hidden="1" x14ac:dyDescent="0.35">
      <c r="B54" s="85" t="s">
        <v>164</v>
      </c>
      <c r="C54" s="86">
        <v>8</v>
      </c>
      <c r="D54" s="86"/>
      <c r="E54" s="86" t="str">
        <f t="shared" si="0"/>
        <v>lvl2</v>
      </c>
      <c r="F54" s="86" t="str">
        <f t="shared" si="1"/>
        <v>h</v>
      </c>
      <c r="G54" s="86" t="str">
        <f t="shared" si="2"/>
        <v>b02.00</v>
      </c>
      <c r="H54" s="86" t="str">
        <f t="shared" si="3"/>
        <v>0120_otstndng_amnt</v>
      </c>
      <c r="I54" s="86"/>
    </row>
    <row r="55" spans="2:9" hidden="1" x14ac:dyDescent="0.35">
      <c r="B55" s="85" t="s">
        <v>165</v>
      </c>
      <c r="C55" s="86">
        <v>0</v>
      </c>
      <c r="D55" s="86"/>
      <c r="E55" s="86" t="str">
        <f t="shared" si="0"/>
        <v>lvl2</v>
      </c>
      <c r="F55" s="86" t="str">
        <f t="shared" si="1"/>
        <v>h</v>
      </c>
      <c r="G55" s="86" t="str">
        <f t="shared" si="2"/>
        <v>b02.00</v>
      </c>
      <c r="H55" s="86" t="str">
        <f t="shared" si="3"/>
        <v>0120_otstndng_amnt</v>
      </c>
      <c r="I55" s="86"/>
    </row>
    <row r="56" spans="2:9" hidden="1" x14ac:dyDescent="0.35">
      <c r="B56" s="85" t="s">
        <v>166</v>
      </c>
      <c r="C56" s="86">
        <v>0</v>
      </c>
      <c r="D56" s="86"/>
      <c r="E56" s="86" t="str">
        <f t="shared" si="0"/>
        <v>lvl2</v>
      </c>
      <c r="F56" s="86" t="str">
        <f t="shared" si="1"/>
        <v>h</v>
      </c>
      <c r="G56" s="86" t="str">
        <f t="shared" si="2"/>
        <v>b02.00</v>
      </c>
      <c r="H56" s="86" t="str">
        <f t="shared" si="3"/>
        <v>0130_rlvnt_amnt_wdc</v>
      </c>
      <c r="I56" s="86"/>
    </row>
    <row r="57" spans="2:9" hidden="1" x14ac:dyDescent="0.35">
      <c r="B57" s="85" t="s">
        <v>167</v>
      </c>
      <c r="C57" s="86">
        <v>0</v>
      </c>
      <c r="D57" s="86"/>
      <c r="E57" s="86" t="str">
        <f t="shared" si="0"/>
        <v>lvl2</v>
      </c>
      <c r="F57" s="86" t="str">
        <f t="shared" si="1"/>
        <v>h</v>
      </c>
      <c r="G57" s="86" t="str">
        <f t="shared" si="2"/>
        <v>b02.00</v>
      </c>
      <c r="H57" s="86" t="str">
        <f t="shared" si="3"/>
        <v>0130_rlvnt_amnt_wdc</v>
      </c>
      <c r="I57" s="86"/>
    </row>
    <row r="58" spans="2:9" hidden="1" x14ac:dyDescent="0.35">
      <c r="B58" s="85" t="s">
        <v>168</v>
      </c>
      <c r="C58" s="86">
        <v>4</v>
      </c>
      <c r="D58" s="86"/>
      <c r="E58" s="86" t="str">
        <f t="shared" si="0"/>
        <v>lvl2</v>
      </c>
      <c r="F58" s="86" t="str">
        <f t="shared" si="1"/>
        <v>h</v>
      </c>
      <c r="G58" s="86" t="str">
        <f t="shared" si="2"/>
        <v>b02.00</v>
      </c>
      <c r="H58" s="86" t="str">
        <f t="shared" si="3"/>
        <v>0140_ntr_lblty</v>
      </c>
      <c r="I58" s="86"/>
    </row>
    <row r="59" spans="2:9" hidden="1" x14ac:dyDescent="0.35">
      <c r="B59" s="85" t="s">
        <v>169</v>
      </c>
      <c r="C59" s="86">
        <v>0</v>
      </c>
      <c r="D59" s="86"/>
      <c r="E59" s="86" t="str">
        <f t="shared" si="0"/>
        <v>lvl2</v>
      </c>
      <c r="F59" s="86" t="str">
        <f t="shared" si="1"/>
        <v>h</v>
      </c>
      <c r="G59" s="86" t="str">
        <f t="shared" si="2"/>
        <v>b02.00</v>
      </c>
      <c r="H59" s="86" t="str">
        <f t="shared" si="3"/>
        <v>0160_rank_insolv</v>
      </c>
      <c r="I59" s="86"/>
    </row>
    <row r="60" spans="2:9" hidden="1" x14ac:dyDescent="0.35">
      <c r="B60" s="85" t="s">
        <v>170</v>
      </c>
      <c r="C60" s="86">
        <v>0</v>
      </c>
      <c r="D60" s="86"/>
      <c r="E60" s="86" t="str">
        <f t="shared" si="0"/>
        <v>lvl2</v>
      </c>
      <c r="F60" s="86" t="str">
        <f t="shared" si="1"/>
        <v>h</v>
      </c>
      <c r="G60" s="86" t="str">
        <f t="shared" si="2"/>
        <v>b02.00</v>
      </c>
      <c r="H60" s="86" t="str">
        <f t="shared" si="3"/>
        <v>0170_dt_incptn</v>
      </c>
      <c r="I60" s="86"/>
    </row>
    <row r="61" spans="2:9" hidden="1" x14ac:dyDescent="0.35">
      <c r="B61" s="85" t="s">
        <v>171</v>
      </c>
      <c r="C61" s="86">
        <v>0</v>
      </c>
      <c r="D61" s="86"/>
      <c r="E61" s="86" t="str">
        <f t="shared" si="0"/>
        <v>lvl2</v>
      </c>
      <c r="F61" s="86" t="str">
        <f t="shared" si="1"/>
        <v>h</v>
      </c>
      <c r="G61" s="86" t="str">
        <f t="shared" si="2"/>
        <v>b02.00</v>
      </c>
      <c r="H61" s="86" t="str">
        <f t="shared" si="3"/>
        <v>0170_dt_incptn</v>
      </c>
      <c r="I61" s="86"/>
    </row>
    <row r="62" spans="2:9" hidden="1" x14ac:dyDescent="0.35">
      <c r="B62" s="85" t="s">
        <v>172</v>
      </c>
      <c r="C62" s="86">
        <v>8</v>
      </c>
      <c r="D62" s="86"/>
      <c r="E62" s="86" t="str">
        <f t="shared" si="0"/>
        <v>lvl2</v>
      </c>
      <c r="F62" s="86" t="str">
        <f t="shared" si="1"/>
        <v>h</v>
      </c>
      <c r="G62" s="86" t="str">
        <f t="shared" si="2"/>
        <v>b02.00</v>
      </c>
      <c r="H62" s="86" t="str">
        <f t="shared" si="3"/>
        <v>0180_dt_nxt_intrst_pymnt</v>
      </c>
      <c r="I62" s="86"/>
    </row>
    <row r="63" spans="2:9" hidden="1" x14ac:dyDescent="0.35">
      <c r="B63" s="85" t="s">
        <v>173</v>
      </c>
      <c r="C63" s="86">
        <v>-9999</v>
      </c>
      <c r="D63" s="86"/>
      <c r="E63" s="86" t="str">
        <f t="shared" si="0"/>
        <v>lvl2</v>
      </c>
      <c r="F63" s="86" t="str">
        <f t="shared" si="1"/>
        <v>h</v>
      </c>
      <c r="G63" s="86" t="str">
        <f t="shared" si="2"/>
        <v>b02.00</v>
      </c>
      <c r="H63" s="86" t="str">
        <f t="shared" si="3"/>
        <v>0180_dt_nxt_intrst_pymnt</v>
      </c>
      <c r="I63" s="86"/>
    </row>
    <row r="64" spans="2:9" hidden="1" x14ac:dyDescent="0.35">
      <c r="B64" s="85" t="s">
        <v>174</v>
      </c>
      <c r="C64" s="86">
        <v>0</v>
      </c>
      <c r="D64" s="86"/>
      <c r="E64" s="86" t="str">
        <f t="shared" si="0"/>
        <v>lvl2</v>
      </c>
      <c r="F64" s="86" t="str">
        <f t="shared" si="1"/>
        <v>h</v>
      </c>
      <c r="G64" s="86" t="str">
        <f t="shared" si="2"/>
        <v>b02.00</v>
      </c>
      <c r="H64" s="86" t="str">
        <f t="shared" si="3"/>
        <v>0200_dt_erlst_rdmptn</v>
      </c>
      <c r="I64" s="86"/>
    </row>
    <row r="65" spans="2:9" hidden="1" x14ac:dyDescent="0.35">
      <c r="B65" s="85" t="s">
        <v>175</v>
      </c>
      <c r="C65" s="86">
        <v>-9999</v>
      </c>
      <c r="D65" s="86"/>
      <c r="E65" s="86" t="str">
        <f t="shared" si="0"/>
        <v>lvl2</v>
      </c>
      <c r="F65" s="86" t="str">
        <f t="shared" si="1"/>
        <v>h</v>
      </c>
      <c r="G65" s="86" t="str">
        <f t="shared" si="2"/>
        <v>b02.00</v>
      </c>
      <c r="H65" s="86" t="str">
        <f t="shared" si="3"/>
        <v>0200_dt_erlst_rdmptn</v>
      </c>
      <c r="I65" s="86"/>
    </row>
    <row r="66" spans="2:9" hidden="1" x14ac:dyDescent="0.35">
      <c r="B66" s="85" t="s">
        <v>176</v>
      </c>
      <c r="C66" s="86">
        <v>0</v>
      </c>
      <c r="D66" s="86"/>
      <c r="E66" s="86" t="str">
        <f t="shared" si="0"/>
        <v>lvl2</v>
      </c>
      <c r="F66" s="86" t="str">
        <f t="shared" si="1"/>
        <v>h</v>
      </c>
      <c r="G66" s="86" t="str">
        <f t="shared" si="2"/>
        <v>b02.00</v>
      </c>
      <c r="H66" s="86" t="str">
        <f t="shared" si="3"/>
        <v>0210_dt_lgl_fnl_mtrty</v>
      </c>
      <c r="I66" s="86"/>
    </row>
    <row r="67" spans="2:9" hidden="1" x14ac:dyDescent="0.35">
      <c r="B67" s="85" t="s">
        <v>177</v>
      </c>
      <c r="C67" s="86">
        <v>-9999</v>
      </c>
      <c r="D67" s="86"/>
      <c r="E67" s="86" t="str">
        <f t="shared" si="0"/>
        <v>lvl2</v>
      </c>
      <c r="F67" s="86" t="str">
        <f t="shared" si="1"/>
        <v>h</v>
      </c>
      <c r="G67" s="86" t="str">
        <f t="shared" si="2"/>
        <v>b02.00</v>
      </c>
      <c r="H67" s="86" t="str">
        <f t="shared" si="3"/>
        <v>0210_dt_lgl_fnl_mtrty</v>
      </c>
      <c r="I67" s="86"/>
    </row>
    <row r="68" spans="2:9" hidden="1" x14ac:dyDescent="0.35">
      <c r="B68" s="85" t="s">
        <v>178</v>
      </c>
      <c r="C68" s="86">
        <v>0</v>
      </c>
      <c r="D68" s="86"/>
      <c r="E68" s="86" t="str">
        <f t="shared" si="0"/>
        <v>lvl2</v>
      </c>
      <c r="F68" s="86" t="str">
        <f t="shared" si="1"/>
        <v>h</v>
      </c>
      <c r="G68" s="86" t="str">
        <f t="shared" si="2"/>
        <v>b02.00</v>
      </c>
      <c r="H68" s="86" t="str">
        <f t="shared" si="3"/>
        <v>0220_governing_law</v>
      </c>
      <c r="I68" s="86"/>
    </row>
    <row r="69" spans="2:9" hidden="1" x14ac:dyDescent="0.35">
      <c r="B69" s="85" t="s">
        <v>179</v>
      </c>
      <c r="C69" s="86">
        <v>0</v>
      </c>
      <c r="D69" s="86"/>
      <c r="E69" s="86" t="str">
        <f t="shared" si="0"/>
        <v>lvl2</v>
      </c>
      <c r="F69" s="86" t="str">
        <f t="shared" si="1"/>
        <v>h</v>
      </c>
      <c r="G69" s="86" t="str">
        <f t="shared" si="2"/>
        <v>b02.00</v>
      </c>
      <c r="H69" s="86" t="str">
        <f t="shared" si="3"/>
        <v>0230_bail_in_rcgntn_cls</v>
      </c>
      <c r="I69" s="86"/>
    </row>
    <row r="70" spans="2:9" hidden="1" x14ac:dyDescent="0.35">
      <c r="B70" s="85" t="s">
        <v>180</v>
      </c>
      <c r="C70" s="86">
        <v>0</v>
      </c>
      <c r="D70" s="86"/>
      <c r="E70" s="86" t="str">
        <f t="shared" si="0"/>
        <v>lvl2</v>
      </c>
      <c r="F70" s="86" t="str">
        <f t="shared" si="1"/>
        <v>h</v>
      </c>
      <c r="G70" s="86" t="str">
        <f t="shared" si="2"/>
        <v>b02.00</v>
      </c>
      <c r="H70" s="86" t="str">
        <f t="shared" si="3"/>
        <v>0250_strctrd_prdct</v>
      </c>
      <c r="I70" s="86"/>
    </row>
    <row r="71" spans="2:9" hidden="1" x14ac:dyDescent="0.35">
      <c r="B71" s="85" t="s">
        <v>181</v>
      </c>
      <c r="C71" s="86">
        <v>0</v>
      </c>
      <c r="D71" s="86"/>
      <c r="E71" s="86" t="str">
        <f t="shared" si="0"/>
        <v>lvl2</v>
      </c>
      <c r="F71" s="86" t="str">
        <f t="shared" si="1"/>
        <v>h</v>
      </c>
      <c r="G71" s="86" t="str">
        <f t="shared" si="2"/>
        <v>b02.00</v>
      </c>
      <c r="H71" s="86" t="str">
        <f t="shared" si="3"/>
        <v>0310_flg_clltrl_agrmnts</v>
      </c>
      <c r="I71" s="86"/>
    </row>
    <row r="72" spans="2:9" hidden="1" x14ac:dyDescent="0.35">
      <c r="B72" s="85" t="s">
        <v>182</v>
      </c>
      <c r="C72" s="86">
        <v>0</v>
      </c>
      <c r="D72" s="86"/>
      <c r="E72" s="86" t="str">
        <f t="shared" si="0"/>
        <v>lvl2</v>
      </c>
      <c r="F72" s="86" t="str">
        <f t="shared" si="1"/>
        <v>h</v>
      </c>
      <c r="G72" s="86" t="str">
        <f t="shared" si="2"/>
        <v>b02.00</v>
      </c>
      <c r="H72" s="86" t="str">
        <f t="shared" si="3"/>
        <v>0330_amnt_unclltrlzd</v>
      </c>
      <c r="I72" s="86"/>
    </row>
    <row r="73" spans="2:9" hidden="1" x14ac:dyDescent="0.35">
      <c r="B73" s="85" t="s">
        <v>183</v>
      </c>
      <c r="C73" s="86">
        <v>0</v>
      </c>
      <c r="D73" s="86"/>
      <c r="E73" s="86" t="str">
        <f t="shared" si="0"/>
        <v>lvl2</v>
      </c>
      <c r="F73" s="86" t="str">
        <f t="shared" si="1"/>
        <v>h</v>
      </c>
      <c r="G73" s="86" t="str">
        <f t="shared" si="2"/>
        <v>b02.00</v>
      </c>
      <c r="H73" s="86" t="str">
        <f t="shared" si="3"/>
        <v>0330_amnt_unclltrlzd</v>
      </c>
      <c r="I73" s="86"/>
    </row>
    <row r="74" spans="2:9" hidden="1" x14ac:dyDescent="0.35">
      <c r="B74" s="85" t="s">
        <v>184</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hidden="1" x14ac:dyDescent="0.35">
      <c r="B75" s="85" t="s">
        <v>185</v>
      </c>
      <c r="C75" s="86">
        <v>0</v>
      </c>
      <c r="D75" s="86"/>
      <c r="E75" s="86" t="str">
        <f t="shared" si="4"/>
        <v>lvl2</v>
      </c>
      <c r="F75" s="86" t="str">
        <f t="shared" si="5"/>
        <v>h</v>
      </c>
      <c r="G75" s="86" t="str">
        <f t="shared" si="6"/>
        <v>b02.00</v>
      </c>
      <c r="H75" s="86" t="str">
        <f t="shared" si="7"/>
        <v>0350_typ_clltrl</v>
      </c>
      <c r="I75" s="86"/>
    </row>
    <row r="76" spans="2:9" hidden="1" x14ac:dyDescent="0.35">
      <c r="B76" s="85" t="s">
        <v>186</v>
      </c>
      <c r="C76" s="86">
        <v>0</v>
      </c>
      <c r="D76" s="86"/>
      <c r="E76" s="86" t="str">
        <f t="shared" si="4"/>
        <v>lvl2</v>
      </c>
      <c r="F76" s="86" t="str">
        <f t="shared" si="5"/>
        <v>h</v>
      </c>
      <c r="G76" s="86" t="str">
        <f t="shared" si="6"/>
        <v>b02.00</v>
      </c>
      <c r="H76" s="86" t="str">
        <f t="shared" si="7"/>
        <v>0440_ntr_glbl_nt</v>
      </c>
      <c r="I76" s="86"/>
    </row>
    <row r="77" spans="2:9" hidden="1" x14ac:dyDescent="0.35">
      <c r="B77" s="85" t="s">
        <v>187</v>
      </c>
      <c r="C77" s="86">
        <v>0</v>
      </c>
      <c r="D77" s="86"/>
      <c r="E77" s="86" t="str">
        <f t="shared" si="4"/>
        <v>lvl2</v>
      </c>
      <c r="F77" s="86" t="str">
        <f t="shared" si="5"/>
        <v>h</v>
      </c>
      <c r="G77" s="86" t="str">
        <f t="shared" si="6"/>
        <v>b02.00</v>
      </c>
      <c r="H77" s="86" t="str">
        <f t="shared" si="7"/>
        <v>0530_typ_own_fnds_ind_lvl</v>
      </c>
      <c r="I77" s="86"/>
    </row>
    <row r="78" spans="2:9" hidden="1" x14ac:dyDescent="0.35">
      <c r="B78" s="85" t="s">
        <v>188</v>
      </c>
      <c r="C78" s="86">
        <v>0</v>
      </c>
      <c r="D78" s="86"/>
      <c r="E78" s="86" t="str">
        <f t="shared" si="4"/>
        <v>lvl2</v>
      </c>
      <c r="F78" s="86" t="str">
        <f t="shared" si="5"/>
        <v>h</v>
      </c>
      <c r="G78" s="86" t="str">
        <f t="shared" si="6"/>
        <v>b02.00</v>
      </c>
      <c r="H78" s="86" t="str">
        <f t="shared" si="7"/>
        <v>0540_elgbl_amnt_own_fnds_ind_lvl</v>
      </c>
      <c r="I78" s="86"/>
    </row>
    <row r="79" spans="2:9" hidden="1" x14ac:dyDescent="0.35">
      <c r="B79" s="85" t="s">
        <v>189</v>
      </c>
      <c r="C79" s="86">
        <v>0</v>
      </c>
      <c r="D79" s="86"/>
      <c r="E79" s="86" t="str">
        <f t="shared" si="4"/>
        <v>lvl2</v>
      </c>
      <c r="F79" s="86" t="str">
        <f t="shared" si="5"/>
        <v>h</v>
      </c>
      <c r="G79" s="86" t="str">
        <f t="shared" si="6"/>
        <v>b02.00</v>
      </c>
      <c r="H79" s="86" t="str">
        <f t="shared" si="7"/>
        <v>0550_typ_own_fnds_cnsldtd_lvl</v>
      </c>
      <c r="I79" s="86"/>
    </row>
    <row r="80" spans="2:9" hidden="1" x14ac:dyDescent="0.35">
      <c r="B80" s="85" t="s">
        <v>190</v>
      </c>
      <c r="C80" s="86">
        <v>0</v>
      </c>
      <c r="D80" s="86"/>
      <c r="E80" s="86" t="str">
        <f t="shared" si="4"/>
        <v>lvl2</v>
      </c>
      <c r="F80" s="86" t="str">
        <f t="shared" si="5"/>
        <v>h</v>
      </c>
      <c r="G80" s="86" t="str">
        <f t="shared" si="6"/>
        <v>b02.00</v>
      </c>
      <c r="H80" s="86" t="str">
        <f t="shared" si="7"/>
        <v>0560_elgbl_amnt_own_fnds_cnsldtd_lvl</v>
      </c>
      <c r="I80" s="86"/>
    </row>
    <row r="81" spans="2:9" hidden="1" x14ac:dyDescent="0.35">
      <c r="B81" s="85" t="s">
        <v>191</v>
      </c>
      <c r="C81" s="86">
        <v>0</v>
      </c>
      <c r="D81" s="86"/>
      <c r="E81" s="86" t="str">
        <f t="shared" si="4"/>
        <v>lvl2</v>
      </c>
      <c r="F81" s="86" t="str">
        <f t="shared" si="5"/>
        <v>h</v>
      </c>
      <c r="G81" s="86" t="str">
        <f t="shared" si="6"/>
        <v>b02.00</v>
      </c>
      <c r="H81" s="86" t="str">
        <f t="shared" si="7"/>
        <v>0590_typ_scrty_intrst_prvdd</v>
      </c>
      <c r="I81" s="86"/>
    </row>
    <row r="82" spans="2:9" hidden="1" x14ac:dyDescent="0.35">
      <c r="B82" s="85" t="s">
        <v>192</v>
      </c>
      <c r="C82" s="86">
        <v>0</v>
      </c>
      <c r="D82" s="86"/>
      <c r="E82" s="86" t="str">
        <f t="shared" si="4"/>
        <v>lvl2</v>
      </c>
      <c r="F82" s="86" t="str">
        <f t="shared" si="5"/>
        <v>h</v>
      </c>
      <c r="G82" s="86" t="str">
        <f t="shared" si="6"/>
        <v>b02.00</v>
      </c>
      <c r="H82" s="86" t="str">
        <f t="shared" si="7"/>
        <v>0610_crryng_amnt_ifrs</v>
      </c>
      <c r="I82" s="86"/>
    </row>
    <row r="83" spans="2:9" hidden="1" x14ac:dyDescent="0.35">
      <c r="B83" s="85" t="s">
        <v>193</v>
      </c>
      <c r="C83" s="86">
        <v>0</v>
      </c>
      <c r="D83" s="86"/>
      <c r="E83" s="86" t="str">
        <f t="shared" si="4"/>
        <v>lvl2</v>
      </c>
      <c r="F83" s="86" t="str">
        <f t="shared" si="5"/>
        <v>h</v>
      </c>
      <c r="G83" s="86" t="str">
        <f t="shared" si="6"/>
        <v>b02.00</v>
      </c>
      <c r="H83" s="86" t="str">
        <f t="shared" si="7"/>
        <v>0620_blnc_sht_ifrs</v>
      </c>
      <c r="I83" s="86"/>
    </row>
    <row r="84" spans="2:9" hidden="1" x14ac:dyDescent="0.35">
      <c r="B84" s="85" t="s">
        <v>194</v>
      </c>
      <c r="C84" s="86">
        <v>0</v>
      </c>
      <c r="D84" s="86"/>
      <c r="E84" s="86" t="str">
        <f t="shared" si="4"/>
        <v>frmt</v>
      </c>
      <c r="F84" s="86" t="str">
        <f t="shared" si="5"/>
        <v>f</v>
      </c>
      <c r="G84" s="86" t="str">
        <f t="shared" si="6"/>
        <v>b02.00</v>
      </c>
      <c r="H84" s="86" t="str">
        <f t="shared" si="7"/>
        <v>0010_row_nmbr</v>
      </c>
      <c r="I84" s="86"/>
    </row>
    <row r="85" spans="2:9" hidden="1" x14ac:dyDescent="0.35">
      <c r="B85" s="85" t="s">
        <v>195</v>
      </c>
      <c r="C85" s="86">
        <v>0</v>
      </c>
      <c r="D85" s="86"/>
      <c r="E85" s="86" t="str">
        <f t="shared" si="4"/>
        <v>frmt</v>
      </c>
      <c r="F85" s="86" t="str">
        <f t="shared" si="5"/>
        <v>f</v>
      </c>
      <c r="G85" s="86" t="str">
        <f t="shared" si="6"/>
        <v>b02.00</v>
      </c>
      <c r="H85" s="86" t="str">
        <f t="shared" si="7"/>
        <v>0020_uniq_id</v>
      </c>
      <c r="I85" s="86"/>
    </row>
    <row r="86" spans="2:9" hidden="1" x14ac:dyDescent="0.35">
      <c r="B86" s="85" t="s">
        <v>196</v>
      </c>
      <c r="C86" s="86">
        <v>0</v>
      </c>
      <c r="D86" s="86"/>
      <c r="E86" s="86" t="str">
        <f t="shared" si="4"/>
        <v>frmt</v>
      </c>
      <c r="F86" s="86" t="str">
        <f t="shared" si="5"/>
        <v>f</v>
      </c>
      <c r="G86" s="86" t="str">
        <f t="shared" si="6"/>
        <v>b02.00</v>
      </c>
      <c r="H86" s="86" t="str">
        <f t="shared" si="7"/>
        <v>0030_uniq_id_knwn_cntrprty</v>
      </c>
      <c r="I86" s="86"/>
    </row>
    <row r="87" spans="2:9" hidden="1" x14ac:dyDescent="0.35">
      <c r="B87" s="85" t="s">
        <v>197</v>
      </c>
      <c r="C87" s="86">
        <v>0</v>
      </c>
      <c r="D87" s="86"/>
      <c r="E87" s="86" t="str">
        <f t="shared" si="4"/>
        <v>frmt</v>
      </c>
      <c r="F87" s="86" t="str">
        <f t="shared" si="5"/>
        <v>f</v>
      </c>
      <c r="G87" s="86" t="str">
        <f t="shared" si="6"/>
        <v>b02.00</v>
      </c>
      <c r="H87" s="86" t="str">
        <f t="shared" si="7"/>
        <v>0040_typ_uniq_id_knwn_cntrprty</v>
      </c>
      <c r="I87" s="86"/>
    </row>
    <row r="88" spans="2:9" hidden="1" x14ac:dyDescent="0.35">
      <c r="B88" s="85" t="s">
        <v>198</v>
      </c>
      <c r="C88" s="86">
        <v>0</v>
      </c>
      <c r="D88" s="86"/>
      <c r="E88" s="86" t="str">
        <f t="shared" si="4"/>
        <v>frmt</v>
      </c>
      <c r="F88" s="86" t="str">
        <f t="shared" si="5"/>
        <v>f</v>
      </c>
      <c r="G88" s="86" t="str">
        <f t="shared" si="6"/>
        <v>b02.00</v>
      </c>
      <c r="H88" s="86" t="str">
        <f t="shared" si="7"/>
        <v>0050_orgnl_amnt_eur</v>
      </c>
      <c r="I88" s="86"/>
    </row>
    <row r="89" spans="2:9" hidden="1" x14ac:dyDescent="0.35">
      <c r="B89" s="85" t="s">
        <v>199</v>
      </c>
      <c r="C89" s="86">
        <v>0</v>
      </c>
      <c r="D89" s="86"/>
      <c r="E89" s="86" t="str">
        <f t="shared" si="4"/>
        <v>frmt</v>
      </c>
      <c r="F89" s="86" t="str">
        <f t="shared" si="5"/>
        <v>f</v>
      </c>
      <c r="G89" s="86" t="str">
        <f t="shared" si="6"/>
        <v>b02.00</v>
      </c>
      <c r="H89" s="86" t="str">
        <f t="shared" si="7"/>
        <v>0060_orgnl_amnt_fx</v>
      </c>
      <c r="I89" s="86"/>
    </row>
    <row r="90" spans="2:9" hidden="1" x14ac:dyDescent="0.35">
      <c r="B90" s="85" t="s">
        <v>200</v>
      </c>
      <c r="C90" s="86">
        <v>0</v>
      </c>
      <c r="D90" s="86"/>
      <c r="E90" s="86" t="str">
        <f t="shared" si="4"/>
        <v>frmt</v>
      </c>
      <c r="F90" s="86" t="str">
        <f t="shared" si="5"/>
        <v>f</v>
      </c>
      <c r="G90" s="86" t="str">
        <f t="shared" si="6"/>
        <v>b02.00</v>
      </c>
      <c r="H90" s="86" t="str">
        <f t="shared" si="7"/>
        <v>0070_cntrct_crrncy</v>
      </c>
      <c r="I90" s="86"/>
    </row>
    <row r="91" spans="2:9" hidden="1" x14ac:dyDescent="0.35">
      <c r="B91" s="85" t="s">
        <v>201</v>
      </c>
      <c r="C91" s="86">
        <v>0</v>
      </c>
      <c r="D91" s="86"/>
      <c r="E91" s="86" t="str">
        <f t="shared" si="4"/>
        <v>frmt</v>
      </c>
      <c r="F91" s="86" t="str">
        <f t="shared" si="5"/>
        <v>f</v>
      </c>
      <c r="G91" s="86" t="str">
        <f t="shared" si="6"/>
        <v>b02.00</v>
      </c>
      <c r="H91" s="86" t="str">
        <f t="shared" si="7"/>
        <v>0080_otstndng_prncpl_amnt</v>
      </c>
      <c r="I91" s="86"/>
    </row>
    <row r="92" spans="2:9" hidden="1" x14ac:dyDescent="0.35">
      <c r="B92" s="85" t="s">
        <v>202</v>
      </c>
      <c r="C92" s="86">
        <v>0</v>
      </c>
      <c r="D92" s="86"/>
      <c r="E92" s="86" t="str">
        <f t="shared" si="4"/>
        <v>frmt</v>
      </c>
      <c r="F92" s="86" t="str">
        <f t="shared" si="5"/>
        <v>f</v>
      </c>
      <c r="G92" s="86" t="str">
        <f t="shared" si="6"/>
        <v>b02.00</v>
      </c>
      <c r="H92" s="86" t="str">
        <f t="shared" si="7"/>
        <v>0090_prtn_amnt_rprtng_entty</v>
      </c>
      <c r="I92" s="86"/>
    </row>
    <row r="93" spans="2:9" hidden="1" x14ac:dyDescent="0.35">
      <c r="B93" s="85" t="s">
        <v>203</v>
      </c>
      <c r="C93" s="86">
        <v>0</v>
      </c>
      <c r="D93" s="86"/>
      <c r="E93" s="86" t="str">
        <f t="shared" si="4"/>
        <v>frmt</v>
      </c>
      <c r="F93" s="86" t="str">
        <f t="shared" si="5"/>
        <v>f</v>
      </c>
      <c r="G93" s="86" t="str">
        <f t="shared" si="6"/>
        <v>b02.00</v>
      </c>
      <c r="H93" s="86" t="str">
        <f t="shared" si="7"/>
        <v>0100_accrd_intrst_instrmnt</v>
      </c>
      <c r="I93" s="86"/>
    </row>
    <row r="94" spans="2:9" hidden="1" x14ac:dyDescent="0.35">
      <c r="B94" s="85" t="s">
        <v>204</v>
      </c>
      <c r="C94" s="86">
        <v>0</v>
      </c>
      <c r="D94" s="86"/>
      <c r="E94" s="86" t="str">
        <f t="shared" si="4"/>
        <v>frmt</v>
      </c>
      <c r="F94" s="86" t="str">
        <f t="shared" si="5"/>
        <v>f</v>
      </c>
      <c r="G94" s="86" t="str">
        <f t="shared" si="6"/>
        <v>b02.00</v>
      </c>
      <c r="H94" s="86" t="str">
        <f t="shared" si="7"/>
        <v>0110_applcbl_fees_charges</v>
      </c>
      <c r="I94" s="86"/>
    </row>
    <row r="95" spans="2:9" hidden="1" x14ac:dyDescent="0.35">
      <c r="B95" s="85" t="s">
        <v>205</v>
      </c>
      <c r="C95" s="86">
        <v>8</v>
      </c>
      <c r="D95" s="86"/>
      <c r="E95" s="86" t="str">
        <f t="shared" si="4"/>
        <v>frmt</v>
      </c>
      <c r="F95" s="86" t="str">
        <f t="shared" si="5"/>
        <v>f</v>
      </c>
      <c r="G95" s="86" t="str">
        <f t="shared" si="6"/>
        <v>b02.00</v>
      </c>
      <c r="H95" s="86" t="str">
        <f t="shared" si="7"/>
        <v>0120_otstndng_amnt</v>
      </c>
      <c r="I95" s="86"/>
    </row>
    <row r="96" spans="2:9" hidden="1" x14ac:dyDescent="0.35">
      <c r="B96" s="85" t="s">
        <v>206</v>
      </c>
      <c r="C96" s="86">
        <v>8</v>
      </c>
      <c r="D96" s="86"/>
      <c r="E96" s="86" t="str">
        <f t="shared" si="4"/>
        <v>frmt</v>
      </c>
      <c r="F96" s="86" t="str">
        <f t="shared" si="5"/>
        <v>f</v>
      </c>
      <c r="G96" s="86" t="str">
        <f t="shared" si="6"/>
        <v>b02.00</v>
      </c>
      <c r="H96" s="86" t="str">
        <f t="shared" si="7"/>
        <v>0130_rlvnt_amnt_wdc</v>
      </c>
      <c r="I96" s="86"/>
    </row>
    <row r="97" spans="2:9" hidden="1" x14ac:dyDescent="0.35">
      <c r="B97" s="85" t="s">
        <v>207</v>
      </c>
      <c r="C97" s="86">
        <v>4</v>
      </c>
      <c r="D97" s="86"/>
      <c r="E97" s="86" t="str">
        <f t="shared" si="4"/>
        <v>frmt</v>
      </c>
      <c r="F97" s="86" t="str">
        <f t="shared" si="5"/>
        <v>f</v>
      </c>
      <c r="G97" s="86" t="str">
        <f t="shared" si="6"/>
        <v>b02.00</v>
      </c>
      <c r="H97" s="86" t="str">
        <f t="shared" si="7"/>
        <v>0140_ntr_lblty</v>
      </c>
      <c r="I97" s="86"/>
    </row>
    <row r="98" spans="2:9" x14ac:dyDescent="0.35">
      <c r="B98" s="85" t="s">
        <v>208</v>
      </c>
      <c r="C98" s="86">
        <v>8</v>
      </c>
      <c r="D98" s="86"/>
      <c r="E98" s="86" t="str">
        <f t="shared" si="4"/>
        <v>frmt</v>
      </c>
      <c r="F98" s="86" t="str">
        <f t="shared" si="5"/>
        <v>f</v>
      </c>
      <c r="G98" s="86" t="str">
        <f t="shared" si="6"/>
        <v>b02.00</v>
      </c>
      <c r="H98" s="86" t="str">
        <f t="shared" si="7"/>
        <v>0141_ntr_lblty_othr</v>
      </c>
      <c r="I98" s="89" t="s">
        <v>209</v>
      </c>
    </row>
    <row r="99" spans="2:9" x14ac:dyDescent="0.35">
      <c r="B99" s="85" t="s">
        <v>210</v>
      </c>
      <c r="C99" s="86">
        <v>8</v>
      </c>
      <c r="D99" s="86"/>
      <c r="E99" s="86" t="str">
        <f t="shared" si="4"/>
        <v>frmt</v>
      </c>
      <c r="F99" s="86" t="str">
        <f t="shared" si="5"/>
        <v>f</v>
      </c>
      <c r="G99" s="86" t="str">
        <f t="shared" si="6"/>
        <v>b02.00</v>
      </c>
      <c r="H99" s="86" t="str">
        <f t="shared" si="7"/>
        <v>0150_flg_strctrlly_sbrdntd</v>
      </c>
      <c r="I99" s="89" t="s">
        <v>211</v>
      </c>
    </row>
    <row r="100" spans="2:9" hidden="1" x14ac:dyDescent="0.35">
      <c r="B100" s="85" t="s">
        <v>212</v>
      </c>
      <c r="C100" s="86">
        <v>0</v>
      </c>
      <c r="D100" s="86"/>
      <c r="E100" s="86" t="str">
        <f t="shared" si="4"/>
        <v>frmt</v>
      </c>
      <c r="F100" s="86" t="str">
        <f t="shared" si="5"/>
        <v>f</v>
      </c>
      <c r="G100" s="86" t="str">
        <f t="shared" si="6"/>
        <v>b02.00</v>
      </c>
      <c r="H100" s="86" t="str">
        <f t="shared" si="7"/>
        <v>0160_rank_insolv</v>
      </c>
      <c r="I100" s="86"/>
    </row>
    <row r="101" spans="2:9" hidden="1" x14ac:dyDescent="0.35">
      <c r="B101" s="85" t="s">
        <v>213</v>
      </c>
      <c r="C101" s="86">
        <v>0</v>
      </c>
      <c r="D101" s="86"/>
      <c r="E101" s="86" t="str">
        <f t="shared" si="4"/>
        <v>frmt</v>
      </c>
      <c r="F101" s="86" t="str">
        <f t="shared" si="5"/>
        <v>f</v>
      </c>
      <c r="G101" s="86" t="str">
        <f t="shared" si="6"/>
        <v>b02.00</v>
      </c>
      <c r="H101" s="86" t="str">
        <f t="shared" si="7"/>
        <v>0161_cntrctl_sbrdntn</v>
      </c>
      <c r="I101" s="86"/>
    </row>
    <row r="102" spans="2:9" hidden="1" x14ac:dyDescent="0.35">
      <c r="B102" s="85" t="s">
        <v>214</v>
      </c>
      <c r="C102" s="86">
        <v>0</v>
      </c>
      <c r="D102" s="86"/>
      <c r="E102" s="86" t="str">
        <f t="shared" si="4"/>
        <v>frmt</v>
      </c>
      <c r="F102" s="86" t="str">
        <f t="shared" si="5"/>
        <v>f</v>
      </c>
      <c r="G102" s="86" t="str">
        <f t="shared" si="6"/>
        <v>b02.00</v>
      </c>
      <c r="H102" s="86" t="str">
        <f t="shared" si="7"/>
        <v>0162_bail_in_cascade</v>
      </c>
      <c r="I102" s="86"/>
    </row>
    <row r="103" spans="2:9" hidden="1" x14ac:dyDescent="0.35">
      <c r="B103" s="85" t="s">
        <v>215</v>
      </c>
      <c r="C103" s="86">
        <v>0</v>
      </c>
      <c r="D103" s="86"/>
      <c r="E103" s="86" t="str">
        <f t="shared" si="4"/>
        <v>frmt</v>
      </c>
      <c r="F103" s="86" t="str">
        <f t="shared" si="5"/>
        <v>f</v>
      </c>
      <c r="G103" s="86" t="str">
        <f t="shared" si="6"/>
        <v>b02.00</v>
      </c>
      <c r="H103" s="86" t="str">
        <f t="shared" si="7"/>
        <v>0170_dt_incptn</v>
      </c>
      <c r="I103" s="86"/>
    </row>
    <row r="104" spans="2:9" hidden="1" x14ac:dyDescent="0.35">
      <c r="B104" s="85" t="s">
        <v>216</v>
      </c>
      <c r="C104" s="86">
        <v>8</v>
      </c>
      <c r="D104" s="86"/>
      <c r="E104" s="86" t="str">
        <f t="shared" si="4"/>
        <v>frmt</v>
      </c>
      <c r="F104" s="86" t="str">
        <f t="shared" si="5"/>
        <v>f</v>
      </c>
      <c r="G104" s="86" t="str">
        <f t="shared" si="6"/>
        <v>b02.00</v>
      </c>
      <c r="H104" s="86" t="str">
        <f t="shared" si="7"/>
        <v>0180_dt_nxt_intrst_pymnt</v>
      </c>
      <c r="I104" s="86"/>
    </row>
    <row r="105" spans="2:9" hidden="1" x14ac:dyDescent="0.35">
      <c r="B105" s="85" t="s">
        <v>217</v>
      </c>
      <c r="C105" s="86">
        <v>0</v>
      </c>
      <c r="D105" s="86"/>
      <c r="E105" s="86" t="str">
        <f t="shared" si="4"/>
        <v>frmt</v>
      </c>
      <c r="F105" s="86" t="str">
        <f t="shared" si="5"/>
        <v>f</v>
      </c>
      <c r="G105" s="86" t="str">
        <f t="shared" si="6"/>
        <v>b02.00</v>
      </c>
      <c r="H105" s="86" t="str">
        <f t="shared" si="7"/>
        <v>0190_dt_nxt_rdmptn_pymnt</v>
      </c>
      <c r="I105" s="86"/>
    </row>
    <row r="106" spans="2:9" hidden="1" x14ac:dyDescent="0.35">
      <c r="B106" s="85" t="s">
        <v>218</v>
      </c>
      <c r="C106" s="86">
        <v>0</v>
      </c>
      <c r="D106" s="86"/>
      <c r="E106" s="86" t="str">
        <f t="shared" si="4"/>
        <v>frmt</v>
      </c>
      <c r="F106" s="86" t="str">
        <f t="shared" si="5"/>
        <v>f</v>
      </c>
      <c r="G106" s="86" t="str">
        <f t="shared" si="6"/>
        <v>b02.00</v>
      </c>
      <c r="H106" s="86" t="str">
        <f t="shared" si="7"/>
        <v>0200_dt_erlst_rdmptn</v>
      </c>
      <c r="I106" s="86"/>
    </row>
    <row r="107" spans="2:9" hidden="1" x14ac:dyDescent="0.35">
      <c r="B107" s="85" t="s">
        <v>219</v>
      </c>
      <c r="C107" s="86">
        <v>0</v>
      </c>
      <c r="D107" s="86"/>
      <c r="E107" s="86" t="str">
        <f t="shared" si="4"/>
        <v>frmt</v>
      </c>
      <c r="F107" s="86" t="str">
        <f t="shared" si="5"/>
        <v>f</v>
      </c>
      <c r="G107" s="86" t="str">
        <f t="shared" si="6"/>
        <v>b02.00</v>
      </c>
      <c r="H107" s="86" t="str">
        <f t="shared" si="7"/>
        <v>0210_dt_lgl_fnl_mtrty</v>
      </c>
      <c r="I107" s="86"/>
    </row>
    <row r="108" spans="2:9" hidden="1" x14ac:dyDescent="0.35">
      <c r="B108" s="85" t="s">
        <v>220</v>
      </c>
      <c r="C108" s="86">
        <v>0</v>
      </c>
      <c r="D108" s="86"/>
      <c r="E108" s="86" t="str">
        <f t="shared" si="4"/>
        <v>frmt</v>
      </c>
      <c r="F108" s="86" t="str">
        <f t="shared" si="5"/>
        <v>f</v>
      </c>
      <c r="G108" s="86" t="str">
        <f t="shared" si="6"/>
        <v>b02.00</v>
      </c>
      <c r="H108" s="86" t="str">
        <f t="shared" si="7"/>
        <v>0220_governing_law</v>
      </c>
      <c r="I108" s="86"/>
    </row>
    <row r="109" spans="2:9" hidden="1" x14ac:dyDescent="0.35">
      <c r="B109" s="85" t="s">
        <v>221</v>
      </c>
      <c r="C109" s="86">
        <v>0</v>
      </c>
      <c r="D109" s="86"/>
      <c r="E109" s="86" t="str">
        <f t="shared" si="4"/>
        <v>frmt</v>
      </c>
      <c r="F109" s="86" t="str">
        <f t="shared" si="5"/>
        <v>f</v>
      </c>
      <c r="G109" s="86" t="str">
        <f t="shared" si="6"/>
        <v>b02.00</v>
      </c>
      <c r="H109" s="86" t="str">
        <f t="shared" si="7"/>
        <v>0230_bail_in_rcgntn_cls</v>
      </c>
      <c r="I109" s="86"/>
    </row>
    <row r="110" spans="2:9" hidden="1" x14ac:dyDescent="0.35">
      <c r="B110" s="85" t="s">
        <v>222</v>
      </c>
      <c r="C110" s="86">
        <v>0</v>
      </c>
      <c r="D110" s="86"/>
      <c r="E110" s="86" t="str">
        <f t="shared" si="4"/>
        <v>frmt</v>
      </c>
      <c r="F110" s="86" t="str">
        <f t="shared" si="5"/>
        <v>f</v>
      </c>
      <c r="G110" s="86" t="str">
        <f t="shared" si="6"/>
        <v>b02.00</v>
      </c>
      <c r="H110" s="86" t="str">
        <f t="shared" si="7"/>
        <v>0240_zero_coupon</v>
      </c>
      <c r="I110" s="86"/>
    </row>
    <row r="111" spans="2:9" hidden="1" x14ac:dyDescent="0.35">
      <c r="B111" s="85" t="s">
        <v>223</v>
      </c>
      <c r="C111" s="86">
        <v>0</v>
      </c>
      <c r="D111" s="86"/>
      <c r="E111" s="86" t="str">
        <f t="shared" si="4"/>
        <v>frmt</v>
      </c>
      <c r="F111" s="86" t="str">
        <f t="shared" si="5"/>
        <v>f</v>
      </c>
      <c r="G111" s="86" t="str">
        <f t="shared" si="6"/>
        <v>b02.00</v>
      </c>
      <c r="H111" s="86" t="str">
        <f t="shared" si="7"/>
        <v>0250_strctrd_prdct</v>
      </c>
      <c r="I111" s="86"/>
    </row>
    <row r="112" spans="2:9" hidden="1" x14ac:dyDescent="0.35">
      <c r="B112" s="85" t="s">
        <v>224</v>
      </c>
      <c r="C112" s="86">
        <v>0</v>
      </c>
      <c r="D112" s="86"/>
      <c r="E112" s="86" t="str">
        <f t="shared" si="4"/>
        <v>frmt</v>
      </c>
      <c r="F112" s="86" t="str">
        <f t="shared" si="5"/>
        <v>f</v>
      </c>
      <c r="G112" s="86" t="str">
        <f t="shared" si="6"/>
        <v>b02.00</v>
      </c>
      <c r="H112" s="86" t="str">
        <f t="shared" si="7"/>
        <v>0260_grntd_min_amnt_strctrd_prdct</v>
      </c>
      <c r="I112" s="86"/>
    </row>
    <row r="113" spans="2:9" hidden="1" x14ac:dyDescent="0.35">
      <c r="B113" s="85" t="s">
        <v>225</v>
      </c>
      <c r="C113" s="86">
        <v>0</v>
      </c>
      <c r="D113" s="86"/>
      <c r="E113" s="86" t="str">
        <f t="shared" si="4"/>
        <v>frmt</v>
      </c>
      <c r="F113" s="86" t="str">
        <f t="shared" si="5"/>
        <v>f</v>
      </c>
      <c r="G113" s="86" t="str">
        <f t="shared" si="6"/>
        <v>b02.00</v>
      </c>
      <c r="H113" s="86" t="str">
        <f t="shared" si="7"/>
        <v>0270_fv_amnt_strctrd_prdct</v>
      </c>
      <c r="I113" s="86"/>
    </row>
    <row r="114" spans="2:9" hidden="1" x14ac:dyDescent="0.35">
      <c r="B114" s="85" t="s">
        <v>226</v>
      </c>
      <c r="C114" s="86">
        <v>0</v>
      </c>
      <c r="D114" s="86"/>
      <c r="E114" s="86" t="str">
        <f t="shared" si="4"/>
        <v>frmt</v>
      </c>
      <c r="F114" s="86" t="str">
        <f t="shared" si="5"/>
        <v>f</v>
      </c>
      <c r="G114" s="86" t="str">
        <f t="shared" si="6"/>
        <v>b02.00</v>
      </c>
      <c r="H114" s="86" t="str">
        <f t="shared" si="7"/>
        <v>0280_flg_ncnp_dpsts</v>
      </c>
      <c r="I114" s="86"/>
    </row>
    <row r="115" spans="2:9" hidden="1" x14ac:dyDescent="0.35">
      <c r="B115" s="85" t="s">
        <v>227</v>
      </c>
      <c r="C115" s="86">
        <v>0</v>
      </c>
      <c r="D115" s="86"/>
      <c r="E115" s="86" t="str">
        <f t="shared" si="4"/>
        <v>frmt</v>
      </c>
      <c r="F115" s="86" t="str">
        <f t="shared" si="5"/>
        <v>f</v>
      </c>
      <c r="G115" s="86" t="str">
        <f t="shared" si="6"/>
        <v>b02.00</v>
      </c>
      <c r="H115" s="86" t="str">
        <f t="shared" si="7"/>
        <v>0290_flg_ncbp_dpsts</v>
      </c>
      <c r="I115" s="86"/>
    </row>
    <row r="116" spans="2:9" hidden="1" x14ac:dyDescent="0.35">
      <c r="B116" s="85" t="s">
        <v>228</v>
      </c>
      <c r="C116" s="86">
        <v>0</v>
      </c>
      <c r="D116" s="86"/>
      <c r="E116" s="86" t="str">
        <f t="shared" si="4"/>
        <v>frmt</v>
      </c>
      <c r="F116" s="86" t="str">
        <f t="shared" si="5"/>
        <v>f</v>
      </c>
      <c r="G116" s="86" t="str">
        <f t="shared" si="6"/>
        <v>b02.00</v>
      </c>
      <c r="H116" s="86" t="str">
        <f t="shared" si="7"/>
        <v>0300_amnt_cvrd_elgbl_dpsts</v>
      </c>
      <c r="I116" s="86"/>
    </row>
    <row r="117" spans="2:9" hidden="1" x14ac:dyDescent="0.35">
      <c r="B117" s="85" t="s">
        <v>229</v>
      </c>
      <c r="C117" s="86">
        <v>0</v>
      </c>
      <c r="D117" s="86"/>
      <c r="E117" s="86" t="str">
        <f t="shared" si="4"/>
        <v>frmt</v>
      </c>
      <c r="F117" s="86" t="str">
        <f t="shared" si="5"/>
        <v>f</v>
      </c>
      <c r="G117" s="86" t="str">
        <f t="shared" si="6"/>
        <v>b02.00</v>
      </c>
      <c r="H117" s="86" t="str">
        <f t="shared" si="7"/>
        <v>0310_flg_clltrl_agrmnts</v>
      </c>
      <c r="I117" s="86"/>
    </row>
    <row r="118" spans="2:9" hidden="1" x14ac:dyDescent="0.35">
      <c r="B118" s="85" t="s">
        <v>230</v>
      </c>
      <c r="C118" s="86">
        <v>0</v>
      </c>
      <c r="D118" s="86"/>
      <c r="E118" s="86" t="str">
        <f t="shared" si="4"/>
        <v>frmt</v>
      </c>
      <c r="F118" s="86" t="str">
        <f t="shared" si="5"/>
        <v>f</v>
      </c>
      <c r="G118" s="86" t="str">
        <f t="shared" si="6"/>
        <v>b02.00</v>
      </c>
      <c r="H118" s="86" t="str">
        <f t="shared" si="7"/>
        <v>0320_amnt_clltrl</v>
      </c>
      <c r="I118" s="86"/>
    </row>
    <row r="119" spans="2:9" hidden="1" x14ac:dyDescent="0.35">
      <c r="B119" s="85" t="s">
        <v>231</v>
      </c>
      <c r="C119" s="86">
        <v>0</v>
      </c>
      <c r="D119" s="86"/>
      <c r="E119" s="86" t="str">
        <f t="shared" si="4"/>
        <v>frmt</v>
      </c>
      <c r="F119" s="86" t="str">
        <f t="shared" si="5"/>
        <v>f</v>
      </c>
      <c r="G119" s="86" t="str">
        <f t="shared" si="6"/>
        <v>b02.00</v>
      </c>
      <c r="H119" s="86" t="str">
        <f t="shared" si="7"/>
        <v>0330_amnt_unclltrlzd</v>
      </c>
      <c r="I119" s="86"/>
    </row>
    <row r="120" spans="2:9" x14ac:dyDescent="0.35">
      <c r="B120" s="85" t="s">
        <v>232</v>
      </c>
      <c r="C120" s="86">
        <v>8</v>
      </c>
      <c r="D120" s="86"/>
      <c r="E120" s="86" t="str">
        <f t="shared" si="4"/>
        <v>frmt</v>
      </c>
      <c r="F120" s="86" t="str">
        <f t="shared" si="5"/>
        <v>f</v>
      </c>
      <c r="G120" s="86" t="str">
        <f t="shared" si="6"/>
        <v>b02.00</v>
      </c>
      <c r="H120" s="86" t="str">
        <f t="shared" si="7"/>
        <v>0340_id_clltrl</v>
      </c>
      <c r="I120" s="89" t="s">
        <v>211</v>
      </c>
    </row>
    <row r="121" spans="2:9" hidden="1" x14ac:dyDescent="0.35">
      <c r="B121" s="85" t="s">
        <v>233</v>
      </c>
      <c r="C121" s="86">
        <v>0</v>
      </c>
      <c r="D121" s="86"/>
      <c r="E121" s="86" t="str">
        <f t="shared" si="4"/>
        <v>frmt</v>
      </c>
      <c r="F121" s="86" t="str">
        <f t="shared" si="5"/>
        <v>f</v>
      </c>
      <c r="G121" s="86" t="str">
        <f t="shared" si="6"/>
        <v>b02.00</v>
      </c>
      <c r="H121" s="86" t="str">
        <f t="shared" si="7"/>
        <v>0350_typ_clltrl</v>
      </c>
      <c r="I121" s="86"/>
    </row>
    <row r="122" spans="2:9" x14ac:dyDescent="0.35">
      <c r="B122" s="85" t="s">
        <v>234</v>
      </c>
      <c r="C122" s="86">
        <v>8</v>
      </c>
      <c r="D122" s="86"/>
      <c r="E122" s="86" t="str">
        <f t="shared" si="4"/>
        <v>frmt</v>
      </c>
      <c r="F122" s="86" t="str">
        <f t="shared" si="5"/>
        <v>f</v>
      </c>
      <c r="G122" s="86" t="str">
        <f t="shared" si="6"/>
        <v>b02.00</v>
      </c>
      <c r="H122" s="86" t="str">
        <f t="shared" si="7"/>
        <v>0351_typ_clltrl_othr</v>
      </c>
      <c r="I122" s="89" t="s">
        <v>211</v>
      </c>
    </row>
    <row r="123" spans="2:9" hidden="1" x14ac:dyDescent="0.35">
      <c r="B123" s="85" t="s">
        <v>235</v>
      </c>
      <c r="C123" s="86">
        <v>0</v>
      </c>
      <c r="D123" s="86"/>
      <c r="E123" s="86" t="str">
        <f t="shared" si="4"/>
        <v>frmt</v>
      </c>
      <c r="F123" s="86" t="str">
        <f t="shared" si="5"/>
        <v>f</v>
      </c>
      <c r="G123" s="86" t="str">
        <f t="shared" si="6"/>
        <v>b02.00</v>
      </c>
      <c r="H123" s="86" t="str">
        <f t="shared" si="7"/>
        <v>0360_trdng_mthd</v>
      </c>
      <c r="I123" s="86"/>
    </row>
    <row r="124" spans="2:9" hidden="1" x14ac:dyDescent="0.35">
      <c r="B124" s="85" t="s">
        <v>236</v>
      </c>
      <c r="C124" s="86">
        <v>0</v>
      </c>
      <c r="D124" s="86"/>
      <c r="E124" s="86" t="str">
        <f t="shared" si="4"/>
        <v>frmt</v>
      </c>
      <c r="F124" s="86" t="str">
        <f t="shared" si="5"/>
        <v>f</v>
      </c>
      <c r="G124" s="86" t="str">
        <f t="shared" si="6"/>
        <v>b02.00</v>
      </c>
      <c r="H124" s="86" t="str">
        <f t="shared" si="7"/>
        <v>0370_amnt_scrty_eur</v>
      </c>
      <c r="I124" s="86"/>
    </row>
    <row r="125" spans="2:9" hidden="1" x14ac:dyDescent="0.35">
      <c r="B125" s="85" t="s">
        <v>237</v>
      </c>
      <c r="C125" s="86">
        <v>0</v>
      </c>
      <c r="D125" s="86"/>
      <c r="E125" s="86" t="str">
        <f t="shared" si="4"/>
        <v>frmt</v>
      </c>
      <c r="F125" s="86" t="str">
        <f t="shared" si="5"/>
        <v>f</v>
      </c>
      <c r="G125" s="86" t="str">
        <f t="shared" si="6"/>
        <v>b02.00</v>
      </c>
      <c r="H125" s="86" t="str">
        <f t="shared" si="7"/>
        <v>0380_amnt_scrty_fx</v>
      </c>
      <c r="I125" s="86"/>
    </row>
    <row r="126" spans="2:9" hidden="1" x14ac:dyDescent="0.35">
      <c r="B126" s="85" t="s">
        <v>238</v>
      </c>
      <c r="C126" s="86">
        <v>0</v>
      </c>
      <c r="D126" s="86"/>
      <c r="E126" s="86" t="str">
        <f t="shared" si="4"/>
        <v>frmt</v>
      </c>
      <c r="F126" s="86" t="str">
        <f t="shared" si="5"/>
        <v>f</v>
      </c>
      <c r="G126" s="86" t="str">
        <f t="shared" si="6"/>
        <v>b02.00</v>
      </c>
      <c r="H126" s="86" t="str">
        <f t="shared" si="7"/>
        <v>0390_nmbr_scrts_not_rprtng_entty</v>
      </c>
      <c r="I126" s="86"/>
    </row>
    <row r="127" spans="2:9" hidden="1" x14ac:dyDescent="0.35">
      <c r="B127" s="85" t="s">
        <v>239</v>
      </c>
      <c r="C127" s="86">
        <v>8</v>
      </c>
      <c r="D127" s="86"/>
      <c r="E127" s="86" t="str">
        <f t="shared" si="4"/>
        <v>frmt</v>
      </c>
      <c r="F127" s="86" t="str">
        <f t="shared" si="5"/>
        <v>f</v>
      </c>
      <c r="G127" s="86" t="str">
        <f t="shared" si="6"/>
        <v>b02.00</v>
      </c>
      <c r="H127" s="86" t="str">
        <f t="shared" si="7"/>
        <v>0391_nmbr_scrts_rprtng_entty</v>
      </c>
      <c r="I127" s="86"/>
    </row>
    <row r="128" spans="2:9" hidden="1" x14ac:dyDescent="0.35">
      <c r="B128" s="85" t="s">
        <v>240</v>
      </c>
      <c r="C128" s="86">
        <v>0</v>
      </c>
      <c r="D128" s="86"/>
      <c r="E128" s="86" t="str">
        <f t="shared" si="4"/>
        <v>frmt</v>
      </c>
      <c r="F128" s="86" t="str">
        <f t="shared" si="5"/>
        <v>f</v>
      </c>
      <c r="G128" s="86" t="str">
        <f t="shared" si="6"/>
        <v>b02.00</v>
      </c>
      <c r="H128" s="86" t="str">
        <f t="shared" si="7"/>
        <v>0400_accrd_intrst_scrty</v>
      </c>
      <c r="I128" s="86"/>
    </row>
    <row r="129" spans="2:9" hidden="1" x14ac:dyDescent="0.35">
      <c r="B129" s="85" t="s">
        <v>241</v>
      </c>
      <c r="C129" s="86">
        <v>0</v>
      </c>
      <c r="D129" s="86"/>
      <c r="E129" s="86" t="str">
        <f t="shared" si="4"/>
        <v>frmt</v>
      </c>
      <c r="F129" s="86" t="str">
        <f t="shared" si="5"/>
        <v>f</v>
      </c>
      <c r="G129" s="86" t="str">
        <f t="shared" si="6"/>
        <v>b02.00</v>
      </c>
      <c r="H129" s="86" t="str">
        <f t="shared" si="7"/>
        <v>0410_fees_charges_scrty</v>
      </c>
      <c r="I129" s="86"/>
    </row>
    <row r="130" spans="2:9" hidden="1" x14ac:dyDescent="0.35">
      <c r="B130" s="85" t="s">
        <v>242</v>
      </c>
      <c r="C130" s="86">
        <v>0</v>
      </c>
      <c r="D130" s="86"/>
      <c r="E130" s="86" t="str">
        <f t="shared" si="4"/>
        <v>frmt</v>
      </c>
      <c r="F130" s="86" t="str">
        <f t="shared" si="5"/>
        <v>f</v>
      </c>
      <c r="G130" s="86" t="str">
        <f t="shared" si="6"/>
        <v>b02.00</v>
      </c>
      <c r="H130" s="86" t="str">
        <f t="shared" si="7"/>
        <v>0420_fv_amnt_scrty</v>
      </c>
      <c r="I130" s="86"/>
    </row>
    <row r="131" spans="2:9" hidden="1" x14ac:dyDescent="0.35">
      <c r="B131" s="85" t="s">
        <v>243</v>
      </c>
      <c r="C131" s="86">
        <v>0</v>
      </c>
      <c r="D131" s="86"/>
      <c r="E131" s="86" t="str">
        <f t="shared" si="4"/>
        <v>frmt</v>
      </c>
      <c r="F131" s="86" t="str">
        <f t="shared" si="5"/>
        <v>f</v>
      </c>
      <c r="G131" s="86" t="str">
        <f t="shared" si="6"/>
        <v>b02.00</v>
      </c>
      <c r="H131" s="86" t="str">
        <f t="shared" si="7"/>
        <v>0430_prncpl_amnt_glbl_nt_eur</v>
      </c>
      <c r="I131" s="86"/>
    </row>
    <row r="132" spans="2:9" hidden="1" x14ac:dyDescent="0.35">
      <c r="B132" s="85" t="s">
        <v>244</v>
      </c>
      <c r="C132" s="86">
        <v>0</v>
      </c>
      <c r="D132" s="86"/>
      <c r="E132" s="86" t="str">
        <f t="shared" si="4"/>
        <v>frmt</v>
      </c>
      <c r="F132" s="86" t="str">
        <f t="shared" si="5"/>
        <v>f</v>
      </c>
      <c r="G132" s="86" t="str">
        <f t="shared" si="6"/>
        <v>b02.00</v>
      </c>
      <c r="H132" s="86" t="str">
        <f t="shared" si="7"/>
        <v>0431_prncpl_amnt_glbl_nt_fx</v>
      </c>
      <c r="I132" s="86"/>
    </row>
    <row r="133" spans="2:9" hidden="1" x14ac:dyDescent="0.35">
      <c r="B133" s="85" t="s">
        <v>245</v>
      </c>
      <c r="C133" s="86">
        <v>0</v>
      </c>
      <c r="D133" s="86"/>
      <c r="E133" s="86" t="str">
        <f t="shared" si="4"/>
        <v>frmt</v>
      </c>
      <c r="F133" s="86" t="str">
        <f t="shared" si="5"/>
        <v>f</v>
      </c>
      <c r="G133" s="86" t="str">
        <f t="shared" si="6"/>
        <v>b02.00</v>
      </c>
      <c r="H133" s="86" t="str">
        <f t="shared" si="7"/>
        <v>0440_ntr_glbl_nt</v>
      </c>
      <c r="I133" s="86"/>
    </row>
    <row r="134" spans="2:9" hidden="1" x14ac:dyDescent="0.35">
      <c r="B134" s="85" t="s">
        <v>246</v>
      </c>
      <c r="C134" s="86">
        <v>0</v>
      </c>
      <c r="D134" s="86"/>
      <c r="E134" s="86" t="str">
        <f t="shared" si="4"/>
        <v>frmt</v>
      </c>
      <c r="F134" s="86" t="str">
        <f t="shared" si="5"/>
        <v>f</v>
      </c>
      <c r="G134" s="86" t="str">
        <f t="shared" si="6"/>
        <v>b02.00</v>
      </c>
      <c r="H134" s="86" t="str">
        <f t="shared" si="7"/>
        <v>0450_crrnt_pool_fctr</v>
      </c>
      <c r="I134" s="86"/>
    </row>
    <row r="135" spans="2:9" hidden="1" x14ac:dyDescent="0.35">
      <c r="B135" s="85" t="s">
        <v>247</v>
      </c>
      <c r="C135" s="86">
        <v>0</v>
      </c>
      <c r="D135" s="86"/>
      <c r="E135" s="86" t="str">
        <f t="shared" si="4"/>
        <v>frmt</v>
      </c>
      <c r="F135" s="86" t="str">
        <f t="shared" si="5"/>
        <v>f</v>
      </c>
      <c r="G135" s="86" t="str">
        <f t="shared" si="6"/>
        <v>b02.00</v>
      </c>
      <c r="H135" s="86" t="str">
        <f t="shared" si="7"/>
        <v>0460_csd</v>
      </c>
      <c r="I135" s="86"/>
    </row>
    <row r="136" spans="2:9" hidden="1" x14ac:dyDescent="0.35">
      <c r="B136" s="85" t="s">
        <v>248</v>
      </c>
      <c r="C136" s="86">
        <v>0</v>
      </c>
      <c r="D136" s="86"/>
      <c r="E136" s="86" t="str">
        <f t="shared" si="4"/>
        <v>frmt</v>
      </c>
      <c r="F136" s="86" t="str">
        <f t="shared" si="5"/>
        <v>f</v>
      </c>
      <c r="G136" s="86" t="str">
        <f t="shared" si="6"/>
        <v>b02.00</v>
      </c>
      <c r="H136" s="86" t="str">
        <f t="shared" si="7"/>
        <v>0461_csd_lei</v>
      </c>
      <c r="I136" s="86"/>
    </row>
    <row r="137" spans="2:9" x14ac:dyDescent="0.35">
      <c r="B137" s="85" t="s">
        <v>249</v>
      </c>
      <c r="C137" s="86">
        <v>8</v>
      </c>
      <c r="D137" s="86"/>
      <c r="E137" s="86" t="str">
        <f t="shared" si="4"/>
        <v>frmt</v>
      </c>
      <c r="F137" s="86" t="str">
        <f t="shared" si="5"/>
        <v>f</v>
      </c>
      <c r="G137" s="86" t="str">
        <f t="shared" si="6"/>
        <v>b02.00</v>
      </c>
      <c r="H137" s="86" t="str">
        <f t="shared" si="7"/>
        <v>0462_csd_othr</v>
      </c>
      <c r="I137" s="89" t="s">
        <v>250</v>
      </c>
    </row>
    <row r="138" spans="2:9" hidden="1" x14ac:dyDescent="0.35">
      <c r="B138" s="85" t="s">
        <v>251</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hidden="1" x14ac:dyDescent="0.35">
      <c r="B139" s="85" t="s">
        <v>252</v>
      </c>
      <c r="C139" s="86">
        <v>0</v>
      </c>
      <c r="D139" s="86"/>
      <c r="E139" s="86" t="str">
        <f t="shared" si="8"/>
        <v>frmt</v>
      </c>
      <c r="F139" s="86" t="str">
        <f t="shared" si="9"/>
        <v>f</v>
      </c>
      <c r="G139" s="86" t="str">
        <f t="shared" si="10"/>
        <v>b02.00</v>
      </c>
      <c r="H139" s="86" t="str">
        <f t="shared" si="11"/>
        <v>0471_pyng_agnt_lei</v>
      </c>
      <c r="I139" s="86"/>
    </row>
    <row r="140" spans="2:9" hidden="1" x14ac:dyDescent="0.35">
      <c r="B140" s="85" t="s">
        <v>253</v>
      </c>
      <c r="C140" s="86">
        <v>0</v>
      </c>
      <c r="D140" s="86"/>
      <c r="E140" s="86" t="str">
        <f t="shared" si="8"/>
        <v>frmt</v>
      </c>
      <c r="F140" s="86" t="str">
        <f t="shared" si="9"/>
        <v>f</v>
      </c>
      <c r="G140" s="86" t="str">
        <f t="shared" si="10"/>
        <v>b02.00</v>
      </c>
      <c r="H140" s="86" t="str">
        <f t="shared" si="11"/>
        <v>0480_trdng_vn</v>
      </c>
      <c r="I140" s="86"/>
    </row>
    <row r="141" spans="2:9" hidden="1" x14ac:dyDescent="0.35">
      <c r="B141" s="85" t="s">
        <v>254</v>
      </c>
      <c r="C141" s="86">
        <v>0</v>
      </c>
      <c r="D141" s="86"/>
      <c r="E141" s="86" t="str">
        <f t="shared" si="8"/>
        <v>frmt</v>
      </c>
      <c r="F141" s="86" t="str">
        <f t="shared" si="9"/>
        <v>f</v>
      </c>
      <c r="G141" s="86" t="str">
        <f t="shared" si="10"/>
        <v>b02.00</v>
      </c>
      <c r="H141" s="86" t="str">
        <f t="shared" si="11"/>
        <v>0481_trdng_vn_lei</v>
      </c>
      <c r="I141" s="86"/>
    </row>
    <row r="142" spans="2:9" hidden="1" x14ac:dyDescent="0.35">
      <c r="B142" s="85" t="s">
        <v>255</v>
      </c>
      <c r="C142" s="86">
        <v>0</v>
      </c>
      <c r="D142" s="86"/>
      <c r="E142" s="86" t="str">
        <f t="shared" si="8"/>
        <v>frmt</v>
      </c>
      <c r="F142" s="86" t="str">
        <f t="shared" si="9"/>
        <v>f</v>
      </c>
      <c r="G142" s="86" t="str">
        <f t="shared" si="10"/>
        <v>b02.00</v>
      </c>
      <c r="H142" s="86" t="str">
        <f t="shared" si="11"/>
        <v>0490_rgstrr</v>
      </c>
      <c r="I142" s="86"/>
    </row>
    <row r="143" spans="2:9" hidden="1" x14ac:dyDescent="0.35">
      <c r="B143" s="85" t="s">
        <v>256</v>
      </c>
      <c r="C143" s="86">
        <v>0</v>
      </c>
      <c r="D143" s="86"/>
      <c r="E143" s="86" t="str">
        <f t="shared" si="8"/>
        <v>frmt</v>
      </c>
      <c r="F143" s="86" t="str">
        <f t="shared" si="9"/>
        <v>f</v>
      </c>
      <c r="G143" s="86" t="str">
        <f t="shared" si="10"/>
        <v>b02.00</v>
      </c>
      <c r="H143" s="86" t="str">
        <f t="shared" si="11"/>
        <v>0491_rgstrr_lei</v>
      </c>
      <c r="I143" s="86"/>
    </row>
    <row r="144" spans="2:9" hidden="1" x14ac:dyDescent="0.35">
      <c r="B144" s="85" t="s">
        <v>257</v>
      </c>
      <c r="C144" s="86">
        <v>0</v>
      </c>
      <c r="D144" s="86"/>
      <c r="E144" s="86" t="str">
        <f t="shared" si="8"/>
        <v>frmt</v>
      </c>
      <c r="F144" s="86" t="str">
        <f t="shared" si="9"/>
        <v>f</v>
      </c>
      <c r="G144" s="86" t="str">
        <f t="shared" si="10"/>
        <v>b02.00</v>
      </c>
      <c r="H144" s="86" t="str">
        <f t="shared" si="11"/>
        <v>0500_nna</v>
      </c>
      <c r="I144" s="86"/>
    </row>
    <row r="145" spans="2:9" hidden="1" x14ac:dyDescent="0.35">
      <c r="B145" s="85" t="s">
        <v>258</v>
      </c>
      <c r="C145" s="86">
        <v>0</v>
      </c>
      <c r="D145" s="86"/>
      <c r="E145" s="86" t="str">
        <f t="shared" si="8"/>
        <v>frmt</v>
      </c>
      <c r="F145" s="86" t="str">
        <f t="shared" si="9"/>
        <v>f</v>
      </c>
      <c r="G145" s="86" t="str">
        <f t="shared" si="10"/>
        <v>b02.00</v>
      </c>
      <c r="H145" s="86" t="str">
        <f t="shared" si="11"/>
        <v>0501_nna_lei</v>
      </c>
      <c r="I145" s="86"/>
    </row>
    <row r="146" spans="2:9" hidden="1" x14ac:dyDescent="0.35">
      <c r="B146" s="85" t="s">
        <v>259</v>
      </c>
      <c r="C146" s="86">
        <v>0</v>
      </c>
      <c r="D146" s="86"/>
      <c r="E146" s="86" t="str">
        <f t="shared" si="8"/>
        <v>frmt</v>
      </c>
      <c r="F146" s="86" t="str">
        <f t="shared" si="9"/>
        <v>f</v>
      </c>
      <c r="G146" s="86" t="str">
        <f t="shared" si="10"/>
        <v>b02.00</v>
      </c>
      <c r="H146" s="86" t="str">
        <f t="shared" si="11"/>
        <v>0510_cmmn_dpstry</v>
      </c>
      <c r="I146" s="86"/>
    </row>
    <row r="147" spans="2:9" hidden="1" x14ac:dyDescent="0.35">
      <c r="B147" s="85" t="s">
        <v>260</v>
      </c>
      <c r="C147" s="86">
        <v>0</v>
      </c>
      <c r="D147" s="86"/>
      <c r="E147" s="86" t="str">
        <f t="shared" si="8"/>
        <v>frmt</v>
      </c>
      <c r="F147" s="86" t="str">
        <f t="shared" si="9"/>
        <v>f</v>
      </c>
      <c r="G147" s="86" t="str">
        <f t="shared" si="10"/>
        <v>b02.00</v>
      </c>
      <c r="H147" s="86" t="str">
        <f t="shared" si="11"/>
        <v>0511_cmmn_dpstry_lei</v>
      </c>
      <c r="I147" s="86"/>
    </row>
    <row r="148" spans="2:9" hidden="1" x14ac:dyDescent="0.35">
      <c r="B148" s="85" t="s">
        <v>261</v>
      </c>
      <c r="C148" s="86">
        <v>0</v>
      </c>
      <c r="D148" s="86"/>
      <c r="E148" s="86" t="str">
        <f t="shared" si="8"/>
        <v>frmt</v>
      </c>
      <c r="F148" s="86" t="str">
        <f t="shared" si="9"/>
        <v>f</v>
      </c>
      <c r="G148" s="86" t="str">
        <f t="shared" si="10"/>
        <v>b02.00</v>
      </c>
      <c r="H148" s="86" t="str">
        <f t="shared" si="11"/>
        <v>0520_cmmn_srvc_prvdr</v>
      </c>
      <c r="I148" s="86"/>
    </row>
    <row r="149" spans="2:9" hidden="1" x14ac:dyDescent="0.35">
      <c r="B149" s="85" t="s">
        <v>262</v>
      </c>
      <c r="C149" s="86">
        <v>0</v>
      </c>
      <c r="D149" s="86"/>
      <c r="E149" s="86" t="str">
        <f t="shared" si="8"/>
        <v>frmt</v>
      </c>
      <c r="F149" s="86" t="str">
        <f t="shared" si="9"/>
        <v>f</v>
      </c>
      <c r="G149" s="86" t="str">
        <f t="shared" si="10"/>
        <v>b02.00</v>
      </c>
      <c r="H149" s="86" t="str">
        <f t="shared" si="11"/>
        <v>0521_cmmn_srvc_prvdr_lei</v>
      </c>
      <c r="I149" s="86"/>
    </row>
    <row r="150" spans="2:9" hidden="1" x14ac:dyDescent="0.35">
      <c r="B150" s="85" t="s">
        <v>263</v>
      </c>
      <c r="C150" s="86">
        <v>0</v>
      </c>
      <c r="D150" s="86"/>
      <c r="E150" s="86" t="str">
        <f t="shared" si="8"/>
        <v>frmt</v>
      </c>
      <c r="F150" s="86" t="str">
        <f t="shared" si="9"/>
        <v>f</v>
      </c>
      <c r="G150" s="86" t="str">
        <f t="shared" si="10"/>
        <v>b02.00</v>
      </c>
      <c r="H150" s="86" t="str">
        <f t="shared" si="11"/>
        <v>0530_typ_own_fnds_ind_lvl</v>
      </c>
      <c r="I150" s="86"/>
    </row>
    <row r="151" spans="2:9" hidden="1" x14ac:dyDescent="0.35">
      <c r="B151" s="85" t="s">
        <v>264</v>
      </c>
      <c r="C151" s="86">
        <v>0</v>
      </c>
      <c r="D151" s="86"/>
      <c r="E151" s="86" t="str">
        <f t="shared" si="8"/>
        <v>frmt</v>
      </c>
      <c r="F151" s="86" t="str">
        <f t="shared" si="9"/>
        <v>f</v>
      </c>
      <c r="G151" s="86" t="str">
        <f t="shared" si="10"/>
        <v>b02.00</v>
      </c>
      <c r="H151" s="86" t="str">
        <f t="shared" si="11"/>
        <v>0540_elgbl_amnt_own_fnds_ind_lvl</v>
      </c>
      <c r="I151" s="86"/>
    </row>
    <row r="152" spans="2:9" hidden="1" x14ac:dyDescent="0.35">
      <c r="B152" s="85" t="s">
        <v>265</v>
      </c>
      <c r="C152" s="86">
        <v>0</v>
      </c>
      <c r="D152" s="86"/>
      <c r="E152" s="86" t="str">
        <f t="shared" si="8"/>
        <v>frmt</v>
      </c>
      <c r="F152" s="86" t="str">
        <f t="shared" si="9"/>
        <v>f</v>
      </c>
      <c r="G152" s="86" t="str">
        <f t="shared" si="10"/>
        <v>b02.00</v>
      </c>
      <c r="H152" s="86" t="str">
        <f t="shared" si="11"/>
        <v>0550_typ_own_fnds_cnsldtd_lvl</v>
      </c>
      <c r="I152" s="86"/>
    </row>
    <row r="153" spans="2:9" hidden="1" x14ac:dyDescent="0.35">
      <c r="B153" s="85" t="s">
        <v>266</v>
      </c>
      <c r="C153" s="86">
        <v>0</v>
      </c>
      <c r="D153" s="86"/>
      <c r="E153" s="86" t="str">
        <f t="shared" si="8"/>
        <v>frmt</v>
      </c>
      <c r="F153" s="86" t="str">
        <f t="shared" si="9"/>
        <v>f</v>
      </c>
      <c r="G153" s="86" t="str">
        <f t="shared" si="10"/>
        <v>b02.00</v>
      </c>
      <c r="H153" s="86" t="str">
        <f t="shared" si="11"/>
        <v>0560_elgbl_amnt_own_fnds_cnsldtd_lvl</v>
      </c>
      <c r="I153" s="86"/>
    </row>
    <row r="154" spans="2:9" hidden="1" x14ac:dyDescent="0.35">
      <c r="B154" s="85" t="s">
        <v>267</v>
      </c>
      <c r="C154" s="86">
        <v>0</v>
      </c>
      <c r="D154" s="86"/>
      <c r="E154" s="86" t="str">
        <f t="shared" si="8"/>
        <v>frmt</v>
      </c>
      <c r="F154" s="86" t="str">
        <f t="shared" si="9"/>
        <v>f</v>
      </c>
      <c r="G154" s="86" t="str">
        <f t="shared" si="10"/>
        <v>b02.00</v>
      </c>
      <c r="H154" s="86" t="str">
        <f t="shared" si="11"/>
        <v>0570_amnt_scrty_intrst_prvdd</v>
      </c>
      <c r="I154" s="86"/>
    </row>
    <row r="155" spans="2:9" hidden="1" x14ac:dyDescent="0.35">
      <c r="B155" s="85" t="s">
        <v>268</v>
      </c>
      <c r="C155" s="86">
        <v>0</v>
      </c>
      <c r="D155" s="86"/>
      <c r="E155" s="86" t="str">
        <f t="shared" si="8"/>
        <v>frmt</v>
      </c>
      <c r="F155" s="86" t="str">
        <f t="shared" si="9"/>
        <v>f</v>
      </c>
      <c r="G155" s="86" t="str">
        <f t="shared" si="10"/>
        <v>b02.00</v>
      </c>
      <c r="H155" s="86" t="str">
        <f t="shared" si="11"/>
        <v>0580_scrty_intrst_prvdr</v>
      </c>
      <c r="I155" s="86"/>
    </row>
    <row r="156" spans="2:9" hidden="1" x14ac:dyDescent="0.35">
      <c r="B156" s="85" t="s">
        <v>269</v>
      </c>
      <c r="C156" s="86">
        <v>0</v>
      </c>
      <c r="D156" s="86"/>
      <c r="E156" s="86" t="str">
        <f t="shared" si="8"/>
        <v>frmt</v>
      </c>
      <c r="F156" s="86" t="str">
        <f t="shared" si="9"/>
        <v>f</v>
      </c>
      <c r="G156" s="86" t="str">
        <f t="shared" si="10"/>
        <v>b02.00</v>
      </c>
      <c r="H156" s="86" t="str">
        <f t="shared" si="11"/>
        <v>0581_scrty_intrst_prvdr_lei</v>
      </c>
      <c r="I156" s="86"/>
    </row>
    <row r="157" spans="2:9" hidden="1" x14ac:dyDescent="0.35">
      <c r="B157" s="85" t="s">
        <v>270</v>
      </c>
      <c r="C157" s="86">
        <v>0</v>
      </c>
      <c r="D157" s="86"/>
      <c r="E157" s="86" t="str">
        <f t="shared" si="8"/>
        <v>frmt</v>
      </c>
      <c r="F157" s="86" t="str">
        <f t="shared" si="9"/>
        <v>f</v>
      </c>
      <c r="G157" s="86" t="str">
        <f t="shared" si="10"/>
        <v>b02.00</v>
      </c>
      <c r="H157" s="86" t="str">
        <f t="shared" si="11"/>
        <v>0590_typ_scrty_intrst_prvdd</v>
      </c>
      <c r="I157" s="86"/>
    </row>
    <row r="158" spans="2:9" hidden="1" x14ac:dyDescent="0.35">
      <c r="B158" s="85" t="s">
        <v>271</v>
      </c>
      <c r="C158" s="86">
        <v>0</v>
      </c>
      <c r="D158" s="86"/>
      <c r="E158" s="86" t="str">
        <f t="shared" si="8"/>
        <v>frmt</v>
      </c>
      <c r="F158" s="86" t="str">
        <f t="shared" si="9"/>
        <v>f</v>
      </c>
      <c r="G158" s="86" t="str">
        <f t="shared" si="10"/>
        <v>b02.00</v>
      </c>
      <c r="H158" s="86" t="str">
        <f t="shared" si="11"/>
        <v>0600_flg_clltrl_asst_pstn</v>
      </c>
      <c r="I158" s="86"/>
    </row>
    <row r="159" spans="2:9" hidden="1" x14ac:dyDescent="0.35">
      <c r="B159" s="85" t="s">
        <v>272</v>
      </c>
      <c r="C159" s="86">
        <v>0</v>
      </c>
      <c r="D159" s="86"/>
      <c r="E159" s="86" t="str">
        <f t="shared" si="8"/>
        <v>frmt</v>
      </c>
      <c r="F159" s="86" t="str">
        <f t="shared" si="9"/>
        <v>f</v>
      </c>
      <c r="G159" s="86" t="str">
        <f t="shared" si="10"/>
        <v>b02.00</v>
      </c>
      <c r="H159" s="86" t="str">
        <f t="shared" si="11"/>
        <v>0610_crryng_amnt_ifrs</v>
      </c>
      <c r="I159" s="86"/>
    </row>
    <row r="160" spans="2:9" hidden="1" x14ac:dyDescent="0.35">
      <c r="B160" s="85" t="s">
        <v>273</v>
      </c>
      <c r="C160" s="86">
        <v>0</v>
      </c>
      <c r="D160" s="86"/>
      <c r="E160" s="86" t="str">
        <f t="shared" si="8"/>
        <v>frmt</v>
      </c>
      <c r="F160" s="86" t="str">
        <f t="shared" si="9"/>
        <v>f</v>
      </c>
      <c r="G160" s="86" t="str">
        <f t="shared" si="10"/>
        <v>b02.00</v>
      </c>
      <c r="H160" s="86" t="str">
        <f t="shared" si="11"/>
        <v>0620_blnc_sht_ifrs</v>
      </c>
      <c r="I160" s="86"/>
    </row>
    <row r="161" spans="2:9" hidden="1" x14ac:dyDescent="0.35">
      <c r="B161" s="85" t="s">
        <v>274</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275</v>
      </c>
      <c r="C162" s="86">
        <v>8</v>
      </c>
      <c r="D162" s="86"/>
      <c r="E162" s="86" t="str">
        <f t="shared" si="8"/>
        <v>frmt</v>
      </c>
      <c r="F162" s="86" t="str">
        <f t="shared" si="9"/>
        <v>f</v>
      </c>
      <c r="G162" s="86" t="str">
        <f t="shared" si="10"/>
        <v>b02.00</v>
      </c>
      <c r="H162" s="86" t="str">
        <f t="shared" si="11"/>
        <v>0640_blnc_sht_ngaap</v>
      </c>
      <c r="I162" s="90" t="s">
        <v>276</v>
      </c>
    </row>
    <row r="163" spans="2:9" hidden="1" x14ac:dyDescent="0.35">
      <c r="B163" s="85" t="s">
        <v>277</v>
      </c>
      <c r="C163" s="86">
        <v>0</v>
      </c>
      <c r="D163" s="86"/>
      <c r="E163" s="86" t="str">
        <f t="shared" si="8"/>
        <v>frmt</v>
      </c>
      <c r="F163" s="86" t="str">
        <f t="shared" si="9"/>
        <v>f</v>
      </c>
      <c r="G163" s="86" t="str">
        <f t="shared" si="10"/>
        <v>b02.00</v>
      </c>
      <c r="H163" s="86" t="str">
        <f t="shared" si="11"/>
        <v>5000_flg_shrhldr_not_rsltn_grp</v>
      </c>
      <c r="I163" s="86"/>
    </row>
    <row r="164" spans="2:9" hidden="1" x14ac:dyDescent="0.35">
      <c r="B164" s="85" t="s">
        <v>278</v>
      </c>
      <c r="C164" s="86">
        <v>0</v>
      </c>
      <c r="D164" s="86"/>
      <c r="E164" s="86" t="str">
        <f t="shared" si="8"/>
        <v>frmt</v>
      </c>
      <c r="F164" s="86" t="str">
        <f t="shared" si="9"/>
        <v>f</v>
      </c>
      <c r="G164" s="86" t="str">
        <f t="shared" si="10"/>
        <v>b02.00</v>
      </c>
      <c r="H164" s="86" t="str">
        <f t="shared" si="11"/>
        <v>5010_flg_art21_7a_srmr</v>
      </c>
      <c r="I164" s="86"/>
    </row>
    <row r="165" spans="2:9" hidden="1" x14ac:dyDescent="0.35">
      <c r="B165" s="85" t="s">
        <v>279</v>
      </c>
      <c r="C165" s="86">
        <v>0</v>
      </c>
      <c r="D165" s="86"/>
      <c r="E165" s="86" t="str">
        <f t="shared" si="8"/>
        <v>lvl2</v>
      </c>
      <c r="F165" s="86" t="str">
        <f t="shared" si="9"/>
        <v>h</v>
      </c>
      <c r="G165" s="86" t="str">
        <f t="shared" si="10"/>
        <v>b05.00</v>
      </c>
      <c r="H165" s="86" t="str">
        <f t="shared" si="11"/>
        <v>0030_governing_law</v>
      </c>
      <c r="I165" s="86"/>
    </row>
    <row r="166" spans="2:9" hidden="1" x14ac:dyDescent="0.35">
      <c r="B166" s="85" t="s">
        <v>280</v>
      </c>
      <c r="C166" s="86">
        <v>0</v>
      </c>
      <c r="D166" s="86"/>
      <c r="E166" s="86" t="str">
        <f t="shared" si="8"/>
        <v>lvl2</v>
      </c>
      <c r="F166" s="86" t="str">
        <f t="shared" si="9"/>
        <v>h</v>
      </c>
      <c r="G166" s="86" t="str">
        <f t="shared" si="10"/>
        <v>b05.00</v>
      </c>
      <c r="H166" s="86" t="str">
        <f t="shared" si="11"/>
        <v>0050_typ_guarantee</v>
      </c>
      <c r="I166" s="86"/>
    </row>
    <row r="167" spans="2:9" hidden="1" x14ac:dyDescent="0.35">
      <c r="B167" s="85" t="s">
        <v>281</v>
      </c>
      <c r="C167" s="86">
        <v>0</v>
      </c>
      <c r="D167" s="86"/>
      <c r="E167" s="86" t="str">
        <f t="shared" si="8"/>
        <v>lvl2</v>
      </c>
      <c r="F167" s="86" t="str">
        <f t="shared" si="9"/>
        <v>h</v>
      </c>
      <c r="G167" s="86" t="str">
        <f t="shared" si="10"/>
        <v>b05.00</v>
      </c>
      <c r="H167" s="86" t="str">
        <f t="shared" si="11"/>
        <v>0060_max_amnt_guarantee</v>
      </c>
      <c r="I167" s="86"/>
    </row>
    <row r="168" spans="2:9" hidden="1" x14ac:dyDescent="0.35">
      <c r="B168" s="85" t="s">
        <v>282</v>
      </c>
      <c r="C168" s="86">
        <v>4730</v>
      </c>
      <c r="D168" s="86"/>
      <c r="E168" s="86" t="str">
        <f t="shared" si="8"/>
        <v>lvl2</v>
      </c>
      <c r="F168" s="86" t="str">
        <f t="shared" si="9"/>
        <v>h</v>
      </c>
      <c r="G168" s="86" t="str">
        <f t="shared" si="10"/>
        <v>b05.00</v>
      </c>
      <c r="H168" s="86" t="str">
        <f t="shared" si="11"/>
        <v>0070_flg_scrd</v>
      </c>
      <c r="I168" s="86"/>
    </row>
    <row r="169" spans="2:9" hidden="1" x14ac:dyDescent="0.35">
      <c r="B169" s="85" t="s">
        <v>283</v>
      </c>
      <c r="C169" s="86">
        <v>0</v>
      </c>
      <c r="D169" s="86"/>
      <c r="E169" s="86" t="str">
        <f t="shared" si="8"/>
        <v>lvl2</v>
      </c>
      <c r="F169" s="86" t="str">
        <f t="shared" si="9"/>
        <v>h</v>
      </c>
      <c r="G169" s="86" t="str">
        <f t="shared" si="10"/>
        <v>b05.00</v>
      </c>
      <c r="H169" s="86" t="str">
        <f t="shared" si="11"/>
        <v>0080_amnt_clltrl</v>
      </c>
      <c r="I169" s="86"/>
    </row>
    <row r="170" spans="2:9" hidden="1" x14ac:dyDescent="0.35">
      <c r="B170" s="85" t="s">
        <v>284</v>
      </c>
      <c r="C170" s="86">
        <v>0</v>
      </c>
      <c r="D170" s="86"/>
      <c r="E170" s="86" t="str">
        <f t="shared" si="8"/>
        <v>frmt</v>
      </c>
      <c r="F170" s="86" t="str">
        <f t="shared" si="9"/>
        <v>f</v>
      </c>
      <c r="G170" s="86" t="str">
        <f t="shared" si="10"/>
        <v>b05.00</v>
      </c>
      <c r="H170" s="86" t="str">
        <f t="shared" si="11"/>
        <v>0010_row_nmbr</v>
      </c>
      <c r="I170" s="86"/>
    </row>
    <row r="171" spans="2:9" hidden="1" x14ac:dyDescent="0.35">
      <c r="B171" s="85" t="s">
        <v>285</v>
      </c>
      <c r="C171" s="86">
        <v>0</v>
      </c>
      <c r="D171" s="86"/>
      <c r="E171" s="86" t="str">
        <f t="shared" si="8"/>
        <v>frmt</v>
      </c>
      <c r="F171" s="86" t="str">
        <f t="shared" si="9"/>
        <v>f</v>
      </c>
      <c r="G171" s="86" t="str">
        <f t="shared" si="10"/>
        <v>b05.00</v>
      </c>
      <c r="H171" s="86" t="str">
        <f t="shared" si="11"/>
        <v>0020_uniq_id_guarantee</v>
      </c>
      <c r="I171" s="86"/>
    </row>
    <row r="172" spans="2:9" hidden="1" x14ac:dyDescent="0.35">
      <c r="B172" s="85" t="s">
        <v>286</v>
      </c>
      <c r="C172" s="86">
        <v>0</v>
      </c>
      <c r="D172" s="86"/>
      <c r="E172" s="86" t="str">
        <f t="shared" si="8"/>
        <v>frmt</v>
      </c>
      <c r="F172" s="86" t="str">
        <f t="shared" si="9"/>
        <v>f</v>
      </c>
      <c r="G172" s="86" t="str">
        <f t="shared" si="10"/>
        <v>b05.00</v>
      </c>
      <c r="H172" s="86" t="str">
        <f t="shared" si="11"/>
        <v>0030_governing_law</v>
      </c>
      <c r="I172" s="86"/>
    </row>
    <row r="173" spans="2:9" hidden="1" x14ac:dyDescent="0.35">
      <c r="B173" s="85" t="s">
        <v>287</v>
      </c>
      <c r="C173" s="86">
        <v>0</v>
      </c>
      <c r="D173" s="86"/>
      <c r="E173" s="86" t="str">
        <f t="shared" si="8"/>
        <v>frmt</v>
      </c>
      <c r="F173" s="86" t="str">
        <f t="shared" si="9"/>
        <v>f</v>
      </c>
      <c r="G173" s="86" t="str">
        <f t="shared" si="10"/>
        <v>b05.00</v>
      </c>
      <c r="H173" s="86" t="str">
        <f t="shared" si="11"/>
        <v>0040_flg_art12g_3_srmr</v>
      </c>
      <c r="I173" s="86"/>
    </row>
    <row r="174" spans="2:9" hidden="1" x14ac:dyDescent="0.35">
      <c r="B174" s="85" t="s">
        <v>288</v>
      </c>
      <c r="C174" s="86">
        <v>0</v>
      </c>
      <c r="D174" s="86"/>
      <c r="E174" s="86" t="str">
        <f t="shared" si="8"/>
        <v>frmt</v>
      </c>
      <c r="F174" s="86" t="str">
        <f t="shared" si="9"/>
        <v>f</v>
      </c>
      <c r="G174" s="86" t="str">
        <f t="shared" si="10"/>
        <v>b05.00</v>
      </c>
      <c r="H174" s="86" t="str">
        <f t="shared" si="11"/>
        <v>0050_typ_guarantee</v>
      </c>
      <c r="I174" s="86"/>
    </row>
    <row r="175" spans="2:9" hidden="1" x14ac:dyDescent="0.35">
      <c r="B175" s="85" t="s">
        <v>289</v>
      </c>
      <c r="C175" s="86">
        <v>0</v>
      </c>
      <c r="D175" s="86"/>
      <c r="E175" s="86" t="str">
        <f t="shared" si="8"/>
        <v>frmt</v>
      </c>
      <c r="F175" s="86" t="str">
        <f t="shared" si="9"/>
        <v>f</v>
      </c>
      <c r="G175" s="86" t="str">
        <f t="shared" si="10"/>
        <v>b05.00</v>
      </c>
      <c r="H175" s="86" t="str">
        <f t="shared" si="11"/>
        <v>0060_max_amnt_guarantee</v>
      </c>
      <c r="I175" s="86"/>
    </row>
    <row r="176" spans="2:9" hidden="1" x14ac:dyDescent="0.35">
      <c r="B176" s="85" t="s">
        <v>290</v>
      </c>
      <c r="C176" s="86">
        <v>0</v>
      </c>
      <c r="D176" s="86"/>
      <c r="E176" s="86" t="str">
        <f t="shared" si="8"/>
        <v>frmt</v>
      </c>
      <c r="F176" s="86" t="str">
        <f t="shared" si="9"/>
        <v>f</v>
      </c>
      <c r="G176" s="86" t="str">
        <f t="shared" si="10"/>
        <v>b05.00</v>
      </c>
      <c r="H176" s="86" t="str">
        <f t="shared" si="11"/>
        <v>0070_flg_scrd</v>
      </c>
      <c r="I176" s="86"/>
    </row>
    <row r="177" spans="2:9" hidden="1" x14ac:dyDescent="0.35">
      <c r="B177" s="85" t="s">
        <v>291</v>
      </c>
      <c r="C177" s="86">
        <v>0</v>
      </c>
      <c r="D177" s="86"/>
      <c r="E177" s="86" t="str">
        <f t="shared" si="8"/>
        <v>frmt</v>
      </c>
      <c r="F177" s="86" t="str">
        <f t="shared" si="9"/>
        <v>f</v>
      </c>
      <c r="G177" s="86" t="str">
        <f t="shared" si="10"/>
        <v>b05.00</v>
      </c>
      <c r="H177" s="86" t="str">
        <f t="shared" si="11"/>
        <v>0080_amnt_clltrl</v>
      </c>
      <c r="I177" s="86"/>
    </row>
    <row r="178" spans="2:9" hidden="1" x14ac:dyDescent="0.35">
      <c r="B178" s="85" t="s">
        <v>292</v>
      </c>
      <c r="C178" s="86">
        <v>0</v>
      </c>
      <c r="D178" s="86"/>
      <c r="E178" s="86" t="str">
        <f t="shared" si="8"/>
        <v>frmt</v>
      </c>
      <c r="F178" s="86" t="str">
        <f t="shared" si="9"/>
        <v>f</v>
      </c>
      <c r="G178" s="86" t="str">
        <f t="shared" si="10"/>
        <v>b05.00</v>
      </c>
      <c r="H178" s="86" t="str">
        <f t="shared" si="11"/>
        <v>0090_guarantee_trggr</v>
      </c>
      <c r="I178" s="86"/>
    </row>
    <row r="179" spans="2:9" hidden="1" x14ac:dyDescent="0.35">
      <c r="B179" s="85" t="s">
        <v>293</v>
      </c>
      <c r="C179" s="86">
        <v>0</v>
      </c>
      <c r="D179" s="86"/>
      <c r="E179" s="86" t="str">
        <f t="shared" si="8"/>
        <v>frmt</v>
      </c>
      <c r="F179" s="86" t="str">
        <f t="shared" si="9"/>
        <v>f</v>
      </c>
      <c r="G179" s="86" t="str">
        <f t="shared" si="10"/>
        <v>b05.00</v>
      </c>
      <c r="H179" s="86" t="str">
        <f t="shared" si="11"/>
        <v>0100_dt_mtrty_clltrl</v>
      </c>
      <c r="I179" s="86"/>
    </row>
    <row r="180" spans="2:9" hidden="1" x14ac:dyDescent="0.35">
      <c r="B180" s="85" t="s">
        <v>294</v>
      </c>
      <c r="C180" s="86">
        <v>0</v>
      </c>
      <c r="D180" s="86"/>
      <c r="E180" s="86" t="str">
        <f t="shared" si="8"/>
        <v>frmt</v>
      </c>
      <c r="F180" s="86" t="str">
        <f t="shared" si="9"/>
        <v>f</v>
      </c>
      <c r="G180" s="86" t="str">
        <f t="shared" si="10"/>
        <v>b05.00</v>
      </c>
      <c r="H180" s="86" t="str">
        <f t="shared" si="11"/>
        <v>0110_scrts_clltrl_id</v>
      </c>
      <c r="I180" s="86"/>
    </row>
    <row r="181" spans="2:9" hidden="1" x14ac:dyDescent="0.35">
      <c r="B181" s="85" t="s">
        <v>295</v>
      </c>
      <c r="C181" s="86">
        <v>0</v>
      </c>
      <c r="D181" s="86"/>
      <c r="E181" s="86" t="str">
        <f t="shared" si="8"/>
        <v>frmt</v>
      </c>
      <c r="F181" s="86" t="str">
        <f t="shared" si="9"/>
        <v>f</v>
      </c>
      <c r="G181" s="86" t="str">
        <f t="shared" si="10"/>
        <v>b05.00</v>
      </c>
      <c r="H181" s="86" t="str">
        <f t="shared" si="11"/>
        <v>0120_typ_clltrlztn</v>
      </c>
      <c r="I181" s="86"/>
    </row>
    <row r="182" spans="2:9" x14ac:dyDescent="0.35">
      <c r="B182" s="85" t="s">
        <v>296</v>
      </c>
      <c r="C182" s="86">
        <v>4730</v>
      </c>
      <c r="D182" s="86"/>
      <c r="E182" s="86" t="str">
        <f t="shared" si="8"/>
        <v>frmt</v>
      </c>
      <c r="F182" s="86" t="str">
        <f t="shared" si="9"/>
        <v>f</v>
      </c>
      <c r="G182" s="86" t="str">
        <f t="shared" si="10"/>
        <v>b05.00</v>
      </c>
      <c r="H182" s="86" t="str">
        <f t="shared" si="11"/>
        <v>0130_typ_prtctn_vl</v>
      </c>
      <c r="I182" s="90" t="s">
        <v>297</v>
      </c>
    </row>
    <row r="183" spans="2:9" x14ac:dyDescent="0.35">
      <c r="B183" s="85" t="s">
        <v>298</v>
      </c>
      <c r="C183" s="86">
        <v>4730</v>
      </c>
      <c r="D183" s="86"/>
      <c r="E183" s="86" t="str">
        <f t="shared" si="8"/>
        <v>frmt</v>
      </c>
      <c r="F183" s="86" t="str">
        <f t="shared" si="9"/>
        <v>f</v>
      </c>
      <c r="G183" s="86" t="str">
        <f t="shared" si="10"/>
        <v>b05.00</v>
      </c>
      <c r="H183" s="86" t="str">
        <f t="shared" si="11"/>
        <v>0150_prtctn_vltn_apprch</v>
      </c>
      <c r="I183" s="90" t="s">
        <v>297</v>
      </c>
    </row>
    <row r="184" spans="2:9" hidden="1" x14ac:dyDescent="0.35">
      <c r="B184" s="85" t="s">
        <v>299</v>
      </c>
      <c r="C184" s="86">
        <v>4740</v>
      </c>
      <c r="D184" s="86"/>
      <c r="E184" s="86" t="str">
        <f t="shared" si="8"/>
        <v>lvl1</v>
      </c>
      <c r="F184" s="86" t="str">
        <f t="shared" si="9"/>
        <v>h</v>
      </c>
      <c r="G184" s="86" t="str">
        <f t="shared" si="10"/>
        <v>b90.00</v>
      </c>
      <c r="H184" s="86" t="str">
        <f t="shared" si="11"/>
        <v>0030_cntrprty_rsltn_grp</v>
      </c>
      <c r="I184" s="86"/>
    </row>
    <row r="185" spans="2:9" hidden="1" x14ac:dyDescent="0.35">
      <c r="B185" s="85" t="s">
        <v>300</v>
      </c>
      <c r="C185" s="86">
        <v>0</v>
      </c>
      <c r="D185" s="86"/>
      <c r="E185" s="86" t="str">
        <f t="shared" si="8"/>
        <v>lvl2</v>
      </c>
      <c r="F185" s="86" t="str">
        <f t="shared" si="9"/>
        <v>h</v>
      </c>
      <c r="G185" s="86" t="str">
        <f t="shared" si="10"/>
        <v>b90.00</v>
      </c>
      <c r="H185" s="86" t="str">
        <f t="shared" si="11"/>
        <v>0030_cntrprty_rsltn_grp</v>
      </c>
      <c r="I185" s="86"/>
    </row>
    <row r="186" spans="2:9" hidden="1" x14ac:dyDescent="0.35">
      <c r="B186" s="85" t="s">
        <v>301</v>
      </c>
      <c r="C186" s="86">
        <v>0</v>
      </c>
      <c r="D186" s="86"/>
      <c r="E186" s="86" t="str">
        <f t="shared" si="8"/>
        <v>lvl2</v>
      </c>
      <c r="F186" s="86" t="str">
        <f t="shared" si="9"/>
        <v>h</v>
      </c>
      <c r="G186" s="86" t="str">
        <f t="shared" si="10"/>
        <v>b90.00</v>
      </c>
      <c r="H186" s="86" t="str">
        <f t="shared" si="11"/>
        <v>0080_cntrprty_typ</v>
      </c>
      <c r="I186" s="86"/>
    </row>
    <row r="187" spans="2:9" x14ac:dyDescent="0.35">
      <c r="B187" s="85" t="s">
        <v>302</v>
      </c>
      <c r="C187" s="86">
        <v>2</v>
      </c>
      <c r="D187" s="86"/>
      <c r="E187" s="86" t="str">
        <f t="shared" si="8"/>
        <v>lvl2</v>
      </c>
      <c r="F187" s="86" t="str">
        <f t="shared" si="9"/>
        <v>h</v>
      </c>
      <c r="G187" s="86" t="str">
        <f t="shared" si="10"/>
        <v>b90.00</v>
      </c>
      <c r="H187" s="86" t="str">
        <f t="shared" si="11"/>
        <v>0090_cntry_cntrprty</v>
      </c>
      <c r="I187" s="90" t="s">
        <v>303</v>
      </c>
    </row>
    <row r="188" spans="2:9" hidden="1" x14ac:dyDescent="0.35">
      <c r="B188" s="85" t="s">
        <v>304</v>
      </c>
      <c r="C188" s="86">
        <v>0</v>
      </c>
      <c r="D188" s="86"/>
      <c r="E188" s="86" t="str">
        <f t="shared" si="8"/>
        <v>frmt</v>
      </c>
      <c r="F188" s="86" t="str">
        <f t="shared" si="9"/>
        <v>f</v>
      </c>
      <c r="G188" s="86" t="str">
        <f t="shared" si="10"/>
        <v>b90.00</v>
      </c>
      <c r="H188" s="86" t="str">
        <f t="shared" si="11"/>
        <v>0010_row_nmbr</v>
      </c>
      <c r="I188" s="86"/>
    </row>
    <row r="189" spans="2:9" hidden="1" x14ac:dyDescent="0.35">
      <c r="B189" s="85" t="s">
        <v>305</v>
      </c>
      <c r="C189" s="86">
        <v>0</v>
      </c>
      <c r="D189" s="86"/>
      <c r="E189" s="86" t="str">
        <f t="shared" si="8"/>
        <v>frmt</v>
      </c>
      <c r="F189" s="86" t="str">
        <f t="shared" si="9"/>
        <v>f</v>
      </c>
      <c r="G189" s="86" t="str">
        <f t="shared" si="10"/>
        <v>b90.00</v>
      </c>
      <c r="H189" s="86" t="str">
        <f t="shared" si="11"/>
        <v>0011_tab_origin</v>
      </c>
      <c r="I189" s="86"/>
    </row>
    <row r="190" spans="2:9" hidden="1" x14ac:dyDescent="0.35">
      <c r="B190" s="85" t="s">
        <v>306</v>
      </c>
      <c r="C190" s="86">
        <v>0</v>
      </c>
      <c r="D190" s="86"/>
      <c r="E190" s="86" t="str">
        <f t="shared" si="8"/>
        <v>frmt</v>
      </c>
      <c r="F190" s="86" t="str">
        <f t="shared" si="9"/>
        <v>f</v>
      </c>
      <c r="G190" s="86" t="str">
        <f t="shared" si="10"/>
        <v>b90.00</v>
      </c>
      <c r="H190" s="86" t="str">
        <f t="shared" si="11"/>
        <v>0020_uniq_id_knwn_cntrprty</v>
      </c>
      <c r="I190" s="86"/>
    </row>
    <row r="191" spans="2:9" hidden="1" x14ac:dyDescent="0.35">
      <c r="B191" s="85" t="s">
        <v>307</v>
      </c>
      <c r="C191" s="86">
        <v>0</v>
      </c>
      <c r="D191" s="86"/>
      <c r="E191" s="86" t="str">
        <f t="shared" si="8"/>
        <v>frmt</v>
      </c>
      <c r="F191" s="86" t="str">
        <f t="shared" si="9"/>
        <v>f</v>
      </c>
      <c r="G191" s="86" t="str">
        <f t="shared" si="10"/>
        <v>b90.00</v>
      </c>
      <c r="H191" s="86" t="str">
        <f t="shared" si="11"/>
        <v>0030_cntrprty_rsltn_grp</v>
      </c>
      <c r="I191" s="86"/>
    </row>
    <row r="192" spans="2:9" hidden="1" x14ac:dyDescent="0.35">
      <c r="B192" s="85" t="s">
        <v>308</v>
      </c>
      <c r="C192" s="86">
        <v>0</v>
      </c>
      <c r="D192" s="86"/>
      <c r="E192" s="86" t="str">
        <f t="shared" si="8"/>
        <v>frmt</v>
      </c>
      <c r="F192" s="86" t="str">
        <f t="shared" si="9"/>
        <v>f</v>
      </c>
      <c r="G192" s="86" t="str">
        <f t="shared" si="10"/>
        <v>b90.00</v>
      </c>
      <c r="H192" s="86" t="str">
        <f t="shared" si="11"/>
        <v>0040_cntrprty_nm</v>
      </c>
      <c r="I192" s="86"/>
    </row>
    <row r="193" spans="2:9" hidden="1" x14ac:dyDescent="0.35">
      <c r="B193" s="85" t="s">
        <v>309</v>
      </c>
      <c r="C193" s="86">
        <v>0</v>
      </c>
      <c r="D193" s="86"/>
      <c r="E193" s="86" t="str">
        <f t="shared" si="8"/>
        <v>frmt</v>
      </c>
      <c r="F193" s="86" t="str">
        <f t="shared" si="9"/>
        <v>f</v>
      </c>
      <c r="G193" s="86" t="str">
        <f t="shared" si="10"/>
        <v>b90.00</v>
      </c>
      <c r="H193" s="86" t="str">
        <f t="shared" si="11"/>
        <v>0050_cntrprty_lei</v>
      </c>
      <c r="I193" s="86"/>
    </row>
    <row r="194" spans="2:9" hidden="1" x14ac:dyDescent="0.35">
      <c r="B194" s="85" t="s">
        <v>310</v>
      </c>
      <c r="C194" s="86">
        <v>0</v>
      </c>
      <c r="D194" s="86"/>
      <c r="E194" s="86" t="str">
        <f t="shared" si="8"/>
        <v>frmt</v>
      </c>
      <c r="F194" s="86" t="str">
        <f t="shared" si="9"/>
        <v>f</v>
      </c>
      <c r="G194" s="86" t="str">
        <f t="shared" si="10"/>
        <v>b90.00</v>
      </c>
      <c r="H194" s="86" t="str">
        <f t="shared" si="11"/>
        <v>0060_typ_cntrprty_id</v>
      </c>
      <c r="I194" s="86"/>
    </row>
    <row r="195" spans="2:9" hidden="1" x14ac:dyDescent="0.35">
      <c r="B195" s="85" t="s">
        <v>311</v>
      </c>
      <c r="C195" s="86">
        <v>0</v>
      </c>
      <c r="D195" s="86"/>
      <c r="E195" s="86" t="str">
        <f t="shared" si="8"/>
        <v>frmt</v>
      </c>
      <c r="F195" s="86" t="str">
        <f t="shared" si="9"/>
        <v>f</v>
      </c>
      <c r="G195" s="86" t="str">
        <f t="shared" si="10"/>
        <v>b90.00</v>
      </c>
      <c r="H195" s="86" t="str">
        <f t="shared" si="11"/>
        <v>0070_cntrprty_id</v>
      </c>
      <c r="I195" s="86"/>
    </row>
    <row r="196" spans="2:9" hidden="1" x14ac:dyDescent="0.35">
      <c r="B196" s="85" t="s">
        <v>312</v>
      </c>
      <c r="C196" s="86">
        <v>0</v>
      </c>
      <c r="D196" s="86"/>
      <c r="E196" s="86" t="str">
        <f t="shared" si="8"/>
        <v>frmt</v>
      </c>
      <c r="F196" s="86" t="str">
        <f t="shared" si="9"/>
        <v>f</v>
      </c>
      <c r="G196" s="86" t="str">
        <f t="shared" si="10"/>
        <v>b90.00</v>
      </c>
      <c r="H196" s="86" t="str">
        <f t="shared" si="11"/>
        <v>0080_cntrprty_typ</v>
      </c>
      <c r="I196" s="86"/>
    </row>
    <row r="197" spans="2:9" x14ac:dyDescent="0.35">
      <c r="B197" s="85" t="s">
        <v>313</v>
      </c>
      <c r="C197" s="86">
        <v>2</v>
      </c>
      <c r="D197" s="86"/>
      <c r="E197" s="86" t="str">
        <f t="shared" si="8"/>
        <v>frmt</v>
      </c>
      <c r="F197" s="86" t="str">
        <f t="shared" si="9"/>
        <v>f</v>
      </c>
      <c r="G197" s="86" t="str">
        <f t="shared" si="10"/>
        <v>b90.00</v>
      </c>
      <c r="H197" s="86" t="str">
        <f t="shared" si="11"/>
        <v>0090_cntry_cntrprty</v>
      </c>
      <c r="I197" s="90" t="s">
        <v>303</v>
      </c>
    </row>
    <row r="198" spans="2:9" hidden="1" x14ac:dyDescent="0.35">
      <c r="B198" s="85" t="s">
        <v>314</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filterColumn colId="7">
      <customFilters>
        <customFilter operator="notEqual" val=" "/>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election sqref="A1:XFD6"/>
    </sheetView>
  </sheetViews>
  <sheetFormatPr defaultColWidth="0" defaultRowHeight="14.5" x14ac:dyDescent="0.35"/>
  <cols>
    <col min="1" max="1" width="3.81640625" customWidth="1"/>
    <col min="2" max="2" width="48.81640625" bestFit="1" customWidth="1"/>
    <col min="3" max="3" width="44.453125" bestFit="1" customWidth="1"/>
    <col min="4" max="4" width="23.453125" bestFit="1" customWidth="1"/>
    <col min="5" max="5" width="15.1796875" bestFit="1" customWidth="1"/>
    <col min="6" max="6" width="19.36328125" bestFit="1" customWidth="1"/>
    <col min="7" max="8" width="14.08984375" customWidth="1"/>
    <col min="9" max="9" width="48.54296875" customWidth="1"/>
    <col min="10" max="10" width="3.81640625" customWidth="1"/>
    <col min="11" max="12" width="0" hidden="1" customWidth="1"/>
    <col min="13" max="16384" width="8.90625" hidden="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316</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333</v>
      </c>
      <c r="H8" s="91" t="s">
        <v>116</v>
      </c>
      <c r="I8" s="84" t="s">
        <v>118</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320</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320</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320</v>
      </c>
    </row>
    <row r="129" spans="2:9" x14ac:dyDescent="0.35">
      <c r="B129" s="85" t="s">
        <v>37</v>
      </c>
      <c r="C129" s="85" t="s">
        <v>99</v>
      </c>
      <c r="D129" s="85" t="s">
        <v>36</v>
      </c>
      <c r="E129" s="86">
        <v>8</v>
      </c>
      <c r="F129" s="86">
        <v>2</v>
      </c>
      <c r="G129" s="86"/>
      <c r="H129" s="86" t="str">
        <f t="shared" si="1"/>
        <v>B02.00</v>
      </c>
      <c r="I129" s="86" t="s">
        <v>320</v>
      </c>
    </row>
    <row r="130" spans="2:9" x14ac:dyDescent="0.35">
      <c r="B130" s="85" t="s">
        <v>37</v>
      </c>
      <c r="C130" s="85" t="s">
        <v>99</v>
      </c>
      <c r="D130" s="85" t="s">
        <v>39</v>
      </c>
      <c r="E130" s="86">
        <v>8</v>
      </c>
      <c r="F130" s="86">
        <v>0</v>
      </c>
      <c r="G130" s="86"/>
      <c r="H130" s="86" t="str">
        <f t="shared" si="1"/>
        <v>B02.00</v>
      </c>
      <c r="I130" s="86" t="s">
        <v>320</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320</v>
      </c>
    </row>
    <row r="147" spans="2:9" x14ac:dyDescent="0.35">
      <c r="B147" s="85" t="s">
        <v>37</v>
      </c>
      <c r="C147" s="85" t="s">
        <v>108</v>
      </c>
      <c r="D147" s="85" t="s">
        <v>36</v>
      </c>
      <c r="E147" s="86">
        <v>8</v>
      </c>
      <c r="F147" s="86">
        <v>0</v>
      </c>
      <c r="G147" s="86"/>
      <c r="H147" s="86" t="str">
        <f t="shared" si="2"/>
        <v>B02.00</v>
      </c>
      <c r="I147" s="86" t="s">
        <v>320</v>
      </c>
    </row>
    <row r="148" spans="2:9" x14ac:dyDescent="0.35">
      <c r="B148" s="85" t="s">
        <v>37</v>
      </c>
      <c r="C148" s="85" t="s">
        <v>108</v>
      </c>
      <c r="D148" s="85" t="s">
        <v>39</v>
      </c>
      <c r="E148" s="86">
        <v>8</v>
      </c>
      <c r="F148" s="86">
        <v>0</v>
      </c>
      <c r="G148" s="86"/>
      <c r="H148" s="86" t="str">
        <f t="shared" si="2"/>
        <v>B02.00</v>
      </c>
      <c r="I148" s="86" t="s">
        <v>320</v>
      </c>
    </row>
    <row r="149" spans="2:9" x14ac:dyDescent="0.35">
      <c r="B149" s="85" t="s">
        <v>37</v>
      </c>
      <c r="C149" s="85" t="s">
        <v>109</v>
      </c>
      <c r="D149" s="85" t="s">
        <v>36</v>
      </c>
      <c r="E149" s="86">
        <v>8</v>
      </c>
      <c r="F149" s="86">
        <v>0</v>
      </c>
      <c r="G149" s="86"/>
      <c r="H149" s="86" t="str">
        <f t="shared" si="2"/>
        <v>B02.00</v>
      </c>
      <c r="I149" s="86" t="s">
        <v>320</v>
      </c>
    </row>
    <row r="150" spans="2:9" x14ac:dyDescent="0.35">
      <c r="B150" s="85" t="s">
        <v>37</v>
      </c>
      <c r="C150" s="85" t="s">
        <v>109</v>
      </c>
      <c r="D150" s="85" t="s">
        <v>39</v>
      </c>
      <c r="E150" s="86">
        <v>8</v>
      </c>
      <c r="F150" s="86">
        <v>8</v>
      </c>
      <c r="G150" s="86"/>
      <c r="H150" s="86" t="str">
        <f t="shared" si="2"/>
        <v>B02.00</v>
      </c>
      <c r="I150" s="86" t="s">
        <v>320</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329</v>
      </c>
      <c r="C155" s="98" t="s">
        <v>330</v>
      </c>
      <c r="D155" s="98" t="s">
        <v>321</v>
      </c>
      <c r="E155" s="99">
        <v>9460</v>
      </c>
      <c r="F155" s="99">
        <v>0</v>
      </c>
      <c r="G155" s="99" t="s">
        <v>335</v>
      </c>
      <c r="H155" s="99" t="str">
        <f>MID(B155,22,3)&amp;"."&amp;MID(B155,25,2)</f>
        <v>B05.00</v>
      </c>
      <c r="I155" s="99"/>
    </row>
    <row r="156" spans="2:9" x14ac:dyDescent="0.35">
      <c r="B156" s="98" t="s">
        <v>331</v>
      </c>
      <c r="C156" s="98" t="s">
        <v>332</v>
      </c>
      <c r="D156" s="98" t="s">
        <v>321</v>
      </c>
      <c r="E156" s="99">
        <v>4740</v>
      </c>
      <c r="F156" s="99">
        <v>0</v>
      </c>
      <c r="G156" s="99" t="s">
        <v>335</v>
      </c>
      <c r="H156" s="99" t="str">
        <f>MID(B156,22,3)&amp;"."&amp;MID(B156,25,2)</f>
        <v>B90.00</v>
      </c>
      <c r="I156" s="99"/>
    </row>
    <row r="157" spans="2:9" x14ac:dyDescent="0.35">
      <c r="B157" s="98" t="s">
        <v>37</v>
      </c>
      <c r="C157" s="98" t="s">
        <v>40</v>
      </c>
      <c r="D157" s="98" t="s">
        <v>321</v>
      </c>
      <c r="E157" s="99">
        <v>8</v>
      </c>
      <c r="F157" s="99">
        <v>0</v>
      </c>
      <c r="G157" s="99" t="s">
        <v>335</v>
      </c>
      <c r="H157" s="99" t="str">
        <f>MID(B157,22,3)&amp;"."&amp;MID(B157,25,2)</f>
        <v>B02.00</v>
      </c>
      <c r="I157" s="99"/>
    </row>
    <row r="158" spans="2:9" x14ac:dyDescent="0.35">
      <c r="B158" s="98" t="s">
        <v>37</v>
      </c>
      <c r="C158" s="98" t="s">
        <v>40</v>
      </c>
      <c r="D158" s="98" t="s">
        <v>322</v>
      </c>
      <c r="E158" s="99">
        <v>8</v>
      </c>
      <c r="F158" s="99">
        <v>0</v>
      </c>
      <c r="G158" s="99" t="s">
        <v>335</v>
      </c>
      <c r="H158" s="99" t="str">
        <f>MID(B158,22,3)&amp;"."&amp;MID(B158,25,2)</f>
        <v>B02.00</v>
      </c>
      <c r="I158" s="99"/>
    </row>
  </sheetData>
  <autoFilter ref="B8:H154" xr:uid="{90D6CD8A-7C56-4B85-AF15-7FD4E534061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5" zeroHeight="1" x14ac:dyDescent="0.35"/>
  <cols>
    <col min="1" max="2" width="3.81640625" customWidth="1"/>
    <col min="3" max="5" width="18.54296875" customWidth="1"/>
    <col min="6" max="6" width="8.90625" customWidth="1"/>
    <col min="7" max="9" width="18.54296875" customWidth="1"/>
    <col min="10" max="10" width="8.90625" customWidth="1"/>
    <col min="11" max="13" width="18.54296875" customWidth="1"/>
    <col min="14" max="14" width="3.81640625" customWidth="1"/>
    <col min="15" max="22" width="0" hidden="1" customWidth="1"/>
    <col min="23" max="16384" width="8.90625" hidden="1"/>
  </cols>
  <sheetData>
    <row r="1" spans="1:14" x14ac:dyDescent="0.35">
      <c r="A1" s="66"/>
      <c r="B1" s="66"/>
      <c r="C1" s="66"/>
      <c r="D1" s="66"/>
      <c r="E1" s="66"/>
      <c r="F1" s="66"/>
      <c r="G1" s="66"/>
      <c r="H1" s="66"/>
      <c r="I1" s="66"/>
      <c r="J1" s="66"/>
      <c r="K1" s="66"/>
      <c r="L1" s="66"/>
      <c r="M1" s="66"/>
      <c r="N1" s="66"/>
    </row>
    <row r="2" spans="1:14" x14ac:dyDescent="0.35">
      <c r="A2" s="66"/>
      <c r="B2" s="66"/>
      <c r="C2" s="66"/>
      <c r="D2" s="66"/>
      <c r="E2" s="66"/>
      <c r="F2" s="66"/>
      <c r="G2" s="66"/>
      <c r="H2" s="66"/>
      <c r="I2" s="66"/>
      <c r="J2" s="66"/>
      <c r="K2" s="66"/>
      <c r="L2" s="66"/>
      <c r="M2" s="66"/>
      <c r="N2" s="66"/>
    </row>
    <row r="3" spans="1:14" x14ac:dyDescent="0.35">
      <c r="A3" s="66"/>
      <c r="B3" s="66"/>
      <c r="C3" s="66"/>
      <c r="D3" s="66"/>
      <c r="E3" s="66"/>
      <c r="F3" s="66"/>
      <c r="G3" s="66"/>
      <c r="H3" s="66"/>
      <c r="I3" s="66"/>
      <c r="J3" s="66"/>
      <c r="K3" s="66"/>
      <c r="L3" s="66"/>
      <c r="M3" s="66"/>
      <c r="N3" s="66"/>
    </row>
    <row r="4" spans="1:14" ht="3" customHeight="1" x14ac:dyDescent="0.35">
      <c r="A4" s="67"/>
      <c r="B4" s="67"/>
      <c r="C4" s="67"/>
      <c r="D4" s="67"/>
      <c r="E4" s="67"/>
      <c r="F4" s="67"/>
      <c r="G4" s="67"/>
      <c r="H4" s="67"/>
      <c r="I4" s="67"/>
      <c r="J4" s="67"/>
      <c r="K4" s="67"/>
      <c r="L4" s="67"/>
      <c r="M4" s="67"/>
      <c r="N4" s="67"/>
    </row>
    <row r="5" spans="1:14" x14ac:dyDescent="0.35">
      <c r="A5" s="68"/>
      <c r="B5" s="68"/>
      <c r="C5" s="68"/>
      <c r="D5" s="68"/>
      <c r="E5" s="68"/>
      <c r="F5" s="68"/>
      <c r="G5" s="68"/>
      <c r="H5" s="68"/>
      <c r="I5" s="68"/>
      <c r="J5" s="68"/>
      <c r="K5" s="68"/>
      <c r="L5" s="68"/>
      <c r="M5" s="68"/>
      <c r="N5" s="68"/>
    </row>
    <row r="6" spans="1:14" ht="15" thickBot="1" x14ac:dyDescent="0.4">
      <c r="A6" s="68"/>
      <c r="B6" s="69" t="s">
        <v>315</v>
      </c>
      <c r="C6" s="69"/>
      <c r="D6" s="70"/>
      <c r="E6" s="70"/>
      <c r="F6" s="70"/>
      <c r="G6" s="70"/>
      <c r="H6" s="70"/>
      <c r="I6" s="70"/>
      <c r="J6" s="70"/>
      <c r="K6" s="70"/>
      <c r="L6" s="70"/>
      <c r="M6" s="70"/>
    </row>
    <row r="7" spans="1:14" x14ac:dyDescent="0.35">
      <c r="A7" s="68"/>
      <c r="B7" s="68"/>
      <c r="C7" s="68"/>
      <c r="D7" s="68"/>
      <c r="E7" s="68"/>
      <c r="F7" s="68"/>
      <c r="G7" s="68"/>
    </row>
    <row r="8" spans="1:14" x14ac:dyDescent="0.35">
      <c r="A8" s="68"/>
      <c r="B8" s="68"/>
      <c r="C8" s="102" t="s">
        <v>10</v>
      </c>
      <c r="D8" s="68"/>
      <c r="E8" s="68"/>
      <c r="F8" s="68"/>
      <c r="G8" s="68"/>
    </row>
    <row r="9" spans="1:14" x14ac:dyDescent="0.35">
      <c r="A9" s="68"/>
      <c r="B9" s="68"/>
      <c r="C9" s="102" t="s">
        <v>351</v>
      </c>
      <c r="D9" s="68"/>
      <c r="E9" s="68"/>
      <c r="F9" s="68"/>
      <c r="G9" s="102" t="s">
        <v>352</v>
      </c>
      <c r="K9" s="102" t="s">
        <v>353</v>
      </c>
    </row>
    <row r="10" spans="1:14" x14ac:dyDescent="0.35">
      <c r="A10" s="68"/>
      <c r="B10" s="68"/>
      <c r="C10" s="68"/>
      <c r="D10" s="68"/>
      <c r="E10" s="68"/>
      <c r="F10" s="68"/>
    </row>
    <row r="11" spans="1:14" x14ac:dyDescent="0.35">
      <c r="C11" s="84" t="s">
        <v>354</v>
      </c>
      <c r="D11" s="84" t="s">
        <v>355</v>
      </c>
      <c r="E11" s="84" t="s">
        <v>356</v>
      </c>
      <c r="G11" s="84" t="s">
        <v>354</v>
      </c>
      <c r="H11" s="84" t="s">
        <v>355</v>
      </c>
      <c r="I11" s="84" t="s">
        <v>356</v>
      </c>
      <c r="K11" s="84" t="b">
        <f t="shared" ref="K11:M13" si="0">+C11=G11</f>
        <v>1</v>
      </c>
      <c r="L11" s="84" t="b">
        <f t="shared" si="0"/>
        <v>1</v>
      </c>
      <c r="M11" s="84" t="b">
        <f t="shared" si="0"/>
        <v>1</v>
      </c>
    </row>
    <row r="12" spans="1:14" x14ac:dyDescent="0.35">
      <c r="C12" s="86" t="s">
        <v>357</v>
      </c>
      <c r="D12" s="86" t="s">
        <v>358</v>
      </c>
      <c r="E12" s="86" t="s">
        <v>359</v>
      </c>
      <c r="G12" s="86" t="s">
        <v>357</v>
      </c>
      <c r="H12" s="86" t="s">
        <v>358</v>
      </c>
      <c r="I12" s="86" t="s">
        <v>359</v>
      </c>
      <c r="K12" s="103" t="b">
        <f t="shared" si="0"/>
        <v>1</v>
      </c>
      <c r="L12" s="103" t="b">
        <f t="shared" si="0"/>
        <v>1</v>
      </c>
      <c r="M12" s="103" t="b">
        <f t="shared" si="0"/>
        <v>1</v>
      </c>
    </row>
    <row r="13" spans="1:14" x14ac:dyDescent="0.35">
      <c r="C13" s="86" t="s">
        <v>357</v>
      </c>
      <c r="D13" s="86" t="s">
        <v>358</v>
      </c>
      <c r="E13" s="86" t="s">
        <v>359</v>
      </c>
      <c r="G13" s="86" t="s">
        <v>357</v>
      </c>
      <c r="H13" s="86" t="s">
        <v>358</v>
      </c>
      <c r="I13" s="86" t="s">
        <v>359</v>
      </c>
      <c r="K13" s="103" t="b">
        <f t="shared" si="0"/>
        <v>1</v>
      </c>
      <c r="L13" s="103" t="b">
        <f t="shared" si="0"/>
        <v>1</v>
      </c>
      <c r="M13" s="103" t="b">
        <f t="shared" si="0"/>
        <v>1</v>
      </c>
    </row>
    <row r="14" spans="1:14" x14ac:dyDescent="0.35"/>
    <row r="15" spans="1:14" x14ac:dyDescent="0.35">
      <c r="C15" s="102" t="s">
        <v>360</v>
      </c>
    </row>
    <row r="16" spans="1:14" x14ac:dyDescent="0.35">
      <c r="A16" s="68"/>
      <c r="B16" s="68"/>
      <c r="C16" s="102" t="s">
        <v>351</v>
      </c>
      <c r="D16" s="68"/>
      <c r="E16" s="68"/>
      <c r="F16" s="68"/>
      <c r="G16" s="102" t="s">
        <v>352</v>
      </c>
      <c r="K16" s="102" t="s">
        <v>353</v>
      </c>
    </row>
    <row r="17" spans="1:13" x14ac:dyDescent="0.35">
      <c r="C17" s="102"/>
    </row>
    <row r="18" spans="1:13" x14ac:dyDescent="0.35">
      <c r="C18" s="84" t="s">
        <v>354</v>
      </c>
      <c r="D18" s="84" t="s">
        <v>355</v>
      </c>
      <c r="E18" s="84" t="s">
        <v>356</v>
      </c>
      <c r="G18" s="84" t="s">
        <v>354</v>
      </c>
      <c r="H18" s="84" t="s">
        <v>355</v>
      </c>
      <c r="I18" s="84" t="s">
        <v>356</v>
      </c>
      <c r="K18" s="84" t="b">
        <f t="shared" ref="K18:M20" si="1">+C18=G18</f>
        <v>1</v>
      </c>
      <c r="L18" s="84" t="b">
        <f t="shared" si="1"/>
        <v>1</v>
      </c>
      <c r="M18" s="84" t="b">
        <f t="shared" si="1"/>
        <v>1</v>
      </c>
    </row>
    <row r="19" spans="1:13" x14ac:dyDescent="0.35">
      <c r="C19" s="86" t="s">
        <v>357</v>
      </c>
      <c r="D19" s="86" t="s">
        <v>358</v>
      </c>
      <c r="E19" s="86" t="s">
        <v>359</v>
      </c>
      <c r="G19" s="86" t="s">
        <v>357</v>
      </c>
      <c r="H19" s="86" t="s">
        <v>358</v>
      </c>
      <c r="I19" s="86" t="s">
        <v>359</v>
      </c>
      <c r="K19" s="103" t="b">
        <f t="shared" si="1"/>
        <v>1</v>
      </c>
      <c r="L19" s="103" t="b">
        <f t="shared" si="1"/>
        <v>1</v>
      </c>
      <c r="M19" s="103" t="b">
        <f t="shared" si="1"/>
        <v>1</v>
      </c>
    </row>
    <row r="20" spans="1:13" x14ac:dyDescent="0.35">
      <c r="C20" s="86" t="s">
        <v>357</v>
      </c>
      <c r="D20" s="86" t="s">
        <v>358</v>
      </c>
      <c r="E20" s="86" t="s">
        <v>359</v>
      </c>
      <c r="G20" s="86" t="s">
        <v>357</v>
      </c>
      <c r="H20" s="86" t="s">
        <v>358</v>
      </c>
      <c r="I20" s="86" t="s">
        <v>359</v>
      </c>
      <c r="K20" s="103" t="b">
        <f t="shared" si="1"/>
        <v>1</v>
      </c>
      <c r="L20" s="103" t="b">
        <f t="shared" si="1"/>
        <v>1</v>
      </c>
      <c r="M20" s="103" t="b">
        <f t="shared" si="1"/>
        <v>1</v>
      </c>
    </row>
    <row r="21" spans="1:13" x14ac:dyDescent="0.35"/>
    <row r="22" spans="1:13" x14ac:dyDescent="0.35">
      <c r="A22" s="68"/>
      <c r="B22" s="68"/>
      <c r="C22" s="102" t="s">
        <v>12</v>
      </c>
      <c r="D22" s="68"/>
      <c r="E22" s="68"/>
      <c r="F22" s="68"/>
      <c r="G22" s="68"/>
    </row>
    <row r="23" spans="1:13" x14ac:dyDescent="0.35">
      <c r="A23" s="68"/>
      <c r="B23" s="68"/>
      <c r="C23" s="102" t="s">
        <v>351</v>
      </c>
      <c r="D23" s="68"/>
      <c r="E23" s="68"/>
      <c r="F23" s="68"/>
      <c r="G23" s="102" t="s">
        <v>352</v>
      </c>
      <c r="K23" s="102" t="s">
        <v>353</v>
      </c>
    </row>
    <row r="24" spans="1:13" x14ac:dyDescent="0.35">
      <c r="A24" s="68"/>
      <c r="B24" s="68"/>
      <c r="C24" s="68"/>
      <c r="D24" s="68"/>
      <c r="E24" s="68"/>
      <c r="F24" s="68"/>
    </row>
    <row r="25" spans="1:13" x14ac:dyDescent="0.35">
      <c r="C25" s="84" t="s">
        <v>354</v>
      </c>
      <c r="D25" s="84" t="s">
        <v>355</v>
      </c>
      <c r="E25" s="84" t="s">
        <v>356</v>
      </c>
      <c r="G25" s="84" t="s">
        <v>354</v>
      </c>
      <c r="H25" s="84" t="s">
        <v>355</v>
      </c>
      <c r="I25" s="84" t="s">
        <v>356</v>
      </c>
      <c r="K25" s="84" t="b">
        <f t="shared" ref="K25:M27" si="2">+C25=G25</f>
        <v>1</v>
      </c>
      <c r="L25" s="84" t="b">
        <f t="shared" si="2"/>
        <v>1</v>
      </c>
      <c r="M25" s="84" t="b">
        <f t="shared" si="2"/>
        <v>1</v>
      </c>
    </row>
    <row r="26" spans="1:13" x14ac:dyDescent="0.35">
      <c r="C26" s="86" t="s">
        <v>357</v>
      </c>
      <c r="D26" s="86" t="s">
        <v>358</v>
      </c>
      <c r="E26" s="86" t="s">
        <v>359</v>
      </c>
      <c r="G26" s="86" t="s">
        <v>357</v>
      </c>
      <c r="H26" s="86" t="s">
        <v>358</v>
      </c>
      <c r="I26" s="86" t="s">
        <v>359</v>
      </c>
      <c r="K26" s="103" t="b">
        <f t="shared" si="2"/>
        <v>1</v>
      </c>
      <c r="L26" s="103" t="b">
        <f t="shared" si="2"/>
        <v>1</v>
      </c>
      <c r="M26" s="103" t="b">
        <f t="shared" si="2"/>
        <v>1</v>
      </c>
    </row>
    <row r="27" spans="1:13" x14ac:dyDescent="0.35">
      <c r="C27" s="86" t="s">
        <v>357</v>
      </c>
      <c r="D27" s="86" t="s">
        <v>358</v>
      </c>
      <c r="E27" s="86" t="s">
        <v>359</v>
      </c>
      <c r="G27" s="86" t="s">
        <v>357</v>
      </c>
      <c r="H27" s="86" t="s">
        <v>358</v>
      </c>
      <c r="I27" s="86" t="s">
        <v>359</v>
      </c>
      <c r="K27" s="103" t="b">
        <f t="shared" si="2"/>
        <v>1</v>
      </c>
      <c r="L27" s="103" t="b">
        <f t="shared" si="2"/>
        <v>1</v>
      </c>
      <c r="M27" s="103" t="b">
        <f t="shared" si="2"/>
        <v>1</v>
      </c>
    </row>
    <row r="28" spans="1:13" x14ac:dyDescent="0.35"/>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1:L167"/>
  <sheetViews>
    <sheetView showGridLines="0" zoomScale="80" zoomScaleNormal="80" workbookViewId="0">
      <selection activeCell="B6" sqref="B6"/>
    </sheetView>
  </sheetViews>
  <sheetFormatPr defaultRowHeight="14.5" x14ac:dyDescent="0.35"/>
  <cols>
    <col min="2" max="2" width="10.36328125" bestFit="1" customWidth="1"/>
    <col min="3" max="3" width="43.08984375" bestFit="1" customWidth="1"/>
    <col min="4" max="4" width="16.1796875" bestFit="1" customWidth="1"/>
    <col min="5" max="5" width="51" bestFit="1" customWidth="1"/>
    <col min="6" max="6" width="45.36328125" bestFit="1" customWidth="1"/>
    <col min="7" max="7" width="80.81640625" bestFit="1" customWidth="1"/>
    <col min="8" max="8" width="10.6328125" bestFit="1" customWidth="1"/>
    <col min="9" max="9" width="13.81640625" bestFit="1" customWidth="1"/>
    <col min="10" max="10" width="80.81640625" bestFit="1"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962</v>
      </c>
      <c r="C6" s="70"/>
      <c r="D6" s="70"/>
      <c r="E6" s="70"/>
      <c r="F6" s="70"/>
      <c r="G6" s="70"/>
      <c r="H6" s="70"/>
      <c r="I6" s="70"/>
      <c r="J6" s="68"/>
    </row>
    <row r="8" spans="1:12" x14ac:dyDescent="0.35">
      <c r="B8" s="105" t="s">
        <v>340</v>
      </c>
      <c r="C8" s="105" t="s">
        <v>341</v>
      </c>
      <c r="D8" s="105" t="s">
        <v>326</v>
      </c>
      <c r="E8" s="105" t="s">
        <v>342</v>
      </c>
      <c r="F8" s="105" t="s">
        <v>324</v>
      </c>
      <c r="G8" s="105" t="s">
        <v>325</v>
      </c>
      <c r="H8" s="105" t="s">
        <v>327</v>
      </c>
      <c r="I8" s="105" t="s">
        <v>328</v>
      </c>
      <c r="J8" s="105" t="s">
        <v>336</v>
      </c>
    </row>
    <row r="9" spans="1:12" x14ac:dyDescent="0.35">
      <c r="B9" t="s">
        <v>339</v>
      </c>
      <c r="C9" t="s">
        <v>361</v>
      </c>
      <c r="D9" t="s">
        <v>362</v>
      </c>
      <c r="E9" t="s">
        <v>363</v>
      </c>
      <c r="F9" t="s">
        <v>37</v>
      </c>
      <c r="G9" t="s">
        <v>38</v>
      </c>
      <c r="H9">
        <v>8</v>
      </c>
      <c r="I9">
        <v>0</v>
      </c>
    </row>
    <row r="10" spans="1:12" x14ac:dyDescent="0.35">
      <c r="B10" t="s">
        <v>339</v>
      </c>
      <c r="C10" t="s">
        <v>364</v>
      </c>
      <c r="D10" t="s">
        <v>362</v>
      </c>
      <c r="E10" t="s">
        <v>363</v>
      </c>
      <c r="F10" t="s">
        <v>37</v>
      </c>
      <c r="G10" t="s">
        <v>40</v>
      </c>
      <c r="H10">
        <v>8</v>
      </c>
      <c r="I10">
        <v>0</v>
      </c>
    </row>
    <row r="11" spans="1:12" x14ac:dyDescent="0.35">
      <c r="B11" t="s">
        <v>339</v>
      </c>
      <c r="C11" t="s">
        <v>365</v>
      </c>
      <c r="D11" t="s">
        <v>362</v>
      </c>
      <c r="E11" t="s">
        <v>363</v>
      </c>
      <c r="F11" t="s">
        <v>37</v>
      </c>
      <c r="G11" t="s">
        <v>41</v>
      </c>
      <c r="H11">
        <v>8</v>
      </c>
      <c r="I11">
        <v>0</v>
      </c>
    </row>
    <row r="12" spans="1:12" x14ac:dyDescent="0.35">
      <c r="B12" t="s">
        <v>339</v>
      </c>
      <c r="C12" t="s">
        <v>366</v>
      </c>
      <c r="D12" t="s">
        <v>362</v>
      </c>
      <c r="E12" t="s">
        <v>363</v>
      </c>
      <c r="F12" t="s">
        <v>37</v>
      </c>
      <c r="G12" t="s">
        <v>42</v>
      </c>
      <c r="H12">
        <v>8</v>
      </c>
      <c r="I12">
        <v>0</v>
      </c>
    </row>
    <row r="13" spans="1:12" x14ac:dyDescent="0.35">
      <c r="B13" t="s">
        <v>339</v>
      </c>
      <c r="C13" t="s">
        <v>367</v>
      </c>
      <c r="D13" t="s">
        <v>362</v>
      </c>
      <c r="E13" t="s">
        <v>363</v>
      </c>
      <c r="F13" t="s">
        <v>37</v>
      </c>
      <c r="G13" t="s">
        <v>43</v>
      </c>
      <c r="H13">
        <v>8</v>
      </c>
      <c r="I13">
        <v>0</v>
      </c>
    </row>
    <row r="14" spans="1:12" x14ac:dyDescent="0.35">
      <c r="B14" t="s">
        <v>339</v>
      </c>
      <c r="C14" t="s">
        <v>368</v>
      </c>
      <c r="D14" t="s">
        <v>362</v>
      </c>
      <c r="E14" t="s">
        <v>363</v>
      </c>
      <c r="F14" t="s">
        <v>37</v>
      </c>
      <c r="G14" t="s">
        <v>44</v>
      </c>
      <c r="H14">
        <v>8</v>
      </c>
      <c r="I14">
        <v>0</v>
      </c>
    </row>
    <row r="15" spans="1:12" x14ac:dyDescent="0.35">
      <c r="B15" t="s">
        <v>339</v>
      </c>
      <c r="C15" t="s">
        <v>369</v>
      </c>
      <c r="D15" t="s">
        <v>362</v>
      </c>
      <c r="E15" t="s">
        <v>363</v>
      </c>
      <c r="F15" t="s">
        <v>37</v>
      </c>
      <c r="G15" t="s">
        <v>45</v>
      </c>
      <c r="H15">
        <v>8</v>
      </c>
      <c r="I15">
        <v>0</v>
      </c>
    </row>
    <row r="16" spans="1:12" x14ac:dyDescent="0.35">
      <c r="B16" t="s">
        <v>339</v>
      </c>
      <c r="C16" t="s">
        <v>370</v>
      </c>
      <c r="D16" t="s">
        <v>362</v>
      </c>
      <c r="E16" t="s">
        <v>363</v>
      </c>
      <c r="F16" t="s">
        <v>37</v>
      </c>
      <c r="G16" t="s">
        <v>371</v>
      </c>
      <c r="H16">
        <v>8</v>
      </c>
      <c r="I16">
        <v>8</v>
      </c>
      <c r="J16" t="s">
        <v>453</v>
      </c>
    </row>
    <row r="17" spans="2:10" x14ac:dyDescent="0.35">
      <c r="B17" t="s">
        <v>339</v>
      </c>
      <c r="C17" t="s">
        <v>372</v>
      </c>
      <c r="D17" t="s">
        <v>362</v>
      </c>
      <c r="E17" t="s">
        <v>363</v>
      </c>
      <c r="F17" t="s">
        <v>37</v>
      </c>
      <c r="G17" t="s">
        <v>373</v>
      </c>
      <c r="H17">
        <v>8</v>
      </c>
      <c r="I17">
        <v>8</v>
      </c>
      <c r="J17" t="s">
        <v>453</v>
      </c>
    </row>
    <row r="18" spans="2:10" x14ac:dyDescent="0.35">
      <c r="B18" t="s">
        <v>339</v>
      </c>
      <c r="C18" t="s">
        <v>374</v>
      </c>
      <c r="D18" t="s">
        <v>362</v>
      </c>
      <c r="E18" t="s">
        <v>363</v>
      </c>
      <c r="F18" t="s">
        <v>37</v>
      </c>
      <c r="G18" t="s">
        <v>46</v>
      </c>
      <c r="H18">
        <v>8</v>
      </c>
      <c r="I18">
        <v>0</v>
      </c>
    </row>
    <row r="19" spans="2:10" x14ac:dyDescent="0.35">
      <c r="B19" t="s">
        <v>339</v>
      </c>
      <c r="C19" t="s">
        <v>375</v>
      </c>
      <c r="D19" t="s">
        <v>362</v>
      </c>
      <c r="E19" t="s">
        <v>363</v>
      </c>
      <c r="F19" t="s">
        <v>37</v>
      </c>
      <c r="G19" t="s">
        <v>47</v>
      </c>
      <c r="H19">
        <v>8</v>
      </c>
      <c r="I19">
        <v>0</v>
      </c>
    </row>
    <row r="20" spans="2:10" x14ac:dyDescent="0.35">
      <c r="B20" t="s">
        <v>339</v>
      </c>
      <c r="C20" t="s">
        <v>376</v>
      </c>
      <c r="D20" t="s">
        <v>362</v>
      </c>
      <c r="E20" t="s">
        <v>363</v>
      </c>
      <c r="F20" t="s">
        <v>37</v>
      </c>
      <c r="G20" t="s">
        <v>377</v>
      </c>
      <c r="H20">
        <v>8</v>
      </c>
      <c r="I20">
        <v>8</v>
      </c>
      <c r="J20" t="s">
        <v>453</v>
      </c>
    </row>
    <row r="21" spans="2:10" x14ac:dyDescent="0.35">
      <c r="B21" t="s">
        <v>339</v>
      </c>
      <c r="C21" t="s">
        <v>378</v>
      </c>
      <c r="D21" t="s">
        <v>362</v>
      </c>
      <c r="E21" t="s">
        <v>363</v>
      </c>
      <c r="F21" t="s">
        <v>37</v>
      </c>
      <c r="G21" t="s">
        <v>379</v>
      </c>
      <c r="H21">
        <v>8</v>
      </c>
      <c r="I21">
        <v>8</v>
      </c>
      <c r="J21" t="s">
        <v>453</v>
      </c>
    </row>
    <row r="22" spans="2:10" x14ac:dyDescent="0.35">
      <c r="B22" t="s">
        <v>339</v>
      </c>
      <c r="C22" t="s">
        <v>380</v>
      </c>
      <c r="D22" t="s">
        <v>362</v>
      </c>
      <c r="E22" t="s">
        <v>363</v>
      </c>
      <c r="F22" t="s">
        <v>37</v>
      </c>
      <c r="G22" t="s">
        <v>48</v>
      </c>
      <c r="H22">
        <v>8</v>
      </c>
      <c r="I22">
        <v>0</v>
      </c>
    </row>
    <row r="23" spans="2:10" x14ac:dyDescent="0.35">
      <c r="B23" t="s">
        <v>339</v>
      </c>
      <c r="C23" t="s">
        <v>381</v>
      </c>
      <c r="D23" t="s">
        <v>362</v>
      </c>
      <c r="E23" t="s">
        <v>363</v>
      </c>
      <c r="F23" t="s">
        <v>37</v>
      </c>
      <c r="G23" t="s">
        <v>49</v>
      </c>
      <c r="H23">
        <v>8</v>
      </c>
      <c r="I23">
        <v>0</v>
      </c>
    </row>
    <row r="24" spans="2:10" x14ac:dyDescent="0.35">
      <c r="B24" t="s">
        <v>339</v>
      </c>
      <c r="C24" t="s">
        <v>382</v>
      </c>
      <c r="D24" t="s">
        <v>362</v>
      </c>
      <c r="E24" t="s">
        <v>363</v>
      </c>
      <c r="F24" t="s">
        <v>37</v>
      </c>
      <c r="G24" t="s">
        <v>50</v>
      </c>
      <c r="H24">
        <v>8</v>
      </c>
      <c r="I24">
        <v>0</v>
      </c>
    </row>
    <row r="25" spans="2:10" x14ac:dyDescent="0.35">
      <c r="B25" t="s">
        <v>339</v>
      </c>
      <c r="C25" t="s">
        <v>383</v>
      </c>
      <c r="D25" t="s">
        <v>362</v>
      </c>
      <c r="E25" t="s">
        <v>363</v>
      </c>
      <c r="F25" t="s">
        <v>37</v>
      </c>
      <c r="G25" t="s">
        <v>51</v>
      </c>
      <c r="H25">
        <v>8</v>
      </c>
      <c r="I25">
        <v>0</v>
      </c>
    </row>
    <row r="26" spans="2:10" x14ac:dyDescent="0.35">
      <c r="B26" t="s">
        <v>339</v>
      </c>
      <c r="C26" t="s">
        <v>384</v>
      </c>
      <c r="D26" t="s">
        <v>362</v>
      </c>
      <c r="E26" t="s">
        <v>363</v>
      </c>
      <c r="F26" t="s">
        <v>37</v>
      </c>
      <c r="G26" t="s">
        <v>52</v>
      </c>
      <c r="H26">
        <v>8</v>
      </c>
      <c r="I26">
        <v>0</v>
      </c>
    </row>
    <row r="27" spans="2:10" x14ac:dyDescent="0.35">
      <c r="B27" t="s">
        <v>339</v>
      </c>
      <c r="C27" t="s">
        <v>385</v>
      </c>
      <c r="D27" t="s">
        <v>362</v>
      </c>
      <c r="E27" t="s">
        <v>363</v>
      </c>
      <c r="F27" t="s">
        <v>37</v>
      </c>
      <c r="G27" t="s">
        <v>53</v>
      </c>
      <c r="H27">
        <v>8</v>
      </c>
      <c r="I27">
        <v>0</v>
      </c>
    </row>
    <row r="28" spans="2:10" x14ac:dyDescent="0.35">
      <c r="B28" t="s">
        <v>339</v>
      </c>
      <c r="C28" t="s">
        <v>386</v>
      </c>
      <c r="D28" t="s">
        <v>362</v>
      </c>
      <c r="E28" t="s">
        <v>363</v>
      </c>
      <c r="F28" t="s">
        <v>37</v>
      </c>
      <c r="G28" t="s">
        <v>54</v>
      </c>
      <c r="H28">
        <v>8</v>
      </c>
      <c r="I28">
        <v>0</v>
      </c>
    </row>
    <row r="29" spans="2:10" x14ac:dyDescent="0.35">
      <c r="B29" t="s">
        <v>339</v>
      </c>
      <c r="C29" t="s">
        <v>387</v>
      </c>
      <c r="D29" t="s">
        <v>362</v>
      </c>
      <c r="E29" t="s">
        <v>363</v>
      </c>
      <c r="F29" t="s">
        <v>37</v>
      </c>
      <c r="G29" t="s">
        <v>55</v>
      </c>
      <c r="H29">
        <v>8</v>
      </c>
      <c r="I29">
        <v>0</v>
      </c>
    </row>
    <row r="30" spans="2:10" x14ac:dyDescent="0.35">
      <c r="B30" t="s">
        <v>339</v>
      </c>
      <c r="C30" t="s">
        <v>388</v>
      </c>
      <c r="D30" t="s">
        <v>362</v>
      </c>
      <c r="E30" t="s">
        <v>363</v>
      </c>
      <c r="F30" t="s">
        <v>37</v>
      </c>
      <c r="G30" t="s">
        <v>56</v>
      </c>
      <c r="H30">
        <v>8</v>
      </c>
      <c r="I30">
        <v>0</v>
      </c>
    </row>
    <row r="31" spans="2:10" x14ac:dyDescent="0.35">
      <c r="B31" t="s">
        <v>339</v>
      </c>
      <c r="C31" t="s">
        <v>389</v>
      </c>
      <c r="D31" t="s">
        <v>362</v>
      </c>
      <c r="E31" t="s">
        <v>363</v>
      </c>
      <c r="F31" t="s">
        <v>37</v>
      </c>
      <c r="G31" t="s">
        <v>57</v>
      </c>
      <c r="H31">
        <v>8</v>
      </c>
      <c r="I31">
        <v>0</v>
      </c>
    </row>
    <row r="32" spans="2:10" x14ac:dyDescent="0.35">
      <c r="B32" t="s">
        <v>339</v>
      </c>
      <c r="C32" t="s">
        <v>390</v>
      </c>
      <c r="D32" t="s">
        <v>362</v>
      </c>
      <c r="E32" t="s">
        <v>363</v>
      </c>
      <c r="F32" t="s">
        <v>37</v>
      </c>
      <c r="G32" t="s">
        <v>58</v>
      </c>
      <c r="H32">
        <v>8</v>
      </c>
      <c r="I32">
        <v>0</v>
      </c>
    </row>
    <row r="33" spans="2:9" x14ac:dyDescent="0.35">
      <c r="B33" t="s">
        <v>339</v>
      </c>
      <c r="C33" t="s">
        <v>391</v>
      </c>
      <c r="D33" t="s">
        <v>362</v>
      </c>
      <c r="E33" t="s">
        <v>363</v>
      </c>
      <c r="F33" t="s">
        <v>37</v>
      </c>
      <c r="G33" t="s">
        <v>59</v>
      </c>
      <c r="H33">
        <v>8</v>
      </c>
      <c r="I33">
        <v>0</v>
      </c>
    </row>
    <row r="34" spans="2:9" x14ac:dyDescent="0.35">
      <c r="B34" t="s">
        <v>339</v>
      </c>
      <c r="C34" t="s">
        <v>392</v>
      </c>
      <c r="D34" t="s">
        <v>362</v>
      </c>
      <c r="E34" t="s">
        <v>363</v>
      </c>
      <c r="F34" t="s">
        <v>37</v>
      </c>
      <c r="G34" t="s">
        <v>60</v>
      </c>
      <c r="H34">
        <v>8</v>
      </c>
      <c r="I34">
        <v>0</v>
      </c>
    </row>
    <row r="35" spans="2:9" x14ac:dyDescent="0.35">
      <c r="B35" t="s">
        <v>339</v>
      </c>
      <c r="C35" t="s">
        <v>393</v>
      </c>
      <c r="D35" t="s">
        <v>362</v>
      </c>
      <c r="E35" t="s">
        <v>363</v>
      </c>
      <c r="F35" t="s">
        <v>37</v>
      </c>
      <c r="G35" t="s">
        <v>61</v>
      </c>
      <c r="H35">
        <v>8</v>
      </c>
      <c r="I35">
        <v>0</v>
      </c>
    </row>
    <row r="36" spans="2:9" x14ac:dyDescent="0.35">
      <c r="B36" t="s">
        <v>339</v>
      </c>
      <c r="C36" t="s">
        <v>394</v>
      </c>
      <c r="D36" t="s">
        <v>362</v>
      </c>
      <c r="E36" t="s">
        <v>363</v>
      </c>
      <c r="F36" t="s">
        <v>37</v>
      </c>
      <c r="G36" t="s">
        <v>62</v>
      </c>
      <c r="H36">
        <v>8</v>
      </c>
      <c r="I36">
        <v>0</v>
      </c>
    </row>
    <row r="37" spans="2:9" x14ac:dyDescent="0.35">
      <c r="B37" t="s">
        <v>339</v>
      </c>
      <c r="C37" t="s">
        <v>395</v>
      </c>
      <c r="D37" t="s">
        <v>362</v>
      </c>
      <c r="E37" t="s">
        <v>363</v>
      </c>
      <c r="F37" t="s">
        <v>37</v>
      </c>
      <c r="G37" t="s">
        <v>63</v>
      </c>
      <c r="H37">
        <v>8</v>
      </c>
      <c r="I37">
        <v>0</v>
      </c>
    </row>
    <row r="38" spans="2:9" x14ac:dyDescent="0.35">
      <c r="B38" t="s">
        <v>339</v>
      </c>
      <c r="C38" t="s">
        <v>396</v>
      </c>
      <c r="D38" t="s">
        <v>362</v>
      </c>
      <c r="E38" t="s">
        <v>363</v>
      </c>
      <c r="F38" t="s">
        <v>37</v>
      </c>
      <c r="G38" t="s">
        <v>64</v>
      </c>
      <c r="H38">
        <v>8</v>
      </c>
      <c r="I38">
        <v>0</v>
      </c>
    </row>
    <row r="39" spans="2:9" x14ac:dyDescent="0.35">
      <c r="B39" t="s">
        <v>339</v>
      </c>
      <c r="C39" t="s">
        <v>397</v>
      </c>
      <c r="D39" t="s">
        <v>362</v>
      </c>
      <c r="E39" t="s">
        <v>363</v>
      </c>
      <c r="F39" t="s">
        <v>37</v>
      </c>
      <c r="G39" t="s">
        <v>65</v>
      </c>
      <c r="H39">
        <v>8</v>
      </c>
      <c r="I39">
        <v>0</v>
      </c>
    </row>
    <row r="40" spans="2:9" x14ac:dyDescent="0.35">
      <c r="B40" t="s">
        <v>339</v>
      </c>
      <c r="C40" t="s">
        <v>398</v>
      </c>
      <c r="D40" t="s">
        <v>362</v>
      </c>
      <c r="E40" t="s">
        <v>363</v>
      </c>
      <c r="F40" t="s">
        <v>37</v>
      </c>
      <c r="G40" t="s">
        <v>66</v>
      </c>
      <c r="H40">
        <v>8</v>
      </c>
      <c r="I40">
        <v>0</v>
      </c>
    </row>
    <row r="41" spans="2:9" x14ac:dyDescent="0.35">
      <c r="B41" t="s">
        <v>339</v>
      </c>
      <c r="C41" t="s">
        <v>399</v>
      </c>
      <c r="D41" t="s">
        <v>362</v>
      </c>
      <c r="E41" t="s">
        <v>363</v>
      </c>
      <c r="F41" t="s">
        <v>37</v>
      </c>
      <c r="G41" t="s">
        <v>67</v>
      </c>
      <c r="H41">
        <v>8</v>
      </c>
      <c r="I41">
        <v>0</v>
      </c>
    </row>
    <row r="42" spans="2:9" x14ac:dyDescent="0.35">
      <c r="B42" t="s">
        <v>339</v>
      </c>
      <c r="C42" t="s">
        <v>400</v>
      </c>
      <c r="D42" t="s">
        <v>362</v>
      </c>
      <c r="E42" t="s">
        <v>363</v>
      </c>
      <c r="F42" t="s">
        <v>37</v>
      </c>
      <c r="G42" t="s">
        <v>401</v>
      </c>
      <c r="H42">
        <v>8</v>
      </c>
      <c r="I42">
        <v>0</v>
      </c>
    </row>
    <row r="43" spans="2:9" x14ac:dyDescent="0.35">
      <c r="B43" t="s">
        <v>339</v>
      </c>
      <c r="C43" t="s">
        <v>402</v>
      </c>
      <c r="D43" t="s">
        <v>362</v>
      </c>
      <c r="E43" t="s">
        <v>363</v>
      </c>
      <c r="F43" t="s">
        <v>37</v>
      </c>
      <c r="G43" t="s">
        <v>69</v>
      </c>
      <c r="H43">
        <v>8</v>
      </c>
      <c r="I43">
        <v>0</v>
      </c>
    </row>
    <row r="44" spans="2:9" x14ac:dyDescent="0.35">
      <c r="B44" t="s">
        <v>339</v>
      </c>
      <c r="C44" t="s">
        <v>403</v>
      </c>
      <c r="D44" t="s">
        <v>362</v>
      </c>
      <c r="E44" t="s">
        <v>363</v>
      </c>
      <c r="F44" t="s">
        <v>37</v>
      </c>
      <c r="G44" t="s">
        <v>70</v>
      </c>
      <c r="H44">
        <v>8</v>
      </c>
      <c r="I44">
        <v>0</v>
      </c>
    </row>
    <row r="45" spans="2:9" x14ac:dyDescent="0.35">
      <c r="B45" t="s">
        <v>339</v>
      </c>
      <c r="C45" t="s">
        <v>404</v>
      </c>
      <c r="D45" t="s">
        <v>362</v>
      </c>
      <c r="E45" t="s">
        <v>363</v>
      </c>
      <c r="F45" t="s">
        <v>37</v>
      </c>
      <c r="G45" t="s">
        <v>71</v>
      </c>
      <c r="H45">
        <v>8</v>
      </c>
      <c r="I45">
        <v>0</v>
      </c>
    </row>
    <row r="46" spans="2:9" x14ac:dyDescent="0.35">
      <c r="B46" t="s">
        <v>339</v>
      </c>
      <c r="C46" t="s">
        <v>405</v>
      </c>
      <c r="D46" t="s">
        <v>362</v>
      </c>
      <c r="E46" t="s">
        <v>363</v>
      </c>
      <c r="F46" t="s">
        <v>37</v>
      </c>
      <c r="G46" t="s">
        <v>72</v>
      </c>
      <c r="H46">
        <v>8</v>
      </c>
      <c r="I46">
        <v>0</v>
      </c>
    </row>
    <row r="47" spans="2:9" x14ac:dyDescent="0.35">
      <c r="B47" t="s">
        <v>339</v>
      </c>
      <c r="C47" t="s">
        <v>406</v>
      </c>
      <c r="D47" t="s">
        <v>362</v>
      </c>
      <c r="E47" t="s">
        <v>363</v>
      </c>
      <c r="F47" t="s">
        <v>37</v>
      </c>
      <c r="G47" t="s">
        <v>73</v>
      </c>
      <c r="H47">
        <v>8</v>
      </c>
      <c r="I47">
        <v>0</v>
      </c>
    </row>
    <row r="48" spans="2:9" x14ac:dyDescent="0.35">
      <c r="B48" t="s">
        <v>339</v>
      </c>
      <c r="C48" t="s">
        <v>407</v>
      </c>
      <c r="D48" t="s">
        <v>362</v>
      </c>
      <c r="E48" t="s">
        <v>363</v>
      </c>
      <c r="F48" t="s">
        <v>37</v>
      </c>
      <c r="G48" t="s">
        <v>408</v>
      </c>
      <c r="H48">
        <v>8</v>
      </c>
      <c r="I48">
        <v>0</v>
      </c>
    </row>
    <row r="49" spans="2:10" x14ac:dyDescent="0.35">
      <c r="B49" t="s">
        <v>339</v>
      </c>
      <c r="C49" t="s">
        <v>409</v>
      </c>
      <c r="D49" t="s">
        <v>362</v>
      </c>
      <c r="E49" t="s">
        <v>363</v>
      </c>
      <c r="F49" t="s">
        <v>37</v>
      </c>
      <c r="G49" t="s">
        <v>74</v>
      </c>
      <c r="H49">
        <v>8</v>
      </c>
      <c r="I49">
        <v>0</v>
      </c>
    </row>
    <row r="50" spans="2:10" x14ac:dyDescent="0.35">
      <c r="B50" t="s">
        <v>339</v>
      </c>
      <c r="C50" t="s">
        <v>410</v>
      </c>
      <c r="D50" t="s">
        <v>362</v>
      </c>
      <c r="E50" t="s">
        <v>363</v>
      </c>
      <c r="F50" t="s">
        <v>37</v>
      </c>
      <c r="G50" t="s">
        <v>75</v>
      </c>
      <c r="H50">
        <v>8</v>
      </c>
      <c r="I50">
        <v>0</v>
      </c>
    </row>
    <row r="51" spans="2:10" x14ac:dyDescent="0.35">
      <c r="B51" t="s">
        <v>339</v>
      </c>
      <c r="C51" t="s">
        <v>411</v>
      </c>
      <c r="D51" t="s">
        <v>362</v>
      </c>
      <c r="E51" t="s">
        <v>363</v>
      </c>
      <c r="F51" t="s">
        <v>37</v>
      </c>
      <c r="G51" t="s">
        <v>412</v>
      </c>
      <c r="H51">
        <v>8</v>
      </c>
      <c r="I51">
        <v>8</v>
      </c>
      <c r="J51" t="s">
        <v>453</v>
      </c>
    </row>
    <row r="52" spans="2:10" x14ac:dyDescent="0.35">
      <c r="B52" t="s">
        <v>339</v>
      </c>
      <c r="C52" t="s">
        <v>413</v>
      </c>
      <c r="D52" t="s">
        <v>362</v>
      </c>
      <c r="E52" t="s">
        <v>363</v>
      </c>
      <c r="F52" t="s">
        <v>37</v>
      </c>
      <c r="G52" t="s">
        <v>414</v>
      </c>
      <c r="H52">
        <v>8</v>
      </c>
      <c r="I52">
        <v>8</v>
      </c>
      <c r="J52" t="s">
        <v>453</v>
      </c>
    </row>
    <row r="53" spans="2:10" x14ac:dyDescent="0.35">
      <c r="B53" t="s">
        <v>339</v>
      </c>
      <c r="C53" t="s">
        <v>415</v>
      </c>
      <c r="D53" t="s">
        <v>362</v>
      </c>
      <c r="E53" t="s">
        <v>363</v>
      </c>
      <c r="F53" t="s">
        <v>37</v>
      </c>
      <c r="G53" t="s">
        <v>416</v>
      </c>
      <c r="H53">
        <v>8</v>
      </c>
      <c r="I53">
        <v>8</v>
      </c>
      <c r="J53" t="s">
        <v>453</v>
      </c>
    </row>
    <row r="54" spans="2:10" x14ac:dyDescent="0.35">
      <c r="B54" t="s">
        <v>339</v>
      </c>
      <c r="C54" t="s">
        <v>417</v>
      </c>
      <c r="D54" t="s">
        <v>362</v>
      </c>
      <c r="E54" t="s">
        <v>363</v>
      </c>
      <c r="F54" t="s">
        <v>37</v>
      </c>
      <c r="G54" t="s">
        <v>76</v>
      </c>
      <c r="H54">
        <v>8</v>
      </c>
      <c r="I54">
        <v>0</v>
      </c>
    </row>
    <row r="55" spans="2:10" x14ac:dyDescent="0.35">
      <c r="B55" t="s">
        <v>339</v>
      </c>
      <c r="C55" t="s">
        <v>418</v>
      </c>
      <c r="D55" t="s">
        <v>362</v>
      </c>
      <c r="E55" t="s">
        <v>363</v>
      </c>
      <c r="F55" t="s">
        <v>37</v>
      </c>
      <c r="G55" t="s">
        <v>77</v>
      </c>
      <c r="H55">
        <v>8</v>
      </c>
      <c r="I55">
        <v>0</v>
      </c>
    </row>
    <row r="56" spans="2:10" x14ac:dyDescent="0.35">
      <c r="B56" t="s">
        <v>339</v>
      </c>
      <c r="C56" t="s">
        <v>419</v>
      </c>
      <c r="D56" t="s">
        <v>362</v>
      </c>
      <c r="E56" t="s">
        <v>363</v>
      </c>
      <c r="F56" t="s">
        <v>37</v>
      </c>
      <c r="G56" t="s">
        <v>78</v>
      </c>
      <c r="H56">
        <v>8</v>
      </c>
      <c r="I56">
        <v>0</v>
      </c>
    </row>
    <row r="57" spans="2:10" x14ac:dyDescent="0.35">
      <c r="B57" t="s">
        <v>339</v>
      </c>
      <c r="C57" t="s">
        <v>420</v>
      </c>
      <c r="D57" t="s">
        <v>362</v>
      </c>
      <c r="E57" t="s">
        <v>363</v>
      </c>
      <c r="F57" t="s">
        <v>37</v>
      </c>
      <c r="G57" t="s">
        <v>79</v>
      </c>
      <c r="H57">
        <v>8</v>
      </c>
      <c r="I57">
        <v>0</v>
      </c>
    </row>
    <row r="58" spans="2:10" x14ac:dyDescent="0.35">
      <c r="B58" t="s">
        <v>339</v>
      </c>
      <c r="C58" t="s">
        <v>421</v>
      </c>
      <c r="D58" t="s">
        <v>362</v>
      </c>
      <c r="E58" t="s">
        <v>363</v>
      </c>
      <c r="F58" t="s">
        <v>37</v>
      </c>
      <c r="G58" t="s">
        <v>80</v>
      </c>
      <c r="H58">
        <v>8</v>
      </c>
      <c r="I58">
        <v>0</v>
      </c>
    </row>
    <row r="59" spans="2:10" x14ac:dyDescent="0.35">
      <c r="B59" t="s">
        <v>339</v>
      </c>
      <c r="C59" t="s">
        <v>422</v>
      </c>
      <c r="D59" t="s">
        <v>362</v>
      </c>
      <c r="E59" t="s">
        <v>363</v>
      </c>
      <c r="F59" t="s">
        <v>37</v>
      </c>
      <c r="G59" t="s">
        <v>81</v>
      </c>
      <c r="H59">
        <v>8</v>
      </c>
      <c r="I59">
        <v>0</v>
      </c>
    </row>
    <row r="60" spans="2:10" x14ac:dyDescent="0.35">
      <c r="B60" t="s">
        <v>339</v>
      </c>
      <c r="C60" t="s">
        <v>423</v>
      </c>
      <c r="D60" t="s">
        <v>362</v>
      </c>
      <c r="E60" t="s">
        <v>363</v>
      </c>
      <c r="F60" t="s">
        <v>37</v>
      </c>
      <c r="G60" t="s">
        <v>82</v>
      </c>
      <c r="H60">
        <v>8</v>
      </c>
      <c r="I60">
        <v>0</v>
      </c>
    </row>
    <row r="61" spans="2:10" x14ac:dyDescent="0.35">
      <c r="B61" t="s">
        <v>339</v>
      </c>
      <c r="C61" t="s">
        <v>424</v>
      </c>
      <c r="D61" t="s">
        <v>362</v>
      </c>
      <c r="E61" t="s">
        <v>363</v>
      </c>
      <c r="F61" t="s">
        <v>37</v>
      </c>
      <c r="G61" t="s">
        <v>83</v>
      </c>
      <c r="H61">
        <v>8</v>
      </c>
      <c r="I61">
        <v>0</v>
      </c>
    </row>
    <row r="62" spans="2:10" x14ac:dyDescent="0.35">
      <c r="B62" t="s">
        <v>339</v>
      </c>
      <c r="C62" t="s">
        <v>425</v>
      </c>
      <c r="D62" t="s">
        <v>362</v>
      </c>
      <c r="E62" t="s">
        <v>363</v>
      </c>
      <c r="F62" t="s">
        <v>37</v>
      </c>
      <c r="G62" t="s">
        <v>84</v>
      </c>
      <c r="H62">
        <v>8</v>
      </c>
      <c r="I62">
        <v>0</v>
      </c>
    </row>
    <row r="63" spans="2:10" x14ac:dyDescent="0.35">
      <c r="B63" t="s">
        <v>339</v>
      </c>
      <c r="C63" t="s">
        <v>426</v>
      </c>
      <c r="D63" t="s">
        <v>362</v>
      </c>
      <c r="E63" t="s">
        <v>363</v>
      </c>
      <c r="F63" t="s">
        <v>37</v>
      </c>
      <c r="G63" t="s">
        <v>85</v>
      </c>
      <c r="H63">
        <v>8</v>
      </c>
      <c r="I63">
        <v>0</v>
      </c>
    </row>
    <row r="64" spans="2:10" x14ac:dyDescent="0.35">
      <c r="B64" t="s">
        <v>339</v>
      </c>
      <c r="C64" t="s">
        <v>427</v>
      </c>
      <c r="D64" t="s">
        <v>362</v>
      </c>
      <c r="E64" t="s">
        <v>363</v>
      </c>
      <c r="F64" t="s">
        <v>37</v>
      </c>
      <c r="G64" t="s">
        <v>86</v>
      </c>
      <c r="H64">
        <v>8</v>
      </c>
      <c r="I64">
        <v>0</v>
      </c>
    </row>
    <row r="65" spans="2:9" x14ac:dyDescent="0.35">
      <c r="B65" t="s">
        <v>339</v>
      </c>
      <c r="C65" t="s">
        <v>428</v>
      </c>
      <c r="D65" t="s">
        <v>362</v>
      </c>
      <c r="E65" t="s">
        <v>363</v>
      </c>
      <c r="F65" t="s">
        <v>37</v>
      </c>
      <c r="G65" t="s">
        <v>87</v>
      </c>
      <c r="H65">
        <v>8</v>
      </c>
      <c r="I65">
        <v>0</v>
      </c>
    </row>
    <row r="66" spans="2:9" x14ac:dyDescent="0.35">
      <c r="B66" t="s">
        <v>339</v>
      </c>
      <c r="C66" t="s">
        <v>429</v>
      </c>
      <c r="D66" t="s">
        <v>362</v>
      </c>
      <c r="E66" t="s">
        <v>363</v>
      </c>
      <c r="F66" t="s">
        <v>37</v>
      </c>
      <c r="G66" t="s">
        <v>88</v>
      </c>
      <c r="H66">
        <v>8</v>
      </c>
      <c r="I66">
        <v>0</v>
      </c>
    </row>
    <row r="67" spans="2:9" x14ac:dyDescent="0.35">
      <c r="B67" t="s">
        <v>339</v>
      </c>
      <c r="C67" t="s">
        <v>430</v>
      </c>
      <c r="D67" t="s">
        <v>362</v>
      </c>
      <c r="E67" t="s">
        <v>363</v>
      </c>
      <c r="F67" t="s">
        <v>37</v>
      </c>
      <c r="G67" t="s">
        <v>89</v>
      </c>
      <c r="H67">
        <v>8</v>
      </c>
      <c r="I67">
        <v>0</v>
      </c>
    </row>
    <row r="68" spans="2:9" x14ac:dyDescent="0.35">
      <c r="B68" t="s">
        <v>339</v>
      </c>
      <c r="C68" t="s">
        <v>431</v>
      </c>
      <c r="D68" t="s">
        <v>362</v>
      </c>
      <c r="E68" t="s">
        <v>363</v>
      </c>
      <c r="F68" t="s">
        <v>37</v>
      </c>
      <c r="G68" t="s">
        <v>90</v>
      </c>
      <c r="H68">
        <v>8</v>
      </c>
      <c r="I68">
        <v>0</v>
      </c>
    </row>
    <row r="69" spans="2:9" x14ac:dyDescent="0.35">
      <c r="B69" t="s">
        <v>339</v>
      </c>
      <c r="C69" t="s">
        <v>432</v>
      </c>
      <c r="D69" t="s">
        <v>362</v>
      </c>
      <c r="E69" t="s">
        <v>363</v>
      </c>
      <c r="F69" t="s">
        <v>37</v>
      </c>
      <c r="G69" t="s">
        <v>91</v>
      </c>
      <c r="H69">
        <v>8</v>
      </c>
      <c r="I69">
        <v>0</v>
      </c>
    </row>
    <row r="70" spans="2:9" x14ac:dyDescent="0.35">
      <c r="B70" t="s">
        <v>339</v>
      </c>
      <c r="C70" t="s">
        <v>433</v>
      </c>
      <c r="D70" t="s">
        <v>362</v>
      </c>
      <c r="E70" t="s">
        <v>363</v>
      </c>
      <c r="F70" t="s">
        <v>37</v>
      </c>
      <c r="G70" t="s">
        <v>92</v>
      </c>
      <c r="H70">
        <v>8</v>
      </c>
      <c r="I70">
        <v>0</v>
      </c>
    </row>
    <row r="71" spans="2:9" x14ac:dyDescent="0.35">
      <c r="B71" t="s">
        <v>339</v>
      </c>
      <c r="C71" t="s">
        <v>434</v>
      </c>
      <c r="D71" t="s">
        <v>362</v>
      </c>
      <c r="E71" t="s">
        <v>363</v>
      </c>
      <c r="F71" t="s">
        <v>37</v>
      </c>
      <c r="G71" t="s">
        <v>93</v>
      </c>
      <c r="H71">
        <v>8</v>
      </c>
      <c r="I71">
        <v>0</v>
      </c>
    </row>
    <row r="72" spans="2:9" x14ac:dyDescent="0.35">
      <c r="B72" t="s">
        <v>339</v>
      </c>
      <c r="C72" t="s">
        <v>435</v>
      </c>
      <c r="D72" t="s">
        <v>362</v>
      </c>
      <c r="E72" t="s">
        <v>363</v>
      </c>
      <c r="F72" t="s">
        <v>37</v>
      </c>
      <c r="G72" t="s">
        <v>94</v>
      </c>
      <c r="H72">
        <v>8</v>
      </c>
      <c r="I72">
        <v>0</v>
      </c>
    </row>
    <row r="73" spans="2:9" x14ac:dyDescent="0.35">
      <c r="B73" t="s">
        <v>339</v>
      </c>
      <c r="C73" t="s">
        <v>436</v>
      </c>
      <c r="D73" t="s">
        <v>362</v>
      </c>
      <c r="E73" t="s">
        <v>363</v>
      </c>
      <c r="F73" t="s">
        <v>37</v>
      </c>
      <c r="G73" t="s">
        <v>95</v>
      </c>
      <c r="H73">
        <v>8</v>
      </c>
      <c r="I73">
        <v>0</v>
      </c>
    </row>
    <row r="74" spans="2:9" x14ac:dyDescent="0.35">
      <c r="B74" t="s">
        <v>339</v>
      </c>
      <c r="C74" t="s">
        <v>437</v>
      </c>
      <c r="D74" t="s">
        <v>362</v>
      </c>
      <c r="E74" t="s">
        <v>363</v>
      </c>
      <c r="F74" t="s">
        <v>37</v>
      </c>
      <c r="G74" t="s">
        <v>96</v>
      </c>
      <c r="H74">
        <v>8</v>
      </c>
      <c r="I74">
        <v>0</v>
      </c>
    </row>
    <row r="75" spans="2:9" x14ac:dyDescent="0.35">
      <c r="B75" t="s">
        <v>339</v>
      </c>
      <c r="C75" t="s">
        <v>438</v>
      </c>
      <c r="D75" t="s">
        <v>362</v>
      </c>
      <c r="E75" t="s">
        <v>363</v>
      </c>
      <c r="F75" t="s">
        <v>37</v>
      </c>
      <c r="G75" t="s">
        <v>97</v>
      </c>
      <c r="H75">
        <v>8</v>
      </c>
      <c r="I75">
        <v>0</v>
      </c>
    </row>
    <row r="76" spans="2:9" x14ac:dyDescent="0.35">
      <c r="B76" t="s">
        <v>339</v>
      </c>
      <c r="C76" t="s">
        <v>439</v>
      </c>
      <c r="D76" t="s">
        <v>362</v>
      </c>
      <c r="E76" t="s">
        <v>363</v>
      </c>
      <c r="F76" t="s">
        <v>37</v>
      </c>
      <c r="G76" t="s">
        <v>98</v>
      </c>
      <c r="H76">
        <v>8</v>
      </c>
      <c r="I76">
        <v>0</v>
      </c>
    </row>
    <row r="77" spans="2:9" x14ac:dyDescent="0.35">
      <c r="B77" t="s">
        <v>339</v>
      </c>
      <c r="C77" t="s">
        <v>440</v>
      </c>
      <c r="D77" t="s">
        <v>362</v>
      </c>
      <c r="E77" t="s">
        <v>363</v>
      </c>
      <c r="F77" t="s">
        <v>37</v>
      </c>
      <c r="G77" t="s">
        <v>99</v>
      </c>
      <c r="H77">
        <v>8</v>
      </c>
      <c r="I77">
        <v>0</v>
      </c>
    </row>
    <row r="78" spans="2:9" x14ac:dyDescent="0.35">
      <c r="B78" t="s">
        <v>339</v>
      </c>
      <c r="C78" t="s">
        <v>441</v>
      </c>
      <c r="D78" t="s">
        <v>362</v>
      </c>
      <c r="E78" t="s">
        <v>363</v>
      </c>
      <c r="F78" t="s">
        <v>37</v>
      </c>
      <c r="G78" t="s">
        <v>100</v>
      </c>
      <c r="H78">
        <v>8</v>
      </c>
      <c r="I78">
        <v>0</v>
      </c>
    </row>
    <row r="79" spans="2:9" x14ac:dyDescent="0.35">
      <c r="B79" t="s">
        <v>339</v>
      </c>
      <c r="C79" t="s">
        <v>442</v>
      </c>
      <c r="D79" t="s">
        <v>362</v>
      </c>
      <c r="E79" t="s">
        <v>363</v>
      </c>
      <c r="F79" t="s">
        <v>37</v>
      </c>
      <c r="G79" t="s">
        <v>101</v>
      </c>
      <c r="H79">
        <v>8</v>
      </c>
      <c r="I79">
        <v>0</v>
      </c>
    </row>
    <row r="80" spans="2:9" x14ac:dyDescent="0.35">
      <c r="B80" t="s">
        <v>339</v>
      </c>
      <c r="C80" t="s">
        <v>443</v>
      </c>
      <c r="D80" t="s">
        <v>362</v>
      </c>
      <c r="E80" t="s">
        <v>363</v>
      </c>
      <c r="F80" t="s">
        <v>37</v>
      </c>
      <c r="G80" t="s">
        <v>102</v>
      </c>
      <c r="H80">
        <v>8</v>
      </c>
      <c r="I80">
        <v>0</v>
      </c>
    </row>
    <row r="81" spans="2:10" x14ac:dyDescent="0.35">
      <c r="B81" t="s">
        <v>339</v>
      </c>
      <c r="C81" t="s">
        <v>444</v>
      </c>
      <c r="D81" t="s">
        <v>362</v>
      </c>
      <c r="E81" t="s">
        <v>363</v>
      </c>
      <c r="F81" t="s">
        <v>37</v>
      </c>
      <c r="G81" t="s">
        <v>103</v>
      </c>
      <c r="H81">
        <v>8</v>
      </c>
      <c r="I81">
        <v>0</v>
      </c>
    </row>
    <row r="82" spans="2:10" x14ac:dyDescent="0.35">
      <c r="B82" t="s">
        <v>339</v>
      </c>
      <c r="C82" t="s">
        <v>445</v>
      </c>
      <c r="D82" t="s">
        <v>362</v>
      </c>
      <c r="E82" t="s">
        <v>363</v>
      </c>
      <c r="F82" t="s">
        <v>37</v>
      </c>
      <c r="G82" t="s">
        <v>104</v>
      </c>
      <c r="H82">
        <v>8</v>
      </c>
      <c r="I82">
        <v>0</v>
      </c>
    </row>
    <row r="83" spans="2:10" x14ac:dyDescent="0.35">
      <c r="B83" t="s">
        <v>339</v>
      </c>
      <c r="C83" t="s">
        <v>446</v>
      </c>
      <c r="D83" t="s">
        <v>362</v>
      </c>
      <c r="E83" t="s">
        <v>363</v>
      </c>
      <c r="F83" t="s">
        <v>37</v>
      </c>
      <c r="G83" t="s">
        <v>105</v>
      </c>
      <c r="H83">
        <v>8</v>
      </c>
      <c r="I83">
        <v>0</v>
      </c>
    </row>
    <row r="84" spans="2:10" x14ac:dyDescent="0.35">
      <c r="B84" t="s">
        <v>339</v>
      </c>
      <c r="C84" t="s">
        <v>447</v>
      </c>
      <c r="D84" t="s">
        <v>362</v>
      </c>
      <c r="E84" t="s">
        <v>363</v>
      </c>
      <c r="F84" t="s">
        <v>37</v>
      </c>
      <c r="G84" t="s">
        <v>106</v>
      </c>
      <c r="H84">
        <v>8</v>
      </c>
      <c r="I84">
        <v>0</v>
      </c>
    </row>
    <row r="85" spans="2:10" x14ac:dyDescent="0.35">
      <c r="B85" t="s">
        <v>339</v>
      </c>
      <c r="C85" t="s">
        <v>448</v>
      </c>
      <c r="D85" t="s">
        <v>362</v>
      </c>
      <c r="E85" t="s">
        <v>363</v>
      </c>
      <c r="F85" t="s">
        <v>37</v>
      </c>
      <c r="G85" t="s">
        <v>107</v>
      </c>
      <c r="H85">
        <v>8</v>
      </c>
      <c r="I85">
        <v>0</v>
      </c>
    </row>
    <row r="86" spans="2:10" x14ac:dyDescent="0.35">
      <c r="B86" t="s">
        <v>339</v>
      </c>
      <c r="C86" t="s">
        <v>449</v>
      </c>
      <c r="D86" t="s">
        <v>362</v>
      </c>
      <c r="E86" t="s">
        <v>363</v>
      </c>
      <c r="F86" t="s">
        <v>37</v>
      </c>
      <c r="G86" t="s">
        <v>108</v>
      </c>
      <c r="H86">
        <v>8</v>
      </c>
      <c r="I86">
        <v>0</v>
      </c>
    </row>
    <row r="87" spans="2:10" x14ac:dyDescent="0.35">
      <c r="B87" t="s">
        <v>339</v>
      </c>
      <c r="C87" t="s">
        <v>450</v>
      </c>
      <c r="D87" t="s">
        <v>362</v>
      </c>
      <c r="E87" t="s">
        <v>363</v>
      </c>
      <c r="F87" t="s">
        <v>37</v>
      </c>
      <c r="G87" t="s">
        <v>109</v>
      </c>
      <c r="H87">
        <v>8</v>
      </c>
      <c r="I87">
        <v>0</v>
      </c>
    </row>
    <row r="88" spans="2:10" x14ac:dyDescent="0.35">
      <c r="B88" t="s">
        <v>339</v>
      </c>
      <c r="C88" t="s">
        <v>451</v>
      </c>
      <c r="D88" t="s">
        <v>362</v>
      </c>
      <c r="E88" t="s">
        <v>363</v>
      </c>
      <c r="F88" t="s">
        <v>37</v>
      </c>
      <c r="G88" t="s">
        <v>110</v>
      </c>
      <c r="H88">
        <v>8</v>
      </c>
      <c r="I88">
        <v>0</v>
      </c>
    </row>
    <row r="89" spans="2:10" x14ac:dyDescent="0.35">
      <c r="B89" t="s">
        <v>339</v>
      </c>
      <c r="C89" t="s">
        <v>452</v>
      </c>
      <c r="D89" t="s">
        <v>362</v>
      </c>
      <c r="E89" t="s">
        <v>363</v>
      </c>
      <c r="F89" t="s">
        <v>37</v>
      </c>
      <c r="G89" t="s">
        <v>111</v>
      </c>
      <c r="H89">
        <v>8</v>
      </c>
      <c r="I89">
        <v>0</v>
      </c>
    </row>
    <row r="90" spans="2:10" x14ac:dyDescent="0.35">
      <c r="B90" t="s">
        <v>339</v>
      </c>
      <c r="C90" t="s">
        <v>454</v>
      </c>
      <c r="D90" t="s">
        <v>362</v>
      </c>
      <c r="E90" t="s">
        <v>363</v>
      </c>
      <c r="F90" t="s">
        <v>329</v>
      </c>
      <c r="G90" t="s">
        <v>38</v>
      </c>
      <c r="H90">
        <v>4730</v>
      </c>
      <c r="I90">
        <v>0</v>
      </c>
    </row>
    <row r="91" spans="2:10" x14ac:dyDescent="0.35">
      <c r="B91" t="s">
        <v>339</v>
      </c>
      <c r="C91" t="s">
        <v>455</v>
      </c>
      <c r="D91" t="s">
        <v>362</v>
      </c>
      <c r="E91" t="s">
        <v>363</v>
      </c>
      <c r="F91" t="s">
        <v>329</v>
      </c>
      <c r="G91" t="s">
        <v>330</v>
      </c>
      <c r="H91">
        <v>4730</v>
      </c>
      <c r="I91">
        <v>0</v>
      </c>
    </row>
    <row r="92" spans="2:10" x14ac:dyDescent="0.35">
      <c r="B92" t="s">
        <v>339</v>
      </c>
      <c r="C92" t="s">
        <v>456</v>
      </c>
      <c r="D92" t="s">
        <v>362</v>
      </c>
      <c r="E92" t="s">
        <v>363</v>
      </c>
      <c r="F92" t="s">
        <v>329</v>
      </c>
      <c r="G92" t="s">
        <v>457</v>
      </c>
      <c r="H92">
        <v>4730</v>
      </c>
      <c r="I92">
        <v>0</v>
      </c>
    </row>
    <row r="93" spans="2:10" x14ac:dyDescent="0.35">
      <c r="B93" t="s">
        <v>339</v>
      </c>
      <c r="C93" t="s">
        <v>458</v>
      </c>
      <c r="D93" t="s">
        <v>362</v>
      </c>
      <c r="E93" t="s">
        <v>363</v>
      </c>
      <c r="F93" t="s">
        <v>329</v>
      </c>
      <c r="G93" t="s">
        <v>459</v>
      </c>
      <c r="H93">
        <v>4730</v>
      </c>
      <c r="I93">
        <v>0</v>
      </c>
    </row>
    <row r="94" spans="2:10" x14ac:dyDescent="0.35">
      <c r="B94" t="s">
        <v>339</v>
      </c>
      <c r="C94" t="s">
        <v>460</v>
      </c>
      <c r="D94" t="s">
        <v>362</v>
      </c>
      <c r="E94" t="s">
        <v>363</v>
      </c>
      <c r="F94" t="s">
        <v>329</v>
      </c>
      <c r="G94" t="s">
        <v>461</v>
      </c>
      <c r="H94">
        <v>4730</v>
      </c>
      <c r="I94">
        <v>0</v>
      </c>
    </row>
    <row r="95" spans="2:10" x14ac:dyDescent="0.35">
      <c r="B95" t="s">
        <v>339</v>
      </c>
      <c r="C95" t="s">
        <v>462</v>
      </c>
      <c r="D95" t="s">
        <v>362</v>
      </c>
      <c r="E95" t="s">
        <v>363</v>
      </c>
      <c r="F95" t="s">
        <v>329</v>
      </c>
      <c r="G95" t="s">
        <v>463</v>
      </c>
      <c r="H95">
        <v>4730</v>
      </c>
      <c r="I95">
        <v>0</v>
      </c>
    </row>
    <row r="96" spans="2:10" x14ac:dyDescent="0.35">
      <c r="B96" t="s">
        <v>339</v>
      </c>
      <c r="C96" t="s">
        <v>464</v>
      </c>
      <c r="D96" t="s">
        <v>362</v>
      </c>
      <c r="E96" t="s">
        <v>363</v>
      </c>
      <c r="F96" t="s">
        <v>329</v>
      </c>
      <c r="G96" t="s">
        <v>465</v>
      </c>
      <c r="H96">
        <v>4730</v>
      </c>
      <c r="I96">
        <v>4730</v>
      </c>
      <c r="J96" t="s">
        <v>466</v>
      </c>
    </row>
    <row r="97" spans="2:10" x14ac:dyDescent="0.35">
      <c r="B97" t="s">
        <v>339</v>
      </c>
      <c r="C97" t="s">
        <v>467</v>
      </c>
      <c r="D97" t="s">
        <v>362</v>
      </c>
      <c r="E97" t="s">
        <v>363</v>
      </c>
      <c r="F97" t="s">
        <v>329</v>
      </c>
      <c r="G97" t="s">
        <v>468</v>
      </c>
      <c r="H97">
        <v>4730</v>
      </c>
      <c r="I97">
        <v>0</v>
      </c>
    </row>
    <row r="98" spans="2:10" x14ac:dyDescent="0.35">
      <c r="B98" t="s">
        <v>339</v>
      </c>
      <c r="C98" t="s">
        <v>469</v>
      </c>
      <c r="D98" t="s">
        <v>362</v>
      </c>
      <c r="E98" t="s">
        <v>363</v>
      </c>
      <c r="F98" t="s">
        <v>329</v>
      </c>
      <c r="G98" t="s">
        <v>470</v>
      </c>
      <c r="H98">
        <v>4730</v>
      </c>
      <c r="I98">
        <v>0</v>
      </c>
    </row>
    <row r="99" spans="2:10" x14ac:dyDescent="0.35">
      <c r="B99" t="s">
        <v>339</v>
      </c>
      <c r="C99" t="s">
        <v>471</v>
      </c>
      <c r="D99" t="s">
        <v>362</v>
      </c>
      <c r="E99" t="s">
        <v>363</v>
      </c>
      <c r="F99" t="s">
        <v>329</v>
      </c>
      <c r="G99" t="s">
        <v>472</v>
      </c>
      <c r="H99">
        <v>4730</v>
      </c>
      <c r="I99">
        <v>0</v>
      </c>
    </row>
    <row r="100" spans="2:10" x14ac:dyDescent="0.35">
      <c r="B100" t="s">
        <v>339</v>
      </c>
      <c r="C100" t="s">
        <v>473</v>
      </c>
      <c r="D100" t="s">
        <v>362</v>
      </c>
      <c r="E100" t="s">
        <v>363</v>
      </c>
      <c r="F100" t="s">
        <v>329</v>
      </c>
      <c r="G100" t="s">
        <v>474</v>
      </c>
      <c r="H100">
        <v>4730</v>
      </c>
      <c r="I100">
        <v>0</v>
      </c>
    </row>
    <row r="101" spans="2:10" x14ac:dyDescent="0.35">
      <c r="B101" t="s">
        <v>339</v>
      </c>
      <c r="C101" t="s">
        <v>475</v>
      </c>
      <c r="D101" t="s">
        <v>362</v>
      </c>
      <c r="E101" t="s">
        <v>363</v>
      </c>
      <c r="F101" t="s">
        <v>329</v>
      </c>
      <c r="G101" t="s">
        <v>476</v>
      </c>
      <c r="H101">
        <v>4730</v>
      </c>
      <c r="I101">
        <v>0</v>
      </c>
    </row>
    <row r="102" spans="2:10" x14ac:dyDescent="0.35">
      <c r="B102" t="s">
        <v>339</v>
      </c>
      <c r="C102" t="s">
        <v>477</v>
      </c>
      <c r="D102" t="s">
        <v>362</v>
      </c>
      <c r="E102" t="s">
        <v>363</v>
      </c>
      <c r="F102" t="s">
        <v>329</v>
      </c>
      <c r="G102" t="s">
        <v>478</v>
      </c>
      <c r="H102">
        <v>4730</v>
      </c>
      <c r="I102">
        <v>0</v>
      </c>
    </row>
    <row r="103" spans="2:10" x14ac:dyDescent="0.35">
      <c r="B103" t="s">
        <v>339</v>
      </c>
      <c r="C103" t="s">
        <v>479</v>
      </c>
      <c r="D103" t="s">
        <v>362</v>
      </c>
      <c r="E103" t="s">
        <v>363</v>
      </c>
      <c r="F103" t="s">
        <v>329</v>
      </c>
      <c r="G103" t="s">
        <v>480</v>
      </c>
      <c r="H103">
        <v>4730</v>
      </c>
      <c r="I103">
        <v>0</v>
      </c>
    </row>
    <row r="104" spans="2:10" x14ac:dyDescent="0.35">
      <c r="B104" t="s">
        <v>339</v>
      </c>
      <c r="C104" t="s">
        <v>481</v>
      </c>
      <c r="D104" t="s">
        <v>362</v>
      </c>
      <c r="E104" t="s">
        <v>363</v>
      </c>
      <c r="F104" t="s">
        <v>329</v>
      </c>
      <c r="G104" t="s">
        <v>482</v>
      </c>
      <c r="H104">
        <v>4730</v>
      </c>
      <c r="I104">
        <v>0</v>
      </c>
    </row>
    <row r="105" spans="2:10" x14ac:dyDescent="0.35">
      <c r="B105" t="s">
        <v>339</v>
      </c>
      <c r="C105" t="s">
        <v>483</v>
      </c>
      <c r="D105" t="s">
        <v>362</v>
      </c>
      <c r="E105" t="s">
        <v>363</v>
      </c>
      <c r="F105" t="s">
        <v>331</v>
      </c>
      <c r="G105" t="s">
        <v>38</v>
      </c>
      <c r="H105">
        <v>4740</v>
      </c>
      <c r="I105">
        <v>0</v>
      </c>
    </row>
    <row r="106" spans="2:10" x14ac:dyDescent="0.35">
      <c r="B106" t="s">
        <v>339</v>
      </c>
      <c r="C106" t="s">
        <v>484</v>
      </c>
      <c r="D106" t="s">
        <v>362</v>
      </c>
      <c r="E106" t="s">
        <v>363</v>
      </c>
      <c r="F106" t="s">
        <v>331</v>
      </c>
      <c r="G106" t="s">
        <v>485</v>
      </c>
      <c r="H106">
        <v>4740</v>
      </c>
      <c r="I106">
        <v>0</v>
      </c>
    </row>
    <row r="107" spans="2:10" x14ac:dyDescent="0.35">
      <c r="B107" t="s">
        <v>339</v>
      </c>
      <c r="C107" t="s">
        <v>486</v>
      </c>
      <c r="D107" t="s">
        <v>362</v>
      </c>
      <c r="E107" t="s">
        <v>363</v>
      </c>
      <c r="F107" t="s">
        <v>331</v>
      </c>
      <c r="G107" t="s">
        <v>332</v>
      </c>
      <c r="H107">
        <v>4740</v>
      </c>
      <c r="I107">
        <v>0</v>
      </c>
    </row>
    <row r="108" spans="2:10" x14ac:dyDescent="0.35">
      <c r="B108" t="s">
        <v>339</v>
      </c>
      <c r="C108" t="s">
        <v>487</v>
      </c>
      <c r="D108" t="s">
        <v>362</v>
      </c>
      <c r="E108" t="s">
        <v>363</v>
      </c>
      <c r="F108" t="s">
        <v>331</v>
      </c>
      <c r="G108" t="s">
        <v>488</v>
      </c>
      <c r="H108">
        <v>4740</v>
      </c>
      <c r="I108">
        <v>4740</v>
      </c>
      <c r="J108" t="s">
        <v>489</v>
      </c>
    </row>
    <row r="109" spans="2:10" x14ac:dyDescent="0.35">
      <c r="B109" t="s">
        <v>339</v>
      </c>
      <c r="C109" t="s">
        <v>490</v>
      </c>
      <c r="D109" t="s">
        <v>362</v>
      </c>
      <c r="E109" t="s">
        <v>363</v>
      </c>
      <c r="F109" t="s">
        <v>331</v>
      </c>
      <c r="G109" t="s">
        <v>491</v>
      </c>
      <c r="H109">
        <v>4740</v>
      </c>
      <c r="I109">
        <v>2</v>
      </c>
      <c r="J109" t="s">
        <v>492</v>
      </c>
    </row>
    <row r="110" spans="2:10" x14ac:dyDescent="0.35">
      <c r="B110" t="s">
        <v>339</v>
      </c>
      <c r="C110" t="s">
        <v>493</v>
      </c>
      <c r="D110" t="s">
        <v>362</v>
      </c>
      <c r="E110" t="s">
        <v>363</v>
      </c>
      <c r="F110" t="s">
        <v>331</v>
      </c>
      <c r="G110" t="s">
        <v>494</v>
      </c>
      <c r="H110">
        <v>4740</v>
      </c>
      <c r="I110">
        <v>0</v>
      </c>
    </row>
    <row r="111" spans="2:10" x14ac:dyDescent="0.35">
      <c r="B111" t="s">
        <v>339</v>
      </c>
      <c r="C111" t="s">
        <v>495</v>
      </c>
      <c r="D111" t="s">
        <v>362</v>
      </c>
      <c r="E111" t="s">
        <v>363</v>
      </c>
      <c r="F111" t="s">
        <v>331</v>
      </c>
      <c r="G111" t="s">
        <v>496</v>
      </c>
      <c r="H111">
        <v>4740</v>
      </c>
      <c r="I111">
        <v>0</v>
      </c>
    </row>
    <row r="112" spans="2:10" x14ac:dyDescent="0.35">
      <c r="B112" t="s">
        <v>339</v>
      </c>
      <c r="C112" t="s">
        <v>497</v>
      </c>
      <c r="D112" t="s">
        <v>362</v>
      </c>
      <c r="E112" t="s">
        <v>363</v>
      </c>
      <c r="F112" t="s">
        <v>331</v>
      </c>
      <c r="G112" t="s">
        <v>498</v>
      </c>
      <c r="H112">
        <v>4740</v>
      </c>
      <c r="I112">
        <v>0</v>
      </c>
    </row>
    <row r="113" spans="2:10" x14ac:dyDescent="0.35">
      <c r="B113" t="s">
        <v>339</v>
      </c>
      <c r="C113" t="s">
        <v>499</v>
      </c>
      <c r="D113" t="s">
        <v>362</v>
      </c>
      <c r="E113" t="s">
        <v>363</v>
      </c>
      <c r="F113" t="s">
        <v>331</v>
      </c>
      <c r="G113" t="s">
        <v>500</v>
      </c>
      <c r="H113">
        <v>4740</v>
      </c>
      <c r="I113">
        <v>0</v>
      </c>
    </row>
    <row r="114" spans="2:10" x14ac:dyDescent="0.35">
      <c r="B114" t="s">
        <v>339</v>
      </c>
      <c r="C114" t="s">
        <v>501</v>
      </c>
      <c r="D114" t="s">
        <v>362</v>
      </c>
      <c r="E114" t="s">
        <v>363</v>
      </c>
      <c r="F114" t="s">
        <v>331</v>
      </c>
      <c r="G114" t="s">
        <v>502</v>
      </c>
      <c r="H114">
        <v>4740</v>
      </c>
      <c r="I114">
        <v>0</v>
      </c>
    </row>
    <row r="115" spans="2:10" x14ac:dyDescent="0.35">
      <c r="B115" t="s">
        <v>339</v>
      </c>
      <c r="C115" t="s">
        <v>503</v>
      </c>
      <c r="D115" t="s">
        <v>362</v>
      </c>
      <c r="E115" t="s">
        <v>363</v>
      </c>
      <c r="F115" t="s">
        <v>331</v>
      </c>
      <c r="G115" t="s">
        <v>504</v>
      </c>
      <c r="H115">
        <v>4740</v>
      </c>
      <c r="I115">
        <v>4740</v>
      </c>
      <c r="J115" t="s">
        <v>489</v>
      </c>
    </row>
    <row r="116" spans="2:10" x14ac:dyDescent="0.35">
      <c r="B116" t="s">
        <v>339</v>
      </c>
      <c r="C116" t="s">
        <v>584</v>
      </c>
      <c r="D116" t="s">
        <v>362</v>
      </c>
      <c r="E116" t="s">
        <v>363</v>
      </c>
      <c r="F116" t="s">
        <v>585</v>
      </c>
      <c r="G116" t="s">
        <v>586</v>
      </c>
      <c r="H116">
        <v>14293</v>
      </c>
      <c r="I116">
        <v>69</v>
      </c>
      <c r="J116" t="s">
        <v>953</v>
      </c>
    </row>
    <row r="117" spans="2:10" x14ac:dyDescent="0.35">
      <c r="B117" t="s">
        <v>339</v>
      </c>
      <c r="C117" t="s">
        <v>587</v>
      </c>
      <c r="D117" t="s">
        <v>362</v>
      </c>
      <c r="E117" t="s">
        <v>363</v>
      </c>
      <c r="F117" t="s">
        <v>585</v>
      </c>
      <c r="G117" t="s">
        <v>588</v>
      </c>
      <c r="H117">
        <v>14293</v>
      </c>
      <c r="I117">
        <v>0</v>
      </c>
    </row>
    <row r="118" spans="2:10" x14ac:dyDescent="0.35">
      <c r="B118" t="s">
        <v>339</v>
      </c>
      <c r="C118" t="s">
        <v>589</v>
      </c>
      <c r="D118" t="s">
        <v>362</v>
      </c>
      <c r="E118" t="s">
        <v>363</v>
      </c>
      <c r="F118" t="s">
        <v>585</v>
      </c>
      <c r="G118" t="s">
        <v>590</v>
      </c>
      <c r="H118">
        <v>14293</v>
      </c>
      <c r="I118">
        <v>0</v>
      </c>
    </row>
    <row r="119" spans="2:10" x14ac:dyDescent="0.35">
      <c r="B119" t="s">
        <v>339</v>
      </c>
      <c r="C119" t="s">
        <v>591</v>
      </c>
      <c r="D119" t="s">
        <v>362</v>
      </c>
      <c r="E119" t="s">
        <v>363</v>
      </c>
      <c r="F119" t="s">
        <v>585</v>
      </c>
      <c r="G119" t="s">
        <v>592</v>
      </c>
      <c r="H119">
        <v>14293</v>
      </c>
      <c r="I119">
        <v>0</v>
      </c>
    </row>
    <row r="120" spans="2:10" x14ac:dyDescent="0.35">
      <c r="B120" t="s">
        <v>339</v>
      </c>
      <c r="C120" t="s">
        <v>505</v>
      </c>
      <c r="D120" t="s">
        <v>362</v>
      </c>
      <c r="E120" t="s">
        <v>363</v>
      </c>
      <c r="F120" t="s">
        <v>506</v>
      </c>
      <c r="G120" t="s">
        <v>507</v>
      </c>
      <c r="H120">
        <v>4742</v>
      </c>
      <c r="I120">
        <v>0</v>
      </c>
    </row>
    <row r="121" spans="2:10" x14ac:dyDescent="0.35">
      <c r="B121" t="s">
        <v>339</v>
      </c>
      <c r="C121" t="s">
        <v>508</v>
      </c>
      <c r="D121" t="s">
        <v>362</v>
      </c>
      <c r="E121" t="s">
        <v>363</v>
      </c>
      <c r="F121" t="s">
        <v>506</v>
      </c>
      <c r="G121" t="s">
        <v>509</v>
      </c>
      <c r="H121">
        <v>4742</v>
      </c>
      <c r="I121">
        <v>0</v>
      </c>
    </row>
    <row r="122" spans="2:10" x14ac:dyDescent="0.35">
      <c r="B122" t="s">
        <v>339</v>
      </c>
      <c r="C122" t="s">
        <v>510</v>
      </c>
      <c r="D122" t="s">
        <v>362</v>
      </c>
      <c r="E122" t="s">
        <v>363</v>
      </c>
      <c r="F122" t="s">
        <v>506</v>
      </c>
      <c r="G122" t="s">
        <v>511</v>
      </c>
      <c r="H122">
        <v>4742</v>
      </c>
      <c r="I122">
        <v>0</v>
      </c>
    </row>
    <row r="123" spans="2:10" x14ac:dyDescent="0.35">
      <c r="B123" t="s">
        <v>339</v>
      </c>
      <c r="C123" t="s">
        <v>512</v>
      </c>
      <c r="D123" t="s">
        <v>362</v>
      </c>
      <c r="E123" t="s">
        <v>363</v>
      </c>
      <c r="F123" t="s">
        <v>506</v>
      </c>
      <c r="G123" t="s">
        <v>513</v>
      </c>
      <c r="H123">
        <v>4742</v>
      </c>
      <c r="I123">
        <v>0</v>
      </c>
    </row>
    <row r="124" spans="2:10" x14ac:dyDescent="0.35">
      <c r="B124" t="s">
        <v>339</v>
      </c>
      <c r="C124" t="s">
        <v>514</v>
      </c>
      <c r="D124" t="s">
        <v>362</v>
      </c>
      <c r="E124" t="s">
        <v>363</v>
      </c>
      <c r="F124" t="s">
        <v>506</v>
      </c>
      <c r="G124" t="s">
        <v>515</v>
      </c>
      <c r="H124">
        <v>4742</v>
      </c>
      <c r="I124">
        <v>0</v>
      </c>
    </row>
    <row r="125" spans="2:10" x14ac:dyDescent="0.35">
      <c r="B125" t="s">
        <v>339</v>
      </c>
      <c r="C125" t="s">
        <v>516</v>
      </c>
      <c r="D125" t="s">
        <v>362</v>
      </c>
      <c r="E125" t="s">
        <v>363</v>
      </c>
      <c r="F125" t="s">
        <v>506</v>
      </c>
      <c r="G125" t="s">
        <v>517</v>
      </c>
      <c r="H125">
        <v>4742</v>
      </c>
      <c r="I125">
        <v>0</v>
      </c>
    </row>
    <row r="126" spans="2:10" x14ac:dyDescent="0.35">
      <c r="B126" t="s">
        <v>339</v>
      </c>
      <c r="C126" t="s">
        <v>518</v>
      </c>
      <c r="D126" t="s">
        <v>362</v>
      </c>
      <c r="E126" t="s">
        <v>363</v>
      </c>
      <c r="F126" t="s">
        <v>506</v>
      </c>
      <c r="G126" t="s">
        <v>519</v>
      </c>
      <c r="H126">
        <v>4742</v>
      </c>
      <c r="I126">
        <v>0</v>
      </c>
    </row>
    <row r="127" spans="2:10" x14ac:dyDescent="0.35">
      <c r="B127" t="s">
        <v>339</v>
      </c>
      <c r="C127" t="s">
        <v>520</v>
      </c>
      <c r="D127" t="s">
        <v>362</v>
      </c>
      <c r="E127" t="s">
        <v>363</v>
      </c>
      <c r="F127" t="s">
        <v>506</v>
      </c>
      <c r="G127" t="s">
        <v>521</v>
      </c>
      <c r="H127">
        <v>4742</v>
      </c>
      <c r="I127">
        <v>4734</v>
      </c>
      <c r="J127" t="s">
        <v>954</v>
      </c>
    </row>
    <row r="128" spans="2:10" x14ac:dyDescent="0.35">
      <c r="B128" t="s">
        <v>339</v>
      </c>
      <c r="C128" t="s">
        <v>522</v>
      </c>
      <c r="D128" t="s">
        <v>362</v>
      </c>
      <c r="E128" t="s">
        <v>363</v>
      </c>
      <c r="F128" t="s">
        <v>506</v>
      </c>
      <c r="G128" t="s">
        <v>523</v>
      </c>
      <c r="H128">
        <v>4742</v>
      </c>
      <c r="I128">
        <v>0</v>
      </c>
    </row>
    <row r="129" spans="2:10" x14ac:dyDescent="0.35">
      <c r="B129" t="s">
        <v>339</v>
      </c>
      <c r="C129" t="s">
        <v>524</v>
      </c>
      <c r="D129" t="s">
        <v>362</v>
      </c>
      <c r="E129" t="s">
        <v>363</v>
      </c>
      <c r="F129" t="s">
        <v>506</v>
      </c>
      <c r="G129" t="s">
        <v>525</v>
      </c>
      <c r="H129">
        <v>4742</v>
      </c>
      <c r="I129">
        <v>23</v>
      </c>
      <c r="J129" t="s">
        <v>955</v>
      </c>
    </row>
    <row r="130" spans="2:10" x14ac:dyDescent="0.35">
      <c r="B130" t="s">
        <v>339</v>
      </c>
      <c r="C130" t="s">
        <v>526</v>
      </c>
      <c r="D130" t="s">
        <v>362</v>
      </c>
      <c r="E130" t="s">
        <v>363</v>
      </c>
      <c r="F130" t="s">
        <v>506</v>
      </c>
      <c r="G130" t="s">
        <v>527</v>
      </c>
      <c r="H130">
        <v>4742</v>
      </c>
      <c r="I130">
        <v>0</v>
      </c>
    </row>
    <row r="131" spans="2:10" x14ac:dyDescent="0.35">
      <c r="B131" t="s">
        <v>339</v>
      </c>
      <c r="C131" t="s">
        <v>550</v>
      </c>
      <c r="D131" t="s">
        <v>362</v>
      </c>
      <c r="E131" t="s">
        <v>363</v>
      </c>
      <c r="F131" t="s">
        <v>506</v>
      </c>
      <c r="G131" t="s">
        <v>551</v>
      </c>
      <c r="H131">
        <v>4742</v>
      </c>
      <c r="I131">
        <v>4734</v>
      </c>
      <c r="J131" t="s">
        <v>956</v>
      </c>
    </row>
    <row r="132" spans="2:10" x14ac:dyDescent="0.35">
      <c r="B132" t="s">
        <v>339</v>
      </c>
      <c r="C132" t="s">
        <v>546</v>
      </c>
      <c r="D132" t="s">
        <v>362</v>
      </c>
      <c r="E132" t="s">
        <v>363</v>
      </c>
      <c r="F132" t="s">
        <v>506</v>
      </c>
      <c r="G132" t="s">
        <v>547</v>
      </c>
      <c r="H132">
        <v>4742</v>
      </c>
      <c r="I132">
        <v>0</v>
      </c>
    </row>
    <row r="133" spans="2:10" x14ac:dyDescent="0.35">
      <c r="B133" t="s">
        <v>339</v>
      </c>
      <c r="C133" t="s">
        <v>528</v>
      </c>
      <c r="D133" t="s">
        <v>362</v>
      </c>
      <c r="E133" t="s">
        <v>363</v>
      </c>
      <c r="F133" t="s">
        <v>506</v>
      </c>
      <c r="G133" t="s">
        <v>529</v>
      </c>
      <c r="H133">
        <v>4742</v>
      </c>
      <c r="I133">
        <v>0</v>
      </c>
    </row>
    <row r="134" spans="2:10" x14ac:dyDescent="0.35">
      <c r="B134" t="s">
        <v>339</v>
      </c>
      <c r="C134" t="s">
        <v>530</v>
      </c>
      <c r="D134" t="s">
        <v>362</v>
      </c>
      <c r="E134" t="s">
        <v>363</v>
      </c>
      <c r="F134" t="s">
        <v>506</v>
      </c>
      <c r="G134" t="s">
        <v>531</v>
      </c>
      <c r="H134">
        <v>4742</v>
      </c>
      <c r="I134">
        <v>0</v>
      </c>
    </row>
    <row r="135" spans="2:10" x14ac:dyDescent="0.35">
      <c r="B135" t="s">
        <v>339</v>
      </c>
      <c r="C135" t="s">
        <v>532</v>
      </c>
      <c r="D135" t="s">
        <v>362</v>
      </c>
      <c r="E135" t="s">
        <v>363</v>
      </c>
      <c r="F135" t="s">
        <v>506</v>
      </c>
      <c r="G135" t="s">
        <v>533</v>
      </c>
      <c r="H135">
        <v>4742</v>
      </c>
      <c r="I135">
        <v>0</v>
      </c>
    </row>
    <row r="136" spans="2:10" x14ac:dyDescent="0.35">
      <c r="B136" t="s">
        <v>339</v>
      </c>
      <c r="C136" t="s">
        <v>534</v>
      </c>
      <c r="D136" t="s">
        <v>362</v>
      </c>
      <c r="E136" t="s">
        <v>363</v>
      </c>
      <c r="F136" t="s">
        <v>506</v>
      </c>
      <c r="G136" t="s">
        <v>535</v>
      </c>
      <c r="H136">
        <v>4742</v>
      </c>
      <c r="I136">
        <v>0</v>
      </c>
    </row>
    <row r="137" spans="2:10" x14ac:dyDescent="0.35">
      <c r="B137" t="s">
        <v>339</v>
      </c>
      <c r="C137" t="s">
        <v>536</v>
      </c>
      <c r="D137" t="s">
        <v>362</v>
      </c>
      <c r="E137" t="s">
        <v>363</v>
      </c>
      <c r="F137" t="s">
        <v>506</v>
      </c>
      <c r="G137" t="s">
        <v>537</v>
      </c>
      <c r="H137">
        <v>4742</v>
      </c>
      <c r="I137">
        <v>0</v>
      </c>
    </row>
    <row r="138" spans="2:10" x14ac:dyDescent="0.35">
      <c r="B138" t="s">
        <v>339</v>
      </c>
      <c r="C138" t="s">
        <v>538</v>
      </c>
      <c r="D138" t="s">
        <v>362</v>
      </c>
      <c r="E138" t="s">
        <v>363</v>
      </c>
      <c r="F138" t="s">
        <v>506</v>
      </c>
      <c r="G138" t="s">
        <v>539</v>
      </c>
      <c r="H138">
        <v>4742</v>
      </c>
      <c r="I138">
        <v>0</v>
      </c>
    </row>
    <row r="139" spans="2:10" x14ac:dyDescent="0.35">
      <c r="B139" t="s">
        <v>339</v>
      </c>
      <c r="C139" t="s">
        <v>540</v>
      </c>
      <c r="D139" t="s">
        <v>362</v>
      </c>
      <c r="E139" t="s">
        <v>363</v>
      </c>
      <c r="F139" t="s">
        <v>506</v>
      </c>
      <c r="G139" t="s">
        <v>541</v>
      </c>
      <c r="H139">
        <v>4742</v>
      </c>
      <c r="I139">
        <v>0</v>
      </c>
    </row>
    <row r="140" spans="2:10" x14ac:dyDescent="0.35">
      <c r="B140" t="s">
        <v>339</v>
      </c>
      <c r="C140" t="s">
        <v>542</v>
      </c>
      <c r="D140" t="s">
        <v>362</v>
      </c>
      <c r="E140" t="s">
        <v>363</v>
      </c>
      <c r="F140" t="s">
        <v>506</v>
      </c>
      <c r="G140" t="s">
        <v>543</v>
      </c>
      <c r="H140">
        <v>4742</v>
      </c>
      <c r="I140">
        <v>0</v>
      </c>
    </row>
    <row r="141" spans="2:10" x14ac:dyDescent="0.35">
      <c r="B141" t="s">
        <v>339</v>
      </c>
      <c r="C141" t="s">
        <v>544</v>
      </c>
      <c r="D141" t="s">
        <v>362</v>
      </c>
      <c r="E141" t="s">
        <v>363</v>
      </c>
      <c r="F141" t="s">
        <v>506</v>
      </c>
      <c r="G141" t="s">
        <v>545</v>
      </c>
      <c r="H141">
        <v>4742</v>
      </c>
      <c r="I141">
        <v>0</v>
      </c>
    </row>
    <row r="142" spans="2:10" x14ac:dyDescent="0.35">
      <c r="B142" t="s">
        <v>339</v>
      </c>
      <c r="C142" t="s">
        <v>548</v>
      </c>
      <c r="D142" t="s">
        <v>362</v>
      </c>
      <c r="E142" t="s">
        <v>363</v>
      </c>
      <c r="F142" t="s">
        <v>506</v>
      </c>
      <c r="G142" t="s">
        <v>549</v>
      </c>
      <c r="H142">
        <v>4742</v>
      </c>
      <c r="I142">
        <v>0</v>
      </c>
    </row>
    <row r="143" spans="2:10" x14ac:dyDescent="0.35">
      <c r="B143" t="s">
        <v>339</v>
      </c>
      <c r="C143" t="s">
        <v>552</v>
      </c>
      <c r="D143" t="s">
        <v>362</v>
      </c>
      <c r="E143" t="s">
        <v>363</v>
      </c>
      <c r="F143" t="s">
        <v>553</v>
      </c>
      <c r="G143" t="s">
        <v>554</v>
      </c>
      <c r="H143">
        <v>37</v>
      </c>
      <c r="I143">
        <v>0</v>
      </c>
    </row>
    <row r="144" spans="2:10" x14ac:dyDescent="0.35">
      <c r="B144" t="s">
        <v>339</v>
      </c>
      <c r="C144" t="s">
        <v>555</v>
      </c>
      <c r="D144" t="s">
        <v>362</v>
      </c>
      <c r="E144" t="s">
        <v>363</v>
      </c>
      <c r="F144" t="s">
        <v>553</v>
      </c>
      <c r="G144" t="s">
        <v>556</v>
      </c>
      <c r="H144">
        <v>37</v>
      </c>
      <c r="I144">
        <v>1</v>
      </c>
      <c r="J144" t="s">
        <v>557</v>
      </c>
    </row>
    <row r="145" spans="2:10" x14ac:dyDescent="0.35">
      <c r="B145" t="s">
        <v>339</v>
      </c>
      <c r="C145" t="s">
        <v>558</v>
      </c>
      <c r="D145" t="s">
        <v>362</v>
      </c>
      <c r="E145" t="s">
        <v>363</v>
      </c>
      <c r="F145" t="s">
        <v>553</v>
      </c>
      <c r="G145" t="s">
        <v>559</v>
      </c>
      <c r="H145">
        <v>37</v>
      </c>
      <c r="I145">
        <v>1</v>
      </c>
      <c r="J145" t="s">
        <v>557</v>
      </c>
    </row>
    <row r="146" spans="2:10" x14ac:dyDescent="0.35">
      <c r="B146" t="s">
        <v>339</v>
      </c>
      <c r="C146" t="s">
        <v>560</v>
      </c>
      <c r="D146" t="s">
        <v>362</v>
      </c>
      <c r="E146" t="s">
        <v>363</v>
      </c>
      <c r="F146" t="s">
        <v>553</v>
      </c>
      <c r="G146" t="s">
        <v>561</v>
      </c>
      <c r="H146">
        <v>37</v>
      </c>
      <c r="I146">
        <v>0</v>
      </c>
    </row>
    <row r="147" spans="2:10" x14ac:dyDescent="0.35">
      <c r="B147" t="s">
        <v>339</v>
      </c>
      <c r="C147" t="s">
        <v>562</v>
      </c>
      <c r="D147" t="s">
        <v>362</v>
      </c>
      <c r="E147" t="s">
        <v>363</v>
      </c>
      <c r="F147" t="s">
        <v>553</v>
      </c>
      <c r="G147" t="s">
        <v>563</v>
      </c>
      <c r="H147">
        <v>37</v>
      </c>
      <c r="I147">
        <v>0</v>
      </c>
    </row>
    <row r="148" spans="2:10" x14ac:dyDescent="0.35">
      <c r="B148" t="s">
        <v>339</v>
      </c>
      <c r="C148" t="s">
        <v>564</v>
      </c>
      <c r="D148" t="s">
        <v>362</v>
      </c>
      <c r="E148" t="s">
        <v>363</v>
      </c>
      <c r="F148" t="s">
        <v>553</v>
      </c>
      <c r="G148" t="s">
        <v>565</v>
      </c>
      <c r="H148">
        <v>37</v>
      </c>
      <c r="I148">
        <v>0</v>
      </c>
    </row>
    <row r="149" spans="2:10" x14ac:dyDescent="0.35">
      <c r="B149" t="s">
        <v>339</v>
      </c>
      <c r="C149" t="s">
        <v>566</v>
      </c>
      <c r="D149" t="s">
        <v>362</v>
      </c>
      <c r="E149" t="s">
        <v>363</v>
      </c>
      <c r="F149" t="s">
        <v>553</v>
      </c>
      <c r="G149" t="s">
        <v>567</v>
      </c>
      <c r="H149">
        <v>37</v>
      </c>
      <c r="I149">
        <v>1</v>
      </c>
      <c r="J149" t="s">
        <v>557</v>
      </c>
    </row>
    <row r="150" spans="2:10" x14ac:dyDescent="0.35">
      <c r="B150" t="s">
        <v>339</v>
      </c>
      <c r="C150" t="s">
        <v>568</v>
      </c>
      <c r="D150" t="s">
        <v>362</v>
      </c>
      <c r="E150" t="s">
        <v>363</v>
      </c>
      <c r="F150" t="s">
        <v>569</v>
      </c>
      <c r="G150" t="s">
        <v>570</v>
      </c>
      <c r="H150">
        <v>6</v>
      </c>
      <c r="I150">
        <v>0</v>
      </c>
    </row>
    <row r="151" spans="2:10" x14ac:dyDescent="0.35">
      <c r="B151" t="s">
        <v>339</v>
      </c>
      <c r="C151" t="s">
        <v>571</v>
      </c>
      <c r="D151" t="s">
        <v>362</v>
      </c>
      <c r="E151" t="s">
        <v>363</v>
      </c>
      <c r="F151" t="s">
        <v>569</v>
      </c>
      <c r="G151" t="s">
        <v>572</v>
      </c>
      <c r="H151">
        <v>6</v>
      </c>
      <c r="I151">
        <v>0</v>
      </c>
    </row>
    <row r="152" spans="2:10" x14ac:dyDescent="0.35">
      <c r="B152" t="s">
        <v>339</v>
      </c>
      <c r="C152" t="s">
        <v>573</v>
      </c>
      <c r="D152" t="s">
        <v>362</v>
      </c>
      <c r="E152" t="s">
        <v>363</v>
      </c>
      <c r="F152" t="s">
        <v>569</v>
      </c>
      <c r="G152" t="s">
        <v>574</v>
      </c>
      <c r="H152">
        <v>6</v>
      </c>
      <c r="I152">
        <v>0</v>
      </c>
    </row>
    <row r="153" spans="2:10" x14ac:dyDescent="0.35">
      <c r="B153" t="s">
        <v>339</v>
      </c>
      <c r="C153" t="s">
        <v>575</v>
      </c>
      <c r="D153" t="s">
        <v>362</v>
      </c>
      <c r="E153" t="s">
        <v>363</v>
      </c>
      <c r="F153" t="s">
        <v>576</v>
      </c>
      <c r="G153" t="s">
        <v>563</v>
      </c>
      <c r="H153">
        <v>4744</v>
      </c>
      <c r="I153">
        <v>0</v>
      </c>
    </row>
    <row r="154" spans="2:10" x14ac:dyDescent="0.35">
      <c r="B154" t="s">
        <v>339</v>
      </c>
      <c r="C154" t="s">
        <v>577</v>
      </c>
      <c r="D154" t="s">
        <v>362</v>
      </c>
      <c r="E154" t="s">
        <v>363</v>
      </c>
      <c r="F154" t="s">
        <v>576</v>
      </c>
      <c r="G154" t="s">
        <v>507</v>
      </c>
      <c r="H154">
        <v>4744</v>
      </c>
      <c r="I154">
        <v>0</v>
      </c>
    </row>
    <row r="155" spans="2:10" x14ac:dyDescent="0.35">
      <c r="B155" t="s">
        <v>339</v>
      </c>
      <c r="C155" t="s">
        <v>578</v>
      </c>
      <c r="D155" t="s">
        <v>362</v>
      </c>
      <c r="E155" t="s">
        <v>363</v>
      </c>
      <c r="F155" t="s">
        <v>576</v>
      </c>
      <c r="G155" t="s">
        <v>517</v>
      </c>
      <c r="H155">
        <v>4744</v>
      </c>
      <c r="I155">
        <v>0</v>
      </c>
    </row>
    <row r="156" spans="2:10" x14ac:dyDescent="0.35">
      <c r="B156" t="s">
        <v>339</v>
      </c>
      <c r="C156" t="s">
        <v>579</v>
      </c>
      <c r="D156" t="s">
        <v>362</v>
      </c>
      <c r="E156" t="s">
        <v>363</v>
      </c>
      <c r="F156" t="s">
        <v>580</v>
      </c>
      <c r="G156" t="s">
        <v>507</v>
      </c>
      <c r="H156">
        <v>9431</v>
      </c>
      <c r="I156">
        <v>0</v>
      </c>
    </row>
    <row r="157" spans="2:10" x14ac:dyDescent="0.35">
      <c r="B157" t="s">
        <v>339</v>
      </c>
      <c r="C157" t="s">
        <v>581</v>
      </c>
      <c r="D157" t="s">
        <v>362</v>
      </c>
      <c r="E157" t="s">
        <v>363</v>
      </c>
      <c r="F157" t="s">
        <v>580</v>
      </c>
      <c r="G157" t="s">
        <v>570</v>
      </c>
      <c r="H157">
        <v>9431</v>
      </c>
      <c r="I157">
        <v>0</v>
      </c>
    </row>
    <row r="158" spans="2:10" x14ac:dyDescent="0.35">
      <c r="B158" t="s">
        <v>339</v>
      </c>
      <c r="C158" t="s">
        <v>582</v>
      </c>
      <c r="D158" t="s">
        <v>362</v>
      </c>
      <c r="E158" t="s">
        <v>363</v>
      </c>
      <c r="F158" t="s">
        <v>580</v>
      </c>
      <c r="G158" t="s">
        <v>583</v>
      </c>
      <c r="H158">
        <v>9431</v>
      </c>
      <c r="I158">
        <v>0</v>
      </c>
    </row>
    <row r="159" spans="2:10" x14ac:dyDescent="0.35">
      <c r="B159" t="s">
        <v>339</v>
      </c>
      <c r="C159" t="s">
        <v>343</v>
      </c>
      <c r="D159" t="s">
        <v>322</v>
      </c>
      <c r="E159" t="s">
        <v>344</v>
      </c>
      <c r="F159" t="s">
        <v>37</v>
      </c>
      <c r="G159" t="s">
        <v>40</v>
      </c>
      <c r="H159">
        <v>8</v>
      </c>
      <c r="I159">
        <v>0</v>
      </c>
    </row>
    <row r="160" spans="2:10" x14ac:dyDescent="0.35">
      <c r="B160" t="s">
        <v>339</v>
      </c>
      <c r="C160" t="s">
        <v>593</v>
      </c>
      <c r="D160" t="s">
        <v>322</v>
      </c>
      <c r="E160" t="s">
        <v>344</v>
      </c>
      <c r="F160" t="s">
        <v>329</v>
      </c>
      <c r="G160" t="s">
        <v>330</v>
      </c>
      <c r="H160">
        <v>4730</v>
      </c>
      <c r="I160">
        <v>0</v>
      </c>
    </row>
    <row r="161" spans="2:9" x14ac:dyDescent="0.35">
      <c r="B161" t="s">
        <v>339</v>
      </c>
      <c r="C161" t="s">
        <v>594</v>
      </c>
      <c r="D161" t="s">
        <v>322</v>
      </c>
      <c r="E161" t="s">
        <v>344</v>
      </c>
      <c r="F161" t="s">
        <v>331</v>
      </c>
      <c r="G161" t="s">
        <v>337</v>
      </c>
      <c r="H161">
        <v>4740</v>
      </c>
      <c r="I161">
        <v>0</v>
      </c>
    </row>
    <row r="162" spans="2:9" x14ac:dyDescent="0.35">
      <c r="B162" t="s">
        <v>339</v>
      </c>
      <c r="C162" t="s">
        <v>595</v>
      </c>
      <c r="D162" t="s">
        <v>322</v>
      </c>
      <c r="E162" t="s">
        <v>344</v>
      </c>
      <c r="F162" t="s">
        <v>585</v>
      </c>
      <c r="G162" t="s">
        <v>596</v>
      </c>
      <c r="H162">
        <v>14293</v>
      </c>
      <c r="I162">
        <v>0</v>
      </c>
    </row>
    <row r="163" spans="2:9" x14ac:dyDescent="0.35">
      <c r="B163" t="s">
        <v>339</v>
      </c>
      <c r="C163" t="s">
        <v>597</v>
      </c>
      <c r="D163" t="s">
        <v>322</v>
      </c>
      <c r="E163" t="s">
        <v>344</v>
      </c>
      <c r="F163" t="s">
        <v>506</v>
      </c>
      <c r="G163" t="s">
        <v>507</v>
      </c>
      <c r="H163">
        <v>4742</v>
      </c>
      <c r="I163">
        <v>0</v>
      </c>
    </row>
    <row r="164" spans="2:9" x14ac:dyDescent="0.35">
      <c r="B164" t="s">
        <v>339</v>
      </c>
      <c r="C164" t="s">
        <v>598</v>
      </c>
      <c r="D164" t="s">
        <v>322</v>
      </c>
      <c r="E164" t="s">
        <v>344</v>
      </c>
      <c r="F164" t="s">
        <v>553</v>
      </c>
      <c r="G164" t="s">
        <v>563</v>
      </c>
      <c r="H164">
        <v>37</v>
      </c>
      <c r="I164">
        <v>0</v>
      </c>
    </row>
    <row r="165" spans="2:9" x14ac:dyDescent="0.35">
      <c r="B165" t="s">
        <v>339</v>
      </c>
      <c r="C165" t="s">
        <v>599</v>
      </c>
      <c r="D165" t="s">
        <v>322</v>
      </c>
      <c r="E165" t="s">
        <v>344</v>
      </c>
      <c r="F165" t="s">
        <v>569</v>
      </c>
      <c r="G165" t="s">
        <v>570</v>
      </c>
      <c r="H165">
        <v>6</v>
      </c>
      <c r="I165">
        <v>0</v>
      </c>
    </row>
    <row r="166" spans="2:9" x14ac:dyDescent="0.35">
      <c r="B166" t="s">
        <v>339</v>
      </c>
      <c r="C166" t="s">
        <v>600</v>
      </c>
      <c r="D166" t="s">
        <v>322</v>
      </c>
      <c r="E166" t="s">
        <v>344</v>
      </c>
      <c r="F166" t="s">
        <v>576</v>
      </c>
      <c r="G166" t="s">
        <v>601</v>
      </c>
      <c r="H166">
        <v>4744</v>
      </c>
      <c r="I166">
        <v>0</v>
      </c>
    </row>
    <row r="167" spans="2:9" x14ac:dyDescent="0.35">
      <c r="B167" t="s">
        <v>339</v>
      </c>
      <c r="C167" t="s">
        <v>602</v>
      </c>
      <c r="D167" t="s">
        <v>322</v>
      </c>
      <c r="E167" t="s">
        <v>344</v>
      </c>
      <c r="F167" t="s">
        <v>580</v>
      </c>
      <c r="G167" t="s">
        <v>603</v>
      </c>
      <c r="H167">
        <v>9431</v>
      </c>
      <c r="I167">
        <v>0</v>
      </c>
    </row>
  </sheetData>
  <phoneticPr fontId="2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D4C0-FF9A-4519-A705-9EDE90B1F333}">
  <dimension ref="A1:L194"/>
  <sheetViews>
    <sheetView showGridLines="0" zoomScale="80" zoomScaleNormal="80" workbookViewId="0">
      <selection activeCell="B6" sqref="B6"/>
    </sheetView>
  </sheetViews>
  <sheetFormatPr defaultRowHeight="14.5" x14ac:dyDescent="0.35"/>
  <cols>
    <col min="2" max="2" width="10.36328125" bestFit="1" customWidth="1"/>
    <col min="3" max="3" width="17.453125" bestFit="1" customWidth="1"/>
    <col min="4" max="4" width="16.1796875" bestFit="1" customWidth="1"/>
    <col min="5" max="5" width="80.81640625" bestFit="1" customWidth="1"/>
    <col min="6" max="6" width="45.36328125" bestFit="1" customWidth="1"/>
    <col min="7" max="7" width="34.36328125" bestFit="1" customWidth="1"/>
    <col min="8" max="8" width="10.6328125" bestFit="1" customWidth="1"/>
    <col min="9" max="9" width="13.81640625" bestFit="1" customWidth="1"/>
    <col min="10" max="10" width="80.81640625" bestFit="1" customWidth="1"/>
  </cols>
  <sheetData>
    <row r="1" spans="1:12" x14ac:dyDescent="0.35">
      <c r="A1" s="66"/>
      <c r="B1" s="66"/>
      <c r="C1" s="66"/>
      <c r="D1" s="66"/>
      <c r="E1" s="66"/>
      <c r="F1" s="66"/>
      <c r="G1" s="66"/>
      <c r="H1" s="66"/>
      <c r="I1" s="66"/>
      <c r="J1" s="66"/>
      <c r="K1" s="66"/>
    </row>
    <row r="2" spans="1:12" x14ac:dyDescent="0.35">
      <c r="A2" s="66"/>
      <c r="B2" s="66"/>
      <c r="C2" s="66"/>
      <c r="D2" s="66"/>
      <c r="E2" s="66"/>
      <c r="F2" s="66"/>
      <c r="G2" s="66"/>
      <c r="H2" s="66"/>
      <c r="I2" s="66"/>
      <c r="J2" s="66"/>
      <c r="K2" s="66"/>
      <c r="L2" s="100"/>
    </row>
    <row r="3" spans="1:12" x14ac:dyDescent="0.35">
      <c r="A3" s="66"/>
      <c r="B3" s="66"/>
      <c r="C3" s="66"/>
      <c r="D3" s="66"/>
      <c r="E3" s="66"/>
      <c r="F3" s="66"/>
      <c r="G3" s="66"/>
      <c r="H3" s="66"/>
      <c r="I3" s="66"/>
      <c r="J3" s="66"/>
      <c r="K3" s="66"/>
      <c r="L3" s="100"/>
    </row>
    <row r="4" spans="1:12" ht="3" customHeight="1" x14ac:dyDescent="0.35">
      <c r="A4" s="67"/>
      <c r="B4" s="67"/>
      <c r="C4" s="67"/>
      <c r="D4" s="67"/>
      <c r="E4" s="67"/>
      <c r="F4" s="67"/>
      <c r="G4" s="67"/>
      <c r="H4" s="67"/>
      <c r="I4" s="67"/>
      <c r="J4" s="67"/>
      <c r="K4" s="67"/>
    </row>
    <row r="5" spans="1:12" x14ac:dyDescent="0.35">
      <c r="A5" s="68"/>
      <c r="B5" s="68"/>
      <c r="C5" s="68"/>
      <c r="D5" s="68"/>
      <c r="E5" s="68"/>
      <c r="F5" s="68"/>
      <c r="G5" s="68"/>
      <c r="H5" s="68"/>
      <c r="I5" s="68"/>
      <c r="J5" s="68"/>
      <c r="K5" s="68"/>
    </row>
    <row r="6" spans="1:12" ht="15" thickBot="1" x14ac:dyDescent="0.4">
      <c r="A6" s="68"/>
      <c r="B6" s="69" t="s">
        <v>963</v>
      </c>
      <c r="C6" s="70"/>
      <c r="D6" s="70"/>
      <c r="E6" s="70"/>
      <c r="F6" s="70"/>
      <c r="G6" s="70"/>
      <c r="H6" s="70"/>
      <c r="I6" s="70"/>
      <c r="J6" s="70"/>
    </row>
    <row r="8" spans="1:12" x14ac:dyDescent="0.35">
      <c r="B8" s="105" t="s">
        <v>340</v>
      </c>
      <c r="C8" s="105" t="s">
        <v>341</v>
      </c>
      <c r="D8" s="105" t="s">
        <v>326</v>
      </c>
      <c r="E8" s="105" t="s">
        <v>342</v>
      </c>
      <c r="F8" s="105" t="s">
        <v>324</v>
      </c>
      <c r="G8" s="105" t="s">
        <v>325</v>
      </c>
      <c r="H8" s="105" t="s">
        <v>327</v>
      </c>
      <c r="I8" s="105" t="s">
        <v>328</v>
      </c>
      <c r="J8" s="105" t="s">
        <v>336</v>
      </c>
    </row>
    <row r="9" spans="1:12" x14ac:dyDescent="0.35">
      <c r="B9" t="s">
        <v>339</v>
      </c>
      <c r="C9" t="s">
        <v>604</v>
      </c>
      <c r="D9" t="s">
        <v>605</v>
      </c>
      <c r="E9" t="s">
        <v>623</v>
      </c>
      <c r="F9" t="s">
        <v>37</v>
      </c>
      <c r="G9" t="s">
        <v>606</v>
      </c>
      <c r="H9">
        <v>8</v>
      </c>
      <c r="I9">
        <v>0</v>
      </c>
    </row>
    <row r="10" spans="1:12" x14ac:dyDescent="0.35">
      <c r="B10" t="s">
        <v>339</v>
      </c>
      <c r="C10" t="s">
        <v>607</v>
      </c>
      <c r="D10" t="s">
        <v>605</v>
      </c>
      <c r="E10" t="s">
        <v>623</v>
      </c>
      <c r="F10" t="s">
        <v>37</v>
      </c>
      <c r="G10" t="s">
        <v>608</v>
      </c>
      <c r="H10">
        <v>8</v>
      </c>
      <c r="I10">
        <v>0</v>
      </c>
    </row>
    <row r="11" spans="1:12" x14ac:dyDescent="0.35">
      <c r="B11" t="s">
        <v>339</v>
      </c>
      <c r="C11" t="s">
        <v>609</v>
      </c>
      <c r="D11" t="s">
        <v>605</v>
      </c>
      <c r="E11" t="s">
        <v>623</v>
      </c>
      <c r="F11" t="s">
        <v>37</v>
      </c>
      <c r="G11" t="s">
        <v>610</v>
      </c>
      <c r="H11">
        <v>8</v>
      </c>
      <c r="I11">
        <v>0</v>
      </c>
    </row>
    <row r="12" spans="1:12" x14ac:dyDescent="0.35">
      <c r="B12" t="s">
        <v>339</v>
      </c>
      <c r="C12" t="s">
        <v>611</v>
      </c>
      <c r="D12" t="s">
        <v>605</v>
      </c>
      <c r="E12" t="s">
        <v>623</v>
      </c>
      <c r="F12" t="s">
        <v>37</v>
      </c>
      <c r="G12" t="s">
        <v>612</v>
      </c>
      <c r="H12">
        <v>8</v>
      </c>
      <c r="I12">
        <v>0</v>
      </c>
    </row>
    <row r="13" spans="1:12" x14ac:dyDescent="0.35">
      <c r="B13" t="s">
        <v>339</v>
      </c>
      <c r="C13" t="s">
        <v>613</v>
      </c>
      <c r="D13" t="s">
        <v>605</v>
      </c>
      <c r="E13" t="s">
        <v>624</v>
      </c>
      <c r="F13" t="s">
        <v>37</v>
      </c>
      <c r="G13" t="s">
        <v>614</v>
      </c>
      <c r="H13">
        <v>8</v>
      </c>
      <c r="I13">
        <v>0</v>
      </c>
    </row>
    <row r="14" spans="1:12" x14ac:dyDescent="0.35">
      <c r="B14" t="s">
        <v>339</v>
      </c>
      <c r="C14" t="s">
        <v>615</v>
      </c>
      <c r="D14" t="s">
        <v>605</v>
      </c>
      <c r="E14" t="s">
        <v>625</v>
      </c>
      <c r="F14" t="s">
        <v>37</v>
      </c>
      <c r="G14" t="s">
        <v>614</v>
      </c>
      <c r="H14">
        <v>8</v>
      </c>
      <c r="I14">
        <v>0</v>
      </c>
    </row>
    <row r="15" spans="1:12" x14ac:dyDescent="0.35">
      <c r="B15" t="s">
        <v>339</v>
      </c>
      <c r="C15" t="s">
        <v>616</v>
      </c>
      <c r="D15" t="s">
        <v>605</v>
      </c>
      <c r="E15" t="s">
        <v>626</v>
      </c>
      <c r="F15" t="s">
        <v>37</v>
      </c>
      <c r="G15" t="s">
        <v>617</v>
      </c>
      <c r="H15">
        <v>8</v>
      </c>
      <c r="I15">
        <v>8</v>
      </c>
      <c r="J15" t="s">
        <v>453</v>
      </c>
    </row>
    <row r="16" spans="1:12" x14ac:dyDescent="0.35">
      <c r="B16" t="s">
        <v>339</v>
      </c>
      <c r="C16" t="s">
        <v>618</v>
      </c>
      <c r="D16" t="s">
        <v>605</v>
      </c>
      <c r="E16" t="s">
        <v>627</v>
      </c>
      <c r="F16" t="s">
        <v>37</v>
      </c>
      <c r="G16" t="s">
        <v>619</v>
      </c>
      <c r="H16">
        <v>8</v>
      </c>
      <c r="I16">
        <v>0</v>
      </c>
    </row>
    <row r="17" spans="2:10" x14ac:dyDescent="0.35">
      <c r="B17" t="s">
        <v>339</v>
      </c>
      <c r="C17" t="s">
        <v>620</v>
      </c>
      <c r="D17" t="s">
        <v>605</v>
      </c>
      <c r="E17" t="s">
        <v>625</v>
      </c>
      <c r="F17" t="s">
        <v>37</v>
      </c>
      <c r="G17" t="s">
        <v>619</v>
      </c>
      <c r="H17">
        <v>8</v>
      </c>
      <c r="I17">
        <v>0</v>
      </c>
    </row>
    <row r="18" spans="2:10" x14ac:dyDescent="0.35">
      <c r="B18" t="s">
        <v>339</v>
      </c>
      <c r="C18" t="s">
        <v>621</v>
      </c>
      <c r="D18" t="s">
        <v>605</v>
      </c>
      <c r="E18" t="s">
        <v>628</v>
      </c>
      <c r="F18" t="s">
        <v>37</v>
      </c>
      <c r="G18" t="s">
        <v>622</v>
      </c>
      <c r="H18">
        <v>8</v>
      </c>
      <c r="I18">
        <v>0</v>
      </c>
    </row>
    <row r="19" spans="2:10" x14ac:dyDescent="0.35">
      <c r="B19" t="s">
        <v>339</v>
      </c>
      <c r="C19" t="s">
        <v>629</v>
      </c>
      <c r="D19" t="s">
        <v>605</v>
      </c>
      <c r="E19" t="s">
        <v>625</v>
      </c>
      <c r="F19" t="s">
        <v>37</v>
      </c>
      <c r="G19" t="s">
        <v>622</v>
      </c>
      <c r="H19">
        <v>8</v>
      </c>
      <c r="I19">
        <v>8</v>
      </c>
      <c r="J19" t="s">
        <v>453</v>
      </c>
    </row>
    <row r="20" spans="2:10" x14ac:dyDescent="0.35">
      <c r="B20" t="s">
        <v>339</v>
      </c>
      <c r="C20" t="s">
        <v>630</v>
      </c>
      <c r="D20" t="s">
        <v>605</v>
      </c>
      <c r="E20" t="s">
        <v>623</v>
      </c>
      <c r="F20" t="s">
        <v>37</v>
      </c>
      <c r="G20" t="s">
        <v>631</v>
      </c>
      <c r="H20">
        <v>8</v>
      </c>
      <c r="I20">
        <v>8</v>
      </c>
      <c r="J20" t="s">
        <v>453</v>
      </c>
    </row>
    <row r="21" spans="2:10" x14ac:dyDescent="0.35">
      <c r="B21" t="s">
        <v>339</v>
      </c>
      <c r="C21" t="s">
        <v>632</v>
      </c>
      <c r="D21" t="s">
        <v>605</v>
      </c>
      <c r="E21" t="s">
        <v>623</v>
      </c>
      <c r="F21" t="s">
        <v>37</v>
      </c>
      <c r="G21" t="s">
        <v>633</v>
      </c>
      <c r="H21">
        <v>8</v>
      </c>
      <c r="I21">
        <v>0</v>
      </c>
    </row>
    <row r="22" spans="2:10" x14ac:dyDescent="0.35">
      <c r="B22" t="s">
        <v>339</v>
      </c>
      <c r="C22" t="s">
        <v>634</v>
      </c>
      <c r="D22" t="s">
        <v>605</v>
      </c>
      <c r="E22" t="s">
        <v>635</v>
      </c>
      <c r="F22" t="s">
        <v>37</v>
      </c>
      <c r="G22" t="s">
        <v>636</v>
      </c>
      <c r="H22">
        <v>8</v>
      </c>
      <c r="I22">
        <v>0</v>
      </c>
    </row>
    <row r="23" spans="2:10" x14ac:dyDescent="0.35">
      <c r="B23" t="s">
        <v>339</v>
      </c>
      <c r="C23" t="s">
        <v>637</v>
      </c>
      <c r="D23" t="s">
        <v>605</v>
      </c>
      <c r="E23" t="s">
        <v>623</v>
      </c>
      <c r="F23" t="s">
        <v>37</v>
      </c>
      <c r="G23" t="s">
        <v>638</v>
      </c>
      <c r="H23">
        <v>8</v>
      </c>
      <c r="I23">
        <v>0</v>
      </c>
    </row>
    <row r="24" spans="2:10" x14ac:dyDescent="0.35">
      <c r="B24" t="s">
        <v>339</v>
      </c>
      <c r="C24" t="s">
        <v>639</v>
      </c>
      <c r="D24" t="s">
        <v>605</v>
      </c>
      <c r="E24" t="s">
        <v>623</v>
      </c>
      <c r="F24" t="s">
        <v>37</v>
      </c>
      <c r="G24" t="s">
        <v>640</v>
      </c>
      <c r="H24">
        <v>8</v>
      </c>
      <c r="I24">
        <v>0</v>
      </c>
    </row>
    <row r="25" spans="2:10" x14ac:dyDescent="0.35">
      <c r="B25" t="s">
        <v>339</v>
      </c>
      <c r="C25" t="s">
        <v>641</v>
      </c>
      <c r="D25" t="s">
        <v>605</v>
      </c>
      <c r="E25" t="s">
        <v>627</v>
      </c>
      <c r="F25" t="s">
        <v>37</v>
      </c>
      <c r="G25" t="s">
        <v>642</v>
      </c>
      <c r="H25">
        <v>8</v>
      </c>
      <c r="I25">
        <v>0</v>
      </c>
    </row>
    <row r="26" spans="2:10" x14ac:dyDescent="0.35">
      <c r="B26" t="s">
        <v>339</v>
      </c>
      <c r="C26" t="s">
        <v>643</v>
      </c>
      <c r="D26" t="s">
        <v>605</v>
      </c>
      <c r="E26" t="s">
        <v>644</v>
      </c>
      <c r="F26" t="s">
        <v>37</v>
      </c>
      <c r="G26" t="s">
        <v>642</v>
      </c>
      <c r="H26">
        <v>8</v>
      </c>
      <c r="I26">
        <v>0</v>
      </c>
    </row>
    <row r="27" spans="2:10" x14ac:dyDescent="0.35">
      <c r="B27" t="s">
        <v>339</v>
      </c>
      <c r="C27" t="s">
        <v>645</v>
      </c>
      <c r="D27" t="s">
        <v>605</v>
      </c>
      <c r="E27" t="s">
        <v>646</v>
      </c>
      <c r="F27" t="s">
        <v>37</v>
      </c>
      <c r="G27" t="s">
        <v>647</v>
      </c>
      <c r="H27">
        <v>8</v>
      </c>
      <c r="I27">
        <v>0</v>
      </c>
    </row>
    <row r="28" spans="2:10" x14ac:dyDescent="0.35">
      <c r="B28" t="s">
        <v>339</v>
      </c>
      <c r="C28" t="s">
        <v>648</v>
      </c>
      <c r="D28" t="s">
        <v>605</v>
      </c>
      <c r="E28" t="s">
        <v>649</v>
      </c>
      <c r="F28" t="s">
        <v>37</v>
      </c>
      <c r="G28" t="s">
        <v>650</v>
      </c>
      <c r="H28">
        <v>8</v>
      </c>
      <c r="I28">
        <v>0</v>
      </c>
    </row>
    <row r="29" spans="2:10" x14ac:dyDescent="0.35">
      <c r="B29" t="s">
        <v>339</v>
      </c>
      <c r="C29" t="s">
        <v>651</v>
      </c>
      <c r="D29" t="s">
        <v>605</v>
      </c>
      <c r="E29" t="s">
        <v>623</v>
      </c>
      <c r="F29" t="s">
        <v>37</v>
      </c>
      <c r="G29" t="s">
        <v>652</v>
      </c>
      <c r="H29">
        <v>8</v>
      </c>
      <c r="I29">
        <v>0</v>
      </c>
    </row>
    <row r="30" spans="2:10" x14ac:dyDescent="0.35">
      <c r="B30" t="s">
        <v>339</v>
      </c>
      <c r="C30" t="s">
        <v>653</v>
      </c>
      <c r="D30" t="s">
        <v>605</v>
      </c>
      <c r="E30" t="s">
        <v>623</v>
      </c>
      <c r="F30" t="s">
        <v>37</v>
      </c>
      <c r="G30" t="s">
        <v>654</v>
      </c>
      <c r="H30">
        <v>8</v>
      </c>
      <c r="I30">
        <v>0</v>
      </c>
    </row>
    <row r="31" spans="2:10" x14ac:dyDescent="0.35">
      <c r="B31" t="s">
        <v>339</v>
      </c>
      <c r="C31" t="s">
        <v>655</v>
      </c>
      <c r="D31" t="s">
        <v>605</v>
      </c>
      <c r="E31" t="s">
        <v>656</v>
      </c>
      <c r="F31" t="s">
        <v>37</v>
      </c>
      <c r="G31" t="s">
        <v>657</v>
      </c>
      <c r="H31">
        <v>8</v>
      </c>
      <c r="I31">
        <v>0</v>
      </c>
    </row>
    <row r="32" spans="2:10" x14ac:dyDescent="0.35">
      <c r="B32" t="s">
        <v>339</v>
      </c>
      <c r="C32" t="s">
        <v>658</v>
      </c>
      <c r="D32" t="s">
        <v>605</v>
      </c>
      <c r="E32" t="s">
        <v>659</v>
      </c>
      <c r="F32" t="s">
        <v>37</v>
      </c>
      <c r="G32" t="s">
        <v>660</v>
      </c>
      <c r="H32">
        <v>8</v>
      </c>
      <c r="I32">
        <v>0</v>
      </c>
    </row>
    <row r="33" spans="2:10" x14ac:dyDescent="0.35">
      <c r="B33" t="s">
        <v>339</v>
      </c>
      <c r="C33" t="s">
        <v>661</v>
      </c>
      <c r="D33" t="s">
        <v>605</v>
      </c>
      <c r="E33" t="s">
        <v>662</v>
      </c>
      <c r="F33" t="s">
        <v>37</v>
      </c>
      <c r="G33" t="s">
        <v>663</v>
      </c>
      <c r="H33">
        <v>8</v>
      </c>
      <c r="I33">
        <v>0</v>
      </c>
    </row>
    <row r="34" spans="2:10" x14ac:dyDescent="0.35">
      <c r="B34" t="s">
        <v>339</v>
      </c>
      <c r="C34" t="s">
        <v>664</v>
      </c>
      <c r="D34" t="s">
        <v>605</v>
      </c>
      <c r="E34" t="s">
        <v>623</v>
      </c>
      <c r="F34" t="s">
        <v>37</v>
      </c>
      <c r="G34" t="s">
        <v>665</v>
      </c>
      <c r="H34">
        <v>8</v>
      </c>
      <c r="I34">
        <v>0</v>
      </c>
    </row>
    <row r="35" spans="2:10" x14ac:dyDescent="0.35">
      <c r="B35" t="s">
        <v>339</v>
      </c>
      <c r="C35" t="s">
        <v>666</v>
      </c>
      <c r="D35" t="s">
        <v>605</v>
      </c>
      <c r="E35" t="s">
        <v>667</v>
      </c>
      <c r="F35" t="s">
        <v>37</v>
      </c>
      <c r="G35" t="s">
        <v>668</v>
      </c>
      <c r="H35">
        <v>8</v>
      </c>
      <c r="I35">
        <v>0</v>
      </c>
    </row>
    <row r="36" spans="2:10" x14ac:dyDescent="0.35">
      <c r="B36" t="s">
        <v>339</v>
      </c>
      <c r="C36" t="s">
        <v>669</v>
      </c>
      <c r="D36" t="s">
        <v>605</v>
      </c>
      <c r="E36" t="s">
        <v>670</v>
      </c>
      <c r="F36" t="s">
        <v>37</v>
      </c>
      <c r="G36" t="s">
        <v>671</v>
      </c>
      <c r="H36">
        <v>8</v>
      </c>
      <c r="I36">
        <v>0</v>
      </c>
    </row>
    <row r="37" spans="2:10" x14ac:dyDescent="0.35">
      <c r="B37" t="s">
        <v>339</v>
      </c>
      <c r="C37" t="s">
        <v>672</v>
      </c>
      <c r="D37" t="s">
        <v>605</v>
      </c>
      <c r="E37" t="s">
        <v>670</v>
      </c>
      <c r="F37" t="s">
        <v>37</v>
      </c>
      <c r="G37" t="s">
        <v>673</v>
      </c>
      <c r="H37">
        <v>8</v>
      </c>
      <c r="I37">
        <v>0</v>
      </c>
    </row>
    <row r="38" spans="2:10" x14ac:dyDescent="0.35">
      <c r="B38" t="s">
        <v>339</v>
      </c>
      <c r="C38" t="s">
        <v>674</v>
      </c>
      <c r="D38" t="s">
        <v>605</v>
      </c>
      <c r="E38" t="s">
        <v>675</v>
      </c>
      <c r="F38" t="s">
        <v>37</v>
      </c>
      <c r="G38" t="s">
        <v>676</v>
      </c>
      <c r="H38">
        <v>8</v>
      </c>
      <c r="I38">
        <v>0</v>
      </c>
    </row>
    <row r="39" spans="2:10" x14ac:dyDescent="0.35">
      <c r="B39" t="s">
        <v>339</v>
      </c>
      <c r="C39" t="s">
        <v>677</v>
      </c>
      <c r="D39" t="s">
        <v>605</v>
      </c>
      <c r="E39" t="s">
        <v>678</v>
      </c>
      <c r="F39" t="s">
        <v>37</v>
      </c>
      <c r="G39" t="s">
        <v>679</v>
      </c>
      <c r="H39">
        <v>8</v>
      </c>
      <c r="I39">
        <v>0</v>
      </c>
    </row>
    <row r="40" spans="2:10" x14ac:dyDescent="0.35">
      <c r="B40" t="s">
        <v>339</v>
      </c>
      <c r="C40" t="s">
        <v>680</v>
      </c>
      <c r="D40" t="s">
        <v>605</v>
      </c>
      <c r="E40" t="s">
        <v>681</v>
      </c>
      <c r="F40" t="s">
        <v>37</v>
      </c>
      <c r="G40" t="s">
        <v>679</v>
      </c>
      <c r="H40">
        <v>8</v>
      </c>
      <c r="I40">
        <v>0</v>
      </c>
    </row>
    <row r="41" spans="2:10" x14ac:dyDescent="0.35">
      <c r="B41" t="s">
        <v>339</v>
      </c>
      <c r="C41" t="s">
        <v>682</v>
      </c>
      <c r="D41" t="s">
        <v>605</v>
      </c>
      <c r="E41" t="s">
        <v>683</v>
      </c>
      <c r="F41" t="s">
        <v>37</v>
      </c>
      <c r="G41" t="s">
        <v>684</v>
      </c>
      <c r="H41">
        <v>8</v>
      </c>
      <c r="I41">
        <v>8</v>
      </c>
      <c r="J41" t="s">
        <v>453</v>
      </c>
    </row>
    <row r="42" spans="2:10" x14ac:dyDescent="0.35">
      <c r="B42" t="s">
        <v>339</v>
      </c>
      <c r="C42" t="s">
        <v>685</v>
      </c>
      <c r="D42" t="s">
        <v>605</v>
      </c>
      <c r="E42" t="s">
        <v>686</v>
      </c>
      <c r="F42" t="s">
        <v>37</v>
      </c>
      <c r="G42" t="s">
        <v>687</v>
      </c>
      <c r="H42">
        <v>8</v>
      </c>
      <c r="I42">
        <v>8</v>
      </c>
      <c r="J42" t="s">
        <v>453</v>
      </c>
    </row>
    <row r="43" spans="2:10" x14ac:dyDescent="0.35">
      <c r="B43" t="s">
        <v>339</v>
      </c>
      <c r="C43" t="s">
        <v>688</v>
      </c>
      <c r="D43" t="s">
        <v>605</v>
      </c>
      <c r="E43" t="s">
        <v>689</v>
      </c>
      <c r="F43" t="s">
        <v>37</v>
      </c>
      <c r="G43" t="s">
        <v>690</v>
      </c>
      <c r="H43">
        <v>8</v>
      </c>
      <c r="I43">
        <v>0</v>
      </c>
    </row>
    <row r="44" spans="2:10" x14ac:dyDescent="0.35">
      <c r="B44" t="s">
        <v>339</v>
      </c>
      <c r="C44" t="s">
        <v>691</v>
      </c>
      <c r="D44" t="s">
        <v>605</v>
      </c>
      <c r="E44" t="s">
        <v>692</v>
      </c>
      <c r="F44" t="s">
        <v>37</v>
      </c>
      <c r="G44" t="s">
        <v>690</v>
      </c>
      <c r="H44">
        <v>8</v>
      </c>
      <c r="I44">
        <v>8</v>
      </c>
      <c r="J44" t="s">
        <v>453</v>
      </c>
    </row>
    <row r="45" spans="2:10" x14ac:dyDescent="0.35">
      <c r="B45" t="s">
        <v>339</v>
      </c>
      <c r="C45" t="s">
        <v>693</v>
      </c>
      <c r="D45" t="s">
        <v>605</v>
      </c>
      <c r="E45" t="s">
        <v>694</v>
      </c>
      <c r="F45" t="s">
        <v>37</v>
      </c>
      <c r="G45" t="s">
        <v>695</v>
      </c>
      <c r="H45">
        <v>8</v>
      </c>
      <c r="I45">
        <v>0</v>
      </c>
    </row>
    <row r="46" spans="2:10" x14ac:dyDescent="0.35">
      <c r="B46" t="s">
        <v>339</v>
      </c>
      <c r="C46" t="s">
        <v>696</v>
      </c>
      <c r="D46" t="s">
        <v>605</v>
      </c>
      <c r="E46" t="s">
        <v>697</v>
      </c>
      <c r="F46" t="s">
        <v>37</v>
      </c>
      <c r="G46" t="s">
        <v>608</v>
      </c>
      <c r="H46">
        <v>8</v>
      </c>
      <c r="I46">
        <v>0</v>
      </c>
    </row>
    <row r="47" spans="2:10" x14ac:dyDescent="0.35">
      <c r="B47" t="s">
        <v>339</v>
      </c>
      <c r="C47" t="s">
        <v>698</v>
      </c>
      <c r="D47" t="s">
        <v>605</v>
      </c>
      <c r="E47" t="s">
        <v>699</v>
      </c>
      <c r="F47" t="s">
        <v>37</v>
      </c>
      <c r="G47" t="s">
        <v>612</v>
      </c>
      <c r="H47">
        <v>8</v>
      </c>
      <c r="I47">
        <v>0</v>
      </c>
    </row>
    <row r="48" spans="2:10" x14ac:dyDescent="0.35">
      <c r="B48" t="s">
        <v>339</v>
      </c>
      <c r="C48" t="s">
        <v>700</v>
      </c>
      <c r="D48" t="s">
        <v>605</v>
      </c>
      <c r="E48" t="s">
        <v>701</v>
      </c>
      <c r="F48" t="s">
        <v>37</v>
      </c>
      <c r="G48" t="s">
        <v>614</v>
      </c>
      <c r="H48">
        <v>8</v>
      </c>
      <c r="I48">
        <v>0</v>
      </c>
    </row>
    <row r="49" spans="2:10" x14ac:dyDescent="0.35">
      <c r="B49" t="s">
        <v>339</v>
      </c>
      <c r="C49" t="s">
        <v>702</v>
      </c>
      <c r="D49" t="s">
        <v>605</v>
      </c>
      <c r="E49" t="s">
        <v>703</v>
      </c>
      <c r="F49" t="s">
        <v>37</v>
      </c>
      <c r="G49" t="s">
        <v>617</v>
      </c>
      <c r="H49">
        <v>8</v>
      </c>
      <c r="I49">
        <v>0</v>
      </c>
    </row>
    <row r="50" spans="2:10" x14ac:dyDescent="0.35">
      <c r="B50" t="s">
        <v>339</v>
      </c>
      <c r="C50" t="s">
        <v>704</v>
      </c>
      <c r="D50" t="s">
        <v>605</v>
      </c>
      <c r="E50" t="s">
        <v>705</v>
      </c>
      <c r="F50" t="s">
        <v>37</v>
      </c>
      <c r="G50" t="s">
        <v>619</v>
      </c>
      <c r="H50">
        <v>8</v>
      </c>
      <c r="I50">
        <v>0</v>
      </c>
    </row>
    <row r="51" spans="2:10" x14ac:dyDescent="0.35">
      <c r="B51" t="s">
        <v>339</v>
      </c>
      <c r="C51" t="s">
        <v>706</v>
      </c>
      <c r="D51" t="s">
        <v>605</v>
      </c>
      <c r="E51" t="s">
        <v>707</v>
      </c>
      <c r="F51" t="s">
        <v>37</v>
      </c>
      <c r="G51" t="s">
        <v>708</v>
      </c>
      <c r="H51">
        <v>8</v>
      </c>
      <c r="I51">
        <v>0</v>
      </c>
    </row>
    <row r="52" spans="2:10" x14ac:dyDescent="0.35">
      <c r="B52" t="s">
        <v>339</v>
      </c>
      <c r="C52" t="s">
        <v>709</v>
      </c>
      <c r="D52" t="s">
        <v>605</v>
      </c>
      <c r="E52" t="s">
        <v>710</v>
      </c>
      <c r="F52" t="s">
        <v>37</v>
      </c>
      <c r="G52" t="s">
        <v>622</v>
      </c>
      <c r="H52">
        <v>8</v>
      </c>
      <c r="I52">
        <v>0</v>
      </c>
    </row>
    <row r="53" spans="2:10" x14ac:dyDescent="0.35">
      <c r="B53" t="s">
        <v>339</v>
      </c>
      <c r="C53" t="s">
        <v>711</v>
      </c>
      <c r="D53" t="s">
        <v>605</v>
      </c>
      <c r="E53" t="s">
        <v>712</v>
      </c>
      <c r="F53" t="s">
        <v>37</v>
      </c>
      <c r="G53" t="s">
        <v>622</v>
      </c>
      <c r="H53">
        <v>8</v>
      </c>
      <c r="I53">
        <v>0</v>
      </c>
    </row>
    <row r="54" spans="2:10" x14ac:dyDescent="0.35">
      <c r="B54" t="s">
        <v>339</v>
      </c>
      <c r="C54" t="s">
        <v>713</v>
      </c>
      <c r="D54" t="s">
        <v>605</v>
      </c>
      <c r="E54" t="s">
        <v>714</v>
      </c>
      <c r="F54" t="s">
        <v>37</v>
      </c>
      <c r="G54" t="s">
        <v>631</v>
      </c>
      <c r="H54">
        <v>8</v>
      </c>
      <c r="I54">
        <v>0</v>
      </c>
    </row>
    <row r="55" spans="2:10" x14ac:dyDescent="0.35">
      <c r="B55" t="s">
        <v>339</v>
      </c>
      <c r="C55" t="s">
        <v>715</v>
      </c>
      <c r="D55" t="s">
        <v>605</v>
      </c>
      <c r="E55" t="s">
        <v>716</v>
      </c>
      <c r="F55" t="s">
        <v>37</v>
      </c>
      <c r="G55" t="s">
        <v>631</v>
      </c>
      <c r="H55">
        <v>8</v>
      </c>
      <c r="I55">
        <v>0</v>
      </c>
    </row>
    <row r="56" spans="2:10" x14ac:dyDescent="0.35">
      <c r="B56" t="s">
        <v>339</v>
      </c>
      <c r="C56" t="s">
        <v>717</v>
      </c>
      <c r="D56" t="s">
        <v>605</v>
      </c>
      <c r="E56" t="s">
        <v>718</v>
      </c>
      <c r="F56" t="s">
        <v>37</v>
      </c>
      <c r="G56" t="s">
        <v>633</v>
      </c>
      <c r="H56">
        <v>8</v>
      </c>
      <c r="I56">
        <v>4</v>
      </c>
      <c r="J56" t="s">
        <v>719</v>
      </c>
    </row>
    <row r="57" spans="2:10" x14ac:dyDescent="0.35">
      <c r="B57" t="s">
        <v>339</v>
      </c>
      <c r="C57" t="s">
        <v>720</v>
      </c>
      <c r="D57" t="s">
        <v>605</v>
      </c>
      <c r="E57" t="s">
        <v>721</v>
      </c>
      <c r="F57" t="s">
        <v>37</v>
      </c>
      <c r="G57" t="s">
        <v>638</v>
      </c>
      <c r="H57">
        <v>8</v>
      </c>
      <c r="I57">
        <v>0</v>
      </c>
    </row>
    <row r="58" spans="2:10" x14ac:dyDescent="0.35">
      <c r="B58" t="s">
        <v>339</v>
      </c>
      <c r="C58" t="s">
        <v>722</v>
      </c>
      <c r="D58" t="s">
        <v>605</v>
      </c>
      <c r="E58" t="s">
        <v>723</v>
      </c>
      <c r="F58" t="s">
        <v>37</v>
      </c>
      <c r="G58" t="s">
        <v>724</v>
      </c>
      <c r="H58">
        <v>8</v>
      </c>
      <c r="I58">
        <v>0</v>
      </c>
    </row>
    <row r="59" spans="2:10" x14ac:dyDescent="0.35">
      <c r="B59" t="s">
        <v>339</v>
      </c>
      <c r="C59" t="s">
        <v>725</v>
      </c>
      <c r="D59" t="s">
        <v>605</v>
      </c>
      <c r="E59" t="s">
        <v>726</v>
      </c>
      <c r="F59" t="s">
        <v>37</v>
      </c>
      <c r="G59" t="s">
        <v>724</v>
      </c>
      <c r="H59">
        <v>8</v>
      </c>
      <c r="I59">
        <v>0</v>
      </c>
    </row>
    <row r="60" spans="2:10" x14ac:dyDescent="0.35">
      <c r="B60" t="s">
        <v>339</v>
      </c>
      <c r="C60" t="s">
        <v>727</v>
      </c>
      <c r="D60" t="s">
        <v>605</v>
      </c>
      <c r="E60" t="s">
        <v>723</v>
      </c>
      <c r="F60" t="s">
        <v>37</v>
      </c>
      <c r="G60" t="s">
        <v>642</v>
      </c>
      <c r="H60">
        <v>8</v>
      </c>
      <c r="I60">
        <v>1</v>
      </c>
      <c r="J60" t="s">
        <v>728</v>
      </c>
    </row>
    <row r="61" spans="2:10" x14ac:dyDescent="0.35">
      <c r="B61" t="s">
        <v>339</v>
      </c>
      <c r="C61" t="s">
        <v>729</v>
      </c>
      <c r="D61" t="s">
        <v>605</v>
      </c>
      <c r="E61" t="s">
        <v>723</v>
      </c>
      <c r="F61" t="s">
        <v>37</v>
      </c>
      <c r="G61" t="s">
        <v>647</v>
      </c>
      <c r="H61">
        <v>8</v>
      </c>
      <c r="I61">
        <v>0</v>
      </c>
    </row>
    <row r="62" spans="2:10" x14ac:dyDescent="0.35">
      <c r="B62" t="s">
        <v>339</v>
      </c>
      <c r="C62" t="s">
        <v>730</v>
      </c>
      <c r="D62" t="s">
        <v>605</v>
      </c>
      <c r="E62" t="s">
        <v>723</v>
      </c>
      <c r="F62" t="s">
        <v>37</v>
      </c>
      <c r="G62" t="s">
        <v>650</v>
      </c>
      <c r="H62">
        <v>8</v>
      </c>
      <c r="I62">
        <v>0</v>
      </c>
    </row>
    <row r="63" spans="2:10" x14ac:dyDescent="0.35">
      <c r="B63" t="s">
        <v>339</v>
      </c>
      <c r="C63" t="s">
        <v>731</v>
      </c>
      <c r="D63" t="s">
        <v>605</v>
      </c>
      <c r="E63" t="s">
        <v>732</v>
      </c>
      <c r="F63" t="s">
        <v>37</v>
      </c>
      <c r="G63" t="s">
        <v>652</v>
      </c>
      <c r="H63">
        <v>8</v>
      </c>
      <c r="I63">
        <v>0</v>
      </c>
    </row>
    <row r="64" spans="2:10" x14ac:dyDescent="0.35">
      <c r="B64" t="s">
        <v>339</v>
      </c>
      <c r="C64" t="s">
        <v>733</v>
      </c>
      <c r="D64" t="s">
        <v>605</v>
      </c>
      <c r="E64" t="s">
        <v>718</v>
      </c>
      <c r="F64" t="s">
        <v>37</v>
      </c>
      <c r="G64" t="s">
        <v>734</v>
      </c>
      <c r="H64">
        <v>8</v>
      </c>
      <c r="I64">
        <v>0</v>
      </c>
    </row>
    <row r="65" spans="2:9" x14ac:dyDescent="0.35">
      <c r="B65" t="s">
        <v>339</v>
      </c>
      <c r="C65" t="s">
        <v>735</v>
      </c>
      <c r="D65" t="s">
        <v>605</v>
      </c>
      <c r="E65" t="s">
        <v>718</v>
      </c>
      <c r="F65" t="s">
        <v>37</v>
      </c>
      <c r="G65" t="s">
        <v>654</v>
      </c>
      <c r="H65">
        <v>8</v>
      </c>
      <c r="I65">
        <v>0</v>
      </c>
    </row>
    <row r="66" spans="2:9" x14ac:dyDescent="0.35">
      <c r="B66" t="s">
        <v>339</v>
      </c>
      <c r="C66" t="s">
        <v>736</v>
      </c>
      <c r="D66" t="s">
        <v>605</v>
      </c>
      <c r="E66" t="s">
        <v>718</v>
      </c>
      <c r="F66" t="s">
        <v>37</v>
      </c>
      <c r="G66" t="s">
        <v>665</v>
      </c>
      <c r="H66">
        <v>8</v>
      </c>
      <c r="I66">
        <v>0</v>
      </c>
    </row>
    <row r="67" spans="2:9" x14ac:dyDescent="0.35">
      <c r="B67" t="s">
        <v>339</v>
      </c>
      <c r="C67" t="s">
        <v>737</v>
      </c>
      <c r="D67" t="s">
        <v>605</v>
      </c>
      <c r="E67" t="s">
        <v>738</v>
      </c>
      <c r="F67" t="s">
        <v>37</v>
      </c>
      <c r="G67" t="s">
        <v>671</v>
      </c>
      <c r="H67">
        <v>8</v>
      </c>
      <c r="I67">
        <v>0</v>
      </c>
    </row>
    <row r="68" spans="2:9" x14ac:dyDescent="0.35">
      <c r="B68" t="s">
        <v>339</v>
      </c>
      <c r="C68" t="s">
        <v>739</v>
      </c>
      <c r="D68" t="s">
        <v>605</v>
      </c>
      <c r="E68" t="s">
        <v>740</v>
      </c>
      <c r="F68" t="s">
        <v>37</v>
      </c>
      <c r="G68" t="s">
        <v>671</v>
      </c>
      <c r="H68">
        <v>8</v>
      </c>
      <c r="I68">
        <v>0</v>
      </c>
    </row>
    <row r="69" spans="2:9" x14ac:dyDescent="0.35">
      <c r="B69" t="s">
        <v>339</v>
      </c>
      <c r="C69" t="s">
        <v>741</v>
      </c>
      <c r="D69" t="s">
        <v>605</v>
      </c>
      <c r="E69" t="s">
        <v>718</v>
      </c>
      <c r="F69" t="s">
        <v>37</v>
      </c>
      <c r="G69" t="s">
        <v>673</v>
      </c>
      <c r="H69">
        <v>8</v>
      </c>
      <c r="I69">
        <v>0</v>
      </c>
    </row>
    <row r="70" spans="2:9" x14ac:dyDescent="0.35">
      <c r="B70" t="s">
        <v>339</v>
      </c>
      <c r="C70" t="s">
        <v>742</v>
      </c>
      <c r="D70" t="s">
        <v>605</v>
      </c>
      <c r="E70" t="s">
        <v>743</v>
      </c>
      <c r="F70" t="s">
        <v>37</v>
      </c>
      <c r="G70" t="s">
        <v>673</v>
      </c>
      <c r="H70">
        <v>8</v>
      </c>
      <c r="I70">
        <v>0</v>
      </c>
    </row>
    <row r="71" spans="2:9" x14ac:dyDescent="0.35">
      <c r="B71" t="s">
        <v>339</v>
      </c>
      <c r="C71" t="s">
        <v>744</v>
      </c>
      <c r="D71" t="s">
        <v>605</v>
      </c>
      <c r="E71" t="s">
        <v>718</v>
      </c>
      <c r="F71" t="s">
        <v>37</v>
      </c>
      <c r="G71" t="s">
        <v>745</v>
      </c>
      <c r="H71">
        <v>8</v>
      </c>
      <c r="I71">
        <v>0</v>
      </c>
    </row>
    <row r="72" spans="2:9" x14ac:dyDescent="0.35">
      <c r="B72" t="s">
        <v>339</v>
      </c>
      <c r="C72" t="s">
        <v>746</v>
      </c>
      <c r="D72" t="s">
        <v>605</v>
      </c>
      <c r="E72" t="s">
        <v>718</v>
      </c>
      <c r="F72" t="s">
        <v>37</v>
      </c>
      <c r="G72" t="s">
        <v>747</v>
      </c>
      <c r="H72">
        <v>8</v>
      </c>
      <c r="I72">
        <v>0</v>
      </c>
    </row>
    <row r="73" spans="2:9" x14ac:dyDescent="0.35">
      <c r="B73" t="s">
        <v>339</v>
      </c>
      <c r="C73" t="s">
        <v>748</v>
      </c>
      <c r="D73" t="s">
        <v>605</v>
      </c>
      <c r="E73" t="s">
        <v>703</v>
      </c>
      <c r="F73" t="s">
        <v>37</v>
      </c>
      <c r="G73" t="s">
        <v>749</v>
      </c>
      <c r="H73">
        <v>8</v>
      </c>
      <c r="I73">
        <v>0</v>
      </c>
    </row>
    <row r="74" spans="2:9" x14ac:dyDescent="0.35">
      <c r="B74" t="s">
        <v>339</v>
      </c>
      <c r="C74" t="s">
        <v>750</v>
      </c>
      <c r="D74" t="s">
        <v>605</v>
      </c>
      <c r="E74" t="s">
        <v>718</v>
      </c>
      <c r="F74" t="s">
        <v>37</v>
      </c>
      <c r="G74" t="s">
        <v>751</v>
      </c>
      <c r="H74">
        <v>8</v>
      </c>
      <c r="I74">
        <v>0</v>
      </c>
    </row>
    <row r="75" spans="2:9" x14ac:dyDescent="0.35">
      <c r="B75" t="s">
        <v>339</v>
      </c>
      <c r="C75" t="s">
        <v>752</v>
      </c>
      <c r="D75" t="s">
        <v>605</v>
      </c>
      <c r="E75" t="s">
        <v>703</v>
      </c>
      <c r="F75" t="s">
        <v>37</v>
      </c>
      <c r="G75" t="s">
        <v>753</v>
      </c>
      <c r="H75">
        <v>8</v>
      </c>
      <c r="I75">
        <v>0</v>
      </c>
    </row>
    <row r="76" spans="2:9" x14ac:dyDescent="0.35">
      <c r="B76" t="s">
        <v>339</v>
      </c>
      <c r="C76" t="s">
        <v>754</v>
      </c>
      <c r="D76" t="s">
        <v>605</v>
      </c>
      <c r="E76" t="s">
        <v>718</v>
      </c>
      <c r="F76" t="s">
        <v>37</v>
      </c>
      <c r="G76" t="s">
        <v>755</v>
      </c>
      <c r="H76">
        <v>8</v>
      </c>
      <c r="I76">
        <v>0</v>
      </c>
    </row>
    <row r="77" spans="2:9" x14ac:dyDescent="0.35">
      <c r="B77" t="s">
        <v>339</v>
      </c>
      <c r="C77" t="s">
        <v>756</v>
      </c>
      <c r="D77" t="s">
        <v>605</v>
      </c>
      <c r="E77" t="s">
        <v>703</v>
      </c>
      <c r="F77" t="s">
        <v>37</v>
      </c>
      <c r="G77" t="s">
        <v>695</v>
      </c>
      <c r="H77">
        <v>8</v>
      </c>
      <c r="I77">
        <v>0</v>
      </c>
    </row>
    <row r="78" spans="2:9" x14ac:dyDescent="0.35">
      <c r="B78" t="s">
        <v>339</v>
      </c>
      <c r="C78" t="s">
        <v>757</v>
      </c>
      <c r="D78" t="s">
        <v>605</v>
      </c>
      <c r="E78" t="s">
        <v>718</v>
      </c>
      <c r="F78" t="s">
        <v>37</v>
      </c>
      <c r="G78" t="s">
        <v>758</v>
      </c>
      <c r="H78">
        <v>8</v>
      </c>
      <c r="I78">
        <v>0</v>
      </c>
    </row>
    <row r="79" spans="2:9" x14ac:dyDescent="0.35">
      <c r="B79" t="s">
        <v>339</v>
      </c>
      <c r="C79" t="s">
        <v>759</v>
      </c>
      <c r="D79" t="s">
        <v>605</v>
      </c>
      <c r="E79" t="s">
        <v>760</v>
      </c>
      <c r="F79" t="s">
        <v>37</v>
      </c>
      <c r="G79" t="s">
        <v>606</v>
      </c>
      <c r="H79">
        <v>8</v>
      </c>
      <c r="I79">
        <v>0</v>
      </c>
    </row>
    <row r="80" spans="2:9" x14ac:dyDescent="0.35">
      <c r="B80" t="s">
        <v>339</v>
      </c>
      <c r="C80" t="s">
        <v>761</v>
      </c>
      <c r="D80" t="s">
        <v>605</v>
      </c>
      <c r="E80" t="s">
        <v>762</v>
      </c>
      <c r="F80" t="s">
        <v>37</v>
      </c>
      <c r="G80" t="s">
        <v>763</v>
      </c>
      <c r="H80">
        <v>8</v>
      </c>
      <c r="I80">
        <v>0</v>
      </c>
    </row>
    <row r="81" spans="2:10" x14ac:dyDescent="0.35">
      <c r="B81" t="s">
        <v>339</v>
      </c>
      <c r="C81" t="s">
        <v>764</v>
      </c>
      <c r="D81" t="s">
        <v>605</v>
      </c>
      <c r="E81" t="s">
        <v>762</v>
      </c>
      <c r="F81" t="s">
        <v>37</v>
      </c>
      <c r="G81" t="s">
        <v>608</v>
      </c>
      <c r="H81">
        <v>8</v>
      </c>
      <c r="I81">
        <v>0</v>
      </c>
    </row>
    <row r="82" spans="2:10" x14ac:dyDescent="0.35">
      <c r="B82" t="s">
        <v>339</v>
      </c>
      <c r="C82" t="s">
        <v>765</v>
      </c>
      <c r="D82" t="s">
        <v>605</v>
      </c>
      <c r="E82" t="s">
        <v>762</v>
      </c>
      <c r="F82" t="s">
        <v>37</v>
      </c>
      <c r="G82" t="s">
        <v>610</v>
      </c>
      <c r="H82">
        <v>8</v>
      </c>
      <c r="I82">
        <v>0</v>
      </c>
    </row>
    <row r="83" spans="2:10" x14ac:dyDescent="0.35">
      <c r="B83" t="s">
        <v>339</v>
      </c>
      <c r="C83" t="s">
        <v>766</v>
      </c>
      <c r="D83" t="s">
        <v>605</v>
      </c>
      <c r="E83" t="s">
        <v>767</v>
      </c>
      <c r="F83" t="s">
        <v>37</v>
      </c>
      <c r="G83" t="s">
        <v>768</v>
      </c>
      <c r="H83">
        <v>8</v>
      </c>
      <c r="I83">
        <v>0</v>
      </c>
    </row>
    <row r="84" spans="2:10" x14ac:dyDescent="0.35">
      <c r="B84" t="s">
        <v>339</v>
      </c>
      <c r="C84" t="s">
        <v>769</v>
      </c>
      <c r="D84" t="s">
        <v>605</v>
      </c>
      <c r="E84" t="s">
        <v>767</v>
      </c>
      <c r="F84" t="s">
        <v>37</v>
      </c>
      <c r="G84" t="s">
        <v>770</v>
      </c>
      <c r="H84">
        <v>8</v>
      </c>
      <c r="I84">
        <v>0</v>
      </c>
    </row>
    <row r="85" spans="2:10" x14ac:dyDescent="0.35">
      <c r="B85" t="s">
        <v>339</v>
      </c>
      <c r="C85" t="s">
        <v>771</v>
      </c>
      <c r="D85" t="s">
        <v>605</v>
      </c>
      <c r="E85" t="s">
        <v>772</v>
      </c>
      <c r="F85" t="s">
        <v>37</v>
      </c>
      <c r="G85" t="s">
        <v>612</v>
      </c>
      <c r="H85">
        <v>8</v>
      </c>
      <c r="I85">
        <v>0</v>
      </c>
    </row>
    <row r="86" spans="2:10" x14ac:dyDescent="0.35">
      <c r="B86" t="s">
        <v>339</v>
      </c>
      <c r="C86" t="s">
        <v>773</v>
      </c>
      <c r="D86" t="s">
        <v>605</v>
      </c>
      <c r="E86" t="s">
        <v>767</v>
      </c>
      <c r="F86" t="s">
        <v>37</v>
      </c>
      <c r="G86" t="s">
        <v>614</v>
      </c>
      <c r="H86">
        <v>8</v>
      </c>
      <c r="I86">
        <v>8</v>
      </c>
      <c r="J86" t="s">
        <v>453</v>
      </c>
    </row>
    <row r="87" spans="2:10" x14ac:dyDescent="0.35">
      <c r="B87" t="s">
        <v>339</v>
      </c>
      <c r="C87" t="s">
        <v>774</v>
      </c>
      <c r="D87" t="s">
        <v>605</v>
      </c>
      <c r="E87" t="s">
        <v>767</v>
      </c>
      <c r="F87" t="s">
        <v>37</v>
      </c>
      <c r="G87" t="s">
        <v>617</v>
      </c>
      <c r="H87">
        <v>8</v>
      </c>
      <c r="I87">
        <v>8</v>
      </c>
      <c r="J87" t="s">
        <v>453</v>
      </c>
    </row>
    <row r="88" spans="2:10" x14ac:dyDescent="0.35">
      <c r="B88" t="s">
        <v>339</v>
      </c>
      <c r="C88" t="s">
        <v>775</v>
      </c>
      <c r="D88" t="s">
        <v>605</v>
      </c>
      <c r="E88" t="s">
        <v>767</v>
      </c>
      <c r="F88" t="s">
        <v>37</v>
      </c>
      <c r="G88" t="s">
        <v>619</v>
      </c>
      <c r="H88">
        <v>8</v>
      </c>
      <c r="I88">
        <v>0</v>
      </c>
    </row>
    <row r="89" spans="2:10" x14ac:dyDescent="0.35">
      <c r="B89" t="s">
        <v>339</v>
      </c>
      <c r="C89" t="s">
        <v>776</v>
      </c>
      <c r="D89" t="s">
        <v>605</v>
      </c>
      <c r="E89" t="s">
        <v>767</v>
      </c>
      <c r="F89" t="s">
        <v>37</v>
      </c>
      <c r="G89" t="s">
        <v>708</v>
      </c>
      <c r="H89">
        <v>8</v>
      </c>
      <c r="I89">
        <v>0</v>
      </c>
    </row>
    <row r="90" spans="2:10" x14ac:dyDescent="0.35">
      <c r="B90" t="s">
        <v>339</v>
      </c>
      <c r="C90" t="s">
        <v>777</v>
      </c>
      <c r="D90" t="s">
        <v>605</v>
      </c>
      <c r="E90" t="s">
        <v>767</v>
      </c>
      <c r="F90" t="s">
        <v>37</v>
      </c>
      <c r="G90" t="s">
        <v>622</v>
      </c>
      <c r="H90">
        <v>8</v>
      </c>
      <c r="I90">
        <v>8</v>
      </c>
      <c r="J90" t="s">
        <v>453</v>
      </c>
    </row>
    <row r="91" spans="2:10" x14ac:dyDescent="0.35">
      <c r="B91" t="s">
        <v>339</v>
      </c>
      <c r="C91" t="s">
        <v>778</v>
      </c>
      <c r="D91" t="s">
        <v>605</v>
      </c>
      <c r="E91" t="s">
        <v>767</v>
      </c>
      <c r="F91" t="s">
        <v>37</v>
      </c>
      <c r="G91" t="s">
        <v>631</v>
      </c>
      <c r="H91">
        <v>8</v>
      </c>
      <c r="I91">
        <v>8</v>
      </c>
      <c r="J91" t="s">
        <v>453</v>
      </c>
    </row>
    <row r="92" spans="2:10" x14ac:dyDescent="0.35">
      <c r="B92" t="s">
        <v>339</v>
      </c>
      <c r="C92" t="s">
        <v>779</v>
      </c>
      <c r="D92" t="s">
        <v>605</v>
      </c>
      <c r="E92" t="s">
        <v>718</v>
      </c>
      <c r="F92" t="s">
        <v>37</v>
      </c>
      <c r="G92" t="s">
        <v>633</v>
      </c>
      <c r="H92">
        <v>8</v>
      </c>
      <c r="I92">
        <v>4</v>
      </c>
      <c r="J92" t="s">
        <v>719</v>
      </c>
    </row>
    <row r="93" spans="2:10" x14ac:dyDescent="0.35">
      <c r="B93" t="s">
        <v>339</v>
      </c>
      <c r="C93" t="s">
        <v>780</v>
      </c>
      <c r="D93" t="s">
        <v>605</v>
      </c>
      <c r="E93" t="s">
        <v>762</v>
      </c>
      <c r="F93" t="s">
        <v>37</v>
      </c>
      <c r="G93" t="s">
        <v>636</v>
      </c>
      <c r="H93">
        <v>8</v>
      </c>
      <c r="I93">
        <v>8</v>
      </c>
      <c r="J93" t="s">
        <v>453</v>
      </c>
    </row>
    <row r="94" spans="2:10" x14ac:dyDescent="0.35">
      <c r="B94" t="s">
        <v>339</v>
      </c>
      <c r="C94" t="s">
        <v>781</v>
      </c>
      <c r="D94" t="s">
        <v>605</v>
      </c>
      <c r="E94" t="s">
        <v>782</v>
      </c>
      <c r="F94" t="s">
        <v>37</v>
      </c>
      <c r="G94" t="s">
        <v>783</v>
      </c>
      <c r="H94">
        <v>8</v>
      </c>
      <c r="I94">
        <v>8</v>
      </c>
      <c r="J94" t="s">
        <v>453</v>
      </c>
    </row>
    <row r="95" spans="2:10" x14ac:dyDescent="0.35">
      <c r="B95" t="s">
        <v>339</v>
      </c>
      <c r="C95" t="s">
        <v>784</v>
      </c>
      <c r="D95" t="s">
        <v>605</v>
      </c>
      <c r="E95" t="s">
        <v>760</v>
      </c>
      <c r="F95" t="s">
        <v>37</v>
      </c>
      <c r="G95" t="s">
        <v>638</v>
      </c>
      <c r="H95">
        <v>8</v>
      </c>
      <c r="I95">
        <v>0</v>
      </c>
    </row>
    <row r="96" spans="2:10" x14ac:dyDescent="0.35">
      <c r="B96" t="s">
        <v>339</v>
      </c>
      <c r="C96" t="s">
        <v>785</v>
      </c>
      <c r="D96" t="s">
        <v>605</v>
      </c>
      <c r="E96" t="s">
        <v>767</v>
      </c>
      <c r="F96" t="s">
        <v>37</v>
      </c>
      <c r="G96" t="s">
        <v>786</v>
      </c>
      <c r="H96">
        <v>8</v>
      </c>
      <c r="I96">
        <v>0</v>
      </c>
    </row>
    <row r="97" spans="2:10" x14ac:dyDescent="0.35">
      <c r="B97" t="s">
        <v>339</v>
      </c>
      <c r="C97" t="s">
        <v>787</v>
      </c>
      <c r="D97" t="s">
        <v>605</v>
      </c>
      <c r="E97" t="s">
        <v>788</v>
      </c>
      <c r="F97" t="s">
        <v>37</v>
      </c>
      <c r="G97" t="s">
        <v>640</v>
      </c>
      <c r="H97">
        <v>8</v>
      </c>
      <c r="I97">
        <v>0</v>
      </c>
    </row>
    <row r="98" spans="2:10" x14ac:dyDescent="0.35">
      <c r="B98" t="s">
        <v>339</v>
      </c>
      <c r="C98" t="s">
        <v>789</v>
      </c>
      <c r="D98" t="s">
        <v>605</v>
      </c>
      <c r="E98" t="s">
        <v>790</v>
      </c>
      <c r="F98" t="s">
        <v>37</v>
      </c>
      <c r="G98" t="s">
        <v>724</v>
      </c>
      <c r="H98">
        <v>8</v>
      </c>
      <c r="I98">
        <v>0</v>
      </c>
    </row>
    <row r="99" spans="2:10" x14ac:dyDescent="0.35">
      <c r="B99" t="s">
        <v>339</v>
      </c>
      <c r="C99" t="s">
        <v>791</v>
      </c>
      <c r="D99" t="s">
        <v>605</v>
      </c>
      <c r="E99" t="s">
        <v>790</v>
      </c>
      <c r="F99" t="s">
        <v>37</v>
      </c>
      <c r="G99" t="s">
        <v>642</v>
      </c>
      <c r="H99">
        <v>8</v>
      </c>
      <c r="I99">
        <v>1</v>
      </c>
      <c r="J99" t="s">
        <v>728</v>
      </c>
    </row>
    <row r="100" spans="2:10" x14ac:dyDescent="0.35">
      <c r="B100" t="s">
        <v>339</v>
      </c>
      <c r="C100" t="s">
        <v>792</v>
      </c>
      <c r="D100" t="s">
        <v>605</v>
      </c>
      <c r="E100" t="s">
        <v>790</v>
      </c>
      <c r="F100" t="s">
        <v>37</v>
      </c>
      <c r="G100" t="s">
        <v>793</v>
      </c>
      <c r="H100">
        <v>8</v>
      </c>
      <c r="I100">
        <v>0</v>
      </c>
    </row>
    <row r="101" spans="2:10" x14ac:dyDescent="0.35">
      <c r="B101" t="s">
        <v>339</v>
      </c>
      <c r="C101" t="s">
        <v>794</v>
      </c>
      <c r="D101" t="s">
        <v>605</v>
      </c>
      <c r="E101" t="s">
        <v>790</v>
      </c>
      <c r="F101" t="s">
        <v>37</v>
      </c>
      <c r="G101" t="s">
        <v>647</v>
      </c>
      <c r="H101">
        <v>8</v>
      </c>
      <c r="I101">
        <v>0</v>
      </c>
    </row>
    <row r="102" spans="2:10" x14ac:dyDescent="0.35">
      <c r="B102" t="s">
        <v>339</v>
      </c>
      <c r="C102" t="s">
        <v>795</v>
      </c>
      <c r="D102" t="s">
        <v>605</v>
      </c>
      <c r="E102" t="s">
        <v>790</v>
      </c>
      <c r="F102" t="s">
        <v>37</v>
      </c>
      <c r="G102" t="s">
        <v>650</v>
      </c>
      <c r="H102">
        <v>8</v>
      </c>
      <c r="I102">
        <v>0</v>
      </c>
    </row>
    <row r="103" spans="2:10" x14ac:dyDescent="0.35">
      <c r="B103" t="s">
        <v>339</v>
      </c>
      <c r="C103" t="s">
        <v>796</v>
      </c>
      <c r="D103" t="s">
        <v>605</v>
      </c>
      <c r="E103" t="s">
        <v>797</v>
      </c>
      <c r="F103" t="s">
        <v>37</v>
      </c>
      <c r="G103" t="s">
        <v>652</v>
      </c>
      <c r="H103">
        <v>8</v>
      </c>
      <c r="I103">
        <v>0</v>
      </c>
    </row>
    <row r="104" spans="2:10" x14ac:dyDescent="0.35">
      <c r="B104" t="s">
        <v>339</v>
      </c>
      <c r="C104" t="s">
        <v>798</v>
      </c>
      <c r="D104" t="s">
        <v>605</v>
      </c>
      <c r="E104" t="s">
        <v>718</v>
      </c>
      <c r="F104" t="s">
        <v>37</v>
      </c>
      <c r="G104" t="s">
        <v>734</v>
      </c>
      <c r="H104">
        <v>8</v>
      </c>
      <c r="I104">
        <v>0</v>
      </c>
    </row>
    <row r="105" spans="2:10" x14ac:dyDescent="0.35">
      <c r="B105" t="s">
        <v>339</v>
      </c>
      <c r="C105" t="s">
        <v>799</v>
      </c>
      <c r="D105" t="s">
        <v>605</v>
      </c>
      <c r="E105" t="s">
        <v>718</v>
      </c>
      <c r="F105" t="s">
        <v>37</v>
      </c>
      <c r="G105" t="s">
        <v>800</v>
      </c>
      <c r="H105">
        <v>8</v>
      </c>
      <c r="I105">
        <v>0</v>
      </c>
    </row>
    <row r="106" spans="2:10" x14ac:dyDescent="0.35">
      <c r="B106" t="s">
        <v>339</v>
      </c>
      <c r="C106" t="s">
        <v>801</v>
      </c>
      <c r="D106" t="s">
        <v>605</v>
      </c>
      <c r="E106" t="s">
        <v>718</v>
      </c>
      <c r="F106" t="s">
        <v>37</v>
      </c>
      <c r="G106" t="s">
        <v>654</v>
      </c>
      <c r="H106">
        <v>8</v>
      </c>
      <c r="I106">
        <v>0</v>
      </c>
    </row>
    <row r="107" spans="2:10" x14ac:dyDescent="0.35">
      <c r="B107" t="s">
        <v>339</v>
      </c>
      <c r="C107" t="s">
        <v>802</v>
      </c>
      <c r="D107" t="s">
        <v>605</v>
      </c>
      <c r="E107" t="s">
        <v>767</v>
      </c>
      <c r="F107" t="s">
        <v>37</v>
      </c>
      <c r="G107" t="s">
        <v>657</v>
      </c>
      <c r="H107">
        <v>8</v>
      </c>
      <c r="I107">
        <v>0</v>
      </c>
    </row>
    <row r="108" spans="2:10" x14ac:dyDescent="0.35">
      <c r="B108" t="s">
        <v>339</v>
      </c>
      <c r="C108" t="s">
        <v>803</v>
      </c>
      <c r="D108" t="s">
        <v>605</v>
      </c>
      <c r="E108" t="s">
        <v>767</v>
      </c>
      <c r="F108" t="s">
        <v>37</v>
      </c>
      <c r="G108" t="s">
        <v>660</v>
      </c>
      <c r="H108">
        <v>8</v>
      </c>
      <c r="I108">
        <v>0</v>
      </c>
    </row>
    <row r="109" spans="2:10" x14ac:dyDescent="0.35">
      <c r="B109" t="s">
        <v>339</v>
      </c>
      <c r="C109" t="s">
        <v>804</v>
      </c>
      <c r="D109" t="s">
        <v>605</v>
      </c>
      <c r="E109" t="s">
        <v>782</v>
      </c>
      <c r="F109" t="s">
        <v>37</v>
      </c>
      <c r="G109" t="s">
        <v>805</v>
      </c>
      <c r="H109">
        <v>8</v>
      </c>
      <c r="I109">
        <v>0</v>
      </c>
    </row>
    <row r="110" spans="2:10" x14ac:dyDescent="0.35">
      <c r="B110" t="s">
        <v>339</v>
      </c>
      <c r="C110" t="s">
        <v>806</v>
      </c>
      <c r="D110" t="s">
        <v>605</v>
      </c>
      <c r="E110" t="s">
        <v>782</v>
      </c>
      <c r="F110" t="s">
        <v>37</v>
      </c>
      <c r="G110" t="s">
        <v>807</v>
      </c>
      <c r="H110">
        <v>8</v>
      </c>
      <c r="I110">
        <v>0</v>
      </c>
    </row>
    <row r="111" spans="2:10" x14ac:dyDescent="0.35">
      <c r="B111" t="s">
        <v>339</v>
      </c>
      <c r="C111" t="s">
        <v>808</v>
      </c>
      <c r="D111" t="s">
        <v>605</v>
      </c>
      <c r="E111" t="s">
        <v>767</v>
      </c>
      <c r="F111" t="s">
        <v>37</v>
      </c>
      <c r="G111" t="s">
        <v>663</v>
      </c>
      <c r="H111">
        <v>8</v>
      </c>
      <c r="I111">
        <v>0</v>
      </c>
    </row>
    <row r="112" spans="2:10" x14ac:dyDescent="0.35">
      <c r="B112" t="s">
        <v>339</v>
      </c>
      <c r="C112" t="s">
        <v>809</v>
      </c>
      <c r="D112" t="s">
        <v>605</v>
      </c>
      <c r="E112" t="s">
        <v>718</v>
      </c>
      <c r="F112" t="s">
        <v>37</v>
      </c>
      <c r="G112" t="s">
        <v>665</v>
      </c>
      <c r="H112">
        <v>8</v>
      </c>
      <c r="I112">
        <v>0</v>
      </c>
    </row>
    <row r="113" spans="2:10" x14ac:dyDescent="0.35">
      <c r="B113" t="s">
        <v>339</v>
      </c>
      <c r="C113" t="s">
        <v>810</v>
      </c>
      <c r="D113" t="s">
        <v>605</v>
      </c>
      <c r="E113" t="s">
        <v>767</v>
      </c>
      <c r="F113" t="s">
        <v>37</v>
      </c>
      <c r="G113" t="s">
        <v>668</v>
      </c>
      <c r="H113">
        <v>8</v>
      </c>
      <c r="I113">
        <v>0</v>
      </c>
    </row>
    <row r="114" spans="2:10" x14ac:dyDescent="0.35">
      <c r="B114" t="s">
        <v>339</v>
      </c>
      <c r="C114" t="s">
        <v>811</v>
      </c>
      <c r="D114" t="s">
        <v>605</v>
      </c>
      <c r="E114" t="s">
        <v>767</v>
      </c>
      <c r="F114" t="s">
        <v>37</v>
      </c>
      <c r="G114" t="s">
        <v>671</v>
      </c>
      <c r="H114">
        <v>8</v>
      </c>
      <c r="I114">
        <v>0</v>
      </c>
    </row>
    <row r="115" spans="2:10" x14ac:dyDescent="0.35">
      <c r="B115" t="s">
        <v>339</v>
      </c>
      <c r="C115" t="s">
        <v>812</v>
      </c>
      <c r="D115" t="s">
        <v>605</v>
      </c>
      <c r="E115" t="s">
        <v>762</v>
      </c>
      <c r="F115" t="s">
        <v>37</v>
      </c>
      <c r="G115" t="s">
        <v>813</v>
      </c>
      <c r="H115">
        <v>8</v>
      </c>
      <c r="I115">
        <v>8</v>
      </c>
      <c r="J115" t="s">
        <v>453</v>
      </c>
    </row>
    <row r="116" spans="2:10" x14ac:dyDescent="0.35">
      <c r="B116" t="s">
        <v>339</v>
      </c>
      <c r="C116" t="s">
        <v>814</v>
      </c>
      <c r="D116" t="s">
        <v>605</v>
      </c>
      <c r="E116" t="s">
        <v>718</v>
      </c>
      <c r="F116" t="s">
        <v>37</v>
      </c>
      <c r="G116" t="s">
        <v>673</v>
      </c>
      <c r="H116">
        <v>8</v>
      </c>
      <c r="I116">
        <v>0</v>
      </c>
    </row>
    <row r="117" spans="2:10" x14ac:dyDescent="0.35">
      <c r="B117" t="s">
        <v>339</v>
      </c>
      <c r="C117" t="s">
        <v>815</v>
      </c>
      <c r="D117" t="s">
        <v>605</v>
      </c>
      <c r="E117" t="s">
        <v>762</v>
      </c>
      <c r="F117" t="s">
        <v>37</v>
      </c>
      <c r="G117" t="s">
        <v>676</v>
      </c>
      <c r="H117">
        <v>8</v>
      </c>
      <c r="I117">
        <v>8</v>
      </c>
      <c r="J117" t="s">
        <v>453</v>
      </c>
    </row>
    <row r="118" spans="2:10" x14ac:dyDescent="0.35">
      <c r="B118" t="s">
        <v>339</v>
      </c>
      <c r="C118" t="s">
        <v>816</v>
      </c>
      <c r="D118" t="s">
        <v>605</v>
      </c>
      <c r="E118" t="s">
        <v>718</v>
      </c>
      <c r="F118" t="s">
        <v>37</v>
      </c>
      <c r="G118" t="s">
        <v>817</v>
      </c>
      <c r="H118">
        <v>8</v>
      </c>
      <c r="I118">
        <v>0</v>
      </c>
    </row>
    <row r="119" spans="2:10" x14ac:dyDescent="0.35">
      <c r="B119" t="s">
        <v>339</v>
      </c>
      <c r="C119" t="s">
        <v>818</v>
      </c>
      <c r="D119" t="s">
        <v>605</v>
      </c>
      <c r="E119" t="s">
        <v>767</v>
      </c>
      <c r="F119" t="s">
        <v>37</v>
      </c>
      <c r="G119" t="s">
        <v>679</v>
      </c>
      <c r="H119">
        <v>8</v>
      </c>
      <c r="I119">
        <v>0</v>
      </c>
    </row>
    <row r="120" spans="2:10" x14ac:dyDescent="0.35">
      <c r="B120" t="s">
        <v>339</v>
      </c>
      <c r="C120" t="s">
        <v>819</v>
      </c>
      <c r="D120" t="s">
        <v>605</v>
      </c>
      <c r="E120" t="s">
        <v>767</v>
      </c>
      <c r="F120" t="s">
        <v>37</v>
      </c>
      <c r="G120" t="s">
        <v>820</v>
      </c>
      <c r="H120">
        <v>8</v>
      </c>
      <c r="I120">
        <v>0</v>
      </c>
    </row>
    <row r="121" spans="2:10" x14ac:dyDescent="0.35">
      <c r="B121" t="s">
        <v>339</v>
      </c>
      <c r="C121" t="s">
        <v>821</v>
      </c>
      <c r="D121" t="s">
        <v>605</v>
      </c>
      <c r="E121" t="s">
        <v>760</v>
      </c>
      <c r="F121" t="s">
        <v>37</v>
      </c>
      <c r="G121" t="s">
        <v>684</v>
      </c>
      <c r="H121">
        <v>8</v>
      </c>
      <c r="I121">
        <v>8</v>
      </c>
      <c r="J121" t="s">
        <v>453</v>
      </c>
    </row>
    <row r="122" spans="2:10" x14ac:dyDescent="0.35">
      <c r="B122" t="s">
        <v>339</v>
      </c>
      <c r="C122" t="s">
        <v>822</v>
      </c>
      <c r="D122" t="s">
        <v>605</v>
      </c>
      <c r="E122" t="s">
        <v>760</v>
      </c>
      <c r="F122" t="s">
        <v>37</v>
      </c>
      <c r="G122" t="s">
        <v>687</v>
      </c>
      <c r="H122">
        <v>8</v>
      </c>
      <c r="I122">
        <v>8</v>
      </c>
      <c r="J122" t="s">
        <v>453</v>
      </c>
    </row>
    <row r="123" spans="2:10" x14ac:dyDescent="0.35">
      <c r="B123" t="s">
        <v>339</v>
      </c>
      <c r="C123" t="s">
        <v>823</v>
      </c>
      <c r="D123" t="s">
        <v>605</v>
      </c>
      <c r="E123" t="s">
        <v>824</v>
      </c>
      <c r="F123" t="s">
        <v>37</v>
      </c>
      <c r="G123" t="s">
        <v>690</v>
      </c>
      <c r="H123">
        <v>8</v>
      </c>
      <c r="I123">
        <v>8</v>
      </c>
      <c r="J123" t="s">
        <v>453</v>
      </c>
    </row>
    <row r="124" spans="2:10" x14ac:dyDescent="0.35">
      <c r="B124" t="s">
        <v>339</v>
      </c>
      <c r="C124" t="s">
        <v>825</v>
      </c>
      <c r="D124" t="s">
        <v>605</v>
      </c>
      <c r="E124" t="s">
        <v>824</v>
      </c>
      <c r="F124" t="s">
        <v>37</v>
      </c>
      <c r="G124" t="s">
        <v>826</v>
      </c>
      <c r="H124">
        <v>8</v>
      </c>
      <c r="I124">
        <v>0</v>
      </c>
    </row>
    <row r="125" spans="2:10" x14ac:dyDescent="0.35">
      <c r="B125" t="s">
        <v>339</v>
      </c>
      <c r="C125" t="s">
        <v>827</v>
      </c>
      <c r="D125" t="s">
        <v>605</v>
      </c>
      <c r="E125" t="s">
        <v>824</v>
      </c>
      <c r="F125" t="s">
        <v>37</v>
      </c>
      <c r="G125" t="s">
        <v>828</v>
      </c>
      <c r="H125">
        <v>8</v>
      </c>
      <c r="I125">
        <v>0</v>
      </c>
    </row>
    <row r="126" spans="2:10" x14ac:dyDescent="0.35">
      <c r="B126" t="s">
        <v>339</v>
      </c>
      <c r="C126" t="s">
        <v>829</v>
      </c>
      <c r="D126" t="s">
        <v>605</v>
      </c>
      <c r="E126" t="s">
        <v>767</v>
      </c>
      <c r="F126" t="s">
        <v>37</v>
      </c>
      <c r="G126" t="s">
        <v>830</v>
      </c>
      <c r="H126">
        <v>8</v>
      </c>
      <c r="I126">
        <v>0</v>
      </c>
    </row>
    <row r="127" spans="2:10" x14ac:dyDescent="0.35">
      <c r="B127" t="s">
        <v>339</v>
      </c>
      <c r="C127" t="s">
        <v>831</v>
      </c>
      <c r="D127" t="s">
        <v>605</v>
      </c>
      <c r="E127" t="s">
        <v>767</v>
      </c>
      <c r="F127" t="s">
        <v>37</v>
      </c>
      <c r="G127" t="s">
        <v>832</v>
      </c>
      <c r="H127">
        <v>8</v>
      </c>
      <c r="I127">
        <v>0</v>
      </c>
    </row>
    <row r="128" spans="2:10" x14ac:dyDescent="0.35">
      <c r="B128" t="s">
        <v>339</v>
      </c>
      <c r="C128" t="s">
        <v>833</v>
      </c>
      <c r="D128" t="s">
        <v>605</v>
      </c>
      <c r="E128" t="s">
        <v>718</v>
      </c>
      <c r="F128" t="s">
        <v>37</v>
      </c>
      <c r="G128" t="s">
        <v>745</v>
      </c>
      <c r="H128">
        <v>8</v>
      </c>
      <c r="I128">
        <v>0</v>
      </c>
    </row>
    <row r="129" spans="2:10" x14ac:dyDescent="0.35">
      <c r="B129" t="s">
        <v>339</v>
      </c>
      <c r="C129" t="s">
        <v>834</v>
      </c>
      <c r="D129" t="s">
        <v>605</v>
      </c>
      <c r="E129" t="s">
        <v>835</v>
      </c>
      <c r="F129" t="s">
        <v>37</v>
      </c>
      <c r="G129" t="s">
        <v>836</v>
      </c>
      <c r="H129">
        <v>8</v>
      </c>
      <c r="I129">
        <v>0</v>
      </c>
    </row>
    <row r="130" spans="2:10" x14ac:dyDescent="0.35">
      <c r="B130" t="s">
        <v>339</v>
      </c>
      <c r="C130" t="s">
        <v>837</v>
      </c>
      <c r="D130" t="s">
        <v>605</v>
      </c>
      <c r="E130" t="s">
        <v>788</v>
      </c>
      <c r="F130" t="s">
        <v>37</v>
      </c>
      <c r="G130" t="s">
        <v>838</v>
      </c>
      <c r="H130">
        <v>8</v>
      </c>
      <c r="I130">
        <v>0</v>
      </c>
    </row>
    <row r="131" spans="2:10" x14ac:dyDescent="0.35">
      <c r="B131" t="s">
        <v>339</v>
      </c>
      <c r="C131" t="s">
        <v>839</v>
      </c>
      <c r="D131" t="s">
        <v>605</v>
      </c>
      <c r="E131" t="s">
        <v>762</v>
      </c>
      <c r="F131" t="s">
        <v>37</v>
      </c>
      <c r="G131" t="s">
        <v>840</v>
      </c>
      <c r="H131">
        <v>8</v>
      </c>
      <c r="I131">
        <v>0</v>
      </c>
    </row>
    <row r="132" spans="2:10" x14ac:dyDescent="0.35">
      <c r="B132" t="s">
        <v>339</v>
      </c>
      <c r="C132" t="s">
        <v>841</v>
      </c>
      <c r="D132" t="s">
        <v>605</v>
      </c>
      <c r="E132" t="s">
        <v>762</v>
      </c>
      <c r="F132" t="s">
        <v>37</v>
      </c>
      <c r="G132" t="s">
        <v>842</v>
      </c>
      <c r="H132">
        <v>8</v>
      </c>
      <c r="I132">
        <v>8</v>
      </c>
      <c r="J132" t="s">
        <v>453</v>
      </c>
    </row>
    <row r="133" spans="2:10" x14ac:dyDescent="0.35">
      <c r="B133" t="s">
        <v>339</v>
      </c>
      <c r="C133" t="s">
        <v>843</v>
      </c>
      <c r="D133" t="s">
        <v>605</v>
      </c>
      <c r="E133" t="s">
        <v>762</v>
      </c>
      <c r="F133" t="s">
        <v>37</v>
      </c>
      <c r="G133" t="s">
        <v>844</v>
      </c>
      <c r="H133">
        <v>8</v>
      </c>
      <c r="I133">
        <v>0</v>
      </c>
    </row>
    <row r="134" spans="2:10" x14ac:dyDescent="0.35">
      <c r="B134" t="s">
        <v>339</v>
      </c>
      <c r="C134" t="s">
        <v>845</v>
      </c>
      <c r="D134" t="s">
        <v>605</v>
      </c>
      <c r="E134" t="s">
        <v>762</v>
      </c>
      <c r="F134" t="s">
        <v>37</v>
      </c>
      <c r="G134" t="s">
        <v>846</v>
      </c>
      <c r="H134">
        <v>8</v>
      </c>
      <c r="I134">
        <v>0</v>
      </c>
    </row>
    <row r="135" spans="2:10" x14ac:dyDescent="0.35">
      <c r="B135" t="s">
        <v>339</v>
      </c>
      <c r="C135" t="s">
        <v>847</v>
      </c>
      <c r="D135" t="s">
        <v>605</v>
      </c>
      <c r="E135" t="s">
        <v>762</v>
      </c>
      <c r="F135" t="s">
        <v>37</v>
      </c>
      <c r="G135" t="s">
        <v>848</v>
      </c>
      <c r="H135">
        <v>8</v>
      </c>
      <c r="I135">
        <v>0</v>
      </c>
    </row>
    <row r="136" spans="2:10" x14ac:dyDescent="0.35">
      <c r="B136" t="s">
        <v>339</v>
      </c>
      <c r="C136" t="s">
        <v>849</v>
      </c>
      <c r="D136" t="s">
        <v>605</v>
      </c>
      <c r="E136" t="s">
        <v>762</v>
      </c>
      <c r="F136" t="s">
        <v>37</v>
      </c>
      <c r="G136" t="s">
        <v>850</v>
      </c>
      <c r="H136">
        <v>8</v>
      </c>
      <c r="I136">
        <v>0</v>
      </c>
    </row>
    <row r="137" spans="2:10" x14ac:dyDescent="0.35">
      <c r="B137" t="s">
        <v>339</v>
      </c>
      <c r="C137" t="s">
        <v>851</v>
      </c>
      <c r="D137" t="s">
        <v>605</v>
      </c>
      <c r="E137" t="s">
        <v>762</v>
      </c>
      <c r="F137" t="s">
        <v>37</v>
      </c>
      <c r="G137" t="s">
        <v>852</v>
      </c>
      <c r="H137">
        <v>8</v>
      </c>
      <c r="I137">
        <v>0</v>
      </c>
    </row>
    <row r="138" spans="2:10" x14ac:dyDescent="0.35">
      <c r="B138" t="s">
        <v>339</v>
      </c>
      <c r="C138" t="s">
        <v>853</v>
      </c>
      <c r="D138" t="s">
        <v>605</v>
      </c>
      <c r="E138" t="s">
        <v>762</v>
      </c>
      <c r="F138" t="s">
        <v>37</v>
      </c>
      <c r="G138" t="s">
        <v>854</v>
      </c>
      <c r="H138">
        <v>8</v>
      </c>
      <c r="I138">
        <v>0</v>
      </c>
    </row>
    <row r="139" spans="2:10" x14ac:dyDescent="0.35">
      <c r="B139" t="s">
        <v>339</v>
      </c>
      <c r="C139" t="s">
        <v>855</v>
      </c>
      <c r="D139" t="s">
        <v>605</v>
      </c>
      <c r="E139" t="s">
        <v>762</v>
      </c>
      <c r="F139" t="s">
        <v>37</v>
      </c>
      <c r="G139" t="s">
        <v>856</v>
      </c>
      <c r="H139">
        <v>8</v>
      </c>
      <c r="I139">
        <v>0</v>
      </c>
    </row>
    <row r="140" spans="2:10" x14ac:dyDescent="0.35">
      <c r="B140" t="s">
        <v>339</v>
      </c>
      <c r="C140" t="s">
        <v>857</v>
      </c>
      <c r="D140" t="s">
        <v>605</v>
      </c>
      <c r="E140" t="s">
        <v>762</v>
      </c>
      <c r="F140" t="s">
        <v>37</v>
      </c>
      <c r="G140" t="s">
        <v>858</v>
      </c>
      <c r="H140">
        <v>8</v>
      </c>
      <c r="I140">
        <v>0</v>
      </c>
    </row>
    <row r="141" spans="2:10" x14ac:dyDescent="0.35">
      <c r="B141" t="s">
        <v>339</v>
      </c>
      <c r="C141" t="s">
        <v>859</v>
      </c>
      <c r="D141" t="s">
        <v>605</v>
      </c>
      <c r="E141" t="s">
        <v>762</v>
      </c>
      <c r="F141" t="s">
        <v>37</v>
      </c>
      <c r="G141" t="s">
        <v>860</v>
      </c>
      <c r="H141">
        <v>8</v>
      </c>
      <c r="I141">
        <v>0</v>
      </c>
    </row>
    <row r="142" spans="2:10" x14ac:dyDescent="0.35">
      <c r="B142" t="s">
        <v>339</v>
      </c>
      <c r="C142" t="s">
        <v>861</v>
      </c>
      <c r="D142" t="s">
        <v>605</v>
      </c>
      <c r="E142" t="s">
        <v>762</v>
      </c>
      <c r="F142" t="s">
        <v>37</v>
      </c>
      <c r="G142" t="s">
        <v>862</v>
      </c>
      <c r="H142">
        <v>8</v>
      </c>
      <c r="I142">
        <v>0</v>
      </c>
    </row>
    <row r="143" spans="2:10" x14ac:dyDescent="0.35">
      <c r="B143" t="s">
        <v>339</v>
      </c>
      <c r="C143" t="s">
        <v>863</v>
      </c>
      <c r="D143" t="s">
        <v>605</v>
      </c>
      <c r="E143" t="s">
        <v>762</v>
      </c>
      <c r="F143" t="s">
        <v>37</v>
      </c>
      <c r="G143" t="s">
        <v>864</v>
      </c>
      <c r="H143">
        <v>8</v>
      </c>
      <c r="I143">
        <v>0</v>
      </c>
    </row>
    <row r="144" spans="2:10" x14ac:dyDescent="0.35">
      <c r="B144" t="s">
        <v>339</v>
      </c>
      <c r="C144" t="s">
        <v>865</v>
      </c>
      <c r="D144" t="s">
        <v>605</v>
      </c>
      <c r="E144" t="s">
        <v>762</v>
      </c>
      <c r="F144" t="s">
        <v>37</v>
      </c>
      <c r="G144" t="s">
        <v>866</v>
      </c>
      <c r="H144">
        <v>8</v>
      </c>
      <c r="I144">
        <v>0</v>
      </c>
    </row>
    <row r="145" spans="2:10" x14ac:dyDescent="0.35">
      <c r="B145" t="s">
        <v>339</v>
      </c>
      <c r="C145" t="s">
        <v>867</v>
      </c>
      <c r="D145" t="s">
        <v>605</v>
      </c>
      <c r="E145" t="s">
        <v>718</v>
      </c>
      <c r="F145" t="s">
        <v>37</v>
      </c>
      <c r="G145" t="s">
        <v>747</v>
      </c>
      <c r="H145">
        <v>8</v>
      </c>
      <c r="I145">
        <v>0</v>
      </c>
    </row>
    <row r="146" spans="2:10" x14ac:dyDescent="0.35">
      <c r="B146" t="s">
        <v>339</v>
      </c>
      <c r="C146" t="s">
        <v>868</v>
      </c>
      <c r="D146" t="s">
        <v>605</v>
      </c>
      <c r="E146" t="s">
        <v>767</v>
      </c>
      <c r="F146" t="s">
        <v>37</v>
      </c>
      <c r="G146" t="s">
        <v>749</v>
      </c>
      <c r="H146">
        <v>8</v>
      </c>
      <c r="I146">
        <v>0</v>
      </c>
    </row>
    <row r="147" spans="2:10" x14ac:dyDescent="0.35">
      <c r="B147" t="s">
        <v>339</v>
      </c>
      <c r="C147" t="s">
        <v>869</v>
      </c>
      <c r="D147" t="s">
        <v>605</v>
      </c>
      <c r="E147" t="s">
        <v>718</v>
      </c>
      <c r="F147" t="s">
        <v>37</v>
      </c>
      <c r="G147" t="s">
        <v>751</v>
      </c>
      <c r="H147">
        <v>8</v>
      </c>
      <c r="I147">
        <v>0</v>
      </c>
    </row>
    <row r="148" spans="2:10" x14ac:dyDescent="0.35">
      <c r="B148" t="s">
        <v>339</v>
      </c>
      <c r="C148" t="s">
        <v>870</v>
      </c>
      <c r="D148" t="s">
        <v>605</v>
      </c>
      <c r="E148" t="s">
        <v>767</v>
      </c>
      <c r="F148" t="s">
        <v>37</v>
      </c>
      <c r="G148" t="s">
        <v>753</v>
      </c>
      <c r="H148">
        <v>8</v>
      </c>
      <c r="I148">
        <v>0</v>
      </c>
    </row>
    <row r="149" spans="2:10" x14ac:dyDescent="0.35">
      <c r="B149" t="s">
        <v>339</v>
      </c>
      <c r="C149" t="s">
        <v>871</v>
      </c>
      <c r="D149" t="s">
        <v>605</v>
      </c>
      <c r="E149" t="s">
        <v>767</v>
      </c>
      <c r="F149" t="s">
        <v>37</v>
      </c>
      <c r="G149" t="s">
        <v>872</v>
      </c>
      <c r="H149">
        <v>8</v>
      </c>
      <c r="I149">
        <v>0</v>
      </c>
    </row>
    <row r="150" spans="2:10" x14ac:dyDescent="0.35">
      <c r="B150" t="s">
        <v>339</v>
      </c>
      <c r="C150" t="s">
        <v>873</v>
      </c>
      <c r="D150" t="s">
        <v>605</v>
      </c>
      <c r="E150" t="s">
        <v>762</v>
      </c>
      <c r="F150" t="s">
        <v>37</v>
      </c>
      <c r="G150" t="s">
        <v>874</v>
      </c>
      <c r="H150">
        <v>8</v>
      </c>
      <c r="I150">
        <v>0</v>
      </c>
    </row>
    <row r="151" spans="2:10" x14ac:dyDescent="0.35">
      <c r="B151" t="s">
        <v>339</v>
      </c>
      <c r="C151" t="s">
        <v>875</v>
      </c>
      <c r="D151" t="s">
        <v>605</v>
      </c>
      <c r="E151" t="s">
        <v>762</v>
      </c>
      <c r="F151" t="s">
        <v>37</v>
      </c>
      <c r="G151" t="s">
        <v>876</v>
      </c>
      <c r="H151">
        <v>8</v>
      </c>
      <c r="I151">
        <v>0</v>
      </c>
    </row>
    <row r="152" spans="2:10" x14ac:dyDescent="0.35">
      <c r="B152" t="s">
        <v>339</v>
      </c>
      <c r="C152" t="s">
        <v>877</v>
      </c>
      <c r="D152" t="s">
        <v>605</v>
      </c>
      <c r="E152" t="s">
        <v>718</v>
      </c>
      <c r="F152" t="s">
        <v>37</v>
      </c>
      <c r="G152" t="s">
        <v>755</v>
      </c>
      <c r="H152">
        <v>8</v>
      </c>
      <c r="I152">
        <v>0</v>
      </c>
    </row>
    <row r="153" spans="2:10" x14ac:dyDescent="0.35">
      <c r="B153" t="s">
        <v>339</v>
      </c>
      <c r="C153" t="s">
        <v>878</v>
      </c>
      <c r="D153" t="s">
        <v>605</v>
      </c>
      <c r="E153" t="s">
        <v>782</v>
      </c>
      <c r="F153" t="s">
        <v>37</v>
      </c>
      <c r="G153" t="s">
        <v>879</v>
      </c>
      <c r="H153">
        <v>8</v>
      </c>
      <c r="I153">
        <v>0</v>
      </c>
    </row>
    <row r="154" spans="2:10" x14ac:dyDescent="0.35">
      <c r="B154" t="s">
        <v>339</v>
      </c>
      <c r="C154" t="s">
        <v>880</v>
      </c>
      <c r="D154" t="s">
        <v>605</v>
      </c>
      <c r="E154" t="s">
        <v>767</v>
      </c>
      <c r="F154" t="s">
        <v>37</v>
      </c>
      <c r="G154" t="s">
        <v>695</v>
      </c>
      <c r="H154">
        <v>8</v>
      </c>
      <c r="I154">
        <v>0</v>
      </c>
    </row>
    <row r="155" spans="2:10" x14ac:dyDescent="0.35">
      <c r="B155" t="s">
        <v>339</v>
      </c>
      <c r="C155" t="s">
        <v>881</v>
      </c>
      <c r="D155" t="s">
        <v>605</v>
      </c>
      <c r="E155" t="s">
        <v>718</v>
      </c>
      <c r="F155" t="s">
        <v>37</v>
      </c>
      <c r="G155" t="s">
        <v>758</v>
      </c>
      <c r="H155">
        <v>8</v>
      </c>
      <c r="I155">
        <v>0</v>
      </c>
    </row>
    <row r="156" spans="2:10" x14ac:dyDescent="0.35">
      <c r="B156" t="s">
        <v>339</v>
      </c>
      <c r="C156" t="s">
        <v>882</v>
      </c>
      <c r="D156" t="s">
        <v>605</v>
      </c>
      <c r="E156" t="s">
        <v>767</v>
      </c>
      <c r="F156" t="s">
        <v>37</v>
      </c>
      <c r="G156" t="s">
        <v>883</v>
      </c>
      <c r="H156">
        <v>8</v>
      </c>
      <c r="I156">
        <v>0</v>
      </c>
    </row>
    <row r="157" spans="2:10" x14ac:dyDescent="0.35">
      <c r="B157" t="s">
        <v>339</v>
      </c>
      <c r="C157" t="s">
        <v>884</v>
      </c>
      <c r="D157" t="s">
        <v>605</v>
      </c>
      <c r="E157" t="s">
        <v>762</v>
      </c>
      <c r="F157" t="s">
        <v>37</v>
      </c>
      <c r="G157" t="s">
        <v>885</v>
      </c>
      <c r="H157">
        <v>8</v>
      </c>
      <c r="I157">
        <v>8</v>
      </c>
      <c r="J157" t="s">
        <v>453</v>
      </c>
    </row>
    <row r="158" spans="2:10" x14ac:dyDescent="0.35">
      <c r="B158" t="s">
        <v>339</v>
      </c>
      <c r="C158" t="s">
        <v>886</v>
      </c>
      <c r="D158" t="s">
        <v>605</v>
      </c>
      <c r="E158" t="s">
        <v>782</v>
      </c>
      <c r="F158" t="s">
        <v>37</v>
      </c>
      <c r="G158" t="s">
        <v>887</v>
      </c>
      <c r="H158">
        <v>8</v>
      </c>
      <c r="I158">
        <v>0</v>
      </c>
    </row>
    <row r="159" spans="2:10" x14ac:dyDescent="0.35">
      <c r="B159" t="s">
        <v>339</v>
      </c>
      <c r="C159" t="s">
        <v>888</v>
      </c>
      <c r="D159" t="s">
        <v>605</v>
      </c>
      <c r="E159" t="s">
        <v>782</v>
      </c>
      <c r="F159" t="s">
        <v>37</v>
      </c>
      <c r="G159" t="s">
        <v>889</v>
      </c>
      <c r="H159">
        <v>8</v>
      </c>
      <c r="I159">
        <v>0</v>
      </c>
    </row>
    <row r="160" spans="2:10" x14ac:dyDescent="0.35">
      <c r="B160" t="s">
        <v>339</v>
      </c>
      <c r="C160" t="s">
        <v>890</v>
      </c>
      <c r="D160" t="s">
        <v>605</v>
      </c>
      <c r="E160" t="s">
        <v>891</v>
      </c>
      <c r="F160" t="s">
        <v>329</v>
      </c>
      <c r="G160" t="s">
        <v>892</v>
      </c>
      <c r="H160">
        <v>4730</v>
      </c>
      <c r="I160">
        <v>0</v>
      </c>
    </row>
    <row r="161" spans="2:10" x14ac:dyDescent="0.35">
      <c r="B161" t="s">
        <v>339</v>
      </c>
      <c r="C161" t="s">
        <v>893</v>
      </c>
      <c r="D161" t="s">
        <v>605</v>
      </c>
      <c r="E161" t="s">
        <v>718</v>
      </c>
      <c r="F161" t="s">
        <v>329</v>
      </c>
      <c r="G161" t="s">
        <v>894</v>
      </c>
      <c r="H161">
        <v>4730</v>
      </c>
      <c r="I161">
        <v>0</v>
      </c>
    </row>
    <row r="162" spans="2:10" x14ac:dyDescent="0.35">
      <c r="B162" t="s">
        <v>339</v>
      </c>
      <c r="C162" t="s">
        <v>895</v>
      </c>
      <c r="D162" t="s">
        <v>605</v>
      </c>
      <c r="E162" t="s">
        <v>703</v>
      </c>
      <c r="F162" t="s">
        <v>329</v>
      </c>
      <c r="G162" t="s">
        <v>896</v>
      </c>
      <c r="H162">
        <v>4730</v>
      </c>
      <c r="I162">
        <v>0</v>
      </c>
    </row>
    <row r="163" spans="2:10" x14ac:dyDescent="0.35">
      <c r="B163" t="s">
        <v>339</v>
      </c>
      <c r="C163" t="s">
        <v>897</v>
      </c>
      <c r="D163" t="s">
        <v>605</v>
      </c>
      <c r="E163" t="s">
        <v>718</v>
      </c>
      <c r="F163" t="s">
        <v>329</v>
      </c>
      <c r="G163" t="s">
        <v>898</v>
      </c>
      <c r="H163">
        <v>4730</v>
      </c>
      <c r="I163">
        <v>4730</v>
      </c>
      <c r="J163" t="s">
        <v>466</v>
      </c>
    </row>
    <row r="164" spans="2:10" x14ac:dyDescent="0.35">
      <c r="B164" t="s">
        <v>339</v>
      </c>
      <c r="C164" t="s">
        <v>899</v>
      </c>
      <c r="D164" t="s">
        <v>605</v>
      </c>
      <c r="E164" t="s">
        <v>703</v>
      </c>
      <c r="F164" t="s">
        <v>329</v>
      </c>
      <c r="G164" t="s">
        <v>900</v>
      </c>
      <c r="H164">
        <v>4730</v>
      </c>
      <c r="I164">
        <v>0</v>
      </c>
    </row>
    <row r="165" spans="2:10" x14ac:dyDescent="0.35">
      <c r="B165" t="s">
        <v>339</v>
      </c>
      <c r="C165" t="s">
        <v>901</v>
      </c>
      <c r="D165" t="s">
        <v>605</v>
      </c>
      <c r="E165" t="s">
        <v>760</v>
      </c>
      <c r="F165" t="s">
        <v>329</v>
      </c>
      <c r="G165" t="s">
        <v>606</v>
      </c>
      <c r="H165">
        <v>4730</v>
      </c>
      <c r="I165">
        <v>0</v>
      </c>
    </row>
    <row r="166" spans="2:10" x14ac:dyDescent="0.35">
      <c r="B166" t="s">
        <v>339</v>
      </c>
      <c r="C166" t="s">
        <v>902</v>
      </c>
      <c r="D166" t="s">
        <v>605</v>
      </c>
      <c r="E166" t="s">
        <v>762</v>
      </c>
      <c r="F166" t="s">
        <v>329</v>
      </c>
      <c r="G166" t="s">
        <v>903</v>
      </c>
      <c r="H166">
        <v>4730</v>
      </c>
      <c r="I166">
        <v>0</v>
      </c>
    </row>
    <row r="167" spans="2:10" x14ac:dyDescent="0.35">
      <c r="B167" t="s">
        <v>339</v>
      </c>
      <c r="C167" t="s">
        <v>904</v>
      </c>
      <c r="D167" t="s">
        <v>605</v>
      </c>
      <c r="E167" t="s">
        <v>797</v>
      </c>
      <c r="F167" t="s">
        <v>329</v>
      </c>
      <c r="G167" t="s">
        <v>892</v>
      </c>
      <c r="H167">
        <v>4730</v>
      </c>
      <c r="I167">
        <v>0</v>
      </c>
    </row>
    <row r="168" spans="2:10" x14ac:dyDescent="0.35">
      <c r="B168" t="s">
        <v>339</v>
      </c>
      <c r="C168" t="s">
        <v>905</v>
      </c>
      <c r="D168" t="s">
        <v>605</v>
      </c>
      <c r="E168" t="s">
        <v>782</v>
      </c>
      <c r="F168" t="s">
        <v>329</v>
      </c>
      <c r="G168" t="s">
        <v>906</v>
      </c>
      <c r="H168">
        <v>4730</v>
      </c>
      <c r="I168">
        <v>0</v>
      </c>
    </row>
    <row r="169" spans="2:10" x14ac:dyDescent="0.35">
      <c r="B169" t="s">
        <v>339</v>
      </c>
      <c r="C169" t="s">
        <v>907</v>
      </c>
      <c r="D169" t="s">
        <v>605</v>
      </c>
      <c r="E169" t="s">
        <v>718</v>
      </c>
      <c r="F169" t="s">
        <v>329</v>
      </c>
      <c r="G169" t="s">
        <v>894</v>
      </c>
      <c r="H169">
        <v>4730</v>
      </c>
      <c r="I169">
        <v>0</v>
      </c>
    </row>
    <row r="170" spans="2:10" x14ac:dyDescent="0.35">
      <c r="B170" t="s">
        <v>339</v>
      </c>
      <c r="C170" t="s">
        <v>908</v>
      </c>
      <c r="D170" t="s">
        <v>605</v>
      </c>
      <c r="E170" t="s">
        <v>767</v>
      </c>
      <c r="F170" t="s">
        <v>329</v>
      </c>
      <c r="G170" t="s">
        <v>896</v>
      </c>
      <c r="H170">
        <v>4730</v>
      </c>
      <c r="I170">
        <v>0</v>
      </c>
    </row>
    <row r="171" spans="2:10" x14ac:dyDescent="0.35">
      <c r="B171" t="s">
        <v>339</v>
      </c>
      <c r="C171" t="s">
        <v>909</v>
      </c>
      <c r="D171" t="s">
        <v>605</v>
      </c>
      <c r="E171" t="s">
        <v>718</v>
      </c>
      <c r="F171" t="s">
        <v>329</v>
      </c>
      <c r="G171" t="s">
        <v>898</v>
      </c>
      <c r="H171">
        <v>4730</v>
      </c>
      <c r="I171">
        <v>0</v>
      </c>
    </row>
    <row r="172" spans="2:10" x14ac:dyDescent="0.35">
      <c r="B172" t="s">
        <v>339</v>
      </c>
      <c r="C172" t="s">
        <v>910</v>
      </c>
      <c r="D172" t="s">
        <v>605</v>
      </c>
      <c r="E172" t="s">
        <v>767</v>
      </c>
      <c r="F172" t="s">
        <v>329</v>
      </c>
      <c r="G172" t="s">
        <v>900</v>
      </c>
      <c r="H172">
        <v>4730</v>
      </c>
      <c r="I172">
        <v>0</v>
      </c>
    </row>
    <row r="173" spans="2:10" x14ac:dyDescent="0.35">
      <c r="B173" t="s">
        <v>339</v>
      </c>
      <c r="C173" t="s">
        <v>911</v>
      </c>
      <c r="D173" t="s">
        <v>605</v>
      </c>
      <c r="E173" t="s">
        <v>912</v>
      </c>
      <c r="F173" t="s">
        <v>329</v>
      </c>
      <c r="G173" t="s">
        <v>913</v>
      </c>
      <c r="H173">
        <v>4730</v>
      </c>
      <c r="I173">
        <v>0</v>
      </c>
    </row>
    <row r="174" spans="2:10" x14ac:dyDescent="0.35">
      <c r="B174" t="s">
        <v>339</v>
      </c>
      <c r="C174" t="s">
        <v>914</v>
      </c>
      <c r="D174" t="s">
        <v>605</v>
      </c>
      <c r="E174" t="s">
        <v>790</v>
      </c>
      <c r="F174" t="s">
        <v>329</v>
      </c>
      <c r="G174" t="s">
        <v>915</v>
      </c>
      <c r="H174">
        <v>4730</v>
      </c>
      <c r="I174">
        <v>0</v>
      </c>
    </row>
    <row r="175" spans="2:10" x14ac:dyDescent="0.35">
      <c r="B175" t="s">
        <v>339</v>
      </c>
      <c r="C175" t="s">
        <v>916</v>
      </c>
      <c r="D175" t="s">
        <v>605</v>
      </c>
      <c r="E175" t="s">
        <v>762</v>
      </c>
      <c r="F175" t="s">
        <v>329</v>
      </c>
      <c r="G175" t="s">
        <v>917</v>
      </c>
      <c r="H175">
        <v>4730</v>
      </c>
      <c r="I175">
        <v>0</v>
      </c>
    </row>
    <row r="176" spans="2:10" x14ac:dyDescent="0.35">
      <c r="B176" t="s">
        <v>339</v>
      </c>
      <c r="C176" t="s">
        <v>918</v>
      </c>
      <c r="D176" t="s">
        <v>605</v>
      </c>
      <c r="E176" t="s">
        <v>762</v>
      </c>
      <c r="F176" t="s">
        <v>329</v>
      </c>
      <c r="G176" t="s">
        <v>919</v>
      </c>
      <c r="H176">
        <v>4730</v>
      </c>
      <c r="I176">
        <v>0</v>
      </c>
    </row>
    <row r="177" spans="2:10" x14ac:dyDescent="0.35">
      <c r="B177" t="s">
        <v>339</v>
      </c>
      <c r="C177" t="s">
        <v>920</v>
      </c>
      <c r="D177" t="s">
        <v>605</v>
      </c>
      <c r="E177" t="s">
        <v>718</v>
      </c>
      <c r="F177" t="s">
        <v>329</v>
      </c>
      <c r="G177" t="s">
        <v>921</v>
      </c>
      <c r="H177">
        <v>4730</v>
      </c>
      <c r="I177">
        <v>4730</v>
      </c>
      <c r="J177" t="s">
        <v>466</v>
      </c>
    </row>
    <row r="178" spans="2:10" x14ac:dyDescent="0.35">
      <c r="B178" t="s">
        <v>339</v>
      </c>
      <c r="C178" t="s">
        <v>922</v>
      </c>
      <c r="D178" t="s">
        <v>605</v>
      </c>
      <c r="E178" t="s">
        <v>790</v>
      </c>
      <c r="F178" t="s">
        <v>329</v>
      </c>
      <c r="G178" t="s">
        <v>923</v>
      </c>
      <c r="H178">
        <v>4730</v>
      </c>
      <c r="I178">
        <v>0</v>
      </c>
    </row>
    <row r="179" spans="2:10" x14ac:dyDescent="0.35">
      <c r="B179" t="s">
        <v>339</v>
      </c>
      <c r="C179" t="s">
        <v>924</v>
      </c>
      <c r="D179" t="s">
        <v>605</v>
      </c>
      <c r="E179" t="s">
        <v>718</v>
      </c>
      <c r="F179" t="s">
        <v>329</v>
      </c>
      <c r="G179" t="s">
        <v>925</v>
      </c>
      <c r="H179">
        <v>4730</v>
      </c>
      <c r="I179">
        <v>4730</v>
      </c>
      <c r="J179" t="s">
        <v>466</v>
      </c>
    </row>
    <row r="180" spans="2:10" x14ac:dyDescent="0.35">
      <c r="B180" t="s">
        <v>339</v>
      </c>
      <c r="C180" t="s">
        <v>926</v>
      </c>
      <c r="D180" t="s">
        <v>605</v>
      </c>
      <c r="E180" t="s">
        <v>623</v>
      </c>
      <c r="F180" t="s">
        <v>331</v>
      </c>
      <c r="G180" t="s">
        <v>927</v>
      </c>
      <c r="H180">
        <v>4740</v>
      </c>
      <c r="I180">
        <v>4740</v>
      </c>
      <c r="J180" t="s">
        <v>489</v>
      </c>
    </row>
    <row r="181" spans="2:10" x14ac:dyDescent="0.35">
      <c r="B181" t="s">
        <v>339</v>
      </c>
      <c r="C181" t="s">
        <v>928</v>
      </c>
      <c r="D181" t="s">
        <v>605</v>
      </c>
      <c r="E181" t="s">
        <v>718</v>
      </c>
      <c r="F181" t="s">
        <v>331</v>
      </c>
      <c r="G181" t="s">
        <v>927</v>
      </c>
      <c r="H181">
        <v>4740</v>
      </c>
      <c r="I181">
        <v>0</v>
      </c>
    </row>
    <row r="182" spans="2:10" x14ac:dyDescent="0.35">
      <c r="B182" t="s">
        <v>339</v>
      </c>
      <c r="C182" t="s">
        <v>929</v>
      </c>
      <c r="D182" t="s">
        <v>605</v>
      </c>
      <c r="E182" t="s">
        <v>718</v>
      </c>
      <c r="F182" t="s">
        <v>331</v>
      </c>
      <c r="G182" t="s">
        <v>930</v>
      </c>
      <c r="H182">
        <v>4740</v>
      </c>
      <c r="I182">
        <v>0</v>
      </c>
    </row>
    <row r="183" spans="2:10" x14ac:dyDescent="0.35">
      <c r="B183" t="s">
        <v>339</v>
      </c>
      <c r="C183" t="s">
        <v>931</v>
      </c>
      <c r="D183" t="s">
        <v>605</v>
      </c>
      <c r="E183" t="s">
        <v>797</v>
      </c>
      <c r="F183" t="s">
        <v>331</v>
      </c>
      <c r="G183" t="s">
        <v>932</v>
      </c>
      <c r="H183">
        <v>4740</v>
      </c>
      <c r="I183">
        <v>2</v>
      </c>
      <c r="J183" t="s">
        <v>492</v>
      </c>
    </row>
    <row r="184" spans="2:10" x14ac:dyDescent="0.35">
      <c r="B184" t="s">
        <v>339</v>
      </c>
      <c r="C184" t="s">
        <v>933</v>
      </c>
      <c r="D184" t="s">
        <v>605</v>
      </c>
      <c r="E184" t="s">
        <v>934</v>
      </c>
      <c r="F184" t="s">
        <v>331</v>
      </c>
      <c r="G184" t="s">
        <v>606</v>
      </c>
      <c r="H184">
        <v>4740</v>
      </c>
      <c r="I184">
        <v>0</v>
      </c>
    </row>
    <row r="185" spans="2:10" x14ac:dyDescent="0.35">
      <c r="B185" t="s">
        <v>339</v>
      </c>
      <c r="C185" t="s">
        <v>935</v>
      </c>
      <c r="D185" t="s">
        <v>605</v>
      </c>
      <c r="E185" t="s">
        <v>936</v>
      </c>
      <c r="F185" t="s">
        <v>331</v>
      </c>
      <c r="G185" t="s">
        <v>937</v>
      </c>
      <c r="H185">
        <v>4740</v>
      </c>
      <c r="I185">
        <v>0</v>
      </c>
    </row>
    <row r="186" spans="2:10" x14ac:dyDescent="0.35">
      <c r="B186" t="s">
        <v>339</v>
      </c>
      <c r="C186" t="s">
        <v>938</v>
      </c>
      <c r="D186" t="s">
        <v>605</v>
      </c>
      <c r="E186" t="s">
        <v>936</v>
      </c>
      <c r="F186" t="s">
        <v>331</v>
      </c>
      <c r="G186" t="s">
        <v>939</v>
      </c>
      <c r="H186">
        <v>4740</v>
      </c>
      <c r="I186">
        <v>0</v>
      </c>
    </row>
    <row r="187" spans="2:10" x14ac:dyDescent="0.35">
      <c r="B187" t="s">
        <v>339</v>
      </c>
      <c r="C187" t="s">
        <v>940</v>
      </c>
      <c r="D187" t="s">
        <v>605</v>
      </c>
      <c r="E187" t="s">
        <v>936</v>
      </c>
      <c r="F187" t="s">
        <v>331</v>
      </c>
      <c r="G187" t="s">
        <v>927</v>
      </c>
      <c r="H187">
        <v>4740</v>
      </c>
      <c r="I187">
        <v>0</v>
      </c>
    </row>
    <row r="188" spans="2:10" x14ac:dyDescent="0.35">
      <c r="B188" t="s">
        <v>339</v>
      </c>
      <c r="C188" t="s">
        <v>941</v>
      </c>
      <c r="D188" t="s">
        <v>605</v>
      </c>
      <c r="E188" t="s">
        <v>936</v>
      </c>
      <c r="F188" t="s">
        <v>331</v>
      </c>
      <c r="G188" t="s">
        <v>942</v>
      </c>
      <c r="H188">
        <v>4740</v>
      </c>
      <c r="I188">
        <v>2</v>
      </c>
      <c r="J188" t="s">
        <v>492</v>
      </c>
    </row>
    <row r="189" spans="2:10" x14ac:dyDescent="0.35">
      <c r="B189" t="s">
        <v>339</v>
      </c>
      <c r="C189" t="s">
        <v>943</v>
      </c>
      <c r="D189" t="s">
        <v>605</v>
      </c>
      <c r="E189" t="s">
        <v>936</v>
      </c>
      <c r="F189" t="s">
        <v>331</v>
      </c>
      <c r="G189" t="s">
        <v>944</v>
      </c>
      <c r="H189">
        <v>4740</v>
      </c>
      <c r="I189">
        <v>0</v>
      </c>
    </row>
    <row r="190" spans="2:10" x14ac:dyDescent="0.35">
      <c r="B190" t="s">
        <v>339</v>
      </c>
      <c r="C190" t="s">
        <v>945</v>
      </c>
      <c r="D190" t="s">
        <v>605</v>
      </c>
      <c r="E190" t="s">
        <v>936</v>
      </c>
      <c r="F190" t="s">
        <v>331</v>
      </c>
      <c r="G190" t="s">
        <v>946</v>
      </c>
      <c r="H190">
        <v>4740</v>
      </c>
      <c r="I190">
        <v>0</v>
      </c>
    </row>
    <row r="191" spans="2:10" x14ac:dyDescent="0.35">
      <c r="B191" t="s">
        <v>339</v>
      </c>
      <c r="C191" t="s">
        <v>947</v>
      </c>
      <c r="D191" t="s">
        <v>605</v>
      </c>
      <c r="E191" t="s">
        <v>936</v>
      </c>
      <c r="F191" t="s">
        <v>331</v>
      </c>
      <c r="G191" t="s">
        <v>948</v>
      </c>
      <c r="H191">
        <v>4740</v>
      </c>
      <c r="I191">
        <v>0</v>
      </c>
    </row>
    <row r="192" spans="2:10" x14ac:dyDescent="0.35">
      <c r="B192" t="s">
        <v>339</v>
      </c>
      <c r="C192" t="s">
        <v>949</v>
      </c>
      <c r="D192" t="s">
        <v>605</v>
      </c>
      <c r="E192" t="s">
        <v>936</v>
      </c>
      <c r="F192" t="s">
        <v>331</v>
      </c>
      <c r="G192" t="s">
        <v>930</v>
      </c>
      <c r="H192">
        <v>4740</v>
      </c>
      <c r="I192">
        <v>0</v>
      </c>
    </row>
    <row r="193" spans="2:10" x14ac:dyDescent="0.35">
      <c r="B193" t="s">
        <v>339</v>
      </c>
      <c r="C193" t="s">
        <v>950</v>
      </c>
      <c r="D193" t="s">
        <v>605</v>
      </c>
      <c r="E193" t="s">
        <v>936</v>
      </c>
      <c r="F193" t="s">
        <v>331</v>
      </c>
      <c r="G193" t="s">
        <v>932</v>
      </c>
      <c r="H193">
        <v>4740</v>
      </c>
      <c r="I193">
        <v>2</v>
      </c>
      <c r="J193" t="s">
        <v>492</v>
      </c>
    </row>
    <row r="194" spans="2:10" x14ac:dyDescent="0.35">
      <c r="B194" t="s">
        <v>339</v>
      </c>
      <c r="C194" t="s">
        <v>951</v>
      </c>
      <c r="D194" t="s">
        <v>605</v>
      </c>
      <c r="E194" t="s">
        <v>934</v>
      </c>
      <c r="F194" t="s">
        <v>331</v>
      </c>
      <c r="G194" t="s">
        <v>952</v>
      </c>
      <c r="H194">
        <v>4740</v>
      </c>
      <c r="I194">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316</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333</v>
      </c>
      <c r="H8" s="91" t="s">
        <v>116</v>
      </c>
      <c r="I8" s="84" t="s">
        <v>118</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50FECB1B-F430-4C3F-94C2-3F43B0DB5705}"/>
</file>

<file path=customXml/itemProps2.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Instruções</vt:lpstr>
      <vt:lpstr>Param_RefDate</vt:lpstr>
      <vt:lpstr>1. Dashboard</vt:lpstr>
      <vt:lpstr>2. Inputs --&gt;</vt:lpstr>
      <vt:lpstr>2.1. Controlos</vt:lpstr>
      <vt:lpstr>2.1. Regulamentares</vt:lpstr>
      <vt:lpstr>2.2. Outros</vt:lpstr>
      <vt:lpstr>2.3. Processo</vt:lpstr>
      <vt:lpstr>Query1</vt:lpstr>
      <vt:lpstr>Query 2</vt:lpstr>
      <vt:lpstr>2.2. Outros - TESTE</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2025-12-16T09:50:33Z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