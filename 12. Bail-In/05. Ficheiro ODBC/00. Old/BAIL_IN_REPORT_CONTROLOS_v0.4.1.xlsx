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00. Old/"/>
    </mc:Choice>
  </mc:AlternateContent>
  <xr:revisionPtr revIDLastSave="3" documentId="8_{68D7A680-878A-4D75-9E14-80051028A628}" xr6:coauthVersionLast="47" xr6:coauthVersionMax="47" xr10:uidLastSave="{7A6F51D8-9E7D-404B-A206-F78D21BB2A72}"/>
  <bookViews>
    <workbookView xWindow="28680" yWindow="-120" windowWidth="29040" windowHeight="15720" tabRatio="841" activeTab="4" xr2:uid="{DED8A1EF-114B-416A-A2FD-746D90C253E2}"/>
  </bookViews>
  <sheets>
    <sheet name="Instruções" sheetId="10" r:id="rId1"/>
    <sheet name="Param_RefDate" sheetId="13" state="hidden" r:id="rId2"/>
    <sheet name="1. Dashboard" sheetId="1" r:id="rId3"/>
    <sheet name="2. Inputs --&gt;" sheetId="3" r:id="rId4"/>
    <sheet name="Query1" sheetId="12" r:id="rId5"/>
    <sheet name="2.1. Regulamentares" sheetId="2" r:id="rId6"/>
    <sheet name="2.2. Outros" sheetId="5" r:id="rId7"/>
    <sheet name="2.2. Outros - TESTE" sheetId="11" state="hidden" r:id="rId8"/>
    <sheet name="2.3. Processo" sheetId="7" r:id="rId9"/>
  </sheets>
  <definedNames>
    <definedName name="_xlnm._FilterDatabase" localSheetId="5" hidden="1">'2.1. Regulamentares'!$B$8:$I$198</definedName>
    <definedName name="_xlnm._FilterDatabase" localSheetId="6" hidden="1">'2.2. Outros'!$B$8:$H$154</definedName>
    <definedName name="_xlnm._FilterDatabase" localSheetId="7" hidden="1">'2.2. Outros - TESTE'!$B$8:$H$154</definedName>
    <definedName name="ExternalData_1" localSheetId="1" hidden="1">Param_RefDate!$A$1:$A$2</definedName>
    <definedName name="ExternalData_1" localSheetId="4" hidden="1">Query1!$B$9:$J$168</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7" l="1"/>
  <c r="L27" i="7"/>
  <c r="K27" i="7"/>
  <c r="M26" i="7"/>
  <c r="L26" i="7"/>
  <c r="K26" i="7"/>
  <c r="M25" i="7"/>
  <c r="L25" i="7"/>
  <c r="K25" i="7"/>
  <c r="M20" i="7"/>
  <c r="L20" i="7"/>
  <c r="K20" i="7"/>
  <c r="M19" i="7"/>
  <c r="L19" i="7"/>
  <c r="K19" i="7"/>
  <c r="M18" i="7"/>
  <c r="L18" i="7"/>
  <c r="K18" i="7"/>
  <c r="M13" i="7"/>
  <c r="L13" i="7"/>
  <c r="K13" i="7"/>
  <c r="M12" i="7"/>
  <c r="L12" i="7"/>
  <c r="K12" i="7"/>
  <c r="M11" i="7"/>
  <c r="L11" i="7"/>
  <c r="K11" i="7"/>
  <c r="J76" i="1"/>
  <c r="J75" i="1"/>
  <c r="J74" i="1"/>
  <c r="J73" i="1"/>
  <c r="J72" i="1"/>
  <c r="J71" i="1"/>
  <c r="H76" i="1"/>
  <c r="H75" i="1"/>
  <c r="H74" i="1"/>
  <c r="H73" i="1"/>
  <c r="H72" i="1"/>
  <c r="H71" i="1"/>
  <c r="F76" i="1"/>
  <c r="F74" i="1"/>
  <c r="F73" i="1"/>
  <c r="F72" i="1"/>
  <c r="F71" i="1"/>
  <c r="I75" i="1"/>
  <c r="G75" i="1"/>
  <c r="E75" i="1"/>
  <c r="F75" i="1" s="1"/>
  <c r="D75" i="1"/>
  <c r="I73" i="1"/>
  <c r="G73" i="1"/>
  <c r="E73" i="1"/>
  <c r="D73" i="1"/>
  <c r="I71" i="1"/>
  <c r="G71" i="1"/>
  <c r="E71" i="1"/>
  <c r="D71" i="1"/>
  <c r="H157" i="5"/>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4" i="1" l="1"/>
  <c r="I54" i="1"/>
  <c r="I44" i="1"/>
  <c r="I62" i="1"/>
  <c r="G64" i="1"/>
  <c r="G54" i="1"/>
  <c r="G44" i="1"/>
  <c r="I52" i="1"/>
  <c r="I63" i="1"/>
  <c r="I53" i="1"/>
  <c r="I43" i="1"/>
  <c r="I42" i="1"/>
  <c r="G63" i="1"/>
  <c r="G53" i="1"/>
  <c r="G43" i="1"/>
  <c r="G51" i="1"/>
  <c r="G62" i="1"/>
  <c r="G52" i="1"/>
  <c r="G42" i="1"/>
  <c r="I61" i="1"/>
  <c r="I51" i="1"/>
  <c r="I41" i="1"/>
  <c r="G61" i="1"/>
  <c r="G60" i="1" s="1"/>
  <c r="G41" i="1"/>
  <c r="D53" i="1"/>
  <c r="D63" i="1"/>
  <c r="D54" i="1"/>
  <c r="D64" i="1"/>
  <c r="D52" i="1"/>
  <c r="E52" i="1"/>
  <c r="E62" i="1"/>
  <c r="F62" i="1" s="1"/>
  <c r="D62" i="1"/>
  <c r="E61" i="1"/>
  <c r="F61" i="1" s="1"/>
  <c r="E53" i="1"/>
  <c r="F53" i="1" s="1"/>
  <c r="E63" i="1"/>
  <c r="F63" i="1" s="1"/>
  <c r="E51" i="1"/>
  <c r="E54" i="1"/>
  <c r="F54" i="1" s="1"/>
  <c r="E64" i="1"/>
  <c r="F64" i="1" s="1"/>
  <c r="D51" i="1"/>
  <c r="D61" i="1"/>
  <c r="D44" i="1"/>
  <c r="D42" i="1"/>
  <c r="E41" i="1"/>
  <c r="D43" i="1"/>
  <c r="E42" i="1"/>
  <c r="E44" i="1"/>
  <c r="F44" i="1" s="1"/>
  <c r="E43" i="1"/>
  <c r="D41"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41" i="1" l="1"/>
  <c r="F43" i="1"/>
  <c r="H41" i="1"/>
  <c r="H51" i="1"/>
  <c r="J52" i="1"/>
  <c r="H61" i="1"/>
  <c r="H43" i="1"/>
  <c r="H44" i="1"/>
  <c r="F42" i="1"/>
  <c r="F52" i="1"/>
  <c r="J41" i="1"/>
  <c r="H53" i="1"/>
  <c r="H54" i="1"/>
  <c r="J51" i="1"/>
  <c r="H63" i="1"/>
  <c r="H64" i="1"/>
  <c r="F51" i="1"/>
  <c r="J61" i="1"/>
  <c r="J42" i="1"/>
  <c r="J62" i="1"/>
  <c r="H42" i="1"/>
  <c r="J43" i="1"/>
  <c r="J44" i="1"/>
  <c r="H52" i="1"/>
  <c r="J53" i="1"/>
  <c r="J54" i="1"/>
  <c r="H62" i="1"/>
  <c r="J63" i="1"/>
  <c r="J64" i="1"/>
  <c r="G50" i="1"/>
  <c r="H50" i="1" s="1"/>
  <c r="I50" i="1"/>
  <c r="E60" i="1"/>
  <c r="F60" i="1" s="1"/>
  <c r="I40" i="1"/>
  <c r="I60" i="1"/>
  <c r="E50" i="1"/>
  <c r="D60" i="1"/>
  <c r="H60" i="1" s="1"/>
  <c r="D50" i="1"/>
  <c r="G40" i="1"/>
  <c r="E40" i="1"/>
  <c r="F40" i="1" s="1"/>
  <c r="D40" i="1"/>
  <c r="F82" i="2"/>
  <c r="F101" i="2"/>
  <c r="F37" i="2"/>
  <c r="F18" i="2"/>
  <c r="H169" i="2"/>
  <c r="F10" i="2"/>
  <c r="H137" i="2"/>
  <c r="H105" i="2"/>
  <c r="F165" i="2"/>
  <c r="H73" i="2"/>
  <c r="F146" i="2"/>
  <c r="H41" i="2"/>
  <c r="F186" i="2"/>
  <c r="G59"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J50" i="1" l="1"/>
  <c r="F50" i="1"/>
  <c r="J60" i="1"/>
  <c r="H40" i="1"/>
  <c r="J40" i="1"/>
  <c r="D49" i="1"/>
  <c r="E39" i="1"/>
  <c r="D39" i="1"/>
  <c r="G48" i="1"/>
  <c r="I48" i="1"/>
  <c r="E48" i="1"/>
  <c r="G47" i="1"/>
  <c r="E57" i="1"/>
  <c r="G57" i="1"/>
  <c r="G38" i="1"/>
  <c r="D37" i="1"/>
  <c r="D47" i="1"/>
  <c r="I37" i="1"/>
  <c r="E49" i="1"/>
  <c r="F49" i="1" s="1"/>
  <c r="G49" i="1"/>
  <c r="H49" i="1" s="1"/>
  <c r="I38" i="1"/>
  <c r="E47" i="1"/>
  <c r="F47" i="1" s="1"/>
  <c r="D58" i="1"/>
  <c r="E58" i="1"/>
  <c r="D48" i="1"/>
  <c r="I49" i="1"/>
  <c r="J49" i="1" s="1"/>
  <c r="I57" i="1"/>
  <c r="E59" i="1"/>
  <c r="E38" i="1"/>
  <c r="I47" i="1"/>
  <c r="J47" i="1" s="1"/>
  <c r="G58" i="1"/>
  <c r="H58" i="1" s="1"/>
  <c r="I58" i="1"/>
  <c r="J58" i="1" s="1"/>
  <c r="D38" i="1"/>
  <c r="G39" i="1"/>
  <c r="I39" i="1"/>
  <c r="D57" i="1"/>
  <c r="I59" i="1"/>
  <c r="E37" i="1"/>
  <c r="D59" i="1"/>
  <c r="H59" i="1" s="1"/>
  <c r="G37" i="1"/>
  <c r="H37" i="1" s="1"/>
  <c r="J39" i="1" l="1"/>
  <c r="H39" i="1"/>
  <c r="J37" i="1"/>
  <c r="J59" i="1"/>
  <c r="J48" i="1"/>
  <c r="H48" i="1"/>
  <c r="F58" i="1"/>
  <c r="H38" i="1"/>
  <c r="F39" i="1"/>
  <c r="H57" i="1"/>
  <c r="F38" i="1"/>
  <c r="J38" i="1"/>
  <c r="F57" i="1"/>
  <c r="D56" i="1"/>
  <c r="D55" i="1" s="1"/>
  <c r="F59" i="1"/>
  <c r="J57" i="1"/>
  <c r="F48" i="1"/>
  <c r="D46" i="1"/>
  <c r="D45" i="1" s="1"/>
  <c r="I36" i="1"/>
  <c r="H47" i="1"/>
  <c r="G46" i="1"/>
  <c r="H46" i="1" s="1"/>
  <c r="I46" i="1"/>
  <c r="E46" i="1"/>
  <c r="F46" i="1" s="1"/>
  <c r="D36" i="1"/>
  <c r="I56" i="1"/>
  <c r="G56" i="1"/>
  <c r="E36" i="1"/>
  <c r="F37" i="1"/>
  <c r="E56" i="1"/>
  <c r="G36" i="1"/>
  <c r="J36" i="1" l="1"/>
  <c r="H56" i="1"/>
  <c r="J56" i="1"/>
  <c r="E55" i="1"/>
  <c r="F55" i="1" s="1"/>
  <c r="F56" i="1"/>
  <c r="G35" i="1"/>
  <c r="H36" i="1"/>
  <c r="J46" i="1"/>
  <c r="D35" i="1"/>
  <c r="G55" i="1"/>
  <c r="H55" i="1" s="1"/>
  <c r="E45" i="1"/>
  <c r="F45" i="1" s="1"/>
  <c r="I55" i="1"/>
  <c r="J55" i="1" s="1"/>
  <c r="I35" i="1"/>
  <c r="I45" i="1"/>
  <c r="J45" i="1" s="1"/>
  <c r="F36" i="1"/>
  <c r="E35" i="1"/>
  <c r="G45" i="1"/>
  <c r="H45" i="1" s="1"/>
  <c r="J35" i="1" l="1"/>
  <c r="F35" i="1"/>
  <c r="H35" i="1"/>
  <c r="I65" i="1"/>
  <c r="E65" i="1"/>
  <c r="D65" i="1"/>
  <c r="F65" i="1" l="1"/>
  <c r="J65" i="1"/>
  <c r="G65" i="1"/>
  <c r="H6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2"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<sst xmlns="http://schemas.openxmlformats.org/spreadsheetml/2006/main" count="1820" uniqueCount="610">
  <si>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</si>
  <si>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</si>
  <si>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</si>
  <si>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</si>
  <si>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</si>
  <si>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</si>
  <si>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</si>
  <si>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</si>
  <si>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</si>
  <si>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</si>
  <si>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</si>
  <si>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</si>
  <si>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</si>
  <si>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</si>
  <si>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</si>
  <si>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</si>
  <si>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</si>
  <si>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</si>
  <si>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</si>
  <si>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</si>
  <si>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</si>
  <si>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</si>
  <si>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</si>
  <si>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</si>
  <si>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</si>
  <si>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</si>
  <si>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</si>
  <si>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</si>
  <si>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</si>
  <si>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</si>
  <si>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</si>
  <si>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</si>
  <si>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</si>
  <si>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</si>
  <si>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</si>
  <si>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</si>
  <si>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</si>
  <si>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</si>
  <si>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</si>
  <si>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</si>
  <si>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</si>
  <si>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</si>
  <si>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</si>
  <si>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</si>
  <si>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</si>
  <si>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</si>
  <si>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</si>
  <si>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</si>
  <si>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</si>
  <si>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</si>
  <si>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</si>
  <si>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</si>
  <si>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</si>
  <si>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</si>
  <si>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</si>
  <si>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</si>
  <si>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</si>
  <si>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</si>
  <si>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</si>
  <si>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</si>
  <si>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</si>
  <si>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</si>
  <si>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</si>
  <si>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</si>
  <si>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</si>
  <si>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</si>
  <si>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</si>
  <si>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</si>
  <si>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</si>
  <si>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</si>
  <si>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</si>
  <si>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</si>
  <si>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</si>
  <si>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</si>
  <si>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</si>
  <si>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</si>
  <si>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</si>
  <si>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</si>
  <si>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</si>
  <si>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</si>
  <si>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</si>
  <si>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</si>
  <si>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</si>
  <si>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</si>
  <si>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</si>
  <si>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</si>
  <si>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</si>
  <si>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</si>
  <si>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</si>
  <si>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</si>
  <si>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</si>
  <si>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</si>
  <si>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</si>
  <si>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</si>
  <si>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</si>
  <si>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</si>
  <si>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</si>
  <si>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</si>
  <si>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</si>
  <si>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</si>
  <si>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</si>
  <si>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</si>
  <si>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</si>
  <si>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</si>
  <si>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</si>
  <si>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</si>
  <si>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</si>
  <si>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</si>
  <si>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</si>
  <si>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</si>
  <si>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</si>
  <si>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</si>
  <si>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</si>
  <si>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</si>
  <si>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</si>
  <si>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</si>
  <si>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</si>
  <si>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</si>
  <si>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</si>
  <si>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</si>
  <si>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</si>
  <si>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</si>
  <si>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</si>
  <si>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</si>
  <si>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</si>
  <si>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</si>
  <si>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</si>
  <si>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</si>
  <si>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</si>
  <si>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</si>
  <si>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</si>
  <si>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</si>
  <si>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</si>
  <si>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</si>
  <si>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</si>
  <si>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</si>
  <si>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</si>
  <si>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</si>
  <si>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</si>
  <si>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</si>
  <si>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</si>
  <si>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</si>
  <si>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</si>
  <si>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</si>
  <si>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</si>
  <si>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</si>
  <si>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</si>
  <si>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</si>
  <si>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</si>
  <si>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</si>
  <si>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</si>
  <si>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</si>
  <si>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</si>
  <si>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</si>
  <si>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</si>
  <si>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</si>
  <si>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</si>
  <si>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</si>
  <si>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</si>
  <si>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</si>
  <si>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</si>
  <si>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</si>
  <si>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</si>
  <si>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</si>
  <si>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</si>
  <si>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</si>
  <si>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</si>
  <si>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</si>
  <si>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</si>
  <si>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</si>
  <si>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</si>
  <si>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</si>
  <si>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</si>
  <si>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</si>
  <si>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</si>
  <si>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</si>
  <si>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</si>
  <si>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</si>
  <si>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</si>
  <si>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</si>
  <si>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</si>
  <si>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</si>
  <si>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</si>
  <si>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</si>
  <si>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</si>
  <si>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</si>
  <si>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</si>
  <si>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</si>
  <si>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</si>
  <si>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</si>
  <si>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</si>
  <si>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</si>
  <si>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</si>
  <si>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</si>
  <si>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</si>
  <si>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</si>
  <si>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</si>
  <si>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</si>
  <si>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</si>
  <si>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</si>
  <si>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</si>
  <si>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</si>
  <si>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</si>
  <si>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</si>
  <si>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</si>
  <si>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</si>
  <si>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</si>
  <si>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</si>
  <si>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</si>
  <si>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</si>
  <si>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</si>
  <si>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</si>
  <si>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</si>
  <si>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</si>
  <si>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</si>
  <si>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</si>
  <si>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</si>
  <si>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</si>
  <si>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</si>
  <si>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</si>
  <si>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</si>
  <si>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</si>
  <si>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</si>
  <si>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</si>
  <si>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</si>
  <si>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</si>
  <si>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</si>
  <si>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</si>
  <si>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</si>
  <si>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</si>
  <si>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</si>
  <si>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</si>
  <si>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</si>
  <si>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</si>
  <si>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</si>
  <si>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</si>
  <si>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</si>
  <si>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</si>
  <si>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</si>
  <si>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</si>
  <si>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</si>
  <si>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</si>
  <si>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</si>
  <si>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</si>
  <si>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</si>
  <si>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</si>
  <si>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</si>
  <si>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</si>
  <si>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</si>
  <si>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</si>
  <si>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</si>
  <si>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</si>
  <si>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</si>
  <si>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</si>
  <si>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</si>
  <si>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</si>
  <si>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</si>
  <si>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</si>
  <si>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</si>
  <si>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</si>
  <si>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</si>
  <si>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</si>
  <si>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</si>
  <si>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</si>
  <si>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</si>
  <si>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</si>
  <si>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</si>
  <si>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</si>
  <si>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</si>
  <si>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</si>
  <si>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</si>
  <si>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</si>
  <si>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</si>
  <si>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</si>
  <si>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</si>
  <si>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</si>
  <si>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</si>
  <si>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</si>
  <si>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</si>
  <si>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</si>
  <si>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</si>
  <si>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</si>
  <si>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</si>
  <si>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</si>
  <si>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</si>
  <si>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</si>
  <si>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</si>
  <si>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</si>
  <si>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</si>
  <si>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</si>
  <si>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</si>
  <si>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</si>
  <si>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</si>
  <si>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</si>
  <si>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</si>
  <si>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</si>
  <si>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</si>
  <si>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</si>
  <si>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</si>
  <si>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</si>
  <si>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</si>
  <si>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</si>
  <si>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</si>
  <si>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</si>
  <si>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</si>
  <si>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</si>
  <si>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</si>
  <si>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</si>
  <si>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</si>
  <si>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</si>
  <si>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</si>
  <si>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</si>
  <si>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</si>
  <si>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</si>
  <si>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</si>
  <si>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</si>
  <si>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</si>
  <si>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</si>
  <si>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</si>
  <si>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</si>
  <si>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</si>
  <si>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</si>
  <si>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</si>
  <si>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</si>
  <si>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</si>
  <si>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</si>
  <si>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</si>
  <si>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</si>
  <si>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</si>
  <si>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</si>
  <si>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</si>
  <si>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</si>
  <si>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</si>
  <si>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</si>
  <si>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</si>
  <si>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</si>
  <si>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</si>
  <si>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</si>
  <si>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</si>
  <si>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</si>
  <si>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</si>
  <si>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</si>
  <si>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</si>
  <si>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cod_kpi</t>
  </si>
  <si>
    <t>descrição</t>
  </si>
  <si>
    <t>DUP_B0200_C0020</t>
  </si>
  <si>
    <t>Validar a inexistência de registos duplicados</t>
  </si>
  <si>
    <t xml:space="preserve">1. </t>
  </si>
  <si>
    <t>2.</t>
  </si>
  <si>
    <t>3.</t>
  </si>
  <si>
    <t>1. Gerar Controlos</t>
  </si>
  <si>
    <t>1. Detalhe controlos às tabelas output</t>
  </si>
  <si>
    <t>2. Detalhe controlos ao processo (CSV)</t>
  </si>
  <si>
    <t>Tabela HUE</t>
  </si>
  <si>
    <t>Tabela CSV</t>
  </si>
  <si>
    <t>Controlos</t>
  </si>
  <si>
    <t>CAMPO 1</t>
  </si>
  <si>
    <t>CAMPO 2</t>
  </si>
  <si>
    <t>CAMPO 3</t>
  </si>
  <si>
    <t>Valor 1</t>
  </si>
  <si>
    <t>Valor 2</t>
  </si>
  <si>
    <t>Valor 3</t>
  </si>
  <si>
    <t>B50.00</t>
  </si>
  <si>
    <t>MIS_B0200_C0010</t>
  </si>
  <si>
    <t>MISSINGS</t>
  </si>
  <si>
    <t>Validar que não existem registos por preencher (Missings)</t>
  </si>
  <si>
    <t>MIS_B0200_C0020</t>
  </si>
  <si>
    <t>MIS_B0200_C0030</t>
  </si>
  <si>
    <t>MIS_B0200_C0040</t>
  </si>
  <si>
    <t>MIS_B0200_C0050</t>
  </si>
  <si>
    <t>MIS_B0200_C0060</t>
  </si>
  <si>
    <t>MIS_B0200_C0070</t>
  </si>
  <si>
    <t>MIS_B0200_C0080</t>
  </si>
  <si>
    <t>0080_OTSTNDNG_PRNCPL_AMNT</t>
  </si>
  <si>
    <t>MIS_B0200_C0090</t>
  </si>
  <si>
    <t>0090_PRTN_AMNT_RPRTNG_ENTTY</t>
  </si>
  <si>
    <t>MIS_B0200_C0100</t>
  </si>
  <si>
    <t>MIS_B0200_C0110</t>
  </si>
  <si>
    <t>MIS_B0200_C0120</t>
  </si>
  <si>
    <t>0120_OTSTNDNG_AMNT</t>
  </si>
  <si>
    <t>MIS_B0200_C0130</t>
  </si>
  <si>
    <t>0130_RLVNT_AMNT_WDC</t>
  </si>
  <si>
    <t>MIS_B0200_C0140</t>
  </si>
  <si>
    <t>MIS_B0200_C0141</t>
  </si>
  <si>
    <t>MIS_B0200_C0150</t>
  </si>
  <si>
    <t>MIS_B0200_C0160</t>
  </si>
  <si>
    <t>MIS_B0200_C0161</t>
  </si>
  <si>
    <t>MIS_B0200_C0162</t>
  </si>
  <si>
    <t>MIS_B0200_C0170</t>
  </si>
  <si>
    <t>MIS_B0200_C0180</t>
  </si>
  <si>
    <t>MIS_B0200_C0190</t>
  </si>
  <si>
    <t>MIS_B0200_C0200</t>
  </si>
  <si>
    <t>MIS_B0200_C0210</t>
  </si>
  <si>
    <t>MIS_B0200_C0220</t>
  </si>
  <si>
    <t>MIS_B0200_C0230</t>
  </si>
  <si>
    <t>MIS_B0200_C0240</t>
  </si>
  <si>
    <t>MIS_B0200_C0250</t>
  </si>
  <si>
    <t>MIS_B0200_C0260</t>
  </si>
  <si>
    <t>MIS_B0200_C0270</t>
  </si>
  <si>
    <t>MIS_B0200_C0280</t>
  </si>
  <si>
    <t>MIS_B0200_C0290</t>
  </si>
  <si>
    <t>MIS_B0200_C0300</t>
  </si>
  <si>
    <t>MIS_B0200_C0310</t>
  </si>
  <si>
    <t xml:space="preserve">0310_FLG_CLLTRL_AGRMNTS </t>
  </si>
  <si>
    <t>MIS_B0200_C0320</t>
  </si>
  <si>
    <t>MIS_B0200_C0330</t>
  </si>
  <si>
    <t>MIS_B0200_C0340</t>
  </si>
  <si>
    <t>MIS_B0200_C0350</t>
  </si>
  <si>
    <t>MIS_B0200_C0351</t>
  </si>
  <si>
    <t>MIS_B0200_C0360</t>
  </si>
  <si>
    <t>0360_TRDNG_MTHD</t>
  </si>
  <si>
    <t>MIS_B0200_C0370</t>
  </si>
  <si>
    <t>MIS_B0200_C0380</t>
  </si>
  <si>
    <t>MIS_B0200_C0390</t>
  </si>
  <si>
    <t>0390_NMBR_SCRTS_NOT_RPRTNG_ENTTY</t>
  </si>
  <si>
    <t>MIS_B0200_C0391</t>
  </si>
  <si>
    <t>0391_NMBR_SCRTS_RPRTNG_ENTTY</t>
  </si>
  <si>
    <t>MIS_B0200_C0400</t>
  </si>
  <si>
    <t>0400_ACCRD_INTRST_SCRTY</t>
  </si>
  <si>
    <t>MIS_B0200_C0410</t>
  </si>
  <si>
    <t>MIS_B0200_C0420</t>
  </si>
  <si>
    <t>MIS_B0200_C0430</t>
  </si>
  <si>
    <t>MIS_B0200_C0431</t>
  </si>
  <si>
    <t>MIS_B0200_C0440</t>
  </si>
  <si>
    <t>MIS_B0200_C0450</t>
  </si>
  <si>
    <t>MIS_B0200_C0460</t>
  </si>
  <si>
    <t>MIS_B0200_C0461</t>
  </si>
  <si>
    <t>MIS_B0200_C0462</t>
  </si>
  <si>
    <t>MIS_B0200_C0470</t>
  </si>
  <si>
    <t>MIS_B0200_C0471</t>
  </si>
  <si>
    <t>MIS_B0200_C0480</t>
  </si>
  <si>
    <t>MIS_B0200_C0481</t>
  </si>
  <si>
    <t>MIS_B0200_C0490</t>
  </si>
  <si>
    <t>MIS_B0200_C0491</t>
  </si>
  <si>
    <t>MIS_B0200_C0500</t>
  </si>
  <si>
    <t>MIS_B0200_C0501</t>
  </si>
  <si>
    <t>MIS_B0200_C0510</t>
  </si>
  <si>
    <t>MIS_B0200_C0511</t>
  </si>
  <si>
    <t>MIS_B0200_C0520</t>
  </si>
  <si>
    <t>MIS_B0200_C0521</t>
  </si>
  <si>
    <t>MIS_B0200_C0530</t>
  </si>
  <si>
    <t>MIS_B0200_C0540</t>
  </si>
  <si>
    <t>MIS_B0200_C0550</t>
  </si>
  <si>
    <t>MIS_B0200_C0560</t>
  </si>
  <si>
    <t>MIS_B0200_C0570</t>
  </si>
  <si>
    <t>MIS_B0200_C0580</t>
  </si>
  <si>
    <t>MIS_B0200_C0581</t>
  </si>
  <si>
    <t>MIS_B0200_C0590</t>
  </si>
  <si>
    <t>MIS_B0200_C0600</t>
  </si>
  <si>
    <t>MIS_B0200_C0610</t>
  </si>
  <si>
    <t>MIS_B0200_C0620</t>
  </si>
  <si>
    <t>MIS_B0200_C0630</t>
  </si>
  <si>
    <t>MIS_B0200_C0640</t>
  </si>
  <si>
    <t>MIS_B0200_C5000</t>
  </si>
  <si>
    <t>MIS_B0200_C5010</t>
  </si>
  <si>
    <t>31641600000000000PTBSREOM0028000; 31641600000000000PTSTOEOM0021000; 31641600000000000PTSTOFOM0004000; 31641600000000000PTSTOGOM0003000; 31641600000000000PTSTOHOM0002000; 31641600005800007PTBSRDOM0037000; 31641600005800007PTCPP0AM0007000; 31641600005800007PTSTOCOM0007000</t>
  </si>
  <si>
    <t>MIS_B0500_C0010</t>
  </si>
  <si>
    <t>MIS_B0500_C0020</t>
  </si>
  <si>
    <t>MIS_B0500_C0030</t>
  </si>
  <si>
    <t>0030_GOVERNING_LAW</t>
  </si>
  <si>
    <t>MIS_B0500_C0040</t>
  </si>
  <si>
    <t>0040_FLG_ART12G_3_SRMR</t>
  </si>
  <si>
    <t>MIS_B0500_C0050</t>
  </si>
  <si>
    <t>0050_TYP_GUARANTEE</t>
  </si>
  <si>
    <t>MIS_B0500_C0060</t>
  </si>
  <si>
    <t>0060_MAX_AMNT_GUARANTEE</t>
  </si>
  <si>
    <t>MIS_B0500_C0070</t>
  </si>
  <si>
    <t>0070_FLG_SCRD</t>
  </si>
  <si>
    <t>31000000000000000962304890482490P_0000_00000000000_000006511000505; 31000304140330096000000000000000P_0000_00000000000_000000000003686; 31000307044893096000000000000000P_0000_00000000000_000000000003686; 31000307530917096000000000000000P_0000_00000000000_000000000003686; 31000311450813096000000000000000P_0000_00000000000_000000000003686; 31000311847794096000000000000000P_0000_00000000000_000000000003686; 31000313517171096000000000000000P_0000_00000000000_000000000003686; 31000315970006096000000000000000P_0000_00000000000_000000000003686; 31000315970121096000000000000000P_0000_00000000000_000000000003686; 31000315970139096000000000000000P_0000_00000000000_000000000003686; 31000315970188096000000000000000P_0000_00000000000_000000000003686; 31000315970212096000000000000000P_0000_00000000000_000000000003686; 31000315970238096000000000000000P_0000_00000000000_000000000003686; 31000315970261096000000000000000P_0000_00000000000_000000000003686; 31000315970279096000000000000000P_0000_00000000000_000000000003686; 31000315970311096000000000000000P_0000_00000000000_000000000003686; 31000315970329096000000000000000P_0000_00000000000_000000000003686; 31000315970345096000000000000000P_0000_00000000000_000000000003686; 31000315970402096000000000000000P_0000_00000000000_000000000003686; 31000315970428096000000000000000P_0000_00000000000_000000000003686; 31000315970469096000000000000000P_0000_00000000000_000000000003686; 31000315979890096000000000000000P_0000_00000000000_000006511000505; 31000318293090097000000000000000P_0000_00000000000_000008000176024; 31000318542009097000000000000000P_0000_00000000000_000006511000505; 31000318628196097000000000000000P_0000_00000000000_000006511000505; 31000318628592097000000000000000P_0000_00000000000_000008000176024; 31000318629012097000000000000000P_0000_00000000000_000008000176024; 31000318636603097000000000000000P_0000_00000000000_000008000176024; 31000318637213097000000000000000P_0000_00000000000_000008000176024; 31000322311418096000000000000000P_0000_00000000000_000000000003686; 89000020240000766001520240649818P_0000_00000000000_000003461004226; 89000020240000766001520240649824P_0000_00000000000_000003461004226; 89000020240000766001520240649825P_0000_00000000000_000003461004226; 89000020240000766001520240649826P_0000_00000000000_000003461004226; 89000020240000766001520240649827P_0000_00000000000_000003461004226; 89000020240000766001520240649838P_0000_00000000000_000003461004226; 89000020240000766001520240649839P_0000_00000000000_000003461004226; 89000020240000766001520240649873P_0000_00000000000_000003461004226; 89000020240000766001520240649874P_0000_00000000000_000003461004226; 89000020240000766001520240649875P_0000_00000000000_000003461004226; 89000020240000766001520240649894P_0000_00000000000_000003461004226; 89000020240000766001520240649898P_0000_00000000000_000003461004226; 89000020240000766001520240649899P_0000_00000000000_000003461004226; 89000020240000766001520240649900P_0000_00000000000_000003461004226; 89000020240000766001520240649901P_0000_00000000000_000003461004226; 89000020240000766001520240649909P_0000_00000000000_000003461004226; 89000020240000766001520240649910P_0000_00000000000_000003461004226; 89000020240000766001520240649911P_0000_00000000000_000003461004226; 89000020240000766001520240649912P_0000_00000000000_000003461004226; 89000020240000766001520240649913P_0000_00000000000_000003461004226; 89000020240000766001520240649914P_0000_00000000000_000003461004226; 89000020240000766001520240649915P_0000_00000000000_000003461004226; 89000020240000766001520240649916P_0000_00000000000_000003461004226; 89000020240000766001520240649917P_0000_00000000000_000003461004226; 89000020240000766001520240649918P_0000_00000000000_000003461004226; 89000020240000766001520240649919P_0000_00000000000_000003461004226; 89000020240000766001520240649920P_0000_00000000000_000003461004226; 89000020240000766001520240649921P_0000_00000000000_000003461004226; 89000020240000766001520240649942P_0000_00000000000_000003461004226; 89000020240000766001520240649943P_0000_00000000000_000003461004226; 89000020240000766001520240649944P_0000_00000000000_000003461004226; 89000020240000766001520240649945P_0000_00000000000_000003461004226; 89000020240000766001520240649946P_0000_00000000000_000003461004226; 89000020240000766001520240650004P_0000_00000000000_000003461004226; 89000020240000766001520240650005P_0000_00000000000_000003461004226; 89000020240000766001520240650006P_0000_00000000000_000003461004226; 89000020240000766001520240650007P_0000_00000000000_000003461004226; 89000020240000766001520240650008P_0000_00000000000_000003461004226; 89000020240000766001520240650009P_0000_00000000000_000003461004226; 89000020240000766001520240650010P_0000_00000000000_000003461004226; 89000020240000766001520240650011P_0000_00000000000_000003461004226; 89000020240000766001520240650116P_0000_00000000000_000003461004226; 89000020240000766001520240650192P_0000_00000000000_000003461004226; 89000020240000766001520240650202P_0000_00000000000_000003461004226; 89000020240000766001520240650203P_0000_00000000000_000003461004226; 89000020240000766001520240650204P_0000_00000000000_000003461004226; 89000020240000766001520240650205P_0000_00000000000_000003461004226; 89000020240000766001520240650206P_0000_00000000000_000003461004226; 89000020240000766001520240650207P_0000_00000000000_000003461004226; 89000020240000766001520240650208P_0000_00000000000_000003461004226; 89000020240000766001520240650349P_0000_00000000000_000003461004226; 89000020240000766001520240650350P_0000_00000000000_000003461004226; 89000020240000766001520240650351P_0000_00000000000_000003461004226; 89000020240000766001520240650352P_0000_00000000000_000003461004226; 89000020240000766001520240650353P_0000_00000000000_000003461004226; 89000020240000766001520240650354P_0000_00000000000_000003461004226; 89000020240000766001520240650355P_0000_00000000000_000003461004226; 89000020240000766001520240650356P_0000_00000000000_000003461004226; 89000020240000766001520240650357P_0000_00000000000_000003461004226; 89000020240000766001520240650358P_0000_00000000000_000003461004226; 89000020240000766001520240650359P_0000_00000000000_000003461004226; 89000020240000766001520240650360P_0000_00000000000_000003461004226; 89000020240000766001520240650361P_0000_00000000000_000003461004226; 89000020240000766001520240650362P_0000_00000000000_000003461004226; 89000020240000766001520240650363P_0000_00000000000_000003461004226; 89000020240000766001520240650364P_0000_00000000000_000003461004226; 89000020240000766001520240650365P_0000_00000000000_000003461004226; 89000020240000766001520240650366P_0000_00000000000_000003461004226; 89000020240000766001520240650367P_0000_00000000000_000003461004226; 89000020240000766001520240650368P_0000_00000000000_000003461004226; 89000020240000766001520240650369P_0000_00000000000_000003461004226; 89000020240000766001520240650370P_0000_00000000000_000003461004226; 89000020240000766001520240650371P_0000_00000000000_000003461004226; 89000020240000766001520240650372P_0000_00000000000_000003461004226; 89000020240000766001520240650373P_0000_00000000000_000003461004226; 89000020240000766001520240650374P_0000_00000000000_000003461004226; 89000020240000766001520240650375P_0000_00000000000_000003461004226; 89000020240000766001520240650376P_0000_00000000000_000003461004226; 89000020240000766001520240650377P_0000_00000000000_000003461004226; 89000020240000766001520240650378P_0000_00000000000_000003461004226; 89000020240000766001520240650379P_0000_00000000000_000003461004226; 89000020240000766001520240650380P_0000_00000000000_000003461004226; 89000020240000766001520240650381P_0000_00000000000_000003461004226; 89000020240000766001520240650382P_0000_00000000000_000003461004226; 89000020240000766001520240650383P_0000_00000000000_000003461004226; 89000020240000766001520240650384P_0000_00000000000_000003461004226; 89000020240000766001520240650385P_0000_00000000000_000003461004226; 89000020240000766001520240650386P_0000_00000000000_000003461004226; 89000020240000766001520240650387P_0000_00000000000_000003461004226; 89000020240000766001520240650388P_0000_00000000000_000003461004226; 89000020240000766001520240650389P_0000_00000000000_000003461004226; 89000020240000766001520240650390P_0000_00000000000_000003461004226; 89000020240000766001520240650391P_0000_00000000000_000003461004226; 89000020240000766001520240650392P_0000_00000000000_000003461004226; 89000020240000766001520240650393P_0000_00000000000_000003461004226; 89000020240000766001520240650394P_0000_00000000000_000003461004226; 89000020240000766001520240650396P_0000_00000000000_000003461004226; 89000020240000766001520240650397P_0000_00000000000_000003461004226; 89000020240000766001520240650398P_0000_00000000000_000003461004226; 89000020240000766001520240650399P_0000_00000000000_000003461004226; 89000020240000766001520240650400P_0000_00000000000_000003461004226; 89000020240000766001520240650401P_0000_00000000000_000003461004226; 89000020240000766001520240650402P_0000_00000000000_000003461004226; 89000020240000766001520240650403P_0000_00000000000_000003461004226; 89000020240000766001520240650404P_0000_00000000000_000003461004226; 89000020240000766001520240650405P_0000_00000000000_000003461004226; 89000020240000766001520240650406P_0000_00000000000_000003461004226; 89000020240000766001520240650407P_0000_00000000000_000003461004226; 89000020240000766001520240650408P_0000_00000000000_000003461004226; 89000020240000766001520240650409P_0000_00000000000_000003461004226; 89000020240000766001520240650410P_0000_00000000000_000003461004226; 89000020240000766001520240650411P_0000_00000000000_000003461004226; 89000020240000766001520240650412P_0000_00000000000_000003461004226; 89000020240000766001520240650413P_0000_00000000000_000003461004226; 89000020240000766001520240650414P_0000_00000000000_000003461004226; 89000020240000766001520240650415P_0000_00000000000_000003461004226; 89000020240000766001520240650416P_0000_00000000000_000003461004226; 89000020240000766001520240650417P_0000_00000000000_000003461004226; 89000020240000766001520240650418P_0000_00000000000_000003461004226; 89000020240000766001520240650419P_0000_00000000000_000003461004226; 89000020240000766001520240650420P_0000_00000000000_000003461004226; 89000020240000766001520240650421P_0000_00000000000_000003461004226; 89000020240000766001520240650422P_0000_00000000000_000003461004226; 89000020240000766001520240650423P_0000_00000000000_000003461004226; 89000020240000766001520240650424P_0000_00000000000_000003461004226; 89000020240000766001520240650425P_0000_00000000000_000003461004226; 89000020240000766001520240650426P_0000_00000000000_000003461004226; 89000020240000766001520240650427P_0000_00000000000_000003461004226; 89000020240000766001520240650428P_0000_00000000000_000003461004226; 89000020240000766001520240650429P_0000_00000000000_000003461004226; 89000020240000766001520240650431P_0000_00000000000_000003461004226; 89000020240000766001520240650432P_0000_00000000000_000003461004226; 89000020240000766001520240650433P_0000_00000000000_000003461004226; 89000020240000766001520240650434P_0000_00000000000_000003461004226; 89000020240000766001520240650435P_0000_00000000000_000003461004226; 89000020240000766001520240650436P_0000_00000000000_000003461004226; 89000020240000766001520240650476P_0000_00000000000_000003461004226; 89000020240000766001520240650477P_0000_00000000000_000003461004226; 89000020240000766001520240650478P_0000_00000000000_000003461004226; 89000020240000766001520240650479P_0000_00000000000_000003461004226; 89000020240000766001520240650480P_0000_00000000000_000003461004226; 89000020240000766001520240650481P_0000_00000000000_000003461004226; 89000020240000766001520240650482P_0000_00000000000_000003461004226; 89000020240000766001520240650483P_0000_00000000000_000003461004226; 89000020240000766001520240650484P_0000_00000000000_000003461004226; 89000020240000766001520240650485P_0000_00000000000_000003461004226; 89000020240000766001520240650486P_0000_00000000000_000003461004226; 89000020240000766001520240650487P_0000_00000000000_000003461004226; 89000020240000766001520240650488P_0000_00000000000_000003461004226; 89000020240000766001520240650489P_0000_00000000000_000003461004226; 89000020240000766001520240650490P_0000_00000000000_000003461004226; 89000020240000766001520240650491P_0000_00000000000_000003461004226; 89000020240000766001520240650492P_0000_00000000000_000003461004226; 89000020240000766001520240650493P_0000_00000000000_000003461004226; 89000020240000766001520240650494P_0000_00000000000_000003461004226; 89000020240000766001520240650495P_0000_00000000000_000003461004226; 89000020240000766001520240650496P_0000_00000000000_000003461004226; 89000020240000766001520240650497P_0000_00000000000_000003461004226; 89000020240000766001520240650498P_0000_00000000000_000003461004226; 89000020240000766001520240650499P_0000_00000000000_000003461004226; 89000020240000766001520240650500P_0000_00000000000_000003461004226; 89000020240000766001520240650501P_0000_00000000000_000003461004226; 89000020240000766001520240650502P_0000_00000000000_000003461004226; 89000020240000766001520240650503P_0000_00000000000_000003461004226; 89000020240000766001520240650504P_0000_00000000000_000003461004226; 89000020240000766001520240650505P_0000_00000000000_000003461004226; 89000020240000766001520240650506P_0000_00000000000_000003461004226; 89000020240000766001520240650507P_0000_00000000000_000003461004226; 89000020240000766001520240650508P_0000_00000000000_000003461004226; 89000020240000766001520240650509P_0000_00000000000_000003461004226; 89000020240000766001520240650510P_0000_00000000000_000003461004226; 89000020240000766001520240650511P_0000_00000000000_000003461004226; 89000020240000766001520240650512P_0000_00000000000_000003461004226; 89000020240000766001520240650513P_0000_00000000000_000003461004226; 89000020240000766001520240650514P_0000_00000000000_000003461004226; 89000020240000766001520240650515P_0000_00000000000_000003461004226; 89000020240000766001520240650516P_0000_00000000000_000003461004226; 89000020240000766001520240650517P_0000_00000000000_000003461004226; 89000020240000766001520240650518P_0000_00000000000_000003461004226; 89000020240000766001520240650519P_0000_00000000000_000003461004226; 89000020240000766001520240650520P_0000_00000000000_000003461004226; 89000020240000766001520240650521P_0000_00000000000_000003461004226; 89000020240000766001520240650522P_0000_00000000000_000003461004226; 89000020240000766001520240650523P_0000_00000000000_000003461004226; 89000020240000766001520240650524P_0000_00000000000_000003461004226; 89000020240000766001520240650525P_0000_00000000000_000003461004226; 89000020240000766001520240650526P_0000_00000000000_000003461004226; 89000020240000766001520240650527P_0000_00000000000_000003461004226; 89000020240000766001520240650528P_0000_00000000000_000003461004226; 89000020240000766001520240650529P_0000_00000000000_000003461004226; 89000020240000766001520240650530P_0000_00000000000_000003461004226; 89000020240000766001520240650531P_0000_00000000000_000003461004226; 89000020240000766001520240650532P_0000_00000000000_000003461004226; 89000020240000766001520240650533P_0000_00000000000_000003461004226; 89000020240000766001520240650534P_0000_00000000000_000003461004226; 89000020240000766001520240650535P_0000_00000000000_000003461004226; 89000020240000766001520240650536P_0000_00000000000_000003461004226; 89000020240000766001520240650537P_0000_00000000000_000003461004226; 89000020240000766001520240650538P_0000_00000000000_000003461004226; 89000020240000766001520240650539P_0000_00000000000_000003461004226; 89000020240000766001520240650540P_0000_00000000000_000003461004226; 89000020240000766001520240650541P_0000_00000000000_000003461004226; 89000020240000766001520240650542P_0000_00000000000_000003461004226; 89000020240000766001520240650543P_0000_00000000000_000003461004226; 89000020240000766001520240650544P_0000_00000000000_000003461004226; 89000020240000766001520240650545P_0000_00000000000_000003461004226; 89000020240000766001520240650546P_0000_00000000000_000003461004226; 89000020240000766001520240650547P_0000_00000000000_000003461004226; 89000020240000766001520240650548P_0000_00000000000_000003461004226; 89000020240000766001520240650549P_0000_00000000000_000003461004226; 89000020240000766001520240650550P_0000_00000000000_000003461004226; 89000020240000766001520240650551P_0000_00000000000_000003461004226; 89000020240000766001520240650552P_0000_00000000000_000003461004226; 89000020240000766001520240650553P_0000_00000000000_000003461004226; 89000020240000766001520240650554P_0000_00000000000_000003461004226; 89000020240000766001520240650555P_0000_00000000000_000003461004226; 89000020240000766001520240650556P_0000_00000000000_000003461004226; 89000020240000766001520240650557P_0000_00000000000_000003461004226; 89000020240000766001520240650558P_0000_00000000000_000003461004226; 89000020240000766001520240650559P_0000_00000000000_000003461004226; 89000020240000766001520240650560P_0000_00000000000_000003461004226; 89000020240000766001520240650561P_0000_00000000000_000003461004226; 89000020240000766001520240650562P_0000_00000000000_000003461004226; 89000020240000766001520240650563P_0000_00000000000_000003461004226; 89000020240000766001520240650564P_0000_00000000000_000003461004226; 89000020240000766001520240650565P_0000_00000000000_000003461004226; 89000020240000766001520240650566P_0000_00000000000_000003461004226; 89000020240000766001520240650567P_0000_00000000000_000003461004226; 89000020240000766001520240650568P_0000_00000000000_000003461004226; 89000020240000766001520240650569P_0000_00000000000_000003461004226; 89000020240000766001520240650783P_0000_00000000000_000003461004226; 89000020240000766001520240650784P_0000_00000000000_000003461004226; 89000020240000766001520240650785P_0000_00000000000_000003461004226; 89000020240000766001520240650786P_0000_00000000000_000003461004226; 89000020240000766001520240650787P_0000_00000000000_000003461004226; 89000020240000766001520240650788P_0000_00000000000_000003461004226; 89000020240000766001520240650851P_0000_00000000000_000003461004226; 89000020240000766001520240650853P_0000_00000000000_000003461004226; 89000020240000766001520240650865P_0000_00000000000_000003461004226; 89000020240000766001520240650868P_0000_00000000000_000003461004226; 89000020240000766001520240650869P_0000_00000000000_000003461004226; 89000020240000766001520240650873P_0000_00000000000_000003461004226; 89000020240000766001520240650875P_0000_00000000000_000003461004226; 89000020240000766001520240650930P_0000_00000000000_000003461004226; 89000020240000766001520240650947P_0000_00000000000_000003461004226; 89000020240000766001520240650948P_0000_00000000000_000003461004226; 89000020240000766001520240650949P_0000_00000000000_000003461004226; 89000020240000766001520240650950P_0000_00000000000_000003461004226; 89000020240000766001520240650951P_0000_00000000000_000003461004226; 89000020240000766001520240650952P_0000_00000000000_000003461004226; 89000020240000766001520240650953P_0000_00000000000_000003461004226; 89000020240000766001520240650954P_0000_00000000000_000003461004226; 89000020240000766001520240650955P_0000_00000000000_000003461004226; 89000020240000766001520240650956P_0000_00000000000_000003461004226; 89000020240000766001520240650957P_0000_00000000000_000003461004226; 89000020240000766001520240650958P_0000_00000000000_000003461004226; 89000020240000766001520240650959P_0000_00000000000_000003461004226; 89000020240000766001520240650960P_0000_00000000000_000003461004226; 89000020240000766001520240650961P_0000_00000000000_000003461004226; 89000020240000766001520240650962P_0000_00000000000_000003461004226; 89000020240000766001520240650968P_0000_00000000000_000003461004226; 89000020240000766001520240650969P_0000_00000000000_000003461004226; 89000020240000766001520240650970P_0000_00000000000_000003461004226; 89000020240000766001520240650971P_0000_00000000000_000003461004226; 89000020240000766001520240650972P_0000_00000000000_000003461004226; 89000020240000766001520240650973P_0000_00000000000_000003461004226; 89000020240000766001520240650974P_0000_00000000000_000003461004226; 89000020240000766001520240650975P_0000_00000000000_000003461004226; 89000020240000766001520240650976P_0000_00000000000_000003461004226; 89000020240000766001520240650978P_0000_00000000000_000003461004226; 89000020240000766001520240650979P_0000_00000000000_000003461004226; 89000020240000766001520240650980P_0000_00000000000_000003461004226; 89000020240000766001520240650981P_0000_00000000000_000003461004226; 89000020240000766001520240650982P_0000_00000000000_000003461004226; 89000020240000766001520240650983P_0000_00000000000_000003461004226; 89000020240000766001520240650984P_0000_00000000000_000003461004226; 89000020240000766001520240650985P_0000_00000000000_000003461004226; 89000020240000766001520240650986P_0000_00000000000_000003461004226; 89000020240000766001520240650987P_0000_00000000000_000003461004226; 89000020240000766001520240650988P_0000_00000000000_000003461004226; 89000020240000766001520240650989P_0000_00000000000_000003461004226; 89000020240000766001520240650990P_0000_00000000000_000003461004226; 89000020240000766001520240650991P_0000_00000000000_000003461004226; 89000020240000766001520240650992P_0000_00000000000_000003461004226; 89000020240000766001520240650993P_0000_00000000000_000003461004226; 89000020240000766001520240650994P_0000_00000000000_000003461004226; 89000020240000766001520240650995P_0000_00000000000_000003461004226; 89000020240000766001520240650996P_0000_00000000000_000003461004226; 89000020240000766001520240650997P_0000_00000000000_000003461004226; 89000020240000766001520240650998P_0000_00000000000_000003461004226; 89000020240000766001520240650999P_0000_00000000000_000003461004226; 89000020240000766001520240651000P_0000_00000000000_000003461004226; 89000020240000766001520240651001P_0000_00000000000_000003461004226; 89000020240000766001520240651002P_0000_00000000000_000003461004226; 89000020240000766001520240651003P_0000_00000000000_000003461004226; 89000020240000766001520240651004P_0000_00000000000_000003461004226; 89000020240000766001520240651005P_0000_00000000000_000003461004226; 89000020240000766001520240651006P_0000_00000000000_000003461004226; 89000020240000766001520240651020P_0000_00000000000_000003461004226; 89000020240000766001520240651095P_0000_00000000000_000003461004226; 89000020240000766001520240651174P_0000_00000000000_000003461004226; 89000020240000766001520240651175P_0000_00000000000_000003461004226; 89000020240000766001520240651177P_0000_00000000000_000003461004226; 89000020240000766001520240651179P_0000_00000000000_000003461004226; 89000020240000766001520240651180P_0000_00000000000_000003461004226; 89000020240000766001520240651187P_0000_00000000000_000003461004226; 89000020240000766001520240651188P_0000_00000000000_000003461004226; 89000020240000766001520240651189P_0000_00000000000_000003461004226; 89000020240000766001520240651190P_0000_00000000000_000003461004226; 89000020240000766001520240651192P_0000_00000000000_000003461004226; 89000020240000766001520240651193P_0000_00000000000_000003461004226; 89000020240000766001520240651194P_0000_00000000000_000003461004226; 89000020240000766001520240651195P_0000_00000000000_000003461004226; 89000020240000766001520240651196P_0000_00000000000_000003461004226; 89000020240000766001520240651197P_0000_00000000000_000003461004226; 89000020240000766001520240651198P_0000_00000000000_000003461004226; 89000020240000766001520240651199P_0000_00000000000_000003461004226; 89000020240000766001520240651200P_0000_00000000000_000003461004226; 89000020240000766001520240651201P_0000_00000000000_000003461004226; 89000020240000766001520240651202P_0000_00000000000_000003461004226; 89000020240000766001520240651203P_0000_00000000000_000003461004226; 89000020240000766001520240651204P_0000_00000000000_000003461004226; 89000020240000766001520240651307P_0000_00000000000_000003461004226; 89000020240000766001520240651409P_0000_00000000000_000003461004226; 89000020240000766001520240651410P_0000_00000000000_000003461004226; 89000020240000766001520240651411P_0000_00000000000_000003461004226; 89000020240000766001520240651412P_0000_00000000000_000003461004226; 89000020240000766001520240651444P_0000_00000000000_000003461004226; 89000020240000766001520240651449P_0000_00000000000_000003461004226; 89000020240000766001520240651453P_0000_00000000000_000003461004226; 89000020240000766001520240651454P_0000_00000000000_000003461004226; 89000020240000766001520240651455P_0000_00000000000_000003461004226; 89000020240000766001520240651456P_0000_00000000000_000003461004226; 89000020240000766001520240651464P_0000_00000000000_000003461004226; 89000020240000766001520240651468P_0000_00000000000_000003461004226; 89000020240000766001520240651470P_0000_00000000000_000003461004226; 89000020240000766001520240651471P_0000_00000000000_000003461004226; 89000020240000766001520240651473P_0000_00000000000_000003461004226; 89000020240000766001520240651474P_0000_00000000000_000003461004226; 89000020240000766001520240651475P_0000_00000000000_000003461004226; 89000020240000766001520240651476P_0000_00000000000_000003461004226; 89000020240000766001520240651477P_0000_00000000000_000003461004226; 89000020240000766001520240651643P_0000_00000000000_000003461004226; 89000020240000766001520240651644P_0000_00000000000_000003461004226; 89000020240000766001520240651645P_0000_00000000000_000003461004226; 89000020240000766001520240651684P_0000_00000000000_000003461004226; 89000020240000766001520240651693P_0000_00000000000_000003461004226; 89000020240000766001520240651694P_0000_00000000000_000003461004226; 89000020240000766001520240651695P_0000_00000000000_000003461004226; 89000020240000766001520240651696P_0000_00000000000_000003461004226; 89000020240000766001520240651697P_0000_00000000000_000003461004226; 89000020240000766001520240651698P_0000_00000000000_000003461004226; 89000020240000766001520240651699P_0000_00000000000_000003461004226; 89000020240000766001520240651700P_0000_00000000000_000003461004226; 89000020240000766001520240651701P_0000_00000000000_000003461004226; 89000020240000766001520240651702P_0000_00000000000_000003461004226; 89000020240000766001520240651706P_0000_00000000000_000003461004226; 89000020240000766001520240651707P_0000_00000000000_000003461004226; 89000020240000766001520240651708P_0000_00000000000_000003461004226; 89000020240000766001520240651709P_0000_00000000000_000003461004226; 89000020240000766001520240651710P_0000_00000000000_000003461004226; 89000020240000766001520240651711P_0000_00000000000_000003461004226; 89000020240000766001520240651712P_0000_00000000000_000003461004226; 89000020240000766001520240651713P_0000_00000000000_000003461004226; 89000020240000766001520240651714P_0000_00000000000_000003461004226; 89000020240000766001520240651715P_0000_00000000000_000003461004226; 89000020240000766001520240651716P_0000_00000000000_000003461004226; 89000020240000766001520240651717P_0000_00000000000_000003461004226; 89000020240000766001520240651718P_0000_00000000000_000003461004226; 89000020240000766001520240651719P_0000_00000000000_000003461004226; 89000020240000766001520240651720P_0000_00000000000_000003461004226; 89000020240000766001520240651721P_0000_00000000000_000003461004226; 89000020240000766001520240651722P_0000_00000000000_000003461004226; 89000020240000766001520240651723P_0000_00000000000_000003461004226; 89000020240000766001520240651727P_0000_00000000000_000003461004226; 89000020240000766001520240651728P_0000_00000000000_000003461004226; 89000020240000766001520240651729P_0000_00000000000_000003461004226; 89000020240000766001520240651730P_0000_00000000000_000003461004226; 89000020240000766001520240651731P_0000_00000000000_000003461004226; 89000020240000766001520240651732P_0000_00000000000_000003461004226; 89000020240000766001520240651733P_0000_00000000000_000003461004226; 89000020240000766001520240651849P_0000_00000000000_000003461004226; 89000020240000766001520240651857P_0000_00000000000_000003461004226; 89000020240000766001520240651867P_0000_00000000000_000003461004226; 89000020240000766001520240651870P_0000_00000000000_000003461004226; 89000020240000766001520240651874P_0000_00000000000_000003461004226; 89000020240000766001520240651875P_0000_00000000000_000003461004226; 89000020240000766001520240651877P_0000_00000000000_000003461004226; 89000020240000766001520240651881P_0000_00000000000_000003461004226; 89000020240000766001520240651883P_0000_00000000000_000003461004226; 89000020240000766001520240651918P_0000_00000000000_000003461004226; 89000020240000766001520240652005P_0000_00000000000_000003461004226; 89000020240000766001520240652043P_0000_00000000000_000003461004226; 89000020240000766001520240652066P_0000_00000000000_000003461004226; 89000020240000766001520240652067P_0000_00000000000_000003461004226; 89000020240000766001520240652070P_0000_00000000000_000003461004226; 89000020240000766001520240652072P_0000_00000000000_000003461004226; 89000020240000766001520240652073P_0000_00000000000_000003461004226; 89000020240000766001520240652165P_0000_00000000000_000003461004226; 89000020240000766001520240652311P_0000_00000000000_000003461004226; 89000020240000766001520240652312P_0000_00000000000_000003461004226; 89000020240000766001520240652313P_0000_00000000000_000003461004226; 89000020240000766001520240652314P_0000_00000000000_000003461004226; 89000020240000766001520240652315P_0000_00000000000_000003461004226; 89000020240000766001520240652316P_0000_00000000000_000003461004226; 89000020240000766001520240652317P_0000_00000000000_000003461004226; 89000020240000766001520240652318P_0000_00000000000_000003461004226; 89000020240000766001520240652319P_0000_00000000000_000003461004226; 89000020240000766001520240652320P_0000_00000000000_000003461004226; 89000020240000766001520240652321P_0000_00000000000_000003461004226; 89000020240000766001520240652322P_0000_00000000000_000003461004226; 89000020240000766001520240652323P_0000_00000000000_000003461004226; 89000020240000766001520240652342P_0000_00000000000_000003461004226; 89000020240000766001520240652343P_0000_00000000000_000003461004226; 89000020240000766001520240652344P_0000_00000000000_000003461004226; 89000020240000766001520240652345P_0000_00000000000_000003461004226; 89000020240000766001520240652347P_0000_00000000000_000003461004226; 89000020240000766001520240652348P_0000_00000000000_000003461004226; 89000020240000766001520240652349P_0000_00000000000_000003461004226; 89000020240000766001520240652352P_0000_00000000000_000003461004226; 89000020240000766001520240652353P_0000_00000000000_000003461004226; 89000020240000766001520240652354P_0000_00000000000_000003461004226; 89000020240000766001520240652365P_0000_00000000000_000003461004226; 89000020240000766001520240652370P_0000_00000000000_000003461004226; 89000020240000766001520240652371P_0000_00000000000_000003461004226; 89000020240000766001520240652372P_0000_00000000000_000003461004226; 89000020240000766001520240652373P_0000_00000000000_000003461004226; 89000020240000766001520240652374P_0000_00000000000_000003461004226; 89000020240000766001520240652375P_0000_00000000000_000003461004226; 89000020240000766001520240652376P_0000_00000000000_000003461004226; 89000020240000766001520240652377P_0000_00000000000_000003461004226; 89000020240000766001520240652379P_0000_00000000000_000003461004226; 89000020240000766001520240652387P_0000_00000000000_000003461004226; 89000020240000766001520240652388P_0000_00000000000_000003461004226; 89000020240000766001520240652389P_0000_00000000000_000003461004226; 89000020240000766001520240652390P_0000_00000000000_000003461004226; 89000020240000766001520240652391P_0000_00000000000_000003461004226; 89000020240000766001520240652392P_0000_00000000000_000003461004226; 89000020240000766001520240652393P_0000_00000000000_000003461004226; 89000020240000766001520240652394P_0000_00000000000_000003461004226; 89000020240000766001520240652439P_0000_00000000000_000003461004226; 89000020240000766001520240652440P_0000_00000000000_000003461004226; 89000020240000766001520240652441P_0000_00000000000_000003461004226; 89000020240000766001520240652442P_0000_00000000000_000003461004226; 89000020240000766001520240652443P_0000_00000000000_000003461004226; 89000020240000766001520240652444P_0000_00000000000_000003461004226; 89000020240000766001520240652445P_0000_00000000000_000003461004226; 89000020240000766001520240652446P_0000_00000000000_000003461004226; 89000020240000766001520240652447P_0000_00000000000_000003461004226; 89000020240000766001520240652448P_0000_00000000000_000003461004226; 89000020240000766001520240652449P_0000_00000000000_000003461004226; 89000020240000766001520240652450P_0000_00000000000_000003</t>
  </si>
  <si>
    <t>MIS_B0500_C0080</t>
  </si>
  <si>
    <t>0080_AMNT_CLLTRL</t>
  </si>
  <si>
    <t>MIS_B0500_C0090</t>
  </si>
  <si>
    <t>0090_GUARANTEE_TRGGR</t>
  </si>
  <si>
    <t>MIS_B0500_C0100</t>
  </si>
  <si>
    <t>0100_DT_MTRTY_CLLTRL</t>
  </si>
  <si>
    <t>MIS_B0500_C0110</t>
  </si>
  <si>
    <t>0110_SCRTS_CLLTRL_ID</t>
  </si>
  <si>
    <t>MIS_B0500_C0120</t>
  </si>
  <si>
    <t>0120_TYP_CLLTRLZTN</t>
  </si>
  <si>
    <t>MIS_B0500_C0130</t>
  </si>
  <si>
    <t>0130_TYP_PRTCTN_VL</t>
  </si>
  <si>
    <t>MIS_B0500_C0140</t>
  </si>
  <si>
    <t>0140_DT_VLTN_SCRTY</t>
  </si>
  <si>
    <t>MIS_B0500_C0150</t>
  </si>
  <si>
    <t>0150_PRTCTN_VLTN_APPRCH</t>
  </si>
  <si>
    <t>MIS_B9000_C0010</t>
  </si>
  <si>
    <t>MIS_B9000_C0011</t>
  </si>
  <si>
    <t>0011_TAB_ORIGIN</t>
  </si>
  <si>
    <t>MIS_B9000_C0020</t>
  </si>
  <si>
    <t>MIS_B9000_C0030</t>
  </si>
  <si>
    <t>0030_CNTRPRTY_RSLTN_GRP</t>
  </si>
  <si>
    <t>PTBSRDOM0037, 0000003686; PTBSREOM0028, Not applicable; PTCPP0AM0007, Not applicable; PTCPP0AM0007, 0000003686; PTCPP0AM0007, 5100011001; PTSTOCOM0007, 0000003686; PTSTOEOM0021, 0000003686; PTSTOFOM0004, 0000003686; PTSTOGOM0003, 0000003686; PTSTOHOM0002, 0000003686; 31000000000000000962304890482490P_0000_00000000000_000006511000505, 6511000505; 31000304140330096000000000000000P_0000_00000000000_000000000003686, 0000003686; 31000307044893096000000000000000P_0000_00000000000_000000000003686, 0000003686; 31000307530917096000000000000000P_0000_00000000000_000000000003686, 0000003686; 31000311450813096000000000000000P_0000_00000000000_000000000003686, 0000003686; 31000311847794096000000000000000P_0000_00000000000_000000000003686, 0000003686; 31000313517171096000000000000000P_0000_00000000000_000000000003686, 0000003686; 31000315970006096000000000000000P_0000_00000000000_000000000003686, 0000003686; 31000315970121096000000000000000P_0000_00000000000_000000000003686, 0000003686; 31000315970139096000000000000000P_0000_00000000000_000000000003686, 0000003686; 31000315970188096000000000000000P_0000_00000000000_000000000003686, 0000003686; 31000315970212096000000000000000P_0000_00000000000_000000000003686, 0000003686; 31000315970238096000000000000000P_0000_00000000000_000000000003686, 0000003686; 31000315970261096000000000000000P_0000_00000000000_000000000003686, 0000003686; 31000315970279096000000000000000P_0000_00000000000_000000000003686, 0000003686; 31000315970311096000000000000000P_0000_00000000000_000000000003686, 0000003686; 31000315970329096000000000000000P_0000_00000000000_000000000003686, 0000003686; 31000315970345096000000000000000P_0000_00000000000_000000000003686, 0000003686; 31000315970402096000000000000000P_0000_00000000000_000000000003686, 0000003686; 31000315970428096000000000000000P_0000_00000000000_000000000003686, 0000003686; 31000315970469096000000000000000P_0000_00000000000_000000000003686, 0000003686; 31000315979890096000000000000000P_0000_00000000000_000006511000505, 6511000505; 31000318293090097000000000000000P_0000_00000000000_000008000176024, 8000176024; 31000318542009097000000000000000P_0000_00000000000_000006511000505, 6511000505; 31000318628196097000000000000000P_0000_00000000000_000006511000505, 6511000505; 31000318628592097000000000000000P_0000_00000000000_000008000176024, 8000176024; 31000318629012097000000000000000P_0000_00000000000_000008000176024, 8000176024; 31000318636603097000000000000000P_0000_00000000000_000008000176024, 8000176024; 31000318637213097000000000000000P_0000_00000000000_000008000176024, 8000176024; 31000322311418096000000000000000P_0000_00000000000_000000000003686, 0000003686; 89000020240000766001520240649818P_0000_00000000000_000003461004226, 3461004226; 89000020240000766001520240649824P_0000_00000000000_000003461004226, 3461004226; 89000020240000766001520240649825P_0000_00000000000_000003461004226, 3461004226; 89000020240000766001520240649826P_0000_00000000000_000003461004226, 3461004226; 89000020240000766001520240649827P_0000_00000000000_000003461004226, 3461004226; 89000020240000766001520240649838P_0000_00000000000_000003461004226, 3461004226; 89000020240000766001520240649839P_0000_00000000000_000003461004226, 3461004226; 89000020240000766001520240649873P_0000_00000000000_000003461004226, 3461004226; 89000020240000766001520240649874P_0000_00000000000_000003461004226, 3461004226; 89000020240000766001520240649875P_0000_00000000000_000003461004226, 3461004226; 89000020240000766001520240649894P_0000_00000000000_000003461004226, 3461004226; 89000020240000766001520240649898P_0000_00000000000_000003461004226, 3461004226; 89000020240000766001520240649899P_0000_00000000000_000003461004226, 3461004226; 89000020240000766001520240649900P_0000_00000000000_000003461004226, 3461004226; 89000020240000766001520240649901P_0000_00000000000_000003461004226, 3461004226; 89000020240000766001520240649909P_0000_00000000000_000003461004226, 3461004226; 89000020240000766001520240649910P_0000_00000000000_000003461004226, 3461004226; 89000020240000766001520240649911P_0000_00000000000_000003461004226, 3461004226; 89000020240000766001520240649912P_0000_00000000000_000003461004226, 3461004226; 89000020240000766001520240649913P_0000_00000000000_000003461004226, 3461004226; 89000020240000766001520240649914P_0000_00000000000_000003461004226, 3461004226; 89000020240000766001520240649915P_0000_00000000000_000003461004226, 3461004226; 89000020240000766001520240649916P_0000_00000000000_000003461004226, 3461004226; 89000020240000766001520240649917P_0000_00000000000_000003461004226, 3461004226; 89000020240000766001520240649918P_0000_00000000000_000003461004226, 3461004226; 89000020240000766001520240649919P_0000_00000000000_000003461004226, 3461004226; 89000020240000766001520240649920P_0000_00000000000_000003461004226, 3461004226; 89000020240000766001520240649921P_0000_00000000000_000003461004226, 3461004226; 89000020240000766001520240649942P_0000_00000000000_000003461004226, 3461004226; 89000020240000766001520240649943P_0000_00000000000_000003461004226, 3461004226; 89000020240000766001520240649944P_0000_00000000000_000003461004226, 3461004226; 89000020240000766001520240649945P_0000_00000000000_000003461004226, 3461004226; 89000020240000766001520240649946P_0000_00000000000_000003461004226, 3461004226; 89000020240000766001520240650004P_0000_00000000000_000003461004226, 3461004226; 89000020240000766001520240650005P_0000_00000000000_000003461004226, 3461004226; 89000020240000766001520240650006P_0000_00000000000_000003461004226, 3461004226; 89000020240000766001520240650007P_0000_00000000000_000003461004226, 3461004226; 89000020240000766001520240650008P_0000_00000000000_000003461004226, 3461004226; 89000020240000766001520240650009P_0000_00000000000_000003461004226, 3461004226; 89000020240000766001520240650010P_0000_00000000000_000003461004226, 3461004226; 89000020240000766001520240650011P_0000_00000000000_000003461004226, 3461004226; 89000020240000766001520240650116P_0000_00000000000_000003461004226, 3461004226; 89000020240000766001520240650192P_0000_00000000000_000003461004226, 3461004226; 89000020240000766001520240650202P_0000_00000000000_000003461004226, 3461004226; 89000020240000766001520240650203P_0000_00000000000_000003461004226, 3461004226; 89000020240000766001520240650204P_0000_00000000000_000003461004226, 3461004226; 89000020240000766001520240650205P_0000_00000000000_000003461004226, 3461004226; 89000020240000766001520240650206P_0000_00000000000_000003461004226, 3461004226; 89000020240000766001520240650207P_0000_00000000000_000003461004226, 3461004226; 89000020240000766001520240650208P_0000_00000000000_000003461004226, 3461004226; 89000020240000766001520240650349P_0000_00000000000_000003461004226, 3461004226; 89000020240000766001520240650350P_0000_00000000000_000003461004226, 3461004226; 89000020240000766001520240650351P_0000_00000000000_000003461004226, 3461004226; 89000020240000766001520240650352P_0000_00000000000_000003461004226, 3461004226; 89000020240000766001520240650353P_0000_00000000000_000003461004226, 3461004226; 89000020240000766001520240650354P_0000_00000000000_000003461004226, 3461004226; 89000020240000766001520240650355P_0000_00000000000_000003461004226, 3461004226; 89000020240000766001520240650356P_0000_00000000000_000003461004226, 3461004226; 89000020240000766001520240650357P_0000_00000000000_000003461004226, 3461004226; 89000020240000766001520240650358P_0000_00000000000_000003461004226, 3461004226; 89000020240000766001520240650359P_0000_00000000000_000003461004226, 3461004226; 89000020240000766001520240650360P_0000_00000000000_000003461004226, 3461004226; 89000020240000766001520240650361P_0000_00000000000_000003461004226, 3461004226; 89000020240000766001520240650362P_0000_00000000000_000003461004226, 3461004226; 89000020240000766001520240650363P_0000_00000000000_000003461004226, 3461004226; 89000020240000766001520240650364P_0000_00000000000_000003461004226, 3461004226; 89000020240000766001520240650365P_0000_00000000000_000003461004226, 3461004226; 89000020240000766001520240650366P_0000_00000000000_000003461004226, 3461004226; 89000020240000766001520240650367P_0000_00000000000_000003461004226, 3461004226; 89000020240000766001520240650368P_0000_00000000000_000003461004226, 3461004226; 89000020240000766001520240650369P_0000_00000000000_000003461004226, 3461004226; 89000020240000766001520240650370P_0000_00000000000_000003461004226, 3461004226; 89000020240000766001520240650371P_0000_00000000000_000003461004226, 3461004226; 89000020240000766001520240650372P_0000_00000000000_000003461004226, 3461004226; 89000020240000766001520240650373P_0000_00000000000_000003461004226, 3461004226; 89000020240000766001520240650374P_0000_00000000000_000003461004226, 3461004226; 89000020240000766001520240650375P_0000_00000000000_000003461004226, 3461004226; 89000020240000766001520240650376P_0000_00000000000_000003461004226, 3461004226; 89000020240000766001520240650377P_0000_00000000000_000003461004226, 3461004226; 89000020240000766001520240650378P_0000_00000000000_000003461004226, 3461004226; 89000020240000766001520240650379P_0000_00000000000_000003461004226, 3461004226; 89000020240000766001520240650380P_0000_00000000000_000003461004226, 3461004226; 89000020240000766001520240650381P_0000_00000000000_000003461004226, 3461004226; 89000020240000766001520240650382P_0000_00000000000_000003461004226, 3461004226; 89000020240000766001520240650383P_0000_00000000000_000003461004226, 3461004226; 89000020240000766001520240650384P_0000_00000000000_000003461004226, 3461004226; 89000020240000766001520240650385P_0000_00000000000_000003461004226, 3461004226; 89000020240000766001520240650386P_0000_00000000000_000003461004226, 3461004226; 89000020240000766001520240650387P_0000_00000000000_000003461004226, 3461004226; 89000020240000766001520240650388P_0000_00000000000_000003461004226, 3461004226; 89000020240000766001520240650389P_0000_00000000000_000003461004226, 3461004226; 89000020240000766001520240650390P_0000_00000000000_000003461004226, 3461004226; 89000020240000766001520240650391P_0000_00000000000_000003461004226, 3461004226; 89000020240000766001520240650392P_0000_00000000000_000003461004226, 3461004226; 89000020240000766001520240650393P_0000_00000000000_000003461004226, 3461004226; 89000020240000766001520240650394P_0000_00000000000_000003461004226, 3461004226; 89000020240000766001520240650396P_0000_00000000000_000003461004226, 3461004226; 89000020240000766001520240650397P_0000_00000000000_000003461004226, 3461004226; 89000020240000766001520240650398P_0000_00000000000_000003461004226, 3461004226; 89000020240000766001520240650399P_0000_00000000000_000003461004226, 3461004226; 89000020240000766001520240650400P_0000_00000000000_000003461004226, 3461004226; 89000020240000766001520240650401P_0000_00000000000_000003461004226, 3461004226; 89000020240000766001520240650402P_0000_00000000000_000003461004226, 3461004226; 89000020240000766001520240650403P_0000_00000000000_000003461004226, 3461004226; 89000020240000766001520240650404P_0000_00000000000_000003461004226, 3461004226; 89000020240000766001520240650405P_0000_00000000000_000003461004226, 3461004226; 89000020240000766001520240650406P_0000_00000000000_000003461004226, 3461004226; 89000020240000766001520240650407P_0000_00000000000_000003461004226, 3461004226; 89000020240000766001520240650408P_0000_00000000000_000003461004226, 3461004226; 89000020240000766001520240650409P_0000_00000000000_000003461004226, 3461004226; 89000020240000766001520240650410P_0000_00000000000_000003461004226, 3461004226; 89000020240000766001520240650411P_0000_00000000000_000003461004226, 3461004226; 89000020240000766001520240650412P_0000_00000000000_000003461004226, 3461004226; 89000020240000766001520240650413P_0000_00000000000_000003461004226, 3461004226; 89000020240000766001520240650414P_0000_00000000000_000003461004226, 3461004226; 89000020240000766001520240650415P_0000_00000000000_000003461004226, 3461004226; 89000020240000766001520240650416P_0000_00000000000_000003461004226, 3461004226; 89000020240000766001520240650417P_0000_00000000000_000003461004226, 3461004226; 89000020240000766001520240650418P_0000_00000000000_000003461004226, 3461004226; 89000020240000766001520240650419P_0000_00000000000_000003461004226, 3461004226; 89000020240000766001520240650420P_0000_00000000000_000003461004226, 3461004226; 89000020240000766001520240650421P_0000_00000000000_000003461004226, 3461004226; 89000020240000766001520240650422P_0000_00000000000_000003461004226, 3461004226; 89000020240000766001520240650423P_0000_00000000000_000003461004226, 3461004226; 89000020240000766001520240650424P_0000_00000000000_000003461004226, 3461004226; 89000020240000766001520240650425P_0000_00000000000_000003461004226, 3461004226; 89000020240000766001520240650426P_0000_00000000000_000003461004226, 3461004226; 89000020240000766001520240650427P_0000_00000000000_000003461004226, 3461004226; 89000020240000766001520240650428P_0000_00000000000_000003461004226, 3461004226; 89000020240000766001520240650429P_0000_00000000000_000003461004226, 3461004226; 89000020240000766001520240650431P_0000_00000000000_000003461004226, 3461004226; 89000020240000766001520240650432P_0000_00000000000_000003461004226, 3461004226; 89000020240000766001520240650433P_0000_00000000000_000003461004226, 3461004226; 89000020240000766001520240650434P_0000_00000000000_000003461004226, 3461004226; 89000020240000766001520240650435P_0000_00000000000_000003461004226, 3461004226; 89000020240000766001520240650436P_0000_00000000000_000003461004226, 3461004226; 89000020240000766001520240650476P_0000_00000000000_000003461004226, 3461004226; 89000020240000766001520240650477P_0000_00000000000_000003461004226, 3461004226; 89000020240000766001520240650478P_0000_00000000000_000003461004226, 3461004226; 89000020240000766001520240650479P_0000_00000000000_000003461004226, 3461004226; 89000020240000766001520240650480P_0000_00000000000_000003461004226, 3461004226; 89000020240000766001520240650481P_0000_00000000000_000003461004226, 3461004226; 89000020240000766001520240650482P_0000_00000000000_000003461004226, 3461004226; 89000020240000766001520240650483P_0000_00000000000_000003461004226, 3461004226; 89000020240000766001520240650484P_0000_00000000000_000003461004226, 3461004226; 89000020240000766001520240650485P_0000_00000000000_000003461004226, 3461004226; 89000020240000766001520240650486P_0000_00000000000_000003461004226, 3461004226; 89000020240000766001520240650487P_0000_00000000000_000003461004226, 3461004226; 89000020240000766001520240650488P_0000_00000000000_000003461004226, 3461004226; 89000020240000766001520240650489P_0000_00000000000_000003461004226, 3461004226; 89000020240000766001520240650490P_0000_00000000000_000003461004226, 3461004226; 89000020240000766001520240650491P_0000_00000000000_000003461004226, 3461004226; 89000020240000766001520240650492P_0000_00000000000_000003461004226, 3461004226; 89000020240000766001520240650493P_0000_00000000000_000003461004226, 3461004226; 89000020240000766001520240650494P_0000_00000000000_000003461004226, 3461004226; 89000020240000766001520240650495P_0000_00000000000_000003461004226, 3461004226; 89000020240000766001520240650496P_0000_00000000000_000003461004226, 3461004226; 89000020240000766001520240650497P_0000_00000000000_000003461004226, 3461004226; 89000020240000766001520240650498P_0000_00000000000_000003461004226, 3461004226; 89000020240000766001520240650499P_0000_00000000000_000003461004226, 3461004226; 89000020240000766001520240650500P_0000_00000000000_000003461004226, 3461004226; 89000020240000766001520240650501P_0000_00000000000_000003461004226, 3461004226; 89000020240000766001520240650502P_0000_00000000000_000003461004226, 3461004226; 89000020240000766001520240650503P_0000_00000000000_000003461004226, 3461004226; 89000020240000766001520240650504P_0000_00000000000_000003461004226, 3461004226; 89000020240000766001520240650505P_0000_00000000000_000003461004226, 3461004226; 89000020240000766001520240650506P_0000_00000000000_000003461004226, 3461004226; 89000020240000766001520240650507P_0000_00000000000_000003461004226, 3461004226; 89000020240000766001520240650508P_0000_00000000000_000003461004226, 3461004226; 89000020240000766001520240650509P_0000_00000000000_000003461004226, 3461004226; 89000020240000766001520240650510P_0000_00000000000_000003461004226, 3461004226; 89000020240000766001520240650511P_0000_00000000000_000003461004226, 3461004226; 89000020240000766001520240650512P_0000_00000000000_000003461004226, 3461004226; 89000020240000766001520240650513P_0000_00000000000_000003461004226, 3461004226; 89000020240000766001520240650514P_0000_00000000000_000003461004226, 3461004226; 89000020240000766001520240650515P_0000_00000000000_000003461004226, 3461004226; 89000020240000766001520240650516P_0000_00000000000_000003461004226, 3461004226; 89000020240000766001520240650517P_0000_00000000000_000003461004226, 3461004226; 89000020240000766001520240650518P_0000_00000000000_000003461004226, 3461004226; 89000020240000766001520240650519P_0000_00000000000_000003461004226, 3461004226; 89000020240000766001520240650520P_0000_00000000000_000003461004226, 3461004226; 89000020240000766001520240650521P_0000_00000000000_000003461004226, 3461004226; 89000020240000766001520240650522P_0000_00000000000_000003461004226, 3461004226; 89000020240000766001520240650523P_0000_00000000000_000003461004226, 3461004226; 89000020240000766001520240650524P_0000_00000000000_000003461004226, 3461004226; 89000020240000766001520240650525P_0000_00000000000_000003461004226, 3461004226; 89000020240000766001520240650526P_0000_00000000000_000003461004226, 3461004226; 89000020240000766001520240650527P_0000_00000000000_000003461004226, 3461004226; 89000020240000766001520240650528P_0000_00000000000_000003461004226, 3461004226; 89000020240000766001520240650529P_0000_00000000000_000003461004226, 3461004226; 89000020240000766001520240650530P_0000_00000000000_000003461004226, 3461004226; 89000020240000766001520240650531P_0000_00000000000_000003461004226, 3461004226; 89000020240000766001520240650532P_0000_00000000000_000003461004226, 3461004226; 89000020240000766001520240650533P_0000_00000000000_000003461004226, 3461004226; 89000020240000766001520240650534P_0000_00000000000_000003461004226, 3461004226; 89000020240000766001520240650535P_0000_00000000000_000003461004226, 3461004226; 89000020240000766001520240650536P_0000_00000000000_000003461004226, 3461004226; 89000020240000766001520240650537P_0000_00000000000_000003461004226, 3461004226; 89000020240000766001520240650538P_0000_00000000000_000003461004226, 3461004226; 89000020240000766001520240650539P_0000_00000000000_000003461004226, 3461004226; 89000020240000766001520240650540P_0000_00000000000_000003461004226, 3461004226; 89000020240000766001520240650541P_0000_00000000000_000003461004226, 3461004226; 89000020240000766001520240650542P_0000_00000000000_000003461004226, 3461004226; 89000020240000766001520240650543P_0000_00000000000_000003461004226, 3461004226; 89000020240000766001520240650544P_0000_00000000000_000003461004226, 3461004226; 89000020240000766001520240650545P_0000_00000000000_000003461004226, 3461004226; 89000020240000766001520240650546P_0000_00000000000_000003461004226, 3461004226; 89000020240000766001520240650547P_0000_00000000000_000003461004226, 3461004226; 89000020240000766001520240650548P_0000_00000000000_000003461004226, 3461004226; 89000020240000766001520240650549P_0000_00000000000_000003461004226, 3461004226; 89000020240000766001520240650550P_0000_00000000000_000003461004226, 3461004226; 89000020240000766001520240650551P_0000_00000000000_000003461004226, 3461004226; 89000020240000766001520240650552P_0000_00000000000_000003461004226, 3461004226; 89000020240000766001520240650553P_0000_00000000000_000003461004226, 3461004226; 89000020240000766001520240650554P_0000_00000000000_000003461004226, 3461004226; 89000020240000766001520240650555P_0000_00000000000_000003461004226, 3461004226; 89000020240000766001520240650556P_0000_00000000000_000003461004226, 3461004226; 89000020240000766001520240650557P_0000_00000000000_000003461004226, 3461004226; 89000020240000766001520240650558P_0000_00000000000_000003461004226, 3461004226; 89000020240000766001520240650559P_0000_00000000000_000003461004226, 3461004226; 89000020240000766001520240650560P_0000_00000000000_000003461004226, 3461004226; 89000020240000766001520240650561P_0000_00000000000_000003461004226, 3461004226; 89000020240000766001520240650562P_0000_00000000000_000003461004226, 3461004226; 89000020240000766001520240650563P_0000_00000000000_000003461004226, 3461004226; 89000020240000766001520240650564P_0000_00000000000_000003461004226, 3461004226; 89000020240000766001520240650565P_0000_00000000000_000003461004226, 3461004226; 89000020240000766001520240650566P_0000_00000000000_000003461004226, 3461004226; 89000020240000766001520240650567P_0000_00000000000_000003461004226, 3461004226; 89000020240000766001520240650568P_0000_00000000000_000003461004226, 3461004226; 89000020240000766001520240650569P_0000_00000000000_000003461004226, 3461004226; 89000020240000766001520240650783P_0000_00000000000_000003461004226, 3461004226; 89000020240000766001520240650784P_0000_00000000000_000003461004226, 3461004226; 89000020240000766001520240650785P_0000_00000000000_000003461004226, 3461004226; 89000020240000766001520240650786P_0000_00000000000_000003461004226, 3461004226; 89000020240000766001520240650787P_0000_00000000000_000003461004226, 3461004226; 89000020240000766001520240650788P_0000_00000000000_000003461004226, 3461004226; 89000020240000766001520240650851P_0000_00000000000_000003461004226, 3461004226; 89000020240000766001520240650853P_0000_00000000000_000003461004226, 3461004226; 89000020240000766001520240650865P_0000_00000000000_000003461004226, 3461004226; 89000020240000766001520240650868P_0000_00000000000_000003461004226, 3461004226; 89000020240000766001520240650869P_0000_00000000000_000003461004226, 3461004226; 89000020240000766001520240650873P_0000_00000000000_000003461004226, 3461004226; 89000020240000766001520240650875P_0000_00000000000_000003461004226, 3461004226; 89000020240000766001520240650930P_0000_00000000000_000003461004226, 3461004226; 89000020240000766001520240650947P_0000_00000000000_000003461004226, 3461004226; 89000020240000766001520240650948P_0000_00000000000_000003461004226, 3461004226; 89000020240000766001520240650949P_0000_00000000000_000003461004226, 3461004226; 89000020240000766001520240650950P_0000_00000000000_000003461004226, 3461004226; 89000020240000766001520240650951P_0000_00000000000_000003461004226, 3461004226; 89000020240000766001520240650952P_0000_00000000000_000003461004226, 3461004226; 89000020240000766001520240650953P_0000_00000000000_000003461004226, 3461004226; 89000020240000766001520240650954P_0000_00000000000_000003461004226, 3461004226; 89000020240000766001520240650955P_0000_00000000000_000003461004226, 3461004226; 89000020240000766001520240650956P_0000_00000000000_000003461004226, 3461004226; 89000020240000766001520240650957P_0000_00000000000_000003461004226, 3461004226; 89000020240000766001520240650958P_0000_00000000000_000003461004226, 3461004226; 89000020240000766001520240650959P_0000_00000000000_000003461004226, 3461004226; 89000020240000766001520240650960P_0000_00000000000_000003461004226, 3461004226; 89000020240000766001520240650961P_0000_00000000000_000003461004226, 3461004226; 89000020240000766001520240650962P_0000_00000000000_000003461004226, 3461004226; 89000020240000766001520240650968P_0000_00000000000_000003461004226, 3461004226; 89000020240000766001520240650969P_0000_00000000000_000003461004226, 3461004226; 89000020240000766001520240650970P_0000_00000000000_000003461004226, 3461004226; 89000020240000766001520240650971P_0000_00000000000_000003461004226, 3461004226; 89000020240000766001520240650972P_0000_00000000000_000003461004226, 3461004226; 89000020240000766001520240650973P_0000_00000000000_000003461004226, 3461004226; 89000020240000766001520240650974P_0000_00000000000_000003461004226, 3461004226; 89000020240000766001520240650975P_0000_00000000000_000003461004226, 3461004226; 89000020240000766001520240650976P_0000_00000000000_000003461004226, 3461004226; 89000020240000766001520240650978P_0000_00000000000_000003461004226, 3461004226; 89000020240000766001520240650979P_0000_00000000000_000003461004226, 3461004226; 89000020240000766001520240650980P_0000_00000000000_000003461004226, 3461004226; 89000020240000766001520240650981P_0000_00000000000_000003461004226, 3461004226; 89000020240000766001520240650982P_0000_00000000000_000003461004226, 3461004226; 89000020240000766001520240650983P_0000_00000000000_000003461004226, 3461004226; 89000020240000766001520240650984P_0000_00000000000_000003461004226, 3461004226; 89000020240000766001520240650985P_0000_00000000000_000003461004226, 3461004226; 89000020240000766001520240650986P_0000_00000000000_000003461004226, 3461004226; 89000020240000766001520240650987P_0000_00000000000_000003461004226, 3461004226; 89000020240000766001520240650988P_0000_00000000000_000003461004226, 3461004226; 89000020240000766001520240650989P_0000_00000000000_000003461004226, 3461004226; 89000020240000766001520240650990P_0000_00000000000_000003461004226, 3461004226; 89000020240000766001520240650991P_0000_00000000000_000003461004226, 3461004226; 89000020240000766001520240650992P_0000_00000000000_000003461004226, 3461004226; 89000020240000766001520240650993P_0000_00000000000_000003461004226, 3461004226; 89000020240000766001520240650994P_0000_00000000000_000003461004226, 3461004226; 89000020240000766001520240650995P_0000_00000000000_000003461004226, 3461004226; 89000020240000766001520240650996P_0000_00000000000_000003461004226, 3461004226; 89000020240000766001520240650997P_0000_00000000000_000003461004226, 3461004226; 89000020240000766001520240650998P_0000_00000000000_000003461004226, 3461004226; 89000020240000766001520240650999P_0000_00000000000_000003461004226, 3461004226; 89000020240000766001520240651000P_0000_00000000000_000003461004226, 3461004226; 89000020240000766001520240651001P_0000_00000000000_000003461004226, 3461004226; 89000020240000766001520240651002P_0000_00000000000_000003461004226, 3461004226; 89000020240000766001520240651003P_0000_00000000000_000003461004226, 3461004226; 89000020240000766001520240651004P_0000_00000000000_000003461004226, 3461004226; 89000020240000766001520240651005P_0000_00000000000_000003461004226, 3461004226; 89000020240000766001520240651006P_0000_00000000000_000003461004226, 3461004226; 89000020240000766001520240651020P_0000_00000000000_000003461004226, 3461004226; 89000020240000766001520240651095P_0000_00000000000_000003461004226, 3461004226; 89000020240000766001520240651174P_0000_00000000000_000003461004226, 3461004226; 89000020240000766001520240651175P_0000_00000000000_000003461004226, 3461004226; 89000020240000766001520240651177P_0000_00000000000_000003461004226, 3461004226; 89000020240000766001520240651179P_0000_00000000000_000003461004226, 3461004226; 89000020240000766001520240651180P_0000_00000000000_000003461004226, 3461004226; 89000020240000766001520240651187P_0000_00000000000_000003461004226, 3461004226; 89000020240000766001520240651188P_0000_00000000000_000003461004226, 3461004226; 89000020240000766001520240651189P_0000_00000000000_000003461004226, 3461004226; 89000020240000766001520240651190P_0000_00000000000_000003461004226, 3461004226; 89000020240000766001520240651192P_0000_00000000000_000003461004226, 3461004226; 89000020240000766001520240651193P_0000_00000000000_000003461004226, 3461004226; 89000020240000766001520240651194P_0000_00000000000_000003461004226, 3461004226; 89000020240000766001520240651195P_0000_00000000000_000003461004226, 3461004226; 89000020240000766001520240651196P_0000_00000000000_000003461004226, 3461004226; 89000020240000766001520240651197P_0000_00000000000_000003461004226, 3461004226; 89000020240000766001520240651198P_0000_00000000000_000003461004226, 3461004226; 89000020240000766001520240651199P_0000_00000000000_000003461004226, 3461004226; 89000020240000766001520240651200P_0000_00000000000_000003461004226, 3461004226; 89000020240000766001520240651201P_0000_00000000000_000003461004226, 3461004226; 89000020240000766001520240651202P_0000_00000000000_000003461004226, 3461004226; 89000020240000766001520240651203P_0000_00000000000_000003461004226, 3461004226; 89000020240000766001520240651204P_0000_00000000000_000003461004226, 3461004226; 89000020240000766001520240651307P_0000_00000000000_000003461004226, 3461004226; 89000020240000766001520240651409P_0000_00000000000_000003461004226, 3461004226; 89000020240000766001520240651410P_0000_00000000000_000003461004226, 3461004226; 89000020240000766001520240651411P_0000_00000000000_000003461004226, 3461004226; 89000020240000766001520240651412P_0000_00000000000_000003461004226, 3461004226; 89000020240000766001520240651444P_0000_00000000000_000003461004226, 3461004226; 89000020240000766001520240651449P_0000_00000000000_000003461004226, 3461004226; 89000020240000766001520240651453P_0000_00000000000_000003461004226, 3461004226; 89000020240000766001520240651454P_0000_00000000000_000003461004226, 3461004226; 89000020240000766001520240651455P_0000_00000000000_000003461004226, 3461004226; 89000020240000766001520240651456P_0000_00000000000_000003461004226, 3461004226; 89000020240000766001520240651464P_0000_00000000000_000003461004226, 3461004226; 89000020240000766001520240651468P_0000_00000000000_000003461004226, 3461004226; 89000020240000766001520240651470P_0000_00000000000_000003461004226, 3461004226; 89000020240000766001520240651471P_0000_00000000000_000003461004226, 3461004226; 89000020240000766001520240651473P_0000_00000000000_000003461004226, 3461004226; 89000020240000766001520240651474P_0000_00000000000_000003461004226, 3461004226; 89000020240000766001520240651475P_0000_00000000000_000003461004226, 3461004226; 89000020240000766001520240651476P_0000_00000000000_000003461004226, 3461004226; 89000020240000766001520240651477P_0000_00000000000_000003461004226, 3461004226; 89000020240000766001520240651643P_0000_00000000000_000003461004226, 3461004226; 89000020240000766001520240651644P_0000_00000000000_000003461004226, 3461004226; 89000020240000766001520240651645P_0000_00000000000_000003461004226, 3461004226; 89000020240000766001520240651684P_0000_00000000000_000003461004226, 3461004226; 89000020240000766001520240651693P_0000_00000000000_000003461004226, 3461004226; 89000020240000766001520240651694P_0000_00000000000_000003461004226, 3461004226; 89000020240000766001520240651695P_0000_00000000000_000003461004226, 3461004226; 89000020240000766001520240651696P_0000_00000000000_000003461004226, 3461004226; 89000020240000766001520240651697P_0000_00000000000_000003461004226, 3461004226; 89000020240000766001520240651698P_0000_00000000000_000003461004226, 3461004226; 89000020240000766001520240651699P_0000_00000000000_000003461004226, 3461004226; 89000020240000766001520240651700P_0000_00000000000_000003461004226, 3461004226; 89000020240000766001520240651701P_0000_00000000000_000003461004226, 3461004226; 89000020240000766001520240651702P_0000_00000000000_000003461004226, 3461004226; 89000020240000766001520240651706P_0000_00000000000_000003461004226, 3461004226; 89000020240000766001520240651707P_0000_00000000000_000003461004226, 3461004226; 89000020240000766001520240651708P_0000_00000000000_000003461004226, 3461004226; 89000020240000766001520240651709P_0000_00000000000_000003461004226, 3461004226; 89000020240000766001520240651710P_0000_00000000000_000003461004226, 3461004226; 89000020240000766001520240651711P_0000_00000000000_000003461004226, 3461004226; 89000020240000766001520240651712P_0000_00000000000_000003461004226, 3461004226; 89000020240000766001520240651713P_0000_00000000000_000003461004226, 3461004226; 89000020240000766001520240651714P_0000_00000000000_000003461004226, 3461004226; 89000020240000766001520240651715P_0000_00000000000_000003461004226, 3461004226; 89000020240000766001520240651716P_0000_00000000000_000003461004226, 3461004226; 89000020240000766001520240651717P_0000_00000000000_000003461004226, 3461004226; 89000020240000766001520240651718P_0000_00000000000_000003461004226, 3461004226; 89000020240000766001520240651719P_0000_00000000000_000003461004226, 3461004226; 89000020240000766001520240651720P_0000_00000000000_000003461004226, 3461004226; 89000020240000766001520240651721P_0000_00000000000_000003461004226, 3461004226; 89000020240000766001520240651722P_0000_00000000000_000003461004226, 3461004226; 89000020240000766001520240651723P_0000_00000000000_000003461004226, 3461004226; 89000020240000766001520240651727P_0000_00000000000_000003461004226, 3461004226; 89000020240000766001520240651728P_0000_00000000000_000003461004226, 3461004226; 89000020240000766</t>
  </si>
  <si>
    <t>MIS_B9000_C0040</t>
  </si>
  <si>
    <t>0040_CNTRPRTY_NM</t>
  </si>
  <si>
    <t>PTBSREOM0028, Not applicable; PTCPP0AM0007, Not applicable</t>
  </si>
  <si>
    <t>MIS_B9000_C0050</t>
  </si>
  <si>
    <t>0050_CNTRPRTY_LEI</t>
  </si>
  <si>
    <t>MIS_B9000_C0060</t>
  </si>
  <si>
    <t>0060_TYP_CNTRPRTY_ID</t>
  </si>
  <si>
    <t>MIS_B9000_C0070</t>
  </si>
  <si>
    <t>0070_CNTRPRTY_ID</t>
  </si>
  <si>
    <t>MIS_B9000_C0080</t>
  </si>
  <si>
    <t>0080_CNTRPRTY_TYP</t>
  </si>
  <si>
    <t>MIS_B9000_C0090</t>
  </si>
  <si>
    <t>0090_CNTRY_CNTRPRTY</t>
  </si>
  <si>
    <t>MIS_B9000_C0100</t>
  </si>
  <si>
    <t>0100_RLVNT_AMNT_WDC</t>
  </si>
  <si>
    <t>MIS_LT002_INSTRMNT_ID</t>
  </si>
  <si>
    <t>BU_LOANTAPE_WORK.LT002_INSTRUMENT</t>
  </si>
  <si>
    <t>INSTRMNT_ID</t>
  </si>
  <si>
    <t>MIS_LT002_ISIN</t>
  </si>
  <si>
    <t>ISIN</t>
  </si>
  <si>
    <t>MIS_LT002_ORGNL_AMNT_EUR</t>
  </si>
  <si>
    <t>ORGNL_AMNT_EUR</t>
  </si>
  <si>
    <t>MIS_LT002_ORGNL_AMNT_FX</t>
  </si>
  <si>
    <t>ORGNL_AMNT_FX</t>
  </si>
  <si>
    <t>MIS_LT002_CRRNCY_DNMNTN</t>
  </si>
  <si>
    <t>CRRNCY_DNMNTN</t>
  </si>
  <si>
    <t>MIS_LT002_ACCRD_INTRST_INSTRMNT</t>
  </si>
  <si>
    <t>ACCRD_INTRST_INSTRMNT</t>
  </si>
  <si>
    <t>MIS_LT002_TYP_INSTRMNT</t>
  </si>
  <si>
    <t>TYP_INSTRMNT</t>
  </si>
  <si>
    <t>MIS_LT002_RANK_INSOLV</t>
  </si>
  <si>
    <t>RANK_INSOLV</t>
  </si>
  <si>
    <t>MIS_LT002_DT_INCPTN</t>
  </si>
  <si>
    <t>DT_INCPTN</t>
  </si>
  <si>
    <t>MIS_LT002_DT_NXT_INTRST_PYMNT</t>
  </si>
  <si>
    <t>DT_NXT_INTRST_PYMNT</t>
  </si>
  <si>
    <t>MIS_LT002_DT_LGL_FNL_MTRTY</t>
  </si>
  <si>
    <t>DT_LGL_FNL_MTRTY</t>
  </si>
  <si>
    <t>MIS_LT002_AMNT_SCRTY_EUR</t>
  </si>
  <si>
    <t>AMNT_SCRTY_EUR</t>
  </si>
  <si>
    <t>MIS_LT002_AMNT_SCRTY_FX</t>
  </si>
  <si>
    <t>AMNT_SCRTY_FX</t>
  </si>
  <si>
    <t>MIS_LT002_CSD</t>
  </si>
  <si>
    <t>CSD</t>
  </si>
  <si>
    <t>MIS_LT002_CSD_LEI</t>
  </si>
  <si>
    <t>CSD_LEI</t>
  </si>
  <si>
    <t>MIS_LT002_PYNG_AGNT</t>
  </si>
  <si>
    <t>PYNG_AGNT</t>
  </si>
  <si>
    <t>MIS_LT002_PYNG_AGNT_LEI</t>
  </si>
  <si>
    <t>PYNG_AGNT_LEI</t>
  </si>
  <si>
    <t>MIS_LT002_TYP_OWN_FNDS_INDVDL_LVL</t>
  </si>
  <si>
    <t>TYP_OWN_FNDS_INDVDL_LVL</t>
  </si>
  <si>
    <t>MIS_LT002_ELGBL_AMNT_OWN_FNDS_INDVDL_LVL</t>
  </si>
  <si>
    <t>ELGBL_AMNT_OWN_FNDS_INDVDL_LVL</t>
  </si>
  <si>
    <t>MIS_LT002_CRRYNG_AMNT_INSTRMNT</t>
  </si>
  <si>
    <t>CRRYNG_AMNT_INSTRMNT</t>
  </si>
  <si>
    <t>MIS_LT002_TRDNG_MTHD</t>
  </si>
  <si>
    <t>TRDNG_MTHD</t>
  </si>
  <si>
    <t>MIS_LT002_ACCNTNG_CLSSFCTN</t>
  </si>
  <si>
    <t>ACCNTNG_CLSSFCTN</t>
  </si>
  <si>
    <t>MIS_LT002_GOVERNING_LAW</t>
  </si>
  <si>
    <t>GOVERNING_LAW</t>
  </si>
  <si>
    <t>MIS_LT003_CNTRPRTY_RSLTN_GRP</t>
  </si>
  <si>
    <t>BU_LOANTAPE_WORK.LT003_ENTITY</t>
  </si>
  <si>
    <t>CNTRPRTY_RSLTN_GRP</t>
  </si>
  <si>
    <t>MIS_LT003_PRSN_TYP</t>
  </si>
  <si>
    <t>PRSN_TYP</t>
  </si>
  <si>
    <t>0000000000</t>
  </si>
  <si>
    <t>MIS_LT003_ENTTY_NM</t>
  </si>
  <si>
    <t>ENTTY_NM</t>
  </si>
  <si>
    <t>MIS_LT003_LEI</t>
  </si>
  <si>
    <t>LEI</t>
  </si>
  <si>
    <t>MIS_LT003_ENTTY_ID</t>
  </si>
  <si>
    <t>ENTTY_ID</t>
  </si>
  <si>
    <t>MIS_LT003_CNTRPRTY_TYP</t>
  </si>
  <si>
    <t>CNTRPRTY_TYP</t>
  </si>
  <si>
    <t>MIS_LT003_CNTRY</t>
  </si>
  <si>
    <t>CNTRY</t>
  </si>
  <si>
    <t>MIS_LT004_PRTCTN_ID</t>
  </si>
  <si>
    <t>BU_LOANTAPE_WORK.LT004_PROTECTION</t>
  </si>
  <si>
    <t>PRTCTN_ID</t>
  </si>
  <si>
    <t>MIS_LT004_DT_MTRTY_PRTCTN</t>
  </si>
  <si>
    <t>DT_MTRTY_PRTCTN</t>
  </si>
  <si>
    <t>MIS_LT004_PRTCTN_PRVDR_ID</t>
  </si>
  <si>
    <t>PRTCTN_PRVDR_ID</t>
  </si>
  <si>
    <t>MIS_LT005_ENTTY_ID</t>
  </si>
  <si>
    <t>BU_LOANTAPE_WORK.LT005_INSTR_ENT</t>
  </si>
  <si>
    <t>MIS_LT005_INSTRMNT_ID</t>
  </si>
  <si>
    <t>MIS_LT005_ACCRD_INTRST_INSTRMNT</t>
  </si>
  <si>
    <t>MIS_LT006_INSTRMNT_ID</t>
  </si>
  <si>
    <t>BU_LOANTAPE_WORK.LT006_INSTR_PROT</t>
  </si>
  <si>
    <t>MIS_LT006_PRTCTN_ID</t>
  </si>
  <si>
    <t>MIS_LT006_PRTCTN_ALLCTD_VL</t>
  </si>
  <si>
    <t>PRTCTN_ALLCTD_VL</t>
  </si>
  <si>
    <t>MIS_LT001_FLAG_GAR_INTRG_SAN</t>
  </si>
  <si>
    <t>BU_LOANTAPE_WORK.LT001_UNIV_OPER</t>
  </si>
  <si>
    <t>FLAG_GAR_INTRG_SAN</t>
  </si>
  <si>
    <t>MIS_LT001_FLAG_INST_CAP</t>
  </si>
  <si>
    <t>FLAG_INST_CAP</t>
  </si>
  <si>
    <t>MIS_LT001_FLAG_INST_DIV</t>
  </si>
  <si>
    <t>FLAG_INST_DIV</t>
  </si>
  <si>
    <t>MIS_LT001_FLAG_INST_TITULOS</t>
  </si>
  <si>
    <t>FLAG_INST_TITULOS</t>
  </si>
  <si>
    <t>3100031829309009700000000000000015321403985324032640403001, NULL; 3100031597031109600000000000000015310473251221141222159, NULL; 31000315970212096000000000000000153104730221141222159, NULL; 3100031854200909700000000000000015311403985314032640303001, NULL; 31000311450813096000000000000000153304730221141403152, NULL; 31000315970188096000000000000000153114739853147326403031521, NULL; 3100031597042809600000000000000015310473251221141222159, NULL; 3100031597046909600000000000000015310473251221141222159, NULL; 3100031597989009600000000000000015321433985324332640403101, NULL; 3100031829309009700000000000000015320403022035122200, NULL; 31000307044893096000000000000000153104730221141222159, NULL; 310003159798900960000000000000001532043325122114122210, NULL; 31000313517171096000000000000000153114739853147326403031521, NULL; 31000304140330096000000000000000153114719853147126403031201, NULL; 31000315970345096000000000000000153114739853147326403031521, NULL; 31000315970428096000000000000000153104730221141222159, NULL; 31000315970311096000000000000000153114739853147326403031521, NULL; 31000315970279096000000000000000153104730221141222159, NULL; 3100030414033009600000000000000015310471251221141222120, NULL; 3100031597013909600000000000000015310473251221141222159, NULL; 31000315970402096000000000000000153104730221141222159, NULL; 3100031184779409600000000000000015310473251221141222159, NULL; 31000311450813096000000000000000153304730282030501403152, NULL; 3100031854200909700000000000000015310403251220304122200, NULL; 31000315970139096000000000000000153104730221141222159, NULL; 3100031597023809600000000000000015310473251221141222159, NULL; 31000315970212096000000000000000153114739853147326403031521, NULL; 3100031854200909700000000000000015310403022035122200, NULL; 31000304140330096000000000000000153104710221141222120, NULL; 31000311847794096000000000000000153114739853147326403031521, NULL; 31000315970279096000000000000000153114739853147326403031521, NULL; 31000315970329096000000000000000153114739853147326403031521, NULL; 3100031597018809600000000000000015310473251221141222159, NULL; 31000315970311096000000000000000153104730221141222159, NULL; 3100031597040209600000000000000015310473251221141222159, NULL; 31000315970139096000000000000000153114739853147326403031521, NULL; 31000315970006096000000000000000153104730221141222159, NULL; 31000315970402096000000000000000153114739853147326403031521, NULL; 3100030704489309600000000000000015310473251221141222159, NULL; 31000315970329096000000000000000153104730221141222159, NULL; 31000315970469096000000000000000153114739853147326403031521, NULL; 31000315970121096000000000000000153104730221141222159, NULL; 3100031597027909600000000000000015310473251221141222159, NULL; 3100031597034509600000000000000015310473251221141222159, NULL; 31000315970188096000000000000000153104730221141222159, NULL; 31000315970238096000000000000000153114739853147326403031521, NULL; 3100031597032909600000000000000015310473251221141222159, NULL; 3100031597012109600000000000000015310473251221141222159, NULL; 31000311847794096000000000000000153104730221141222159, NULL; 3100031597000609600000000000000015310473251221141222159, NULL; 31000307530917096000000000000000153114739853147326403031521, NULL; 31000315970121096000000000000000153114739853147326403031521, NULL; 3100031597989009600000000000000015320433022114122210, NULL; 31000315970428096000000000000000153114739853147326403031521, NULL; 31000307044893096000000000000000153114739853147326403031521, NULL; 3100031351717109600000000000000015310473251221141222159, NULL; 31000315970238096000000000000000153104730221141222159, NULL; 3100030753091709600000000000000015310473251221141222159, NULL; 31000315970261096000000000000000153114739853147326403031521, NULL; 3100031829309009700000000000000015320403251220304122200, NULL; 3100031597026109600000000000000015310473251221141222159, NULL; 3100031145081309600000000000000015331047398533047326400031520, NULL; 31000315970469096000000000000000153104730221141222159, NULL; 3100031597021209600000000000000015310473251221141222159, NULL; 31000315970345096000000000000000153104730221141222159, NULL; 31000315970261096000000000000000153104730221141222159, NULL; 31000315970006096000000000000000153114739853147326403031521, NULL; 31000313517171096000000000000000153104730221141222159, NULL; 31000307530917096000000000000000153104730221141222159, NULL</t>
  </si>
  <si>
    <t>89000020240000766001520240649912; 89000020240000766001520250143417; 89000020240000766001520250143498; 89000020240000766001520250210966; 89000020240000766001520250211078; 89000020240000766001520250260065; 89000020240000766001520250260248; 89000020240000766001520250260273; 89000020240000766001520250327190; 89000020240000766001520250327308; 89000020240000766001520250327320; 89000020240000766001520250327491; 89000020240000766001520250327508; 89000020240000766001520250327573; 89000020240000766001520250400800; 89000020240000766001520250400852; 89000020240000766001520250451458; 89000020240000766001520250451653; 89000020240000766001520250451747; 89000020240000766001520250451769; 89000020240000766001520250507991; 89000020240000766001520250507994; 89000020240000766001520250508365; 89000020240000766001520240650382; 89000020240000766001520240650851; 89000020240000766001520240652838; 89000020240000766001520240654659; 89000020240000766001520250082903; 89000020240000766001520250143795; 89000020240000766001520250143919; 89000020240000766001520250208797; 89000020240000766001520250208811; 89000020240000766001520250208966; 89000020240000766001520250211036; 89000020240000766001520250260033; 89000020240000766001520250260144; 89000020240000766001520250260279; 89000020240000766001520250327325; 89000020240000766001520250327444; 89000020240000766001520250327804; 89000020240000766001520250451336; 89000020240000766001520250451569; 89000020240000766001520250451683; 89000020240000766001520250451723; 89000020240000766001520250507989; 89000020240000766001520250508325; 89000020240000766V0050000C1250I2; 89000020240000766001520240652443; 89000020240000766001520240653159; 89000020240000766001520250143452; 89000020240000766001520250143573; 89000020240000766001520250143881; 89000020240000766001520250208668; 89000020240000766001520250259737; 89000020240000766001520250260026; 89000020240000766001520250260147; 89000020240000766001520250327343; 89000020240000766001520250327412; 89000020240000766001520250327563; 89000020240000766001520250327585; 89000020240000766001520250327635; 89000020240000766001520250327749; 89000020240000766001520250327769; 89000020240000766001520250327974; 89000020240000766001520250451833; 89000020240000766001520250507913; 89000020240000766001520250508177; 89000020240000766001520240651204; 89000020240000766001520240651477; 89000020240000766001520240651721; 89000020240000766001520250208884; 89000020240000766001520250208931; 89000020240000766001520250259830; 89000020240000766001520250260001; 89000020240000766001520250260209; 89000020240000766001520250327293; 89000020240000766001520250327318; 89000020240000766001520250327385; 89000020240000766001520250327552; 89000020240000766001520250327695; 89000020240000766001520250327717; 89000020240000766001520250400842; 89000020240000766001520250451333; 89000020240000766001520250451356; 89000020240000766001520250451568; 89000020240000766001520250451829; 89000020240000766001520250507836; 89000020240000766001520250508411; 89000020240000766001520240650552; 89000020240000766001520240651693; 89000020240000766001520240653171; 89000020240000766001520250082924; 89000020240000766001520250143530; 89000020240000766001520250143536; 89000020240000766001520250208789; 89000020240000766001520250260138; 89000020240000766001520250260184; 89000020240000766001520250260278; 89000020240000766001520250327137; 89000020240000766001520250327878; 89000020240000766001520250400588; 89000020240000766001520250451350; 89000020240000766001520250451883; 89000020240000766001520250451970; 89000020240000766001520250508295; 89000020240000766001520250508355; 890000202400007660007100C28143I1; 89000020240000766001520240649921; 89000020240000766001520240649942; 89000020240000766001520240654427; 89000020240000766001520250143787; 89000020240000766001520250143798; 89000020240000766001520250208730; 89000020240000766001520250208781; 89000020240000766001520250259743; 89000020240000766001520250259860; 89000020240000766001520250259886; 89000020240000766001520250327779; 89000020240000766001520250327903; 89000020240000766001520250327959; 89000020240000766001520250451724; 89000020240000766001520250451803; 89000020240000766001520250507987; 31000315970212096000000000000000; 31000318637213097000000000000000; 89000020240000766001520240650484; 89000020240000766001520240650953; 89000020240000766001520240651199; 89000020240000766001520240654635; 89000020240000766001520250143890; 89000020240000766001520250143902; 89000020240000766001520250208793; 89000020240000766001520250208861; 89000020240000766001520250208891; 89000020240000766001520250259816; 89000020240000766001520250260274; 89000020240000766001520250327131; 89000020240000766001520250327264; 89000020240000766001520250327664; 89000020240000766001520250327694; 89000020240000766001520250327708; 89000020240000766001520250327823; 89000020240000766001520250327977; 89000020240000766001520250400723; 89000020240000766001520250507868; 89000020240000766001520250507884; 89000020240000766001520250507918; 89000020240000766001520250507934; 89000020240000766001520250507953; 89000020240000766001520250508109; 89000020240000766001520250508208; 89000020240000766001520250508306; 89000020240000766001520250508314; 89000020240000766001520250508353; 89000020240000766001520250508475; 89000020240000766001520240651695; 89000020240000766001520240654088; 89000020240000766001520250082858; 89000020240000766001520250143802; 89000020240000766001520250143828; 89000020240000766001520250208725; 89000020240000766001520250211085; 89000020240000766001520250327268; 89000020240000766001520250327436; 89000020240000766001520250327768; 89000020240000766001520250327943; 89000020240000766001520250400704; 89000020240000766001520250400816; 89000020240000766001520250400836; 89000020240000766001520250451316; 89000020240000766001520250451524; 89000020240000766001520250451579; 89000020240000766001520250507840; 89000020240000766001520250508288; 89000020240000766001520250508310; 89000020240000766001520250508380; 89000020240000766001520240650408; 89000020240000766001520240653161; 89000020240000766001520250143495; 89000020240000766001520250143504; 89000020240000766001520250143792; 89000020240000766001520250143866; 89000020240000766001520250208688; 89000020240000766001520250260072; 89000020240000766001520250260191; 89000020240000766001520250327255; 89000020240000766001520250327271; 89000020240000766001520250327502; 89000020240000766001520250327760; 89000020240000766001520250327945; 89000020240000766001520250400735; 89000020240000766001520250400869; 89000020240000766001520250451592; 89000020240000766001520250451707; 89000020240000766001520250451870; 89000020240000766001520250507904; 89000020240000766001520250508139; 89000020240000766001520250508226; 89000020240000766001520250508379; 31000315970279096000000000000000; 31000318629012097000000000000000; 89000020240000766001520240652453; 89000020240000766001520250143583; 89000020240000766001520250143824; 89000020240000766001520250208701; 89000020240000766001520250208851; 89000020240000766001520250259747; 89000020240000766001520250259779; 89000020240000766001520250260003; 89000020240000766001520250260186; 89000020240000766001520250327442; 89000020240000766001520250327570; 89000020240000766001520250327627; 89000020240000766001520250327894; 89000020240000766001520250400694; 89000020240000766001520250400701; 89000020240000766001520250400839; 89000020240000766001520250451372; 89000020240000766001520250451465; 89000020240000766001520250451502; 89000020240000766001520250451509; 89000020240000766001520250451840; 89000020240000766001520250451875; 89000020240000766001520250507857; 89000020240000766001520250508512; 89000020240000766001520240650008; 89000020240000766001520240651733; 89000020240000766001520240652462; 89000020240000766001520240654428; 89000020240000766001520250143499; 89000020240000766001520250143691; 89000020240000766001520250143777; 89000020240000766001520250143930; 89000020240000766001520250210952; 89000020240000766001520250260041; 89000020240000766001520250327239; 89000020240000766001520250327249; 89000020240000766001520250327521; 89000020240000766001520250400716; 89000020240000766001520250400751; 89000020240000766001520250400780; 89000020240000766001520250400853; 89000020240000766001520250451728; 89000020240000766001520250451768; 89000020240000766001520250508262; 89000020240000766001520250508302; 89000020240000766001520240649918; 89000020240000766001520240650528; 89000020240000766001520240650563; 89000020240000766001520240651453; 89000020240000766001520240652447; 89000020240000766001520250143411; 89000020240000766001520250259775; 89000020240000766001520250327107; 89000020240000766001520250327128; 89000020240000766001520250327182; 89000020240000766001520250400828; 89000020240000766001520250451431; 89000020240000766001520250451516; 89000020240000766001520250451668; 89000020240000766001520250451692; 89000020240000766001520250451718; 89000020240000766001520250451811; 89000020240000766001520240650952; 89000020240000766001520240653169; 89000020240000766001520250082913; 89000020240000766001520250143708; 89000020240000766001520250143793; 89000020240000766001520250208890; 89000020240000766001520250208916; 89000020240000766001520250259832; 89000020240000766001520250259969; 89000020240000766001520250260257; 89000020240000766001520250327179; 89000020240000766001520250327237; 89000020240000766001520250327316; 89000020240000766001520250327613; 89000020240000766001520250327723; 89000020240000766001520250400689; 89000020240000766001520250400811; 89000020240000766001520250451289; 89000020240000766001520250451411; 89000020240000766001520250451467; 89000020240000766001520250451495; 89000020240000766001520250451553; 89000020240000766001520250451614; 89000020240000766001520250451623; 89000020240000766001520250451670; 89000020240000766001520250451839; 89000020240000766001520250451902; 89000020240000766001520250508077; 89000020240000766001520250508084; 89000020240000766001520250508166; 89000020240000766001520250508465; 89000020240000766001520250508529; 89000020240000766001520240649913; 89000020240000766001520240654087; 89000020240000766001520240654658; 89000020240000766001520250143565; 89000020240000766001520250143581; 89000020240000766001520250143896; 89000020240000766001520250208881; 89000020240000766001520250211080; 89000020240000766001520250260012; 89000020240000766001520250260116; 89000020240000766001520250260200; 89000020240000766001520250327233; 89000020240000766001520250327354; 89000020240000766001520250327714; 89000020240000766001520250400598; 89000020240000766001520250400712; 89000020240000766001520250451457; 89000020240000766001520250451556; 89000020240000766001520250451783; 89000020240000766001520250507893; 89000020240000766001520250507969; 89000020240000766001520250507970; 89000020240000766001520250508040; 89000020240000766001520250508042; 89000020240000766001520250508241; 89000020240000766001520250508254; 89000020240000766001520250508499; 89000020240000766001520240650388; 89000020240000766001520240650566; 89000020240000766001520240650868; 89000020240000766001520240654650; 89000020240000766001520250143773; 89000020240000766001520250143851; 89000020240000766001520250259750; 89000020240000766001520250259882; 89000020240000766001520250327277; 89000020240000766001520250327281; 89000020240000766001520250327536; 89000020240000766001520250327764; 89000020240000766001520250327951; 89000020240000766001520250400616; 89000020240000766001520250400763; 89000020240000766001520250451548; 89000020240000766001520250451660; 89000020240000766001520250451661; 89000020240000766001520250451850; 89000020240000766001520250507936; 89000020240000766001520250508143; 89000020240000766001520250508293; 89000020240000766001520250508440; 89000020240000766001520250508507; 89000020240000766001520240651455; 89000020240000766001520240654078; 89000020240000766001520240654649; 89000020240000766001520250082931; 89000020240000766001520250143435; 89000020240000766001520250143572; 89000020240000766001520250143574; 89000020240000766001520250143590; 89000020240000766001520250143625; 89000020240000766001520250143741; 89000020240000766001520250208681; 89000020240000766001520250208852; 89000020240000766001520250210960; 89000020240000766001520250211046; 89000020240000766001520250259880; 89000020240000766001520250259948; 89000020240000766001520250260056; 89000020240000766001520250260143; 89000020240000766001520250260153; 89000020240000766001520250327301; 89000020240000766001520250327373; 89000020240000766001520250327379; 89000020240000766001520250327818; 89000020240000766001520250327851; 89000020240000766001520250327982; 89000020240000766001520250451282; 89000020240000766001520250451303; 89000020240000766001520250451704; 89000020240000766001520250508101; 89000020240000766001520250508363; 31041600300001300000000000000000; 31065100200010445000000000000000; 89000020240000766001520240650365; 89000020240000766001520240651444; 89000020240000766001520240652442; 89000020240000766001520240653168; 89000020240000766001520250143429; 89000020240000766001520250143468; 89000020240000766001520250143510; 89000020240000766001520250143699; 89000020240000766001520250208673; 89000020240000766001520250208791; 89000020240000766001520250208831; 89000020240000766001520250208875; 89000020240000766001520250208883; 89000020240000766001520250210943; 89000020240000766001520250259943; 89000020240000766001520250260049; 89000020240000766001520250260180; 89000020240000766001520250260262; 89000020240000766001520250327223; 89000020240000766001520250327270; 89000020240000766001520250327525; 89000020240000766001520250327588; 89000020240000766001520250327600; 89000020240000766001520250327683; 89000020240000766001520250327933; 89000020240000766001520250400686; 89000020240000766001520250400797; 89000020240000766001520250400878; 89000020240000766001520250451802; 89000020240000766001520250451974; 89000020240000766001520240650522; 89000020240000766001520240650961; 89000020240000766001520240653162; 89000020240000766001520250143425; 89000020240000766001520250143458; 89000020240000766001520250143462; 89000020240000766001520250143903; 89000020240000766001520250208829; 89000020240000766001520250208870; 89000020240000766001520250208991; 89000020240000766001520250211077; 89000020240000766001520250259754; 89000020240000766001520250259817; 89000020240000766001520250260145; 89000020240000766001520250260182; 89000020240000766001520250327124; 89000020240000766001520250327155; 89000020240000766001520250327173; 89000020240000766001520250327217; 89000020240000766001520250327283; 89000020240000766001520250400611; 89000020240000766001520250400657; 89000020240000766001520250400692; 89000020240000766001520250451535; 89000020240000766001520250451804; 89000020240000766001520250451954; 89000020240000766001520240650403; 89000020240000766001520240650414; 89000020240000766001520240650547; 89000020240000766001520240650986; 89000020240000766001520250143742; 89000020240000766001520250143816; 89000020240000766001520250143897; 89000020240000766001520250208667; 89000020240000766001520250208721; 89000020240000766001520250208768; 89000020240000766001520250208800; 89000020240000766001520250208932; 89000020240000766001520250208972; 89000020240000766001520250208980; 89000020240000766001520250209001; 89000020240000766001520250260099; 89000020240000766001520250327170; 89000020240000766001520250327243; 89000020240000766001520250327358; 89000020240000766001520250327810; 89000020240000766001520250327907; 89000020240000766001520250327923; 89000020240000766001520250327965; 89000020240000766001520250327993; 89000020240000766001520250400606; 89000020240000766001520250400690; 89000020240000766001520250400826; 89000020240000766001520250451357; 89000020240000766001520250451473; 89000020240000766001520250451610; 89000020240000766001520250451709; 89000020240000766001520250451854; 89000020240000766001520250508051; 89000020240000766001520250508060; 89000020240000766001520250508173; 89000020240000766001520250508423; 89000020240000766001520250508424; 89000020240000766001520240649898; 89000020240000766001520240650427; 89000020240000766001520240650434; 89000020240000766001520240650972; 89000020240000766001520240654426; 89000020240000766001520240654442; 89000020240000766001520250143427; 89000020240000766001520250143544; 89000020240000766001520250143926; 89000020240000766001520250259964; 89000020240000766001520250259996; 89000020240000766001520250260255; 89000020240000766001520250327826; 89000020240000766001520250400593; 89000020240000766001520250400796; 89000020240000766001520250451364; 89000020240000766001520250451663; 89000020240000766001520250451749; 89000020240000766001520250451764; 89000020240000766001520250451767; 89000020240000766001520250451774; 89000020240000766001520250451901; 89000020240000766001520250508006; 89000020240000766001520250508415; 89000020240000766001520250508428; 31000315970261096000000000000000; 89000020240000766001520240651192; 89000020240000766001520240654454; 89000020240000766001520250143641; 89000020240000766001520250143709; 89000020240000766001520250143715; 89000020240000766001520250143727; 89000020240000766001520250143853; 89000020240000766001520250211003; 89000020240000766001520250327150; 89000020240000766001520250327494; 89000020240000766001520250327744; 89000020240000766001520250328002; 89000020240000766001520250400744; 89000020240000766001520250451291; 89000020240000766001520250451322; 89000020240000766001520250451402; 89000020240000766001520250451588; 89000020240000766001520250451831; 89000020240000766001520250451888; 89000020240000766001520250507926; 89000020240000766001520250508165; 89000020240000766001520250508273; 89000020240000766001520250508278; 89000020240000766001520250508316; 89000020240000766001520250508535; 89000020240000766001520240650417; 89000020240000766001520240652322; 89000020240000766001520240652390; 89000020240000766001520250082899; 89000020240000766001520250143478; 89000020240000766001520250143578; 89000020240000766001520250143774; 89000020240000766001520250208685; 89000020240000766001520250208723; 89000020240000766001520250208784; 89000020240000766001520250211081; 89000020240000766001520250259868; 89000020240000766001520250260067; 89000020240000766001520250260230; 89000020240000766001520250327200; 89000020240000766001520250327245; 89000020240000766001520250327328; 89000020240000766001520250327944; 89000020240000766001520250327967; 89000020240000766001520250400684; 89000020240000766001520250400822; 89000020240000766001520250400831; 89000020240000766001520250451351; 89000020240000766001520250451459; 89000020240000766001520250508225; 89000020240000766001520250508489;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t>
  </si>
  <si>
    <t>31000315970188096000000000000000; 31000315970238096000000000000000; 31000315970139096000000000000000; 31000315979890096000000000000000; 31000315970428096000000000000000; 31000311847794096000000000000000; 31641600005800007PTCPP0AM0007000; 31000315970329096000000000000000; 31000315970345096000000000000000; 31000315970402096000000000000000; 31000313517171096000000000000000; 31000315970261096000000000000000; 31000315970279096000000000000000; 31000315970212096000000000000000; 31000315970006096000000000000000; 31000315970469096000000000000000; 31000307530917096000000000000000; 31000000000000000962304890482490; 31000315970121096000000000000000; 31000307044893096000000000000000; 31000304140330096000000000000000; 31000315970311096000000000000000; 31000311450813096000000000000000</t>
  </si>
  <si>
    <t>89000020240000766001520240650392; 89000020240000766001520240650983; 89000020240000766001520240651005; 89000020240000766001520240652321; 89000020240000766001520250143430; 89000020240000766001520250143602; 89000020240000766001520250211019; 89000020240000766001520250259987; 89000020240000766001520250327117; 89000020240000766001520250327174; 89000020240000766001520250327466; 89000020240000766001520250327639; 89000020240000766001520250327795; 89000020240000766001520250327806; 89000020240000766001520250327875; 89000020240000766001520250327886; 89000020240000766001520250327981; 89000020240000766001520250400703; 89000020240000766001520250400827; 89000020240000766001520250451390; 89000020240000766001520250451433; 89000020240000766001520250451461; 89000020240000766001520250451477; 89000020240000766001520250451595; 89000020240000766001520250451793; 89000020240000766001520250507895; 89000020240000766001520250508155; 89000020240000766001520250508235; 89000020240000766001520250508244; 89000020240000766001520250508320; 89000020240000766001520250508443; 89000020240000766001520250508498; 89000020240000766001520250508530; 89000020240000766001520240653187; 89000020240000766001520250143603; 89000020240000766001520250208849; 89000020240000766001520250208857; 89000020240000766001520250208941; 89000020240000766001520250211031; 89000020240000766001520250211068; 89000020240000766001520250259852; 89000020240000766001520250260137; 89000020240000766001520250260253; 89000020240000766001520250327211; 89000020240000766001520250327304; 89000020240000766001520250327346; 89000020240000766001520250327423; 89000020240000766001520250327551; 89000020240000766001520250327558; 89000020240000766001520250327778; 89000020240000766001520250327895; 89000020240000766001520250327957; 89000020240000766001520250400640; 89000020240000766001520250451650; 89000020240000766001520250451677; 89000020240000766001520250451912; 89000020240000766001520250508373; 89000020240000766001520250508504; 89000020240000766001520250143538; 89000020240000766001520250143689; 89000020240000766001520250143694; 89000020240000766001520250143929; 89000020240000766001520250208765; 89000020240000766001520250210982; 89000020240000766001520250259786; 89000020240000766001520250259899; 89000020240000766001520250260085; 89000020240000766001520250327114; 89000020240000766001520250327541; 89000020240000766001520250327737; 89000020240000766001520250327794; 89000020240000766001520250327819; 89000020240000766001520250327919; 89000020240000766001520250328000; 89000020240000766001520250400646; 89000020240000766001520250451720; 89000020240000766001520250451770; 89000020240000766001520250508230; 89000020240000766001520250508239; 89000020240000766001520240650959; 89000020240000766001520240652313; 89000020240000766001520250082902; 89000020240000766001520250143856; 89000020240000766001520250211004; 89000020240000766001520250211012; 89000020240000766001520250259828; 89000020240000766001520250259843; 89000020240000766001520250260189; 89000020240000766001520250400613; 89000020240000766001520250451368; 89000020240000766001520250451612; 89000020240000766001520250451863; 89000020240000766001520250507928; 89000020240000766001520250508048; 89000020240000766001520250508063; 89000020240000766001520250508209; 89000020240000766001520250508221; 89000020240000766001520250508245; 89000020240000766001520250508246; 89000020240000766001520240650493; 89000020240000766001520240651190; 89000020240000766001520240651696; 89000020240000766001520250143832; 89000020240000766001520250143901; 89000020240000766001520250208670; 89000020240000766001520250208679; 89000020240000766001520250209000; 89000020240000766001520250259919; 89000020240000766001520250259927; 89000020240000766001520250327674; 89000020240000766001520250327825; 89000020240000766001520250327857; 89000020240000766001520250327858; 89000020240000766001520250451301; 89000020240000766001520250451349; 89000020240000766001520250451727; 89000020240000766001520250507850; 89000020240000766001520250507875; 89000020240000766001520240650418; 89000020240000766001520250143924; 89000020240000766001520250143927; 89000020240000766001520250210957; 89000020240000766001520250211013; 89000020240000766001520250259733; 89000020240000766001520250259760; 89000020240000766001520250260061; 89000020240000766001520250327313; 89000020240000766001520250400792; 89000020240000766001520250400862; 89000020240000766001520250451675; 89000020240000766001520250451843; 89000020240000766001520250451968; 89000020240000766001520250507947; 89000020240000766001520250508064; 89000020240000766001520250508065; 89000020240000766001520250508087; 89000020240000766001520250508383; 89000020240000766001520240650787; 89000020240000766001520250143506; 89000020240000766001520250143622; 89000020240000766001520250259972; 89000020240000766001520250260076; 89000020240000766001520250260114; 89000020240000766001520250260142; 89000020240000766001520250260217; 89000020240000766001520250327184; 89000020240000766001520250327315; 89000020240000766001520250327331; 89000020240000766001520250327584; 89000020240000766001520250327616; 89000020240000766001520250327707; 89000020240000766001520250327935; 89000020240000766001520250400610; 89000020240000766001520250400612; 89000020240000766001520250451391; 89000020240000766001520250451520; 89000020240000766001520250451893; 89000020240000766001520250508001; 89000020240000766001520250508140; 89000020240000766001520240650011; 89000020240000766001520240651728; 89000020240000766001520250143455; 89000020240000766001520250143805; 89000020240000766001520250143811; 89000020240000766001520250208833; 89000020240000766001520250210938; 89000020240000766001520250259922; 89000020240000766001520250259986; 89000020240000766001520250327246; 89000020240000766001520250327319; 89000020240000766001520250327342; 89000020240000766001520250327568; 89000020240000766001520250327569; 89000020240000766001520250327754; 89000020240000766001520250327861; 89000020240000766001520250327906; 89000020240000766001520250400810; 89000020240000766001520250451858; 89000020240000766001520250451951; 89000020240000766001520250508055; 89000020240000766001520250508224; 89000020240000766001520240653226; 89000020240000766001520250143888; 89000020240000766001520250208774; 89000020240000766001520250259826; 89000020240000766001520250259854; 89000020240000766001520250259907; 89000020240000766001520250260073; 89000020240000766001520250327165; 89000020240000766001520250327172; 89000020240000766001520250327309; 89000020240000766001520250327377; 89000020240000766001520250327459; 89000020240000766001520250327531; 89000020240000766001520250327762; 89000020240000766001520250327814; 89000020240000766001520250327884; 89000020240000766001520250327934; 89000020240000766001520250400793; 89000020240000766001520250400865; 89000020240000766001520250451287; 89000020240000766001520250451392; 89000020240000766001520250451717; 89000020240000766001520250451758; 89000020240000766001520250507869; 89000020240000766001520250508047; 89000020240000766001520250508367; 89000020240000766001520250508403; 89000020240000766001520250508496; 89000020240000766001520240651188; 89000020240000766001520240651195; 89000020240000766001520250143650; 89000020240000766001520250143846; 89000020240000766001520250260098; 89000020240000766001520250260190; 89000020240000766001520250327456; 89000020240000766001520250327469; 89000020240000766001520250327503; 89000020240000766001520250327781; 89000020240000766001520250327997; 89000020240000766001520250400658; 89000020240000766001520250451313; 89000020240000766001520250451415; 89000020240000766001520250451545; 89000020240000766001520250451734; 89000020240000766001520250508138; 89000020240000766001520250508203; 89000020240000766001520250508427; 89000020240000766001520250508451; 89000020240000766001520240650498; 89000020240000766001520240650788; 89000020240000766001520240654169; 89000020240000766001520240654661; 89000020240000766001520250143686; 89000020240000766001520250143882; 89000020240000766001520250208773; 89000020240000766001520250211043; 89000020240000766001520250259856; 89000020240000766001520250259903; 89000020240000766001520250259908; 89000020240000766001520250327145; 89000020240000766001520250327287; 89000020240000766001520250327426; 89000020240000766001520250327897; 89000020240000766001520250507905; 89000020240000766001520250508171; 89000020240000766001520250508362; 89000020240000766001520250508372; 89000020240000766001520250508492; 89000020240000766001520250143424; 89000020240000766001520250208708; 89000020240000766001520250208828; 89000020240000766001520250208867; 89000020240000766001520250211073; 89000020240000766001520250211088; 89000020240000766001520250259992; 89000020240000766001520250260082; 89000020240000766001520250260260; 89000020240000766001520250327413; 89000020240000766001520250327507; 89000020240000766001520250327701; 89000020240000766001520250327719; 89000020240000766001520250327793; 89000020240000766001520250327908; 89000020240000766001520250400673; 89000020240000766001520250400742; 89000020240000766001520250400785; 89000020240000766001520250400787; 89000020240000766001520250451898; 89000020240000766001520250507878; 89000020240000766001520250508000; 89000020240000766001520250508018; 89000020240000766001520250508022; 89000020240000766001520250508039; 89000020240000766001520250508291; 89000020240000766001520250508318; 89000020240000766001520250508408; 89000020240000766001520250508414; 89000020240000766001520240649917; 89000020240000766001520240650367; 89000020240000766001520240651697; 89000020240000766001520250143955; 89000020240000766001520250208948; 89000020240000766001520250211029; 89000020240000766001520250259804; 89000020240000766001520250260071; 89000020240000766001520250327382; 89000020240000766001520250327509; 89000020240000766001520250327661; 89000020240000766001520250327747; 89000020240000766001520250451383; 89000020240000766001520250451785; 89000020240000766001520250507900; 89000020240000766001520250507940; 89000020240000766001520250508217; 89000020240000766001520250508344; 89000020240000766001520250508392; 89000020240000766001520250508467; 89000020240000766001520250508523; 31000315970188096000000000000000; 89000020240000766001520250082860; 89000020240000766001520250143933; 89000020240000766001520250143935; 89000020240000766001520250208974; 89000020240000766001520250208977; 89000020240000766001520250259772; 89000020240000766001520250259796; 89000020240000766001520250259941; 89000020240000766001520250260094; 89000020240000766001520250260113; 89000020240000766001520250327758; 89000020240000766001520250327811; 89000020240000766001520250327839; 89000020240000766001520250400856; 89000020240000766001520250451494; 89000020240000766001520250451605; 89000020240000766001520250451805; 89000020240000766001520250508272; 89000020240000766001520240649874; 89000020240000766001520240650375; 89000020240000766001520240650968; 89000020240000766001520240653158; 89000020240000766001520240653225; 89000020240000766001520240654073; 89000020240000766001520250082908; 89000020240000766001520250143475; 89000020240000766001520250143587; 89000020240000766001520250143800; 89000020240000766001520250143922; 89000020240000766001520250208690; 89000020240000766001520250208893; 89000020240000766001520250208965; 89000020240000766001520250210990; 89000020240000766001520250259783; 89000020240000766001520250259864; 89000020240000766001520250259906; 89000020240000766001520250259911; 89000020240000766001520250259958; 89000020240000766001520250327230; 89000020240000766001520250327286; 89000020240000766001520250327912; 89000020240000766001520250400637; 89000020240000766001520250451424; 89000020240000766001520250451462; 89000020240000766001520250451745; 89000020240000766001520250451800; 89000020240000766001520250451907; 89000020240000766001520250507914; 89000020240000766001520250507925; 89000020240000766001520250508098; 89000020240000766001520250508146; 89000020240000766001520250508200; 89000020240000766001520250508249; 89000020240000766001520250508328; 89000020240000766001520250508357; 89000020240000766001520250508485; 89000020240000766001520250508545; 89000020240000766001520240650869; 89000020240000766001520240652314; 89000020240000766001520250143601; 89000020240000766001520250208790; 89000020240000766001520250208866; 89000020240000766001520250208871; 89000020240000766001520250210947; 89000020240000766001520250259823; 89000020240000766001520250260040; 89000020240000766001520250327113; 89000020240000766001520250327252; 89000020240000766001520250327470; 89000020240000766001520250327575; 89000020240000766001520250327706; 89000020240000766001520250451359; 89000020240000766001520250451397; 89000020240000766001520250451428; 89000020240000766001520250451470; 89000020240000766001520250451497; 89000020240000766001520250451975; 89000020240000766001520250508136; 89000020240000766001520250508543; 89000020240000766001520240651006; 89000020240000766001520240653177; 89000020240000766001520250082916; 89000020240000766001520250143485; 89000020240000766001520250143605; 89000020240000766001520250143659; 89000020240000766001520250259821; 89000020240000766001520250259994; 89000020240000766001520250327374; 89000020240000766001520250327433; 89000020240000766001520250327603; 89000020240000766001520250327771; 89000020240000766001520250327975; 89000020240000766001520250400829; 89000020240000766001520250400848; 89000020240000766001520250451755; 89000020240000766001520250451908; 89000020240000766001520250451913; 89000020240000766001520250508067; 89000020240000766001520250508370; 89000020240000766001520250508404; 89000020240000766001520250508521; 89000020240000766001520240650499; 89000020240000766001520240651875; 89000020240000766001520240652451; 89000020240000766001520240654071; 89000020240000766001520250143494; 89000020240000766001520250143500; 89000020240000766001520250143575; 89000020240000766001520250208695; 89000020240000766001520250208715; 89000020240000766001520250208736; 89000020240000766001520250208915; 89000020240000766001520250259785; 89000020240000766001520250260047; 89000020240000766001520250327544; 89000020240000766001520250327870; 89000020240000766001520250327964; 89000020240000766001520250327973; 89000020240000766001520250451639; 89000020240000766001520250451812; 89000020240000766001520250451816; 89000020240000766001520240650548; 89000020240000766001520250208671; 89000020240000766001520250208713; 89000020240000766001520250208873; 89000020240000766001520250208993; 89000020240000766001520250210985; 89000020240000766001520250211057; 89000020240000766001520250259825; 89000020240000766001520250259940; 89000020240000766001520250260167; 89000020240000766001520250327153; 89000020240000766001520250327983; 89000020240000766001520250400718; 89000020240000766001520250451354; 89000020240000766001520250451501; 89000020240000766001520250451526; 89000020240000766001520250451531; 89000020240000766001520250451560; 89000020240000766001520250451572; 89000020240000766001520250451927; 89000020240000766001520250451949; 89000020240000766001520250507897; 89000020240000766001520250507941; 89000020240000766001520250507963; 89000020240000766001520240652444; 89000020240000766001520250143567; 89000020240000766001520250143653; 89000020240000766001520250208718; 89000020240000766001520250208766; 89000020240000766001520250208812; 89000020240000766001520250208912; 89000020240000766001520250210999; 89000020240000766001520250211053; 89000020240000766001520250211086; 89000020240000766001520250260077; 89000020240000766001520250327437; 89000020240000766001520250327785; 89000020240000766001520250400706; 89000020240000766001520250400794; 89000020240000766001520250400859; 89000020240000766001520250451395; 89000020240000766001520250451447; 89000020240000766001520250451453; 89000020240000766001520250451740; 89000020240000766001520250451934; 89000020240000766001520240650192; 89000020240000766001520240650975; 89000020240000766001520240652459; 89000020240000766001520250143687; 89000020240000766001520250208788; 89000020240000766001520250210972; 89000020240000766001520250260015; 89000020240000766001520250260032; 89000020240000766001520250260165; 89000020240000766001520250327874; 89000020240000766001520250327882; 89000020240000766001520250327893; 89000020240000766001520250400765; 89000020240000766001520250400871; 89000020240000766001520250451298; 89000020240000766001520250451603; 89000020240000766001520250451784; 89000020240000766001520250451817; 89000020240000766001520250507929; 89000020240000766001520250508050; 89000020240000766001520250508093; 89000020240000766001520250508219; 89000020240000766001520250508233; 89000020240000766001520250508237; 89000020240000766001520250508426; 89000020240000766001520240650421; 89000020240000766001520240650482; 89000020240000766001520240650497; 89000020240000766001520240654434; 89000020240000766001520250143676; 89000020240000766001520250208832; 89000020240000766001520250208967; 89000020240000766001520250211037; 89000020240000766001520250259915; 89000020240000766001520250260139; 89000020240000766001520250260140; 89000020240000766001520250327171; 89000020240000766001520250327448; 89000020240000766001520250327619; 89000020240000766001520250327730; 89000020240000766001520250400618; 89000020240000766001520250451292; 89000020240000766001520250451562; 89000020240000766001520250451680; 89000020240000766001520250451708; 89000020240000766001520250507982; 89000020240000766001520250508220; 89000020240000766001520250508358; 89000020240000766001520250508385;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t>
  </si>
  <si>
    <t>DUP_B0500_CHAVE</t>
  </si>
  <si>
    <t>DUP_B9000_CHAVE</t>
  </si>
  <si>
    <t>DUP_LT001_UNIV_OPER</t>
  </si>
  <si>
    <t>CEMPRESA, CBALCAO, CNUMECTA, ZDEPOSIT, CCONTAB_FINAL_IFRS, CCONTAB_FINAL_PCSB, CCONTAB_FINAL_CARGABAL, ZCLIENTE</t>
  </si>
  <si>
    <t>DUP_LT002_CHAVE</t>
  </si>
  <si>
    <t>DUP_LT003_CHAVE</t>
  </si>
  <si>
    <t>DUP_LT004_PROTECTION</t>
  </si>
  <si>
    <t>DUP_LT005_INSTR_ENT</t>
  </si>
  <si>
    <t>INSTRMNT_ID, ENTTY_ID</t>
  </si>
  <si>
    <t>DUP_LT006_INSTR_PROT</t>
  </si>
  <si>
    <t>INSTRMNT_ID, PRTCTN_ID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</si>
</sst>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amily val="2"/>
    </font>
    <font>
      <sz val="8"/>
      <name val="Aptos Narrow"/>
      <family val="2"/>
      <scheme val="minor"/>
    </font>
    <font>
      <b/>
      <sz val="10"/>
      <color theme="1"/>
      <name val="Arial"/>
      <family val="2"/>
    </font>
    <font>
      <b/>
      <sz val="11"/>
      <color rgb="FFFF000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9">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5" fillId="0" borderId="0" xfId="0" applyFont="1"/>
    <xf numFmtId="0" fontId="22" fillId="2" borderId="15" xfId="0" applyFont="1" applyFill="1" applyBorder="1"/>
    <xf numFmtId="0" fontId="23" fillId="0" borderId="14" xfId="0" applyFont="1" applyBorder="1"/>
    <xf numFmtId="0" fontId="4" fillId="3" borderId="0" xfId="0" applyFont="1" applyFill="1"/>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12">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0"/>
        <name val="Aptos Narrow"/>
        <family val="2"/>
        <scheme val="minor"/>
      </font>
      <fill>
        <patternFill patternType="solid">
          <fgColor indexed="64"/>
          <bgColor rgb="FFFF0000"/>
        </patternFill>
      </fil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Dashboard'!$I$34</c:f>
              <c:strCache>
                <c:ptCount val="1"/>
                <c:pt idx="0">
                  <c:v>NOK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Dashboard'!$I$35:$I$64</c15:sqref>
                  </c15:fullRef>
                </c:ext>
              </c:extLst>
              <c:f>('1. Dashboard'!$I$35,'1. Dashboard'!$I$45,'1. Dashboard'!$I$55)</c:f>
              <c:numCache>
                <c:formatCode>General</c:formatCode>
                <c:ptCount val="3"/>
                <c:pt idx="0">
                  <c:v>33</c:v>
                </c:pt>
                <c:pt idx="1">
                  <c:v>1</c:v>
                </c:pt>
                <c:pt idx="2">
                  <c:v>1</c:v>
                </c:pt>
              </c:numCache>
            </c:numRef>
          </c:val>
          <c:extLst>
            <c:ext xmlns:c16="http://schemas.microsoft.com/office/drawing/2014/chart" uri="{C3380CC4-5D6E-409C-BE32-E72D297353CC}">
              <c16:uniqueId val="{00000000-7FAB-47A0-9185-F969C5F12A7A}"/>
            </c:ext>
          </c:extLst>
        </c:ser>
        <c:ser>
          <c:idx val="3"/>
          <c:order val="2"/>
          <c:tx>
            <c:strRef>
              <c:f>'1. Dashboard'!$G$34</c:f>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Dashboard'!$G$35:$G$64</c15:sqref>
                  </c15:fullRef>
                </c:ext>
              </c:extLst>
              <c:f>('1. Dashboard'!$G$35,'1. Dashboard'!$G$45,'1. Dashboard'!$G$55)</c:f>
              <c:numCache>
                <c:formatCode>0</c:formatCode>
                <c:ptCount val="3"/>
                <c:pt idx="0">
                  <c:v>8</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Dashboard'!$E$34</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Dashboard'!$E$35:$E$64</c15:sqref>
                  </c15:fullRef>
                </c:ext>
              </c:extLst>
              <c:f>('1. Dashboard'!$E$35,'1. Dashboard'!$E$45,'1. Dashboard'!$E$55)</c:f>
              <c:numCache>
                <c:formatCode>0</c:formatCode>
                <c:ptCount val="3"/>
                <c:pt idx="0" formatCode="General">
                  <c:v>258</c:v>
                </c:pt>
                <c:pt idx="1" formatCode="General">
                  <c:v>17</c:v>
                </c:pt>
                <c:pt idx="2" formatCode="General">
                  <c:v>13</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Dashboard'!$D$34</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uri="{02D57815-91ED-43cb-92C2-25804820EDAC}">
                        <c15:fullRef>
                          <c15:sqref>'1. Dashboard'!$D$35:$D$64</c15:sqref>
                        </c15:fullRef>
                        <c15:formulaRef>
                          <c15:sqref>('1. Dashboard'!$D$35,'1. Dashboard'!$D$45,'1. Dashboard'!$D$55)</c15:sqref>
                        </c15:formulaRef>
                      </c:ext>
                    </c:extLst>
                    <c:numCache>
                      <c:formatCode>0</c:formatCode>
                      <c:ptCount val="3"/>
                      <c:pt idx="0">
                        <c:v>304</c:v>
                      </c:pt>
                      <c:pt idx="1">
                        <c:v>20</c:v>
                      </c:pt>
                      <c:pt idx="2">
                        <c:v>16</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Dashboard'!$F$34</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Dashboard'!$F$35:$F$64</c15:sqref>
                        </c15:fullRef>
                        <c15:formulaRef>
                          <c15:sqref>('1. Dashboard'!$F$35,'1. Dashboard'!$F$45,'1. Dashboard'!$F$55)</c15:sqref>
                        </c15:formulaRef>
                      </c:ext>
                    </c:extLst>
                    <c:numCache>
                      <c:formatCode>0.0%</c:formatCode>
                      <c:ptCount val="3"/>
                      <c:pt idx="0">
                        <c:v>0.84868421052631582</c:v>
                      </c:pt>
                      <c:pt idx="1">
                        <c:v>0.85</c:v>
                      </c:pt>
                      <c:pt idx="2">
                        <c:v>0.8125</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Dashboard'!$H$34</c15:sqref>
                        </c15:formulaRef>
                      </c:ext>
                    </c:extLst>
                    <c:strCache>
                      <c:ptCount val="1"/>
                      <c:pt idx="0">
                        <c:v>NOK 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Dashboard'!$H$35:$H$64</c15:sqref>
                        </c15:fullRef>
                        <c15:formulaRef>
                          <c15:sqref>('1. Dashboard'!$H$35,'1. Dashboard'!$H$45,'1. Dashboard'!$H$55)</c15:sqref>
                        </c15:formulaRef>
                      </c:ext>
                    </c:extLst>
                    <c:numCache>
                      <c:formatCode>0.0%</c:formatCode>
                      <c:ptCount val="3"/>
                      <c:pt idx="0">
                        <c:v>2.6315789473684209E-2</c:v>
                      </c:pt>
                      <c:pt idx="1">
                        <c:v>0.1</c:v>
                      </c:pt>
                      <c:pt idx="2">
                        <c:v>0.125</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Dashboard'!$J$34</c15:sqref>
                        </c15:formulaRef>
                      </c:ext>
                    </c:extLst>
                    <c:strCache>
                      <c:ptCount val="1"/>
                      <c:pt idx="0">
                        <c:v>NOK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Dashboard'!$J$35:$J$64</c15:sqref>
                        </c15:fullRef>
                        <c15:formulaRef>
                          <c15:sqref>('1. Dashboard'!$J$35,'1. Dashboard'!$J$45,'1. Dashboard'!$J$55)</c15:sqref>
                        </c15:formulaRef>
                      </c:ext>
                    </c:extLst>
                    <c:numCache>
                      <c:formatCode>0.0%</c:formatCode>
                      <c:ptCount val="3"/>
                      <c:pt idx="0">
                        <c:v>0.10855263157894737</c:v>
                      </c:pt>
                      <c:pt idx="1">
                        <c:v>0.05</c:v>
                      </c:pt>
                      <c:pt idx="2">
                        <c:v>6.25E-2</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Dashboard'!$F$70</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Dashboard'!$F$71:$F$76</c15:sqref>
                  </c15:fullRef>
                </c:ext>
              </c:extLst>
              <c:f>('1. Dashboard'!$F$71,'1. Dashboard'!$F$73,'1. Dashboard'!$F$75)</c:f>
              <c:numCache>
                <c:formatCode>0.0%</c:formatCode>
                <c:ptCount val="3"/>
                <c:pt idx="0">
                  <c:v>0.8</c:v>
                </c:pt>
                <c:pt idx="1">
                  <c:v>0.66666666666666663</c:v>
                </c:pt>
                <c:pt idx="2">
                  <c:v>0.6</c:v>
                </c:pt>
              </c:numCache>
            </c:numRef>
          </c:val>
          <c:extLst>
            <c:ext xmlns:c16="http://schemas.microsoft.com/office/drawing/2014/chart" uri="{C3380CC4-5D6E-409C-BE32-E72D297353CC}">
              <c16:uniqueId val="{00000002-5CDA-40EA-8310-8F36F1C00F74}"/>
            </c:ext>
          </c:extLst>
        </c:ser>
        <c:ser>
          <c:idx val="4"/>
          <c:order val="4"/>
          <c:tx>
            <c:strRef>
              <c:f>'1. Dashboard'!$H$70</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Dashboard'!$H$71:$H$76</c15:sqref>
                  </c15:fullRef>
                </c:ext>
              </c:extLst>
              <c:f>('1. Dashboard'!$H$71,'1. Dashboard'!$H$73,'1. Dashboard'!$H$75)</c:f>
              <c:numCache>
                <c:formatCode>0.0%</c:formatCode>
                <c:ptCount val="3"/>
                <c:pt idx="0">
                  <c:v>0.15</c:v>
                </c:pt>
                <c:pt idx="1">
                  <c:v>0.13333333333333333</c:v>
                </c:pt>
                <c:pt idx="2">
                  <c:v>0.2</c:v>
                </c:pt>
              </c:numCache>
            </c:numRef>
          </c:val>
          <c:extLst>
            <c:ext xmlns:c16="http://schemas.microsoft.com/office/drawing/2014/chart" uri="{C3380CC4-5D6E-409C-BE32-E72D297353CC}">
              <c16:uniqueId val="{00000004-5CDA-40EA-8310-8F36F1C00F74}"/>
            </c:ext>
          </c:extLst>
        </c:ser>
        <c:ser>
          <c:idx val="6"/>
          <c:order val="6"/>
          <c:tx>
            <c:strRef>
              <c:f>'1. Dashboard'!$J$70</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Dashboard'!$J$71:$J$76</c15:sqref>
                  </c15:fullRef>
                </c:ext>
              </c:extLst>
              <c:f>('1. Dashboard'!$J$71,'1. Dashboard'!$J$73,'1. Dashboard'!$J$75)</c:f>
              <c:numCache>
                <c:formatCode>0.0%</c:formatCode>
                <c:ptCount val="3"/>
                <c:pt idx="0">
                  <c:v>0.05</c:v>
                </c:pt>
                <c:pt idx="1">
                  <c:v>0.2</c:v>
                </c:pt>
                <c:pt idx="2">
                  <c:v>0.2</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Dashboard'!$D$70</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uri="{02D57815-91ED-43cb-92C2-25804820EDAC}">
                        <c15:fullRef>
                          <c15:sqref>'1. Dashboard'!$D$71:$D$76</c15:sqref>
                        </c15:fullRef>
                        <c15:formulaRef>
                          <c15:sqref>('1. Dashboard'!$D$71,'1. Dashboard'!$D$73,'1. Dashboard'!$D$75)</c15:sqref>
                        </c15:formulaRef>
                      </c:ext>
                    </c:extLst>
                    <c:numCache>
                      <c:formatCode>0</c:formatCode>
                      <c:ptCount val="3"/>
                      <c:pt idx="0">
                        <c:v>20</c:v>
                      </c:pt>
                      <c:pt idx="1">
                        <c:v>15</c:v>
                      </c:pt>
                      <c:pt idx="2">
                        <c:v>20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Dashboard'!$E$70</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Dashboard'!$E$71:$E$76</c15:sqref>
                        </c15:fullRef>
                        <c15:formulaRef>
                          <c15:sqref>('1. Dashboard'!$E$71,'1. Dashboard'!$E$73,'1. Dashboard'!$E$75)</c15:sqref>
                        </c15:formulaRef>
                      </c:ext>
                    </c:extLst>
                    <c:numCache>
                      <c:formatCode>General</c:formatCode>
                      <c:ptCount val="3"/>
                      <c:pt idx="0">
                        <c:v>16</c:v>
                      </c:pt>
                      <c:pt idx="1">
                        <c:v>10</c:v>
                      </c:pt>
                      <c:pt idx="2">
                        <c:v>12</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Dashboard'!$G$70</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Dashboard'!$G$71:$G$76</c15:sqref>
                        </c15:fullRef>
                        <c15:formulaRef>
                          <c15:sqref>('1. Dashboard'!$G$71,'1. Dashboard'!$G$73,'1. Dashboard'!$G$75)</c15:sqref>
                        </c15:formulaRef>
                      </c:ext>
                    </c:extLst>
                    <c:numCache>
                      <c:formatCode>0</c:formatCode>
                      <c:ptCount val="3"/>
                      <c:pt idx="0">
                        <c:v>3</c:v>
                      </c:pt>
                      <c:pt idx="1">
                        <c:v>2</c:v>
                      </c:pt>
                      <c:pt idx="2">
                        <c:v>4</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Dashboard'!$I$70</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Dashboard'!$I$71:$I$76</c15:sqref>
                        </c15:fullRef>
                        <c15:formulaRef>
                          <c15:sqref>('1. Dashboard'!$I$71,'1. Dashboard'!$I$73,'1. Dashboard'!$I$75)</c15:sqref>
                        </c15:formulaRef>
                      </c:ext>
                    </c:extLst>
                    <c:numCache>
                      <c:formatCode>0</c:formatCode>
                      <c:ptCount val="3"/>
                      <c:pt idx="0">
                        <c:v>1</c:v>
                      </c:pt>
                      <c:pt idx="1">
                        <c:v>3</c:v>
                      </c:pt>
                      <c:pt idx="2">
                        <c:v>4</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Dashboard'!$C$35</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Dashboard'!$D$35:$J$35</c15:sqref>
                  </c15:fullRef>
                </c:ext>
              </c:extLst>
              <c:f>('1. Dashboard'!$F$35,'1. Dashboard'!$H$35,'1. Dashboard'!$J$35)</c:f>
              <c:numCache>
                <c:formatCode>General</c:formatCode>
                <c:ptCount val="3"/>
                <c:pt idx="0" formatCode="0.0%">
                  <c:v>0.84868421052631582</c:v>
                </c:pt>
                <c:pt idx="1" formatCode="0.0%">
                  <c:v>2.6315789473684209E-2</c:v>
                </c:pt>
                <c:pt idx="2" formatCode="0.0%">
                  <c:v>0.10855263157894737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Dashboard'!$C$45</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ext>
              </c:extLst>
              <c:f>('1. Dashboard'!$F$45,'1. Dashboard'!$H$45,'1. Dashboard'!$J$45)</c:f>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Dashboard'!$C$55</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ext>
              </c:extLst>
              <c:f>('1. Dashboard'!$F$55,'1. Dashboard'!$H$55,'1. Dashboard'!$J$55)</c:f>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510623</xdr:colOff>
      <xdr:row>34</xdr:row>
      <xdr:rowOff>154983</xdr:rowOff>
    </xdr:from>
    <xdr:to>
      <xdr:col>17</xdr:col>
      <xdr:colOff>136344</xdr:colOff>
      <xdr:row>67</xdr:row>
      <xdr:rowOff>104775</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510623</xdr:colOff>
      <xdr:row>70</xdr:row>
      <xdr:rowOff>1084</xdr:rowOff>
    </xdr:from>
    <xdr:to>
      <xdr:col>18</xdr:col>
      <xdr:colOff>976359</xdr:colOff>
      <xdr:row>85</xdr:row>
      <xdr:rowOff>4621</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55</xdr:row>
      <xdr:rowOff>140175</xdr:rowOff>
    </xdr:from>
    <xdr:to>
      <xdr:col>18</xdr:col>
      <xdr:colOff>970510</xdr:colOff>
      <xdr:row>66</xdr:row>
      <xdr:rowOff>173083</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60</xdr:row>
      <xdr:rowOff>21509</xdr:rowOff>
    </xdr:from>
    <xdr:to>
      <xdr:col>18</xdr:col>
      <xdr:colOff>412301</xdr:colOff>
      <xdr:row>62</xdr:row>
      <xdr:rowOff>136446</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45</xdr:row>
      <xdr:rowOff>39493</xdr:rowOff>
    </xdr:from>
    <xdr:to>
      <xdr:col>18</xdr:col>
      <xdr:colOff>970510</xdr:colOff>
      <xdr:row>56</xdr:row>
      <xdr:rowOff>54622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49</xdr:row>
      <xdr:rowOff>59691</xdr:rowOff>
    </xdr:from>
    <xdr:to>
      <xdr:col>18</xdr:col>
      <xdr:colOff>438119</xdr:colOff>
      <xdr:row>52</xdr:row>
      <xdr:rowOff>21090</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34</xdr:row>
      <xdr:rowOff>92209</xdr:rowOff>
    </xdr:from>
    <xdr:to>
      <xdr:col>18</xdr:col>
      <xdr:colOff>970510</xdr:colOff>
      <xdr:row>45</xdr:row>
      <xdr:rowOff>116862</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38</xdr:row>
      <xdr:rowOff>130938</xdr:rowOff>
    </xdr:from>
    <xdr:to>
      <xdr:col>18</xdr:col>
      <xdr:colOff>411556</xdr:colOff>
      <xdr:row>41</xdr:row>
      <xdr:rowOff>88316</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B9:J168" tableType="queryTable" totalsRowShown="0" headerRowDxfId="10">
  <autoFilter ref="B9:J168" xr:uid="{1C0715A1-AABC-40CB-AFAC-E6A4491CB880}"/>
  <tableColumns count="9">
    <tableColumn id="7" xr3:uid="{D4F9D360-26D0-459F-B069-A23B2ACEC847}" uniqueName="7" name="ref_date" queryTableFieldId="7" dataDxfId="9"/>
    <tableColumn id="8" xr3:uid="{EC194072-ED3B-4437-9454-90CA47C6C6D7}" uniqueName="8" name="cod_kpi" queryTableFieldId="9" dataDxfId="8"/>
    <tableColumn id="3" xr3:uid="{C806F35C-EC01-4658-B622-B37B143E32BF}" uniqueName="3" name="tipologia_teste" queryTableFieldId="3" dataDxfId="7"/>
    <tableColumn id="9" xr3:uid="{BB2CE20C-3970-4B21-AA6A-2DE9F556085F}" uniqueName="9" name="descrição" queryTableFieldId="10" dataDxfId="6"/>
    <tableColumn id="1" xr3:uid="{8E03818A-FE6E-407A-8308-9158A7C4FCEB}" uniqueName="1" name="tabela" queryTableFieldId="1" dataDxfId="5"/>
    <tableColumn id="2" xr3:uid="{FBF429CB-F460-483B-BF3E-3994F6A15B00}" uniqueName="2" name="campo" queryTableFieldId="2" dataDxfId="4"/>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V11"/>
  <sheetViews>
    <sheetView showGridLines="0" zoomScale="80" zoomScaleNormal="80" workbookViewId="0"/>
  </sheetViews>
  <sheetFormatPr defaultColWidth="0" defaultRowHeight="14.5" zeroHeight="1" x14ac:dyDescent="0.35"/>
  <cols>
    <col min="1" max="2" width="3.81640625" customWidth="1"/>
    <col min="3" max="21" width="8.90625" customWidth="1"/>
    <col min="22" max="22" width="3.81640625" customWidth="1"/>
    <col min="23" max="16384" width="8.90625" hidden="1"/>
  </cols>
  <sheetData>
    <row r="1" spans="1:22" x14ac:dyDescent="0.35">
      <c r="A1" s="66"/>
      <c r="B1" s="66"/>
      <c r="C1" s="66"/>
      <c r="D1" s="66"/>
      <c r="E1" s="66"/>
      <c r="F1" s="66"/>
      <c r="G1" s="66"/>
      <c r="H1" s="66"/>
      <c r="I1" s="66"/>
      <c r="J1" s="66"/>
      <c r="K1" s="66"/>
      <c r="L1" s="66"/>
      <c r="M1" s="66"/>
      <c r="N1" s="66"/>
      <c r="O1" s="66"/>
      <c r="P1" s="66"/>
      <c r="Q1" s="66"/>
      <c r="R1" s="66"/>
      <c r="S1" s="66"/>
      <c r="T1" s="66"/>
      <c r="U1" s="66"/>
      <c r="V1" s="66"/>
    </row>
    <row r="2" spans="1:22" x14ac:dyDescent="0.35">
      <c r="A2" s="66"/>
      <c r="B2" s="66"/>
      <c r="C2" s="66"/>
      <c r="D2" s="66"/>
      <c r="E2" s="66"/>
      <c r="F2" s="66"/>
      <c r="G2" s="66"/>
      <c r="H2" s="66"/>
      <c r="I2" s="66"/>
      <c r="J2" s="66"/>
      <c r="K2" s="66"/>
      <c r="L2" s="66"/>
      <c r="M2" s="66"/>
      <c r="N2" s="66"/>
      <c r="O2" s="66"/>
      <c r="P2" s="66"/>
      <c r="Q2" s="66"/>
      <c r="R2" s="66"/>
      <c r="S2" s="97"/>
      <c r="T2" s="66"/>
      <c r="U2" s="66"/>
      <c r="V2" s="66"/>
    </row>
    <row r="3" spans="1:22" x14ac:dyDescent="0.35">
      <c r="A3" s="66"/>
      <c r="B3" s="66"/>
      <c r="C3" s="66"/>
      <c r="D3" s="66"/>
      <c r="E3" s="66"/>
      <c r="F3" s="66"/>
      <c r="G3" s="66"/>
      <c r="H3" s="66"/>
      <c r="I3" s="66"/>
      <c r="J3" s="66"/>
      <c r="K3" s="66"/>
      <c r="L3" s="66"/>
      <c r="M3" s="66"/>
      <c r="N3" s="66"/>
      <c r="O3" s="66"/>
      <c r="P3" s="66"/>
      <c r="Q3" s="66"/>
      <c r="R3" s="66"/>
      <c r="S3" s="66"/>
      <c r="T3" s="66"/>
      <c r="U3" s="66"/>
      <c r="V3" s="66"/>
    </row>
    <row r="4" spans="1:22" ht="3" customHeight="1" x14ac:dyDescent="0.35">
      <c r="A4" s="67"/>
      <c r="B4" s="67"/>
      <c r="C4" s="67"/>
      <c r="D4" s="67"/>
      <c r="E4" s="67"/>
      <c r="F4" s="67"/>
      <c r="G4" s="67"/>
      <c r="H4" s="67"/>
      <c r="I4" s="67"/>
      <c r="J4" s="67"/>
      <c r="K4" s="67"/>
      <c r="L4" s="67"/>
      <c r="M4" s="67"/>
      <c r="N4" s="67"/>
      <c r="O4" s="67"/>
      <c r="P4" s="67"/>
      <c r="Q4" s="67"/>
      <c r="R4" s="67"/>
      <c r="S4" s="67"/>
      <c r="T4" s="67"/>
      <c r="U4" s="67"/>
      <c r="V4" s="67"/>
    </row>
    <row r="5" spans="1:22" x14ac:dyDescent="0.35">
      <c r="A5" s="68"/>
      <c r="B5" s="68"/>
      <c r="C5" s="68"/>
      <c r="D5" s="68"/>
      <c r="E5" s="68"/>
      <c r="F5" s="68"/>
      <c r="G5" s="68"/>
      <c r="H5" s="68"/>
      <c r="I5" s="68"/>
      <c r="J5" s="68"/>
      <c r="K5" s="68"/>
      <c r="L5" s="68"/>
      <c r="M5" s="68"/>
      <c r="N5" s="68"/>
      <c r="O5" s="68"/>
      <c r="P5" s="68"/>
      <c r="Q5" s="68"/>
      <c r="R5" s="68"/>
      <c r="S5" s="68"/>
      <c r="T5" s="68"/>
      <c r="U5" s="68"/>
      <c r="V5" s="68"/>
    </row>
    <row r="6" spans="1:22" ht="15" thickBot="1" x14ac:dyDescent="0.4">
      <c r="A6" s="68"/>
      <c r="B6" s="104" t="s">
        <v>325</v>
      </c>
      <c r="C6" s="69"/>
      <c r="D6" s="70"/>
      <c r="E6" s="70"/>
      <c r="F6" s="70"/>
      <c r="G6" s="70"/>
      <c r="H6" s="70"/>
      <c r="I6" s="70"/>
      <c r="J6" s="70"/>
      <c r="K6" s="70"/>
      <c r="L6" s="70"/>
      <c r="M6" s="70"/>
      <c r="N6" s="70"/>
      <c r="O6" s="70"/>
      <c r="P6" s="70"/>
      <c r="Q6" s="70"/>
      <c r="R6" s="70"/>
      <c r="S6" s="70"/>
      <c r="T6" s="70"/>
      <c r="U6" s="70"/>
      <c r="V6" s="68"/>
    </row>
    <row r="7" spans="1:22" x14ac:dyDescent="0.35">
      <c r="A7" s="68"/>
      <c r="B7" s="68"/>
      <c r="C7" s="68"/>
      <c r="D7" s="68"/>
      <c r="E7" s="68"/>
      <c r="F7" s="68"/>
      <c r="G7" s="68"/>
      <c r="H7" s="68"/>
      <c r="I7" s="68"/>
      <c r="J7" s="68"/>
      <c r="K7" s="68"/>
      <c r="L7" s="68"/>
      <c r="M7" s="68"/>
      <c r="N7" s="68"/>
      <c r="O7" s="68"/>
      <c r="P7" s="68"/>
      <c r="Q7" s="68"/>
      <c r="R7" s="68"/>
      <c r="S7" s="68"/>
      <c r="T7" s="68"/>
      <c r="U7" s="68"/>
      <c r="V7" s="68"/>
    </row>
    <row r="8" spans="1:22" x14ac:dyDescent="0.35">
      <c r="C8" t="s">
        <v>347</v>
      </c>
    </row>
    <row r="9" spans="1:22" x14ac:dyDescent="0.35">
      <c r="C9" t="s">
        <v>348</v>
      </c>
    </row>
    <row r="10" spans="1:22" x14ac:dyDescent="0.35">
      <c r="C10" t="s">
        <v>349</v>
      </c>
    </row>
    <row r="11" spans="1:22"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5" x14ac:dyDescent="0.35"/>
  <cols>
    <col min="1" max="1" width="16.6328125" bestFit="1" customWidth="1"/>
  </cols>
  <sheetData>
    <row r="1" spans="1:1" x14ac:dyDescent="0.35">
      <c r="A1" t="s">
        <v>340</v>
      </c>
    </row>
    <row r="2" spans="1:1" x14ac:dyDescent="0.35">
      <c r="A2" t="s">
        <v>341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5"/>
  <sheetViews>
    <sheetView showGridLines="0" zoomScale="70" zoomScaleNormal="70" workbookViewId="0"/>
  </sheetViews>
  <sheetFormatPr defaultColWidth="0" defaultRowHeight="14.5" zeroHeight="1" outlineLevelRow="1" x14ac:dyDescent="0.35"/>
  <cols>
    <col min="1" max="2" width="3.81640625" customWidth="1"/>
    <col min="3" max="3" width="28.90625" bestFit="1" customWidth="1"/>
    <col min="4" max="6" width="19.81640625" customWidth="1"/>
    <col min="7" max="7" width="26.54296875" bestFit="1" customWidth="1"/>
    <col min="8" max="8" width="25.08984375" bestFit="1" customWidth="1"/>
    <col min="9" max="12" width="19.81640625" customWidth="1"/>
    <col min="13" max="19" width="15.81640625" customWidth="1"/>
    <col min="20" max="21" width="3.81640625" customWidth="1"/>
    <col min="22" max="16384" width="8.90625" hidden="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66"/>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29</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row r="9" spans="1:21" x14ac:dyDescent="0.35">
      <c r="B9" s="48" t="s">
        <v>0</v>
      </c>
      <c r="C9" s="49"/>
      <c r="D9" s="49"/>
      <c r="E9" s="50"/>
      <c r="F9" s="49"/>
      <c r="G9" s="49"/>
      <c r="H9" s="49"/>
      <c r="I9" s="49"/>
      <c r="J9" s="49"/>
      <c r="K9" s="49"/>
      <c r="L9" s="48"/>
      <c r="M9" s="2"/>
      <c r="N9" s="2"/>
      <c r="O9" s="3"/>
      <c r="P9" s="2"/>
      <c r="Q9" s="2"/>
      <c r="R9" s="2"/>
      <c r="S9" s="2"/>
      <c r="T9" s="2"/>
    </row>
    <row r="10" spans="1:21" ht="5.25" customHeight="1" thickBot="1" x14ac:dyDescent="0.4">
      <c r="B10" s="51"/>
      <c r="C10" s="51"/>
      <c r="D10" s="51"/>
      <c r="E10" s="51"/>
      <c r="F10" s="51"/>
      <c r="G10" s="51"/>
      <c r="H10" s="51"/>
      <c r="I10" s="51"/>
      <c r="J10" s="51"/>
      <c r="K10" s="51"/>
      <c r="L10" s="51"/>
      <c r="M10" s="4"/>
      <c r="N10" s="4"/>
      <c r="O10" s="4"/>
      <c r="P10" s="4"/>
      <c r="Q10" s="4"/>
      <c r="R10" s="4"/>
      <c r="S10" s="4"/>
      <c r="T10" s="4"/>
    </row>
    <row r="11" spans="1:21" ht="15" thickTop="1" x14ac:dyDescent="0.35">
      <c r="B11" s="15"/>
      <c r="C11" s="52"/>
      <c r="D11" s="52"/>
      <c r="E11" s="52"/>
      <c r="F11" s="52"/>
      <c r="G11" s="52"/>
      <c r="H11" s="52"/>
      <c r="I11" s="52"/>
      <c r="J11" s="52"/>
      <c r="K11" s="52"/>
      <c r="L11" s="15"/>
      <c r="M11" s="5"/>
      <c r="N11" s="5"/>
      <c r="O11" s="5"/>
      <c r="P11" s="5"/>
      <c r="Q11" s="5"/>
      <c r="R11" s="5"/>
      <c r="S11" s="5"/>
      <c r="T11" s="5"/>
    </row>
    <row r="12" spans="1:21" x14ac:dyDescent="0.35">
      <c r="B12" s="15"/>
      <c r="C12" s="8" t="s">
        <v>22</v>
      </c>
      <c r="D12" s="64" t="s">
        <v>341</v>
      </c>
      <c r="E12" s="54"/>
      <c r="F12" s="54"/>
      <c r="G12" s="52"/>
      <c r="H12" s="52"/>
      <c r="I12" s="52"/>
      <c r="J12" s="52"/>
      <c r="K12" s="52"/>
      <c r="L12" s="15"/>
      <c r="M12" s="5"/>
      <c r="N12" s="5"/>
      <c r="O12" s="5"/>
      <c r="P12" s="5"/>
      <c r="Q12" s="5"/>
      <c r="R12" s="5"/>
      <c r="S12" s="5"/>
      <c r="T12" s="5"/>
    </row>
    <row r="13" spans="1:21" x14ac:dyDescent="0.35">
      <c r="B13" s="55"/>
      <c r="C13" s="54"/>
      <c r="D13" s="54"/>
      <c r="E13" s="54"/>
      <c r="F13" s="54"/>
      <c r="G13" s="54"/>
      <c r="H13" s="54"/>
      <c r="I13" s="54"/>
      <c r="J13" s="54"/>
      <c r="K13" s="54"/>
      <c r="L13" s="55"/>
      <c r="M13" s="14"/>
      <c r="N13" s="5"/>
      <c r="O13" s="5"/>
      <c r="P13" s="5"/>
      <c r="Q13" s="5"/>
      <c r="R13" s="14"/>
      <c r="S13" s="14"/>
      <c r="T13" s="14"/>
    </row>
    <row r="14" spans="1:21" x14ac:dyDescent="0.35">
      <c r="B14" s="55"/>
      <c r="C14" s="13"/>
      <c r="D14" s="56"/>
      <c r="E14" s="57"/>
      <c r="F14" s="13"/>
      <c r="G14" s="56"/>
      <c r="H14" s="57"/>
      <c r="I14" s="54"/>
      <c r="J14" s="56"/>
      <c r="K14" s="92"/>
      <c r="L14" s="57"/>
      <c r="M14" s="14"/>
      <c r="N14" s="5"/>
      <c r="O14" s="5"/>
      <c r="P14" s="5"/>
      <c r="Q14" s="5"/>
      <c r="R14" s="14"/>
      <c r="S14" s="14"/>
      <c r="T14" s="14"/>
    </row>
    <row r="15" spans="1:21" x14ac:dyDescent="0.35">
      <c r="B15" s="15"/>
      <c r="C15" s="13"/>
      <c r="D15" s="58" t="s">
        <v>7</v>
      </c>
      <c r="E15" s="59"/>
      <c r="F15" s="13"/>
      <c r="G15" s="58" t="s">
        <v>8</v>
      </c>
      <c r="H15" s="59"/>
      <c r="I15" s="13"/>
      <c r="J15" s="58" t="s">
        <v>28</v>
      </c>
      <c r="K15" s="94"/>
      <c r="L15" s="59"/>
      <c r="M15" s="13"/>
      <c r="N15" s="13"/>
      <c r="O15" s="13"/>
      <c r="P15" s="13"/>
      <c r="Q15" s="13"/>
      <c r="R15" s="13"/>
      <c r="S15" s="13"/>
      <c r="T15" s="13"/>
    </row>
    <row r="16" spans="1:21" x14ac:dyDescent="0.35">
      <c r="B16" s="55"/>
      <c r="C16" s="13"/>
      <c r="D16" s="60"/>
      <c r="E16" s="61"/>
      <c r="F16" s="13"/>
      <c r="G16" s="60"/>
      <c r="H16" s="61"/>
      <c r="I16" s="54"/>
      <c r="J16" s="60"/>
      <c r="K16" s="93"/>
      <c r="L16" s="61"/>
      <c r="M16" s="14"/>
      <c r="N16" s="5"/>
      <c r="O16" s="5"/>
      <c r="P16" s="5"/>
      <c r="Q16" s="5"/>
      <c r="R16" s="13"/>
      <c r="S16" s="13"/>
      <c r="T16" s="13"/>
    </row>
    <row r="17" spans="2:20" ht="5" customHeight="1" x14ac:dyDescent="0.35">
      <c r="B17" s="55"/>
      <c r="C17" s="13"/>
      <c r="D17" s="62"/>
      <c r="E17" s="62"/>
      <c r="F17" s="13"/>
      <c r="G17" s="62"/>
      <c r="H17" s="62"/>
      <c r="I17" s="54"/>
      <c r="J17" s="62"/>
      <c r="K17" s="62"/>
      <c r="L17" s="55"/>
      <c r="M17" s="14"/>
      <c r="N17" s="5"/>
      <c r="O17" s="5"/>
      <c r="P17" s="5"/>
      <c r="Q17" s="5"/>
      <c r="R17" s="13"/>
      <c r="S17" s="13"/>
      <c r="T17" s="13"/>
    </row>
    <row r="18" spans="2:20" x14ac:dyDescent="0.35">
      <c r="B18" s="55"/>
      <c r="C18" s="13"/>
      <c r="D18" s="106" t="s">
        <v>9</v>
      </c>
      <c r="E18" s="107"/>
      <c r="F18" s="13"/>
      <c r="G18" s="106" t="s">
        <v>27</v>
      </c>
      <c r="H18" s="107"/>
      <c r="I18" s="54"/>
      <c r="J18" s="106" t="s">
        <v>27</v>
      </c>
      <c r="K18" s="108"/>
      <c r="L18" s="107"/>
      <c r="M18" s="14"/>
      <c r="N18" s="5"/>
      <c r="O18" s="5"/>
      <c r="P18" s="5"/>
      <c r="Q18" s="5"/>
      <c r="R18" s="13"/>
      <c r="S18" s="13"/>
      <c r="T18" s="13"/>
    </row>
    <row r="19" spans="2:20" ht="5" customHeight="1" x14ac:dyDescent="0.35">
      <c r="B19" s="55"/>
      <c r="C19" s="13"/>
      <c r="D19" s="18"/>
      <c r="E19" s="18"/>
      <c r="F19" s="13"/>
      <c r="G19" s="18"/>
      <c r="H19" s="63"/>
      <c r="I19" s="54"/>
      <c r="J19" s="18"/>
      <c r="K19" s="18"/>
      <c r="L19" s="54"/>
      <c r="M19" s="14"/>
      <c r="N19" s="5"/>
      <c r="O19" s="5"/>
      <c r="P19" s="5"/>
      <c r="Q19" s="5"/>
      <c r="R19" s="13"/>
      <c r="S19" s="13"/>
      <c r="T19" s="13"/>
    </row>
    <row r="20" spans="2:20" x14ac:dyDescent="0.35">
      <c r="B20" s="55"/>
      <c r="C20" s="13"/>
      <c r="D20" s="8" t="s">
        <v>350</v>
      </c>
      <c r="E20" s="64" t="s">
        <v>1</v>
      </c>
      <c r="F20" s="13"/>
      <c r="G20" s="8" t="s">
        <v>350</v>
      </c>
      <c r="H20" s="64" t="s">
        <v>1</v>
      </c>
      <c r="I20" s="54"/>
      <c r="J20" s="95" t="s">
        <v>351</v>
      </c>
      <c r="K20" s="96"/>
      <c r="L20" s="53" t="s">
        <v>30</v>
      </c>
      <c r="M20" s="14"/>
      <c r="N20" s="5"/>
      <c r="O20" s="5"/>
      <c r="P20" s="5"/>
      <c r="Q20" s="5"/>
      <c r="R20" s="13"/>
      <c r="S20" s="13"/>
      <c r="T20" s="13"/>
    </row>
    <row r="21" spans="2:20" ht="5" customHeight="1" x14ac:dyDescent="0.35">
      <c r="B21" s="55"/>
      <c r="C21" s="13"/>
      <c r="D21" s="13"/>
      <c r="E21" s="13"/>
      <c r="F21" s="13"/>
      <c r="G21" s="13"/>
      <c r="H21" s="13"/>
      <c r="I21" s="54"/>
      <c r="J21" s="62"/>
      <c r="K21" s="62"/>
      <c r="L21" s="62"/>
      <c r="M21" s="14"/>
      <c r="N21" s="5"/>
      <c r="O21" s="5"/>
      <c r="P21" s="5"/>
      <c r="Q21" s="5"/>
      <c r="R21" s="13"/>
      <c r="S21" s="13"/>
      <c r="T21" s="13"/>
    </row>
    <row r="22" spans="2:20" x14ac:dyDescent="0.35">
      <c r="B22" s="55"/>
      <c r="C22" s="13"/>
      <c r="D22" s="13"/>
      <c r="E22" s="13"/>
      <c r="F22" s="13"/>
      <c r="G22" s="13"/>
      <c r="H22" s="13"/>
      <c r="I22" s="54"/>
      <c r="J22" s="95" t="s">
        <v>352</v>
      </c>
      <c r="K22" s="96"/>
      <c r="L22" s="53" t="s">
        <v>30</v>
      </c>
      <c r="M22" s="14"/>
      <c r="N22" s="5"/>
      <c r="O22" s="5"/>
      <c r="P22" s="5"/>
      <c r="Q22" s="5"/>
      <c r="R22" s="13"/>
      <c r="S22" s="13"/>
      <c r="T22" s="13"/>
    </row>
    <row r="23" spans="2:20" ht="5" customHeight="1" x14ac:dyDescent="0.35">
      <c r="B23" s="55"/>
      <c r="C23" s="13"/>
      <c r="D23" s="13"/>
      <c r="E23" s="13"/>
      <c r="F23" s="13"/>
      <c r="G23" s="13"/>
      <c r="H23" s="13"/>
      <c r="I23" s="54"/>
      <c r="J23" s="13"/>
      <c r="K23" s="13"/>
      <c r="L23" s="13"/>
      <c r="M23" s="14"/>
      <c r="N23" s="5"/>
      <c r="O23" s="5"/>
      <c r="P23" s="5"/>
      <c r="Q23" s="5"/>
      <c r="R23" s="13"/>
      <c r="S23" s="13"/>
      <c r="T23" s="13"/>
    </row>
    <row r="24" spans="2:20" ht="15" thickBot="1" x14ac:dyDescent="0.4">
      <c r="B24" s="6"/>
      <c r="C24" s="7"/>
      <c r="D24" s="7"/>
      <c r="E24" s="7"/>
      <c r="F24" s="7"/>
      <c r="G24" s="7"/>
      <c r="H24" s="7"/>
      <c r="I24" s="7"/>
      <c r="J24" s="7"/>
      <c r="K24" s="7"/>
      <c r="L24" s="6"/>
      <c r="M24" s="7"/>
      <c r="N24" s="7"/>
      <c r="O24" s="7"/>
      <c r="P24" s="7"/>
      <c r="Q24" s="7"/>
      <c r="R24" s="7"/>
      <c r="S24" s="7"/>
      <c r="T24" s="7"/>
    </row>
    <row r="25" spans="2:20" x14ac:dyDescent="0.35">
      <c r="B25" s="9"/>
      <c r="C25" s="10"/>
      <c r="D25" s="1"/>
      <c r="E25" s="1"/>
      <c r="F25" s="1"/>
      <c r="G25" s="1"/>
      <c r="H25" s="1"/>
      <c r="I25" s="1"/>
      <c r="J25" s="1"/>
      <c r="K25" s="1"/>
      <c r="L25" s="9"/>
      <c r="M25" s="10"/>
      <c r="N25" s="1"/>
      <c r="O25" s="1"/>
      <c r="P25" s="1"/>
      <c r="Q25" s="1"/>
      <c r="R25" s="1"/>
      <c r="S25" s="1"/>
      <c r="T25" s="1"/>
    </row>
    <row r="26" spans="2:20" ht="15" thickBot="1" x14ac:dyDescent="0.4">
      <c r="B26" s="4"/>
      <c r="C26" s="4"/>
      <c r="D26" s="4"/>
      <c r="E26" s="4"/>
      <c r="F26" s="4"/>
      <c r="G26" s="4"/>
      <c r="H26" s="4"/>
      <c r="I26" s="4"/>
      <c r="J26" s="4"/>
      <c r="K26" s="4"/>
      <c r="L26" s="4"/>
      <c r="M26" s="4"/>
      <c r="N26" s="4"/>
      <c r="O26" s="4"/>
      <c r="P26" s="4"/>
      <c r="Q26" s="4"/>
      <c r="R26" s="4"/>
      <c r="S26" s="4"/>
      <c r="T26" s="4"/>
    </row>
    <row r="27" spans="2:20" ht="15" thickTop="1" x14ac:dyDescent="0.35">
      <c r="B27" s="12"/>
      <c r="C27" s="5"/>
      <c r="D27" s="5"/>
      <c r="E27" s="5"/>
      <c r="F27" s="5"/>
      <c r="G27" s="5"/>
      <c r="H27" s="5"/>
      <c r="I27" s="5"/>
      <c r="J27" s="5"/>
      <c r="K27" s="5"/>
      <c r="L27" s="12"/>
      <c r="M27" s="5"/>
      <c r="N27" s="5"/>
      <c r="O27" s="5"/>
      <c r="P27" s="5"/>
      <c r="Q27" s="5"/>
      <c r="R27" s="5"/>
      <c r="S27" s="5"/>
      <c r="T27" s="5"/>
    </row>
    <row r="28" spans="2:20" x14ac:dyDescent="0.35">
      <c r="B28" s="12"/>
      <c r="C28" s="5"/>
      <c r="D28" s="5"/>
      <c r="E28" s="5"/>
      <c r="F28" s="5"/>
      <c r="G28" s="5"/>
      <c r="H28" s="19"/>
      <c r="I28" s="43"/>
      <c r="J28" s="43"/>
      <c r="K28" s="28"/>
      <c r="L28" s="29"/>
      <c r="M28" s="20"/>
      <c r="N28" s="5"/>
      <c r="O28" s="5"/>
      <c r="P28" s="5"/>
      <c r="Q28" s="5"/>
      <c r="R28" s="5"/>
      <c r="S28" s="5"/>
      <c r="T28" s="5"/>
    </row>
    <row r="29" spans="2:20" ht="16" x14ac:dyDescent="0.4">
      <c r="B29" s="12"/>
      <c r="C29" s="5"/>
      <c r="D29" s="5"/>
      <c r="E29" s="5"/>
      <c r="F29" s="5"/>
      <c r="G29" s="5"/>
      <c r="H29" s="34" t="s">
        <v>2</v>
      </c>
      <c r="I29" s="44"/>
      <c r="J29" s="65"/>
      <c r="K29" s="26"/>
      <c r="L29" s="25"/>
      <c r="M29" s="27"/>
      <c r="N29" s="5"/>
      <c r="O29" s="5"/>
      <c r="P29" s="5"/>
      <c r="Q29" s="5"/>
      <c r="R29" s="5"/>
      <c r="S29" s="5"/>
      <c r="T29" s="5"/>
    </row>
    <row r="30" spans="2:20" x14ac:dyDescent="0.35">
      <c r="B30" s="12"/>
      <c r="C30" s="5"/>
      <c r="D30" s="5"/>
      <c r="E30" s="5"/>
      <c r="F30" s="5"/>
      <c r="G30" s="5"/>
      <c r="H30" s="30"/>
      <c r="I30" s="45"/>
      <c r="J30" s="45"/>
      <c r="K30" s="31"/>
      <c r="L30" s="32"/>
      <c r="M30" s="33"/>
      <c r="N30" s="5"/>
      <c r="O30" s="5"/>
      <c r="P30" s="5"/>
      <c r="Q30" s="5"/>
      <c r="R30" s="5"/>
      <c r="S30" s="5"/>
      <c r="T30" s="5"/>
    </row>
    <row r="31" spans="2:20" x14ac:dyDescent="0.35">
      <c r="B31" s="12"/>
      <c r="C31" s="5"/>
      <c r="D31" s="5"/>
      <c r="E31" s="5"/>
      <c r="F31" s="5"/>
      <c r="G31" s="5"/>
      <c r="H31" s="5"/>
      <c r="I31" s="5"/>
      <c r="J31" s="5"/>
      <c r="K31" s="5"/>
      <c r="L31" s="5"/>
      <c r="M31" s="5"/>
      <c r="N31" s="5"/>
      <c r="O31" s="5"/>
      <c r="P31" s="5"/>
      <c r="Q31" s="5"/>
      <c r="R31" s="5"/>
      <c r="S31" s="5"/>
      <c r="T31" s="5"/>
    </row>
    <row r="32" spans="2:20" ht="15" thickBot="1" x14ac:dyDescent="0.4">
      <c r="B32" s="13"/>
      <c r="C32" s="87" t="s">
        <v>112</v>
      </c>
      <c r="D32" s="88"/>
      <c r="E32" s="88"/>
      <c r="F32" s="88"/>
      <c r="G32" s="88"/>
      <c r="H32" s="88"/>
      <c r="I32" s="88"/>
      <c r="J32" s="88"/>
      <c r="K32" s="88"/>
      <c r="L32" s="88"/>
      <c r="M32" s="88"/>
      <c r="N32" s="88"/>
      <c r="O32" s="88"/>
      <c r="P32" s="88"/>
      <c r="Q32" s="88"/>
      <c r="R32" s="88"/>
      <c r="S32" s="88"/>
      <c r="T32" s="13"/>
    </row>
    <row r="33" spans="2:20" x14ac:dyDescent="0.35">
      <c r="B33" s="13"/>
      <c r="C33" s="13"/>
      <c r="D33" s="13"/>
      <c r="E33" s="13"/>
      <c r="F33" s="13"/>
      <c r="G33" s="13"/>
      <c r="H33" s="13"/>
      <c r="I33" s="13"/>
      <c r="J33" s="13"/>
      <c r="K33" s="13"/>
      <c r="L33" s="13"/>
      <c r="M33" s="13"/>
      <c r="N33" s="13"/>
      <c r="O33" s="13"/>
      <c r="P33" s="13"/>
      <c r="Q33" s="13"/>
      <c r="R33" s="13"/>
      <c r="S33" s="13"/>
      <c r="T33" s="13"/>
    </row>
    <row r="34" spans="2:20" x14ac:dyDescent="0.35">
      <c r="B34" s="13"/>
      <c r="C34" s="77" t="s">
        <v>13</v>
      </c>
      <c r="D34" s="77" t="s">
        <v>320</v>
      </c>
      <c r="E34" s="77" t="s">
        <v>3</v>
      </c>
      <c r="F34" s="77" t="s">
        <v>5</v>
      </c>
      <c r="G34" s="77" t="s">
        <v>25</v>
      </c>
      <c r="H34" s="77" t="s">
        <v>26</v>
      </c>
      <c r="I34" s="77" t="s">
        <v>4</v>
      </c>
      <c r="J34" s="77" t="s">
        <v>6</v>
      </c>
      <c r="K34" s="13"/>
      <c r="L34" s="13"/>
      <c r="M34" s="13"/>
      <c r="N34" s="13"/>
      <c r="O34" s="13"/>
      <c r="P34" s="13"/>
      <c r="Q34" s="13"/>
      <c r="R34" s="13"/>
      <c r="S34" s="13"/>
      <c r="T34" s="13"/>
    </row>
    <row r="35" spans="2:20" x14ac:dyDescent="0.35">
      <c r="B35" s="13"/>
      <c r="C35" s="71" t="s">
        <v>10</v>
      </c>
      <c r="D35" s="72">
        <f>+SUM(D36,D40)</f>
        <v>304</v>
      </c>
      <c r="E35" s="73">
        <f>+SUM(E36,E40)</f>
        <v>258</v>
      </c>
      <c r="F35" s="74">
        <f>IFERROR(E35/D35,0)</f>
        <v>0.84868421052631582</v>
      </c>
      <c r="G35" s="75">
        <f>+SUM(G36,G40)</f>
        <v>8</v>
      </c>
      <c r="H35" s="74">
        <f t="shared" ref="H35:H46" si="0">IFERROR(G35/D35,0)</f>
        <v>2.6315789473684209E-2</v>
      </c>
      <c r="I35" s="73">
        <f>+SUM(I36,I40)</f>
        <v>33</v>
      </c>
      <c r="J35" s="74">
        <f t="shared" ref="J35:J65" si="1">IFERROR(I35/D35,0)</f>
        <v>0.10855263157894737</v>
      </c>
      <c r="K35" s="13"/>
      <c r="L35" s="13"/>
      <c r="M35" s="13"/>
      <c r="N35" s="13"/>
      <c r="O35" s="13"/>
      <c r="P35" s="13"/>
      <c r="Q35" s="13"/>
      <c r="R35" s="13"/>
      <c r="S35" s="13"/>
      <c r="T35" s="13"/>
    </row>
    <row r="36" spans="2:20" x14ac:dyDescent="0.35">
      <c r="B36" s="13"/>
      <c r="C36" s="78" t="s">
        <v>14</v>
      </c>
      <c r="D36" s="79">
        <f>+SUM(D37:D39)</f>
        <v>156</v>
      </c>
      <c r="E36" s="79">
        <f>+SUM(E37:E39)</f>
        <v>134</v>
      </c>
      <c r="F36" s="81">
        <f t="shared" ref="F36:F37" si="2">IFERROR(E36/D36,0)</f>
        <v>0.85897435897435892</v>
      </c>
      <c r="G36" s="82">
        <f>+SUM(G37:G39)</f>
        <v>6</v>
      </c>
      <c r="H36" s="81">
        <f t="shared" si="0"/>
        <v>3.8461538461538464E-2</v>
      </c>
      <c r="I36" s="83">
        <f>+SUM(I37:I39)</f>
        <v>11</v>
      </c>
      <c r="J36" s="81">
        <f t="shared" si="1"/>
        <v>7.0512820512820512E-2</v>
      </c>
      <c r="K36" s="13"/>
      <c r="L36" s="13"/>
      <c r="M36" s="13"/>
      <c r="N36" s="13"/>
      <c r="O36" s="13"/>
      <c r="P36" s="13"/>
      <c r="Q36" s="13"/>
      <c r="R36" s="13"/>
      <c r="S36" s="13"/>
      <c r="T36" s="13"/>
    </row>
    <row r="37" spans="2:20" outlineLevel="1" x14ac:dyDescent="0.35">
      <c r="B37" s="13"/>
      <c r="C37" s="36" t="s">
        <v>17</v>
      </c>
      <c r="D37" s="21">
        <f>+COUNTIFS('2.1. Regulamentares'!G:G,'1. Dashboard'!$C$35,'2.1. Regulamentares'!F:F,"h")</f>
        <v>63</v>
      </c>
      <c r="E37" s="23">
        <f>+COUNTIFS('2.1. Regulamentares'!G:G,'1. Dashboard'!$C$35,'2.1. Regulamentares'!F:F,"h",'2.1. Regulamentares'!C:C,"=0")</f>
        <v>53</v>
      </c>
      <c r="F37" s="22">
        <f t="shared" si="2"/>
        <v>0.84126984126984128</v>
      </c>
      <c r="G37" s="24">
        <f>+COUNTIFS('2.1. Regulamentares'!G:G,'1. Dashboard'!$C$35,'2.1. Regulamentares'!F:F,"h",'2.1. Regulamentares'!C:C,"&gt;0",'2.1. Regulamentares'!I:I,"&lt;&gt;")</f>
        <v>0</v>
      </c>
      <c r="H37" s="22">
        <f t="shared" si="0"/>
        <v>0</v>
      </c>
      <c r="I37" s="46">
        <f>+COUNTIFS('2.1. Regulamentares'!G:G,'1. Dashboard'!$C$35,'2.1. Regulamentares'!F:F,"h",'2.1. Regulamentares'!C:C,"&gt;0",'2.1. Regulamentares'!I:I,"")</f>
        <v>5</v>
      </c>
      <c r="J37" s="22">
        <f t="shared" si="1"/>
        <v>7.9365079365079361E-2</v>
      </c>
      <c r="K37" s="13"/>
      <c r="L37" s="13"/>
      <c r="M37" s="13"/>
      <c r="N37" s="13"/>
      <c r="O37" s="13"/>
      <c r="P37" s="13"/>
      <c r="Q37" s="13"/>
      <c r="R37" s="13"/>
      <c r="S37" s="13"/>
      <c r="T37" s="13"/>
    </row>
    <row r="38" spans="2:20" outlineLevel="1" x14ac:dyDescent="0.35">
      <c r="B38" s="13"/>
      <c r="C38" s="36" t="s">
        <v>16</v>
      </c>
      <c r="D38" s="21">
        <f>+COUNTIFS('2.1. Regulamentares'!G:G,'1. Dashboard'!$C$35,'2.1. Regulamentares'!F:F,"w")</f>
        <v>12</v>
      </c>
      <c r="E38" s="23">
        <f>+COUNTIFS('2.1. Regulamentares'!G:G,'1. Dashboard'!$C$35,'2.1. Regulamentares'!F:F,"w",'2.1. Regulamentares'!C:C,"=0")</f>
        <v>11</v>
      </c>
      <c r="F38" s="22">
        <f t="shared" ref="F38:F65" si="3">IFERROR(E38/D38,0)</f>
        <v>0.91666666666666663</v>
      </c>
      <c r="G38" s="24">
        <f>+COUNTIFS('2.1. Regulamentares'!G:G,'1. Dashboard'!$C$35,'2.1. Regulamentares'!F:F,"w",'2.1. Regulamentares'!C:C,"&gt;0",'2.1. Regulamentares'!I:I,"&lt;&gt;")</f>
        <v>0</v>
      </c>
      <c r="H38" s="22">
        <f t="shared" si="0"/>
        <v>0</v>
      </c>
      <c r="I38" s="46">
        <f>+COUNTIFS('2.1. Regulamentares'!G:G,'1. Dashboard'!$C$35,'2.1. Regulamentares'!F:F,"w",'2.1. Regulamentares'!C:C,"&gt;0",'2.1. Regulamentares'!I:I,"")</f>
        <v>1</v>
      </c>
      <c r="J38" s="22">
        <f t="shared" si="1"/>
        <v>8.3333333333333329E-2</v>
      </c>
      <c r="K38" s="13"/>
      <c r="L38" s="13"/>
      <c r="M38" s="13"/>
      <c r="N38" s="13"/>
      <c r="O38" s="13"/>
      <c r="P38" s="13"/>
      <c r="Q38" s="13"/>
      <c r="R38" s="13"/>
      <c r="S38" s="13"/>
      <c r="T38" s="13"/>
    </row>
    <row r="39" spans="2:20" outlineLevel="1" x14ac:dyDescent="0.35">
      <c r="B39" s="13"/>
      <c r="C39" s="36" t="s">
        <v>321</v>
      </c>
      <c r="D39" s="21">
        <f>+COUNTIFS('2.1. Regulamentares'!G:G,'1. Dashboard'!$C$35,'2.1. Regulamentares'!F:F,"f")</f>
        <v>81</v>
      </c>
      <c r="E39" s="23">
        <f>+COUNTIFS('2.1. Regulamentares'!G:G,'1. Dashboard'!$C$35,'2.1. Regulamentares'!F:F,"f",'2.1. Regulamentares'!C:C,"=0")</f>
        <v>70</v>
      </c>
      <c r="F39" s="22">
        <f t="shared" si="3"/>
        <v>0.86419753086419748</v>
      </c>
      <c r="G39" s="24">
        <f>+COUNTIFS('2.1. Regulamentares'!G:G,'1. Dashboard'!$C$35,'2.1. Regulamentares'!F:F,"f",'2.1. Regulamentares'!C:C,"&gt;0",'2.1. Regulamentares'!I:I,"&lt;&gt;")</f>
        <v>6</v>
      </c>
      <c r="H39" s="22">
        <f t="shared" si="0"/>
        <v>7.407407407407407E-2</v>
      </c>
      <c r="I39" s="46">
        <f>+COUNTIFS('2.1. Regulamentares'!G:G,'1. Dashboard'!$C$35,'2.1. Regulamentares'!F:F,"f",'2.1. Regulamentares'!C:C,"&gt;0",'2.1. Regulamentares'!I:I,"")</f>
        <v>5</v>
      </c>
      <c r="J39" s="22">
        <f t="shared" si="1"/>
        <v>6.1728395061728392E-2</v>
      </c>
      <c r="K39" s="13"/>
      <c r="L39" s="13"/>
      <c r="M39" s="13"/>
      <c r="N39" s="13"/>
      <c r="O39" s="13"/>
      <c r="P39" s="13"/>
      <c r="Q39" s="13"/>
      <c r="R39" s="13"/>
      <c r="S39" s="13"/>
      <c r="T39" s="13"/>
    </row>
    <row r="40" spans="2:20" x14ac:dyDescent="0.35">
      <c r="B40" s="13"/>
      <c r="C40" s="78" t="s">
        <v>15</v>
      </c>
      <c r="D40" s="79">
        <f>+SUM(D41:D44)</f>
        <v>148</v>
      </c>
      <c r="E40" s="80">
        <f t="shared" ref="E40:I40" si="4">+SUM(E41:E44)</f>
        <v>124</v>
      </c>
      <c r="F40" s="81">
        <f t="shared" si="3"/>
        <v>0.83783783783783783</v>
      </c>
      <c r="G40" s="82">
        <f t="shared" si="4"/>
        <v>2</v>
      </c>
      <c r="H40" s="81">
        <f t="shared" si="0"/>
        <v>1.3513513513513514E-2</v>
      </c>
      <c r="I40" s="83">
        <f t="shared" si="4"/>
        <v>22</v>
      </c>
      <c r="J40" s="81">
        <f t="shared" si="1"/>
        <v>0.14864864864864866</v>
      </c>
      <c r="K40" s="13"/>
      <c r="L40" s="13"/>
      <c r="M40" s="13"/>
      <c r="N40" s="13"/>
      <c r="O40" s="13"/>
      <c r="P40" s="13"/>
      <c r="Q40" s="13"/>
      <c r="R40" s="13"/>
      <c r="S40" s="13"/>
      <c r="T40" s="13"/>
    </row>
    <row r="41" spans="2:20" outlineLevel="1" x14ac:dyDescent="0.35">
      <c r="B41" s="13"/>
      <c r="C41" s="36" t="s">
        <v>20</v>
      </c>
      <c r="D41" s="21">
        <f>+COUNTIFS('2.2. Outros'!H:H,'1. Dashboard'!$C$35,'2.2. Outros'!D:D,"Validade")</f>
        <v>73</v>
      </c>
      <c r="E41" s="23">
        <f>+COUNTIFS('2.2. Outros'!H:H,'1. Dashboard'!$C$35,'2.2. Outros'!D:D,"Validade",'2.2. Outros'!F:F,"0")</f>
        <v>70</v>
      </c>
      <c r="F41" s="22">
        <f t="shared" si="3"/>
        <v>0.95890410958904104</v>
      </c>
      <c r="G41" s="24">
        <f>+COUNTIFS('2.2. Outros'!H:H,'1. Dashboard'!$C$35,'2.2. Outros'!D:D,"Validade",'2.2. Outros'!F:F,"&lt;&gt;0",'2.2. Outros'!I:I,"&lt;&gt;")</f>
        <v>1</v>
      </c>
      <c r="H41" s="22">
        <f t="shared" si="0"/>
        <v>1.3698630136986301E-2</v>
      </c>
      <c r="I41" s="46">
        <f>+COUNTIFS('2.2. Outros'!H:H,'1. Dashboard'!$C$35,'2.2. Outros'!D:D,"Validade",'2.2. Outros'!F:F,"&lt;&gt;0",'2.2. Outros'!I:I,"")</f>
        <v>2</v>
      </c>
      <c r="J41" s="22">
        <f t="shared" si="1"/>
        <v>2.7397260273972601E-2</v>
      </c>
      <c r="K41" s="13"/>
      <c r="L41" s="13"/>
      <c r="M41" s="13"/>
      <c r="N41" s="13"/>
      <c r="O41" s="13"/>
      <c r="P41" s="13"/>
      <c r="Q41" s="13"/>
      <c r="R41" s="13"/>
      <c r="S41" s="13"/>
      <c r="T41" s="13"/>
    </row>
    <row r="42" spans="2:20" outlineLevel="1" x14ac:dyDescent="0.35">
      <c r="B42" s="13"/>
      <c r="C42" s="36" t="s">
        <v>21</v>
      </c>
      <c r="D42" s="21">
        <f>+COUNTIFS('2.2. Outros'!H:H,'1. Dashboard'!$C$35,'2.2. Outros'!D:D,"Not applicable")</f>
        <v>73</v>
      </c>
      <c r="E42" s="23">
        <f>+COUNTIFS('2.2. Outros'!H:H,'1. Dashboard'!$C$35,'2.2. Outros'!D:D,"Not applicable",'2.2. Outros'!F:F,"0")</f>
        <v>52</v>
      </c>
      <c r="F42" s="22">
        <f t="shared" si="3"/>
        <v>0.71232876712328763</v>
      </c>
      <c r="G42" s="24">
        <f>+COUNTIFS('2.2. Outros'!H:H,'1. Dashboard'!$C$35,'2.2. Outros'!D:D,"Not applicable",'2.2. Outros'!F:F,"&lt;&gt;0",'2.2. Outros'!I:I,"&lt;&gt;")</f>
        <v>1</v>
      </c>
      <c r="H42" s="22">
        <f t="shared" si="0"/>
        <v>1.3698630136986301E-2</v>
      </c>
      <c r="I42" s="46">
        <f>+COUNTIFS('2.2. Outros'!H:H,'1. Dashboard'!$C$35,'2.2. Outros'!D:D,"Not applicable",'2.2. Outros'!F:F,"&lt;&gt;0",'2.2. Outros'!I:I,"")</f>
        <v>20</v>
      </c>
      <c r="J42" s="22">
        <f t="shared" si="1"/>
        <v>0.27397260273972601</v>
      </c>
      <c r="K42" s="13"/>
      <c r="L42" s="13"/>
      <c r="M42" s="13"/>
      <c r="N42" s="13"/>
      <c r="O42" s="13"/>
      <c r="P42" s="13"/>
      <c r="Q42" s="13"/>
      <c r="R42" s="13"/>
      <c r="S42" s="13"/>
      <c r="T42" s="13"/>
    </row>
    <row r="43" spans="2:20" outlineLevel="1" x14ac:dyDescent="0.35">
      <c r="B43" s="13"/>
      <c r="C43" s="36" t="s">
        <v>18</v>
      </c>
      <c r="D43" s="21">
        <f>+COUNTIFS('2.2. Outros'!H:H,'1. Dashboard'!$C$35,'2.2. Outros'!D:D,"Duplicados")</f>
        <v>1</v>
      </c>
      <c r="E43" s="23">
        <f>+COUNTIFS('2.2. Outros'!H:H,'1. Dashboard'!$C$35,'2.2. Outros'!D:D,"Duplicados",'2.2. Outros'!F:F,"0")</f>
        <v>1</v>
      </c>
      <c r="F43" s="22">
        <f t="shared" si="3"/>
        <v>1</v>
      </c>
      <c r="G43" s="24">
        <f>+COUNTIFS('2.2. Outros'!H:H,'1. Dashboard'!$C$35,'2.2. Outros'!D:D,"Duplicados",'2.2. Outros'!F:F,"&lt;&gt;0",'2.2. Outros'!I:I,"&lt;&gt;")</f>
        <v>0</v>
      </c>
      <c r="H43" s="22">
        <f t="shared" si="0"/>
        <v>0</v>
      </c>
      <c r="I43" s="46">
        <f>+COUNTIFS('2.2. Outros'!H:H,'1. Dashboard'!$C$35,'2.2. Outros'!D:D,"Duplicados",'2.2. Outros'!F:F,"&lt;&gt;0",'2.2. Outros'!I:I,"")</f>
        <v>0</v>
      </c>
      <c r="J43" s="22">
        <f t="shared" si="1"/>
        <v>0</v>
      </c>
      <c r="K43" s="13"/>
      <c r="L43" s="13"/>
      <c r="M43" s="13"/>
      <c r="N43" s="13"/>
      <c r="O43" s="13"/>
      <c r="P43" s="13"/>
      <c r="Q43" s="13"/>
      <c r="R43" s="13"/>
      <c r="S43" s="13"/>
      <c r="T43" s="13"/>
    </row>
    <row r="44" spans="2:20" outlineLevel="1" x14ac:dyDescent="0.35">
      <c r="B44" s="13"/>
      <c r="C44" s="36" t="s">
        <v>19</v>
      </c>
      <c r="D44" s="21">
        <f>+COUNTIFS('2.2. Outros'!H:H,'1. Dashboard'!$C$35,'2.2. Outros'!D:D,"Integridade")</f>
        <v>1</v>
      </c>
      <c r="E44" s="23">
        <f>+COUNTIFS('2.2. Outros'!H:H,'1. Dashboard'!$C$35,'2.2. Outros'!D:D,"Integridade",'2.2. Outros'!F:F,"0")</f>
        <v>1</v>
      </c>
      <c r="F44" s="22">
        <f t="shared" si="3"/>
        <v>1</v>
      </c>
      <c r="G44" s="24">
        <f>+COUNTIFS('2.2. Outros'!H:H,'1. Dashboard'!$C$35,'2.2. Outros'!D:D,"Integridade",'2.2. Outros'!F:F,"&lt;&gt;0",'2.2. Outros'!I:I,"&lt;&gt;")</f>
        <v>0</v>
      </c>
      <c r="H44" s="22">
        <f t="shared" si="0"/>
        <v>0</v>
      </c>
      <c r="I44" s="46">
        <f>+COUNTIFS('2.2. Outros'!H:H,'1. Dashboard'!$C$35,'2.2. Outros'!D:D,"Integridade",'2.2. Outros'!F:F,"&lt;&gt;0",'2.2. Outros'!I:I,"")</f>
        <v>0</v>
      </c>
      <c r="J44" s="22">
        <f t="shared" si="1"/>
        <v>0</v>
      </c>
      <c r="K44" s="13"/>
      <c r="L44" s="13"/>
      <c r="M44" s="13"/>
      <c r="N44" s="13"/>
      <c r="O44" s="13"/>
      <c r="P44" s="13"/>
      <c r="Q44" s="13"/>
      <c r="R44" s="13"/>
      <c r="S44" s="13"/>
      <c r="T44" s="13"/>
    </row>
    <row r="45" spans="2:20" x14ac:dyDescent="0.35">
      <c r="B45" s="13"/>
      <c r="C45" s="71" t="s">
        <v>11</v>
      </c>
      <c r="D45" s="72">
        <f>+SUM(D46,D50)</f>
        <v>20</v>
      </c>
      <c r="E45" s="73">
        <f>+SUM(E46,E50)</f>
        <v>17</v>
      </c>
      <c r="F45" s="74">
        <f t="shared" si="3"/>
        <v>0.85</v>
      </c>
      <c r="G45" s="75">
        <f>+SUM(G46,G50)</f>
        <v>2</v>
      </c>
      <c r="H45" s="74">
        <f t="shared" si="0"/>
        <v>0.1</v>
      </c>
      <c r="I45" s="73">
        <f>+SUM(I46,I50)</f>
        <v>1</v>
      </c>
      <c r="J45" s="74">
        <f t="shared" si="1"/>
        <v>0.05</v>
      </c>
      <c r="K45" s="13"/>
      <c r="L45" s="13"/>
      <c r="M45" s="13"/>
      <c r="N45" s="13"/>
      <c r="O45" s="13"/>
      <c r="P45" s="13"/>
      <c r="Q45" s="13"/>
      <c r="R45" s="13"/>
      <c r="S45" s="13"/>
      <c r="T45" s="13"/>
    </row>
    <row r="46" spans="2:20" x14ac:dyDescent="0.35">
      <c r="B46" s="13"/>
      <c r="C46" s="78" t="s">
        <v>14</v>
      </c>
      <c r="D46" s="79">
        <f>+SUM(D47:D49)</f>
        <v>19</v>
      </c>
      <c r="E46" s="79">
        <f>+SUM(E47:E49)</f>
        <v>16</v>
      </c>
      <c r="F46" s="81">
        <f t="shared" si="3"/>
        <v>0.84210526315789469</v>
      </c>
      <c r="G46" s="82">
        <f>+SUM(G47:G49)</f>
        <v>2</v>
      </c>
      <c r="H46" s="81">
        <f t="shared" si="0"/>
        <v>0.10526315789473684</v>
      </c>
      <c r="I46" s="83">
        <f>+SUM(I47:I49)</f>
        <v>1</v>
      </c>
      <c r="J46" s="81">
        <f t="shared" si="1"/>
        <v>5.2631578947368418E-2</v>
      </c>
      <c r="K46" s="13"/>
      <c r="L46" s="13"/>
      <c r="M46" s="13"/>
      <c r="N46" s="13"/>
      <c r="O46" s="13"/>
      <c r="P46" s="13"/>
      <c r="Q46" s="13"/>
      <c r="R46" s="13"/>
      <c r="S46" s="13"/>
      <c r="T46" s="13"/>
    </row>
    <row r="47" spans="2:20" outlineLevel="1" x14ac:dyDescent="0.35">
      <c r="B47" s="13"/>
      <c r="C47" s="36" t="s">
        <v>17</v>
      </c>
      <c r="D47" s="21">
        <f>+COUNTIFS('2.1. Regulamentares'!G:G,$C$45,'2.1. Regulamentares'!F:F,"h")</f>
        <v>5</v>
      </c>
      <c r="E47" s="23">
        <f>+COUNTIFS('2.1. Regulamentares'!G:G,$C$45,'2.1. Regulamentares'!F:F,"h",'2.1. Regulamentares'!C:C,"=0")</f>
        <v>4</v>
      </c>
      <c r="F47" s="22">
        <f t="shared" si="3"/>
        <v>0.8</v>
      </c>
      <c r="G47" s="24">
        <f>+COUNTIFS('2.1. Regulamentares'!G:G,$C$45,'2.1. Regulamentares'!F:F,"h",'2.1. Regulamentares'!C:C,"&gt;0",'2.1. Regulamentares'!I:I,"&lt;&gt;")</f>
        <v>0</v>
      </c>
      <c r="H47" s="22">
        <f t="shared" ref="H47" si="5">IFERROR(G47/D47,0)</f>
        <v>0</v>
      </c>
      <c r="I47" s="46">
        <f>+COUNTIFS('2.1. Regulamentares'!G:G,$C$45,'2.1. Regulamentares'!F:F,"h",'2.1. Regulamentares'!C:C,"&gt;0",'2.1. Regulamentares'!I:I,"")</f>
        <v>1</v>
      </c>
      <c r="J47" s="22">
        <f t="shared" si="1"/>
        <v>0.2</v>
      </c>
      <c r="K47" s="13"/>
      <c r="L47" s="13"/>
      <c r="M47" s="13"/>
      <c r="N47" s="13"/>
      <c r="O47" s="13"/>
      <c r="P47" s="13"/>
      <c r="Q47" s="13"/>
      <c r="R47" s="13"/>
      <c r="S47" s="13"/>
      <c r="T47" s="13"/>
    </row>
    <row r="48" spans="2:20" outlineLevel="1" x14ac:dyDescent="0.35">
      <c r="B48" s="13"/>
      <c r="C48" s="37" t="s">
        <v>16</v>
      </c>
      <c r="D48" s="21">
        <f>+COUNTIFS('2.1. Regulamentares'!G:G,$C$45,'2.1. Regulamentares'!F:F,"w")</f>
        <v>0</v>
      </c>
      <c r="E48" s="23">
        <f>+COUNTIFS('2.1. Regulamentares'!G:G,$C$45,'2.1. Regulamentares'!F:F,"w",'2.1. Regulamentares'!C:C,"=0")</f>
        <v>0</v>
      </c>
      <c r="F48" s="22">
        <f t="shared" si="3"/>
        <v>0</v>
      </c>
      <c r="G48" s="24">
        <f>+COUNTIFS('2.1. Regulamentares'!G:G,$C$45,'2.1. Regulamentares'!F:F,"w",'2.1. Regulamentares'!C:C,"&gt;0",'2.1. Regulamentares'!I:I,"&lt;&gt;")</f>
        <v>0</v>
      </c>
      <c r="H48" s="22">
        <f t="shared" ref="H48:H65" si="6">IFERROR(G48/D48,0)</f>
        <v>0</v>
      </c>
      <c r="I48" s="46">
        <f>+COUNTIFS('2.1. Regulamentares'!G:G,$C$45,'2.1. Regulamentares'!F:F,"w",'2.1. Regulamentares'!C:C,"&gt;0",'2.1. Regulamentares'!I:I,"")</f>
        <v>0</v>
      </c>
      <c r="J48" s="22">
        <f t="shared" si="1"/>
        <v>0</v>
      </c>
      <c r="K48" s="13"/>
      <c r="L48" s="13"/>
      <c r="M48" s="16"/>
      <c r="N48" s="17"/>
      <c r="O48" s="17"/>
      <c r="P48" s="17"/>
      <c r="Q48" s="17"/>
      <c r="R48" s="17"/>
      <c r="S48" s="17"/>
      <c r="T48" s="17"/>
    </row>
    <row r="49" spans="2:20" outlineLevel="1" x14ac:dyDescent="0.35">
      <c r="B49" s="13"/>
      <c r="C49" s="37" t="s">
        <v>321</v>
      </c>
      <c r="D49" s="21">
        <f>+COUNTIFS('2.1. Regulamentares'!G:G,$C$45,'2.1. Regulamentares'!F:F,"f")</f>
        <v>14</v>
      </c>
      <c r="E49" s="23">
        <f>+COUNTIFS('2.1. Regulamentares'!G:G,$C$45,'2.1. Regulamentares'!F:F,"f",'2.1. Regulamentares'!C:C,"=0")</f>
        <v>12</v>
      </c>
      <c r="F49" s="22">
        <f t="shared" si="3"/>
        <v>0.8571428571428571</v>
      </c>
      <c r="G49" s="24">
        <f>+COUNTIFS('2.1. Regulamentares'!G:G,$C$45,'2.1. Regulamentares'!F:F,"f",'2.1. Regulamentares'!C:C,"&gt;0",'2.1. Regulamentares'!I:I,"&lt;&gt;")</f>
        <v>2</v>
      </c>
      <c r="H49" s="22">
        <f t="shared" si="6"/>
        <v>0.14285714285714285</v>
      </c>
      <c r="I49" s="46">
        <f>+COUNTIFS('2.1. Regulamentares'!G:G,$C$45,'2.1. Regulamentares'!F:F,"f",'2.1. Regulamentares'!C:C,"&gt;0",'2.1. Regulamentares'!I:I,"")</f>
        <v>0</v>
      </c>
      <c r="J49" s="22">
        <f t="shared" si="1"/>
        <v>0</v>
      </c>
      <c r="K49" s="13"/>
      <c r="L49" s="13"/>
      <c r="M49" s="16"/>
      <c r="N49" s="17"/>
      <c r="O49" s="17"/>
      <c r="P49" s="17"/>
      <c r="Q49" s="17"/>
      <c r="R49" s="17"/>
      <c r="S49" s="17"/>
      <c r="T49" s="17"/>
    </row>
    <row r="50" spans="2:20" x14ac:dyDescent="0.35">
      <c r="B50" s="13"/>
      <c r="C50" s="78" t="s">
        <v>15</v>
      </c>
      <c r="D50" s="79">
        <f t="shared" ref="D50:I50" si="7">+SUM(D51:D54)</f>
        <v>1</v>
      </c>
      <c r="E50" s="80">
        <f t="shared" si="7"/>
        <v>1</v>
      </c>
      <c r="F50" s="81">
        <f t="shared" si="3"/>
        <v>1</v>
      </c>
      <c r="G50" s="82">
        <f t="shared" si="7"/>
        <v>0</v>
      </c>
      <c r="H50" s="81">
        <f t="shared" si="6"/>
        <v>0</v>
      </c>
      <c r="I50" s="83">
        <f t="shared" si="7"/>
        <v>0</v>
      </c>
      <c r="J50" s="81">
        <f t="shared" si="1"/>
        <v>0</v>
      </c>
      <c r="K50" s="13"/>
      <c r="L50" s="13"/>
      <c r="M50" s="16"/>
      <c r="N50" s="17"/>
      <c r="O50" s="17"/>
      <c r="P50" s="17"/>
      <c r="Q50" s="17"/>
      <c r="R50" s="17"/>
      <c r="S50" s="17"/>
      <c r="T50" s="17"/>
    </row>
    <row r="51" spans="2:20" outlineLevel="1" x14ac:dyDescent="0.35">
      <c r="B51" s="13"/>
      <c r="C51" s="36" t="s">
        <v>20</v>
      </c>
      <c r="D51" s="21">
        <f>+COUNTIFS('2.2. Outros'!H:H,$C$45,'2.2. Outros'!D:D,"Validade")</f>
        <v>0</v>
      </c>
      <c r="E51" s="23">
        <f>+COUNTIFS('2.2. Outros'!H:H,$C$45,'2.2. Outros'!D:D,"Validade",'2.2. Outros'!F:F,"0")</f>
        <v>0</v>
      </c>
      <c r="F51" s="22">
        <f t="shared" si="3"/>
        <v>0</v>
      </c>
      <c r="G51" s="24">
        <f>+COUNTIFS('2.2. Outros'!H:H,$C$45,'2.2. Outros'!D:D,"Validade",'2.2. Outros'!F:F,"&lt;&gt;0",'2.2. Outros'!I:I,"&lt;&gt;")</f>
        <v>0</v>
      </c>
      <c r="H51" s="22">
        <f t="shared" si="6"/>
        <v>0</v>
      </c>
      <c r="I51" s="46">
        <f>+COUNTIFS('2.2. Outros'!H:H,$C$45,'2.2. Outros'!D:D,"Validade",'2.2. Outros'!F:F,"&lt;&gt;0",'2.2. Outros'!I:I,"")</f>
        <v>0</v>
      </c>
      <c r="J51" s="22">
        <f t="shared" si="1"/>
        <v>0</v>
      </c>
      <c r="K51" s="13"/>
      <c r="L51" s="13"/>
      <c r="M51" s="16"/>
      <c r="N51" s="17"/>
      <c r="O51" s="17"/>
      <c r="P51" s="17"/>
      <c r="Q51" s="17"/>
      <c r="R51" s="17"/>
      <c r="S51" s="17"/>
      <c r="T51" s="17"/>
    </row>
    <row r="52" spans="2:20" outlineLevel="1" x14ac:dyDescent="0.35">
      <c r="B52" s="13"/>
      <c r="C52" s="36" t="s">
        <v>21</v>
      </c>
      <c r="D52" s="21">
        <f>+COUNTIFS('2.2. Outros'!H:H,$C$45,'2.2. Outros'!D:D,"Not applicable")</f>
        <v>0</v>
      </c>
      <c r="E52" s="23">
        <f>+COUNTIFS('2.2. Outros'!H:H,$C$45,'2.2. Outros'!D:D,"Not applicable",'2.2. Outros'!F:F,"0")</f>
        <v>0</v>
      </c>
      <c r="F52" s="22">
        <f t="shared" si="3"/>
        <v>0</v>
      </c>
      <c r="G52" s="24">
        <f>+COUNTIFS('2.2. Outros'!H:H,$C$45,'2.2. Outros'!D:D,"Not applicable",'2.2. Outros'!F:F,"&lt;&gt;0",'2.2. Outros'!I:I,"&lt;&gt;")</f>
        <v>0</v>
      </c>
      <c r="H52" s="22">
        <f t="shared" si="6"/>
        <v>0</v>
      </c>
      <c r="I52" s="46">
        <f>+COUNTIFS('2.2. Outros'!H:H,$C$45,'2.2. Outros'!D:D,"Not applicable",'2.2. Outros'!F:F,"&lt;&gt;0",'2.2. Outros'!I:I,"")</f>
        <v>0</v>
      </c>
      <c r="J52" s="22">
        <f t="shared" si="1"/>
        <v>0</v>
      </c>
      <c r="K52" s="13"/>
      <c r="L52" s="13"/>
      <c r="M52" s="16"/>
      <c r="N52" s="17"/>
      <c r="O52" s="17"/>
      <c r="P52" s="17"/>
      <c r="Q52" s="17"/>
      <c r="R52" s="17"/>
      <c r="S52" s="17"/>
      <c r="T52" s="17"/>
    </row>
    <row r="53" spans="2:20" outlineLevel="1" x14ac:dyDescent="0.35">
      <c r="B53" s="13"/>
      <c r="C53" s="36" t="s">
        <v>18</v>
      </c>
      <c r="D53" s="21">
        <f>+COUNTIFS('2.2. Outros'!H:H,$C$45,'2.2. Outros'!D:D,"Duplicados")</f>
        <v>0</v>
      </c>
      <c r="E53" s="23">
        <f>+COUNTIFS('2.2. Outros'!H:H,$C$45,'2.2. Outros'!D:D,"Duplicados",'2.2. Outros'!F:F,"0")</f>
        <v>0</v>
      </c>
      <c r="F53" s="22">
        <f t="shared" si="3"/>
        <v>0</v>
      </c>
      <c r="G53" s="24">
        <f>+COUNTIFS('2.2. Outros'!H:H,$C$45,'2.2. Outros'!D:D,"Duplicados",'2.2. Outros'!F:F,"&lt;&gt;0",'2.2. Outros'!I:I,"&lt;&gt;")</f>
        <v>0</v>
      </c>
      <c r="H53" s="22">
        <f t="shared" si="6"/>
        <v>0</v>
      </c>
      <c r="I53" s="46">
        <f>+COUNTIFS('2.2. Outros'!H:H,$C$45,'2.2. Outros'!D:D,"Duplicados",'2.2. Outros'!F:F,"&lt;&gt;0",'2.2. Outros'!I:I,"")</f>
        <v>0</v>
      </c>
      <c r="J53" s="22">
        <f t="shared" si="1"/>
        <v>0</v>
      </c>
      <c r="K53" s="13"/>
      <c r="L53" s="13"/>
      <c r="M53" s="16"/>
      <c r="N53" s="17"/>
      <c r="O53" s="17"/>
      <c r="P53" s="17"/>
      <c r="Q53" s="17"/>
      <c r="R53" s="17"/>
      <c r="S53" s="17"/>
      <c r="T53" s="17"/>
    </row>
    <row r="54" spans="2:20" outlineLevel="1" x14ac:dyDescent="0.35">
      <c r="B54" s="13"/>
      <c r="C54" s="36" t="s">
        <v>19</v>
      </c>
      <c r="D54" s="21">
        <f>+COUNTIFS('2.2. Outros'!H:H,$C$45,'2.2. Outros'!D:D,"Integridade")</f>
        <v>1</v>
      </c>
      <c r="E54" s="23">
        <f>+COUNTIFS('2.2. Outros'!H:H,$C$45,'2.2. Outros'!D:D,"Integridade",'2.2. Outros'!F:F,"0")</f>
        <v>1</v>
      </c>
      <c r="F54" s="22">
        <f t="shared" si="3"/>
        <v>1</v>
      </c>
      <c r="G54" s="24">
        <f>+COUNTIFS('2.2. Outros'!H:H,$C$45,'2.2. Outros'!D:D,"Integridade",'2.2. Outros'!F:F,"&lt;&gt;0",'2.2. Outros'!I:I,"&lt;&gt;")</f>
        <v>0</v>
      </c>
      <c r="H54" s="22">
        <f t="shared" si="6"/>
        <v>0</v>
      </c>
      <c r="I54" s="46">
        <f>+COUNTIFS('2.2. Outros'!H:H,$C$45,'2.2. Outros'!D:D,"Integridade",'2.2. Outros'!F:F,"&lt;&gt;0",'2.2. Outros'!I:I,"")</f>
        <v>0</v>
      </c>
      <c r="J54" s="22">
        <f t="shared" si="1"/>
        <v>0</v>
      </c>
      <c r="K54" s="13"/>
      <c r="L54" s="13"/>
      <c r="M54" s="16"/>
      <c r="N54" s="17"/>
      <c r="O54" s="17"/>
      <c r="P54" s="17"/>
      <c r="Q54" s="17"/>
      <c r="R54" s="17"/>
      <c r="S54" s="17"/>
      <c r="T54" s="17"/>
    </row>
    <row r="55" spans="2:20" x14ac:dyDescent="0.35">
      <c r="B55" s="13"/>
      <c r="C55" s="76" t="s">
        <v>12</v>
      </c>
      <c r="D55" s="72">
        <f>+SUM(D56,D60)</f>
        <v>16</v>
      </c>
      <c r="E55" s="73">
        <f>+SUM(E56,E60)</f>
        <v>13</v>
      </c>
      <c r="F55" s="74">
        <f t="shared" si="3"/>
        <v>0.8125</v>
      </c>
      <c r="G55" s="75">
        <f>+SUM(G56,G60)</f>
        <v>2</v>
      </c>
      <c r="H55" s="74">
        <f t="shared" si="6"/>
        <v>0.125</v>
      </c>
      <c r="I55" s="73">
        <f>+SUM(I56,I60)</f>
        <v>1</v>
      </c>
      <c r="J55" s="74">
        <f t="shared" si="1"/>
        <v>6.25E-2</v>
      </c>
      <c r="K55" s="13"/>
      <c r="L55" s="13"/>
      <c r="M55" s="16"/>
      <c r="N55" s="17"/>
      <c r="O55" s="17"/>
      <c r="P55" s="17"/>
      <c r="Q55" s="17"/>
      <c r="R55" s="17"/>
      <c r="S55" s="17"/>
      <c r="T55" s="17"/>
    </row>
    <row r="56" spans="2:20" x14ac:dyDescent="0.35">
      <c r="B56" s="13"/>
      <c r="C56" s="78" t="s">
        <v>14</v>
      </c>
      <c r="D56" s="79">
        <f>+SUM(D57:D59)</f>
        <v>15</v>
      </c>
      <c r="E56" s="80">
        <f>+SUM(E57:E59)</f>
        <v>12</v>
      </c>
      <c r="F56" s="81">
        <f t="shared" si="3"/>
        <v>0.8</v>
      </c>
      <c r="G56" s="82">
        <f>+SUM(G57:G59)</f>
        <v>2</v>
      </c>
      <c r="H56" s="81">
        <f t="shared" si="6"/>
        <v>0.13333333333333333</v>
      </c>
      <c r="I56" s="83">
        <f>+SUM(I57:I59)</f>
        <v>1</v>
      </c>
      <c r="J56" s="81">
        <f t="shared" si="1"/>
        <v>6.6666666666666666E-2</v>
      </c>
      <c r="K56" s="13"/>
      <c r="L56" s="13"/>
      <c r="M56" s="16"/>
      <c r="N56" s="17"/>
      <c r="O56" s="17"/>
      <c r="P56" s="17"/>
      <c r="Q56" s="17"/>
      <c r="R56" s="17"/>
      <c r="S56" s="17"/>
      <c r="T56" s="17"/>
    </row>
    <row r="57" spans="2:20" outlineLevel="1" x14ac:dyDescent="0.35">
      <c r="B57" s="13"/>
      <c r="C57" s="36" t="s">
        <v>17</v>
      </c>
      <c r="D57" s="21">
        <f>+COUNTIFS('2.1. Regulamentares'!G:G,$C$55,'2.1. Regulamentares'!F:F,"h")</f>
        <v>4</v>
      </c>
      <c r="E57" s="23">
        <f>+COUNTIFS('2.1. Regulamentares'!G:G,$C$55,'2.1. Regulamentares'!F:F,"h",'2.1. Regulamentares'!C:C,"=0")</f>
        <v>2</v>
      </c>
      <c r="F57" s="22">
        <f t="shared" si="3"/>
        <v>0.5</v>
      </c>
      <c r="G57" s="24">
        <f>+COUNTIFS('2.1. Regulamentares'!G:G,$C$55,'2.1. Regulamentares'!F:F,"h",'2.1. Regulamentares'!C:C,"&gt;0",'2.1. Regulamentares'!I:I,"&lt;&gt;")</f>
        <v>1</v>
      </c>
      <c r="H57" s="22">
        <f t="shared" si="6"/>
        <v>0.25</v>
      </c>
      <c r="I57" s="46">
        <f>+COUNTIFS('2.1. Regulamentares'!G:G,$C$55,'2.1. Regulamentares'!F:F,"h",'2.1. Regulamentares'!C:C,"&gt;0",'2.1. Regulamentares'!I:I,"")</f>
        <v>1</v>
      </c>
      <c r="J57" s="22">
        <f t="shared" si="1"/>
        <v>0.25</v>
      </c>
      <c r="K57" s="13"/>
      <c r="L57" s="13"/>
      <c r="M57" s="16"/>
      <c r="N57" s="17"/>
      <c r="O57" s="17"/>
      <c r="P57" s="17"/>
      <c r="Q57" s="17"/>
      <c r="R57" s="17"/>
      <c r="S57" s="17"/>
      <c r="T57" s="17"/>
    </row>
    <row r="58" spans="2:20" outlineLevel="1" x14ac:dyDescent="0.35">
      <c r="B58" s="13"/>
      <c r="C58" s="37" t="s">
        <v>16</v>
      </c>
      <c r="D58" s="21">
        <f>+COUNTIFS('2.1. Regulamentares'!G:G,$C$55,'2.1. Regulamentares'!F:F,"w")</f>
        <v>0</v>
      </c>
      <c r="E58" s="23">
        <f>+COUNTIFS('2.1. Regulamentares'!G:G,$C$55,'2.1. Regulamentares'!F:F,"w",'2.1. Regulamentares'!C:C,"=0")</f>
        <v>0</v>
      </c>
      <c r="F58" s="22">
        <f t="shared" si="3"/>
        <v>0</v>
      </c>
      <c r="G58" s="24">
        <f>+COUNTIFS('2.1. Regulamentares'!G:G,$C$55,'2.1. Regulamentares'!F:F,"w",'2.1. Regulamentares'!C:C,"&gt;0",'2.1. Regulamentares'!I:I,"&lt;&gt;")</f>
        <v>0</v>
      </c>
      <c r="H58" s="22">
        <f t="shared" si="6"/>
        <v>0</v>
      </c>
      <c r="I58" s="46">
        <f>+COUNTIFS('2.1. Regulamentares'!G:G,$C$55,'2.1. Regulamentares'!F:F,"w",'2.1. Regulamentares'!C:C,"&gt;0",'2.1. Regulamentares'!I:I,"")</f>
        <v>0</v>
      </c>
      <c r="J58" s="22">
        <f t="shared" si="1"/>
        <v>0</v>
      </c>
      <c r="K58" s="13"/>
      <c r="L58" s="13"/>
      <c r="M58" s="16"/>
      <c r="N58" s="17"/>
      <c r="O58" s="17"/>
      <c r="P58" s="17"/>
      <c r="Q58" s="17"/>
      <c r="R58" s="17"/>
      <c r="S58" s="17"/>
      <c r="T58" s="17"/>
    </row>
    <row r="59" spans="2:20" outlineLevel="1" x14ac:dyDescent="0.35">
      <c r="B59" s="13"/>
      <c r="C59" s="37" t="s">
        <v>321</v>
      </c>
      <c r="D59" s="21">
        <f>+COUNTIFS('2.1. Regulamentares'!G:G,$C$55,'2.1. Regulamentares'!F:F,"f")</f>
        <v>11</v>
      </c>
      <c r="E59" s="23">
        <f>+COUNTIFS('2.1. Regulamentares'!G:G,$C$55,'2.1. Regulamentares'!F:F,"f",'2.1. Regulamentares'!C:C,"=0")</f>
        <v>10</v>
      </c>
      <c r="F59" s="22">
        <f t="shared" si="3"/>
        <v>0.90909090909090906</v>
      </c>
      <c r="G59" s="24">
        <f>+COUNTIFS('2.1. Regulamentares'!G:G,$C$55,'2.1. Regulamentares'!F:F,"f",'2.1. Regulamentares'!C:C,"&gt;0",'2.1. Regulamentares'!I:I,"&lt;&gt;")</f>
        <v>1</v>
      </c>
      <c r="H59" s="22">
        <f t="shared" si="6"/>
        <v>9.0909090909090912E-2</v>
      </c>
      <c r="I59" s="46">
        <f>+COUNTIFS('2.1. Regulamentares'!G:G,$C$55,'2.1. Regulamentares'!F:F,"f",'2.1. Regulamentares'!C:C,"&gt;0",'2.1. Regulamentares'!I:I,"")</f>
        <v>0</v>
      </c>
      <c r="J59" s="22">
        <f t="shared" si="1"/>
        <v>0</v>
      </c>
      <c r="K59" s="13"/>
      <c r="L59" s="13"/>
      <c r="M59" s="16"/>
      <c r="N59" s="17"/>
      <c r="O59" s="17"/>
      <c r="P59" s="17"/>
      <c r="Q59" s="17"/>
      <c r="R59" s="17"/>
      <c r="S59" s="17"/>
      <c r="T59" s="17"/>
    </row>
    <row r="60" spans="2:20" x14ac:dyDescent="0.35">
      <c r="B60" s="13"/>
      <c r="C60" s="78" t="s">
        <v>15</v>
      </c>
      <c r="D60" s="79">
        <f t="shared" ref="D60:I60" si="8">+SUM(D61:D64)</f>
        <v>1</v>
      </c>
      <c r="E60" s="80">
        <f t="shared" si="8"/>
        <v>1</v>
      </c>
      <c r="F60" s="81">
        <f t="shared" si="3"/>
        <v>1</v>
      </c>
      <c r="G60" s="82">
        <f t="shared" si="8"/>
        <v>0</v>
      </c>
      <c r="H60" s="81">
        <f t="shared" si="6"/>
        <v>0</v>
      </c>
      <c r="I60" s="83">
        <f t="shared" si="8"/>
        <v>0</v>
      </c>
      <c r="J60" s="81">
        <f t="shared" si="1"/>
        <v>0</v>
      </c>
      <c r="K60" s="13"/>
      <c r="L60" s="13"/>
      <c r="M60" s="16"/>
      <c r="N60" s="17"/>
      <c r="O60" s="17"/>
      <c r="P60" s="17"/>
      <c r="Q60" s="17"/>
      <c r="R60" s="17"/>
      <c r="S60" s="17"/>
      <c r="T60" s="17"/>
    </row>
    <row r="61" spans="2:20" outlineLevel="1" x14ac:dyDescent="0.35">
      <c r="B61" s="13"/>
      <c r="C61" s="36" t="s">
        <v>20</v>
      </c>
      <c r="D61" s="21">
        <f>+COUNTIFS('2.2. Outros'!H:H,$C$55,'2.2. Outros'!D:D,"Validade")</f>
        <v>0</v>
      </c>
      <c r="E61" s="23">
        <f>+COUNTIFS('2.2. Outros'!H:H,$C$55,'2.2. Outros'!D:D,"Validade",'2.2. Outros'!F:F,"0")</f>
        <v>0</v>
      </c>
      <c r="F61" s="22">
        <f t="shared" si="3"/>
        <v>0</v>
      </c>
      <c r="G61" s="24">
        <f>+COUNTIFS('2.2. Outros'!H:H,$C$55,'2.2. Outros'!D:D,"Validade",'2.2. Outros'!F:F,"&lt;&gt;0",'2.2. Outros'!I:I,"&lt;&gt;")</f>
        <v>0</v>
      </c>
      <c r="H61" s="22">
        <f t="shared" si="6"/>
        <v>0</v>
      </c>
      <c r="I61" s="46">
        <f>+COUNTIFS('2.2. Outros'!H:H,$C$55,'2.2. Outros'!D:D,"Validade",'2.2. Outros'!F:F,"&lt;&gt;0",'2.2. Outros'!I:I,"")</f>
        <v>0</v>
      </c>
      <c r="J61" s="22">
        <f t="shared" si="1"/>
        <v>0</v>
      </c>
      <c r="K61" s="13"/>
      <c r="L61" s="13"/>
      <c r="M61" s="16"/>
      <c r="N61" s="17"/>
      <c r="O61" s="17"/>
      <c r="P61" s="17"/>
      <c r="Q61" s="17"/>
      <c r="R61" s="17"/>
      <c r="S61" s="17"/>
      <c r="T61" s="17"/>
    </row>
    <row r="62" spans="2:20" outlineLevel="1" x14ac:dyDescent="0.35">
      <c r="B62" s="13"/>
      <c r="C62" s="36" t="s">
        <v>21</v>
      </c>
      <c r="D62" s="21">
        <f>+COUNTIFS('2.2. Outros'!H:H,$C$55,'2.2. Outros'!D:D,"Not applicable")</f>
        <v>0</v>
      </c>
      <c r="E62" s="23">
        <f>+COUNTIFS('2.2. Outros'!H:H,$C$55,'2.2. Outros'!D:D,"Not applicable",'2.2. Outros'!F:F,"0")</f>
        <v>0</v>
      </c>
      <c r="F62" s="22">
        <f t="shared" si="3"/>
        <v>0</v>
      </c>
      <c r="G62" s="24">
        <f>+COUNTIFS('2.2. Outros'!H:H,$C$55,'2.2. Outros'!D:D,"Not applicable",'2.2. Outros'!F:F,"&lt;&gt;0",'2.2. Outros'!I:I,"&lt;&gt;")</f>
        <v>0</v>
      </c>
      <c r="H62" s="22">
        <f t="shared" si="6"/>
        <v>0</v>
      </c>
      <c r="I62" s="46">
        <f>+COUNTIFS('2.2. Outros'!H:H,$C$55,'2.2. Outros'!D:D,"Not applicable",'2.2. Outros'!F:F,"&lt;&gt;0",'2.2. Outros'!I:I,"")</f>
        <v>0</v>
      </c>
      <c r="J62" s="22">
        <f t="shared" si="1"/>
        <v>0</v>
      </c>
      <c r="K62" s="13"/>
      <c r="L62" s="13"/>
      <c r="M62" s="16"/>
      <c r="N62" s="17"/>
      <c r="O62" s="17"/>
      <c r="P62" s="17"/>
      <c r="Q62" s="17"/>
      <c r="R62" s="17"/>
      <c r="S62" s="17"/>
      <c r="T62" s="17"/>
    </row>
    <row r="63" spans="2:20" outlineLevel="1" x14ac:dyDescent="0.35">
      <c r="B63" s="13"/>
      <c r="C63" s="36" t="s">
        <v>18</v>
      </c>
      <c r="D63" s="21">
        <f>+COUNTIFS('2.2. Outros'!H:H,$C$55,'2.2. Outros'!D:D,"Duplicados")</f>
        <v>0</v>
      </c>
      <c r="E63" s="23">
        <f>+COUNTIFS('2.2. Outros'!H:H,$C$55,'2.2. Outros'!D:D,"Duplicados",'2.2. Outros'!F:F,"0")</f>
        <v>0</v>
      </c>
      <c r="F63" s="22">
        <f t="shared" si="3"/>
        <v>0</v>
      </c>
      <c r="G63" s="24">
        <f>+COUNTIFS('2.2. Outros'!H:H,$C$55,'2.2. Outros'!D:D,"Duplicados",'2.2. Outros'!F:F,"&lt;&gt;0",'2.2. Outros'!I:I,"&lt;&gt;")</f>
        <v>0</v>
      </c>
      <c r="H63" s="22">
        <f t="shared" si="6"/>
        <v>0</v>
      </c>
      <c r="I63" s="46">
        <f>+COUNTIFS('2.2. Outros'!H:H,$C$55,'2.2. Outros'!D:D,"Duplicados",'2.2. Outros'!F:F,"&lt;&gt;0",'2.2. Outros'!I:I,"")</f>
        <v>0</v>
      </c>
      <c r="J63" s="22">
        <f t="shared" si="1"/>
        <v>0</v>
      </c>
      <c r="K63" s="13"/>
      <c r="L63" s="13"/>
      <c r="M63" s="16"/>
      <c r="N63" s="17"/>
      <c r="O63" s="17"/>
      <c r="P63" s="17"/>
      <c r="Q63" s="17"/>
      <c r="R63" s="17"/>
      <c r="S63" s="17"/>
      <c r="T63" s="17"/>
    </row>
    <row r="64" spans="2:20" outlineLevel="1" x14ac:dyDescent="0.35">
      <c r="B64" s="13"/>
      <c r="C64" s="36" t="s">
        <v>19</v>
      </c>
      <c r="D64" s="21">
        <f>+COUNTIFS('2.2. Outros'!H:H,$C$55,'2.2. Outros'!D:D,"Integridade")</f>
        <v>1</v>
      </c>
      <c r="E64" s="23">
        <f>+COUNTIFS('2.2. Outros'!H:H,$C$55,'2.2. Outros'!D:D,"Integridade",'2.2. Outros'!F:F,"0")</f>
        <v>1</v>
      </c>
      <c r="F64" s="22">
        <f t="shared" si="3"/>
        <v>1</v>
      </c>
      <c r="G64" s="24">
        <f>+COUNTIFS('2.2. Outros'!H:H,$C$55,'2.2. Outros'!D:D,"Integridade",'2.2. Outros'!F:F,"&lt;&gt;0",'2.2. Outros'!I:I,"&lt;&gt;")</f>
        <v>0</v>
      </c>
      <c r="H64" s="22">
        <f t="shared" si="6"/>
        <v>0</v>
      </c>
      <c r="I64" s="46">
        <f>+COUNTIFS('2.2. Outros'!H:H,$C$55,'2.2. Outros'!D:D,"Integridade",'2.2. Outros'!F:F,"&lt;&gt;0",'2.2. Outros'!I:I,"")</f>
        <v>0</v>
      </c>
      <c r="J64" s="22">
        <f t="shared" si="1"/>
        <v>0</v>
      </c>
      <c r="K64" s="13"/>
      <c r="L64" s="13"/>
      <c r="M64" s="16"/>
      <c r="N64" s="17"/>
      <c r="O64" s="17"/>
      <c r="P64" s="17"/>
      <c r="Q64" s="17"/>
      <c r="R64" s="17"/>
      <c r="S64" s="17"/>
      <c r="T64" s="17"/>
    </row>
    <row r="65" spans="2:20" x14ac:dyDescent="0.35">
      <c r="B65" s="16"/>
      <c r="C65" s="38" t="s">
        <v>24</v>
      </c>
      <c r="D65" s="39">
        <f>SUM(D55,D45,D35)</f>
        <v>340</v>
      </c>
      <c r="E65" s="40">
        <f t="shared" ref="E65:G65" si="9">SUM(E55,E45,E35)</f>
        <v>288</v>
      </c>
      <c r="F65" s="41">
        <f t="shared" si="3"/>
        <v>0.84705882352941175</v>
      </c>
      <c r="G65" s="42">
        <f t="shared" si="9"/>
        <v>12</v>
      </c>
      <c r="H65" s="41">
        <f t="shared" si="6"/>
        <v>3.5294117647058823E-2</v>
      </c>
      <c r="I65" s="47">
        <f>SUM(I55,I45,I35)</f>
        <v>35</v>
      </c>
      <c r="J65" s="41">
        <f t="shared" si="1"/>
        <v>0.10294117647058823</v>
      </c>
      <c r="K65" s="13"/>
      <c r="L65" s="13"/>
      <c r="M65" s="16"/>
      <c r="N65" s="17"/>
      <c r="O65" s="17"/>
      <c r="P65" s="17"/>
      <c r="Q65" s="17"/>
      <c r="R65" s="17"/>
      <c r="S65" s="17"/>
      <c r="T65" s="17"/>
    </row>
    <row r="66" spans="2:20" x14ac:dyDescent="0.35">
      <c r="B66" s="16"/>
      <c r="C66" s="16"/>
      <c r="D66" s="17"/>
      <c r="E66" s="17"/>
      <c r="F66" s="17"/>
      <c r="G66" s="17"/>
      <c r="H66" s="17"/>
      <c r="I66" s="17"/>
      <c r="J66" s="17"/>
      <c r="K66" s="13"/>
      <c r="L66" s="13"/>
      <c r="M66" s="16"/>
      <c r="N66" s="17"/>
      <c r="O66" s="17"/>
      <c r="P66" s="17"/>
      <c r="Q66" s="17"/>
      <c r="R66" s="17"/>
      <c r="S66" s="17"/>
      <c r="T66" s="17"/>
    </row>
    <row r="67" spans="2:20" x14ac:dyDescent="0.35">
      <c r="B67" s="16"/>
      <c r="C67" s="16"/>
      <c r="D67" s="17"/>
      <c r="E67" s="17"/>
      <c r="F67" s="17"/>
      <c r="G67" s="17"/>
      <c r="H67" s="17"/>
      <c r="I67" s="17"/>
      <c r="J67" s="17"/>
      <c r="K67" s="13"/>
      <c r="L67" s="13"/>
      <c r="M67" s="16"/>
      <c r="N67" s="17"/>
      <c r="O67" s="17"/>
      <c r="P67" s="17"/>
      <c r="Q67" s="17"/>
      <c r="R67" s="17"/>
      <c r="S67" s="17"/>
      <c r="T67" s="17"/>
    </row>
    <row r="68" spans="2:20" ht="15" thickBot="1" x14ac:dyDescent="0.4">
      <c r="B68" s="16"/>
      <c r="C68" s="87" t="s">
        <v>113</v>
      </c>
      <c r="D68" s="88"/>
      <c r="E68" s="88"/>
      <c r="F68" s="88"/>
      <c r="G68" s="88"/>
      <c r="H68" s="88"/>
      <c r="I68" s="88"/>
      <c r="J68" s="88"/>
      <c r="K68" s="88"/>
      <c r="L68" s="88"/>
      <c r="M68" s="88"/>
      <c r="N68" s="88"/>
      <c r="O68" s="88"/>
      <c r="P68" s="88"/>
      <c r="Q68" s="88"/>
      <c r="R68" s="88"/>
      <c r="S68" s="88"/>
      <c r="T68" s="17"/>
    </row>
    <row r="69" spans="2:20" x14ac:dyDescent="0.35">
      <c r="B69" s="16"/>
      <c r="C69" s="16"/>
      <c r="D69" s="17"/>
      <c r="E69" s="17"/>
      <c r="F69" s="17"/>
      <c r="G69" s="17"/>
      <c r="H69" s="17"/>
      <c r="I69" s="17"/>
      <c r="J69" s="17"/>
      <c r="K69" s="13"/>
      <c r="L69" s="13"/>
      <c r="M69" s="16"/>
      <c r="N69" s="17"/>
      <c r="O69" s="17"/>
      <c r="P69" s="17"/>
      <c r="Q69" s="17"/>
      <c r="R69" s="17"/>
      <c r="S69" s="17"/>
      <c r="T69" s="17"/>
    </row>
    <row r="70" spans="2:20" x14ac:dyDescent="0.35">
      <c r="B70" s="13"/>
      <c r="C70" s="77" t="s">
        <v>13</v>
      </c>
      <c r="D70" s="77" t="s">
        <v>320</v>
      </c>
      <c r="E70" s="77" t="s">
        <v>3</v>
      </c>
      <c r="F70" s="77" t="s">
        <v>5</v>
      </c>
      <c r="G70" s="77" t="s">
        <v>25</v>
      </c>
      <c r="H70" s="77" t="s">
        <v>26</v>
      </c>
      <c r="I70" s="77" t="s">
        <v>4</v>
      </c>
      <c r="J70" s="77" t="s">
        <v>6</v>
      </c>
      <c r="K70" s="13"/>
      <c r="L70" s="13"/>
      <c r="M70" s="16"/>
      <c r="N70" s="17"/>
      <c r="O70" s="17"/>
      <c r="P70" s="17"/>
      <c r="Q70" s="17"/>
      <c r="R70" s="17"/>
      <c r="S70" s="17"/>
      <c r="T70" s="17"/>
    </row>
    <row r="71" spans="2:20" x14ac:dyDescent="0.35">
      <c r="B71" s="13"/>
      <c r="C71" s="71" t="s">
        <v>10</v>
      </c>
      <c r="D71" s="72">
        <f>+D72</f>
        <v>20</v>
      </c>
      <c r="E71" s="73">
        <f t="shared" ref="E71:I71" si="10">+E72</f>
        <v>16</v>
      </c>
      <c r="F71" s="74">
        <f>+E71/$D71</f>
        <v>0.8</v>
      </c>
      <c r="G71" s="75">
        <f t="shared" si="10"/>
        <v>3</v>
      </c>
      <c r="H71" s="74">
        <f t="shared" ref="H71:H76" si="11">+G71/$D71</f>
        <v>0.15</v>
      </c>
      <c r="I71" s="75">
        <f t="shared" si="10"/>
        <v>1</v>
      </c>
      <c r="J71" s="74">
        <f>+I71/$D71</f>
        <v>0.05</v>
      </c>
      <c r="K71" s="13"/>
      <c r="L71" s="13"/>
      <c r="M71" s="16"/>
      <c r="N71" s="17"/>
      <c r="O71" s="17"/>
      <c r="P71" s="17"/>
      <c r="Q71" s="17"/>
      <c r="R71" s="17"/>
      <c r="S71" s="17"/>
      <c r="T71" s="17"/>
    </row>
    <row r="72" spans="2:20" x14ac:dyDescent="0.35">
      <c r="B72" s="15"/>
      <c r="C72" s="35" t="s">
        <v>23</v>
      </c>
      <c r="D72" s="21">
        <v>20</v>
      </c>
      <c r="E72" s="23">
        <v>16</v>
      </c>
      <c r="F72" s="22">
        <f t="shared" ref="F72:F76" si="12">+E72/$D72</f>
        <v>0.8</v>
      </c>
      <c r="G72" s="24">
        <v>3</v>
      </c>
      <c r="H72" s="22">
        <f t="shared" si="11"/>
        <v>0.15</v>
      </c>
      <c r="I72" s="24">
        <v>1</v>
      </c>
      <c r="J72" s="22">
        <f t="shared" ref="J72:J76" si="13">+I72/$D72</f>
        <v>0.05</v>
      </c>
      <c r="K72" s="13"/>
      <c r="L72" s="15"/>
      <c r="M72" s="16"/>
      <c r="N72" s="17"/>
      <c r="O72" s="17"/>
      <c r="P72" s="17"/>
      <c r="Q72" s="17"/>
      <c r="R72" s="17"/>
      <c r="S72" s="17"/>
      <c r="T72" s="17"/>
    </row>
    <row r="73" spans="2:20" x14ac:dyDescent="0.35">
      <c r="B73" s="15"/>
      <c r="C73" s="71" t="s">
        <v>11</v>
      </c>
      <c r="D73" s="72">
        <f t="shared" ref="D73:I73" si="14">+D74</f>
        <v>15</v>
      </c>
      <c r="E73" s="73">
        <f t="shared" si="14"/>
        <v>10</v>
      </c>
      <c r="F73" s="74">
        <f t="shared" si="12"/>
        <v>0.66666666666666663</v>
      </c>
      <c r="G73" s="75">
        <f t="shared" si="14"/>
        <v>2</v>
      </c>
      <c r="H73" s="74">
        <f t="shared" si="11"/>
        <v>0.13333333333333333</v>
      </c>
      <c r="I73" s="75">
        <f t="shared" si="14"/>
        <v>3</v>
      </c>
      <c r="J73" s="74">
        <f t="shared" si="13"/>
        <v>0.2</v>
      </c>
      <c r="K73" s="13"/>
      <c r="L73" s="15"/>
      <c r="M73" s="16"/>
      <c r="N73" s="17"/>
      <c r="O73" s="17"/>
      <c r="P73" s="17"/>
      <c r="Q73" s="17"/>
      <c r="R73" s="17"/>
      <c r="S73" s="17"/>
      <c r="T73" s="17"/>
    </row>
    <row r="74" spans="2:20" x14ac:dyDescent="0.35">
      <c r="B74" s="15"/>
      <c r="C74" s="35" t="s">
        <v>23</v>
      </c>
      <c r="D74" s="21">
        <v>15</v>
      </c>
      <c r="E74" s="23">
        <v>10</v>
      </c>
      <c r="F74" s="22">
        <f t="shared" si="12"/>
        <v>0.66666666666666663</v>
      </c>
      <c r="G74" s="24">
        <v>2</v>
      </c>
      <c r="H74" s="22">
        <f t="shared" si="11"/>
        <v>0.13333333333333333</v>
      </c>
      <c r="I74" s="24">
        <v>3</v>
      </c>
      <c r="J74" s="22">
        <f t="shared" si="13"/>
        <v>0.2</v>
      </c>
      <c r="K74" s="13"/>
      <c r="L74" s="15"/>
      <c r="M74" s="16"/>
      <c r="N74" s="17"/>
      <c r="O74" s="17"/>
      <c r="P74" s="17"/>
      <c r="Q74" s="17"/>
      <c r="R74" s="17"/>
      <c r="S74" s="17"/>
      <c r="T74" s="17"/>
    </row>
    <row r="75" spans="2:20" x14ac:dyDescent="0.35">
      <c r="B75" s="15"/>
      <c r="C75" s="76" t="s">
        <v>12</v>
      </c>
      <c r="D75" s="72">
        <f t="shared" ref="D75:I75" si="15">+D76</f>
        <v>20</v>
      </c>
      <c r="E75" s="73">
        <f t="shared" si="15"/>
        <v>12</v>
      </c>
      <c r="F75" s="74">
        <f t="shared" si="12"/>
        <v>0.6</v>
      </c>
      <c r="G75" s="75">
        <f t="shared" si="15"/>
        <v>4</v>
      </c>
      <c r="H75" s="74">
        <f t="shared" si="11"/>
        <v>0.2</v>
      </c>
      <c r="I75" s="75">
        <f t="shared" si="15"/>
        <v>4</v>
      </c>
      <c r="J75" s="74">
        <f t="shared" si="13"/>
        <v>0.2</v>
      </c>
      <c r="K75" s="13"/>
      <c r="L75" s="15"/>
      <c r="M75" s="16"/>
      <c r="N75" s="17"/>
      <c r="O75" s="17"/>
      <c r="P75" s="17"/>
      <c r="Q75" s="17"/>
      <c r="R75" s="17"/>
      <c r="S75" s="17"/>
      <c r="T75" s="17"/>
    </row>
    <row r="76" spans="2:20" x14ac:dyDescent="0.35">
      <c r="B76" s="15"/>
      <c r="C76" s="35" t="s">
        <v>23</v>
      </c>
      <c r="D76" s="21">
        <v>20</v>
      </c>
      <c r="E76" s="23">
        <v>12</v>
      </c>
      <c r="F76" s="22">
        <f t="shared" si="12"/>
        <v>0.6</v>
      </c>
      <c r="G76" s="24">
        <v>4</v>
      </c>
      <c r="H76" s="22">
        <f t="shared" si="11"/>
        <v>0.2</v>
      </c>
      <c r="I76" s="24">
        <v>4</v>
      </c>
      <c r="J76" s="22">
        <f t="shared" si="13"/>
        <v>0.2</v>
      </c>
      <c r="K76" s="13"/>
      <c r="L76" s="15"/>
      <c r="M76" s="16"/>
      <c r="N76" s="17"/>
      <c r="O76" s="17"/>
      <c r="P76" s="17"/>
      <c r="Q76" s="17"/>
      <c r="R76" s="17"/>
      <c r="S76" s="17"/>
      <c r="T76" s="17"/>
    </row>
    <row r="77" spans="2:20" x14ac:dyDescent="0.35">
      <c r="B77" s="15"/>
      <c r="C77" s="16"/>
      <c r="D77" s="17"/>
      <c r="E77" s="17"/>
      <c r="F77" s="17"/>
      <c r="G77" s="17"/>
      <c r="H77" s="17"/>
      <c r="I77" s="17"/>
      <c r="J77" s="17"/>
      <c r="K77" s="13"/>
      <c r="L77" s="15"/>
      <c r="M77" s="16"/>
      <c r="N77" s="17"/>
      <c r="O77" s="17"/>
      <c r="P77" s="17"/>
      <c r="Q77" s="17"/>
      <c r="R77" s="17"/>
      <c r="S77" s="17"/>
      <c r="T77" s="17"/>
    </row>
    <row r="78" spans="2:20" x14ac:dyDescent="0.35">
      <c r="B78" s="15"/>
      <c r="C78" s="16"/>
      <c r="D78" s="17"/>
      <c r="E78" s="17"/>
      <c r="F78" s="17"/>
      <c r="G78" s="17"/>
      <c r="H78" s="17"/>
      <c r="I78" s="17"/>
      <c r="J78" s="17"/>
      <c r="K78" s="13"/>
      <c r="L78" s="15"/>
      <c r="M78" s="16"/>
      <c r="N78" s="17"/>
      <c r="O78" s="17"/>
      <c r="P78" s="17"/>
      <c r="Q78" s="17"/>
      <c r="R78" s="17"/>
      <c r="S78" s="17"/>
      <c r="T78" s="17"/>
    </row>
    <row r="79" spans="2:20" x14ac:dyDescent="0.35">
      <c r="B79" s="15"/>
      <c r="C79" s="16"/>
      <c r="D79" s="17"/>
      <c r="E79" s="17"/>
      <c r="F79" s="17"/>
      <c r="G79" s="17"/>
      <c r="H79" s="17"/>
      <c r="I79" s="17"/>
      <c r="J79" s="17"/>
      <c r="K79" s="13"/>
      <c r="L79" s="15"/>
      <c r="M79" s="16"/>
      <c r="N79" s="17"/>
      <c r="O79" s="17"/>
      <c r="P79" s="17"/>
      <c r="Q79" s="17"/>
      <c r="R79" s="17"/>
      <c r="S79" s="17"/>
      <c r="T79" s="17"/>
    </row>
    <row r="80" spans="2:20" x14ac:dyDescent="0.35">
      <c r="B80" s="15"/>
      <c r="C80" s="16"/>
      <c r="D80" s="17"/>
      <c r="E80" s="17"/>
      <c r="F80" s="17"/>
      <c r="G80" s="17"/>
      <c r="H80" s="17"/>
      <c r="I80" s="17"/>
      <c r="J80" s="17"/>
      <c r="K80" s="13"/>
      <c r="L80" s="15"/>
      <c r="M80" s="16"/>
      <c r="N80" s="17"/>
      <c r="O80" s="17"/>
      <c r="P80" s="17"/>
      <c r="Q80" s="17"/>
      <c r="R80" s="17"/>
      <c r="S80" s="17"/>
      <c r="T80" s="17"/>
    </row>
    <row r="81" spans="2:20" x14ac:dyDescent="0.35">
      <c r="B81" s="15"/>
      <c r="C81" s="16"/>
      <c r="D81" s="17"/>
      <c r="E81" s="17"/>
      <c r="F81" s="17"/>
      <c r="G81" s="17"/>
      <c r="H81" s="17"/>
      <c r="I81" s="17"/>
      <c r="J81" s="17"/>
      <c r="K81" s="13"/>
      <c r="L81" s="15"/>
      <c r="M81" s="16"/>
      <c r="N81" s="17"/>
      <c r="O81" s="17"/>
      <c r="P81" s="17"/>
      <c r="Q81" s="17"/>
      <c r="R81" s="17"/>
      <c r="S81" s="17"/>
      <c r="T81" s="17"/>
    </row>
    <row r="82" spans="2:20" x14ac:dyDescent="0.35">
      <c r="B82" s="15"/>
      <c r="C82" s="16"/>
      <c r="D82" s="17"/>
      <c r="E82" s="17"/>
      <c r="F82" s="17"/>
      <c r="G82" s="17"/>
      <c r="H82" s="17"/>
      <c r="I82" s="17"/>
      <c r="J82" s="17"/>
      <c r="K82" s="13"/>
      <c r="L82" s="15"/>
      <c r="M82" s="16"/>
      <c r="N82" s="17"/>
      <c r="O82" s="17"/>
      <c r="P82" s="17"/>
      <c r="Q82" s="17"/>
      <c r="R82" s="17"/>
      <c r="S82" s="17"/>
      <c r="T82" s="17"/>
    </row>
    <row r="83" spans="2:20" x14ac:dyDescent="0.35">
      <c r="B83" s="15"/>
      <c r="C83" s="16"/>
      <c r="D83" s="17"/>
      <c r="E83" s="17"/>
      <c r="F83" s="17"/>
      <c r="G83" s="17"/>
      <c r="H83" s="17"/>
      <c r="I83" s="17"/>
      <c r="J83" s="17"/>
      <c r="K83" s="13"/>
      <c r="L83" s="15"/>
      <c r="M83" s="16"/>
      <c r="N83" s="17"/>
      <c r="O83" s="17"/>
      <c r="P83" s="17"/>
      <c r="Q83" s="17"/>
      <c r="R83" s="17"/>
      <c r="S83" s="17"/>
      <c r="T83" s="17"/>
    </row>
    <row r="84" spans="2:20" x14ac:dyDescent="0.35">
      <c r="B84" s="15"/>
      <c r="C84" s="16"/>
      <c r="D84" s="17"/>
      <c r="E84" s="17"/>
      <c r="F84" s="17"/>
      <c r="G84" s="17"/>
      <c r="H84" s="17"/>
      <c r="I84" s="17"/>
      <c r="J84" s="17"/>
      <c r="K84" s="13"/>
      <c r="L84" s="15"/>
      <c r="M84" s="16"/>
      <c r="N84" s="17"/>
      <c r="O84" s="17"/>
      <c r="P84" s="17"/>
      <c r="Q84" s="17"/>
      <c r="R84" s="17"/>
      <c r="S84" s="17"/>
      <c r="T84" s="17"/>
    </row>
    <row r="85" spans="2:20" x14ac:dyDescent="0.35">
      <c r="B85" s="15"/>
      <c r="C85" s="16"/>
      <c r="D85" s="17"/>
      <c r="E85" s="17"/>
      <c r="F85" s="17"/>
      <c r="G85" s="17"/>
      <c r="H85" s="17"/>
      <c r="I85" s="17"/>
      <c r="J85" s="17"/>
      <c r="K85" s="13"/>
      <c r="L85" s="15"/>
      <c r="M85" s="16"/>
      <c r="N85" s="17"/>
      <c r="O85" s="17"/>
      <c r="P85" s="17"/>
      <c r="Q85" s="17"/>
      <c r="R85" s="17"/>
      <c r="S85" s="17"/>
      <c r="T85" s="17"/>
    </row>
    <row r="86" spans="2:20" ht="15" thickBot="1" x14ac:dyDescent="0.4">
      <c r="B86" s="6"/>
      <c r="C86" s="7"/>
      <c r="D86" s="7"/>
      <c r="E86" s="7"/>
      <c r="F86" s="7"/>
      <c r="G86" s="7"/>
      <c r="H86" s="7"/>
      <c r="I86" s="7"/>
      <c r="J86" s="7"/>
      <c r="K86" s="7"/>
      <c r="L86" s="6"/>
      <c r="M86" s="7"/>
      <c r="N86" s="7"/>
      <c r="O86" s="7"/>
      <c r="P86" s="7"/>
      <c r="Q86" s="7"/>
      <c r="R86" s="7"/>
      <c r="S86" s="7"/>
      <c r="T86" s="7"/>
    </row>
    <row r="87" spans="2:20" x14ac:dyDescent="0.35">
      <c r="D87" s="11"/>
      <c r="E87" s="1"/>
      <c r="F87" s="1"/>
      <c r="G87" s="1"/>
      <c r="H87" s="1"/>
      <c r="I87" s="1"/>
      <c r="J87" s="1"/>
      <c r="N87" s="11"/>
      <c r="O87" s="1"/>
      <c r="P87" s="1"/>
      <c r="Q87" s="1"/>
      <c r="R87" s="1"/>
      <c r="S87" s="1"/>
      <c r="T87" s="1"/>
    </row>
    <row r="88" spans="2:20" hidden="1" x14ac:dyDescent="0.35">
      <c r="D88" s="11"/>
      <c r="E88" s="1"/>
      <c r="F88" s="1"/>
      <c r="G88" s="1"/>
      <c r="H88" s="1"/>
      <c r="I88" s="1"/>
      <c r="J88" s="1"/>
      <c r="N88" s="11"/>
      <c r="O88" s="1"/>
      <c r="P88" s="1"/>
      <c r="Q88" s="1"/>
      <c r="R88" s="1"/>
      <c r="S88" s="1"/>
      <c r="T88" s="1"/>
    </row>
    <row r="89" spans="2:20" hidden="1" x14ac:dyDescent="0.35">
      <c r="D89" s="11"/>
      <c r="E89" s="1"/>
      <c r="F89" s="1"/>
      <c r="G89" s="1"/>
      <c r="H89" s="1"/>
      <c r="I89" s="1"/>
      <c r="J89" s="1"/>
      <c r="N89" s="11"/>
      <c r="O89" s="1"/>
      <c r="P89" s="1"/>
      <c r="Q89" s="1"/>
      <c r="R89" s="1"/>
      <c r="S89" s="1"/>
      <c r="T89" s="1"/>
    </row>
    <row r="90" spans="2:20" hidden="1" x14ac:dyDescent="0.35">
      <c r="D90" s="11"/>
      <c r="E90" s="1"/>
      <c r="F90" s="1"/>
      <c r="G90" s="1"/>
      <c r="H90" s="1"/>
      <c r="I90" s="1"/>
      <c r="J90" s="1"/>
      <c r="N90" s="11"/>
      <c r="O90" s="1"/>
      <c r="P90" s="1"/>
      <c r="Q90" s="1"/>
      <c r="R90" s="1"/>
      <c r="S90" s="1"/>
      <c r="T90" s="1"/>
    </row>
    <row r="91" spans="2:20" hidden="1" x14ac:dyDescent="0.35">
      <c r="D91" s="11"/>
      <c r="E91" s="1"/>
      <c r="F91" s="1"/>
      <c r="G91" s="1"/>
      <c r="H91" s="1"/>
      <c r="I91" s="1"/>
      <c r="J91" s="1"/>
      <c r="N91" s="11"/>
      <c r="O91" s="1"/>
      <c r="P91" s="1"/>
      <c r="Q91" s="1"/>
      <c r="R91" s="1"/>
      <c r="S91" s="1"/>
      <c r="T91" s="1"/>
    </row>
    <row r="92" spans="2:20" hidden="1" x14ac:dyDescent="0.35">
      <c r="D92" s="11"/>
      <c r="E92" s="1"/>
      <c r="F92" s="1"/>
      <c r="G92" s="1"/>
      <c r="H92" s="1"/>
      <c r="I92" s="1"/>
      <c r="J92" s="1"/>
      <c r="N92" s="11"/>
      <c r="O92" s="1"/>
      <c r="P92" s="1"/>
      <c r="Q92" s="1"/>
      <c r="R92" s="1"/>
      <c r="S92" s="1"/>
      <c r="T92" s="1"/>
    </row>
    <row r="93" spans="2:20" hidden="1" x14ac:dyDescent="0.35">
      <c r="D93" s="11"/>
      <c r="E93" s="1"/>
      <c r="F93" s="1"/>
      <c r="G93" s="1"/>
      <c r="H93" s="1"/>
      <c r="I93" s="1"/>
      <c r="J93" s="1"/>
      <c r="N93" s="11"/>
      <c r="O93" s="1"/>
      <c r="P93" s="1"/>
      <c r="Q93" s="1"/>
      <c r="R93" s="1"/>
      <c r="S93" s="1"/>
      <c r="T93" s="1"/>
    </row>
    <row r="94" spans="2:20" hidden="1" x14ac:dyDescent="0.35">
      <c r="D94" s="11"/>
      <c r="E94" s="1"/>
      <c r="F94" s="1"/>
      <c r="G94" s="1"/>
      <c r="H94" s="1"/>
      <c r="I94" s="1"/>
      <c r="J94" s="1"/>
      <c r="N94" s="11"/>
      <c r="O94" s="1"/>
      <c r="P94" s="1"/>
      <c r="Q94" s="1"/>
      <c r="R94" s="1"/>
      <c r="S94" s="1"/>
      <c r="T94" s="1"/>
    </row>
    <row r="95" spans="2:20" hidden="1" x14ac:dyDescent="0.35">
      <c r="D95" s="11"/>
      <c r="E95" s="1"/>
      <c r="F95" s="1"/>
      <c r="G95" s="1"/>
      <c r="H95" s="1"/>
      <c r="I95" s="1"/>
      <c r="J95" s="1"/>
      <c r="N95" s="11"/>
      <c r="O95" s="1"/>
      <c r="P95" s="1"/>
      <c r="Q95" s="1"/>
      <c r="R95" s="1"/>
      <c r="S95" s="1"/>
      <c r="T95"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1:K168"/>
  <sheetViews>
    <sheetView showGridLines="0" tabSelected="1" zoomScale="80" zoomScaleNormal="80" workbookViewId="0">
      <selection activeCell="B9" sqref="B9:J168"/>
    </sheetView>
  </sheetViews>
  <sheetFormatPr defaultRowHeight="14.5" x14ac:dyDescent="0.35"/>
  <cols>
    <col min="2" max="2" width="10.36328125" bestFit="1" customWidth="1"/>
    <col min="3" max="3" width="43.08984375" bestFit="1" customWidth="1"/>
    <col min="4" max="4" width="16.1796875" bestFit="1" customWidth="1"/>
    <col min="5" max="5" width="51" bestFit="1" customWidth="1"/>
    <col min="6" max="6" width="45.36328125" bestFit="1" customWidth="1"/>
    <col min="7" max="7" width="80.81640625" bestFit="1" customWidth="1"/>
    <col min="8" max="8" width="10.6328125" bestFit="1" customWidth="1"/>
    <col min="9" max="9" width="13.81640625" bestFit="1" customWidth="1"/>
    <col min="10" max="10" width="80.81640625" bestFit="1" customWidth="1"/>
  </cols>
  <sheetData>
    <row r="1" spans="1:11" x14ac:dyDescent="0.35">
      <c r="A1" s="66"/>
      <c r="B1" s="66"/>
      <c r="C1" s="66"/>
      <c r="D1" s="66"/>
      <c r="E1" s="66"/>
      <c r="F1" s="66"/>
      <c r="G1" s="66"/>
      <c r="H1" s="66"/>
      <c r="I1" s="66"/>
      <c r="J1" s="66"/>
      <c r="K1" s="66"/>
    </row>
    <row r="2" spans="1:11" x14ac:dyDescent="0.35">
      <c r="A2" s="66"/>
      <c r="B2" s="66"/>
      <c r="C2" s="66"/>
      <c r="D2" s="66"/>
      <c r="E2" s="66"/>
      <c r="F2" s="66"/>
      <c r="G2" s="66"/>
      <c r="H2" s="66"/>
      <c r="I2" s="66"/>
      <c r="J2" s="66"/>
      <c r="K2" s="66"/>
    </row>
    <row r="3" spans="1:11" x14ac:dyDescent="0.35">
      <c r="A3" s="66"/>
      <c r="B3" s="66"/>
      <c r="C3" s="66"/>
      <c r="D3" s="66"/>
      <c r="E3" s="66"/>
      <c r="F3" s="66"/>
      <c r="G3" s="66"/>
      <c r="H3" s="66"/>
      <c r="I3" s="66"/>
      <c r="J3" s="66"/>
      <c r="K3" s="66"/>
    </row>
    <row r="4" spans="1:11" ht="3" customHeight="1" x14ac:dyDescent="0.35">
      <c r="A4" s="67"/>
      <c r="B4" s="67"/>
      <c r="C4" s="67"/>
      <c r="D4" s="67"/>
      <c r="E4" s="67"/>
      <c r="F4" s="67"/>
      <c r="G4" s="67"/>
      <c r="H4" s="67"/>
      <c r="I4" s="67"/>
      <c r="J4" s="67"/>
      <c r="K4" s="67"/>
    </row>
    <row r="5" spans="1:11" x14ac:dyDescent="0.35">
      <c r="A5" s="68"/>
      <c r="B5" s="68"/>
      <c r="C5" s="68"/>
      <c r="D5" s="68"/>
      <c r="E5" s="68"/>
      <c r="F5" s="68"/>
      <c r="G5" s="68"/>
      <c r="H5" s="68"/>
      <c r="I5" s="68"/>
      <c r="J5" s="68"/>
      <c r="K5" s="68"/>
    </row>
    <row r="6" spans="1:11" ht="15" thickBot="1" x14ac:dyDescent="0.4">
      <c r="A6" s="68"/>
      <c r="B6" s="69" t="s">
        <v>319</v>
      </c>
      <c r="C6" s="70"/>
      <c r="D6" s="70"/>
      <c r="E6" s="70"/>
      <c r="F6" s="70"/>
      <c r="G6" s="70"/>
      <c r="H6" s="70"/>
      <c r="I6" s="70"/>
      <c r="J6" s="70"/>
      <c r="K6" s="68"/>
    </row>
    <row r="7" spans="1:11" ht="14.4" customHeight="1" x14ac:dyDescent="0.35">
      <c r="A7" s="68"/>
      <c r="B7" s="68"/>
      <c r="C7" s="68"/>
      <c r="D7" s="68"/>
      <c r="E7" s="68"/>
      <c r="F7" s="68"/>
      <c r="G7" s="68"/>
      <c r="H7" s="68"/>
      <c r="I7" s="68"/>
      <c r="J7" s="68"/>
      <c r="K7" s="68"/>
    </row>
    <row r="9" spans="1:11" x14ac:dyDescent="0.35">
      <c r="B9" s="105" t="s">
        <v>342</v>
      </c>
      <c r="C9" s="105" t="s">
        <v>343</v>
      </c>
      <c r="D9" s="105" t="s">
        <v>328</v>
      </c>
      <c r="E9" s="105" t="s">
        <v>344</v>
      </c>
      <c r="F9" s="105" t="s">
        <v>326</v>
      </c>
      <c r="G9" s="105" t="s">
        <v>327</v>
      </c>
      <c r="H9" s="105" t="s">
        <v>329</v>
      </c>
      <c r="I9" s="105" t="s">
        <v>330</v>
      </c>
      <c r="J9" s="105" t="s">
        <v>338</v>
      </c>
    </row>
    <row r="10" spans="1:11" x14ac:dyDescent="0.35">
      <c r="B10" t="s">
        <v>341</v>
      </c>
      <c r="C10" t="s">
        <v>363</v>
      </c>
      <c r="D10" t="s">
        <v>364</v>
      </c>
      <c r="E10" t="s">
        <v>365</v>
      </c>
      <c r="F10" t="s">
        <v>37</v>
      </c>
      <c r="G10" t="s">
        <v>38</v>
      </c>
      <c r="H10">
        <v>8</v>
      </c>
      <c r="I10">
        <v>0</v>
      </c>
    </row>
    <row r="11" spans="1:11" x14ac:dyDescent="0.35">
      <c r="B11" t="s">
        <v>341</v>
      </c>
      <c r="C11" t="s">
        <v>366</v>
      </c>
      <c r="D11" t="s">
        <v>364</v>
      </c>
      <c r="E11" t="s">
        <v>365</v>
      </c>
      <c r="F11" t="s">
        <v>37</v>
      </c>
      <c r="G11" t="s">
        <v>40</v>
      </c>
      <c r="H11">
        <v>8</v>
      </c>
      <c r="I11">
        <v>0</v>
      </c>
    </row>
    <row r="12" spans="1:11" x14ac:dyDescent="0.35">
      <c r="B12" t="s">
        <v>341</v>
      </c>
      <c r="C12" t="s">
        <v>367</v>
      </c>
      <c r="D12" t="s">
        <v>364</v>
      </c>
      <c r="E12" t="s">
        <v>365</v>
      </c>
      <c r="F12" t="s">
        <v>37</v>
      </c>
      <c r="G12" t="s">
        <v>41</v>
      </c>
      <c r="H12">
        <v>8</v>
      </c>
      <c r="I12">
        <v>0</v>
      </c>
    </row>
    <row r="13" spans="1:11" x14ac:dyDescent="0.35">
      <c r="B13" t="s">
        <v>341</v>
      </c>
      <c r="C13" t="s">
        <v>368</v>
      </c>
      <c r="D13" t="s">
        <v>364</v>
      </c>
      <c r="E13" t="s">
        <v>365</v>
      </c>
      <c r="F13" t="s">
        <v>37</v>
      </c>
      <c r="G13" t="s">
        <v>42</v>
      </c>
      <c r="H13">
        <v>8</v>
      </c>
      <c r="I13">
        <v>0</v>
      </c>
    </row>
    <row r="14" spans="1:11" x14ac:dyDescent="0.35">
      <c r="B14" t="s">
        <v>341</v>
      </c>
      <c r="C14" t="s">
        <v>369</v>
      </c>
      <c r="D14" t="s">
        <v>364</v>
      </c>
      <c r="E14" t="s">
        <v>365</v>
      </c>
      <c r="F14" t="s">
        <v>37</v>
      </c>
      <c r="G14" t="s">
        <v>43</v>
      </c>
      <c r="H14">
        <v>8</v>
      </c>
      <c r="I14">
        <v>0</v>
      </c>
    </row>
    <row r="15" spans="1:11" x14ac:dyDescent="0.35">
      <c r="B15" t="s">
        <v>341</v>
      </c>
      <c r="C15" t="s">
        <v>370</v>
      </c>
      <c r="D15" t="s">
        <v>364</v>
      </c>
      <c r="E15" t="s">
        <v>365</v>
      </c>
      <c r="F15" t="s">
        <v>37</v>
      </c>
      <c r="G15" t="s">
        <v>44</v>
      </c>
      <c r="H15">
        <v>8</v>
      </c>
      <c r="I15">
        <v>0</v>
      </c>
    </row>
    <row r="16" spans="1:11" x14ac:dyDescent="0.35">
      <c r="B16" t="s">
        <v>341</v>
      </c>
      <c r="C16" t="s">
        <v>371</v>
      </c>
      <c r="D16" t="s">
        <v>364</v>
      </c>
      <c r="E16" t="s">
        <v>365</v>
      </c>
      <c r="F16" t="s">
        <v>37</v>
      </c>
      <c r="G16" t="s">
        <v>45</v>
      </c>
      <c r="H16">
        <v>8</v>
      </c>
      <c r="I16">
        <v>0</v>
      </c>
    </row>
    <row r="17" spans="2:10" x14ac:dyDescent="0.35">
      <c r="B17" t="s">
        <v>341</v>
      </c>
      <c r="C17" t="s">
        <v>372</v>
      </c>
      <c r="D17" t="s">
        <v>364</v>
      </c>
      <c r="E17" t="s">
        <v>365</v>
      </c>
      <c r="F17" t="s">
        <v>37</v>
      </c>
      <c r="G17" t="s">
        <v>373</v>
      </c>
      <c r="H17">
        <v>8</v>
      </c>
      <c r="I17">
        <v>8</v>
      </c>
      <c r="J17" t="s">
        <v>455</v>
      </c>
    </row>
    <row r="18" spans="2:10" x14ac:dyDescent="0.35">
      <c r="B18" t="s">
        <v>341</v>
      </c>
      <c r="C18" t="s">
        <v>374</v>
      </c>
      <c r="D18" t="s">
        <v>364</v>
      </c>
      <c r="E18" t="s">
        <v>365</v>
      </c>
      <c r="F18" t="s">
        <v>37</v>
      </c>
      <c r="G18" t="s">
        <v>375</v>
      </c>
      <c r="H18">
        <v>8</v>
      </c>
      <c r="I18">
        <v>8</v>
      </c>
      <c r="J18" t="s">
        <v>455</v>
      </c>
    </row>
    <row r="19" spans="2:10" x14ac:dyDescent="0.35">
      <c r="B19" t="s">
        <v>341</v>
      </c>
      <c r="C19" t="s">
        <v>376</v>
      </c>
      <c r="D19" t="s">
        <v>364</v>
      </c>
      <c r="E19" t="s">
        <v>365</v>
      </c>
      <c r="F19" t="s">
        <v>37</v>
      </c>
      <c r="G19" t="s">
        <v>46</v>
      </c>
      <c r="H19">
        <v>8</v>
      </c>
      <c r="I19">
        <v>0</v>
      </c>
    </row>
    <row r="20" spans="2:10" x14ac:dyDescent="0.35">
      <c r="B20" t="s">
        <v>341</v>
      </c>
      <c r="C20" t="s">
        <v>377</v>
      </c>
      <c r="D20" t="s">
        <v>364</v>
      </c>
      <c r="E20" t="s">
        <v>365</v>
      </c>
      <c r="F20" t="s">
        <v>37</v>
      </c>
      <c r="G20" t="s">
        <v>47</v>
      </c>
      <c r="H20">
        <v>8</v>
      </c>
      <c r="I20">
        <v>0</v>
      </c>
    </row>
    <row r="21" spans="2:10" x14ac:dyDescent="0.35">
      <c r="B21" t="s">
        <v>341</v>
      </c>
      <c r="C21" t="s">
        <v>378</v>
      </c>
      <c r="D21" t="s">
        <v>364</v>
      </c>
      <c r="E21" t="s">
        <v>365</v>
      </c>
      <c r="F21" t="s">
        <v>37</v>
      </c>
      <c r="G21" t="s">
        <v>379</v>
      </c>
      <c r="H21">
        <v>8</v>
      </c>
      <c r="I21">
        <v>8</v>
      </c>
      <c r="J21" t="s">
        <v>455</v>
      </c>
    </row>
    <row r="22" spans="2:10" x14ac:dyDescent="0.35">
      <c r="B22" t="s">
        <v>341</v>
      </c>
      <c r="C22" t="s">
        <v>380</v>
      </c>
      <c r="D22" t="s">
        <v>364</v>
      </c>
      <c r="E22" t="s">
        <v>365</v>
      </c>
      <c r="F22" t="s">
        <v>37</v>
      </c>
      <c r="G22" t="s">
        <v>381</v>
      </c>
      <c r="H22">
        <v>8</v>
      </c>
      <c r="I22">
        <v>8</v>
      </c>
      <c r="J22" t="s">
        <v>455</v>
      </c>
    </row>
    <row r="23" spans="2:10" x14ac:dyDescent="0.35">
      <c r="B23" t="s">
        <v>341</v>
      </c>
      <c r="C23" t="s">
        <v>382</v>
      </c>
      <c r="D23" t="s">
        <v>364</v>
      </c>
      <c r="E23" t="s">
        <v>365</v>
      </c>
      <c r="F23" t="s">
        <v>37</v>
      </c>
      <c r="G23" t="s">
        <v>48</v>
      </c>
      <c r="H23">
        <v>8</v>
      </c>
      <c r="I23">
        <v>0</v>
      </c>
    </row>
    <row r="24" spans="2:10" x14ac:dyDescent="0.35">
      <c r="B24" t="s">
        <v>341</v>
      </c>
      <c r="C24" t="s">
        <v>383</v>
      </c>
      <c r="D24" t="s">
        <v>364</v>
      </c>
      <c r="E24" t="s">
        <v>365</v>
      </c>
      <c r="F24" t="s">
        <v>37</v>
      </c>
      <c r="G24" t="s">
        <v>49</v>
      </c>
      <c r="H24">
        <v>8</v>
      </c>
      <c r="I24">
        <v>0</v>
      </c>
    </row>
    <row r="25" spans="2:10" x14ac:dyDescent="0.35">
      <c r="B25" t="s">
        <v>341</v>
      </c>
      <c r="C25" t="s">
        <v>384</v>
      </c>
      <c r="D25" t="s">
        <v>364</v>
      </c>
      <c r="E25" t="s">
        <v>365</v>
      </c>
      <c r="F25" t="s">
        <v>37</v>
      </c>
      <c r="G25" t="s">
        <v>50</v>
      </c>
      <c r="H25">
        <v>8</v>
      </c>
      <c r="I25">
        <v>0</v>
      </c>
    </row>
    <row r="26" spans="2:10" x14ac:dyDescent="0.35">
      <c r="B26" t="s">
        <v>341</v>
      </c>
      <c r="C26" t="s">
        <v>385</v>
      </c>
      <c r="D26" t="s">
        <v>364</v>
      </c>
      <c r="E26" t="s">
        <v>365</v>
      </c>
      <c r="F26" t="s">
        <v>37</v>
      </c>
      <c r="G26" t="s">
        <v>51</v>
      </c>
      <c r="H26">
        <v>8</v>
      </c>
      <c r="I26">
        <v>0</v>
      </c>
    </row>
    <row r="27" spans="2:10" x14ac:dyDescent="0.35">
      <c r="B27" t="s">
        <v>341</v>
      </c>
      <c r="C27" t="s">
        <v>386</v>
      </c>
      <c r="D27" t="s">
        <v>364</v>
      </c>
      <c r="E27" t="s">
        <v>365</v>
      </c>
      <c r="F27" t="s">
        <v>37</v>
      </c>
      <c r="G27" t="s">
        <v>52</v>
      </c>
      <c r="H27">
        <v>8</v>
      </c>
      <c r="I27">
        <v>0</v>
      </c>
    </row>
    <row r="28" spans="2:10" x14ac:dyDescent="0.35">
      <c r="B28" t="s">
        <v>341</v>
      </c>
      <c r="C28" t="s">
        <v>387</v>
      </c>
      <c r="D28" t="s">
        <v>364</v>
      </c>
      <c r="E28" t="s">
        <v>365</v>
      </c>
      <c r="F28" t="s">
        <v>37</v>
      </c>
      <c r="G28" t="s">
        <v>53</v>
      </c>
      <c r="H28">
        <v>8</v>
      </c>
      <c r="I28">
        <v>0</v>
      </c>
    </row>
    <row r="29" spans="2:10" x14ac:dyDescent="0.35">
      <c r="B29" t="s">
        <v>341</v>
      </c>
      <c r="C29" t="s">
        <v>388</v>
      </c>
      <c r="D29" t="s">
        <v>364</v>
      </c>
      <c r="E29" t="s">
        <v>365</v>
      </c>
      <c r="F29" t="s">
        <v>37</v>
      </c>
      <c r="G29" t="s">
        <v>54</v>
      </c>
      <c r="H29">
        <v>8</v>
      </c>
      <c r="I29">
        <v>0</v>
      </c>
    </row>
    <row r="30" spans="2:10" x14ac:dyDescent="0.35">
      <c r="B30" t="s">
        <v>341</v>
      </c>
      <c r="C30" t="s">
        <v>389</v>
      </c>
      <c r="D30" t="s">
        <v>364</v>
      </c>
      <c r="E30" t="s">
        <v>365</v>
      </c>
      <c r="F30" t="s">
        <v>37</v>
      </c>
      <c r="G30" t="s">
        <v>55</v>
      </c>
      <c r="H30">
        <v>8</v>
      </c>
      <c r="I30">
        <v>0</v>
      </c>
    </row>
    <row r="31" spans="2:10" x14ac:dyDescent="0.35">
      <c r="B31" t="s">
        <v>341</v>
      </c>
      <c r="C31" t="s">
        <v>390</v>
      </c>
      <c r="D31" t="s">
        <v>364</v>
      </c>
      <c r="E31" t="s">
        <v>365</v>
      </c>
      <c r="F31" t="s">
        <v>37</v>
      </c>
      <c r="G31" t="s">
        <v>56</v>
      </c>
      <c r="H31">
        <v>8</v>
      </c>
      <c r="I31">
        <v>0</v>
      </c>
    </row>
    <row r="32" spans="2:10" x14ac:dyDescent="0.35">
      <c r="B32" t="s">
        <v>341</v>
      </c>
      <c r="C32" t="s">
        <v>391</v>
      </c>
      <c r="D32" t="s">
        <v>364</v>
      </c>
      <c r="E32" t="s">
        <v>365</v>
      </c>
      <c r="F32" t="s">
        <v>37</v>
      </c>
      <c r="G32" t="s">
        <v>57</v>
      </c>
      <c r="H32">
        <v>8</v>
      </c>
      <c r="I32">
        <v>0</v>
      </c>
    </row>
    <row r="33" spans="2:9" x14ac:dyDescent="0.35">
      <c r="B33" t="s">
        <v>341</v>
      </c>
      <c r="C33" t="s">
        <v>392</v>
      </c>
      <c r="D33" t="s">
        <v>364</v>
      </c>
      <c r="E33" t="s">
        <v>365</v>
      </c>
      <c r="F33" t="s">
        <v>37</v>
      </c>
      <c r="G33" t="s">
        <v>58</v>
      </c>
      <c r="H33">
        <v>8</v>
      </c>
      <c r="I33">
        <v>0</v>
      </c>
    </row>
    <row r="34" spans="2:9" x14ac:dyDescent="0.35">
      <c r="B34" t="s">
        <v>341</v>
      </c>
      <c r="C34" t="s">
        <v>393</v>
      </c>
      <c r="D34" t="s">
        <v>364</v>
      </c>
      <c r="E34" t="s">
        <v>365</v>
      </c>
      <c r="F34" t="s">
        <v>37</v>
      </c>
      <c r="G34" t="s">
        <v>59</v>
      </c>
      <c r="H34">
        <v>8</v>
      </c>
      <c r="I34">
        <v>0</v>
      </c>
    </row>
    <row r="35" spans="2:9" x14ac:dyDescent="0.35">
      <c r="B35" t="s">
        <v>341</v>
      </c>
      <c r="C35" t="s">
        <v>394</v>
      </c>
      <c r="D35" t="s">
        <v>364</v>
      </c>
      <c r="E35" t="s">
        <v>365</v>
      </c>
      <c r="F35" t="s">
        <v>37</v>
      </c>
      <c r="G35" t="s">
        <v>60</v>
      </c>
      <c r="H35">
        <v>8</v>
      </c>
      <c r="I35">
        <v>0</v>
      </c>
    </row>
    <row r="36" spans="2:9" x14ac:dyDescent="0.35">
      <c r="B36" t="s">
        <v>341</v>
      </c>
      <c r="C36" t="s">
        <v>395</v>
      </c>
      <c r="D36" t="s">
        <v>364</v>
      </c>
      <c r="E36" t="s">
        <v>365</v>
      </c>
      <c r="F36" t="s">
        <v>37</v>
      </c>
      <c r="G36" t="s">
        <v>61</v>
      </c>
      <c r="H36">
        <v>8</v>
      </c>
      <c r="I36">
        <v>0</v>
      </c>
    </row>
    <row r="37" spans="2:9" x14ac:dyDescent="0.35">
      <c r="B37" t="s">
        <v>341</v>
      </c>
      <c r="C37" t="s">
        <v>396</v>
      </c>
      <c r="D37" t="s">
        <v>364</v>
      </c>
      <c r="E37" t="s">
        <v>365</v>
      </c>
      <c r="F37" t="s">
        <v>37</v>
      </c>
      <c r="G37" t="s">
        <v>62</v>
      </c>
      <c r="H37">
        <v>8</v>
      </c>
      <c r="I37">
        <v>0</v>
      </c>
    </row>
    <row r="38" spans="2:9" x14ac:dyDescent="0.35">
      <c r="B38" t="s">
        <v>341</v>
      </c>
      <c r="C38" t="s">
        <v>397</v>
      </c>
      <c r="D38" t="s">
        <v>364</v>
      </c>
      <c r="E38" t="s">
        <v>365</v>
      </c>
      <c r="F38" t="s">
        <v>37</v>
      </c>
      <c r="G38" t="s">
        <v>63</v>
      </c>
      <c r="H38">
        <v>8</v>
      </c>
      <c r="I38">
        <v>0</v>
      </c>
    </row>
    <row r="39" spans="2:9" x14ac:dyDescent="0.35">
      <c r="B39" t="s">
        <v>341</v>
      </c>
      <c r="C39" t="s">
        <v>398</v>
      </c>
      <c r="D39" t="s">
        <v>364</v>
      </c>
      <c r="E39" t="s">
        <v>365</v>
      </c>
      <c r="F39" t="s">
        <v>37</v>
      </c>
      <c r="G39" t="s">
        <v>64</v>
      </c>
      <c r="H39">
        <v>8</v>
      </c>
      <c r="I39">
        <v>0</v>
      </c>
    </row>
    <row r="40" spans="2:9" x14ac:dyDescent="0.35">
      <c r="B40" t="s">
        <v>341</v>
      </c>
      <c r="C40" t="s">
        <v>399</v>
      </c>
      <c r="D40" t="s">
        <v>364</v>
      </c>
      <c r="E40" t="s">
        <v>365</v>
      </c>
      <c r="F40" t="s">
        <v>37</v>
      </c>
      <c r="G40" t="s">
        <v>65</v>
      </c>
      <c r="H40">
        <v>8</v>
      </c>
      <c r="I40">
        <v>0</v>
      </c>
    </row>
    <row r="41" spans="2:9" x14ac:dyDescent="0.35">
      <c r="B41" t="s">
        <v>341</v>
      </c>
      <c r="C41" t="s">
        <v>400</v>
      </c>
      <c r="D41" t="s">
        <v>364</v>
      </c>
      <c r="E41" t="s">
        <v>365</v>
      </c>
      <c r="F41" t="s">
        <v>37</v>
      </c>
      <c r="G41" t="s">
        <v>66</v>
      </c>
      <c r="H41">
        <v>8</v>
      </c>
      <c r="I41">
        <v>0</v>
      </c>
    </row>
    <row r="42" spans="2:9" x14ac:dyDescent="0.35">
      <c r="B42" t="s">
        <v>341</v>
      </c>
      <c r="C42" t="s">
        <v>401</v>
      </c>
      <c r="D42" t="s">
        <v>364</v>
      </c>
      <c r="E42" t="s">
        <v>365</v>
      </c>
      <c r="F42" t="s">
        <v>37</v>
      </c>
      <c r="G42" t="s">
        <v>67</v>
      </c>
      <c r="H42">
        <v>8</v>
      </c>
      <c r="I42">
        <v>0</v>
      </c>
    </row>
    <row r="43" spans="2:9" x14ac:dyDescent="0.35">
      <c r="B43" t="s">
        <v>341</v>
      </c>
      <c r="C43" t="s">
        <v>402</v>
      </c>
      <c r="D43" t="s">
        <v>364</v>
      </c>
      <c r="E43" t="s">
        <v>365</v>
      </c>
      <c r="F43" t="s">
        <v>37</v>
      </c>
      <c r="G43" t="s">
        <v>403</v>
      </c>
      <c r="H43">
        <v>8</v>
      </c>
      <c r="I43">
        <v>0</v>
      </c>
    </row>
    <row r="44" spans="2:9" x14ac:dyDescent="0.35">
      <c r="B44" t="s">
        <v>341</v>
      </c>
      <c r="C44" t="s">
        <v>404</v>
      </c>
      <c r="D44" t="s">
        <v>364</v>
      </c>
      <c r="E44" t="s">
        <v>365</v>
      </c>
      <c r="F44" t="s">
        <v>37</v>
      </c>
      <c r="G44" t="s">
        <v>69</v>
      </c>
      <c r="H44">
        <v>8</v>
      </c>
      <c r="I44">
        <v>0</v>
      </c>
    </row>
    <row r="45" spans="2:9" x14ac:dyDescent="0.35">
      <c r="B45" t="s">
        <v>341</v>
      </c>
      <c r="C45" t="s">
        <v>405</v>
      </c>
      <c r="D45" t="s">
        <v>364</v>
      </c>
      <c r="E45" t="s">
        <v>365</v>
      </c>
      <c r="F45" t="s">
        <v>37</v>
      </c>
      <c r="G45" t="s">
        <v>70</v>
      </c>
      <c r="H45">
        <v>8</v>
      </c>
      <c r="I45">
        <v>0</v>
      </c>
    </row>
    <row r="46" spans="2:9" x14ac:dyDescent="0.35">
      <c r="B46" t="s">
        <v>341</v>
      </c>
      <c r="C46" t="s">
        <v>406</v>
      </c>
      <c r="D46" t="s">
        <v>364</v>
      </c>
      <c r="E46" t="s">
        <v>365</v>
      </c>
      <c r="F46" t="s">
        <v>37</v>
      </c>
      <c r="G46" t="s">
        <v>71</v>
      </c>
      <c r="H46">
        <v>8</v>
      </c>
      <c r="I46">
        <v>0</v>
      </c>
    </row>
    <row r="47" spans="2:9" x14ac:dyDescent="0.35">
      <c r="B47" t="s">
        <v>341</v>
      </c>
      <c r="C47" t="s">
        <v>407</v>
      </c>
      <c r="D47" t="s">
        <v>364</v>
      </c>
      <c r="E47" t="s">
        <v>365</v>
      </c>
      <c r="F47" t="s">
        <v>37</v>
      </c>
      <c r="G47" t="s">
        <v>72</v>
      </c>
      <c r="H47">
        <v>8</v>
      </c>
      <c r="I47">
        <v>0</v>
      </c>
    </row>
    <row r="48" spans="2:9" x14ac:dyDescent="0.35">
      <c r="B48" t="s">
        <v>341</v>
      </c>
      <c r="C48" t="s">
        <v>408</v>
      </c>
      <c r="D48" t="s">
        <v>364</v>
      </c>
      <c r="E48" t="s">
        <v>365</v>
      </c>
      <c r="F48" t="s">
        <v>37</v>
      </c>
      <c r="G48" t="s">
        <v>73</v>
      </c>
      <c r="H48">
        <v>8</v>
      </c>
      <c r="I48">
        <v>0</v>
      </c>
    </row>
    <row r="49" spans="2:10" x14ac:dyDescent="0.35">
      <c r="B49" t="s">
        <v>341</v>
      </c>
      <c r="C49" t="s">
        <v>409</v>
      </c>
      <c r="D49" t="s">
        <v>364</v>
      </c>
      <c r="E49" t="s">
        <v>365</v>
      </c>
      <c r="F49" t="s">
        <v>37</v>
      </c>
      <c r="G49" t="s">
        <v>410</v>
      </c>
      <c r="H49">
        <v>8</v>
      </c>
      <c r="I49">
        <v>0</v>
      </c>
    </row>
    <row r="50" spans="2:10" x14ac:dyDescent="0.35">
      <c r="B50" t="s">
        <v>341</v>
      </c>
      <c r="C50" t="s">
        <v>411</v>
      </c>
      <c r="D50" t="s">
        <v>364</v>
      </c>
      <c r="E50" t="s">
        <v>365</v>
      </c>
      <c r="F50" t="s">
        <v>37</v>
      </c>
      <c r="G50" t="s">
        <v>74</v>
      </c>
      <c r="H50">
        <v>8</v>
      </c>
      <c r="I50">
        <v>0</v>
      </c>
    </row>
    <row r="51" spans="2:10" x14ac:dyDescent="0.35">
      <c r="B51" t="s">
        <v>341</v>
      </c>
      <c r="C51" t="s">
        <v>412</v>
      </c>
      <c r="D51" t="s">
        <v>364</v>
      </c>
      <c r="E51" t="s">
        <v>365</v>
      </c>
      <c r="F51" t="s">
        <v>37</v>
      </c>
      <c r="G51" t="s">
        <v>75</v>
      </c>
      <c r="H51">
        <v>8</v>
      </c>
      <c r="I51">
        <v>0</v>
      </c>
    </row>
    <row r="52" spans="2:10" x14ac:dyDescent="0.35">
      <c r="B52" t="s">
        <v>341</v>
      </c>
      <c r="C52" t="s">
        <v>413</v>
      </c>
      <c r="D52" t="s">
        <v>364</v>
      </c>
      <c r="E52" t="s">
        <v>365</v>
      </c>
      <c r="F52" t="s">
        <v>37</v>
      </c>
      <c r="G52" t="s">
        <v>414</v>
      </c>
      <c r="H52">
        <v>8</v>
      </c>
      <c r="I52">
        <v>8</v>
      </c>
      <c r="J52" t="s">
        <v>455</v>
      </c>
    </row>
    <row r="53" spans="2:10" x14ac:dyDescent="0.35">
      <c r="B53" t="s">
        <v>341</v>
      </c>
      <c r="C53" t="s">
        <v>415</v>
      </c>
      <c r="D53" t="s">
        <v>364</v>
      </c>
      <c r="E53" t="s">
        <v>365</v>
      </c>
      <c r="F53" t="s">
        <v>37</v>
      </c>
      <c r="G53" t="s">
        <v>416</v>
      </c>
      <c r="H53">
        <v>8</v>
      </c>
      <c r="I53">
        <v>8</v>
      </c>
      <c r="J53" t="s">
        <v>455</v>
      </c>
    </row>
    <row r="54" spans="2:10" x14ac:dyDescent="0.35">
      <c r="B54" t="s">
        <v>341</v>
      </c>
      <c r="C54" t="s">
        <v>417</v>
      </c>
      <c r="D54" t="s">
        <v>364</v>
      </c>
      <c r="E54" t="s">
        <v>365</v>
      </c>
      <c r="F54" t="s">
        <v>37</v>
      </c>
      <c r="G54" t="s">
        <v>418</v>
      </c>
      <c r="H54">
        <v>8</v>
      </c>
      <c r="I54">
        <v>8</v>
      </c>
      <c r="J54" t="s">
        <v>455</v>
      </c>
    </row>
    <row r="55" spans="2:10" x14ac:dyDescent="0.35">
      <c r="B55" t="s">
        <v>341</v>
      </c>
      <c r="C55" t="s">
        <v>419</v>
      </c>
      <c r="D55" t="s">
        <v>364</v>
      </c>
      <c r="E55" t="s">
        <v>365</v>
      </c>
      <c r="F55" t="s">
        <v>37</v>
      </c>
      <c r="G55" t="s">
        <v>76</v>
      </c>
      <c r="H55">
        <v>8</v>
      </c>
      <c r="I55">
        <v>0</v>
      </c>
    </row>
    <row r="56" spans="2:10" x14ac:dyDescent="0.35">
      <c r="B56" t="s">
        <v>341</v>
      </c>
      <c r="C56" t="s">
        <v>420</v>
      </c>
      <c r="D56" t="s">
        <v>364</v>
      </c>
      <c r="E56" t="s">
        <v>365</v>
      </c>
      <c r="F56" t="s">
        <v>37</v>
      </c>
      <c r="G56" t="s">
        <v>77</v>
      </c>
      <c r="H56">
        <v>8</v>
      </c>
      <c r="I56">
        <v>0</v>
      </c>
    </row>
    <row r="57" spans="2:10" x14ac:dyDescent="0.35">
      <c r="B57" t="s">
        <v>341</v>
      </c>
      <c r="C57" t="s">
        <v>421</v>
      </c>
      <c r="D57" t="s">
        <v>364</v>
      </c>
      <c r="E57" t="s">
        <v>365</v>
      </c>
      <c r="F57" t="s">
        <v>37</v>
      </c>
      <c r="G57" t="s">
        <v>78</v>
      </c>
      <c r="H57">
        <v>8</v>
      </c>
      <c r="I57">
        <v>0</v>
      </c>
    </row>
    <row r="58" spans="2:10" x14ac:dyDescent="0.35">
      <c r="B58" t="s">
        <v>341</v>
      </c>
      <c r="C58" t="s">
        <v>422</v>
      </c>
      <c r="D58" t="s">
        <v>364</v>
      </c>
      <c r="E58" t="s">
        <v>365</v>
      </c>
      <c r="F58" t="s">
        <v>37</v>
      </c>
      <c r="G58" t="s">
        <v>79</v>
      </c>
      <c r="H58">
        <v>8</v>
      </c>
      <c r="I58">
        <v>0</v>
      </c>
    </row>
    <row r="59" spans="2:10" x14ac:dyDescent="0.35">
      <c r="B59" t="s">
        <v>341</v>
      </c>
      <c r="C59" t="s">
        <v>423</v>
      </c>
      <c r="D59" t="s">
        <v>364</v>
      </c>
      <c r="E59" t="s">
        <v>365</v>
      </c>
      <c r="F59" t="s">
        <v>37</v>
      </c>
      <c r="G59" t="s">
        <v>80</v>
      </c>
      <c r="H59">
        <v>8</v>
      </c>
      <c r="I59">
        <v>0</v>
      </c>
    </row>
    <row r="60" spans="2:10" x14ac:dyDescent="0.35">
      <c r="B60" t="s">
        <v>341</v>
      </c>
      <c r="C60" t="s">
        <v>424</v>
      </c>
      <c r="D60" t="s">
        <v>364</v>
      </c>
      <c r="E60" t="s">
        <v>365</v>
      </c>
      <c r="F60" t="s">
        <v>37</v>
      </c>
      <c r="G60" t="s">
        <v>81</v>
      </c>
      <c r="H60">
        <v>8</v>
      </c>
      <c r="I60">
        <v>0</v>
      </c>
    </row>
    <row r="61" spans="2:10" x14ac:dyDescent="0.35">
      <c r="B61" t="s">
        <v>341</v>
      </c>
      <c r="C61" t="s">
        <v>425</v>
      </c>
      <c r="D61" t="s">
        <v>364</v>
      </c>
      <c r="E61" t="s">
        <v>365</v>
      </c>
      <c r="F61" t="s">
        <v>37</v>
      </c>
      <c r="G61" t="s">
        <v>82</v>
      </c>
      <c r="H61">
        <v>8</v>
      </c>
      <c r="I61">
        <v>0</v>
      </c>
    </row>
    <row r="62" spans="2:10" x14ac:dyDescent="0.35">
      <c r="B62" t="s">
        <v>341</v>
      </c>
      <c r="C62" t="s">
        <v>426</v>
      </c>
      <c r="D62" t="s">
        <v>364</v>
      </c>
      <c r="E62" t="s">
        <v>365</v>
      </c>
      <c r="F62" t="s">
        <v>37</v>
      </c>
      <c r="G62" t="s">
        <v>83</v>
      </c>
      <c r="H62">
        <v>8</v>
      </c>
      <c r="I62">
        <v>0</v>
      </c>
    </row>
    <row r="63" spans="2:10" x14ac:dyDescent="0.35">
      <c r="B63" t="s">
        <v>341</v>
      </c>
      <c r="C63" t="s">
        <v>427</v>
      </c>
      <c r="D63" t="s">
        <v>364</v>
      </c>
      <c r="E63" t="s">
        <v>365</v>
      </c>
      <c r="F63" t="s">
        <v>37</v>
      </c>
      <c r="G63" t="s">
        <v>84</v>
      </c>
      <c r="H63">
        <v>8</v>
      </c>
      <c r="I63">
        <v>0</v>
      </c>
    </row>
    <row r="64" spans="2:10" x14ac:dyDescent="0.35">
      <c r="B64" t="s">
        <v>341</v>
      </c>
      <c r="C64" t="s">
        <v>428</v>
      </c>
      <c r="D64" t="s">
        <v>364</v>
      </c>
      <c r="E64" t="s">
        <v>365</v>
      </c>
      <c r="F64" t="s">
        <v>37</v>
      </c>
      <c r="G64" t="s">
        <v>85</v>
      </c>
      <c r="H64">
        <v>8</v>
      </c>
      <c r="I64">
        <v>0</v>
      </c>
    </row>
    <row r="65" spans="2:9" x14ac:dyDescent="0.35">
      <c r="B65" t="s">
        <v>341</v>
      </c>
      <c r="C65" t="s">
        <v>429</v>
      </c>
      <c r="D65" t="s">
        <v>364</v>
      </c>
      <c r="E65" t="s">
        <v>365</v>
      </c>
      <c r="F65" t="s">
        <v>37</v>
      </c>
      <c r="G65" t="s">
        <v>86</v>
      </c>
      <c r="H65">
        <v>8</v>
      </c>
      <c r="I65">
        <v>0</v>
      </c>
    </row>
    <row r="66" spans="2:9" x14ac:dyDescent="0.35">
      <c r="B66" t="s">
        <v>341</v>
      </c>
      <c r="C66" t="s">
        <v>430</v>
      </c>
      <c r="D66" t="s">
        <v>364</v>
      </c>
      <c r="E66" t="s">
        <v>365</v>
      </c>
      <c r="F66" t="s">
        <v>37</v>
      </c>
      <c r="G66" t="s">
        <v>87</v>
      </c>
      <c r="H66">
        <v>8</v>
      </c>
      <c r="I66">
        <v>0</v>
      </c>
    </row>
    <row r="67" spans="2:9" x14ac:dyDescent="0.35">
      <c r="B67" t="s">
        <v>341</v>
      </c>
      <c r="C67" t="s">
        <v>431</v>
      </c>
      <c r="D67" t="s">
        <v>364</v>
      </c>
      <c r="E67" t="s">
        <v>365</v>
      </c>
      <c r="F67" t="s">
        <v>37</v>
      </c>
      <c r="G67" t="s">
        <v>88</v>
      </c>
      <c r="H67">
        <v>8</v>
      </c>
      <c r="I67">
        <v>0</v>
      </c>
    </row>
    <row r="68" spans="2:9" x14ac:dyDescent="0.35">
      <c r="B68" t="s">
        <v>341</v>
      </c>
      <c r="C68" t="s">
        <v>432</v>
      </c>
      <c r="D68" t="s">
        <v>364</v>
      </c>
      <c r="E68" t="s">
        <v>365</v>
      </c>
      <c r="F68" t="s">
        <v>37</v>
      </c>
      <c r="G68" t="s">
        <v>89</v>
      </c>
      <c r="H68">
        <v>8</v>
      </c>
      <c r="I68">
        <v>0</v>
      </c>
    </row>
    <row r="69" spans="2:9" x14ac:dyDescent="0.35">
      <c r="B69" t="s">
        <v>341</v>
      </c>
      <c r="C69" t="s">
        <v>433</v>
      </c>
      <c r="D69" t="s">
        <v>364</v>
      </c>
      <c r="E69" t="s">
        <v>365</v>
      </c>
      <c r="F69" t="s">
        <v>37</v>
      </c>
      <c r="G69" t="s">
        <v>90</v>
      </c>
      <c r="H69">
        <v>8</v>
      </c>
      <c r="I69">
        <v>0</v>
      </c>
    </row>
    <row r="70" spans="2:9" x14ac:dyDescent="0.35">
      <c r="B70" t="s">
        <v>341</v>
      </c>
      <c r="C70" t="s">
        <v>434</v>
      </c>
      <c r="D70" t="s">
        <v>364</v>
      </c>
      <c r="E70" t="s">
        <v>365</v>
      </c>
      <c r="F70" t="s">
        <v>37</v>
      </c>
      <c r="G70" t="s">
        <v>91</v>
      </c>
      <c r="H70">
        <v>8</v>
      </c>
      <c r="I70">
        <v>0</v>
      </c>
    </row>
    <row r="71" spans="2:9" x14ac:dyDescent="0.35">
      <c r="B71" t="s">
        <v>341</v>
      </c>
      <c r="C71" t="s">
        <v>435</v>
      </c>
      <c r="D71" t="s">
        <v>364</v>
      </c>
      <c r="E71" t="s">
        <v>365</v>
      </c>
      <c r="F71" t="s">
        <v>37</v>
      </c>
      <c r="G71" t="s">
        <v>92</v>
      </c>
      <c r="H71">
        <v>8</v>
      </c>
      <c r="I71">
        <v>0</v>
      </c>
    </row>
    <row r="72" spans="2:9" x14ac:dyDescent="0.35">
      <c r="B72" t="s">
        <v>341</v>
      </c>
      <c r="C72" t="s">
        <v>436</v>
      </c>
      <c r="D72" t="s">
        <v>364</v>
      </c>
      <c r="E72" t="s">
        <v>365</v>
      </c>
      <c r="F72" t="s">
        <v>37</v>
      </c>
      <c r="G72" t="s">
        <v>93</v>
      </c>
      <c r="H72">
        <v>8</v>
      </c>
      <c r="I72">
        <v>0</v>
      </c>
    </row>
    <row r="73" spans="2:9" x14ac:dyDescent="0.35">
      <c r="B73" t="s">
        <v>341</v>
      </c>
      <c r="C73" t="s">
        <v>437</v>
      </c>
      <c r="D73" t="s">
        <v>364</v>
      </c>
      <c r="E73" t="s">
        <v>365</v>
      </c>
      <c r="F73" t="s">
        <v>37</v>
      </c>
      <c r="G73" t="s">
        <v>94</v>
      </c>
      <c r="H73">
        <v>8</v>
      </c>
      <c r="I73">
        <v>0</v>
      </c>
    </row>
    <row r="74" spans="2:9" x14ac:dyDescent="0.35">
      <c r="B74" t="s">
        <v>341</v>
      </c>
      <c r="C74" t="s">
        <v>438</v>
      </c>
      <c r="D74" t="s">
        <v>364</v>
      </c>
      <c r="E74" t="s">
        <v>365</v>
      </c>
      <c r="F74" t="s">
        <v>37</v>
      </c>
      <c r="G74" t="s">
        <v>95</v>
      </c>
      <c r="H74">
        <v>8</v>
      </c>
      <c r="I74">
        <v>0</v>
      </c>
    </row>
    <row r="75" spans="2:9" x14ac:dyDescent="0.35">
      <c r="B75" t="s">
        <v>341</v>
      </c>
      <c r="C75" t="s">
        <v>439</v>
      </c>
      <c r="D75" t="s">
        <v>364</v>
      </c>
      <c r="E75" t="s">
        <v>365</v>
      </c>
      <c r="F75" t="s">
        <v>37</v>
      </c>
      <c r="G75" t="s">
        <v>96</v>
      </c>
      <c r="H75">
        <v>8</v>
      </c>
      <c r="I75">
        <v>0</v>
      </c>
    </row>
    <row r="76" spans="2:9" x14ac:dyDescent="0.35">
      <c r="B76" t="s">
        <v>341</v>
      </c>
      <c r="C76" t="s">
        <v>440</v>
      </c>
      <c r="D76" t="s">
        <v>364</v>
      </c>
      <c r="E76" t="s">
        <v>365</v>
      </c>
      <c r="F76" t="s">
        <v>37</v>
      </c>
      <c r="G76" t="s">
        <v>97</v>
      </c>
      <c r="H76">
        <v>8</v>
      </c>
      <c r="I76">
        <v>0</v>
      </c>
    </row>
    <row r="77" spans="2:9" x14ac:dyDescent="0.35">
      <c r="B77" t="s">
        <v>341</v>
      </c>
      <c r="C77" t="s">
        <v>441</v>
      </c>
      <c r="D77" t="s">
        <v>364</v>
      </c>
      <c r="E77" t="s">
        <v>365</v>
      </c>
      <c r="F77" t="s">
        <v>37</v>
      </c>
      <c r="G77" t="s">
        <v>98</v>
      </c>
      <c r="H77">
        <v>8</v>
      </c>
      <c r="I77">
        <v>0</v>
      </c>
    </row>
    <row r="78" spans="2:9" x14ac:dyDescent="0.35">
      <c r="B78" t="s">
        <v>341</v>
      </c>
      <c r="C78" t="s">
        <v>442</v>
      </c>
      <c r="D78" t="s">
        <v>364</v>
      </c>
      <c r="E78" t="s">
        <v>365</v>
      </c>
      <c r="F78" t="s">
        <v>37</v>
      </c>
      <c r="G78" t="s">
        <v>99</v>
      </c>
      <c r="H78">
        <v>8</v>
      </c>
      <c r="I78">
        <v>0</v>
      </c>
    </row>
    <row r="79" spans="2:9" x14ac:dyDescent="0.35">
      <c r="B79" t="s">
        <v>341</v>
      </c>
      <c r="C79" t="s">
        <v>443</v>
      </c>
      <c r="D79" t="s">
        <v>364</v>
      </c>
      <c r="E79" t="s">
        <v>365</v>
      </c>
      <c r="F79" t="s">
        <v>37</v>
      </c>
      <c r="G79" t="s">
        <v>100</v>
      </c>
      <c r="H79">
        <v>8</v>
      </c>
      <c r="I79">
        <v>0</v>
      </c>
    </row>
    <row r="80" spans="2:9" x14ac:dyDescent="0.35">
      <c r="B80" t="s">
        <v>341</v>
      </c>
      <c r="C80" t="s">
        <v>444</v>
      </c>
      <c r="D80" t="s">
        <v>364</v>
      </c>
      <c r="E80" t="s">
        <v>365</v>
      </c>
      <c r="F80" t="s">
        <v>37</v>
      </c>
      <c r="G80" t="s">
        <v>101</v>
      </c>
      <c r="H80">
        <v>8</v>
      </c>
      <c r="I80">
        <v>0</v>
      </c>
    </row>
    <row r="81" spans="2:9" x14ac:dyDescent="0.35">
      <c r="B81" t="s">
        <v>341</v>
      </c>
      <c r="C81" t="s">
        <v>445</v>
      </c>
      <c r="D81" t="s">
        <v>364</v>
      </c>
      <c r="E81" t="s">
        <v>365</v>
      </c>
      <c r="F81" t="s">
        <v>37</v>
      </c>
      <c r="G81" t="s">
        <v>102</v>
      </c>
      <c r="H81">
        <v>8</v>
      </c>
      <c r="I81">
        <v>0</v>
      </c>
    </row>
    <row r="82" spans="2:9" x14ac:dyDescent="0.35">
      <c r="B82" t="s">
        <v>341</v>
      </c>
      <c r="C82" t="s">
        <v>446</v>
      </c>
      <c r="D82" t="s">
        <v>364</v>
      </c>
      <c r="E82" t="s">
        <v>365</v>
      </c>
      <c r="F82" t="s">
        <v>37</v>
      </c>
      <c r="G82" t="s">
        <v>103</v>
      </c>
      <c r="H82">
        <v>8</v>
      </c>
      <c r="I82">
        <v>0</v>
      </c>
    </row>
    <row r="83" spans="2:9" x14ac:dyDescent="0.35">
      <c r="B83" t="s">
        <v>341</v>
      </c>
      <c r="C83" t="s">
        <v>447</v>
      </c>
      <c r="D83" t="s">
        <v>364</v>
      </c>
      <c r="E83" t="s">
        <v>365</v>
      </c>
      <c r="F83" t="s">
        <v>37</v>
      </c>
      <c r="G83" t="s">
        <v>104</v>
      </c>
      <c r="H83">
        <v>8</v>
      </c>
      <c r="I83">
        <v>0</v>
      </c>
    </row>
    <row r="84" spans="2:9" x14ac:dyDescent="0.35">
      <c r="B84" t="s">
        <v>341</v>
      </c>
      <c r="C84" t="s">
        <v>448</v>
      </c>
      <c r="D84" t="s">
        <v>364</v>
      </c>
      <c r="E84" t="s">
        <v>365</v>
      </c>
      <c r="F84" t="s">
        <v>37</v>
      </c>
      <c r="G84" t="s">
        <v>105</v>
      </c>
      <c r="H84">
        <v>8</v>
      </c>
      <c r="I84">
        <v>0</v>
      </c>
    </row>
    <row r="85" spans="2:9" x14ac:dyDescent="0.35">
      <c r="B85" t="s">
        <v>341</v>
      </c>
      <c r="C85" t="s">
        <v>449</v>
      </c>
      <c r="D85" t="s">
        <v>364</v>
      </c>
      <c r="E85" t="s">
        <v>365</v>
      </c>
      <c r="F85" t="s">
        <v>37</v>
      </c>
      <c r="G85" t="s">
        <v>106</v>
      </c>
      <c r="H85">
        <v>8</v>
      </c>
      <c r="I85">
        <v>0</v>
      </c>
    </row>
    <row r="86" spans="2:9" x14ac:dyDescent="0.35">
      <c r="B86" t="s">
        <v>341</v>
      </c>
      <c r="C86" t="s">
        <v>450</v>
      </c>
      <c r="D86" t="s">
        <v>364</v>
      </c>
      <c r="E86" t="s">
        <v>365</v>
      </c>
      <c r="F86" t="s">
        <v>37</v>
      </c>
      <c r="G86" t="s">
        <v>107</v>
      </c>
      <c r="H86">
        <v>8</v>
      </c>
      <c r="I86">
        <v>0</v>
      </c>
    </row>
    <row r="87" spans="2:9" x14ac:dyDescent="0.35">
      <c r="B87" t="s">
        <v>341</v>
      </c>
      <c r="C87" t="s">
        <v>451</v>
      </c>
      <c r="D87" t="s">
        <v>364</v>
      </c>
      <c r="E87" t="s">
        <v>365</v>
      </c>
      <c r="F87" t="s">
        <v>37</v>
      </c>
      <c r="G87" t="s">
        <v>108</v>
      </c>
      <c r="H87">
        <v>8</v>
      </c>
      <c r="I87">
        <v>0</v>
      </c>
    </row>
    <row r="88" spans="2:9" x14ac:dyDescent="0.35">
      <c r="B88" t="s">
        <v>341</v>
      </c>
      <c r="C88" t="s">
        <v>452</v>
      </c>
      <c r="D88" t="s">
        <v>364</v>
      </c>
      <c r="E88" t="s">
        <v>365</v>
      </c>
      <c r="F88" t="s">
        <v>37</v>
      </c>
      <c r="G88" t="s">
        <v>109</v>
      </c>
      <c r="H88">
        <v>8</v>
      </c>
      <c r="I88">
        <v>0</v>
      </c>
    </row>
    <row r="89" spans="2:9" x14ac:dyDescent="0.35">
      <c r="B89" t="s">
        <v>341</v>
      </c>
      <c r="C89" t="s">
        <v>453</v>
      </c>
      <c r="D89" t="s">
        <v>364</v>
      </c>
      <c r="E89" t="s">
        <v>365</v>
      </c>
      <c r="F89" t="s">
        <v>37</v>
      </c>
      <c r="G89" t="s">
        <v>110</v>
      </c>
      <c r="H89">
        <v>8</v>
      </c>
      <c r="I89">
        <v>0</v>
      </c>
    </row>
    <row r="90" spans="2:9" x14ac:dyDescent="0.35">
      <c r="B90" t="s">
        <v>341</v>
      </c>
      <c r="C90" t="s">
        <v>454</v>
      </c>
      <c r="D90" t="s">
        <v>364</v>
      </c>
      <c r="E90" t="s">
        <v>365</v>
      </c>
      <c r="F90" t="s">
        <v>37</v>
      </c>
      <c r="G90" t="s">
        <v>111</v>
      </c>
      <c r="H90">
        <v>8</v>
      </c>
      <c r="I90">
        <v>0</v>
      </c>
    </row>
    <row r="91" spans="2:9" x14ac:dyDescent="0.35">
      <c r="B91" t="s">
        <v>341</v>
      </c>
      <c r="C91" t="s">
        <v>456</v>
      </c>
      <c r="D91" t="s">
        <v>364</v>
      </c>
      <c r="E91" t="s">
        <v>365</v>
      </c>
      <c r="F91" t="s">
        <v>331</v>
      </c>
      <c r="G91" t="s">
        <v>38</v>
      </c>
      <c r="H91">
        <v>4730</v>
      </c>
      <c r="I91">
        <v>0</v>
      </c>
    </row>
    <row r="92" spans="2:9" x14ac:dyDescent="0.35">
      <c r="B92" t="s">
        <v>341</v>
      </c>
      <c r="C92" t="s">
        <v>457</v>
      </c>
      <c r="D92" t="s">
        <v>364</v>
      </c>
      <c r="E92" t="s">
        <v>365</v>
      </c>
      <c r="F92" t="s">
        <v>331</v>
      </c>
      <c r="G92" t="s">
        <v>332</v>
      </c>
      <c r="H92">
        <v>4730</v>
      </c>
      <c r="I92">
        <v>0</v>
      </c>
    </row>
    <row r="93" spans="2:9" x14ac:dyDescent="0.35">
      <c r="B93" t="s">
        <v>341</v>
      </c>
      <c r="C93" t="s">
        <v>458</v>
      </c>
      <c r="D93" t="s">
        <v>364</v>
      </c>
      <c r="E93" t="s">
        <v>365</v>
      </c>
      <c r="F93" t="s">
        <v>331</v>
      </c>
      <c r="G93" t="s">
        <v>459</v>
      </c>
      <c r="H93">
        <v>4730</v>
      </c>
      <c r="I93">
        <v>0</v>
      </c>
    </row>
    <row r="94" spans="2:9" x14ac:dyDescent="0.35">
      <c r="B94" t="s">
        <v>341</v>
      </c>
      <c r="C94" t="s">
        <v>460</v>
      </c>
      <c r="D94" t="s">
        <v>364</v>
      </c>
      <c r="E94" t="s">
        <v>365</v>
      </c>
      <c r="F94" t="s">
        <v>331</v>
      </c>
      <c r="G94" t="s">
        <v>461</v>
      </c>
      <c r="H94">
        <v>4730</v>
      </c>
      <c r="I94">
        <v>0</v>
      </c>
    </row>
    <row r="95" spans="2:9" x14ac:dyDescent="0.35">
      <c r="B95" t="s">
        <v>341</v>
      </c>
      <c r="C95" t="s">
        <v>462</v>
      </c>
      <c r="D95" t="s">
        <v>364</v>
      </c>
      <c r="E95" t="s">
        <v>365</v>
      </c>
      <c r="F95" t="s">
        <v>331</v>
      </c>
      <c r="G95" t="s">
        <v>463</v>
      </c>
      <c r="H95">
        <v>4730</v>
      </c>
      <c r="I95">
        <v>0</v>
      </c>
    </row>
    <row r="96" spans="2:9" x14ac:dyDescent="0.35">
      <c r="B96" t="s">
        <v>341</v>
      </c>
      <c r="C96" t="s">
        <v>464</v>
      </c>
      <c r="D96" t="s">
        <v>364</v>
      </c>
      <c r="E96" t="s">
        <v>365</v>
      </c>
      <c r="F96" t="s">
        <v>331</v>
      </c>
      <c r="G96" t="s">
        <v>465</v>
      </c>
      <c r="H96">
        <v>4730</v>
      </c>
      <c r="I96">
        <v>0</v>
      </c>
    </row>
    <row r="97" spans="2:10" x14ac:dyDescent="0.35">
      <c r="B97" t="s">
        <v>341</v>
      </c>
      <c r="C97" t="s">
        <v>466</v>
      </c>
      <c r="D97" t="s">
        <v>364</v>
      </c>
      <c r="E97" t="s">
        <v>365</v>
      </c>
      <c r="F97" t="s">
        <v>331</v>
      </c>
      <c r="G97" t="s">
        <v>467</v>
      </c>
      <c r="H97">
        <v>4730</v>
      </c>
      <c r="I97">
        <v>4730</v>
      </c>
      <c r="J97" t="s">
        <v>468</v>
      </c>
    </row>
    <row r="98" spans="2:10" x14ac:dyDescent="0.35">
      <c r="B98" t="s">
        <v>341</v>
      </c>
      <c r="C98" t="s">
        <v>469</v>
      </c>
      <c r="D98" t="s">
        <v>364</v>
      </c>
      <c r="E98" t="s">
        <v>365</v>
      </c>
      <c r="F98" t="s">
        <v>331</v>
      </c>
      <c r="G98" t="s">
        <v>470</v>
      </c>
      <c r="H98">
        <v>4730</v>
      </c>
      <c r="I98">
        <v>0</v>
      </c>
    </row>
    <row r="99" spans="2:10" x14ac:dyDescent="0.35">
      <c r="B99" t="s">
        <v>341</v>
      </c>
      <c r="C99" t="s">
        <v>471</v>
      </c>
      <c r="D99" t="s">
        <v>364</v>
      </c>
      <c r="E99" t="s">
        <v>365</v>
      </c>
      <c r="F99" t="s">
        <v>331</v>
      </c>
      <c r="G99" t="s">
        <v>472</v>
      </c>
      <c r="H99">
        <v>4730</v>
      </c>
      <c r="I99">
        <v>0</v>
      </c>
    </row>
    <row r="100" spans="2:10" x14ac:dyDescent="0.35">
      <c r="B100" t="s">
        <v>341</v>
      </c>
      <c r="C100" t="s">
        <v>473</v>
      </c>
      <c r="D100" t="s">
        <v>364</v>
      </c>
      <c r="E100" t="s">
        <v>365</v>
      </c>
      <c r="F100" t="s">
        <v>331</v>
      </c>
      <c r="G100" t="s">
        <v>474</v>
      </c>
      <c r="H100">
        <v>4730</v>
      </c>
      <c r="I100">
        <v>0</v>
      </c>
    </row>
    <row r="101" spans="2:10" x14ac:dyDescent="0.35">
      <c r="B101" t="s">
        <v>341</v>
      </c>
      <c r="C101" t="s">
        <v>475</v>
      </c>
      <c r="D101" t="s">
        <v>364</v>
      </c>
      <c r="E101" t="s">
        <v>365</v>
      </c>
      <c r="F101" t="s">
        <v>331</v>
      </c>
      <c r="G101" t="s">
        <v>476</v>
      </c>
      <c r="H101">
        <v>4730</v>
      </c>
      <c r="I101">
        <v>0</v>
      </c>
    </row>
    <row r="102" spans="2:10" x14ac:dyDescent="0.35">
      <c r="B102" t="s">
        <v>341</v>
      </c>
      <c r="C102" t="s">
        <v>477</v>
      </c>
      <c r="D102" t="s">
        <v>364</v>
      </c>
      <c r="E102" t="s">
        <v>365</v>
      </c>
      <c r="F102" t="s">
        <v>331</v>
      </c>
      <c r="G102" t="s">
        <v>478</v>
      </c>
      <c r="H102">
        <v>4730</v>
      </c>
      <c r="I102">
        <v>0</v>
      </c>
    </row>
    <row r="103" spans="2:10" x14ac:dyDescent="0.35">
      <c r="B103" t="s">
        <v>341</v>
      </c>
      <c r="C103" t="s">
        <v>479</v>
      </c>
      <c r="D103" t="s">
        <v>364</v>
      </c>
      <c r="E103" t="s">
        <v>365</v>
      </c>
      <c r="F103" t="s">
        <v>331</v>
      </c>
      <c r="G103" t="s">
        <v>480</v>
      </c>
      <c r="H103">
        <v>4730</v>
      </c>
      <c r="I103">
        <v>0</v>
      </c>
    </row>
    <row r="104" spans="2:10" x14ac:dyDescent="0.35">
      <c r="B104" t="s">
        <v>341</v>
      </c>
      <c r="C104" t="s">
        <v>481</v>
      </c>
      <c r="D104" t="s">
        <v>364</v>
      </c>
      <c r="E104" t="s">
        <v>365</v>
      </c>
      <c r="F104" t="s">
        <v>331</v>
      </c>
      <c r="G104" t="s">
        <v>482</v>
      </c>
      <c r="H104">
        <v>4730</v>
      </c>
      <c r="I104">
        <v>0</v>
      </c>
    </row>
    <row r="105" spans="2:10" x14ac:dyDescent="0.35">
      <c r="B105" t="s">
        <v>341</v>
      </c>
      <c r="C105" t="s">
        <v>483</v>
      </c>
      <c r="D105" t="s">
        <v>364</v>
      </c>
      <c r="E105" t="s">
        <v>365</v>
      </c>
      <c r="F105" t="s">
        <v>331</v>
      </c>
      <c r="G105" t="s">
        <v>484</v>
      </c>
      <c r="H105">
        <v>4730</v>
      </c>
      <c r="I105">
        <v>0</v>
      </c>
    </row>
    <row r="106" spans="2:10" x14ac:dyDescent="0.35">
      <c r="B106" t="s">
        <v>341</v>
      </c>
      <c r="C106" t="s">
        <v>485</v>
      </c>
      <c r="D106" t="s">
        <v>364</v>
      </c>
      <c r="E106" t="s">
        <v>365</v>
      </c>
      <c r="F106" t="s">
        <v>333</v>
      </c>
      <c r="G106" t="s">
        <v>38</v>
      </c>
      <c r="H106">
        <v>4740</v>
      </c>
      <c r="I106">
        <v>0</v>
      </c>
    </row>
    <row r="107" spans="2:10" x14ac:dyDescent="0.35">
      <c r="B107" t="s">
        <v>341</v>
      </c>
      <c r="C107" t="s">
        <v>486</v>
      </c>
      <c r="D107" t="s">
        <v>364</v>
      </c>
      <c r="E107" t="s">
        <v>365</v>
      </c>
      <c r="F107" t="s">
        <v>333</v>
      </c>
      <c r="G107" t="s">
        <v>487</v>
      </c>
      <c r="H107">
        <v>4740</v>
      </c>
      <c r="I107">
        <v>0</v>
      </c>
    </row>
    <row r="108" spans="2:10" x14ac:dyDescent="0.35">
      <c r="B108" t="s">
        <v>341</v>
      </c>
      <c r="C108" t="s">
        <v>488</v>
      </c>
      <c r="D108" t="s">
        <v>364</v>
      </c>
      <c r="E108" t="s">
        <v>365</v>
      </c>
      <c r="F108" t="s">
        <v>333</v>
      </c>
      <c r="G108" t="s">
        <v>334</v>
      </c>
      <c r="H108">
        <v>4740</v>
      </c>
      <c r="I108">
        <v>0</v>
      </c>
    </row>
    <row r="109" spans="2:10" x14ac:dyDescent="0.35">
      <c r="B109" t="s">
        <v>341</v>
      </c>
      <c r="C109" t="s">
        <v>489</v>
      </c>
      <c r="D109" t="s">
        <v>364</v>
      </c>
      <c r="E109" t="s">
        <v>365</v>
      </c>
      <c r="F109" t="s">
        <v>333</v>
      </c>
      <c r="G109" t="s">
        <v>490</v>
      </c>
      <c r="H109">
        <v>4740</v>
      </c>
      <c r="I109">
        <v>4740</v>
      </c>
      <c r="J109" t="s">
        <v>491</v>
      </c>
    </row>
    <row r="110" spans="2:10" x14ac:dyDescent="0.35">
      <c r="B110" t="s">
        <v>341</v>
      </c>
      <c r="C110" t="s">
        <v>492</v>
      </c>
      <c r="D110" t="s">
        <v>364</v>
      </c>
      <c r="E110" t="s">
        <v>365</v>
      </c>
      <c r="F110" t="s">
        <v>333</v>
      </c>
      <c r="G110" t="s">
        <v>493</v>
      </c>
      <c r="H110">
        <v>4740</v>
      </c>
      <c r="I110">
        <v>2</v>
      </c>
      <c r="J110" t="s">
        <v>494</v>
      </c>
    </row>
    <row r="111" spans="2:10" x14ac:dyDescent="0.35">
      <c r="B111" t="s">
        <v>341</v>
      </c>
      <c r="C111" t="s">
        <v>495</v>
      </c>
      <c r="D111" t="s">
        <v>364</v>
      </c>
      <c r="E111" t="s">
        <v>365</v>
      </c>
      <c r="F111" t="s">
        <v>333</v>
      </c>
      <c r="G111" t="s">
        <v>496</v>
      </c>
      <c r="H111">
        <v>4740</v>
      </c>
      <c r="I111">
        <v>0</v>
      </c>
    </row>
    <row r="112" spans="2:10" x14ac:dyDescent="0.35">
      <c r="B112" t="s">
        <v>341</v>
      </c>
      <c r="C112" t="s">
        <v>497</v>
      </c>
      <c r="D112" t="s">
        <v>364</v>
      </c>
      <c r="E112" t="s">
        <v>365</v>
      </c>
      <c r="F112" t="s">
        <v>333</v>
      </c>
      <c r="G112" t="s">
        <v>498</v>
      </c>
      <c r="H112">
        <v>4740</v>
      </c>
      <c r="I112">
        <v>0</v>
      </c>
    </row>
    <row r="113" spans="2:10" x14ac:dyDescent="0.35">
      <c r="B113" t="s">
        <v>341</v>
      </c>
      <c r="C113" t="s">
        <v>499</v>
      </c>
      <c r="D113" t="s">
        <v>364</v>
      </c>
      <c r="E113" t="s">
        <v>365</v>
      </c>
      <c r="F113" t="s">
        <v>333</v>
      </c>
      <c r="G113" t="s">
        <v>500</v>
      </c>
      <c r="H113">
        <v>4740</v>
      </c>
      <c r="I113">
        <v>0</v>
      </c>
    </row>
    <row r="114" spans="2:10" x14ac:dyDescent="0.35">
      <c r="B114" t="s">
        <v>341</v>
      </c>
      <c r="C114" t="s">
        <v>501</v>
      </c>
      <c r="D114" t="s">
        <v>364</v>
      </c>
      <c r="E114" t="s">
        <v>365</v>
      </c>
      <c r="F114" t="s">
        <v>333</v>
      </c>
      <c r="G114" t="s">
        <v>502</v>
      </c>
      <c r="H114">
        <v>4740</v>
      </c>
      <c r="I114">
        <v>0</v>
      </c>
    </row>
    <row r="115" spans="2:10" x14ac:dyDescent="0.35">
      <c r="B115" t="s">
        <v>341</v>
      </c>
      <c r="C115" t="s">
        <v>503</v>
      </c>
      <c r="D115" t="s">
        <v>364</v>
      </c>
      <c r="E115" t="s">
        <v>365</v>
      </c>
      <c r="F115" t="s">
        <v>333</v>
      </c>
      <c r="G115" t="s">
        <v>504</v>
      </c>
      <c r="H115">
        <v>4740</v>
      </c>
      <c r="I115">
        <v>0</v>
      </c>
    </row>
    <row r="116" spans="2:10" x14ac:dyDescent="0.35">
      <c r="B116" t="s">
        <v>341</v>
      </c>
      <c r="C116" t="s">
        <v>505</v>
      </c>
      <c r="D116" t="s">
        <v>364</v>
      </c>
      <c r="E116" t="s">
        <v>365</v>
      </c>
      <c r="F116" t="s">
        <v>333</v>
      </c>
      <c r="G116" t="s">
        <v>506</v>
      </c>
      <c r="H116">
        <v>4740</v>
      </c>
      <c r="I116">
        <v>4740</v>
      </c>
      <c r="J116" t="s">
        <v>491</v>
      </c>
    </row>
    <row r="117" spans="2:10" x14ac:dyDescent="0.35">
      <c r="B117" t="s">
        <v>341</v>
      </c>
      <c r="C117" t="s">
        <v>586</v>
      </c>
      <c r="D117" t="s">
        <v>364</v>
      </c>
      <c r="E117" t="s">
        <v>365</v>
      </c>
      <c r="F117" t="s">
        <v>587</v>
      </c>
      <c r="G117" t="s">
        <v>588</v>
      </c>
      <c r="H117">
        <v>14293</v>
      </c>
      <c r="I117">
        <v>69</v>
      </c>
      <c r="J117" t="s">
        <v>595</v>
      </c>
    </row>
    <row r="118" spans="2:10" x14ac:dyDescent="0.35">
      <c r="B118" t="s">
        <v>341</v>
      </c>
      <c r="C118" t="s">
        <v>589</v>
      </c>
      <c r="D118" t="s">
        <v>364</v>
      </c>
      <c r="E118" t="s">
        <v>365</v>
      </c>
      <c r="F118" t="s">
        <v>587</v>
      </c>
      <c r="G118" t="s">
        <v>590</v>
      </c>
      <c r="H118">
        <v>14293</v>
      </c>
      <c r="I118">
        <v>0</v>
      </c>
    </row>
    <row r="119" spans="2:10" x14ac:dyDescent="0.35">
      <c r="B119" t="s">
        <v>341</v>
      </c>
      <c r="C119" t="s">
        <v>591</v>
      </c>
      <c r="D119" t="s">
        <v>364</v>
      </c>
      <c r="E119" t="s">
        <v>365</v>
      </c>
      <c r="F119" t="s">
        <v>587</v>
      </c>
      <c r="G119" t="s">
        <v>592</v>
      </c>
      <c r="H119">
        <v>14293</v>
      </c>
      <c r="I119">
        <v>0</v>
      </c>
    </row>
    <row r="120" spans="2:10" x14ac:dyDescent="0.35">
      <c r="B120" t="s">
        <v>341</v>
      </c>
      <c r="C120" t="s">
        <v>593</v>
      </c>
      <c r="D120" t="s">
        <v>364</v>
      </c>
      <c r="E120" t="s">
        <v>365</v>
      </c>
      <c r="F120" t="s">
        <v>587</v>
      </c>
      <c r="G120" t="s">
        <v>594</v>
      </c>
      <c r="H120">
        <v>14293</v>
      </c>
      <c r="I120">
        <v>0</v>
      </c>
    </row>
    <row r="121" spans="2:10" x14ac:dyDescent="0.35">
      <c r="B121" t="s">
        <v>341</v>
      </c>
      <c r="C121" t="s">
        <v>507</v>
      </c>
      <c r="D121" t="s">
        <v>364</v>
      </c>
      <c r="E121" t="s">
        <v>365</v>
      </c>
      <c r="F121" t="s">
        <v>508</v>
      </c>
      <c r="G121" t="s">
        <v>509</v>
      </c>
      <c r="H121">
        <v>4742</v>
      </c>
      <c r="I121">
        <v>0</v>
      </c>
    </row>
    <row r="122" spans="2:10" x14ac:dyDescent="0.35">
      <c r="B122" t="s">
        <v>341</v>
      </c>
      <c r="C122" t="s">
        <v>510</v>
      </c>
      <c r="D122" t="s">
        <v>364</v>
      </c>
      <c r="E122" t="s">
        <v>365</v>
      </c>
      <c r="F122" t="s">
        <v>508</v>
      </c>
      <c r="G122" t="s">
        <v>511</v>
      </c>
      <c r="H122">
        <v>4742</v>
      </c>
      <c r="I122">
        <v>0</v>
      </c>
    </row>
    <row r="123" spans="2:10" x14ac:dyDescent="0.35">
      <c r="B123" t="s">
        <v>341</v>
      </c>
      <c r="C123" t="s">
        <v>512</v>
      </c>
      <c r="D123" t="s">
        <v>364</v>
      </c>
      <c r="E123" t="s">
        <v>365</v>
      </c>
      <c r="F123" t="s">
        <v>508</v>
      </c>
      <c r="G123" t="s">
        <v>513</v>
      </c>
      <c r="H123">
        <v>4742</v>
      </c>
      <c r="I123">
        <v>0</v>
      </c>
    </row>
    <row r="124" spans="2:10" x14ac:dyDescent="0.35">
      <c r="B124" t="s">
        <v>341</v>
      </c>
      <c r="C124" t="s">
        <v>514</v>
      </c>
      <c r="D124" t="s">
        <v>364</v>
      </c>
      <c r="E124" t="s">
        <v>365</v>
      </c>
      <c r="F124" t="s">
        <v>508</v>
      </c>
      <c r="G124" t="s">
        <v>515</v>
      </c>
      <c r="H124">
        <v>4742</v>
      </c>
      <c r="I124">
        <v>0</v>
      </c>
    </row>
    <row r="125" spans="2:10" x14ac:dyDescent="0.35">
      <c r="B125" t="s">
        <v>341</v>
      </c>
      <c r="C125" t="s">
        <v>516</v>
      </c>
      <c r="D125" t="s">
        <v>364</v>
      </c>
      <c r="E125" t="s">
        <v>365</v>
      </c>
      <c r="F125" t="s">
        <v>508</v>
      </c>
      <c r="G125" t="s">
        <v>517</v>
      </c>
      <c r="H125">
        <v>4742</v>
      </c>
      <c r="I125">
        <v>0</v>
      </c>
    </row>
    <row r="126" spans="2:10" x14ac:dyDescent="0.35">
      <c r="B126" t="s">
        <v>341</v>
      </c>
      <c r="C126" t="s">
        <v>518</v>
      </c>
      <c r="D126" t="s">
        <v>364</v>
      </c>
      <c r="E126" t="s">
        <v>365</v>
      </c>
      <c r="F126" t="s">
        <v>508</v>
      </c>
      <c r="G126" t="s">
        <v>519</v>
      </c>
      <c r="H126">
        <v>4742</v>
      </c>
      <c r="I126">
        <v>0</v>
      </c>
    </row>
    <row r="127" spans="2:10" x14ac:dyDescent="0.35">
      <c r="B127" t="s">
        <v>341</v>
      </c>
      <c r="C127" t="s">
        <v>520</v>
      </c>
      <c r="D127" t="s">
        <v>364</v>
      </c>
      <c r="E127" t="s">
        <v>365</v>
      </c>
      <c r="F127" t="s">
        <v>508</v>
      </c>
      <c r="G127" t="s">
        <v>521</v>
      </c>
      <c r="H127">
        <v>4742</v>
      </c>
      <c r="I127">
        <v>0</v>
      </c>
    </row>
    <row r="128" spans="2:10" x14ac:dyDescent="0.35">
      <c r="B128" t="s">
        <v>341</v>
      </c>
      <c r="C128" t="s">
        <v>522</v>
      </c>
      <c r="D128" t="s">
        <v>364</v>
      </c>
      <c r="E128" t="s">
        <v>365</v>
      </c>
      <c r="F128" t="s">
        <v>508</v>
      </c>
      <c r="G128" t="s">
        <v>523</v>
      </c>
      <c r="H128">
        <v>4742</v>
      </c>
      <c r="I128">
        <v>4734</v>
      </c>
      <c r="J128" t="s">
        <v>596</v>
      </c>
    </row>
    <row r="129" spans="2:10" x14ac:dyDescent="0.35">
      <c r="B129" t="s">
        <v>341</v>
      </c>
      <c r="C129" t="s">
        <v>524</v>
      </c>
      <c r="D129" t="s">
        <v>364</v>
      </c>
      <c r="E129" t="s">
        <v>365</v>
      </c>
      <c r="F129" t="s">
        <v>508</v>
      </c>
      <c r="G129" t="s">
        <v>525</v>
      </c>
      <c r="H129">
        <v>4742</v>
      </c>
      <c r="I129">
        <v>0</v>
      </c>
    </row>
    <row r="130" spans="2:10" x14ac:dyDescent="0.35">
      <c r="B130" t="s">
        <v>341</v>
      </c>
      <c r="C130" t="s">
        <v>526</v>
      </c>
      <c r="D130" t="s">
        <v>364</v>
      </c>
      <c r="E130" t="s">
        <v>365</v>
      </c>
      <c r="F130" t="s">
        <v>508</v>
      </c>
      <c r="G130" t="s">
        <v>527</v>
      </c>
      <c r="H130">
        <v>4742</v>
      </c>
      <c r="I130">
        <v>23</v>
      </c>
      <c r="J130" t="s">
        <v>597</v>
      </c>
    </row>
    <row r="131" spans="2:10" x14ac:dyDescent="0.35">
      <c r="B131" t="s">
        <v>341</v>
      </c>
      <c r="C131" t="s">
        <v>528</v>
      </c>
      <c r="D131" t="s">
        <v>364</v>
      </c>
      <c r="E131" t="s">
        <v>365</v>
      </c>
      <c r="F131" t="s">
        <v>508</v>
      </c>
      <c r="G131" t="s">
        <v>529</v>
      </c>
      <c r="H131">
        <v>4742</v>
      </c>
      <c r="I131">
        <v>0</v>
      </c>
    </row>
    <row r="132" spans="2:10" x14ac:dyDescent="0.35">
      <c r="B132" t="s">
        <v>341</v>
      </c>
      <c r="C132" t="s">
        <v>552</v>
      </c>
      <c r="D132" t="s">
        <v>364</v>
      </c>
      <c r="E132" t="s">
        <v>365</v>
      </c>
      <c r="F132" t="s">
        <v>508</v>
      </c>
      <c r="G132" t="s">
        <v>553</v>
      </c>
      <c r="H132">
        <v>4742</v>
      </c>
      <c r="I132">
        <v>4734</v>
      </c>
      <c r="J132" t="s">
        <v>598</v>
      </c>
    </row>
    <row r="133" spans="2:10" x14ac:dyDescent="0.35">
      <c r="B133" t="s">
        <v>341</v>
      </c>
      <c r="C133" t="s">
        <v>548</v>
      </c>
      <c r="D133" t="s">
        <v>364</v>
      </c>
      <c r="E133" t="s">
        <v>365</v>
      </c>
      <c r="F133" t="s">
        <v>508</v>
      </c>
      <c r="G133" t="s">
        <v>549</v>
      </c>
      <c r="H133">
        <v>4742</v>
      </c>
      <c r="I133">
        <v>0</v>
      </c>
    </row>
    <row r="134" spans="2:10" x14ac:dyDescent="0.35">
      <c r="B134" t="s">
        <v>341</v>
      </c>
      <c r="C134" t="s">
        <v>530</v>
      </c>
      <c r="D134" t="s">
        <v>364</v>
      </c>
      <c r="E134" t="s">
        <v>365</v>
      </c>
      <c r="F134" t="s">
        <v>508</v>
      </c>
      <c r="G134" t="s">
        <v>531</v>
      </c>
      <c r="H134">
        <v>4742</v>
      </c>
      <c r="I134">
        <v>0</v>
      </c>
    </row>
    <row r="135" spans="2:10" x14ac:dyDescent="0.35">
      <c r="B135" t="s">
        <v>341</v>
      </c>
      <c r="C135" t="s">
        <v>532</v>
      </c>
      <c r="D135" t="s">
        <v>364</v>
      </c>
      <c r="E135" t="s">
        <v>365</v>
      </c>
      <c r="F135" t="s">
        <v>508</v>
      </c>
      <c r="G135" t="s">
        <v>533</v>
      </c>
      <c r="H135">
        <v>4742</v>
      </c>
      <c r="I135">
        <v>0</v>
      </c>
    </row>
    <row r="136" spans="2:10" x14ac:dyDescent="0.35">
      <c r="B136" t="s">
        <v>341</v>
      </c>
      <c r="C136" t="s">
        <v>534</v>
      </c>
      <c r="D136" t="s">
        <v>364</v>
      </c>
      <c r="E136" t="s">
        <v>365</v>
      </c>
      <c r="F136" t="s">
        <v>508</v>
      </c>
      <c r="G136" t="s">
        <v>535</v>
      </c>
      <c r="H136">
        <v>4742</v>
      </c>
      <c r="I136">
        <v>0</v>
      </c>
    </row>
    <row r="137" spans="2:10" x14ac:dyDescent="0.35">
      <c r="B137" t="s">
        <v>341</v>
      </c>
      <c r="C137" t="s">
        <v>536</v>
      </c>
      <c r="D137" t="s">
        <v>364</v>
      </c>
      <c r="E137" t="s">
        <v>365</v>
      </c>
      <c r="F137" t="s">
        <v>508</v>
      </c>
      <c r="G137" t="s">
        <v>537</v>
      </c>
      <c r="H137">
        <v>4742</v>
      </c>
      <c r="I137">
        <v>0</v>
      </c>
    </row>
    <row r="138" spans="2:10" x14ac:dyDescent="0.35">
      <c r="B138" t="s">
        <v>341</v>
      </c>
      <c r="C138" t="s">
        <v>538</v>
      </c>
      <c r="D138" t="s">
        <v>364</v>
      </c>
      <c r="E138" t="s">
        <v>365</v>
      </c>
      <c r="F138" t="s">
        <v>508</v>
      </c>
      <c r="G138" t="s">
        <v>539</v>
      </c>
      <c r="H138">
        <v>4742</v>
      </c>
      <c r="I138">
        <v>0</v>
      </c>
    </row>
    <row r="139" spans="2:10" x14ac:dyDescent="0.35">
      <c r="B139" t="s">
        <v>341</v>
      </c>
      <c r="C139" t="s">
        <v>540</v>
      </c>
      <c r="D139" t="s">
        <v>364</v>
      </c>
      <c r="E139" t="s">
        <v>365</v>
      </c>
      <c r="F139" t="s">
        <v>508</v>
      </c>
      <c r="G139" t="s">
        <v>541</v>
      </c>
      <c r="H139">
        <v>4742</v>
      </c>
      <c r="I139">
        <v>0</v>
      </c>
    </row>
    <row r="140" spans="2:10" x14ac:dyDescent="0.35">
      <c r="B140" t="s">
        <v>341</v>
      </c>
      <c r="C140" t="s">
        <v>542</v>
      </c>
      <c r="D140" t="s">
        <v>364</v>
      </c>
      <c r="E140" t="s">
        <v>365</v>
      </c>
      <c r="F140" t="s">
        <v>508</v>
      </c>
      <c r="G140" t="s">
        <v>543</v>
      </c>
      <c r="H140">
        <v>4742</v>
      </c>
      <c r="I140">
        <v>0</v>
      </c>
    </row>
    <row r="141" spans="2:10" x14ac:dyDescent="0.35">
      <c r="B141" t="s">
        <v>341</v>
      </c>
      <c r="C141" t="s">
        <v>544</v>
      </c>
      <c r="D141" t="s">
        <v>364</v>
      </c>
      <c r="E141" t="s">
        <v>365</v>
      </c>
      <c r="F141" t="s">
        <v>508</v>
      </c>
      <c r="G141" t="s">
        <v>545</v>
      </c>
      <c r="H141">
        <v>4742</v>
      </c>
      <c r="I141">
        <v>0</v>
      </c>
    </row>
    <row r="142" spans="2:10" x14ac:dyDescent="0.35">
      <c r="B142" t="s">
        <v>341</v>
      </c>
      <c r="C142" t="s">
        <v>546</v>
      </c>
      <c r="D142" t="s">
        <v>364</v>
      </c>
      <c r="E142" t="s">
        <v>365</v>
      </c>
      <c r="F142" t="s">
        <v>508</v>
      </c>
      <c r="G142" t="s">
        <v>547</v>
      </c>
      <c r="H142">
        <v>4742</v>
      </c>
      <c r="I142">
        <v>0</v>
      </c>
    </row>
    <row r="143" spans="2:10" x14ac:dyDescent="0.35">
      <c r="B143" t="s">
        <v>341</v>
      </c>
      <c r="C143" t="s">
        <v>550</v>
      </c>
      <c r="D143" t="s">
        <v>364</v>
      </c>
      <c r="E143" t="s">
        <v>365</v>
      </c>
      <c r="F143" t="s">
        <v>508</v>
      </c>
      <c r="G143" t="s">
        <v>551</v>
      </c>
      <c r="H143">
        <v>4742</v>
      </c>
      <c r="I143">
        <v>0</v>
      </c>
    </row>
    <row r="144" spans="2:10" x14ac:dyDescent="0.35">
      <c r="B144" t="s">
        <v>341</v>
      </c>
      <c r="C144" t="s">
        <v>554</v>
      </c>
      <c r="D144" t="s">
        <v>364</v>
      </c>
      <c r="E144" t="s">
        <v>365</v>
      </c>
      <c r="F144" t="s">
        <v>555</v>
      </c>
      <c r="G144" t="s">
        <v>556</v>
      </c>
      <c r="H144">
        <v>37</v>
      </c>
      <c r="I144">
        <v>0</v>
      </c>
    </row>
    <row r="145" spans="2:10" x14ac:dyDescent="0.35">
      <c r="B145" t="s">
        <v>341</v>
      </c>
      <c r="C145" t="s">
        <v>557</v>
      </c>
      <c r="D145" t="s">
        <v>364</v>
      </c>
      <c r="E145" t="s">
        <v>365</v>
      </c>
      <c r="F145" t="s">
        <v>555</v>
      </c>
      <c r="G145" t="s">
        <v>558</v>
      </c>
      <c r="H145">
        <v>37</v>
      </c>
      <c r="I145">
        <v>1</v>
      </c>
      <c r="J145" t="s">
        <v>559</v>
      </c>
    </row>
    <row r="146" spans="2:10" x14ac:dyDescent="0.35">
      <c r="B146" t="s">
        <v>341</v>
      </c>
      <c r="C146" t="s">
        <v>560</v>
      </c>
      <c r="D146" t="s">
        <v>364</v>
      </c>
      <c r="E146" t="s">
        <v>365</v>
      </c>
      <c r="F146" t="s">
        <v>555</v>
      </c>
      <c r="G146" t="s">
        <v>561</v>
      </c>
      <c r="H146">
        <v>37</v>
      </c>
      <c r="I146">
        <v>1</v>
      </c>
      <c r="J146" t="s">
        <v>559</v>
      </c>
    </row>
    <row r="147" spans="2:10" x14ac:dyDescent="0.35">
      <c r="B147" t="s">
        <v>341</v>
      </c>
      <c r="C147" t="s">
        <v>562</v>
      </c>
      <c r="D147" t="s">
        <v>364</v>
      </c>
      <c r="E147" t="s">
        <v>365</v>
      </c>
      <c r="F147" t="s">
        <v>555</v>
      </c>
      <c r="G147" t="s">
        <v>563</v>
      </c>
      <c r="H147">
        <v>37</v>
      </c>
      <c r="I147">
        <v>0</v>
      </c>
    </row>
    <row r="148" spans="2:10" x14ac:dyDescent="0.35">
      <c r="B148" t="s">
        <v>341</v>
      </c>
      <c r="C148" t="s">
        <v>564</v>
      </c>
      <c r="D148" t="s">
        <v>364</v>
      </c>
      <c r="E148" t="s">
        <v>365</v>
      </c>
      <c r="F148" t="s">
        <v>555</v>
      </c>
      <c r="G148" t="s">
        <v>565</v>
      </c>
      <c r="H148">
        <v>37</v>
      </c>
      <c r="I148">
        <v>0</v>
      </c>
    </row>
    <row r="149" spans="2:10" x14ac:dyDescent="0.35">
      <c r="B149" t="s">
        <v>341</v>
      </c>
      <c r="C149" t="s">
        <v>566</v>
      </c>
      <c r="D149" t="s">
        <v>364</v>
      </c>
      <c r="E149" t="s">
        <v>365</v>
      </c>
      <c r="F149" t="s">
        <v>555</v>
      </c>
      <c r="G149" t="s">
        <v>567</v>
      </c>
      <c r="H149">
        <v>37</v>
      </c>
      <c r="I149">
        <v>0</v>
      </c>
    </row>
    <row r="150" spans="2:10" x14ac:dyDescent="0.35">
      <c r="B150" t="s">
        <v>341</v>
      </c>
      <c r="C150" t="s">
        <v>568</v>
      </c>
      <c r="D150" t="s">
        <v>364</v>
      </c>
      <c r="E150" t="s">
        <v>365</v>
      </c>
      <c r="F150" t="s">
        <v>555</v>
      </c>
      <c r="G150" t="s">
        <v>569</v>
      </c>
      <c r="H150">
        <v>37</v>
      </c>
      <c r="I150">
        <v>1</v>
      </c>
      <c r="J150" t="s">
        <v>559</v>
      </c>
    </row>
    <row r="151" spans="2:10" x14ac:dyDescent="0.35">
      <c r="B151" t="s">
        <v>341</v>
      </c>
      <c r="C151" t="s">
        <v>570</v>
      </c>
      <c r="D151" t="s">
        <v>364</v>
      </c>
      <c r="E151" t="s">
        <v>365</v>
      </c>
      <c r="F151" t="s">
        <v>571</v>
      </c>
      <c r="G151" t="s">
        <v>572</v>
      </c>
      <c r="H151">
        <v>6</v>
      </c>
      <c r="I151">
        <v>0</v>
      </c>
    </row>
    <row r="152" spans="2:10" x14ac:dyDescent="0.35">
      <c r="B152" t="s">
        <v>341</v>
      </c>
      <c r="C152" t="s">
        <v>573</v>
      </c>
      <c r="D152" t="s">
        <v>364</v>
      </c>
      <c r="E152" t="s">
        <v>365</v>
      </c>
      <c r="F152" t="s">
        <v>571</v>
      </c>
      <c r="G152" t="s">
        <v>574</v>
      </c>
      <c r="H152">
        <v>6</v>
      </c>
      <c r="I152">
        <v>0</v>
      </c>
    </row>
    <row r="153" spans="2:10" x14ac:dyDescent="0.35">
      <c r="B153" t="s">
        <v>341</v>
      </c>
      <c r="C153" t="s">
        <v>575</v>
      </c>
      <c r="D153" t="s">
        <v>364</v>
      </c>
      <c r="E153" t="s">
        <v>365</v>
      </c>
      <c r="F153" t="s">
        <v>571</v>
      </c>
      <c r="G153" t="s">
        <v>576</v>
      </c>
      <c r="H153">
        <v>6</v>
      </c>
      <c r="I153">
        <v>0</v>
      </c>
    </row>
    <row r="154" spans="2:10" x14ac:dyDescent="0.35">
      <c r="B154" t="s">
        <v>341</v>
      </c>
      <c r="C154" t="s">
        <v>577</v>
      </c>
      <c r="D154" t="s">
        <v>364</v>
      </c>
      <c r="E154" t="s">
        <v>365</v>
      </c>
      <c r="F154" t="s">
        <v>578</v>
      </c>
      <c r="G154" t="s">
        <v>565</v>
      </c>
      <c r="H154">
        <v>4744</v>
      </c>
      <c r="I154">
        <v>0</v>
      </c>
    </row>
    <row r="155" spans="2:10" x14ac:dyDescent="0.35">
      <c r="B155" t="s">
        <v>341</v>
      </c>
      <c r="C155" t="s">
        <v>579</v>
      </c>
      <c r="D155" t="s">
        <v>364</v>
      </c>
      <c r="E155" t="s">
        <v>365</v>
      </c>
      <c r="F155" t="s">
        <v>578</v>
      </c>
      <c r="G155" t="s">
        <v>509</v>
      </c>
      <c r="H155">
        <v>4744</v>
      </c>
      <c r="I155">
        <v>0</v>
      </c>
    </row>
    <row r="156" spans="2:10" x14ac:dyDescent="0.35">
      <c r="B156" t="s">
        <v>341</v>
      </c>
      <c r="C156" t="s">
        <v>580</v>
      </c>
      <c r="D156" t="s">
        <v>364</v>
      </c>
      <c r="E156" t="s">
        <v>365</v>
      </c>
      <c r="F156" t="s">
        <v>578</v>
      </c>
      <c r="G156" t="s">
        <v>519</v>
      </c>
      <c r="H156">
        <v>4744</v>
      </c>
      <c r="I156">
        <v>0</v>
      </c>
    </row>
    <row r="157" spans="2:10" x14ac:dyDescent="0.35">
      <c r="B157" t="s">
        <v>341</v>
      </c>
      <c r="C157" t="s">
        <v>581</v>
      </c>
      <c r="D157" t="s">
        <v>364</v>
      </c>
      <c r="E157" t="s">
        <v>365</v>
      </c>
      <c r="F157" t="s">
        <v>582</v>
      </c>
      <c r="G157" t="s">
        <v>509</v>
      </c>
      <c r="H157">
        <v>9431</v>
      </c>
      <c r="I157">
        <v>0</v>
      </c>
    </row>
    <row r="158" spans="2:10" x14ac:dyDescent="0.35">
      <c r="B158" t="s">
        <v>341</v>
      </c>
      <c r="C158" t="s">
        <v>583</v>
      </c>
      <c r="D158" t="s">
        <v>364</v>
      </c>
      <c r="E158" t="s">
        <v>365</v>
      </c>
      <c r="F158" t="s">
        <v>582</v>
      </c>
      <c r="G158" t="s">
        <v>572</v>
      </c>
      <c r="H158">
        <v>9431</v>
      </c>
      <c r="I158">
        <v>0</v>
      </c>
    </row>
    <row r="159" spans="2:10" x14ac:dyDescent="0.35">
      <c r="B159" t="s">
        <v>341</v>
      </c>
      <c r="C159" t="s">
        <v>584</v>
      </c>
      <c r="D159" t="s">
        <v>364</v>
      </c>
      <c r="E159" t="s">
        <v>365</v>
      </c>
      <c r="F159" t="s">
        <v>582</v>
      </c>
      <c r="G159" t="s">
        <v>585</v>
      </c>
      <c r="H159">
        <v>9431</v>
      </c>
      <c r="I159">
        <v>0</v>
      </c>
    </row>
    <row r="160" spans="2:10" x14ac:dyDescent="0.35">
      <c r="B160" t="s">
        <v>341</v>
      </c>
      <c r="C160" t="s">
        <v>345</v>
      </c>
      <c r="D160" t="s">
        <v>324</v>
      </c>
      <c r="E160" t="s">
        <v>346</v>
      </c>
      <c r="F160" t="s">
        <v>37</v>
      </c>
      <c r="G160" t="s">
        <v>40</v>
      </c>
      <c r="H160">
        <v>8</v>
      </c>
      <c r="I160">
        <v>0</v>
      </c>
    </row>
    <row r="161" spans="2:9" x14ac:dyDescent="0.35">
      <c r="B161" t="s">
        <v>341</v>
      </c>
      <c r="C161" t="s">
        <v>599</v>
      </c>
      <c r="D161" t="s">
        <v>324</v>
      </c>
      <c r="E161" t="s">
        <v>346</v>
      </c>
      <c r="F161" t="s">
        <v>331</v>
      </c>
      <c r="G161" t="s">
        <v>332</v>
      </c>
      <c r="H161">
        <v>4730</v>
      </c>
      <c r="I161">
        <v>0</v>
      </c>
    </row>
    <row r="162" spans="2:9" x14ac:dyDescent="0.35">
      <c r="B162" t="s">
        <v>341</v>
      </c>
      <c r="C162" t="s">
        <v>600</v>
      </c>
      <c r="D162" t="s">
        <v>324</v>
      </c>
      <c r="E162" t="s">
        <v>346</v>
      </c>
      <c r="F162" t="s">
        <v>333</v>
      </c>
      <c r="G162" t="s">
        <v>339</v>
      </c>
      <c r="H162">
        <v>4740</v>
      </c>
      <c r="I162">
        <v>0</v>
      </c>
    </row>
    <row r="163" spans="2:9" x14ac:dyDescent="0.35">
      <c r="B163" t="s">
        <v>341</v>
      </c>
      <c r="C163" t="s">
        <v>601</v>
      </c>
      <c r="D163" t="s">
        <v>324</v>
      </c>
      <c r="E163" t="s">
        <v>346</v>
      </c>
      <c r="F163" t="s">
        <v>587</v>
      </c>
      <c r="G163" t="s">
        <v>602</v>
      </c>
      <c r="H163">
        <v>14293</v>
      </c>
      <c r="I163">
        <v>0</v>
      </c>
    </row>
    <row r="164" spans="2:9" x14ac:dyDescent="0.35">
      <c r="B164" t="s">
        <v>341</v>
      </c>
      <c r="C164" t="s">
        <v>603</v>
      </c>
      <c r="D164" t="s">
        <v>324</v>
      </c>
      <c r="E164" t="s">
        <v>346</v>
      </c>
      <c r="F164" t="s">
        <v>508</v>
      </c>
      <c r="G164" t="s">
        <v>509</v>
      </c>
      <c r="H164">
        <v>4742</v>
      </c>
      <c r="I164">
        <v>0</v>
      </c>
    </row>
    <row r="165" spans="2:9" x14ac:dyDescent="0.35">
      <c r="B165" t="s">
        <v>341</v>
      </c>
      <c r="C165" t="s">
        <v>604</v>
      </c>
      <c r="D165" t="s">
        <v>324</v>
      </c>
      <c r="E165" t="s">
        <v>346</v>
      </c>
      <c r="F165" t="s">
        <v>555</v>
      </c>
      <c r="G165" t="s">
        <v>565</v>
      </c>
      <c r="H165">
        <v>37</v>
      </c>
      <c r="I165">
        <v>0</v>
      </c>
    </row>
    <row r="166" spans="2:9" x14ac:dyDescent="0.35">
      <c r="B166" t="s">
        <v>341</v>
      </c>
      <c r="C166" t="s">
        <v>605</v>
      </c>
      <c r="D166" t="s">
        <v>324</v>
      </c>
      <c r="E166" t="s">
        <v>346</v>
      </c>
      <c r="F166" t="s">
        <v>571</v>
      </c>
      <c r="G166" t="s">
        <v>572</v>
      </c>
      <c r="H166">
        <v>6</v>
      </c>
      <c r="I166">
        <v>0</v>
      </c>
    </row>
    <row r="167" spans="2:9" x14ac:dyDescent="0.35">
      <c r="B167" t="s">
        <v>341</v>
      </c>
      <c r="C167" t="s">
        <v>606</v>
      </c>
      <c r="D167" t="s">
        <v>324</v>
      </c>
      <c r="E167" t="s">
        <v>346</v>
      </c>
      <c r="F167" t="s">
        <v>578</v>
      </c>
      <c r="G167" t="s">
        <v>607</v>
      </c>
      <c r="H167">
        <v>4744</v>
      </c>
      <c r="I167">
        <v>0</v>
      </c>
    </row>
    <row r="168" spans="2:9" x14ac:dyDescent="0.35">
      <c r="B168" t="s">
        <v>341</v>
      </c>
      <c r="C168" t="s">
        <v>608</v>
      </c>
      <c r="D168" t="s">
        <v>324</v>
      </c>
      <c r="E168" t="s">
        <v>346</v>
      </c>
      <c r="F168" t="s">
        <v>582</v>
      </c>
      <c r="G168" t="s">
        <v>609</v>
      </c>
      <c r="H168">
        <v>9431</v>
      </c>
      <c r="I168">
        <v>0</v>
      </c>
    </row>
  </sheetData>
  <phoneticPr fontId="2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zoomScale="80" zoomScaleNormal="80" workbookViewId="0">
      <selection sqref="A1:XFD7"/>
    </sheetView>
  </sheetViews>
  <sheetFormatPr defaultRowHeight="14.5" x14ac:dyDescent="0.35"/>
  <cols>
    <col min="1" max="1" width="3.81640625" customWidth="1"/>
    <col min="2" max="2" width="48.54296875" customWidth="1"/>
    <col min="3" max="3" width="7.81640625" bestFit="1" customWidth="1"/>
    <col min="4" max="4" width="36" customWidth="1"/>
    <col min="5" max="5" width="5.453125" bestFit="1" customWidth="1"/>
    <col min="6" max="6" width="30" bestFit="1" customWidth="1"/>
    <col min="7" max="7" width="6.90625" bestFit="1" customWidth="1"/>
    <col min="8" max="8" width="36" customWidth="1"/>
    <col min="9" max="9" width="48.54296875" customWidth="1"/>
    <col min="10" max="10" width="3.81640625" customWidth="1"/>
  </cols>
  <sheetData>
    <row r="1" spans="1:10" x14ac:dyDescent="0.35">
      <c r="A1" s="66"/>
      <c r="B1" s="66"/>
      <c r="C1" s="66"/>
      <c r="D1" s="66"/>
      <c r="E1" s="66"/>
      <c r="F1" s="66"/>
      <c r="G1" s="66"/>
      <c r="H1" s="66"/>
      <c r="I1" s="66"/>
      <c r="J1" s="66"/>
    </row>
    <row r="2" spans="1:10" x14ac:dyDescent="0.35">
      <c r="A2" s="66"/>
      <c r="B2" s="66"/>
      <c r="C2" s="66"/>
      <c r="D2" s="66"/>
      <c r="E2" s="66"/>
      <c r="F2" s="66"/>
      <c r="G2" s="66"/>
      <c r="H2" s="66"/>
      <c r="I2" s="66"/>
      <c r="J2" s="66"/>
    </row>
    <row r="3" spans="1:10" x14ac:dyDescent="0.35">
      <c r="A3" s="66"/>
      <c r="B3" s="66"/>
      <c r="C3" s="66"/>
      <c r="D3" s="66"/>
      <c r="E3" s="66"/>
      <c r="F3" s="66"/>
      <c r="G3" s="66"/>
      <c r="H3" s="66"/>
      <c r="I3" s="66"/>
      <c r="J3" s="66"/>
    </row>
    <row r="4" spans="1:10" ht="3" customHeight="1" x14ac:dyDescent="0.35">
      <c r="A4" s="67"/>
      <c r="B4" s="67"/>
      <c r="C4" s="67"/>
      <c r="D4" s="67"/>
      <c r="E4" s="67"/>
      <c r="F4" s="67"/>
      <c r="G4" s="67"/>
      <c r="H4" s="67"/>
      <c r="I4" s="67"/>
      <c r="J4" s="67"/>
    </row>
    <row r="5" spans="1:10" x14ac:dyDescent="0.35">
      <c r="A5" s="68"/>
      <c r="B5" s="68"/>
      <c r="C5" s="68"/>
      <c r="D5" s="68"/>
      <c r="E5" s="68"/>
      <c r="F5" s="68"/>
      <c r="G5" s="68"/>
      <c r="H5" s="68"/>
      <c r="I5" s="68"/>
      <c r="J5" s="68"/>
    </row>
    <row r="6" spans="1:10" ht="15" thickBot="1" x14ac:dyDescent="0.4">
      <c r="A6" s="68"/>
      <c r="B6" s="69" t="s">
        <v>319</v>
      </c>
      <c r="C6" s="70"/>
      <c r="D6" s="70"/>
      <c r="E6" s="70"/>
      <c r="F6" s="70"/>
      <c r="G6" s="70"/>
      <c r="H6" s="70"/>
      <c r="I6" s="70"/>
      <c r="J6" s="68"/>
    </row>
    <row r="7" spans="1:10" ht="14.4" customHeight="1" x14ac:dyDescent="0.35">
      <c r="A7" s="68"/>
      <c r="B7" s="68"/>
      <c r="C7" s="68"/>
      <c r="D7" s="68"/>
      <c r="E7" s="68"/>
      <c r="F7" s="68"/>
      <c r="G7" s="68"/>
      <c r="H7" s="68"/>
      <c r="I7" s="68"/>
      <c r="J7" s="68"/>
    </row>
    <row r="8" spans="1:10" ht="14.4" customHeight="1" x14ac:dyDescent="0.35">
      <c r="B8" s="84" t="s">
        <v>114</v>
      </c>
      <c r="C8" s="84" t="s">
        <v>115</v>
      </c>
      <c r="D8" s="84" t="s">
        <v>336</v>
      </c>
      <c r="E8" s="91" t="s">
        <v>116</v>
      </c>
      <c r="F8" s="91" t="s">
        <v>117</v>
      </c>
      <c r="G8" s="91" t="s">
        <v>118</v>
      </c>
      <c r="H8" s="91" t="s">
        <v>119</v>
      </c>
      <c r="I8" s="84" t="s">
        <v>120</v>
      </c>
    </row>
    <row r="9" spans="1:10" x14ac:dyDescent="0.35">
      <c r="B9" s="85" t="s">
        <v>121</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x14ac:dyDescent="0.35">
      <c r="B10" s="85" t="s">
        <v>122</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x14ac:dyDescent="0.35">
      <c r="B11" s="85" t="s">
        <v>123</v>
      </c>
      <c r="C11" s="86">
        <v>0</v>
      </c>
      <c r="D11" s="86"/>
      <c r="E11" s="86" t="str">
        <f t="shared" si="0"/>
        <v>lvl1</v>
      </c>
      <c r="F11" s="86" t="str">
        <f t="shared" si="1"/>
        <v>h</v>
      </c>
      <c r="G11" s="86" t="str">
        <f t="shared" si="2"/>
        <v>b02.00</v>
      </c>
      <c r="H11" s="86" t="str">
        <f t="shared" si="3"/>
        <v>0040_typ_uniq_id_knwn_cntrprty</v>
      </c>
      <c r="I11" s="86"/>
    </row>
    <row r="12" spans="1:10" x14ac:dyDescent="0.35">
      <c r="B12" s="85" t="s">
        <v>124</v>
      </c>
      <c r="C12" s="86">
        <v>0</v>
      </c>
      <c r="D12" s="86"/>
      <c r="E12" s="86" t="str">
        <f t="shared" si="0"/>
        <v>lvl1</v>
      </c>
      <c r="F12" s="86" t="str">
        <f t="shared" si="1"/>
        <v>h</v>
      </c>
      <c r="G12" s="86" t="str">
        <f t="shared" si="2"/>
        <v>b02.00</v>
      </c>
      <c r="H12" s="86" t="str">
        <f t="shared" si="3"/>
        <v>0070_cntrct_crrncy</v>
      </c>
      <c r="I12" s="86"/>
    </row>
    <row r="13" spans="1:10" x14ac:dyDescent="0.35">
      <c r="B13" s="85" t="s">
        <v>125</v>
      </c>
      <c r="C13" s="86">
        <v>0</v>
      </c>
      <c r="D13" s="86"/>
      <c r="E13" s="86" t="str">
        <f t="shared" si="0"/>
        <v>lvl1</v>
      </c>
      <c r="F13" s="86" t="str">
        <f t="shared" si="1"/>
        <v>h</v>
      </c>
      <c r="G13" s="86" t="str">
        <f t="shared" si="2"/>
        <v>b02.00</v>
      </c>
      <c r="H13" s="86" t="str">
        <f t="shared" si="3"/>
        <v>0080_otstndng_prncpl_amnt</v>
      </c>
      <c r="I13" s="86"/>
    </row>
    <row r="14" spans="1:10" x14ac:dyDescent="0.35">
      <c r="B14" s="85" t="s">
        <v>126</v>
      </c>
      <c r="C14" s="86">
        <v>0</v>
      </c>
      <c r="D14" s="86"/>
      <c r="E14" s="86" t="str">
        <f t="shared" si="0"/>
        <v>lvl1</v>
      </c>
      <c r="F14" s="86" t="str">
        <f t="shared" si="1"/>
        <v>w</v>
      </c>
      <c r="G14" s="86" t="str">
        <f t="shared" si="2"/>
        <v>b02.00</v>
      </c>
      <c r="H14" s="86" t="str">
        <f t="shared" si="3"/>
        <v>0080_otstndng_prncpl_amnt</v>
      </c>
      <c r="I14" s="86"/>
    </row>
    <row r="15" spans="1:10" x14ac:dyDescent="0.35">
      <c r="B15" s="85" t="s">
        <v>127</v>
      </c>
      <c r="C15" s="86">
        <v>0</v>
      </c>
      <c r="D15" s="86"/>
      <c r="E15" s="86" t="str">
        <f t="shared" si="0"/>
        <v>lvl1</v>
      </c>
      <c r="F15" s="86" t="str">
        <f t="shared" si="1"/>
        <v>h</v>
      </c>
      <c r="G15" s="86" t="str">
        <f t="shared" si="2"/>
        <v>b02.00</v>
      </c>
      <c r="H15" s="86" t="str">
        <f t="shared" si="3"/>
        <v>0090_prtn_amnt_rprtng_entty</v>
      </c>
      <c r="I15" s="86"/>
    </row>
    <row r="16" spans="1:10" x14ac:dyDescent="0.35">
      <c r="B16" s="85" t="s">
        <v>128</v>
      </c>
      <c r="C16" s="86">
        <v>0</v>
      </c>
      <c r="D16" s="86"/>
      <c r="E16" s="86" t="str">
        <f t="shared" si="0"/>
        <v>lvl1</v>
      </c>
      <c r="F16" s="86" t="str">
        <f t="shared" si="1"/>
        <v>h</v>
      </c>
      <c r="G16" s="86" t="str">
        <f t="shared" si="2"/>
        <v>b02.00</v>
      </c>
      <c r="H16" s="86" t="str">
        <f t="shared" si="3"/>
        <v>0100_accrd_intrst_instrmnt</v>
      </c>
      <c r="I16" s="86"/>
    </row>
    <row r="17" spans="2:9" x14ac:dyDescent="0.35">
      <c r="B17" s="85" t="s">
        <v>129</v>
      </c>
      <c r="C17" s="86">
        <v>0</v>
      </c>
      <c r="D17" s="86"/>
      <c r="E17" s="86" t="str">
        <f t="shared" si="0"/>
        <v>lvl1</v>
      </c>
      <c r="F17" s="86" t="str">
        <f t="shared" si="1"/>
        <v>w</v>
      </c>
      <c r="G17" s="86" t="str">
        <f t="shared" si="2"/>
        <v>b02.00</v>
      </c>
      <c r="H17" s="86" t="str">
        <f t="shared" si="3"/>
        <v>0100_accrd_intrst_instrmnt</v>
      </c>
      <c r="I17" s="86"/>
    </row>
    <row r="18" spans="2:9" x14ac:dyDescent="0.35">
      <c r="B18" s="85" t="s">
        <v>130</v>
      </c>
      <c r="C18" s="86">
        <v>0</v>
      </c>
      <c r="D18" s="86"/>
      <c r="E18" s="86" t="str">
        <f t="shared" si="0"/>
        <v>lvl1</v>
      </c>
      <c r="F18" s="86" t="str">
        <f t="shared" si="1"/>
        <v>h</v>
      </c>
      <c r="G18" s="86" t="str">
        <f t="shared" si="2"/>
        <v>b02.00</v>
      </c>
      <c r="H18" s="86" t="str">
        <f t="shared" si="3"/>
        <v>0120_otstndng_amnt</v>
      </c>
      <c r="I18" s="86"/>
    </row>
    <row r="19" spans="2:9" x14ac:dyDescent="0.35">
      <c r="B19" s="85" t="s">
        <v>131</v>
      </c>
      <c r="C19" s="86">
        <v>8</v>
      </c>
      <c r="D19" s="86"/>
      <c r="E19" s="86" t="str">
        <f t="shared" si="0"/>
        <v>lvl1</v>
      </c>
      <c r="F19" s="86" t="str">
        <f t="shared" si="1"/>
        <v>w</v>
      </c>
      <c r="G19" s="86" t="str">
        <f t="shared" si="2"/>
        <v>b02.00</v>
      </c>
      <c r="H19" s="86" t="str">
        <f t="shared" si="3"/>
        <v>0120_otstndng_amnt</v>
      </c>
      <c r="I19" s="86"/>
    </row>
    <row r="20" spans="2:9" x14ac:dyDescent="0.35">
      <c r="B20" s="85" t="s">
        <v>132</v>
      </c>
      <c r="C20" s="86">
        <v>8</v>
      </c>
      <c r="D20" s="86"/>
      <c r="E20" s="86" t="str">
        <f t="shared" si="0"/>
        <v>lvl1</v>
      </c>
      <c r="F20" s="86" t="str">
        <f t="shared" si="1"/>
        <v>h</v>
      </c>
      <c r="G20" s="86" t="str">
        <f t="shared" si="2"/>
        <v>b02.00</v>
      </c>
      <c r="H20" s="86" t="str">
        <f t="shared" si="3"/>
        <v>0130_rlvnt_amnt_wdc</v>
      </c>
      <c r="I20" s="86"/>
    </row>
    <row r="21" spans="2:9" x14ac:dyDescent="0.35">
      <c r="B21" s="85" t="s">
        <v>133</v>
      </c>
      <c r="C21" s="86">
        <v>0</v>
      </c>
      <c r="D21" s="86"/>
      <c r="E21" s="86" t="str">
        <f t="shared" si="0"/>
        <v>lvl1</v>
      </c>
      <c r="F21" s="86" t="str">
        <f t="shared" si="1"/>
        <v>h</v>
      </c>
      <c r="G21" s="86" t="str">
        <f t="shared" si="2"/>
        <v>b02.00</v>
      </c>
      <c r="H21" s="86" t="str">
        <f t="shared" si="3"/>
        <v>0140_ntr_lblty</v>
      </c>
      <c r="I21" s="86"/>
    </row>
    <row r="22" spans="2:9" x14ac:dyDescent="0.35">
      <c r="B22" s="85" t="s">
        <v>134</v>
      </c>
      <c r="C22" s="86">
        <v>0</v>
      </c>
      <c r="D22" s="86"/>
      <c r="E22" s="86" t="str">
        <f t="shared" si="0"/>
        <v>lvl1</v>
      </c>
      <c r="F22" s="86" t="str">
        <f t="shared" si="1"/>
        <v>h</v>
      </c>
      <c r="G22" s="86" t="str">
        <f t="shared" si="2"/>
        <v>b02.00</v>
      </c>
      <c r="H22" s="86" t="str">
        <f t="shared" si="3"/>
        <v>0141_ntr_lblty_othr</v>
      </c>
      <c r="I22" s="86"/>
    </row>
    <row r="23" spans="2:9" x14ac:dyDescent="0.35">
      <c r="B23" s="85" t="s">
        <v>135</v>
      </c>
      <c r="C23" s="86">
        <v>0</v>
      </c>
      <c r="D23" s="86"/>
      <c r="E23" s="86" t="str">
        <f t="shared" si="0"/>
        <v>lvl1</v>
      </c>
      <c r="F23" s="86" t="str">
        <f t="shared" si="1"/>
        <v>h</v>
      </c>
      <c r="G23" s="86" t="str">
        <f t="shared" si="2"/>
        <v>b02.00</v>
      </c>
      <c r="H23" s="86" t="str">
        <f t="shared" si="3"/>
        <v>0160_rank_insolv</v>
      </c>
      <c r="I23" s="86"/>
    </row>
    <row r="24" spans="2:9" x14ac:dyDescent="0.35">
      <c r="B24" s="85" t="s">
        <v>136</v>
      </c>
      <c r="C24" s="86">
        <v>0</v>
      </c>
      <c r="D24" s="86"/>
      <c r="E24" s="86" t="str">
        <f t="shared" si="0"/>
        <v>lvl1</v>
      </c>
      <c r="F24" s="86" t="str">
        <f t="shared" si="1"/>
        <v>h</v>
      </c>
      <c r="G24" s="86" t="str">
        <f t="shared" si="2"/>
        <v>b02.00</v>
      </c>
      <c r="H24" s="86" t="str">
        <f t="shared" si="3"/>
        <v>0162_bail_in_cascade</v>
      </c>
      <c r="I24" s="86"/>
    </row>
    <row r="25" spans="2:9" x14ac:dyDescent="0.35">
      <c r="B25" s="85" t="s">
        <v>137</v>
      </c>
      <c r="C25" s="86">
        <v>0</v>
      </c>
      <c r="D25" s="86"/>
      <c r="E25" s="86" t="str">
        <f t="shared" si="0"/>
        <v>lvl1</v>
      </c>
      <c r="F25" s="86" t="str">
        <f t="shared" si="1"/>
        <v>h</v>
      </c>
      <c r="G25" s="86" t="str">
        <f t="shared" si="2"/>
        <v>b02.00</v>
      </c>
      <c r="H25" s="86" t="str">
        <f t="shared" si="3"/>
        <v>0180_dt_nxt_intrst_pymnt</v>
      </c>
      <c r="I25" s="86"/>
    </row>
    <row r="26" spans="2:9" x14ac:dyDescent="0.35">
      <c r="B26" s="85" t="s">
        <v>138</v>
      </c>
      <c r="C26" s="86">
        <v>0</v>
      </c>
      <c r="D26" s="86"/>
      <c r="E26" s="86" t="str">
        <f t="shared" si="0"/>
        <v>lvl1</v>
      </c>
      <c r="F26" s="86" t="str">
        <f t="shared" si="1"/>
        <v>w</v>
      </c>
      <c r="G26" s="86" t="str">
        <f t="shared" si="2"/>
        <v>b02.00</v>
      </c>
      <c r="H26" s="86" t="str">
        <f t="shared" si="3"/>
        <v>0180_dt_nxt_intrst_pymnt</v>
      </c>
      <c r="I26" s="86"/>
    </row>
    <row r="27" spans="2:9" x14ac:dyDescent="0.35">
      <c r="B27" s="85" t="s">
        <v>139</v>
      </c>
      <c r="C27" s="86">
        <v>0</v>
      </c>
      <c r="D27" s="86"/>
      <c r="E27" s="86" t="str">
        <f t="shared" si="0"/>
        <v>lvl1</v>
      </c>
      <c r="F27" s="86" t="str">
        <f t="shared" si="1"/>
        <v>w</v>
      </c>
      <c r="G27" s="86" t="str">
        <f t="shared" si="2"/>
        <v>b02.00</v>
      </c>
      <c r="H27" s="86" t="str">
        <f t="shared" si="3"/>
        <v>0200_dt_erlst_rdmptn</v>
      </c>
      <c r="I27" s="86"/>
    </row>
    <row r="28" spans="2:9" x14ac:dyDescent="0.35">
      <c r="B28" s="85" t="s">
        <v>140</v>
      </c>
      <c r="C28" s="86">
        <v>0</v>
      </c>
      <c r="D28" s="86"/>
      <c r="E28" s="86" t="str">
        <f t="shared" si="0"/>
        <v>lvl1</v>
      </c>
      <c r="F28" s="86" t="str">
        <f t="shared" si="1"/>
        <v>h</v>
      </c>
      <c r="G28" s="86" t="str">
        <f t="shared" si="2"/>
        <v>b02.00</v>
      </c>
      <c r="H28" s="86" t="str">
        <f t="shared" si="3"/>
        <v>0210_dt_lgl_fnl_mtrty</v>
      </c>
      <c r="I28" s="86"/>
    </row>
    <row r="29" spans="2:9" x14ac:dyDescent="0.35">
      <c r="B29" s="85" t="s">
        <v>141</v>
      </c>
      <c r="C29" s="86">
        <v>0</v>
      </c>
      <c r="D29" s="101"/>
      <c r="E29" s="86" t="str">
        <f t="shared" si="0"/>
        <v>lvl1</v>
      </c>
      <c r="F29" s="86" t="str">
        <f t="shared" si="1"/>
        <v>h</v>
      </c>
      <c r="G29" s="86" t="str">
        <f t="shared" si="2"/>
        <v>b02.00</v>
      </c>
      <c r="H29" s="86" t="str">
        <f t="shared" si="3"/>
        <v>0220_governing_law</v>
      </c>
      <c r="I29" s="86"/>
    </row>
    <row r="30" spans="2:9" x14ac:dyDescent="0.35">
      <c r="B30" s="85" t="s">
        <v>142</v>
      </c>
      <c r="C30" s="86">
        <v>0</v>
      </c>
      <c r="D30" s="86"/>
      <c r="E30" s="86" t="str">
        <f t="shared" si="0"/>
        <v>lvl1</v>
      </c>
      <c r="F30" s="86" t="str">
        <f t="shared" si="1"/>
        <v>h</v>
      </c>
      <c r="G30" s="86" t="str">
        <f t="shared" si="2"/>
        <v>b02.00</v>
      </c>
      <c r="H30" s="86" t="str">
        <f t="shared" si="3"/>
        <v>0250_strctrd_prdct</v>
      </c>
      <c r="I30" s="86"/>
    </row>
    <row r="31" spans="2:9" x14ac:dyDescent="0.35">
      <c r="B31" s="85" t="s">
        <v>143</v>
      </c>
      <c r="C31" s="86">
        <v>0</v>
      </c>
      <c r="D31" s="86"/>
      <c r="E31" s="86" t="str">
        <f t="shared" si="0"/>
        <v>lvl1</v>
      </c>
      <c r="F31" s="86" t="str">
        <f t="shared" si="1"/>
        <v>w</v>
      </c>
      <c r="G31" s="86" t="str">
        <f t="shared" si="2"/>
        <v>b02.00</v>
      </c>
      <c r="H31" s="86" t="str">
        <f t="shared" si="3"/>
        <v>0260_grntd_min_amnt_strctrd_prdct</v>
      </c>
      <c r="I31" s="86"/>
    </row>
    <row r="32" spans="2:9" x14ac:dyDescent="0.35">
      <c r="B32" s="85" t="s">
        <v>144</v>
      </c>
      <c r="C32" s="86">
        <v>0</v>
      </c>
      <c r="D32" s="86"/>
      <c r="E32" s="86" t="str">
        <f t="shared" si="0"/>
        <v>lvl1</v>
      </c>
      <c r="F32" s="86" t="str">
        <f t="shared" si="1"/>
        <v>h</v>
      </c>
      <c r="G32" s="86" t="str">
        <f t="shared" si="2"/>
        <v>b02.00</v>
      </c>
      <c r="H32" s="86" t="str">
        <f t="shared" si="3"/>
        <v>0270_fv_amnt_strctrd_prdct</v>
      </c>
      <c r="I32" s="86"/>
    </row>
    <row r="33" spans="2:9" x14ac:dyDescent="0.35">
      <c r="B33" s="85" t="s">
        <v>145</v>
      </c>
      <c r="C33" s="86">
        <v>0</v>
      </c>
      <c r="D33" s="86"/>
      <c r="E33" s="86" t="str">
        <f t="shared" si="0"/>
        <v>lvl1</v>
      </c>
      <c r="F33" s="86" t="str">
        <f t="shared" si="1"/>
        <v>h</v>
      </c>
      <c r="G33" s="86" t="str">
        <f t="shared" si="2"/>
        <v>b02.00</v>
      </c>
      <c r="H33" s="86" t="str">
        <f t="shared" si="3"/>
        <v>0300_amnt_cvrd_elgbl_dpsts</v>
      </c>
      <c r="I33" s="86"/>
    </row>
    <row r="34" spans="2:9" x14ac:dyDescent="0.35">
      <c r="B34" s="85" t="s">
        <v>146</v>
      </c>
      <c r="C34" s="86">
        <v>0</v>
      </c>
      <c r="D34" s="86"/>
      <c r="E34" s="86" t="str">
        <f t="shared" si="0"/>
        <v>lvl1</v>
      </c>
      <c r="F34" s="86" t="str">
        <f t="shared" si="1"/>
        <v>h</v>
      </c>
      <c r="G34" s="86" t="str">
        <f t="shared" si="2"/>
        <v>b02.00</v>
      </c>
      <c r="H34" s="86" t="str">
        <f t="shared" si="3"/>
        <v>0310_flg_clltrl_agrmnts</v>
      </c>
      <c r="I34" s="86"/>
    </row>
    <row r="35" spans="2:9" x14ac:dyDescent="0.35">
      <c r="B35" s="85" t="s">
        <v>147</v>
      </c>
      <c r="C35" s="86">
        <v>0</v>
      </c>
      <c r="D35" s="86"/>
      <c r="E35" s="86" t="str">
        <f t="shared" si="0"/>
        <v>lvl1</v>
      </c>
      <c r="F35" s="86" t="str">
        <f t="shared" si="1"/>
        <v>h</v>
      </c>
      <c r="G35" s="86" t="str">
        <f t="shared" si="2"/>
        <v>b02.00</v>
      </c>
      <c r="H35" s="86" t="str">
        <f t="shared" si="3"/>
        <v>0320_amnt_clltrl</v>
      </c>
      <c r="I35" s="86"/>
    </row>
    <row r="36" spans="2:9" x14ac:dyDescent="0.35">
      <c r="B36" s="85" t="s">
        <v>148</v>
      </c>
      <c r="C36" s="86">
        <v>0</v>
      </c>
      <c r="D36" s="86"/>
      <c r="E36" s="86" t="str">
        <f t="shared" si="0"/>
        <v>lvl1</v>
      </c>
      <c r="F36" s="86" t="str">
        <f t="shared" si="1"/>
        <v>h</v>
      </c>
      <c r="G36" s="86" t="str">
        <f t="shared" si="2"/>
        <v>b02.00</v>
      </c>
      <c r="H36" s="86" t="str">
        <f t="shared" si="3"/>
        <v>0330_amnt_unclltrlzd</v>
      </c>
      <c r="I36" s="86"/>
    </row>
    <row r="37" spans="2:9" x14ac:dyDescent="0.35">
      <c r="B37" s="85" t="s">
        <v>149</v>
      </c>
      <c r="C37" s="86">
        <v>0</v>
      </c>
      <c r="D37" s="86"/>
      <c r="E37" s="86" t="str">
        <f t="shared" si="0"/>
        <v>lvl1</v>
      </c>
      <c r="F37" s="86" t="str">
        <f t="shared" si="1"/>
        <v>h</v>
      </c>
      <c r="G37" s="86" t="str">
        <f t="shared" si="2"/>
        <v>b02.00</v>
      </c>
      <c r="H37" s="86" t="str">
        <f t="shared" si="3"/>
        <v>0350_typ_clltrl</v>
      </c>
      <c r="I37" s="86"/>
    </row>
    <row r="38" spans="2:9" x14ac:dyDescent="0.35">
      <c r="B38" s="85" t="s">
        <v>150</v>
      </c>
      <c r="C38" s="86">
        <v>0</v>
      </c>
      <c r="D38" s="86"/>
      <c r="E38" s="86" t="str">
        <f t="shared" si="0"/>
        <v>lvl1</v>
      </c>
      <c r="F38" s="86" t="str">
        <f t="shared" si="1"/>
        <v>h</v>
      </c>
      <c r="G38" s="86" t="str">
        <f t="shared" si="2"/>
        <v>b02.00</v>
      </c>
      <c r="H38" s="86" t="str">
        <f t="shared" si="3"/>
        <v>0351_typ_clltrl_othr</v>
      </c>
      <c r="I38" s="86"/>
    </row>
    <row r="39" spans="2:9" x14ac:dyDescent="0.35">
      <c r="B39" s="85" t="s">
        <v>151</v>
      </c>
      <c r="C39" s="86">
        <v>0</v>
      </c>
      <c r="D39" s="86"/>
      <c r="E39" s="86" t="str">
        <f t="shared" si="0"/>
        <v>lvl1</v>
      </c>
      <c r="F39" s="86" t="str">
        <f t="shared" si="1"/>
        <v>h</v>
      </c>
      <c r="G39" s="86" t="str">
        <f t="shared" si="2"/>
        <v>b02.00</v>
      </c>
      <c r="H39" s="86" t="str">
        <f t="shared" si="3"/>
        <v>0370_amnt_scrty_eur</v>
      </c>
      <c r="I39" s="86"/>
    </row>
    <row r="40" spans="2:9" x14ac:dyDescent="0.35">
      <c r="B40" s="85" t="s">
        <v>152</v>
      </c>
      <c r="C40" s="86">
        <v>0</v>
      </c>
      <c r="D40" s="86"/>
      <c r="E40" s="86" t="str">
        <f t="shared" si="0"/>
        <v>lvl1</v>
      </c>
      <c r="F40" s="86" t="str">
        <f t="shared" si="1"/>
        <v>w</v>
      </c>
      <c r="G40" s="86" t="str">
        <f t="shared" si="2"/>
        <v>b02.00</v>
      </c>
      <c r="H40" s="86" t="str">
        <f t="shared" si="3"/>
        <v>0370_amnt_scrty_eur</v>
      </c>
      <c r="I40" s="86"/>
    </row>
    <row r="41" spans="2:9" x14ac:dyDescent="0.35">
      <c r="B41" s="85" t="s">
        <v>153</v>
      </c>
      <c r="C41" s="86">
        <v>0</v>
      </c>
      <c r="D41" s="86"/>
      <c r="E41" s="86" t="str">
        <f t="shared" si="0"/>
        <v>lvl1</v>
      </c>
      <c r="F41" s="86" t="str">
        <f t="shared" si="1"/>
        <v>h</v>
      </c>
      <c r="G41" s="86" t="str">
        <f t="shared" si="2"/>
        <v>b02.00</v>
      </c>
      <c r="H41" s="86" t="str">
        <f t="shared" si="3"/>
        <v>0390_nmbr_scrts_not_rprtng_entty</v>
      </c>
      <c r="I41" s="86"/>
    </row>
    <row r="42" spans="2:9" x14ac:dyDescent="0.35">
      <c r="B42" s="85" t="s">
        <v>154</v>
      </c>
      <c r="C42" s="86">
        <v>8</v>
      </c>
      <c r="D42" s="86"/>
      <c r="E42" s="86" t="str">
        <f t="shared" si="0"/>
        <v>lvl1</v>
      </c>
      <c r="F42" s="86" t="str">
        <f t="shared" si="1"/>
        <v>h</v>
      </c>
      <c r="G42" s="86" t="str">
        <f t="shared" si="2"/>
        <v>b02.00</v>
      </c>
      <c r="H42" s="86" t="str">
        <f t="shared" si="3"/>
        <v>0391_nmbr_scrts_rprtng_entty</v>
      </c>
      <c r="I42" s="86"/>
    </row>
    <row r="43" spans="2:9" x14ac:dyDescent="0.35">
      <c r="B43" s="85" t="s">
        <v>155</v>
      </c>
      <c r="C43" s="86">
        <v>0</v>
      </c>
      <c r="D43" s="86"/>
      <c r="E43" s="86" t="str">
        <f t="shared" si="0"/>
        <v>lvl1</v>
      </c>
      <c r="F43" s="86" t="str">
        <f t="shared" si="1"/>
        <v>h</v>
      </c>
      <c r="G43" s="86" t="str">
        <f t="shared" si="2"/>
        <v>b02.00</v>
      </c>
      <c r="H43" s="86" t="str">
        <f t="shared" si="3"/>
        <v>0400_accrd_intrst_scrty</v>
      </c>
      <c r="I43" s="86"/>
    </row>
    <row r="44" spans="2:9" x14ac:dyDescent="0.35">
      <c r="B44" s="85" t="s">
        <v>156</v>
      </c>
      <c r="C44" s="86">
        <v>0</v>
      </c>
      <c r="D44" s="86"/>
      <c r="E44" s="86" t="str">
        <f t="shared" si="0"/>
        <v>lvl1</v>
      </c>
      <c r="F44" s="86" t="str">
        <f t="shared" si="1"/>
        <v>w</v>
      </c>
      <c r="G44" s="86" t="str">
        <f t="shared" si="2"/>
        <v>b02.00</v>
      </c>
      <c r="H44" s="86" t="str">
        <f t="shared" si="3"/>
        <v>0400_accrd_intrst_scrty</v>
      </c>
      <c r="I44" s="86"/>
    </row>
    <row r="45" spans="2:9" x14ac:dyDescent="0.35">
      <c r="B45" s="85" t="s">
        <v>157</v>
      </c>
      <c r="C45" s="86">
        <v>0</v>
      </c>
      <c r="D45" s="86"/>
      <c r="E45" s="86" t="str">
        <f t="shared" si="0"/>
        <v>lvl1</v>
      </c>
      <c r="F45" s="86" t="str">
        <f t="shared" si="1"/>
        <v>w</v>
      </c>
      <c r="G45" s="86" t="str">
        <f t="shared" si="2"/>
        <v>b02.00</v>
      </c>
      <c r="H45" s="86" t="str">
        <f t="shared" si="3"/>
        <v>0610_crryng_amnt_ifrs</v>
      </c>
      <c r="I45" s="86"/>
    </row>
    <row r="46" spans="2:9" x14ac:dyDescent="0.35">
      <c r="B46" s="85" t="s">
        <v>158</v>
      </c>
      <c r="C46" s="86">
        <v>-9999</v>
      </c>
      <c r="D46" s="86"/>
      <c r="E46" s="86" t="str">
        <f t="shared" si="0"/>
        <v>lvl1</v>
      </c>
      <c r="F46" s="86" t="str">
        <f t="shared" si="1"/>
        <v>h</v>
      </c>
      <c r="G46" s="86" t="str">
        <f t="shared" si="2"/>
        <v>b02.00</v>
      </c>
      <c r="H46" s="86" t="str">
        <f t="shared" si="3"/>
        <v>5000_flg_shrhldr_not_rsltn_grp</v>
      </c>
      <c r="I46" s="86"/>
    </row>
    <row r="47" spans="2:9" x14ac:dyDescent="0.35">
      <c r="B47" s="85" t="s">
        <v>159</v>
      </c>
      <c r="C47" s="86">
        <v>-9999</v>
      </c>
      <c r="D47" s="86"/>
      <c r="E47" s="86" t="str">
        <f t="shared" si="0"/>
        <v>lvl1</v>
      </c>
      <c r="F47" s="86" t="str">
        <f t="shared" si="1"/>
        <v>h</v>
      </c>
      <c r="G47" s="86" t="str">
        <f t="shared" si="2"/>
        <v>b02.00</v>
      </c>
      <c r="H47" s="86" t="str">
        <f t="shared" si="3"/>
        <v>5010_flg_art21_7a_srmr</v>
      </c>
      <c r="I47" s="86"/>
    </row>
    <row r="48" spans="2:9" x14ac:dyDescent="0.35">
      <c r="B48" s="85" t="s">
        <v>160</v>
      </c>
      <c r="C48" s="86">
        <v>0</v>
      </c>
      <c r="D48" s="86"/>
      <c r="E48" s="86" t="str">
        <f t="shared" si="0"/>
        <v>lvl2</v>
      </c>
      <c r="F48" s="86" t="str">
        <f t="shared" si="1"/>
        <v>h</v>
      </c>
      <c r="G48" s="86" t="str">
        <f t="shared" si="2"/>
        <v>b02.00</v>
      </c>
      <c r="H48" s="86" t="str">
        <f t="shared" si="3"/>
        <v>0030_uniq_id_knwn_cntrprty</v>
      </c>
      <c r="I48" s="86"/>
    </row>
    <row r="49" spans="2:9" x14ac:dyDescent="0.35">
      <c r="B49" s="85" t="s">
        <v>161</v>
      </c>
      <c r="C49" s="86">
        <v>0</v>
      </c>
      <c r="D49" s="86"/>
      <c r="E49" s="86" t="str">
        <f t="shared" si="0"/>
        <v>lvl2</v>
      </c>
      <c r="F49" s="86" t="str">
        <f t="shared" si="1"/>
        <v>h</v>
      </c>
      <c r="G49" s="86" t="str">
        <f t="shared" si="2"/>
        <v>b02.00</v>
      </c>
      <c r="H49" s="86" t="str">
        <f t="shared" si="3"/>
        <v>0070_cntrct_crrncy</v>
      </c>
      <c r="I49" s="86"/>
    </row>
    <row r="50" spans="2:9" x14ac:dyDescent="0.35">
      <c r="B50" s="85" t="s">
        <v>162</v>
      </c>
      <c r="C50" s="86">
        <v>0</v>
      </c>
      <c r="D50" s="86"/>
      <c r="E50" s="86" t="str">
        <f t="shared" si="0"/>
        <v>lvl2</v>
      </c>
      <c r="F50" s="86" t="str">
        <f t="shared" si="1"/>
        <v>w</v>
      </c>
      <c r="G50" s="86" t="str">
        <f t="shared" si="2"/>
        <v>b02.00</v>
      </c>
      <c r="H50" s="86" t="str">
        <f t="shared" si="3"/>
        <v>0080_otstndng_prncpl_amnt</v>
      </c>
      <c r="I50" s="86"/>
    </row>
    <row r="51" spans="2:9" x14ac:dyDescent="0.35">
      <c r="B51" s="85" t="s">
        <v>163</v>
      </c>
      <c r="C51" s="86">
        <v>0</v>
      </c>
      <c r="D51" s="86"/>
      <c r="E51" s="86" t="str">
        <f t="shared" si="0"/>
        <v>lvl2</v>
      </c>
      <c r="F51" s="86" t="str">
        <f t="shared" si="1"/>
        <v>h</v>
      </c>
      <c r="G51" s="86" t="str">
        <f t="shared" si="2"/>
        <v>b02.00</v>
      </c>
      <c r="H51" s="86" t="str">
        <f t="shared" si="3"/>
        <v>0090_prtn_amnt_rprtng_entty</v>
      </c>
      <c r="I51" s="86"/>
    </row>
    <row r="52" spans="2:9" x14ac:dyDescent="0.35">
      <c r="B52" s="85" t="s">
        <v>164</v>
      </c>
      <c r="C52" s="86">
        <v>0</v>
      </c>
      <c r="D52" s="86"/>
      <c r="E52" s="86" t="str">
        <f t="shared" si="0"/>
        <v>lvl2</v>
      </c>
      <c r="F52" s="86" t="str">
        <f t="shared" si="1"/>
        <v>w</v>
      </c>
      <c r="G52" s="86" t="str">
        <f t="shared" si="2"/>
        <v>b02.00</v>
      </c>
      <c r="H52" s="86" t="str">
        <f t="shared" si="3"/>
        <v>0100_accrd_intrst_instrmnt</v>
      </c>
      <c r="I52" s="86"/>
    </row>
    <row r="53" spans="2:9" x14ac:dyDescent="0.35">
      <c r="B53" s="85" t="s">
        <v>165</v>
      </c>
      <c r="C53" s="86">
        <v>0</v>
      </c>
      <c r="D53" s="86"/>
      <c r="E53" s="86" t="str">
        <f t="shared" si="0"/>
        <v>lvl2</v>
      </c>
      <c r="F53" s="86" t="str">
        <f t="shared" si="1"/>
        <v>w</v>
      </c>
      <c r="G53" s="86" t="str">
        <f t="shared" si="2"/>
        <v>b02.00</v>
      </c>
      <c r="H53" s="86" t="str">
        <f t="shared" si="3"/>
        <v>0110_applcbl_fees_charges</v>
      </c>
      <c r="I53" s="86"/>
    </row>
    <row r="54" spans="2:9" x14ac:dyDescent="0.35">
      <c r="B54" s="85" t="s">
        <v>166</v>
      </c>
      <c r="C54" s="86">
        <v>8</v>
      </c>
      <c r="D54" s="86"/>
      <c r="E54" s="86" t="str">
        <f t="shared" si="0"/>
        <v>lvl2</v>
      </c>
      <c r="F54" s="86" t="str">
        <f t="shared" si="1"/>
        <v>h</v>
      </c>
      <c r="G54" s="86" t="str">
        <f t="shared" si="2"/>
        <v>b02.00</v>
      </c>
      <c r="H54" s="86" t="str">
        <f t="shared" si="3"/>
        <v>0120_otstndng_amnt</v>
      </c>
      <c r="I54" s="86"/>
    </row>
    <row r="55" spans="2:9" x14ac:dyDescent="0.35">
      <c r="B55" s="85" t="s">
        <v>167</v>
      </c>
      <c r="C55" s="86">
        <v>0</v>
      </c>
      <c r="D55" s="86"/>
      <c r="E55" s="86" t="str">
        <f t="shared" si="0"/>
        <v>lvl2</v>
      </c>
      <c r="F55" s="86" t="str">
        <f t="shared" si="1"/>
        <v>h</v>
      </c>
      <c r="G55" s="86" t="str">
        <f t="shared" si="2"/>
        <v>b02.00</v>
      </c>
      <c r="H55" s="86" t="str">
        <f t="shared" si="3"/>
        <v>0120_otstndng_amnt</v>
      </c>
      <c r="I55" s="86"/>
    </row>
    <row r="56" spans="2:9" x14ac:dyDescent="0.35">
      <c r="B56" s="85" t="s">
        <v>168</v>
      </c>
      <c r="C56" s="86">
        <v>0</v>
      </c>
      <c r="D56" s="86"/>
      <c r="E56" s="86" t="str">
        <f t="shared" si="0"/>
        <v>lvl2</v>
      </c>
      <c r="F56" s="86" t="str">
        <f t="shared" si="1"/>
        <v>h</v>
      </c>
      <c r="G56" s="86" t="str">
        <f t="shared" si="2"/>
        <v>b02.00</v>
      </c>
      <c r="H56" s="86" t="str">
        <f t="shared" si="3"/>
        <v>0130_rlvnt_amnt_wdc</v>
      </c>
      <c r="I56" s="86"/>
    </row>
    <row r="57" spans="2:9" x14ac:dyDescent="0.35">
      <c r="B57" s="85" t="s">
        <v>169</v>
      </c>
      <c r="C57" s="86">
        <v>0</v>
      </c>
      <c r="D57" s="86"/>
      <c r="E57" s="86" t="str">
        <f t="shared" si="0"/>
        <v>lvl2</v>
      </c>
      <c r="F57" s="86" t="str">
        <f t="shared" si="1"/>
        <v>h</v>
      </c>
      <c r="G57" s="86" t="str">
        <f t="shared" si="2"/>
        <v>b02.00</v>
      </c>
      <c r="H57" s="86" t="str">
        <f t="shared" si="3"/>
        <v>0130_rlvnt_amnt_wdc</v>
      </c>
      <c r="I57" s="86"/>
    </row>
    <row r="58" spans="2:9" x14ac:dyDescent="0.35">
      <c r="B58" s="85" t="s">
        <v>170</v>
      </c>
      <c r="C58" s="86">
        <v>4</v>
      </c>
      <c r="D58" s="86"/>
      <c r="E58" s="86" t="str">
        <f t="shared" si="0"/>
        <v>lvl2</v>
      </c>
      <c r="F58" s="86" t="str">
        <f t="shared" si="1"/>
        <v>h</v>
      </c>
      <c r="G58" s="86" t="str">
        <f t="shared" si="2"/>
        <v>b02.00</v>
      </c>
      <c r="H58" s="86" t="str">
        <f t="shared" si="3"/>
        <v>0140_ntr_lblty</v>
      </c>
      <c r="I58" s="86"/>
    </row>
    <row r="59" spans="2:9" x14ac:dyDescent="0.35">
      <c r="B59" s="85" t="s">
        <v>171</v>
      </c>
      <c r="C59" s="86">
        <v>0</v>
      </c>
      <c r="D59" s="86"/>
      <c r="E59" s="86" t="str">
        <f t="shared" si="0"/>
        <v>lvl2</v>
      </c>
      <c r="F59" s="86" t="str">
        <f t="shared" si="1"/>
        <v>h</v>
      </c>
      <c r="G59" s="86" t="str">
        <f t="shared" si="2"/>
        <v>b02.00</v>
      </c>
      <c r="H59" s="86" t="str">
        <f t="shared" si="3"/>
        <v>0160_rank_insolv</v>
      </c>
      <c r="I59" s="86"/>
    </row>
    <row r="60" spans="2:9" x14ac:dyDescent="0.35">
      <c r="B60" s="85" t="s">
        <v>172</v>
      </c>
      <c r="C60" s="86">
        <v>0</v>
      </c>
      <c r="D60" s="86"/>
      <c r="E60" s="86" t="str">
        <f t="shared" si="0"/>
        <v>lvl2</v>
      </c>
      <c r="F60" s="86" t="str">
        <f t="shared" si="1"/>
        <v>h</v>
      </c>
      <c r="G60" s="86" t="str">
        <f t="shared" si="2"/>
        <v>b02.00</v>
      </c>
      <c r="H60" s="86" t="str">
        <f t="shared" si="3"/>
        <v>0170_dt_incptn</v>
      </c>
      <c r="I60" s="86"/>
    </row>
    <row r="61" spans="2:9" x14ac:dyDescent="0.35">
      <c r="B61" s="85" t="s">
        <v>173</v>
      </c>
      <c r="C61" s="86">
        <v>0</v>
      </c>
      <c r="D61" s="86"/>
      <c r="E61" s="86" t="str">
        <f t="shared" si="0"/>
        <v>lvl2</v>
      </c>
      <c r="F61" s="86" t="str">
        <f t="shared" si="1"/>
        <v>h</v>
      </c>
      <c r="G61" s="86" t="str">
        <f t="shared" si="2"/>
        <v>b02.00</v>
      </c>
      <c r="H61" s="86" t="str">
        <f t="shared" si="3"/>
        <v>0170_dt_incptn</v>
      </c>
      <c r="I61" s="86"/>
    </row>
    <row r="62" spans="2:9" x14ac:dyDescent="0.35">
      <c r="B62" s="85" t="s">
        <v>174</v>
      </c>
      <c r="C62" s="86">
        <v>8</v>
      </c>
      <c r="D62" s="86"/>
      <c r="E62" s="86" t="str">
        <f t="shared" si="0"/>
        <v>lvl2</v>
      </c>
      <c r="F62" s="86" t="str">
        <f t="shared" si="1"/>
        <v>h</v>
      </c>
      <c r="G62" s="86" t="str">
        <f t="shared" si="2"/>
        <v>b02.00</v>
      </c>
      <c r="H62" s="86" t="str">
        <f t="shared" si="3"/>
        <v>0180_dt_nxt_intrst_pymnt</v>
      </c>
      <c r="I62" s="86"/>
    </row>
    <row r="63" spans="2:9" x14ac:dyDescent="0.35">
      <c r="B63" s="85" t="s">
        <v>175</v>
      </c>
      <c r="C63" s="86">
        <v>-9999</v>
      </c>
      <c r="D63" s="86"/>
      <c r="E63" s="86" t="str">
        <f t="shared" si="0"/>
        <v>lvl2</v>
      </c>
      <c r="F63" s="86" t="str">
        <f t="shared" si="1"/>
        <v>h</v>
      </c>
      <c r="G63" s="86" t="str">
        <f t="shared" si="2"/>
        <v>b02.00</v>
      </c>
      <c r="H63" s="86" t="str">
        <f t="shared" si="3"/>
        <v>0180_dt_nxt_intrst_pymnt</v>
      </c>
      <c r="I63" s="86"/>
    </row>
    <row r="64" spans="2:9" x14ac:dyDescent="0.35">
      <c r="B64" s="85" t="s">
        <v>176</v>
      </c>
      <c r="C64" s="86">
        <v>0</v>
      </c>
      <c r="D64" s="86"/>
      <c r="E64" s="86" t="str">
        <f t="shared" si="0"/>
        <v>lvl2</v>
      </c>
      <c r="F64" s="86" t="str">
        <f t="shared" si="1"/>
        <v>h</v>
      </c>
      <c r="G64" s="86" t="str">
        <f t="shared" si="2"/>
        <v>b02.00</v>
      </c>
      <c r="H64" s="86" t="str">
        <f t="shared" si="3"/>
        <v>0200_dt_erlst_rdmptn</v>
      </c>
      <c r="I64" s="86"/>
    </row>
    <row r="65" spans="2:9" x14ac:dyDescent="0.35">
      <c r="B65" s="85" t="s">
        <v>177</v>
      </c>
      <c r="C65" s="86">
        <v>-9999</v>
      </c>
      <c r="D65" s="86"/>
      <c r="E65" s="86" t="str">
        <f t="shared" si="0"/>
        <v>lvl2</v>
      </c>
      <c r="F65" s="86" t="str">
        <f t="shared" si="1"/>
        <v>h</v>
      </c>
      <c r="G65" s="86" t="str">
        <f t="shared" si="2"/>
        <v>b02.00</v>
      </c>
      <c r="H65" s="86" t="str">
        <f t="shared" si="3"/>
        <v>0200_dt_erlst_rdmptn</v>
      </c>
      <c r="I65" s="86"/>
    </row>
    <row r="66" spans="2:9" x14ac:dyDescent="0.35">
      <c r="B66" s="85" t="s">
        <v>178</v>
      </c>
      <c r="C66" s="86">
        <v>0</v>
      </c>
      <c r="D66" s="86"/>
      <c r="E66" s="86" t="str">
        <f t="shared" si="0"/>
        <v>lvl2</v>
      </c>
      <c r="F66" s="86" t="str">
        <f t="shared" si="1"/>
        <v>h</v>
      </c>
      <c r="G66" s="86" t="str">
        <f t="shared" si="2"/>
        <v>b02.00</v>
      </c>
      <c r="H66" s="86" t="str">
        <f t="shared" si="3"/>
        <v>0210_dt_lgl_fnl_mtrty</v>
      </c>
      <c r="I66" s="86"/>
    </row>
    <row r="67" spans="2:9" x14ac:dyDescent="0.35">
      <c r="B67" s="85" t="s">
        <v>179</v>
      </c>
      <c r="C67" s="86">
        <v>-9999</v>
      </c>
      <c r="D67" s="86"/>
      <c r="E67" s="86" t="str">
        <f t="shared" si="0"/>
        <v>lvl2</v>
      </c>
      <c r="F67" s="86" t="str">
        <f t="shared" si="1"/>
        <v>h</v>
      </c>
      <c r="G67" s="86" t="str">
        <f t="shared" si="2"/>
        <v>b02.00</v>
      </c>
      <c r="H67" s="86" t="str">
        <f t="shared" si="3"/>
        <v>0210_dt_lgl_fnl_mtrty</v>
      </c>
      <c r="I67" s="86"/>
    </row>
    <row r="68" spans="2:9" x14ac:dyDescent="0.35">
      <c r="B68" s="85" t="s">
        <v>180</v>
      </c>
      <c r="C68" s="86">
        <v>0</v>
      </c>
      <c r="D68" s="86"/>
      <c r="E68" s="86" t="str">
        <f t="shared" si="0"/>
        <v>lvl2</v>
      </c>
      <c r="F68" s="86" t="str">
        <f t="shared" si="1"/>
        <v>h</v>
      </c>
      <c r="G68" s="86" t="str">
        <f t="shared" si="2"/>
        <v>b02.00</v>
      </c>
      <c r="H68" s="86" t="str">
        <f t="shared" si="3"/>
        <v>0220_governing_law</v>
      </c>
      <c r="I68" s="86"/>
    </row>
    <row r="69" spans="2:9" x14ac:dyDescent="0.35">
      <c r="B69" s="85" t="s">
        <v>181</v>
      </c>
      <c r="C69" s="86">
        <v>0</v>
      </c>
      <c r="D69" s="86"/>
      <c r="E69" s="86" t="str">
        <f t="shared" si="0"/>
        <v>lvl2</v>
      </c>
      <c r="F69" s="86" t="str">
        <f t="shared" si="1"/>
        <v>h</v>
      </c>
      <c r="G69" s="86" t="str">
        <f t="shared" si="2"/>
        <v>b02.00</v>
      </c>
      <c r="H69" s="86" t="str">
        <f t="shared" si="3"/>
        <v>0230_bail_in_rcgntn_cls</v>
      </c>
      <c r="I69" s="86"/>
    </row>
    <row r="70" spans="2:9" x14ac:dyDescent="0.35">
      <c r="B70" s="85" t="s">
        <v>182</v>
      </c>
      <c r="C70" s="86">
        <v>0</v>
      </c>
      <c r="D70" s="86"/>
      <c r="E70" s="86" t="str">
        <f t="shared" si="0"/>
        <v>lvl2</v>
      </c>
      <c r="F70" s="86" t="str">
        <f t="shared" si="1"/>
        <v>h</v>
      </c>
      <c r="G70" s="86" t="str">
        <f t="shared" si="2"/>
        <v>b02.00</v>
      </c>
      <c r="H70" s="86" t="str">
        <f t="shared" si="3"/>
        <v>0250_strctrd_prdct</v>
      </c>
      <c r="I70" s="86"/>
    </row>
    <row r="71" spans="2:9" x14ac:dyDescent="0.35">
      <c r="B71" s="85" t="s">
        <v>183</v>
      </c>
      <c r="C71" s="86">
        <v>0</v>
      </c>
      <c r="D71" s="86"/>
      <c r="E71" s="86" t="str">
        <f t="shared" si="0"/>
        <v>lvl2</v>
      </c>
      <c r="F71" s="86" t="str">
        <f t="shared" si="1"/>
        <v>h</v>
      </c>
      <c r="G71" s="86" t="str">
        <f t="shared" si="2"/>
        <v>b02.00</v>
      </c>
      <c r="H71" s="86" t="str">
        <f t="shared" si="3"/>
        <v>0310_flg_clltrl_agrmnts</v>
      </c>
      <c r="I71" s="86"/>
    </row>
    <row r="72" spans="2:9" x14ac:dyDescent="0.35">
      <c r="B72" s="85" t="s">
        <v>184</v>
      </c>
      <c r="C72" s="86">
        <v>0</v>
      </c>
      <c r="D72" s="86"/>
      <c r="E72" s="86" t="str">
        <f t="shared" si="0"/>
        <v>lvl2</v>
      </c>
      <c r="F72" s="86" t="str">
        <f t="shared" si="1"/>
        <v>h</v>
      </c>
      <c r="G72" s="86" t="str">
        <f t="shared" si="2"/>
        <v>b02.00</v>
      </c>
      <c r="H72" s="86" t="str">
        <f t="shared" si="3"/>
        <v>0330_amnt_unclltrlzd</v>
      </c>
      <c r="I72" s="86"/>
    </row>
    <row r="73" spans="2:9" x14ac:dyDescent="0.35">
      <c r="B73" s="85" t="s">
        <v>185</v>
      </c>
      <c r="C73" s="86">
        <v>0</v>
      </c>
      <c r="D73" s="86"/>
      <c r="E73" s="86" t="str">
        <f t="shared" si="0"/>
        <v>lvl2</v>
      </c>
      <c r="F73" s="86" t="str">
        <f t="shared" si="1"/>
        <v>h</v>
      </c>
      <c r="G73" s="86" t="str">
        <f t="shared" si="2"/>
        <v>b02.00</v>
      </c>
      <c r="H73" s="86" t="str">
        <f t="shared" si="3"/>
        <v>0330_amnt_unclltrlzd</v>
      </c>
      <c r="I73" s="86"/>
    </row>
    <row r="74" spans="2:9" x14ac:dyDescent="0.35">
      <c r="B74" s="85" t="s">
        <v>186</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x14ac:dyDescent="0.35">
      <c r="B75" s="85" t="s">
        <v>187</v>
      </c>
      <c r="C75" s="86">
        <v>0</v>
      </c>
      <c r="D75" s="86"/>
      <c r="E75" s="86" t="str">
        <f t="shared" si="4"/>
        <v>lvl2</v>
      </c>
      <c r="F75" s="86" t="str">
        <f t="shared" si="5"/>
        <v>h</v>
      </c>
      <c r="G75" s="86" t="str">
        <f t="shared" si="6"/>
        <v>b02.00</v>
      </c>
      <c r="H75" s="86" t="str">
        <f t="shared" si="7"/>
        <v>0350_typ_clltrl</v>
      </c>
      <c r="I75" s="86"/>
    </row>
    <row r="76" spans="2:9" x14ac:dyDescent="0.35">
      <c r="B76" s="85" t="s">
        <v>188</v>
      </c>
      <c r="C76" s="86">
        <v>0</v>
      </c>
      <c r="D76" s="86"/>
      <c r="E76" s="86" t="str">
        <f t="shared" si="4"/>
        <v>lvl2</v>
      </c>
      <c r="F76" s="86" t="str">
        <f t="shared" si="5"/>
        <v>h</v>
      </c>
      <c r="G76" s="86" t="str">
        <f t="shared" si="6"/>
        <v>b02.00</v>
      </c>
      <c r="H76" s="86" t="str">
        <f t="shared" si="7"/>
        <v>0440_ntr_glbl_nt</v>
      </c>
      <c r="I76" s="86"/>
    </row>
    <row r="77" spans="2:9" x14ac:dyDescent="0.35">
      <c r="B77" s="85" t="s">
        <v>189</v>
      </c>
      <c r="C77" s="86">
        <v>0</v>
      </c>
      <c r="D77" s="86"/>
      <c r="E77" s="86" t="str">
        <f t="shared" si="4"/>
        <v>lvl2</v>
      </c>
      <c r="F77" s="86" t="str">
        <f t="shared" si="5"/>
        <v>h</v>
      </c>
      <c r="G77" s="86" t="str">
        <f t="shared" si="6"/>
        <v>b02.00</v>
      </c>
      <c r="H77" s="86" t="str">
        <f t="shared" si="7"/>
        <v>0530_typ_own_fnds_ind_lvl</v>
      </c>
      <c r="I77" s="86"/>
    </row>
    <row r="78" spans="2:9" x14ac:dyDescent="0.35">
      <c r="B78" s="85" t="s">
        <v>190</v>
      </c>
      <c r="C78" s="86">
        <v>0</v>
      </c>
      <c r="D78" s="86"/>
      <c r="E78" s="86" t="str">
        <f t="shared" si="4"/>
        <v>lvl2</v>
      </c>
      <c r="F78" s="86" t="str">
        <f t="shared" si="5"/>
        <v>h</v>
      </c>
      <c r="G78" s="86" t="str">
        <f t="shared" si="6"/>
        <v>b02.00</v>
      </c>
      <c r="H78" s="86" t="str">
        <f t="shared" si="7"/>
        <v>0540_elgbl_amnt_own_fnds_ind_lvl</v>
      </c>
      <c r="I78" s="86"/>
    </row>
    <row r="79" spans="2:9" x14ac:dyDescent="0.35">
      <c r="B79" s="85" t="s">
        <v>191</v>
      </c>
      <c r="C79" s="86">
        <v>0</v>
      </c>
      <c r="D79" s="86"/>
      <c r="E79" s="86" t="str">
        <f t="shared" si="4"/>
        <v>lvl2</v>
      </c>
      <c r="F79" s="86" t="str">
        <f t="shared" si="5"/>
        <v>h</v>
      </c>
      <c r="G79" s="86" t="str">
        <f t="shared" si="6"/>
        <v>b02.00</v>
      </c>
      <c r="H79" s="86" t="str">
        <f t="shared" si="7"/>
        <v>0550_typ_own_fnds_cnsldtd_lvl</v>
      </c>
      <c r="I79" s="86"/>
    </row>
    <row r="80" spans="2:9" x14ac:dyDescent="0.35">
      <c r="B80" s="85" t="s">
        <v>192</v>
      </c>
      <c r="C80" s="86">
        <v>0</v>
      </c>
      <c r="D80" s="86"/>
      <c r="E80" s="86" t="str">
        <f t="shared" si="4"/>
        <v>lvl2</v>
      </c>
      <c r="F80" s="86" t="str">
        <f t="shared" si="5"/>
        <v>h</v>
      </c>
      <c r="G80" s="86" t="str">
        <f t="shared" si="6"/>
        <v>b02.00</v>
      </c>
      <c r="H80" s="86" t="str">
        <f t="shared" si="7"/>
        <v>0560_elgbl_amnt_own_fnds_cnsldtd_lvl</v>
      </c>
      <c r="I80" s="86"/>
    </row>
    <row r="81" spans="2:9" x14ac:dyDescent="0.35">
      <c r="B81" s="85" t="s">
        <v>193</v>
      </c>
      <c r="C81" s="86">
        <v>0</v>
      </c>
      <c r="D81" s="86"/>
      <c r="E81" s="86" t="str">
        <f t="shared" si="4"/>
        <v>lvl2</v>
      </c>
      <c r="F81" s="86" t="str">
        <f t="shared" si="5"/>
        <v>h</v>
      </c>
      <c r="G81" s="86" t="str">
        <f t="shared" si="6"/>
        <v>b02.00</v>
      </c>
      <c r="H81" s="86" t="str">
        <f t="shared" si="7"/>
        <v>0590_typ_scrty_intrst_prvdd</v>
      </c>
      <c r="I81" s="86"/>
    </row>
    <row r="82" spans="2:9" x14ac:dyDescent="0.35">
      <c r="B82" s="85" t="s">
        <v>194</v>
      </c>
      <c r="C82" s="86">
        <v>0</v>
      </c>
      <c r="D82" s="86"/>
      <c r="E82" s="86" t="str">
        <f t="shared" si="4"/>
        <v>lvl2</v>
      </c>
      <c r="F82" s="86" t="str">
        <f t="shared" si="5"/>
        <v>h</v>
      </c>
      <c r="G82" s="86" t="str">
        <f t="shared" si="6"/>
        <v>b02.00</v>
      </c>
      <c r="H82" s="86" t="str">
        <f t="shared" si="7"/>
        <v>0610_crryng_amnt_ifrs</v>
      </c>
      <c r="I82" s="86"/>
    </row>
    <row r="83" spans="2:9" x14ac:dyDescent="0.35">
      <c r="B83" s="85" t="s">
        <v>195</v>
      </c>
      <c r="C83" s="86">
        <v>0</v>
      </c>
      <c r="D83" s="86"/>
      <c r="E83" s="86" t="str">
        <f t="shared" si="4"/>
        <v>lvl2</v>
      </c>
      <c r="F83" s="86" t="str">
        <f t="shared" si="5"/>
        <v>h</v>
      </c>
      <c r="G83" s="86" t="str">
        <f t="shared" si="6"/>
        <v>b02.00</v>
      </c>
      <c r="H83" s="86" t="str">
        <f t="shared" si="7"/>
        <v>0620_blnc_sht_ifrs</v>
      </c>
      <c r="I83" s="86"/>
    </row>
    <row r="84" spans="2:9" x14ac:dyDescent="0.35">
      <c r="B84" s="85" t="s">
        <v>196</v>
      </c>
      <c r="C84" s="86">
        <v>0</v>
      </c>
      <c r="D84" s="86"/>
      <c r="E84" s="86" t="str">
        <f t="shared" si="4"/>
        <v>frmt</v>
      </c>
      <c r="F84" s="86" t="str">
        <f t="shared" si="5"/>
        <v>f</v>
      </c>
      <c r="G84" s="86" t="str">
        <f t="shared" si="6"/>
        <v>b02.00</v>
      </c>
      <c r="H84" s="86" t="str">
        <f t="shared" si="7"/>
        <v>0010_row_nmbr</v>
      </c>
      <c r="I84" s="86"/>
    </row>
    <row r="85" spans="2:9" x14ac:dyDescent="0.35">
      <c r="B85" s="85" t="s">
        <v>197</v>
      </c>
      <c r="C85" s="86">
        <v>0</v>
      </c>
      <c r="D85" s="86"/>
      <c r="E85" s="86" t="str">
        <f t="shared" si="4"/>
        <v>frmt</v>
      </c>
      <c r="F85" s="86" t="str">
        <f t="shared" si="5"/>
        <v>f</v>
      </c>
      <c r="G85" s="86" t="str">
        <f t="shared" si="6"/>
        <v>b02.00</v>
      </c>
      <c r="H85" s="86" t="str">
        <f t="shared" si="7"/>
        <v>0020_uniq_id</v>
      </c>
      <c r="I85" s="86"/>
    </row>
    <row r="86" spans="2:9" x14ac:dyDescent="0.35">
      <c r="B86" s="85" t="s">
        <v>198</v>
      </c>
      <c r="C86" s="86">
        <v>0</v>
      </c>
      <c r="D86" s="86"/>
      <c r="E86" s="86" t="str">
        <f t="shared" si="4"/>
        <v>frmt</v>
      </c>
      <c r="F86" s="86" t="str">
        <f t="shared" si="5"/>
        <v>f</v>
      </c>
      <c r="G86" s="86" t="str">
        <f t="shared" si="6"/>
        <v>b02.00</v>
      </c>
      <c r="H86" s="86" t="str">
        <f t="shared" si="7"/>
        <v>0030_uniq_id_knwn_cntrprty</v>
      </c>
      <c r="I86" s="86"/>
    </row>
    <row r="87" spans="2:9" x14ac:dyDescent="0.35">
      <c r="B87" s="85" t="s">
        <v>199</v>
      </c>
      <c r="C87" s="86">
        <v>0</v>
      </c>
      <c r="D87" s="86"/>
      <c r="E87" s="86" t="str">
        <f t="shared" si="4"/>
        <v>frmt</v>
      </c>
      <c r="F87" s="86" t="str">
        <f t="shared" si="5"/>
        <v>f</v>
      </c>
      <c r="G87" s="86" t="str">
        <f t="shared" si="6"/>
        <v>b02.00</v>
      </c>
      <c r="H87" s="86" t="str">
        <f t="shared" si="7"/>
        <v>0040_typ_uniq_id_knwn_cntrprty</v>
      </c>
      <c r="I87" s="86"/>
    </row>
    <row r="88" spans="2:9" x14ac:dyDescent="0.35">
      <c r="B88" s="85" t="s">
        <v>200</v>
      </c>
      <c r="C88" s="86">
        <v>0</v>
      </c>
      <c r="D88" s="86"/>
      <c r="E88" s="86" t="str">
        <f t="shared" si="4"/>
        <v>frmt</v>
      </c>
      <c r="F88" s="86" t="str">
        <f t="shared" si="5"/>
        <v>f</v>
      </c>
      <c r="G88" s="86" t="str">
        <f t="shared" si="6"/>
        <v>b02.00</v>
      </c>
      <c r="H88" s="86" t="str">
        <f t="shared" si="7"/>
        <v>0050_orgnl_amnt_eur</v>
      </c>
      <c r="I88" s="86"/>
    </row>
    <row r="89" spans="2:9" x14ac:dyDescent="0.35">
      <c r="B89" s="85" t="s">
        <v>201</v>
      </c>
      <c r="C89" s="86">
        <v>0</v>
      </c>
      <c r="D89" s="86"/>
      <c r="E89" s="86" t="str">
        <f t="shared" si="4"/>
        <v>frmt</v>
      </c>
      <c r="F89" s="86" t="str">
        <f t="shared" si="5"/>
        <v>f</v>
      </c>
      <c r="G89" s="86" t="str">
        <f t="shared" si="6"/>
        <v>b02.00</v>
      </c>
      <c r="H89" s="86" t="str">
        <f t="shared" si="7"/>
        <v>0060_orgnl_amnt_fx</v>
      </c>
      <c r="I89" s="86"/>
    </row>
    <row r="90" spans="2:9" x14ac:dyDescent="0.35">
      <c r="B90" s="85" t="s">
        <v>202</v>
      </c>
      <c r="C90" s="86">
        <v>0</v>
      </c>
      <c r="D90" s="86"/>
      <c r="E90" s="86" t="str">
        <f t="shared" si="4"/>
        <v>frmt</v>
      </c>
      <c r="F90" s="86" t="str">
        <f t="shared" si="5"/>
        <v>f</v>
      </c>
      <c r="G90" s="86" t="str">
        <f t="shared" si="6"/>
        <v>b02.00</v>
      </c>
      <c r="H90" s="86" t="str">
        <f t="shared" si="7"/>
        <v>0070_cntrct_crrncy</v>
      </c>
      <c r="I90" s="86"/>
    </row>
    <row r="91" spans="2:9" x14ac:dyDescent="0.35">
      <c r="B91" s="85" t="s">
        <v>203</v>
      </c>
      <c r="C91" s="86">
        <v>0</v>
      </c>
      <c r="D91" s="86"/>
      <c r="E91" s="86" t="str">
        <f t="shared" si="4"/>
        <v>frmt</v>
      </c>
      <c r="F91" s="86" t="str">
        <f t="shared" si="5"/>
        <v>f</v>
      </c>
      <c r="G91" s="86" t="str">
        <f t="shared" si="6"/>
        <v>b02.00</v>
      </c>
      <c r="H91" s="86" t="str">
        <f t="shared" si="7"/>
        <v>0080_otstndng_prncpl_amnt</v>
      </c>
      <c r="I91" s="86"/>
    </row>
    <row r="92" spans="2:9" x14ac:dyDescent="0.35">
      <c r="B92" s="85" t="s">
        <v>204</v>
      </c>
      <c r="C92" s="86">
        <v>0</v>
      </c>
      <c r="D92" s="86"/>
      <c r="E92" s="86" t="str">
        <f t="shared" si="4"/>
        <v>frmt</v>
      </c>
      <c r="F92" s="86" t="str">
        <f t="shared" si="5"/>
        <v>f</v>
      </c>
      <c r="G92" s="86" t="str">
        <f t="shared" si="6"/>
        <v>b02.00</v>
      </c>
      <c r="H92" s="86" t="str">
        <f t="shared" si="7"/>
        <v>0090_prtn_amnt_rprtng_entty</v>
      </c>
      <c r="I92" s="86"/>
    </row>
    <row r="93" spans="2:9" x14ac:dyDescent="0.35">
      <c r="B93" s="85" t="s">
        <v>205</v>
      </c>
      <c r="C93" s="86">
        <v>0</v>
      </c>
      <c r="D93" s="86"/>
      <c r="E93" s="86" t="str">
        <f t="shared" si="4"/>
        <v>frmt</v>
      </c>
      <c r="F93" s="86" t="str">
        <f t="shared" si="5"/>
        <v>f</v>
      </c>
      <c r="G93" s="86" t="str">
        <f t="shared" si="6"/>
        <v>b02.00</v>
      </c>
      <c r="H93" s="86" t="str">
        <f t="shared" si="7"/>
        <v>0100_accrd_intrst_instrmnt</v>
      </c>
      <c r="I93" s="86"/>
    </row>
    <row r="94" spans="2:9" x14ac:dyDescent="0.35">
      <c r="B94" s="85" t="s">
        <v>206</v>
      </c>
      <c r="C94" s="86">
        <v>0</v>
      </c>
      <c r="D94" s="86"/>
      <c r="E94" s="86" t="str">
        <f t="shared" si="4"/>
        <v>frmt</v>
      </c>
      <c r="F94" s="86" t="str">
        <f t="shared" si="5"/>
        <v>f</v>
      </c>
      <c r="G94" s="86" t="str">
        <f t="shared" si="6"/>
        <v>b02.00</v>
      </c>
      <c r="H94" s="86" t="str">
        <f t="shared" si="7"/>
        <v>0110_applcbl_fees_charges</v>
      </c>
      <c r="I94" s="86"/>
    </row>
    <row r="95" spans="2:9" x14ac:dyDescent="0.35">
      <c r="B95" s="85" t="s">
        <v>207</v>
      </c>
      <c r="C95" s="86">
        <v>8</v>
      </c>
      <c r="D95" s="86"/>
      <c r="E95" s="86" t="str">
        <f t="shared" si="4"/>
        <v>frmt</v>
      </c>
      <c r="F95" s="86" t="str">
        <f t="shared" si="5"/>
        <v>f</v>
      </c>
      <c r="G95" s="86" t="str">
        <f t="shared" si="6"/>
        <v>b02.00</v>
      </c>
      <c r="H95" s="86" t="str">
        <f t="shared" si="7"/>
        <v>0120_otstndng_amnt</v>
      </c>
      <c r="I95" s="86"/>
    </row>
    <row r="96" spans="2:9" x14ac:dyDescent="0.35">
      <c r="B96" s="85" t="s">
        <v>208</v>
      </c>
      <c r="C96" s="86">
        <v>8</v>
      </c>
      <c r="D96" s="86"/>
      <c r="E96" s="86" t="str">
        <f t="shared" si="4"/>
        <v>frmt</v>
      </c>
      <c r="F96" s="86" t="str">
        <f t="shared" si="5"/>
        <v>f</v>
      </c>
      <c r="G96" s="86" t="str">
        <f t="shared" si="6"/>
        <v>b02.00</v>
      </c>
      <c r="H96" s="86" t="str">
        <f t="shared" si="7"/>
        <v>0130_rlvnt_amnt_wdc</v>
      </c>
      <c r="I96" s="86"/>
    </row>
    <row r="97" spans="2:9" x14ac:dyDescent="0.35">
      <c r="B97" s="85" t="s">
        <v>209</v>
      </c>
      <c r="C97" s="86">
        <v>4</v>
      </c>
      <c r="D97" s="86"/>
      <c r="E97" s="86" t="str">
        <f t="shared" si="4"/>
        <v>frmt</v>
      </c>
      <c r="F97" s="86" t="str">
        <f t="shared" si="5"/>
        <v>f</v>
      </c>
      <c r="G97" s="86" t="str">
        <f t="shared" si="6"/>
        <v>b02.00</v>
      </c>
      <c r="H97" s="86" t="str">
        <f t="shared" si="7"/>
        <v>0140_ntr_lblty</v>
      </c>
      <c r="I97" s="86"/>
    </row>
    <row r="98" spans="2:9" x14ac:dyDescent="0.35">
      <c r="B98" s="85" t="s">
        <v>210</v>
      </c>
      <c r="C98" s="86">
        <v>8</v>
      </c>
      <c r="D98" s="86"/>
      <c r="E98" s="86" t="str">
        <f t="shared" si="4"/>
        <v>frmt</v>
      </c>
      <c r="F98" s="86" t="str">
        <f t="shared" si="5"/>
        <v>f</v>
      </c>
      <c r="G98" s="86" t="str">
        <f t="shared" si="6"/>
        <v>b02.00</v>
      </c>
      <c r="H98" s="86" t="str">
        <f t="shared" si="7"/>
        <v>0141_ntr_lblty_othr</v>
      </c>
      <c r="I98" s="89" t="s">
        <v>211</v>
      </c>
    </row>
    <row r="99" spans="2:9" x14ac:dyDescent="0.35">
      <c r="B99" s="85" t="s">
        <v>212</v>
      </c>
      <c r="C99" s="86">
        <v>8</v>
      </c>
      <c r="D99" s="86"/>
      <c r="E99" s="86" t="str">
        <f t="shared" si="4"/>
        <v>frmt</v>
      </c>
      <c r="F99" s="86" t="str">
        <f t="shared" si="5"/>
        <v>f</v>
      </c>
      <c r="G99" s="86" t="str">
        <f t="shared" si="6"/>
        <v>b02.00</v>
      </c>
      <c r="H99" s="86" t="str">
        <f t="shared" si="7"/>
        <v>0150_flg_strctrlly_sbrdntd</v>
      </c>
      <c r="I99" s="89" t="s">
        <v>213</v>
      </c>
    </row>
    <row r="100" spans="2:9" x14ac:dyDescent="0.35">
      <c r="B100" s="85" t="s">
        <v>214</v>
      </c>
      <c r="C100" s="86">
        <v>0</v>
      </c>
      <c r="D100" s="86"/>
      <c r="E100" s="86" t="str">
        <f t="shared" si="4"/>
        <v>frmt</v>
      </c>
      <c r="F100" s="86" t="str">
        <f t="shared" si="5"/>
        <v>f</v>
      </c>
      <c r="G100" s="86" t="str">
        <f t="shared" si="6"/>
        <v>b02.00</v>
      </c>
      <c r="H100" s="86" t="str">
        <f t="shared" si="7"/>
        <v>0160_rank_insolv</v>
      </c>
      <c r="I100" s="86"/>
    </row>
    <row r="101" spans="2:9" x14ac:dyDescent="0.35">
      <c r="B101" s="85" t="s">
        <v>215</v>
      </c>
      <c r="C101" s="86">
        <v>0</v>
      </c>
      <c r="D101" s="86"/>
      <c r="E101" s="86" t="str">
        <f t="shared" si="4"/>
        <v>frmt</v>
      </c>
      <c r="F101" s="86" t="str">
        <f t="shared" si="5"/>
        <v>f</v>
      </c>
      <c r="G101" s="86" t="str">
        <f t="shared" si="6"/>
        <v>b02.00</v>
      </c>
      <c r="H101" s="86" t="str">
        <f t="shared" si="7"/>
        <v>0161_cntrctl_sbrdntn</v>
      </c>
      <c r="I101" s="86"/>
    </row>
    <row r="102" spans="2:9" x14ac:dyDescent="0.35">
      <c r="B102" s="85" t="s">
        <v>216</v>
      </c>
      <c r="C102" s="86">
        <v>0</v>
      </c>
      <c r="D102" s="86"/>
      <c r="E102" s="86" t="str">
        <f t="shared" si="4"/>
        <v>frmt</v>
      </c>
      <c r="F102" s="86" t="str">
        <f t="shared" si="5"/>
        <v>f</v>
      </c>
      <c r="G102" s="86" t="str">
        <f t="shared" si="6"/>
        <v>b02.00</v>
      </c>
      <c r="H102" s="86" t="str">
        <f t="shared" si="7"/>
        <v>0162_bail_in_cascade</v>
      </c>
      <c r="I102" s="86"/>
    </row>
    <row r="103" spans="2:9" x14ac:dyDescent="0.35">
      <c r="B103" s="85" t="s">
        <v>217</v>
      </c>
      <c r="C103" s="86">
        <v>0</v>
      </c>
      <c r="D103" s="86"/>
      <c r="E103" s="86" t="str">
        <f t="shared" si="4"/>
        <v>frmt</v>
      </c>
      <c r="F103" s="86" t="str">
        <f t="shared" si="5"/>
        <v>f</v>
      </c>
      <c r="G103" s="86" t="str">
        <f t="shared" si="6"/>
        <v>b02.00</v>
      </c>
      <c r="H103" s="86" t="str">
        <f t="shared" si="7"/>
        <v>0170_dt_incptn</v>
      </c>
      <c r="I103" s="86"/>
    </row>
    <row r="104" spans="2:9" x14ac:dyDescent="0.35">
      <c r="B104" s="85" t="s">
        <v>218</v>
      </c>
      <c r="C104" s="86">
        <v>8</v>
      </c>
      <c r="D104" s="86"/>
      <c r="E104" s="86" t="str">
        <f t="shared" si="4"/>
        <v>frmt</v>
      </c>
      <c r="F104" s="86" t="str">
        <f t="shared" si="5"/>
        <v>f</v>
      </c>
      <c r="G104" s="86" t="str">
        <f t="shared" si="6"/>
        <v>b02.00</v>
      </c>
      <c r="H104" s="86" t="str">
        <f t="shared" si="7"/>
        <v>0180_dt_nxt_intrst_pymnt</v>
      </c>
      <c r="I104" s="86"/>
    </row>
    <row r="105" spans="2:9" x14ac:dyDescent="0.35">
      <c r="B105" s="85" t="s">
        <v>219</v>
      </c>
      <c r="C105" s="86">
        <v>0</v>
      </c>
      <c r="D105" s="86"/>
      <c r="E105" s="86" t="str">
        <f t="shared" si="4"/>
        <v>frmt</v>
      </c>
      <c r="F105" s="86" t="str">
        <f t="shared" si="5"/>
        <v>f</v>
      </c>
      <c r="G105" s="86" t="str">
        <f t="shared" si="6"/>
        <v>b02.00</v>
      </c>
      <c r="H105" s="86" t="str">
        <f t="shared" si="7"/>
        <v>0190_dt_nxt_rdmptn_pymnt</v>
      </c>
      <c r="I105" s="86"/>
    </row>
    <row r="106" spans="2:9" x14ac:dyDescent="0.35">
      <c r="B106" s="85" t="s">
        <v>220</v>
      </c>
      <c r="C106" s="86">
        <v>0</v>
      </c>
      <c r="D106" s="86"/>
      <c r="E106" s="86" t="str">
        <f t="shared" si="4"/>
        <v>frmt</v>
      </c>
      <c r="F106" s="86" t="str">
        <f t="shared" si="5"/>
        <v>f</v>
      </c>
      <c r="G106" s="86" t="str">
        <f t="shared" si="6"/>
        <v>b02.00</v>
      </c>
      <c r="H106" s="86" t="str">
        <f t="shared" si="7"/>
        <v>0200_dt_erlst_rdmptn</v>
      </c>
      <c r="I106" s="86"/>
    </row>
    <row r="107" spans="2:9" x14ac:dyDescent="0.35">
      <c r="B107" s="85" t="s">
        <v>221</v>
      </c>
      <c r="C107" s="86">
        <v>0</v>
      </c>
      <c r="D107" s="86"/>
      <c r="E107" s="86" t="str">
        <f t="shared" si="4"/>
        <v>frmt</v>
      </c>
      <c r="F107" s="86" t="str">
        <f t="shared" si="5"/>
        <v>f</v>
      </c>
      <c r="G107" s="86" t="str">
        <f t="shared" si="6"/>
        <v>b02.00</v>
      </c>
      <c r="H107" s="86" t="str">
        <f t="shared" si="7"/>
        <v>0210_dt_lgl_fnl_mtrty</v>
      </c>
      <c r="I107" s="86"/>
    </row>
    <row r="108" spans="2:9" x14ac:dyDescent="0.35">
      <c r="B108" s="85" t="s">
        <v>222</v>
      </c>
      <c r="C108" s="86">
        <v>0</v>
      </c>
      <c r="D108" s="86"/>
      <c r="E108" s="86" t="str">
        <f t="shared" si="4"/>
        <v>frmt</v>
      </c>
      <c r="F108" s="86" t="str">
        <f t="shared" si="5"/>
        <v>f</v>
      </c>
      <c r="G108" s="86" t="str">
        <f t="shared" si="6"/>
        <v>b02.00</v>
      </c>
      <c r="H108" s="86" t="str">
        <f t="shared" si="7"/>
        <v>0220_governing_law</v>
      </c>
      <c r="I108" s="86"/>
    </row>
    <row r="109" spans="2:9" x14ac:dyDescent="0.35">
      <c r="B109" s="85" t="s">
        <v>223</v>
      </c>
      <c r="C109" s="86">
        <v>0</v>
      </c>
      <c r="D109" s="86"/>
      <c r="E109" s="86" t="str">
        <f t="shared" si="4"/>
        <v>frmt</v>
      </c>
      <c r="F109" s="86" t="str">
        <f t="shared" si="5"/>
        <v>f</v>
      </c>
      <c r="G109" s="86" t="str">
        <f t="shared" si="6"/>
        <v>b02.00</v>
      </c>
      <c r="H109" s="86" t="str">
        <f t="shared" si="7"/>
        <v>0230_bail_in_rcgntn_cls</v>
      </c>
      <c r="I109" s="86"/>
    </row>
    <row r="110" spans="2:9" x14ac:dyDescent="0.35">
      <c r="B110" s="85" t="s">
        <v>224</v>
      </c>
      <c r="C110" s="86">
        <v>0</v>
      </c>
      <c r="D110" s="86"/>
      <c r="E110" s="86" t="str">
        <f t="shared" si="4"/>
        <v>frmt</v>
      </c>
      <c r="F110" s="86" t="str">
        <f t="shared" si="5"/>
        <v>f</v>
      </c>
      <c r="G110" s="86" t="str">
        <f t="shared" si="6"/>
        <v>b02.00</v>
      </c>
      <c r="H110" s="86" t="str">
        <f t="shared" si="7"/>
        <v>0240_zero_coupon</v>
      </c>
      <c r="I110" s="86"/>
    </row>
    <row r="111" spans="2:9" x14ac:dyDescent="0.35">
      <c r="B111" s="85" t="s">
        <v>225</v>
      </c>
      <c r="C111" s="86">
        <v>0</v>
      </c>
      <c r="D111" s="86"/>
      <c r="E111" s="86" t="str">
        <f t="shared" si="4"/>
        <v>frmt</v>
      </c>
      <c r="F111" s="86" t="str">
        <f t="shared" si="5"/>
        <v>f</v>
      </c>
      <c r="G111" s="86" t="str">
        <f t="shared" si="6"/>
        <v>b02.00</v>
      </c>
      <c r="H111" s="86" t="str">
        <f t="shared" si="7"/>
        <v>0250_strctrd_prdct</v>
      </c>
      <c r="I111" s="86"/>
    </row>
    <row r="112" spans="2:9" x14ac:dyDescent="0.35">
      <c r="B112" s="85" t="s">
        <v>226</v>
      </c>
      <c r="C112" s="86">
        <v>0</v>
      </c>
      <c r="D112" s="86"/>
      <c r="E112" s="86" t="str">
        <f t="shared" si="4"/>
        <v>frmt</v>
      </c>
      <c r="F112" s="86" t="str">
        <f t="shared" si="5"/>
        <v>f</v>
      </c>
      <c r="G112" s="86" t="str">
        <f t="shared" si="6"/>
        <v>b02.00</v>
      </c>
      <c r="H112" s="86" t="str">
        <f t="shared" si="7"/>
        <v>0260_grntd_min_amnt_strctrd_prdct</v>
      </c>
      <c r="I112" s="86"/>
    </row>
    <row r="113" spans="2:9" x14ac:dyDescent="0.35">
      <c r="B113" s="85" t="s">
        <v>227</v>
      </c>
      <c r="C113" s="86">
        <v>0</v>
      </c>
      <c r="D113" s="86"/>
      <c r="E113" s="86" t="str">
        <f t="shared" si="4"/>
        <v>frmt</v>
      </c>
      <c r="F113" s="86" t="str">
        <f t="shared" si="5"/>
        <v>f</v>
      </c>
      <c r="G113" s="86" t="str">
        <f t="shared" si="6"/>
        <v>b02.00</v>
      </c>
      <c r="H113" s="86" t="str">
        <f t="shared" si="7"/>
        <v>0270_fv_amnt_strctrd_prdct</v>
      </c>
      <c r="I113" s="86"/>
    </row>
    <row r="114" spans="2:9" x14ac:dyDescent="0.35">
      <c r="B114" s="85" t="s">
        <v>228</v>
      </c>
      <c r="C114" s="86">
        <v>0</v>
      </c>
      <c r="D114" s="86"/>
      <c r="E114" s="86" t="str">
        <f t="shared" si="4"/>
        <v>frmt</v>
      </c>
      <c r="F114" s="86" t="str">
        <f t="shared" si="5"/>
        <v>f</v>
      </c>
      <c r="G114" s="86" t="str">
        <f t="shared" si="6"/>
        <v>b02.00</v>
      </c>
      <c r="H114" s="86" t="str">
        <f t="shared" si="7"/>
        <v>0280_flg_ncnp_dpsts</v>
      </c>
      <c r="I114" s="86"/>
    </row>
    <row r="115" spans="2:9" x14ac:dyDescent="0.35">
      <c r="B115" s="85" t="s">
        <v>229</v>
      </c>
      <c r="C115" s="86">
        <v>0</v>
      </c>
      <c r="D115" s="86"/>
      <c r="E115" s="86" t="str">
        <f t="shared" si="4"/>
        <v>frmt</v>
      </c>
      <c r="F115" s="86" t="str">
        <f t="shared" si="5"/>
        <v>f</v>
      </c>
      <c r="G115" s="86" t="str">
        <f t="shared" si="6"/>
        <v>b02.00</v>
      </c>
      <c r="H115" s="86" t="str">
        <f t="shared" si="7"/>
        <v>0290_flg_ncbp_dpsts</v>
      </c>
      <c r="I115" s="86"/>
    </row>
    <row r="116" spans="2:9" x14ac:dyDescent="0.35">
      <c r="B116" s="85" t="s">
        <v>230</v>
      </c>
      <c r="C116" s="86">
        <v>0</v>
      </c>
      <c r="D116" s="86"/>
      <c r="E116" s="86" t="str">
        <f t="shared" si="4"/>
        <v>frmt</v>
      </c>
      <c r="F116" s="86" t="str">
        <f t="shared" si="5"/>
        <v>f</v>
      </c>
      <c r="G116" s="86" t="str">
        <f t="shared" si="6"/>
        <v>b02.00</v>
      </c>
      <c r="H116" s="86" t="str">
        <f t="shared" si="7"/>
        <v>0300_amnt_cvrd_elgbl_dpsts</v>
      </c>
      <c r="I116" s="86"/>
    </row>
    <row r="117" spans="2:9" x14ac:dyDescent="0.35">
      <c r="B117" s="85" t="s">
        <v>231</v>
      </c>
      <c r="C117" s="86">
        <v>0</v>
      </c>
      <c r="D117" s="86"/>
      <c r="E117" s="86" t="str">
        <f t="shared" si="4"/>
        <v>frmt</v>
      </c>
      <c r="F117" s="86" t="str">
        <f t="shared" si="5"/>
        <v>f</v>
      </c>
      <c r="G117" s="86" t="str">
        <f t="shared" si="6"/>
        <v>b02.00</v>
      </c>
      <c r="H117" s="86" t="str">
        <f t="shared" si="7"/>
        <v>0310_flg_clltrl_agrmnts</v>
      </c>
      <c r="I117" s="86"/>
    </row>
    <row r="118" spans="2:9" x14ac:dyDescent="0.35">
      <c r="B118" s="85" t="s">
        <v>232</v>
      </c>
      <c r="C118" s="86">
        <v>0</v>
      </c>
      <c r="D118" s="86"/>
      <c r="E118" s="86" t="str">
        <f t="shared" si="4"/>
        <v>frmt</v>
      </c>
      <c r="F118" s="86" t="str">
        <f t="shared" si="5"/>
        <v>f</v>
      </c>
      <c r="G118" s="86" t="str">
        <f t="shared" si="6"/>
        <v>b02.00</v>
      </c>
      <c r="H118" s="86" t="str">
        <f t="shared" si="7"/>
        <v>0320_amnt_clltrl</v>
      </c>
      <c r="I118" s="86"/>
    </row>
    <row r="119" spans="2:9" x14ac:dyDescent="0.35">
      <c r="B119" s="85" t="s">
        <v>233</v>
      </c>
      <c r="C119" s="86">
        <v>0</v>
      </c>
      <c r="D119" s="86"/>
      <c r="E119" s="86" t="str">
        <f t="shared" si="4"/>
        <v>frmt</v>
      </c>
      <c r="F119" s="86" t="str">
        <f t="shared" si="5"/>
        <v>f</v>
      </c>
      <c r="G119" s="86" t="str">
        <f t="shared" si="6"/>
        <v>b02.00</v>
      </c>
      <c r="H119" s="86" t="str">
        <f t="shared" si="7"/>
        <v>0330_amnt_unclltrlzd</v>
      </c>
      <c r="I119" s="86"/>
    </row>
    <row r="120" spans="2:9" x14ac:dyDescent="0.35">
      <c r="B120" s="85" t="s">
        <v>234</v>
      </c>
      <c r="C120" s="86">
        <v>8</v>
      </c>
      <c r="D120" s="86"/>
      <c r="E120" s="86" t="str">
        <f t="shared" si="4"/>
        <v>frmt</v>
      </c>
      <c r="F120" s="86" t="str">
        <f t="shared" si="5"/>
        <v>f</v>
      </c>
      <c r="G120" s="86" t="str">
        <f t="shared" si="6"/>
        <v>b02.00</v>
      </c>
      <c r="H120" s="86" t="str">
        <f t="shared" si="7"/>
        <v>0340_id_clltrl</v>
      </c>
      <c r="I120" s="89" t="s">
        <v>213</v>
      </c>
    </row>
    <row r="121" spans="2:9" x14ac:dyDescent="0.35">
      <c r="B121" s="85" t="s">
        <v>235</v>
      </c>
      <c r="C121" s="86">
        <v>0</v>
      </c>
      <c r="D121" s="86"/>
      <c r="E121" s="86" t="str">
        <f t="shared" si="4"/>
        <v>frmt</v>
      </c>
      <c r="F121" s="86" t="str">
        <f t="shared" si="5"/>
        <v>f</v>
      </c>
      <c r="G121" s="86" t="str">
        <f t="shared" si="6"/>
        <v>b02.00</v>
      </c>
      <c r="H121" s="86" t="str">
        <f t="shared" si="7"/>
        <v>0350_typ_clltrl</v>
      </c>
      <c r="I121" s="86"/>
    </row>
    <row r="122" spans="2:9" x14ac:dyDescent="0.35">
      <c r="B122" s="85" t="s">
        <v>236</v>
      </c>
      <c r="C122" s="86">
        <v>8</v>
      </c>
      <c r="D122" s="86"/>
      <c r="E122" s="86" t="str">
        <f t="shared" si="4"/>
        <v>frmt</v>
      </c>
      <c r="F122" s="86" t="str">
        <f t="shared" si="5"/>
        <v>f</v>
      </c>
      <c r="G122" s="86" t="str">
        <f t="shared" si="6"/>
        <v>b02.00</v>
      </c>
      <c r="H122" s="86" t="str">
        <f t="shared" si="7"/>
        <v>0351_typ_clltrl_othr</v>
      </c>
      <c r="I122" s="89" t="s">
        <v>213</v>
      </c>
    </row>
    <row r="123" spans="2:9" x14ac:dyDescent="0.35">
      <c r="B123" s="85" t="s">
        <v>237</v>
      </c>
      <c r="C123" s="86">
        <v>0</v>
      </c>
      <c r="D123" s="86"/>
      <c r="E123" s="86" t="str">
        <f t="shared" si="4"/>
        <v>frmt</v>
      </c>
      <c r="F123" s="86" t="str">
        <f t="shared" si="5"/>
        <v>f</v>
      </c>
      <c r="G123" s="86" t="str">
        <f t="shared" si="6"/>
        <v>b02.00</v>
      </c>
      <c r="H123" s="86" t="str">
        <f t="shared" si="7"/>
        <v>0360_trdng_mthd</v>
      </c>
      <c r="I123" s="86"/>
    </row>
    <row r="124" spans="2:9" x14ac:dyDescent="0.35">
      <c r="B124" s="85" t="s">
        <v>238</v>
      </c>
      <c r="C124" s="86">
        <v>0</v>
      </c>
      <c r="D124" s="86"/>
      <c r="E124" s="86" t="str">
        <f t="shared" si="4"/>
        <v>frmt</v>
      </c>
      <c r="F124" s="86" t="str">
        <f t="shared" si="5"/>
        <v>f</v>
      </c>
      <c r="G124" s="86" t="str">
        <f t="shared" si="6"/>
        <v>b02.00</v>
      </c>
      <c r="H124" s="86" t="str">
        <f t="shared" si="7"/>
        <v>0370_amnt_scrty_eur</v>
      </c>
      <c r="I124" s="86"/>
    </row>
    <row r="125" spans="2:9" x14ac:dyDescent="0.35">
      <c r="B125" s="85" t="s">
        <v>239</v>
      </c>
      <c r="C125" s="86">
        <v>0</v>
      </c>
      <c r="D125" s="86"/>
      <c r="E125" s="86" t="str">
        <f t="shared" si="4"/>
        <v>frmt</v>
      </c>
      <c r="F125" s="86" t="str">
        <f t="shared" si="5"/>
        <v>f</v>
      </c>
      <c r="G125" s="86" t="str">
        <f t="shared" si="6"/>
        <v>b02.00</v>
      </c>
      <c r="H125" s="86" t="str">
        <f t="shared" si="7"/>
        <v>0380_amnt_scrty_fx</v>
      </c>
      <c r="I125" s="86"/>
    </row>
    <row r="126" spans="2:9" x14ac:dyDescent="0.35">
      <c r="B126" s="85" t="s">
        <v>240</v>
      </c>
      <c r="C126" s="86">
        <v>0</v>
      </c>
      <c r="D126" s="86"/>
      <c r="E126" s="86" t="str">
        <f t="shared" si="4"/>
        <v>frmt</v>
      </c>
      <c r="F126" s="86" t="str">
        <f t="shared" si="5"/>
        <v>f</v>
      </c>
      <c r="G126" s="86" t="str">
        <f t="shared" si="6"/>
        <v>b02.00</v>
      </c>
      <c r="H126" s="86" t="str">
        <f t="shared" si="7"/>
        <v>0390_nmbr_scrts_not_rprtng_entty</v>
      </c>
      <c r="I126" s="86"/>
    </row>
    <row r="127" spans="2:9" x14ac:dyDescent="0.35">
      <c r="B127" s="85" t="s">
        <v>241</v>
      </c>
      <c r="C127" s="86">
        <v>8</v>
      </c>
      <c r="D127" s="86"/>
      <c r="E127" s="86" t="str">
        <f t="shared" si="4"/>
        <v>frmt</v>
      </c>
      <c r="F127" s="86" t="str">
        <f t="shared" si="5"/>
        <v>f</v>
      </c>
      <c r="G127" s="86" t="str">
        <f t="shared" si="6"/>
        <v>b02.00</v>
      </c>
      <c r="H127" s="86" t="str">
        <f t="shared" si="7"/>
        <v>0391_nmbr_scrts_rprtng_entty</v>
      </c>
      <c r="I127" s="86"/>
    </row>
    <row r="128" spans="2:9" x14ac:dyDescent="0.35">
      <c r="B128" s="85" t="s">
        <v>242</v>
      </c>
      <c r="C128" s="86">
        <v>0</v>
      </c>
      <c r="D128" s="86"/>
      <c r="E128" s="86" t="str">
        <f t="shared" si="4"/>
        <v>frmt</v>
      </c>
      <c r="F128" s="86" t="str">
        <f t="shared" si="5"/>
        <v>f</v>
      </c>
      <c r="G128" s="86" t="str">
        <f t="shared" si="6"/>
        <v>b02.00</v>
      </c>
      <c r="H128" s="86" t="str">
        <f t="shared" si="7"/>
        <v>0400_accrd_intrst_scrty</v>
      </c>
      <c r="I128" s="86"/>
    </row>
    <row r="129" spans="2:9" x14ac:dyDescent="0.35">
      <c r="B129" s="85" t="s">
        <v>243</v>
      </c>
      <c r="C129" s="86">
        <v>0</v>
      </c>
      <c r="D129" s="86"/>
      <c r="E129" s="86" t="str">
        <f t="shared" si="4"/>
        <v>frmt</v>
      </c>
      <c r="F129" s="86" t="str">
        <f t="shared" si="5"/>
        <v>f</v>
      </c>
      <c r="G129" s="86" t="str">
        <f t="shared" si="6"/>
        <v>b02.00</v>
      </c>
      <c r="H129" s="86" t="str">
        <f t="shared" si="7"/>
        <v>0410_fees_charges_scrty</v>
      </c>
      <c r="I129" s="86"/>
    </row>
    <row r="130" spans="2:9" x14ac:dyDescent="0.35">
      <c r="B130" s="85" t="s">
        <v>244</v>
      </c>
      <c r="C130" s="86">
        <v>0</v>
      </c>
      <c r="D130" s="86"/>
      <c r="E130" s="86" t="str">
        <f t="shared" si="4"/>
        <v>frmt</v>
      </c>
      <c r="F130" s="86" t="str">
        <f t="shared" si="5"/>
        <v>f</v>
      </c>
      <c r="G130" s="86" t="str">
        <f t="shared" si="6"/>
        <v>b02.00</v>
      </c>
      <c r="H130" s="86" t="str">
        <f t="shared" si="7"/>
        <v>0420_fv_amnt_scrty</v>
      </c>
      <c r="I130" s="86"/>
    </row>
    <row r="131" spans="2:9" x14ac:dyDescent="0.35">
      <c r="B131" s="85" t="s">
        <v>245</v>
      </c>
      <c r="C131" s="86">
        <v>0</v>
      </c>
      <c r="D131" s="86"/>
      <c r="E131" s="86" t="str">
        <f t="shared" si="4"/>
        <v>frmt</v>
      </c>
      <c r="F131" s="86" t="str">
        <f t="shared" si="5"/>
        <v>f</v>
      </c>
      <c r="G131" s="86" t="str">
        <f t="shared" si="6"/>
        <v>b02.00</v>
      </c>
      <c r="H131" s="86" t="str">
        <f t="shared" si="7"/>
        <v>0430_prncpl_amnt_glbl_nt_eur</v>
      </c>
      <c r="I131" s="86"/>
    </row>
    <row r="132" spans="2:9" x14ac:dyDescent="0.35">
      <c r="B132" s="85" t="s">
        <v>246</v>
      </c>
      <c r="C132" s="86">
        <v>0</v>
      </c>
      <c r="D132" s="86"/>
      <c r="E132" s="86" t="str">
        <f t="shared" si="4"/>
        <v>frmt</v>
      </c>
      <c r="F132" s="86" t="str">
        <f t="shared" si="5"/>
        <v>f</v>
      </c>
      <c r="G132" s="86" t="str">
        <f t="shared" si="6"/>
        <v>b02.00</v>
      </c>
      <c r="H132" s="86" t="str">
        <f t="shared" si="7"/>
        <v>0431_prncpl_amnt_glbl_nt_fx</v>
      </c>
      <c r="I132" s="86"/>
    </row>
    <row r="133" spans="2:9" x14ac:dyDescent="0.35">
      <c r="B133" s="85" t="s">
        <v>247</v>
      </c>
      <c r="C133" s="86">
        <v>0</v>
      </c>
      <c r="D133" s="86"/>
      <c r="E133" s="86" t="str">
        <f t="shared" si="4"/>
        <v>frmt</v>
      </c>
      <c r="F133" s="86" t="str">
        <f t="shared" si="5"/>
        <v>f</v>
      </c>
      <c r="G133" s="86" t="str">
        <f t="shared" si="6"/>
        <v>b02.00</v>
      </c>
      <c r="H133" s="86" t="str">
        <f t="shared" si="7"/>
        <v>0440_ntr_glbl_nt</v>
      </c>
      <c r="I133" s="86"/>
    </row>
    <row r="134" spans="2:9" x14ac:dyDescent="0.35">
      <c r="B134" s="85" t="s">
        <v>248</v>
      </c>
      <c r="C134" s="86">
        <v>0</v>
      </c>
      <c r="D134" s="86"/>
      <c r="E134" s="86" t="str">
        <f t="shared" si="4"/>
        <v>frmt</v>
      </c>
      <c r="F134" s="86" t="str">
        <f t="shared" si="5"/>
        <v>f</v>
      </c>
      <c r="G134" s="86" t="str">
        <f t="shared" si="6"/>
        <v>b02.00</v>
      </c>
      <c r="H134" s="86" t="str">
        <f t="shared" si="7"/>
        <v>0450_crrnt_pool_fctr</v>
      </c>
      <c r="I134" s="86"/>
    </row>
    <row r="135" spans="2:9" x14ac:dyDescent="0.35">
      <c r="B135" s="85" t="s">
        <v>249</v>
      </c>
      <c r="C135" s="86">
        <v>0</v>
      </c>
      <c r="D135" s="86"/>
      <c r="E135" s="86" t="str">
        <f t="shared" si="4"/>
        <v>frmt</v>
      </c>
      <c r="F135" s="86" t="str">
        <f t="shared" si="5"/>
        <v>f</v>
      </c>
      <c r="G135" s="86" t="str">
        <f t="shared" si="6"/>
        <v>b02.00</v>
      </c>
      <c r="H135" s="86" t="str">
        <f t="shared" si="7"/>
        <v>0460_csd</v>
      </c>
      <c r="I135" s="86"/>
    </row>
    <row r="136" spans="2:9" x14ac:dyDescent="0.35">
      <c r="B136" s="85" t="s">
        <v>250</v>
      </c>
      <c r="C136" s="86">
        <v>0</v>
      </c>
      <c r="D136" s="86"/>
      <c r="E136" s="86" t="str">
        <f t="shared" si="4"/>
        <v>frmt</v>
      </c>
      <c r="F136" s="86" t="str">
        <f t="shared" si="5"/>
        <v>f</v>
      </c>
      <c r="G136" s="86" t="str">
        <f t="shared" si="6"/>
        <v>b02.00</v>
      </c>
      <c r="H136" s="86" t="str">
        <f t="shared" si="7"/>
        <v>0461_csd_lei</v>
      </c>
      <c r="I136" s="86"/>
    </row>
    <row r="137" spans="2:9" x14ac:dyDescent="0.35">
      <c r="B137" s="85" t="s">
        <v>251</v>
      </c>
      <c r="C137" s="86">
        <v>8</v>
      </c>
      <c r="D137" s="86"/>
      <c r="E137" s="86" t="str">
        <f t="shared" si="4"/>
        <v>frmt</v>
      </c>
      <c r="F137" s="86" t="str">
        <f t="shared" si="5"/>
        <v>f</v>
      </c>
      <c r="G137" s="86" t="str">
        <f t="shared" si="6"/>
        <v>b02.00</v>
      </c>
      <c r="H137" s="86" t="str">
        <f t="shared" si="7"/>
        <v>0462_csd_othr</v>
      </c>
      <c r="I137" s="89" t="s">
        <v>252</v>
      </c>
    </row>
    <row r="138" spans="2:9" x14ac:dyDescent="0.35">
      <c r="B138" s="85" t="s">
        <v>253</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x14ac:dyDescent="0.35">
      <c r="B139" s="85" t="s">
        <v>254</v>
      </c>
      <c r="C139" s="86">
        <v>0</v>
      </c>
      <c r="D139" s="86"/>
      <c r="E139" s="86" t="str">
        <f t="shared" si="8"/>
        <v>frmt</v>
      </c>
      <c r="F139" s="86" t="str">
        <f t="shared" si="9"/>
        <v>f</v>
      </c>
      <c r="G139" s="86" t="str">
        <f t="shared" si="10"/>
        <v>b02.00</v>
      </c>
      <c r="H139" s="86" t="str">
        <f t="shared" si="11"/>
        <v>0471_pyng_agnt_lei</v>
      </c>
      <c r="I139" s="86"/>
    </row>
    <row r="140" spans="2:9" x14ac:dyDescent="0.35">
      <c r="B140" s="85" t="s">
        <v>255</v>
      </c>
      <c r="C140" s="86">
        <v>0</v>
      </c>
      <c r="D140" s="86"/>
      <c r="E140" s="86" t="str">
        <f t="shared" si="8"/>
        <v>frmt</v>
      </c>
      <c r="F140" s="86" t="str">
        <f t="shared" si="9"/>
        <v>f</v>
      </c>
      <c r="G140" s="86" t="str">
        <f t="shared" si="10"/>
        <v>b02.00</v>
      </c>
      <c r="H140" s="86" t="str">
        <f t="shared" si="11"/>
        <v>0480_trdng_vn</v>
      </c>
      <c r="I140" s="86"/>
    </row>
    <row r="141" spans="2:9" x14ac:dyDescent="0.35">
      <c r="B141" s="85" t="s">
        <v>256</v>
      </c>
      <c r="C141" s="86">
        <v>0</v>
      </c>
      <c r="D141" s="86"/>
      <c r="E141" s="86" t="str">
        <f t="shared" si="8"/>
        <v>frmt</v>
      </c>
      <c r="F141" s="86" t="str">
        <f t="shared" si="9"/>
        <v>f</v>
      </c>
      <c r="G141" s="86" t="str">
        <f t="shared" si="10"/>
        <v>b02.00</v>
      </c>
      <c r="H141" s="86" t="str">
        <f t="shared" si="11"/>
        <v>0481_trdng_vn_lei</v>
      </c>
      <c r="I141" s="86"/>
    </row>
    <row r="142" spans="2:9" x14ac:dyDescent="0.35">
      <c r="B142" s="85" t="s">
        <v>257</v>
      </c>
      <c r="C142" s="86">
        <v>0</v>
      </c>
      <c r="D142" s="86"/>
      <c r="E142" s="86" t="str">
        <f t="shared" si="8"/>
        <v>frmt</v>
      </c>
      <c r="F142" s="86" t="str">
        <f t="shared" si="9"/>
        <v>f</v>
      </c>
      <c r="G142" s="86" t="str">
        <f t="shared" si="10"/>
        <v>b02.00</v>
      </c>
      <c r="H142" s="86" t="str">
        <f t="shared" si="11"/>
        <v>0490_rgstrr</v>
      </c>
      <c r="I142" s="86"/>
    </row>
    <row r="143" spans="2:9" x14ac:dyDescent="0.35">
      <c r="B143" s="85" t="s">
        <v>258</v>
      </c>
      <c r="C143" s="86">
        <v>0</v>
      </c>
      <c r="D143" s="86"/>
      <c r="E143" s="86" t="str">
        <f t="shared" si="8"/>
        <v>frmt</v>
      </c>
      <c r="F143" s="86" t="str">
        <f t="shared" si="9"/>
        <v>f</v>
      </c>
      <c r="G143" s="86" t="str">
        <f t="shared" si="10"/>
        <v>b02.00</v>
      </c>
      <c r="H143" s="86" t="str">
        <f t="shared" si="11"/>
        <v>0491_rgstrr_lei</v>
      </c>
      <c r="I143" s="86"/>
    </row>
    <row r="144" spans="2:9" x14ac:dyDescent="0.35">
      <c r="B144" s="85" t="s">
        <v>259</v>
      </c>
      <c r="C144" s="86">
        <v>0</v>
      </c>
      <c r="D144" s="86"/>
      <c r="E144" s="86" t="str">
        <f t="shared" si="8"/>
        <v>frmt</v>
      </c>
      <c r="F144" s="86" t="str">
        <f t="shared" si="9"/>
        <v>f</v>
      </c>
      <c r="G144" s="86" t="str">
        <f t="shared" si="10"/>
        <v>b02.00</v>
      </c>
      <c r="H144" s="86" t="str">
        <f t="shared" si="11"/>
        <v>0500_nna</v>
      </c>
      <c r="I144" s="86"/>
    </row>
    <row r="145" spans="2:9" x14ac:dyDescent="0.35">
      <c r="B145" s="85" t="s">
        <v>260</v>
      </c>
      <c r="C145" s="86">
        <v>0</v>
      </c>
      <c r="D145" s="86"/>
      <c r="E145" s="86" t="str">
        <f t="shared" si="8"/>
        <v>frmt</v>
      </c>
      <c r="F145" s="86" t="str">
        <f t="shared" si="9"/>
        <v>f</v>
      </c>
      <c r="G145" s="86" t="str">
        <f t="shared" si="10"/>
        <v>b02.00</v>
      </c>
      <c r="H145" s="86" t="str">
        <f t="shared" si="11"/>
        <v>0501_nna_lei</v>
      </c>
      <c r="I145" s="86"/>
    </row>
    <row r="146" spans="2:9" x14ac:dyDescent="0.35">
      <c r="B146" s="85" t="s">
        <v>261</v>
      </c>
      <c r="C146" s="86">
        <v>0</v>
      </c>
      <c r="D146" s="86"/>
      <c r="E146" s="86" t="str">
        <f t="shared" si="8"/>
        <v>frmt</v>
      </c>
      <c r="F146" s="86" t="str">
        <f t="shared" si="9"/>
        <v>f</v>
      </c>
      <c r="G146" s="86" t="str">
        <f t="shared" si="10"/>
        <v>b02.00</v>
      </c>
      <c r="H146" s="86" t="str">
        <f t="shared" si="11"/>
        <v>0510_cmmn_dpstry</v>
      </c>
      <c r="I146" s="86"/>
    </row>
    <row r="147" spans="2:9" x14ac:dyDescent="0.35">
      <c r="B147" s="85" t="s">
        <v>262</v>
      </c>
      <c r="C147" s="86">
        <v>0</v>
      </c>
      <c r="D147" s="86"/>
      <c r="E147" s="86" t="str">
        <f t="shared" si="8"/>
        <v>frmt</v>
      </c>
      <c r="F147" s="86" t="str">
        <f t="shared" si="9"/>
        <v>f</v>
      </c>
      <c r="G147" s="86" t="str">
        <f t="shared" si="10"/>
        <v>b02.00</v>
      </c>
      <c r="H147" s="86" t="str">
        <f t="shared" si="11"/>
        <v>0511_cmmn_dpstry_lei</v>
      </c>
      <c r="I147" s="86"/>
    </row>
    <row r="148" spans="2:9" x14ac:dyDescent="0.35">
      <c r="B148" s="85" t="s">
        <v>263</v>
      </c>
      <c r="C148" s="86">
        <v>0</v>
      </c>
      <c r="D148" s="86"/>
      <c r="E148" s="86" t="str">
        <f t="shared" si="8"/>
        <v>frmt</v>
      </c>
      <c r="F148" s="86" t="str">
        <f t="shared" si="9"/>
        <v>f</v>
      </c>
      <c r="G148" s="86" t="str">
        <f t="shared" si="10"/>
        <v>b02.00</v>
      </c>
      <c r="H148" s="86" t="str">
        <f t="shared" si="11"/>
        <v>0520_cmmn_srvc_prvdr</v>
      </c>
      <c r="I148" s="86"/>
    </row>
    <row r="149" spans="2:9" x14ac:dyDescent="0.35">
      <c r="B149" s="85" t="s">
        <v>264</v>
      </c>
      <c r="C149" s="86">
        <v>0</v>
      </c>
      <c r="D149" s="86"/>
      <c r="E149" s="86" t="str">
        <f t="shared" si="8"/>
        <v>frmt</v>
      </c>
      <c r="F149" s="86" t="str">
        <f t="shared" si="9"/>
        <v>f</v>
      </c>
      <c r="G149" s="86" t="str">
        <f t="shared" si="10"/>
        <v>b02.00</v>
      </c>
      <c r="H149" s="86" t="str">
        <f t="shared" si="11"/>
        <v>0521_cmmn_srvc_prvdr_lei</v>
      </c>
      <c r="I149" s="86"/>
    </row>
    <row r="150" spans="2:9" x14ac:dyDescent="0.35">
      <c r="B150" s="85" t="s">
        <v>265</v>
      </c>
      <c r="C150" s="86">
        <v>0</v>
      </c>
      <c r="D150" s="86"/>
      <c r="E150" s="86" t="str">
        <f t="shared" si="8"/>
        <v>frmt</v>
      </c>
      <c r="F150" s="86" t="str">
        <f t="shared" si="9"/>
        <v>f</v>
      </c>
      <c r="G150" s="86" t="str">
        <f t="shared" si="10"/>
        <v>b02.00</v>
      </c>
      <c r="H150" s="86" t="str">
        <f t="shared" si="11"/>
        <v>0530_typ_own_fnds_ind_lvl</v>
      </c>
      <c r="I150" s="86"/>
    </row>
    <row r="151" spans="2:9" x14ac:dyDescent="0.35">
      <c r="B151" s="85" t="s">
        <v>266</v>
      </c>
      <c r="C151" s="86">
        <v>0</v>
      </c>
      <c r="D151" s="86"/>
      <c r="E151" s="86" t="str">
        <f t="shared" si="8"/>
        <v>frmt</v>
      </c>
      <c r="F151" s="86" t="str">
        <f t="shared" si="9"/>
        <v>f</v>
      </c>
      <c r="G151" s="86" t="str">
        <f t="shared" si="10"/>
        <v>b02.00</v>
      </c>
      <c r="H151" s="86" t="str">
        <f t="shared" si="11"/>
        <v>0540_elgbl_amnt_own_fnds_ind_lvl</v>
      </c>
      <c r="I151" s="86"/>
    </row>
    <row r="152" spans="2:9" x14ac:dyDescent="0.35">
      <c r="B152" s="85" t="s">
        <v>267</v>
      </c>
      <c r="C152" s="86">
        <v>0</v>
      </c>
      <c r="D152" s="86"/>
      <c r="E152" s="86" t="str">
        <f t="shared" si="8"/>
        <v>frmt</v>
      </c>
      <c r="F152" s="86" t="str">
        <f t="shared" si="9"/>
        <v>f</v>
      </c>
      <c r="G152" s="86" t="str">
        <f t="shared" si="10"/>
        <v>b02.00</v>
      </c>
      <c r="H152" s="86" t="str">
        <f t="shared" si="11"/>
        <v>0550_typ_own_fnds_cnsldtd_lvl</v>
      </c>
      <c r="I152" s="86"/>
    </row>
    <row r="153" spans="2:9" x14ac:dyDescent="0.35">
      <c r="B153" s="85" t="s">
        <v>268</v>
      </c>
      <c r="C153" s="86">
        <v>0</v>
      </c>
      <c r="D153" s="86"/>
      <c r="E153" s="86" t="str">
        <f t="shared" si="8"/>
        <v>frmt</v>
      </c>
      <c r="F153" s="86" t="str">
        <f t="shared" si="9"/>
        <v>f</v>
      </c>
      <c r="G153" s="86" t="str">
        <f t="shared" si="10"/>
        <v>b02.00</v>
      </c>
      <c r="H153" s="86" t="str">
        <f t="shared" si="11"/>
        <v>0560_elgbl_amnt_own_fnds_cnsldtd_lvl</v>
      </c>
      <c r="I153" s="86"/>
    </row>
    <row r="154" spans="2:9" x14ac:dyDescent="0.35">
      <c r="B154" s="85" t="s">
        <v>269</v>
      </c>
      <c r="C154" s="86">
        <v>0</v>
      </c>
      <c r="D154" s="86"/>
      <c r="E154" s="86" t="str">
        <f t="shared" si="8"/>
        <v>frmt</v>
      </c>
      <c r="F154" s="86" t="str">
        <f t="shared" si="9"/>
        <v>f</v>
      </c>
      <c r="G154" s="86" t="str">
        <f t="shared" si="10"/>
        <v>b02.00</v>
      </c>
      <c r="H154" s="86" t="str">
        <f t="shared" si="11"/>
        <v>0570_amnt_scrty_intrst_prvdd</v>
      </c>
      <c r="I154" s="86"/>
    </row>
    <row r="155" spans="2:9" x14ac:dyDescent="0.35">
      <c r="B155" s="85" t="s">
        <v>270</v>
      </c>
      <c r="C155" s="86">
        <v>0</v>
      </c>
      <c r="D155" s="86"/>
      <c r="E155" s="86" t="str">
        <f t="shared" si="8"/>
        <v>frmt</v>
      </c>
      <c r="F155" s="86" t="str">
        <f t="shared" si="9"/>
        <v>f</v>
      </c>
      <c r="G155" s="86" t="str">
        <f t="shared" si="10"/>
        <v>b02.00</v>
      </c>
      <c r="H155" s="86" t="str">
        <f t="shared" si="11"/>
        <v>0580_scrty_intrst_prvdr</v>
      </c>
      <c r="I155" s="86"/>
    </row>
    <row r="156" spans="2:9" x14ac:dyDescent="0.35">
      <c r="B156" s="85" t="s">
        <v>271</v>
      </c>
      <c r="C156" s="86">
        <v>0</v>
      </c>
      <c r="D156" s="86"/>
      <c r="E156" s="86" t="str">
        <f t="shared" si="8"/>
        <v>frmt</v>
      </c>
      <c r="F156" s="86" t="str">
        <f t="shared" si="9"/>
        <v>f</v>
      </c>
      <c r="G156" s="86" t="str">
        <f t="shared" si="10"/>
        <v>b02.00</v>
      </c>
      <c r="H156" s="86" t="str">
        <f t="shared" si="11"/>
        <v>0581_scrty_intrst_prvdr_lei</v>
      </c>
      <c r="I156" s="86"/>
    </row>
    <row r="157" spans="2:9" x14ac:dyDescent="0.35">
      <c r="B157" s="85" t="s">
        <v>272</v>
      </c>
      <c r="C157" s="86">
        <v>0</v>
      </c>
      <c r="D157" s="86"/>
      <c r="E157" s="86" t="str">
        <f t="shared" si="8"/>
        <v>frmt</v>
      </c>
      <c r="F157" s="86" t="str">
        <f t="shared" si="9"/>
        <v>f</v>
      </c>
      <c r="G157" s="86" t="str">
        <f t="shared" si="10"/>
        <v>b02.00</v>
      </c>
      <c r="H157" s="86" t="str">
        <f t="shared" si="11"/>
        <v>0590_typ_scrty_intrst_prvdd</v>
      </c>
      <c r="I157" s="86"/>
    </row>
    <row r="158" spans="2:9" x14ac:dyDescent="0.35">
      <c r="B158" s="85" t="s">
        <v>273</v>
      </c>
      <c r="C158" s="86">
        <v>0</v>
      </c>
      <c r="D158" s="86"/>
      <c r="E158" s="86" t="str">
        <f t="shared" si="8"/>
        <v>frmt</v>
      </c>
      <c r="F158" s="86" t="str">
        <f t="shared" si="9"/>
        <v>f</v>
      </c>
      <c r="G158" s="86" t="str">
        <f t="shared" si="10"/>
        <v>b02.00</v>
      </c>
      <c r="H158" s="86" t="str">
        <f t="shared" si="11"/>
        <v>0600_flg_clltrl_asst_pstn</v>
      </c>
      <c r="I158" s="86"/>
    </row>
    <row r="159" spans="2:9" x14ac:dyDescent="0.35">
      <c r="B159" s="85" t="s">
        <v>274</v>
      </c>
      <c r="C159" s="86">
        <v>0</v>
      </c>
      <c r="D159" s="86"/>
      <c r="E159" s="86" t="str">
        <f t="shared" si="8"/>
        <v>frmt</v>
      </c>
      <c r="F159" s="86" t="str">
        <f t="shared" si="9"/>
        <v>f</v>
      </c>
      <c r="G159" s="86" t="str">
        <f t="shared" si="10"/>
        <v>b02.00</v>
      </c>
      <c r="H159" s="86" t="str">
        <f t="shared" si="11"/>
        <v>0610_crryng_amnt_ifrs</v>
      </c>
      <c r="I159" s="86"/>
    </row>
    <row r="160" spans="2:9" x14ac:dyDescent="0.35">
      <c r="B160" s="85" t="s">
        <v>275</v>
      </c>
      <c r="C160" s="86">
        <v>0</v>
      </c>
      <c r="D160" s="86"/>
      <c r="E160" s="86" t="str">
        <f t="shared" si="8"/>
        <v>frmt</v>
      </c>
      <c r="F160" s="86" t="str">
        <f t="shared" si="9"/>
        <v>f</v>
      </c>
      <c r="G160" s="86" t="str">
        <f t="shared" si="10"/>
        <v>b02.00</v>
      </c>
      <c r="H160" s="86" t="str">
        <f t="shared" si="11"/>
        <v>0620_blnc_sht_ifrs</v>
      </c>
      <c r="I160" s="86"/>
    </row>
    <row r="161" spans="2:9" x14ac:dyDescent="0.35">
      <c r="B161" s="85" t="s">
        <v>276</v>
      </c>
      <c r="C161" s="86">
        <v>0</v>
      </c>
      <c r="D161" s="86"/>
      <c r="E161" s="86" t="str">
        <f t="shared" si="8"/>
        <v>frmt</v>
      </c>
      <c r="F161" s="86" t="str">
        <f t="shared" si="9"/>
        <v>f</v>
      </c>
      <c r="G161" s="86" t="str">
        <f t="shared" si="10"/>
        <v>b02.00</v>
      </c>
      <c r="H161" s="86" t="str">
        <f t="shared" si="11"/>
        <v>0630_crrying_amnt_ngaap</v>
      </c>
      <c r="I161" s="86"/>
    </row>
    <row r="162" spans="2:9" x14ac:dyDescent="0.35">
      <c r="B162" s="85" t="s">
        <v>277</v>
      </c>
      <c r="C162" s="86">
        <v>8</v>
      </c>
      <c r="D162" s="86"/>
      <c r="E162" s="86" t="str">
        <f t="shared" si="8"/>
        <v>frmt</v>
      </c>
      <c r="F162" s="86" t="str">
        <f t="shared" si="9"/>
        <v>f</v>
      </c>
      <c r="G162" s="86" t="str">
        <f t="shared" si="10"/>
        <v>b02.00</v>
      </c>
      <c r="H162" s="86" t="str">
        <f t="shared" si="11"/>
        <v>0640_blnc_sht_ngaap</v>
      </c>
      <c r="I162" s="90" t="s">
        <v>278</v>
      </c>
    </row>
    <row r="163" spans="2:9" x14ac:dyDescent="0.35">
      <c r="B163" s="85" t="s">
        <v>279</v>
      </c>
      <c r="C163" s="86">
        <v>0</v>
      </c>
      <c r="D163" s="86"/>
      <c r="E163" s="86" t="str">
        <f t="shared" si="8"/>
        <v>frmt</v>
      </c>
      <c r="F163" s="86" t="str">
        <f t="shared" si="9"/>
        <v>f</v>
      </c>
      <c r="G163" s="86" t="str">
        <f t="shared" si="10"/>
        <v>b02.00</v>
      </c>
      <c r="H163" s="86" t="str">
        <f t="shared" si="11"/>
        <v>5000_flg_shrhldr_not_rsltn_grp</v>
      </c>
      <c r="I163" s="86"/>
    </row>
    <row r="164" spans="2:9" x14ac:dyDescent="0.35">
      <c r="B164" s="85" t="s">
        <v>280</v>
      </c>
      <c r="C164" s="86">
        <v>0</v>
      </c>
      <c r="D164" s="86"/>
      <c r="E164" s="86" t="str">
        <f t="shared" si="8"/>
        <v>frmt</v>
      </c>
      <c r="F164" s="86" t="str">
        <f t="shared" si="9"/>
        <v>f</v>
      </c>
      <c r="G164" s="86" t="str">
        <f t="shared" si="10"/>
        <v>b02.00</v>
      </c>
      <c r="H164" s="86" t="str">
        <f t="shared" si="11"/>
        <v>5010_flg_art21_7a_srmr</v>
      </c>
      <c r="I164" s="86"/>
    </row>
    <row r="165" spans="2:9" x14ac:dyDescent="0.35">
      <c r="B165" s="85" t="s">
        <v>281</v>
      </c>
      <c r="C165" s="86">
        <v>0</v>
      </c>
      <c r="D165" s="86"/>
      <c r="E165" s="86" t="str">
        <f t="shared" si="8"/>
        <v>lvl2</v>
      </c>
      <c r="F165" s="86" t="str">
        <f t="shared" si="9"/>
        <v>h</v>
      </c>
      <c r="G165" s="86" t="str">
        <f t="shared" si="10"/>
        <v>b05.00</v>
      </c>
      <c r="H165" s="86" t="str">
        <f t="shared" si="11"/>
        <v>0030_governing_law</v>
      </c>
      <c r="I165" s="86"/>
    </row>
    <row r="166" spans="2:9" x14ac:dyDescent="0.35">
      <c r="B166" s="85" t="s">
        <v>282</v>
      </c>
      <c r="C166" s="86">
        <v>0</v>
      </c>
      <c r="D166" s="86"/>
      <c r="E166" s="86" t="str">
        <f t="shared" si="8"/>
        <v>lvl2</v>
      </c>
      <c r="F166" s="86" t="str">
        <f t="shared" si="9"/>
        <v>h</v>
      </c>
      <c r="G166" s="86" t="str">
        <f t="shared" si="10"/>
        <v>b05.00</v>
      </c>
      <c r="H166" s="86" t="str">
        <f t="shared" si="11"/>
        <v>0050_typ_guarantee</v>
      </c>
      <c r="I166" s="86"/>
    </row>
    <row r="167" spans="2:9" x14ac:dyDescent="0.35">
      <c r="B167" s="85" t="s">
        <v>283</v>
      </c>
      <c r="C167" s="86">
        <v>0</v>
      </c>
      <c r="D167" s="86"/>
      <c r="E167" s="86" t="str">
        <f t="shared" si="8"/>
        <v>lvl2</v>
      </c>
      <c r="F167" s="86" t="str">
        <f t="shared" si="9"/>
        <v>h</v>
      </c>
      <c r="G167" s="86" t="str">
        <f t="shared" si="10"/>
        <v>b05.00</v>
      </c>
      <c r="H167" s="86" t="str">
        <f t="shared" si="11"/>
        <v>0060_max_amnt_guarantee</v>
      </c>
      <c r="I167" s="86"/>
    </row>
    <row r="168" spans="2:9" x14ac:dyDescent="0.35">
      <c r="B168" s="85" t="s">
        <v>284</v>
      </c>
      <c r="C168" s="86">
        <v>4730</v>
      </c>
      <c r="D168" s="86"/>
      <c r="E168" s="86" t="str">
        <f t="shared" si="8"/>
        <v>lvl2</v>
      </c>
      <c r="F168" s="86" t="str">
        <f t="shared" si="9"/>
        <v>h</v>
      </c>
      <c r="G168" s="86" t="str">
        <f t="shared" si="10"/>
        <v>b05.00</v>
      </c>
      <c r="H168" s="86" t="str">
        <f t="shared" si="11"/>
        <v>0070_flg_scrd</v>
      </c>
      <c r="I168" s="86"/>
    </row>
    <row r="169" spans="2:9" x14ac:dyDescent="0.35">
      <c r="B169" s="85" t="s">
        <v>285</v>
      </c>
      <c r="C169" s="86">
        <v>0</v>
      </c>
      <c r="D169" s="86"/>
      <c r="E169" s="86" t="str">
        <f t="shared" si="8"/>
        <v>lvl2</v>
      </c>
      <c r="F169" s="86" t="str">
        <f t="shared" si="9"/>
        <v>h</v>
      </c>
      <c r="G169" s="86" t="str">
        <f t="shared" si="10"/>
        <v>b05.00</v>
      </c>
      <c r="H169" s="86" t="str">
        <f t="shared" si="11"/>
        <v>0080_amnt_clltrl</v>
      </c>
      <c r="I169" s="86"/>
    </row>
    <row r="170" spans="2:9" x14ac:dyDescent="0.35">
      <c r="B170" s="85" t="s">
        <v>286</v>
      </c>
      <c r="C170" s="86">
        <v>0</v>
      </c>
      <c r="D170" s="86"/>
      <c r="E170" s="86" t="str">
        <f t="shared" si="8"/>
        <v>frmt</v>
      </c>
      <c r="F170" s="86" t="str">
        <f t="shared" si="9"/>
        <v>f</v>
      </c>
      <c r="G170" s="86" t="str">
        <f t="shared" si="10"/>
        <v>b05.00</v>
      </c>
      <c r="H170" s="86" t="str">
        <f t="shared" si="11"/>
        <v>0010_row_nmbr</v>
      </c>
      <c r="I170" s="86"/>
    </row>
    <row r="171" spans="2:9" x14ac:dyDescent="0.35">
      <c r="B171" s="85" t="s">
        <v>287</v>
      </c>
      <c r="C171" s="86">
        <v>0</v>
      </c>
      <c r="D171" s="86"/>
      <c r="E171" s="86" t="str">
        <f t="shared" si="8"/>
        <v>frmt</v>
      </c>
      <c r="F171" s="86" t="str">
        <f t="shared" si="9"/>
        <v>f</v>
      </c>
      <c r="G171" s="86" t="str">
        <f t="shared" si="10"/>
        <v>b05.00</v>
      </c>
      <c r="H171" s="86" t="str">
        <f t="shared" si="11"/>
        <v>0020_uniq_id_guarantee</v>
      </c>
      <c r="I171" s="86"/>
    </row>
    <row r="172" spans="2:9" x14ac:dyDescent="0.35">
      <c r="B172" s="85" t="s">
        <v>288</v>
      </c>
      <c r="C172" s="86">
        <v>0</v>
      </c>
      <c r="D172" s="86"/>
      <c r="E172" s="86" t="str">
        <f t="shared" si="8"/>
        <v>frmt</v>
      </c>
      <c r="F172" s="86" t="str">
        <f t="shared" si="9"/>
        <v>f</v>
      </c>
      <c r="G172" s="86" t="str">
        <f t="shared" si="10"/>
        <v>b05.00</v>
      </c>
      <c r="H172" s="86" t="str">
        <f t="shared" si="11"/>
        <v>0030_governing_law</v>
      </c>
      <c r="I172" s="86"/>
    </row>
    <row r="173" spans="2:9" x14ac:dyDescent="0.35">
      <c r="B173" s="85" t="s">
        <v>289</v>
      </c>
      <c r="C173" s="86">
        <v>0</v>
      </c>
      <c r="D173" s="86"/>
      <c r="E173" s="86" t="str">
        <f t="shared" si="8"/>
        <v>frmt</v>
      </c>
      <c r="F173" s="86" t="str">
        <f t="shared" si="9"/>
        <v>f</v>
      </c>
      <c r="G173" s="86" t="str">
        <f t="shared" si="10"/>
        <v>b05.00</v>
      </c>
      <c r="H173" s="86" t="str">
        <f t="shared" si="11"/>
        <v>0040_flg_art12g_3_srmr</v>
      </c>
      <c r="I173" s="86"/>
    </row>
    <row r="174" spans="2:9" x14ac:dyDescent="0.35">
      <c r="B174" s="85" t="s">
        <v>290</v>
      </c>
      <c r="C174" s="86">
        <v>0</v>
      </c>
      <c r="D174" s="86"/>
      <c r="E174" s="86" t="str">
        <f t="shared" si="8"/>
        <v>frmt</v>
      </c>
      <c r="F174" s="86" t="str">
        <f t="shared" si="9"/>
        <v>f</v>
      </c>
      <c r="G174" s="86" t="str">
        <f t="shared" si="10"/>
        <v>b05.00</v>
      </c>
      <c r="H174" s="86" t="str">
        <f t="shared" si="11"/>
        <v>0050_typ_guarantee</v>
      </c>
      <c r="I174" s="86"/>
    </row>
    <row r="175" spans="2:9" x14ac:dyDescent="0.35">
      <c r="B175" s="85" t="s">
        <v>291</v>
      </c>
      <c r="C175" s="86">
        <v>0</v>
      </c>
      <c r="D175" s="86"/>
      <c r="E175" s="86" t="str">
        <f t="shared" si="8"/>
        <v>frmt</v>
      </c>
      <c r="F175" s="86" t="str">
        <f t="shared" si="9"/>
        <v>f</v>
      </c>
      <c r="G175" s="86" t="str">
        <f t="shared" si="10"/>
        <v>b05.00</v>
      </c>
      <c r="H175" s="86" t="str">
        <f t="shared" si="11"/>
        <v>0060_max_amnt_guarantee</v>
      </c>
      <c r="I175" s="86"/>
    </row>
    <row r="176" spans="2:9" x14ac:dyDescent="0.35">
      <c r="B176" s="85" t="s">
        <v>292</v>
      </c>
      <c r="C176" s="86">
        <v>0</v>
      </c>
      <c r="D176" s="86"/>
      <c r="E176" s="86" t="str">
        <f t="shared" si="8"/>
        <v>frmt</v>
      </c>
      <c r="F176" s="86" t="str">
        <f t="shared" si="9"/>
        <v>f</v>
      </c>
      <c r="G176" s="86" t="str">
        <f t="shared" si="10"/>
        <v>b05.00</v>
      </c>
      <c r="H176" s="86" t="str">
        <f t="shared" si="11"/>
        <v>0070_flg_scrd</v>
      </c>
      <c r="I176" s="86"/>
    </row>
    <row r="177" spans="2:9" x14ac:dyDescent="0.35">
      <c r="B177" s="85" t="s">
        <v>293</v>
      </c>
      <c r="C177" s="86">
        <v>0</v>
      </c>
      <c r="D177" s="86"/>
      <c r="E177" s="86" t="str">
        <f t="shared" si="8"/>
        <v>frmt</v>
      </c>
      <c r="F177" s="86" t="str">
        <f t="shared" si="9"/>
        <v>f</v>
      </c>
      <c r="G177" s="86" t="str">
        <f t="shared" si="10"/>
        <v>b05.00</v>
      </c>
      <c r="H177" s="86" t="str">
        <f t="shared" si="11"/>
        <v>0080_amnt_clltrl</v>
      </c>
      <c r="I177" s="86"/>
    </row>
    <row r="178" spans="2:9" x14ac:dyDescent="0.35">
      <c r="B178" s="85" t="s">
        <v>294</v>
      </c>
      <c r="C178" s="86">
        <v>0</v>
      </c>
      <c r="D178" s="86"/>
      <c r="E178" s="86" t="str">
        <f t="shared" si="8"/>
        <v>frmt</v>
      </c>
      <c r="F178" s="86" t="str">
        <f t="shared" si="9"/>
        <v>f</v>
      </c>
      <c r="G178" s="86" t="str">
        <f t="shared" si="10"/>
        <v>b05.00</v>
      </c>
      <c r="H178" s="86" t="str">
        <f t="shared" si="11"/>
        <v>0090_guarantee_trggr</v>
      </c>
      <c r="I178" s="86"/>
    </row>
    <row r="179" spans="2:9" x14ac:dyDescent="0.35">
      <c r="B179" s="85" t="s">
        <v>295</v>
      </c>
      <c r="C179" s="86">
        <v>0</v>
      </c>
      <c r="D179" s="86"/>
      <c r="E179" s="86" t="str">
        <f t="shared" si="8"/>
        <v>frmt</v>
      </c>
      <c r="F179" s="86" t="str">
        <f t="shared" si="9"/>
        <v>f</v>
      </c>
      <c r="G179" s="86" t="str">
        <f t="shared" si="10"/>
        <v>b05.00</v>
      </c>
      <c r="H179" s="86" t="str">
        <f t="shared" si="11"/>
        <v>0100_dt_mtrty_clltrl</v>
      </c>
      <c r="I179" s="86"/>
    </row>
    <row r="180" spans="2:9" x14ac:dyDescent="0.35">
      <c r="B180" s="85" t="s">
        <v>296</v>
      </c>
      <c r="C180" s="86">
        <v>0</v>
      </c>
      <c r="D180" s="86"/>
      <c r="E180" s="86" t="str">
        <f t="shared" si="8"/>
        <v>frmt</v>
      </c>
      <c r="F180" s="86" t="str">
        <f t="shared" si="9"/>
        <v>f</v>
      </c>
      <c r="G180" s="86" t="str">
        <f t="shared" si="10"/>
        <v>b05.00</v>
      </c>
      <c r="H180" s="86" t="str">
        <f t="shared" si="11"/>
        <v>0110_scrts_clltrl_id</v>
      </c>
      <c r="I180" s="86"/>
    </row>
    <row r="181" spans="2:9" x14ac:dyDescent="0.35">
      <c r="B181" s="85" t="s">
        <v>297</v>
      </c>
      <c r="C181" s="86">
        <v>0</v>
      </c>
      <c r="D181" s="86"/>
      <c r="E181" s="86" t="str">
        <f t="shared" si="8"/>
        <v>frmt</v>
      </c>
      <c r="F181" s="86" t="str">
        <f t="shared" si="9"/>
        <v>f</v>
      </c>
      <c r="G181" s="86" t="str">
        <f t="shared" si="10"/>
        <v>b05.00</v>
      </c>
      <c r="H181" s="86" t="str">
        <f t="shared" si="11"/>
        <v>0120_typ_clltrlztn</v>
      </c>
      <c r="I181" s="86"/>
    </row>
    <row r="182" spans="2:9" x14ac:dyDescent="0.35">
      <c r="B182" s="85" t="s">
        <v>298</v>
      </c>
      <c r="C182" s="86">
        <v>4730</v>
      </c>
      <c r="D182" s="86"/>
      <c r="E182" s="86" t="str">
        <f t="shared" si="8"/>
        <v>frmt</v>
      </c>
      <c r="F182" s="86" t="str">
        <f t="shared" si="9"/>
        <v>f</v>
      </c>
      <c r="G182" s="86" t="str">
        <f t="shared" si="10"/>
        <v>b05.00</v>
      </c>
      <c r="H182" s="86" t="str">
        <f t="shared" si="11"/>
        <v>0130_typ_prtctn_vl</v>
      </c>
      <c r="I182" s="90" t="s">
        <v>299</v>
      </c>
    </row>
    <row r="183" spans="2:9" x14ac:dyDescent="0.35">
      <c r="B183" s="85" t="s">
        <v>300</v>
      </c>
      <c r="C183" s="86">
        <v>4730</v>
      </c>
      <c r="D183" s="86"/>
      <c r="E183" s="86" t="str">
        <f t="shared" si="8"/>
        <v>frmt</v>
      </c>
      <c r="F183" s="86" t="str">
        <f t="shared" si="9"/>
        <v>f</v>
      </c>
      <c r="G183" s="86" t="str">
        <f t="shared" si="10"/>
        <v>b05.00</v>
      </c>
      <c r="H183" s="86" t="str">
        <f t="shared" si="11"/>
        <v>0150_prtctn_vltn_apprch</v>
      </c>
      <c r="I183" s="90" t="s">
        <v>299</v>
      </c>
    </row>
    <row r="184" spans="2:9" x14ac:dyDescent="0.35">
      <c r="B184" s="85" t="s">
        <v>301</v>
      </c>
      <c r="C184" s="86">
        <v>4740</v>
      </c>
      <c r="D184" s="86"/>
      <c r="E184" s="86" t="str">
        <f t="shared" si="8"/>
        <v>lvl1</v>
      </c>
      <c r="F184" s="86" t="str">
        <f t="shared" si="9"/>
        <v>h</v>
      </c>
      <c r="G184" s="86" t="str">
        <f t="shared" si="10"/>
        <v>b90.00</v>
      </c>
      <c r="H184" s="86" t="str">
        <f t="shared" si="11"/>
        <v>0030_cntrprty_rsltn_grp</v>
      </c>
      <c r="I184" s="86"/>
    </row>
    <row r="185" spans="2:9" x14ac:dyDescent="0.35">
      <c r="B185" s="85" t="s">
        <v>302</v>
      </c>
      <c r="C185" s="86">
        <v>0</v>
      </c>
      <c r="D185" s="86"/>
      <c r="E185" s="86" t="str">
        <f t="shared" si="8"/>
        <v>lvl2</v>
      </c>
      <c r="F185" s="86" t="str">
        <f t="shared" si="9"/>
        <v>h</v>
      </c>
      <c r="G185" s="86" t="str">
        <f t="shared" si="10"/>
        <v>b90.00</v>
      </c>
      <c r="H185" s="86" t="str">
        <f t="shared" si="11"/>
        <v>0030_cntrprty_rsltn_grp</v>
      </c>
      <c r="I185" s="86"/>
    </row>
    <row r="186" spans="2:9" x14ac:dyDescent="0.35">
      <c r="B186" s="85" t="s">
        <v>303</v>
      </c>
      <c r="C186" s="86">
        <v>0</v>
      </c>
      <c r="D186" s="86"/>
      <c r="E186" s="86" t="str">
        <f t="shared" si="8"/>
        <v>lvl2</v>
      </c>
      <c r="F186" s="86" t="str">
        <f t="shared" si="9"/>
        <v>h</v>
      </c>
      <c r="G186" s="86" t="str">
        <f t="shared" si="10"/>
        <v>b90.00</v>
      </c>
      <c r="H186" s="86" t="str">
        <f t="shared" si="11"/>
        <v>0080_cntrprty_typ</v>
      </c>
      <c r="I186" s="86"/>
    </row>
    <row r="187" spans="2:9" x14ac:dyDescent="0.35">
      <c r="B187" s="85" t="s">
        <v>304</v>
      </c>
      <c r="C187" s="86">
        <v>2</v>
      </c>
      <c r="D187" s="86"/>
      <c r="E187" s="86" t="str">
        <f t="shared" si="8"/>
        <v>lvl2</v>
      </c>
      <c r="F187" s="86" t="str">
        <f t="shared" si="9"/>
        <v>h</v>
      </c>
      <c r="G187" s="86" t="str">
        <f t="shared" si="10"/>
        <v>b90.00</v>
      </c>
      <c r="H187" s="86" t="str">
        <f t="shared" si="11"/>
        <v>0090_cntry_cntrprty</v>
      </c>
      <c r="I187" s="90" t="s">
        <v>305</v>
      </c>
    </row>
    <row r="188" spans="2:9" x14ac:dyDescent="0.35">
      <c r="B188" s="85" t="s">
        <v>306</v>
      </c>
      <c r="C188" s="86">
        <v>0</v>
      </c>
      <c r="D188" s="86"/>
      <c r="E188" s="86" t="str">
        <f t="shared" si="8"/>
        <v>frmt</v>
      </c>
      <c r="F188" s="86" t="str">
        <f t="shared" si="9"/>
        <v>f</v>
      </c>
      <c r="G188" s="86" t="str">
        <f t="shared" si="10"/>
        <v>b90.00</v>
      </c>
      <c r="H188" s="86" t="str">
        <f t="shared" si="11"/>
        <v>0010_row_nmbr</v>
      </c>
      <c r="I188" s="86"/>
    </row>
    <row r="189" spans="2:9" x14ac:dyDescent="0.35">
      <c r="B189" s="85" t="s">
        <v>307</v>
      </c>
      <c r="C189" s="86">
        <v>0</v>
      </c>
      <c r="D189" s="86"/>
      <c r="E189" s="86" t="str">
        <f t="shared" si="8"/>
        <v>frmt</v>
      </c>
      <c r="F189" s="86" t="str">
        <f t="shared" si="9"/>
        <v>f</v>
      </c>
      <c r="G189" s="86" t="str">
        <f t="shared" si="10"/>
        <v>b90.00</v>
      </c>
      <c r="H189" s="86" t="str">
        <f t="shared" si="11"/>
        <v>0011_tab_origin</v>
      </c>
      <c r="I189" s="86"/>
    </row>
    <row r="190" spans="2:9" x14ac:dyDescent="0.35">
      <c r="B190" s="85" t="s">
        <v>308</v>
      </c>
      <c r="C190" s="86">
        <v>0</v>
      </c>
      <c r="D190" s="86"/>
      <c r="E190" s="86" t="str">
        <f t="shared" si="8"/>
        <v>frmt</v>
      </c>
      <c r="F190" s="86" t="str">
        <f t="shared" si="9"/>
        <v>f</v>
      </c>
      <c r="G190" s="86" t="str">
        <f t="shared" si="10"/>
        <v>b90.00</v>
      </c>
      <c r="H190" s="86" t="str">
        <f t="shared" si="11"/>
        <v>0020_uniq_id_knwn_cntrprty</v>
      </c>
      <c r="I190" s="86"/>
    </row>
    <row r="191" spans="2:9" x14ac:dyDescent="0.35">
      <c r="B191" s="85" t="s">
        <v>309</v>
      </c>
      <c r="C191" s="86">
        <v>0</v>
      </c>
      <c r="D191" s="86"/>
      <c r="E191" s="86" t="str">
        <f t="shared" si="8"/>
        <v>frmt</v>
      </c>
      <c r="F191" s="86" t="str">
        <f t="shared" si="9"/>
        <v>f</v>
      </c>
      <c r="G191" s="86" t="str">
        <f t="shared" si="10"/>
        <v>b90.00</v>
      </c>
      <c r="H191" s="86" t="str">
        <f t="shared" si="11"/>
        <v>0030_cntrprty_rsltn_grp</v>
      </c>
      <c r="I191" s="86"/>
    </row>
    <row r="192" spans="2:9" x14ac:dyDescent="0.35">
      <c r="B192" s="85" t="s">
        <v>310</v>
      </c>
      <c r="C192" s="86">
        <v>0</v>
      </c>
      <c r="D192" s="86"/>
      <c r="E192" s="86" t="str">
        <f t="shared" si="8"/>
        <v>frmt</v>
      </c>
      <c r="F192" s="86" t="str">
        <f t="shared" si="9"/>
        <v>f</v>
      </c>
      <c r="G192" s="86" t="str">
        <f t="shared" si="10"/>
        <v>b90.00</v>
      </c>
      <c r="H192" s="86" t="str">
        <f t="shared" si="11"/>
        <v>0040_cntrprty_nm</v>
      </c>
      <c r="I192" s="86"/>
    </row>
    <row r="193" spans="2:9" x14ac:dyDescent="0.35">
      <c r="B193" s="85" t="s">
        <v>311</v>
      </c>
      <c r="C193" s="86">
        <v>0</v>
      </c>
      <c r="D193" s="86"/>
      <c r="E193" s="86" t="str">
        <f t="shared" si="8"/>
        <v>frmt</v>
      </c>
      <c r="F193" s="86" t="str">
        <f t="shared" si="9"/>
        <v>f</v>
      </c>
      <c r="G193" s="86" t="str">
        <f t="shared" si="10"/>
        <v>b90.00</v>
      </c>
      <c r="H193" s="86" t="str">
        <f t="shared" si="11"/>
        <v>0050_cntrprty_lei</v>
      </c>
      <c r="I193" s="86"/>
    </row>
    <row r="194" spans="2:9" x14ac:dyDescent="0.35">
      <c r="B194" s="85" t="s">
        <v>312</v>
      </c>
      <c r="C194" s="86">
        <v>0</v>
      </c>
      <c r="D194" s="86"/>
      <c r="E194" s="86" t="str">
        <f t="shared" si="8"/>
        <v>frmt</v>
      </c>
      <c r="F194" s="86" t="str">
        <f t="shared" si="9"/>
        <v>f</v>
      </c>
      <c r="G194" s="86" t="str">
        <f t="shared" si="10"/>
        <v>b90.00</v>
      </c>
      <c r="H194" s="86" t="str">
        <f t="shared" si="11"/>
        <v>0060_typ_cntrprty_id</v>
      </c>
      <c r="I194" s="86"/>
    </row>
    <row r="195" spans="2:9" x14ac:dyDescent="0.35">
      <c r="B195" s="85" t="s">
        <v>313</v>
      </c>
      <c r="C195" s="86">
        <v>0</v>
      </c>
      <c r="D195" s="86"/>
      <c r="E195" s="86" t="str">
        <f t="shared" si="8"/>
        <v>frmt</v>
      </c>
      <c r="F195" s="86" t="str">
        <f t="shared" si="9"/>
        <v>f</v>
      </c>
      <c r="G195" s="86" t="str">
        <f t="shared" si="10"/>
        <v>b90.00</v>
      </c>
      <c r="H195" s="86" t="str">
        <f t="shared" si="11"/>
        <v>0070_cntrprty_id</v>
      </c>
      <c r="I195" s="86"/>
    </row>
    <row r="196" spans="2:9" x14ac:dyDescent="0.35">
      <c r="B196" s="85" t="s">
        <v>314</v>
      </c>
      <c r="C196" s="86">
        <v>0</v>
      </c>
      <c r="D196" s="86"/>
      <c r="E196" s="86" t="str">
        <f t="shared" si="8"/>
        <v>frmt</v>
      </c>
      <c r="F196" s="86" t="str">
        <f t="shared" si="9"/>
        <v>f</v>
      </c>
      <c r="G196" s="86" t="str">
        <f t="shared" si="10"/>
        <v>b90.00</v>
      </c>
      <c r="H196" s="86" t="str">
        <f t="shared" si="11"/>
        <v>0080_cntrprty_typ</v>
      </c>
      <c r="I196" s="86"/>
    </row>
    <row r="197" spans="2:9" x14ac:dyDescent="0.35">
      <c r="B197" s="85" t="s">
        <v>315</v>
      </c>
      <c r="C197" s="86">
        <v>2</v>
      </c>
      <c r="D197" s="86"/>
      <c r="E197" s="86" t="str">
        <f t="shared" si="8"/>
        <v>frmt</v>
      </c>
      <c r="F197" s="86" t="str">
        <f t="shared" si="9"/>
        <v>f</v>
      </c>
      <c r="G197" s="86" t="str">
        <f t="shared" si="10"/>
        <v>b90.00</v>
      </c>
      <c r="H197" s="86" t="str">
        <f t="shared" si="11"/>
        <v>0090_cntry_cntrprty</v>
      </c>
      <c r="I197" s="90" t="s">
        <v>305</v>
      </c>
    </row>
    <row r="198" spans="2:9" x14ac:dyDescent="0.35">
      <c r="B198" s="85" t="s">
        <v>316</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heetViews>
  <sheetFormatPr defaultColWidth="0" defaultRowHeight="14.5" x14ac:dyDescent="0.35"/>
  <cols>
    <col min="1" max="1" width="3.81640625" customWidth="1"/>
    <col min="2" max="2" width="48.81640625" bestFit="1" customWidth="1"/>
    <col min="3" max="3" width="44.453125" bestFit="1" customWidth="1"/>
    <col min="4" max="4" width="23.453125" bestFit="1" customWidth="1"/>
    <col min="5" max="5" width="15.1796875" bestFit="1" customWidth="1"/>
    <col min="6" max="6" width="19.36328125" bestFit="1" customWidth="1"/>
    <col min="7" max="8" width="14.08984375" customWidth="1"/>
    <col min="9" max="9" width="48.54296875" customWidth="1"/>
    <col min="10" max="10" width="3.81640625" customWidth="1"/>
    <col min="11" max="12" width="0" hidden="1" customWidth="1"/>
    <col min="13" max="16384" width="8.90625" hidden="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t="s">
        <v>37</v>
      </c>
      <c r="C9" s="85" t="s">
        <v>38</v>
      </c>
      <c r="D9" s="85" t="s">
        <v>36</v>
      </c>
      <c r="E9" s="86">
        <v>8</v>
      </c>
      <c r="F9" s="86">
        <v>0</v>
      </c>
      <c r="G9" s="86"/>
      <c r="H9" s="86" t="str">
        <f>MID(B9,22,3)&amp;"."&amp;MID(B9,25,2)</f>
        <v>B02.00</v>
      </c>
      <c r="I9" s="86"/>
    </row>
    <row r="10" spans="1:12" x14ac:dyDescent="0.35">
      <c r="B10" s="85" t="s">
        <v>37</v>
      </c>
      <c r="C10" s="85" t="s">
        <v>38</v>
      </c>
      <c r="D10" s="85" t="s">
        <v>39</v>
      </c>
      <c r="E10" s="86">
        <v>8</v>
      </c>
      <c r="F10" s="86">
        <v>0</v>
      </c>
      <c r="G10" s="86"/>
      <c r="H10" s="86" t="str">
        <f t="shared" ref="H10:H73" si="0">MID(B10,22,3)&amp;"."&amp;MID(B10,25,2)</f>
        <v>B02.00</v>
      </c>
      <c r="I10" s="86"/>
    </row>
    <row r="11" spans="1:12" x14ac:dyDescent="0.35">
      <c r="B11" s="85" t="s">
        <v>37</v>
      </c>
      <c r="C11" s="85" t="s">
        <v>40</v>
      </c>
      <c r="D11" s="85" t="s">
        <v>36</v>
      </c>
      <c r="E11" s="86">
        <v>8</v>
      </c>
      <c r="F11" s="86">
        <v>0</v>
      </c>
      <c r="G11" s="86"/>
      <c r="H11" s="86" t="str">
        <f t="shared" si="0"/>
        <v>B02.00</v>
      </c>
      <c r="I11" s="86"/>
    </row>
    <row r="12" spans="1:12" x14ac:dyDescent="0.35">
      <c r="B12" s="85" t="s">
        <v>37</v>
      </c>
      <c r="C12" s="85" t="s">
        <v>40</v>
      </c>
      <c r="D12" s="85" t="s">
        <v>39</v>
      </c>
      <c r="E12" s="86">
        <v>8</v>
      </c>
      <c r="F12" s="86">
        <v>0</v>
      </c>
      <c r="G12" s="86"/>
      <c r="H12" s="86" t="str">
        <f t="shared" si="0"/>
        <v>B02.00</v>
      </c>
      <c r="I12" s="86"/>
    </row>
    <row r="13" spans="1:12" x14ac:dyDescent="0.35">
      <c r="B13" s="85" t="s">
        <v>37</v>
      </c>
      <c r="C13" s="85" t="s">
        <v>41</v>
      </c>
      <c r="D13" s="85" t="s">
        <v>36</v>
      </c>
      <c r="E13" s="86">
        <v>8</v>
      </c>
      <c r="F13" s="86">
        <v>0</v>
      </c>
      <c r="G13" s="86"/>
      <c r="H13" s="86" t="str">
        <f t="shared" si="0"/>
        <v>B02.00</v>
      </c>
      <c r="I13" s="86"/>
    </row>
    <row r="14" spans="1:12" x14ac:dyDescent="0.35">
      <c r="B14" s="85" t="s">
        <v>37</v>
      </c>
      <c r="C14" s="85" t="s">
        <v>41</v>
      </c>
      <c r="D14" s="85" t="s">
        <v>39</v>
      </c>
      <c r="E14" s="86">
        <v>8</v>
      </c>
      <c r="F14" s="86">
        <v>0</v>
      </c>
      <c r="G14" s="86"/>
      <c r="H14" s="86" t="str">
        <f t="shared" si="0"/>
        <v>B02.00</v>
      </c>
      <c r="I14" s="86"/>
    </row>
    <row r="15" spans="1:12" x14ac:dyDescent="0.35">
      <c r="B15" s="85" t="s">
        <v>37</v>
      </c>
      <c r="C15" s="85" t="s">
        <v>42</v>
      </c>
      <c r="D15" s="85" t="s">
        <v>36</v>
      </c>
      <c r="E15" s="86">
        <v>8</v>
      </c>
      <c r="F15" s="86">
        <v>0</v>
      </c>
      <c r="G15" s="86"/>
      <c r="H15" s="86" t="str">
        <f t="shared" si="0"/>
        <v>B02.00</v>
      </c>
      <c r="I15" s="86"/>
    </row>
    <row r="16" spans="1:12" x14ac:dyDescent="0.35">
      <c r="B16" s="85" t="s">
        <v>37</v>
      </c>
      <c r="C16" s="85" t="s">
        <v>42</v>
      </c>
      <c r="D16" s="85" t="s">
        <v>39</v>
      </c>
      <c r="E16" s="86">
        <v>8</v>
      </c>
      <c r="F16" s="86">
        <v>0</v>
      </c>
      <c r="G16" s="86"/>
      <c r="H16" s="86" t="str">
        <f t="shared" si="0"/>
        <v>B02.00</v>
      </c>
      <c r="I16" s="86"/>
    </row>
    <row r="17" spans="2:9" x14ac:dyDescent="0.35">
      <c r="B17" s="85" t="s">
        <v>37</v>
      </c>
      <c r="C17" s="85" t="s">
        <v>43</v>
      </c>
      <c r="D17" s="85" t="s">
        <v>36</v>
      </c>
      <c r="E17" s="86">
        <v>8</v>
      </c>
      <c r="F17" s="86">
        <v>0</v>
      </c>
      <c r="G17" s="86"/>
      <c r="H17" s="86" t="str">
        <f t="shared" si="0"/>
        <v>B02.00</v>
      </c>
      <c r="I17" s="86"/>
    </row>
    <row r="18" spans="2:9" x14ac:dyDescent="0.35">
      <c r="B18" s="85" t="s">
        <v>37</v>
      </c>
      <c r="C18" s="85" t="s">
        <v>43</v>
      </c>
      <c r="D18" s="85" t="s">
        <v>39</v>
      </c>
      <c r="E18" s="86">
        <v>8</v>
      </c>
      <c r="F18" s="86">
        <v>0</v>
      </c>
      <c r="G18" s="86"/>
      <c r="H18" s="86" t="str">
        <f t="shared" si="0"/>
        <v>B02.00</v>
      </c>
      <c r="I18" s="86"/>
    </row>
    <row r="19" spans="2:9" x14ac:dyDescent="0.35">
      <c r="B19" s="85" t="s">
        <v>37</v>
      </c>
      <c r="C19" s="85" t="s">
        <v>44</v>
      </c>
      <c r="D19" s="85" t="s">
        <v>36</v>
      </c>
      <c r="E19" s="86">
        <v>8</v>
      </c>
      <c r="F19" s="86">
        <v>0</v>
      </c>
      <c r="G19" s="86"/>
      <c r="H19" s="86" t="str">
        <f t="shared" si="0"/>
        <v>B02.00</v>
      </c>
      <c r="I19" s="86" t="s">
        <v>322</v>
      </c>
    </row>
    <row r="20" spans="2:9" x14ac:dyDescent="0.35">
      <c r="B20" s="85" t="s">
        <v>37</v>
      </c>
      <c r="C20" s="85" t="s">
        <v>44</v>
      </c>
      <c r="D20" s="85" t="s">
        <v>39</v>
      </c>
      <c r="E20" s="86">
        <v>8</v>
      </c>
      <c r="F20" s="86">
        <v>0</v>
      </c>
      <c r="G20" s="86"/>
      <c r="H20" s="86" t="str">
        <f t="shared" si="0"/>
        <v>B02.00</v>
      </c>
      <c r="I20" s="86"/>
    </row>
    <row r="21" spans="2:9" x14ac:dyDescent="0.35">
      <c r="B21" s="85" t="s">
        <v>37</v>
      </c>
      <c r="C21" s="85" t="s">
        <v>45</v>
      </c>
      <c r="D21" s="85" t="s">
        <v>36</v>
      </c>
      <c r="E21" s="86">
        <v>8</v>
      </c>
      <c r="F21" s="86">
        <v>0</v>
      </c>
      <c r="G21" s="86"/>
      <c r="H21" s="86" t="str">
        <f t="shared" si="0"/>
        <v>B02.00</v>
      </c>
      <c r="I21" s="86"/>
    </row>
    <row r="22" spans="2:9" x14ac:dyDescent="0.35">
      <c r="B22" s="85" t="s">
        <v>37</v>
      </c>
      <c r="C22" s="85" t="s">
        <v>45</v>
      </c>
      <c r="D22" s="85" t="s">
        <v>39</v>
      </c>
      <c r="E22" s="86">
        <v>8</v>
      </c>
      <c r="F22" s="86">
        <v>0</v>
      </c>
      <c r="G22" s="86"/>
      <c r="H22" s="86" t="str">
        <f t="shared" si="0"/>
        <v>B02.00</v>
      </c>
      <c r="I22" s="86"/>
    </row>
    <row r="23" spans="2:9" x14ac:dyDescent="0.35">
      <c r="B23" s="85" t="s">
        <v>37</v>
      </c>
      <c r="C23" s="85" t="s">
        <v>46</v>
      </c>
      <c r="D23" s="85" t="s">
        <v>36</v>
      </c>
      <c r="E23" s="86">
        <v>8</v>
      </c>
      <c r="F23" s="86">
        <v>0</v>
      </c>
      <c r="G23" s="86"/>
      <c r="H23" s="86" t="str">
        <f t="shared" si="0"/>
        <v>B02.00</v>
      </c>
      <c r="I23" s="86"/>
    </row>
    <row r="24" spans="2:9" x14ac:dyDescent="0.35">
      <c r="B24" s="85" t="s">
        <v>37</v>
      </c>
      <c r="C24" s="85" t="s">
        <v>46</v>
      </c>
      <c r="D24" s="85" t="s">
        <v>39</v>
      </c>
      <c r="E24" s="86">
        <v>8</v>
      </c>
      <c r="F24" s="86">
        <v>0</v>
      </c>
      <c r="G24" s="86"/>
      <c r="H24" s="86" t="str">
        <f t="shared" si="0"/>
        <v>B02.00</v>
      </c>
      <c r="I24" s="86"/>
    </row>
    <row r="25" spans="2:9" x14ac:dyDescent="0.35">
      <c r="B25" s="85" t="s">
        <v>37</v>
      </c>
      <c r="C25" s="85" t="s">
        <v>47</v>
      </c>
      <c r="D25" s="85" t="s">
        <v>36</v>
      </c>
      <c r="E25" s="86">
        <v>8</v>
      </c>
      <c r="F25" s="86">
        <v>0</v>
      </c>
      <c r="G25" s="86"/>
      <c r="H25" s="86" t="str">
        <f t="shared" si="0"/>
        <v>B02.00</v>
      </c>
      <c r="I25" s="86"/>
    </row>
    <row r="26" spans="2:9" x14ac:dyDescent="0.35">
      <c r="B26" s="85" t="s">
        <v>37</v>
      </c>
      <c r="C26" s="85" t="s">
        <v>47</v>
      </c>
      <c r="D26" s="85" t="s">
        <v>39</v>
      </c>
      <c r="E26" s="86">
        <v>8</v>
      </c>
      <c r="F26" s="86">
        <v>0</v>
      </c>
      <c r="G26" s="86"/>
      <c r="H26" s="86" t="str">
        <f t="shared" si="0"/>
        <v>B02.00</v>
      </c>
      <c r="I26" s="86"/>
    </row>
    <row r="27" spans="2:9" x14ac:dyDescent="0.35">
      <c r="B27" s="85" t="s">
        <v>37</v>
      </c>
      <c r="C27" s="85" t="s">
        <v>48</v>
      </c>
      <c r="D27" s="85" t="s">
        <v>36</v>
      </c>
      <c r="E27" s="86">
        <v>8</v>
      </c>
      <c r="F27" s="86">
        <v>0</v>
      </c>
      <c r="G27" s="86"/>
      <c r="H27" s="86" t="str">
        <f t="shared" si="0"/>
        <v>B02.00</v>
      </c>
      <c r="I27" s="86"/>
    </row>
    <row r="28" spans="2:9" x14ac:dyDescent="0.35">
      <c r="B28" s="85" t="s">
        <v>37</v>
      </c>
      <c r="C28" s="85" t="s">
        <v>48</v>
      </c>
      <c r="D28" s="85" t="s">
        <v>39</v>
      </c>
      <c r="E28" s="86">
        <v>8</v>
      </c>
      <c r="F28" s="86">
        <v>0</v>
      </c>
      <c r="G28" s="86"/>
      <c r="H28" s="86" t="str">
        <f t="shared" si="0"/>
        <v>B02.00</v>
      </c>
      <c r="I28" s="86"/>
    </row>
    <row r="29" spans="2:9" x14ac:dyDescent="0.35">
      <c r="B29" s="85" t="s">
        <v>37</v>
      </c>
      <c r="C29" s="85" t="s">
        <v>49</v>
      </c>
      <c r="D29" s="85" t="s">
        <v>36</v>
      </c>
      <c r="E29" s="86">
        <v>8</v>
      </c>
      <c r="F29" s="86">
        <v>0</v>
      </c>
      <c r="G29" s="86"/>
      <c r="H29" s="86" t="str">
        <f t="shared" si="0"/>
        <v>B02.00</v>
      </c>
      <c r="I29" s="86"/>
    </row>
    <row r="30" spans="2:9" x14ac:dyDescent="0.35">
      <c r="B30" s="85" t="s">
        <v>37</v>
      </c>
      <c r="C30" s="85" t="s">
        <v>49</v>
      </c>
      <c r="D30" s="85" t="s">
        <v>39</v>
      </c>
      <c r="E30" s="86">
        <v>8</v>
      </c>
      <c r="F30" s="86">
        <v>8</v>
      </c>
      <c r="G30" s="86"/>
      <c r="H30" s="86" t="str">
        <f t="shared" si="0"/>
        <v>B02.00</v>
      </c>
      <c r="I30" s="86"/>
    </row>
    <row r="31" spans="2:9" x14ac:dyDescent="0.35">
      <c r="B31" s="85" t="s">
        <v>37</v>
      </c>
      <c r="C31" s="85" t="s">
        <v>50</v>
      </c>
      <c r="D31" s="85" t="s">
        <v>36</v>
      </c>
      <c r="E31" s="86">
        <v>8</v>
      </c>
      <c r="F31" s="86">
        <v>0</v>
      </c>
      <c r="G31" s="86"/>
      <c r="H31" s="86" t="str">
        <f t="shared" si="0"/>
        <v>B02.00</v>
      </c>
      <c r="I31" s="86"/>
    </row>
    <row r="32" spans="2:9" x14ac:dyDescent="0.35">
      <c r="B32" s="85" t="s">
        <v>37</v>
      </c>
      <c r="C32" s="85" t="s">
        <v>50</v>
      </c>
      <c r="D32" s="85" t="s">
        <v>39</v>
      </c>
      <c r="E32" s="86">
        <v>8</v>
      </c>
      <c r="F32" s="86">
        <v>8</v>
      </c>
      <c r="G32" s="86"/>
      <c r="H32" s="86" t="str">
        <f t="shared" si="0"/>
        <v>B02.00</v>
      </c>
      <c r="I32" s="86"/>
    </row>
    <row r="33" spans="2:9" x14ac:dyDescent="0.35">
      <c r="B33" s="85" t="s">
        <v>37</v>
      </c>
      <c r="C33" s="85" t="s">
        <v>51</v>
      </c>
      <c r="D33" s="85" t="s">
        <v>36</v>
      </c>
      <c r="E33" s="86">
        <v>8</v>
      </c>
      <c r="F33" s="86">
        <v>0</v>
      </c>
      <c r="G33" s="86"/>
      <c r="H33" s="86" t="str">
        <f t="shared" si="0"/>
        <v>B02.00</v>
      </c>
      <c r="I33" s="86"/>
    </row>
    <row r="34" spans="2:9" x14ac:dyDescent="0.35">
      <c r="B34" s="85" t="s">
        <v>37</v>
      </c>
      <c r="C34" s="85" t="s">
        <v>51</v>
      </c>
      <c r="D34" s="85" t="s">
        <v>39</v>
      </c>
      <c r="E34" s="86">
        <v>8</v>
      </c>
      <c r="F34" s="86">
        <v>0</v>
      </c>
      <c r="G34" s="86"/>
      <c r="H34" s="86" t="str">
        <f t="shared" si="0"/>
        <v>B02.00</v>
      </c>
      <c r="I34" s="86" t="s">
        <v>322</v>
      </c>
    </row>
    <row r="35" spans="2:9" x14ac:dyDescent="0.35">
      <c r="B35" s="85" t="s">
        <v>37</v>
      </c>
      <c r="C35" s="85" t="s">
        <v>52</v>
      </c>
      <c r="D35" s="85" t="s">
        <v>36</v>
      </c>
      <c r="E35" s="86">
        <v>8</v>
      </c>
      <c r="F35" s="86">
        <v>0</v>
      </c>
      <c r="G35" s="86"/>
      <c r="H35" s="86" t="str">
        <f t="shared" si="0"/>
        <v>B02.00</v>
      </c>
      <c r="I35" s="86"/>
    </row>
    <row r="36" spans="2:9" x14ac:dyDescent="0.35">
      <c r="B36" s="85" t="s">
        <v>37</v>
      </c>
      <c r="C36" s="85" t="s">
        <v>52</v>
      </c>
      <c r="D36" s="85" t="s">
        <v>39</v>
      </c>
      <c r="E36" s="86">
        <v>8</v>
      </c>
      <c r="F36" s="86">
        <v>0</v>
      </c>
      <c r="G36" s="86"/>
      <c r="H36" s="86" t="str">
        <f t="shared" si="0"/>
        <v>B02.00</v>
      </c>
      <c r="I36" s="86"/>
    </row>
    <row r="37" spans="2:9" x14ac:dyDescent="0.35">
      <c r="B37" s="85" t="s">
        <v>37</v>
      </c>
      <c r="C37" s="85" t="s">
        <v>53</v>
      </c>
      <c r="D37" s="85" t="s">
        <v>36</v>
      </c>
      <c r="E37" s="86">
        <v>8</v>
      </c>
      <c r="F37" s="86">
        <v>0</v>
      </c>
      <c r="G37" s="86"/>
      <c r="H37" s="86" t="str">
        <f t="shared" si="0"/>
        <v>B02.00</v>
      </c>
      <c r="I37" s="86"/>
    </row>
    <row r="38" spans="2:9" x14ac:dyDescent="0.35">
      <c r="B38" s="85" t="s">
        <v>37</v>
      </c>
      <c r="C38" s="85" t="s">
        <v>53</v>
      </c>
      <c r="D38" s="85" t="s">
        <v>39</v>
      </c>
      <c r="E38" s="86">
        <v>8</v>
      </c>
      <c r="F38" s="86">
        <v>0</v>
      </c>
      <c r="G38" s="86"/>
      <c r="H38" s="86" t="str">
        <f t="shared" si="0"/>
        <v>B02.00</v>
      </c>
      <c r="I38" s="86"/>
    </row>
    <row r="39" spans="2:9" x14ac:dyDescent="0.35">
      <c r="B39" s="85" t="s">
        <v>37</v>
      </c>
      <c r="C39" s="85" t="s">
        <v>54</v>
      </c>
      <c r="D39" s="85" t="s">
        <v>36</v>
      </c>
      <c r="E39" s="86">
        <v>8</v>
      </c>
      <c r="F39" s="86">
        <v>0</v>
      </c>
      <c r="G39" s="86"/>
      <c r="H39" s="86" t="str">
        <f t="shared" si="0"/>
        <v>B02.00</v>
      </c>
      <c r="I39" s="86"/>
    </row>
    <row r="40" spans="2:9" x14ac:dyDescent="0.35">
      <c r="B40" s="85" t="s">
        <v>37</v>
      </c>
      <c r="C40" s="85" t="s">
        <v>54</v>
      </c>
      <c r="D40" s="85" t="s">
        <v>39</v>
      </c>
      <c r="E40" s="86">
        <v>8</v>
      </c>
      <c r="F40" s="86">
        <v>0</v>
      </c>
      <c r="G40" s="86"/>
      <c r="H40" s="86" t="str">
        <f t="shared" si="0"/>
        <v>B02.00</v>
      </c>
      <c r="I40" s="86"/>
    </row>
    <row r="41" spans="2:9" x14ac:dyDescent="0.35">
      <c r="B41" s="85" t="s">
        <v>37</v>
      </c>
      <c r="C41" s="85" t="s">
        <v>55</v>
      </c>
      <c r="D41" s="85" t="s">
        <v>36</v>
      </c>
      <c r="E41" s="86">
        <v>8</v>
      </c>
      <c r="F41" s="86">
        <v>8</v>
      </c>
      <c r="G41" s="86"/>
      <c r="H41" s="86" t="str">
        <f t="shared" si="0"/>
        <v>B02.00</v>
      </c>
      <c r="I41" s="86"/>
    </row>
    <row r="42" spans="2:9" x14ac:dyDescent="0.35">
      <c r="B42" s="85" t="s">
        <v>37</v>
      </c>
      <c r="C42" s="85" t="s">
        <v>55</v>
      </c>
      <c r="D42" s="85" t="s">
        <v>39</v>
      </c>
      <c r="E42" s="86">
        <v>8</v>
      </c>
      <c r="F42" s="86">
        <v>0</v>
      </c>
      <c r="G42" s="86"/>
      <c r="H42" s="86" t="str">
        <f t="shared" si="0"/>
        <v>B02.00</v>
      </c>
      <c r="I42" s="86"/>
    </row>
    <row r="43" spans="2:9" x14ac:dyDescent="0.35">
      <c r="B43" s="85" t="s">
        <v>37</v>
      </c>
      <c r="C43" s="85" t="s">
        <v>56</v>
      </c>
      <c r="D43" s="85" t="s">
        <v>36</v>
      </c>
      <c r="E43" s="86">
        <v>8</v>
      </c>
      <c r="F43" s="86">
        <v>0</v>
      </c>
      <c r="G43" s="86"/>
      <c r="H43" s="86" t="str">
        <f t="shared" si="0"/>
        <v>B02.00</v>
      </c>
      <c r="I43" s="86"/>
    </row>
    <row r="44" spans="2:9" x14ac:dyDescent="0.35">
      <c r="B44" s="85" t="s">
        <v>37</v>
      </c>
      <c r="C44" s="85" t="s">
        <v>56</v>
      </c>
      <c r="D44" s="85" t="s">
        <v>39</v>
      </c>
      <c r="E44" s="86">
        <v>8</v>
      </c>
      <c r="F44" s="86">
        <v>3</v>
      </c>
      <c r="G44" s="86"/>
      <c r="H44" s="86" t="str">
        <f t="shared" si="0"/>
        <v>B02.00</v>
      </c>
      <c r="I44" s="86"/>
    </row>
    <row r="45" spans="2:9" x14ac:dyDescent="0.35">
      <c r="B45" s="85" t="s">
        <v>37</v>
      </c>
      <c r="C45" s="85" t="s">
        <v>57</v>
      </c>
      <c r="D45" s="85" t="s">
        <v>36</v>
      </c>
      <c r="E45" s="86">
        <v>8</v>
      </c>
      <c r="F45" s="86">
        <v>0</v>
      </c>
      <c r="G45" s="86"/>
      <c r="H45" s="86" t="str">
        <f t="shared" si="0"/>
        <v>B02.00</v>
      </c>
      <c r="I45" s="86"/>
    </row>
    <row r="46" spans="2:9" x14ac:dyDescent="0.35">
      <c r="B46" s="85" t="s">
        <v>37</v>
      </c>
      <c r="C46" s="85" t="s">
        <v>57</v>
      </c>
      <c r="D46" s="85" t="s">
        <v>39</v>
      </c>
      <c r="E46" s="86">
        <v>8</v>
      </c>
      <c r="F46" s="86">
        <v>8</v>
      </c>
      <c r="G46" s="86"/>
      <c r="H46" s="86" t="str">
        <f t="shared" si="0"/>
        <v>B02.00</v>
      </c>
      <c r="I46" s="86"/>
    </row>
    <row r="47" spans="2:9" x14ac:dyDescent="0.35">
      <c r="B47" s="85" t="s">
        <v>37</v>
      </c>
      <c r="C47" s="85" t="s">
        <v>58</v>
      </c>
      <c r="D47" s="85" t="s">
        <v>36</v>
      </c>
      <c r="E47" s="86">
        <v>8</v>
      </c>
      <c r="F47" s="86">
        <v>0</v>
      </c>
      <c r="G47" s="86"/>
      <c r="H47" s="86" t="str">
        <f t="shared" si="0"/>
        <v>B02.00</v>
      </c>
      <c r="I47" s="86"/>
    </row>
    <row r="48" spans="2:9" x14ac:dyDescent="0.35">
      <c r="B48" s="85" t="s">
        <v>37</v>
      </c>
      <c r="C48" s="85" t="s">
        <v>58</v>
      </c>
      <c r="D48" s="85" t="s">
        <v>39</v>
      </c>
      <c r="E48" s="86">
        <v>8</v>
      </c>
      <c r="F48" s="86">
        <v>3</v>
      </c>
      <c r="G48" s="86"/>
      <c r="H48" s="86" t="str">
        <f t="shared" si="0"/>
        <v>B02.00</v>
      </c>
      <c r="I48" s="86"/>
    </row>
    <row r="49" spans="2:9" x14ac:dyDescent="0.35">
      <c r="B49" s="85" t="s">
        <v>37</v>
      </c>
      <c r="C49" s="85" t="s">
        <v>59</v>
      </c>
      <c r="D49" s="85" t="s">
        <v>36</v>
      </c>
      <c r="E49" s="86">
        <v>8</v>
      </c>
      <c r="F49" s="86">
        <v>0</v>
      </c>
      <c r="G49" s="86"/>
      <c r="H49" s="86" t="str">
        <f t="shared" si="0"/>
        <v>B02.00</v>
      </c>
      <c r="I49" s="86"/>
    </row>
    <row r="50" spans="2:9" x14ac:dyDescent="0.35">
      <c r="B50" s="85" t="s">
        <v>37</v>
      </c>
      <c r="C50" s="85" t="s">
        <v>59</v>
      </c>
      <c r="D50" s="85" t="s">
        <v>39</v>
      </c>
      <c r="E50" s="86">
        <v>8</v>
      </c>
      <c r="F50" s="86">
        <v>0</v>
      </c>
      <c r="G50" s="86"/>
      <c r="H50" s="86" t="str">
        <f t="shared" si="0"/>
        <v>B02.00</v>
      </c>
      <c r="I50" s="86"/>
    </row>
    <row r="51" spans="2:9" x14ac:dyDescent="0.35">
      <c r="B51" s="85" t="s">
        <v>37</v>
      </c>
      <c r="C51" s="85" t="s">
        <v>60</v>
      </c>
      <c r="D51" s="85" t="s">
        <v>36</v>
      </c>
      <c r="E51" s="86">
        <v>8</v>
      </c>
      <c r="F51" s="86">
        <v>0</v>
      </c>
      <c r="G51" s="86"/>
      <c r="H51" s="86" t="str">
        <f t="shared" si="0"/>
        <v>B02.00</v>
      </c>
      <c r="I51" s="86"/>
    </row>
    <row r="52" spans="2:9" x14ac:dyDescent="0.35">
      <c r="B52" s="85" t="s">
        <v>37</v>
      </c>
      <c r="C52" s="85" t="s">
        <v>60</v>
      </c>
      <c r="D52" s="85" t="s">
        <v>39</v>
      </c>
      <c r="E52" s="86">
        <v>8</v>
      </c>
      <c r="F52" s="86">
        <v>0</v>
      </c>
      <c r="G52" s="86"/>
      <c r="H52" s="86" t="str">
        <f t="shared" si="0"/>
        <v>B02.00</v>
      </c>
      <c r="I52" s="86"/>
    </row>
    <row r="53" spans="2:9" x14ac:dyDescent="0.35">
      <c r="B53" s="85" t="s">
        <v>37</v>
      </c>
      <c r="C53" s="85" t="s">
        <v>61</v>
      </c>
      <c r="D53" s="85" t="s">
        <v>36</v>
      </c>
      <c r="E53" s="86">
        <v>8</v>
      </c>
      <c r="F53" s="86">
        <v>0</v>
      </c>
      <c r="G53" s="86"/>
      <c r="H53" s="86" t="str">
        <f t="shared" si="0"/>
        <v>B02.00</v>
      </c>
      <c r="I53" s="86"/>
    </row>
    <row r="54" spans="2:9" x14ac:dyDescent="0.35">
      <c r="B54" s="85" t="s">
        <v>37</v>
      </c>
      <c r="C54" s="85" t="s">
        <v>61</v>
      </c>
      <c r="D54" s="85" t="s">
        <v>39</v>
      </c>
      <c r="E54" s="86">
        <v>8</v>
      </c>
      <c r="F54" s="86">
        <v>0</v>
      </c>
      <c r="G54" s="86"/>
      <c r="H54" s="86" t="str">
        <f t="shared" si="0"/>
        <v>B02.00</v>
      </c>
      <c r="I54" s="86"/>
    </row>
    <row r="55" spans="2:9" x14ac:dyDescent="0.35">
      <c r="B55" s="85" t="s">
        <v>37</v>
      </c>
      <c r="C55" s="85" t="s">
        <v>62</v>
      </c>
      <c r="D55" s="85" t="s">
        <v>36</v>
      </c>
      <c r="E55" s="86">
        <v>8</v>
      </c>
      <c r="F55" s="86">
        <v>0</v>
      </c>
      <c r="G55" s="86"/>
      <c r="H55" s="86" t="str">
        <f t="shared" si="0"/>
        <v>B02.00</v>
      </c>
      <c r="I55" s="86"/>
    </row>
    <row r="56" spans="2:9" x14ac:dyDescent="0.35">
      <c r="B56" s="85" t="s">
        <v>37</v>
      </c>
      <c r="C56" s="85" t="s">
        <v>62</v>
      </c>
      <c r="D56" s="85" t="s">
        <v>39</v>
      </c>
      <c r="E56" s="86">
        <v>8</v>
      </c>
      <c r="F56" s="86">
        <v>0</v>
      </c>
      <c r="G56" s="86"/>
      <c r="H56" s="86" t="str">
        <f t="shared" si="0"/>
        <v>B02.00</v>
      </c>
      <c r="I56" s="86"/>
    </row>
    <row r="57" spans="2:9" x14ac:dyDescent="0.35">
      <c r="B57" s="85" t="s">
        <v>37</v>
      </c>
      <c r="C57" s="85" t="s">
        <v>63</v>
      </c>
      <c r="D57" s="85" t="s">
        <v>36</v>
      </c>
      <c r="E57" s="86">
        <v>8</v>
      </c>
      <c r="F57" s="86">
        <v>0</v>
      </c>
      <c r="G57" s="86"/>
      <c r="H57" s="86" t="str">
        <f t="shared" si="0"/>
        <v>B02.00</v>
      </c>
      <c r="I57" s="86"/>
    </row>
    <row r="58" spans="2:9" x14ac:dyDescent="0.35">
      <c r="B58" s="85" t="s">
        <v>37</v>
      </c>
      <c r="C58" s="85" t="s">
        <v>63</v>
      </c>
      <c r="D58" s="85" t="s">
        <v>39</v>
      </c>
      <c r="E58" s="86">
        <v>8</v>
      </c>
      <c r="F58" s="86">
        <v>0</v>
      </c>
      <c r="G58" s="86"/>
      <c r="H58" s="86" t="str">
        <f t="shared" si="0"/>
        <v>B02.00</v>
      </c>
      <c r="I58" s="86"/>
    </row>
    <row r="59" spans="2:9" x14ac:dyDescent="0.35">
      <c r="B59" s="85" t="s">
        <v>37</v>
      </c>
      <c r="C59" s="85" t="s">
        <v>64</v>
      </c>
      <c r="D59" s="85" t="s">
        <v>36</v>
      </c>
      <c r="E59" s="86">
        <v>8</v>
      </c>
      <c r="F59" s="86">
        <v>0</v>
      </c>
      <c r="G59" s="86"/>
      <c r="H59" s="86" t="str">
        <f t="shared" si="0"/>
        <v>B02.00</v>
      </c>
      <c r="I59" s="86"/>
    </row>
    <row r="60" spans="2:9" x14ac:dyDescent="0.35">
      <c r="B60" s="85" t="s">
        <v>37</v>
      </c>
      <c r="C60" s="85" t="s">
        <v>64</v>
      </c>
      <c r="D60" s="85" t="s">
        <v>39</v>
      </c>
      <c r="E60" s="86">
        <v>8</v>
      </c>
      <c r="F60" s="86">
        <v>0</v>
      </c>
      <c r="G60" s="86"/>
      <c r="H60" s="86" t="str">
        <f t="shared" si="0"/>
        <v>B02.00</v>
      </c>
      <c r="I60" s="86"/>
    </row>
    <row r="61" spans="2:9" x14ac:dyDescent="0.35">
      <c r="B61" s="85" t="s">
        <v>37</v>
      </c>
      <c r="C61" s="85" t="s">
        <v>65</v>
      </c>
      <c r="D61" s="85" t="s">
        <v>36</v>
      </c>
      <c r="E61" s="86">
        <v>8</v>
      </c>
      <c r="F61" s="86">
        <v>0</v>
      </c>
      <c r="G61" s="86"/>
      <c r="H61" s="86" t="str">
        <f t="shared" si="0"/>
        <v>B02.00</v>
      </c>
      <c r="I61" s="86"/>
    </row>
    <row r="62" spans="2:9" x14ac:dyDescent="0.35">
      <c r="B62" s="85" t="s">
        <v>37</v>
      </c>
      <c r="C62" s="85" t="s">
        <v>65</v>
      </c>
      <c r="D62" s="85" t="s">
        <v>39</v>
      </c>
      <c r="E62" s="86">
        <v>8</v>
      </c>
      <c r="F62" s="86">
        <v>0</v>
      </c>
      <c r="G62" s="86"/>
      <c r="H62" s="86" t="str">
        <f t="shared" si="0"/>
        <v>B02.00</v>
      </c>
      <c r="I62" s="86"/>
    </row>
    <row r="63" spans="2:9" x14ac:dyDescent="0.35">
      <c r="B63" s="85" t="s">
        <v>37</v>
      </c>
      <c r="C63" s="85" t="s">
        <v>66</v>
      </c>
      <c r="D63" s="85" t="s">
        <v>36</v>
      </c>
      <c r="E63" s="86">
        <v>8</v>
      </c>
      <c r="F63" s="86">
        <v>0</v>
      </c>
      <c r="G63" s="86"/>
      <c r="H63" s="86" t="str">
        <f t="shared" si="0"/>
        <v>B02.00</v>
      </c>
      <c r="I63" s="86"/>
    </row>
    <row r="64" spans="2:9" x14ac:dyDescent="0.35">
      <c r="B64" s="85" t="s">
        <v>37</v>
      </c>
      <c r="C64" s="85" t="s">
        <v>66</v>
      </c>
      <c r="D64" s="85" t="s">
        <v>39</v>
      </c>
      <c r="E64" s="86">
        <v>8</v>
      </c>
      <c r="F64" s="86">
        <v>0</v>
      </c>
      <c r="G64" s="86"/>
      <c r="H64" s="86" t="str">
        <f t="shared" si="0"/>
        <v>B02.00</v>
      </c>
      <c r="I64" s="86"/>
    </row>
    <row r="65" spans="2:9" x14ac:dyDescent="0.35">
      <c r="B65" s="85" t="s">
        <v>37</v>
      </c>
      <c r="C65" s="85" t="s">
        <v>67</v>
      </c>
      <c r="D65" s="85" t="s">
        <v>36</v>
      </c>
      <c r="E65" s="86">
        <v>8</v>
      </c>
      <c r="F65" s="86">
        <v>0</v>
      </c>
      <c r="G65" s="86"/>
      <c r="H65" s="86" t="str">
        <f t="shared" si="0"/>
        <v>B02.00</v>
      </c>
      <c r="I65" s="86"/>
    </row>
    <row r="66" spans="2:9" x14ac:dyDescent="0.35">
      <c r="B66" s="85" t="s">
        <v>37</v>
      </c>
      <c r="C66" s="85" t="s">
        <v>67</v>
      </c>
      <c r="D66" s="85" t="s">
        <v>39</v>
      </c>
      <c r="E66" s="86">
        <v>8</v>
      </c>
      <c r="F66" s="86">
        <v>0</v>
      </c>
      <c r="G66" s="86"/>
      <c r="H66" s="86" t="str">
        <f t="shared" si="0"/>
        <v>B02.00</v>
      </c>
      <c r="I66" s="86"/>
    </row>
    <row r="67" spans="2:9" x14ac:dyDescent="0.35">
      <c r="B67" s="85" t="s">
        <v>37</v>
      </c>
      <c r="C67" s="85" t="s">
        <v>68</v>
      </c>
      <c r="D67" s="85" t="s">
        <v>36</v>
      </c>
      <c r="E67" s="86">
        <v>8</v>
      </c>
      <c r="F67" s="86">
        <v>0</v>
      </c>
      <c r="G67" s="86"/>
      <c r="H67" s="86" t="str">
        <f t="shared" si="0"/>
        <v>B02.00</v>
      </c>
      <c r="I67" s="86"/>
    </row>
    <row r="68" spans="2:9" x14ac:dyDescent="0.35">
      <c r="B68" s="85" t="s">
        <v>37</v>
      </c>
      <c r="C68" s="85" t="s">
        <v>68</v>
      </c>
      <c r="D68" s="85" t="s">
        <v>39</v>
      </c>
      <c r="E68" s="86">
        <v>8</v>
      </c>
      <c r="F68" s="86">
        <v>0</v>
      </c>
      <c r="G68" s="86"/>
      <c r="H68" s="86" t="str">
        <f t="shared" si="0"/>
        <v>B02.00</v>
      </c>
      <c r="I68" s="86"/>
    </row>
    <row r="69" spans="2:9" x14ac:dyDescent="0.35">
      <c r="B69" s="85" t="s">
        <v>37</v>
      </c>
      <c r="C69" s="85" t="s">
        <v>69</v>
      </c>
      <c r="D69" s="85" t="s">
        <v>36</v>
      </c>
      <c r="E69" s="86">
        <v>8</v>
      </c>
      <c r="F69" s="86">
        <v>0</v>
      </c>
      <c r="G69" s="86"/>
      <c r="H69" s="86" t="str">
        <f t="shared" si="0"/>
        <v>B02.00</v>
      </c>
      <c r="I69" s="86"/>
    </row>
    <row r="70" spans="2:9" x14ac:dyDescent="0.35">
      <c r="B70" s="85" t="s">
        <v>37</v>
      </c>
      <c r="C70" s="85" t="s">
        <v>69</v>
      </c>
      <c r="D70" s="85" t="s">
        <v>39</v>
      </c>
      <c r="E70" s="86">
        <v>8</v>
      </c>
      <c r="F70" s="86">
        <v>0</v>
      </c>
      <c r="G70" s="86"/>
      <c r="H70" s="86" t="str">
        <f t="shared" si="0"/>
        <v>B02.00</v>
      </c>
      <c r="I70" s="86"/>
    </row>
    <row r="71" spans="2:9" x14ac:dyDescent="0.35">
      <c r="B71" s="85" t="s">
        <v>37</v>
      </c>
      <c r="C71" s="85" t="s">
        <v>70</v>
      </c>
      <c r="D71" s="85" t="s">
        <v>36</v>
      </c>
      <c r="E71" s="86">
        <v>8</v>
      </c>
      <c r="F71" s="86">
        <v>0</v>
      </c>
      <c r="G71" s="86"/>
      <c r="H71" s="86" t="str">
        <f t="shared" si="0"/>
        <v>B02.00</v>
      </c>
      <c r="I71" s="86"/>
    </row>
    <row r="72" spans="2:9" x14ac:dyDescent="0.35">
      <c r="B72" s="85" t="s">
        <v>37</v>
      </c>
      <c r="C72" s="85" t="s">
        <v>70</v>
      </c>
      <c r="D72" s="85" t="s">
        <v>39</v>
      </c>
      <c r="E72" s="86">
        <v>8</v>
      </c>
      <c r="F72" s="86">
        <v>0</v>
      </c>
      <c r="G72" s="86"/>
      <c r="H72" s="86" t="str">
        <f t="shared" si="0"/>
        <v>B02.00</v>
      </c>
      <c r="I72" s="86"/>
    </row>
    <row r="73" spans="2:9" x14ac:dyDescent="0.35">
      <c r="B73" s="85" t="s">
        <v>37</v>
      </c>
      <c r="C73" s="85" t="s">
        <v>71</v>
      </c>
      <c r="D73" s="85" t="s">
        <v>36</v>
      </c>
      <c r="E73" s="86">
        <v>8</v>
      </c>
      <c r="F73" s="86">
        <v>0</v>
      </c>
      <c r="G73" s="86"/>
      <c r="H73" s="86" t="str">
        <f t="shared" si="0"/>
        <v>B02.00</v>
      </c>
      <c r="I73" s="86"/>
    </row>
    <row r="74" spans="2:9" x14ac:dyDescent="0.35">
      <c r="B74" s="85" t="s">
        <v>37</v>
      </c>
      <c r="C74" s="85" t="s">
        <v>71</v>
      </c>
      <c r="D74" s="85" t="s">
        <v>39</v>
      </c>
      <c r="E74" s="86">
        <v>8</v>
      </c>
      <c r="F74" s="86">
        <v>8</v>
      </c>
      <c r="G74" s="86"/>
      <c r="H74" s="86" t="str">
        <f t="shared" ref="H74:H137" si="1">MID(B74,22,3)&amp;"."&amp;MID(B74,25,2)</f>
        <v>B02.00</v>
      </c>
      <c r="I74" s="86"/>
    </row>
    <row r="75" spans="2:9" x14ac:dyDescent="0.35">
      <c r="B75" s="85" t="s">
        <v>37</v>
      </c>
      <c r="C75" s="85" t="s">
        <v>72</v>
      </c>
      <c r="D75" s="85" t="s">
        <v>36</v>
      </c>
      <c r="E75" s="86">
        <v>8</v>
      </c>
      <c r="F75" s="86">
        <v>0</v>
      </c>
      <c r="G75" s="86"/>
      <c r="H75" s="86" t="str">
        <f t="shared" si="1"/>
        <v>B02.00</v>
      </c>
      <c r="I75" s="86"/>
    </row>
    <row r="76" spans="2:9" x14ac:dyDescent="0.35">
      <c r="B76" s="85" t="s">
        <v>37</v>
      </c>
      <c r="C76" s="85" t="s">
        <v>72</v>
      </c>
      <c r="D76" s="85" t="s">
        <v>39</v>
      </c>
      <c r="E76" s="86">
        <v>8</v>
      </c>
      <c r="F76" s="86">
        <v>8</v>
      </c>
      <c r="G76" s="86"/>
      <c r="H76" s="86" t="str">
        <f t="shared" si="1"/>
        <v>B02.00</v>
      </c>
      <c r="I76" s="86"/>
    </row>
    <row r="77" spans="2:9" x14ac:dyDescent="0.35">
      <c r="B77" s="85" t="s">
        <v>37</v>
      </c>
      <c r="C77" s="85" t="s">
        <v>73</v>
      </c>
      <c r="D77" s="85" t="s">
        <v>36</v>
      </c>
      <c r="E77" s="86">
        <v>8</v>
      </c>
      <c r="F77" s="86">
        <v>0</v>
      </c>
      <c r="G77" s="86"/>
      <c r="H77" s="86" t="str">
        <f t="shared" si="1"/>
        <v>B02.00</v>
      </c>
      <c r="I77" s="86"/>
    </row>
    <row r="78" spans="2:9" x14ac:dyDescent="0.35">
      <c r="B78" s="85" t="s">
        <v>37</v>
      </c>
      <c r="C78" s="85" t="s">
        <v>73</v>
      </c>
      <c r="D78" s="85" t="s">
        <v>39</v>
      </c>
      <c r="E78" s="86">
        <v>8</v>
      </c>
      <c r="F78" s="86">
        <v>8</v>
      </c>
      <c r="G78" s="86"/>
      <c r="H78" s="86" t="str">
        <f t="shared" si="1"/>
        <v>B02.00</v>
      </c>
      <c r="I78" s="86"/>
    </row>
    <row r="79" spans="2:9" x14ac:dyDescent="0.35">
      <c r="B79" s="85" t="s">
        <v>37</v>
      </c>
      <c r="C79" s="85" t="s">
        <v>74</v>
      </c>
      <c r="D79" s="85" t="s">
        <v>36</v>
      </c>
      <c r="E79" s="86">
        <v>8</v>
      </c>
      <c r="F79" s="86">
        <v>0</v>
      </c>
      <c r="G79" s="86"/>
      <c r="H79" s="86" t="str">
        <f t="shared" si="1"/>
        <v>B02.00</v>
      </c>
      <c r="I79" s="86"/>
    </row>
    <row r="80" spans="2:9" x14ac:dyDescent="0.35">
      <c r="B80" s="85" t="s">
        <v>37</v>
      </c>
      <c r="C80" s="85" t="s">
        <v>74</v>
      </c>
      <c r="D80" s="85" t="s">
        <v>39</v>
      </c>
      <c r="E80" s="86">
        <v>8</v>
      </c>
      <c r="F80" s="86">
        <v>0</v>
      </c>
      <c r="G80" s="86"/>
      <c r="H80" s="86" t="str">
        <f t="shared" si="1"/>
        <v>B02.00</v>
      </c>
      <c r="I80" s="86"/>
    </row>
    <row r="81" spans="2:9" x14ac:dyDescent="0.35">
      <c r="B81" s="85" t="s">
        <v>37</v>
      </c>
      <c r="C81" s="85" t="s">
        <v>75</v>
      </c>
      <c r="D81" s="85" t="s">
        <v>36</v>
      </c>
      <c r="E81" s="86">
        <v>8</v>
      </c>
      <c r="F81" s="86">
        <v>0</v>
      </c>
      <c r="G81" s="86"/>
      <c r="H81" s="86" t="str">
        <f t="shared" si="1"/>
        <v>B02.00</v>
      </c>
      <c r="I81" s="86"/>
    </row>
    <row r="82" spans="2:9" x14ac:dyDescent="0.35">
      <c r="B82" s="85" t="s">
        <v>37</v>
      </c>
      <c r="C82" s="85" t="s">
        <v>75</v>
      </c>
      <c r="D82" s="85" t="s">
        <v>39</v>
      </c>
      <c r="E82" s="86">
        <v>8</v>
      </c>
      <c r="F82" s="86">
        <v>0</v>
      </c>
      <c r="G82" s="86"/>
      <c r="H82" s="86" t="str">
        <f t="shared" si="1"/>
        <v>B02.00</v>
      </c>
      <c r="I82" s="86"/>
    </row>
    <row r="83" spans="2:9" x14ac:dyDescent="0.35">
      <c r="B83" s="85" t="s">
        <v>37</v>
      </c>
      <c r="C83" s="85" t="s">
        <v>76</v>
      </c>
      <c r="D83" s="85" t="s">
        <v>36</v>
      </c>
      <c r="E83" s="86">
        <v>8</v>
      </c>
      <c r="F83" s="86">
        <v>0</v>
      </c>
      <c r="G83" s="86"/>
      <c r="H83" s="86" t="str">
        <f t="shared" si="1"/>
        <v>B02.00</v>
      </c>
      <c r="I83" s="86"/>
    </row>
    <row r="84" spans="2:9" x14ac:dyDescent="0.35">
      <c r="B84" s="85" t="s">
        <v>37</v>
      </c>
      <c r="C84" s="85" t="s">
        <v>76</v>
      </c>
      <c r="D84" s="85" t="s">
        <v>39</v>
      </c>
      <c r="E84" s="86">
        <v>8</v>
      </c>
      <c r="F84" s="86">
        <v>0</v>
      </c>
      <c r="G84" s="86"/>
      <c r="H84" s="86" t="str">
        <f t="shared" si="1"/>
        <v>B02.00</v>
      </c>
      <c r="I84" s="86"/>
    </row>
    <row r="85" spans="2:9" x14ac:dyDescent="0.35">
      <c r="B85" s="85" t="s">
        <v>37</v>
      </c>
      <c r="C85" s="85" t="s">
        <v>77</v>
      </c>
      <c r="D85" s="85" t="s">
        <v>36</v>
      </c>
      <c r="E85" s="86">
        <v>8</v>
      </c>
      <c r="F85" s="86">
        <v>0</v>
      </c>
      <c r="G85" s="86"/>
      <c r="H85" s="86" t="str">
        <f t="shared" si="1"/>
        <v>B02.00</v>
      </c>
      <c r="I85" s="86"/>
    </row>
    <row r="86" spans="2:9" x14ac:dyDescent="0.35">
      <c r="B86" s="85" t="s">
        <v>37</v>
      </c>
      <c r="C86" s="85" t="s">
        <v>77</v>
      </c>
      <c r="D86" s="85" t="s">
        <v>39</v>
      </c>
      <c r="E86" s="86">
        <v>8</v>
      </c>
      <c r="F86" s="86">
        <v>0</v>
      </c>
      <c r="G86" s="86"/>
      <c r="H86" s="86" t="str">
        <f t="shared" si="1"/>
        <v>B02.00</v>
      </c>
      <c r="I86" s="86"/>
    </row>
    <row r="87" spans="2:9" x14ac:dyDescent="0.35">
      <c r="B87" s="85" t="s">
        <v>37</v>
      </c>
      <c r="C87" s="85" t="s">
        <v>78</v>
      </c>
      <c r="D87" s="85" t="s">
        <v>36</v>
      </c>
      <c r="E87" s="86">
        <v>8</v>
      </c>
      <c r="F87" s="86">
        <v>0</v>
      </c>
      <c r="G87" s="86"/>
      <c r="H87" s="86" t="str">
        <f t="shared" si="1"/>
        <v>B02.00</v>
      </c>
      <c r="I87" s="86"/>
    </row>
    <row r="88" spans="2:9" x14ac:dyDescent="0.35">
      <c r="B88" s="85" t="s">
        <v>37</v>
      </c>
      <c r="C88" s="85" t="s">
        <v>78</v>
      </c>
      <c r="D88" s="85" t="s">
        <v>39</v>
      </c>
      <c r="E88" s="86">
        <v>8</v>
      </c>
      <c r="F88" s="86">
        <v>0</v>
      </c>
      <c r="G88" s="86"/>
      <c r="H88" s="86" t="str">
        <f t="shared" si="1"/>
        <v>B02.00</v>
      </c>
      <c r="I88" s="86"/>
    </row>
    <row r="89" spans="2:9" x14ac:dyDescent="0.35">
      <c r="B89" s="85" t="s">
        <v>37</v>
      </c>
      <c r="C89" s="85" t="s">
        <v>79</v>
      </c>
      <c r="D89" s="85" t="s">
        <v>36</v>
      </c>
      <c r="E89" s="86">
        <v>8</v>
      </c>
      <c r="F89" s="86">
        <v>0</v>
      </c>
      <c r="G89" s="86"/>
      <c r="H89" s="86" t="str">
        <f t="shared" si="1"/>
        <v>B02.00</v>
      </c>
      <c r="I89" s="86"/>
    </row>
    <row r="90" spans="2:9" x14ac:dyDescent="0.35">
      <c r="B90" s="85" t="s">
        <v>37</v>
      </c>
      <c r="C90" s="85" t="s">
        <v>79</v>
      </c>
      <c r="D90" s="85" t="s">
        <v>39</v>
      </c>
      <c r="E90" s="86">
        <v>8</v>
      </c>
      <c r="F90" s="86">
        <v>0</v>
      </c>
      <c r="G90" s="86"/>
      <c r="H90" s="86" t="str">
        <f t="shared" si="1"/>
        <v>B02.00</v>
      </c>
      <c r="I90" s="86"/>
    </row>
    <row r="91" spans="2:9" x14ac:dyDescent="0.35">
      <c r="B91" s="85" t="s">
        <v>37</v>
      </c>
      <c r="C91" s="85" t="s">
        <v>80</v>
      </c>
      <c r="D91" s="85" t="s">
        <v>36</v>
      </c>
      <c r="E91" s="86">
        <v>8</v>
      </c>
      <c r="F91" s="86">
        <v>0</v>
      </c>
      <c r="G91" s="86"/>
      <c r="H91" s="86" t="str">
        <f t="shared" si="1"/>
        <v>B02.00</v>
      </c>
      <c r="I91" s="86"/>
    </row>
    <row r="92" spans="2:9" x14ac:dyDescent="0.35">
      <c r="B92" s="85" t="s">
        <v>37</v>
      </c>
      <c r="C92" s="85" t="s">
        <v>80</v>
      </c>
      <c r="D92" s="85" t="s">
        <v>39</v>
      </c>
      <c r="E92" s="86">
        <v>8</v>
      </c>
      <c r="F92" s="86">
        <v>8</v>
      </c>
      <c r="G92" s="86"/>
      <c r="H92" s="86" t="str">
        <f t="shared" si="1"/>
        <v>B02.00</v>
      </c>
      <c r="I92" s="86"/>
    </row>
    <row r="93" spans="2:9" x14ac:dyDescent="0.35">
      <c r="B93" s="85" t="s">
        <v>37</v>
      </c>
      <c r="C93" s="85" t="s">
        <v>81</v>
      </c>
      <c r="D93" s="85" t="s">
        <v>36</v>
      </c>
      <c r="E93" s="86">
        <v>8</v>
      </c>
      <c r="F93" s="86">
        <v>0</v>
      </c>
      <c r="G93" s="86"/>
      <c r="H93" s="86" t="str">
        <f t="shared" si="1"/>
        <v>B02.00</v>
      </c>
      <c r="I93" s="86"/>
    </row>
    <row r="94" spans="2:9" x14ac:dyDescent="0.35">
      <c r="B94" s="85" t="s">
        <v>37</v>
      </c>
      <c r="C94" s="85" t="s">
        <v>81</v>
      </c>
      <c r="D94" s="85" t="s">
        <v>39</v>
      </c>
      <c r="E94" s="86">
        <v>8</v>
      </c>
      <c r="F94" s="86">
        <v>8</v>
      </c>
      <c r="G94" s="86"/>
      <c r="H94" s="86" t="str">
        <f t="shared" si="1"/>
        <v>B02.00</v>
      </c>
      <c r="I94" s="86"/>
    </row>
    <row r="95" spans="2:9" x14ac:dyDescent="0.35">
      <c r="B95" s="85" t="s">
        <v>37</v>
      </c>
      <c r="C95" s="85" t="s">
        <v>82</v>
      </c>
      <c r="D95" s="85" t="s">
        <v>36</v>
      </c>
      <c r="E95" s="86">
        <v>8</v>
      </c>
      <c r="F95" s="86">
        <v>0</v>
      </c>
      <c r="G95" s="86"/>
      <c r="H95" s="86" t="str">
        <f t="shared" si="1"/>
        <v>B02.00</v>
      </c>
      <c r="I95" s="86"/>
    </row>
    <row r="96" spans="2:9" x14ac:dyDescent="0.35">
      <c r="B96" s="85" t="s">
        <v>37</v>
      </c>
      <c r="C96" s="85" t="s">
        <v>82</v>
      </c>
      <c r="D96" s="85" t="s">
        <v>39</v>
      </c>
      <c r="E96" s="86">
        <v>8</v>
      </c>
      <c r="F96" s="86">
        <v>0</v>
      </c>
      <c r="G96" s="86"/>
      <c r="H96" s="86" t="str">
        <f t="shared" si="1"/>
        <v>B02.00</v>
      </c>
      <c r="I96" s="86"/>
    </row>
    <row r="97" spans="2:9" x14ac:dyDescent="0.35">
      <c r="B97" s="85" t="s">
        <v>37</v>
      </c>
      <c r="C97" s="85" t="s">
        <v>83</v>
      </c>
      <c r="D97" s="85" t="s">
        <v>36</v>
      </c>
      <c r="E97" s="86">
        <v>8</v>
      </c>
      <c r="F97" s="86">
        <v>0</v>
      </c>
      <c r="G97" s="86"/>
      <c r="H97" s="86" t="str">
        <f t="shared" si="1"/>
        <v>B02.00</v>
      </c>
      <c r="I97" s="86"/>
    </row>
    <row r="98" spans="2:9" x14ac:dyDescent="0.35">
      <c r="B98" s="85" t="s">
        <v>37</v>
      </c>
      <c r="C98" s="85" t="s">
        <v>83</v>
      </c>
      <c r="D98" s="85" t="s">
        <v>39</v>
      </c>
      <c r="E98" s="86">
        <v>8</v>
      </c>
      <c r="F98" s="86">
        <v>0</v>
      </c>
      <c r="G98" s="86"/>
      <c r="H98" s="86" t="str">
        <f t="shared" si="1"/>
        <v>B02.00</v>
      </c>
      <c r="I98" s="86"/>
    </row>
    <row r="99" spans="2:9" x14ac:dyDescent="0.35">
      <c r="B99" s="85" t="s">
        <v>37</v>
      </c>
      <c r="C99" s="85" t="s">
        <v>84</v>
      </c>
      <c r="D99" s="85" t="s">
        <v>36</v>
      </c>
      <c r="E99" s="86">
        <v>8</v>
      </c>
      <c r="F99" s="86">
        <v>0</v>
      </c>
      <c r="G99" s="86"/>
      <c r="H99" s="86" t="str">
        <f t="shared" si="1"/>
        <v>B02.00</v>
      </c>
      <c r="I99" s="86"/>
    </row>
    <row r="100" spans="2:9" x14ac:dyDescent="0.35">
      <c r="B100" s="85" t="s">
        <v>37</v>
      </c>
      <c r="C100" s="85" t="s">
        <v>84</v>
      </c>
      <c r="D100" s="85" t="s">
        <v>39</v>
      </c>
      <c r="E100" s="86">
        <v>8</v>
      </c>
      <c r="F100" s="86">
        <v>8</v>
      </c>
      <c r="G100" s="86"/>
      <c r="H100" s="86" t="str">
        <f t="shared" si="1"/>
        <v>B02.00</v>
      </c>
      <c r="I100" s="86"/>
    </row>
    <row r="101" spans="2:9" x14ac:dyDescent="0.35">
      <c r="B101" s="85" t="s">
        <v>37</v>
      </c>
      <c r="C101" s="85" t="s">
        <v>85</v>
      </c>
      <c r="D101" s="85" t="s">
        <v>36</v>
      </c>
      <c r="E101" s="86">
        <v>8</v>
      </c>
      <c r="F101" s="86">
        <v>0</v>
      </c>
      <c r="G101" s="86"/>
      <c r="H101" s="86" t="str">
        <f t="shared" si="1"/>
        <v>B02.00</v>
      </c>
      <c r="I101" s="86"/>
    </row>
    <row r="102" spans="2:9" x14ac:dyDescent="0.35">
      <c r="B102" s="85" t="s">
        <v>37</v>
      </c>
      <c r="C102" s="85" t="s">
        <v>85</v>
      </c>
      <c r="D102" s="85" t="s">
        <v>39</v>
      </c>
      <c r="E102" s="86">
        <v>8</v>
      </c>
      <c r="F102" s="86">
        <v>0</v>
      </c>
      <c r="G102" s="86"/>
      <c r="H102" s="86" t="str">
        <f t="shared" si="1"/>
        <v>B02.00</v>
      </c>
      <c r="I102" s="86"/>
    </row>
    <row r="103" spans="2:9" x14ac:dyDescent="0.35">
      <c r="B103" s="85" t="s">
        <v>37</v>
      </c>
      <c r="C103" s="85" t="s">
        <v>86</v>
      </c>
      <c r="D103" s="85" t="s">
        <v>36</v>
      </c>
      <c r="E103" s="86">
        <v>8</v>
      </c>
      <c r="F103" s="86">
        <v>0</v>
      </c>
      <c r="G103" s="86"/>
      <c r="H103" s="86" t="str">
        <f t="shared" si="1"/>
        <v>B02.00</v>
      </c>
      <c r="I103" s="86"/>
    </row>
    <row r="104" spans="2:9" x14ac:dyDescent="0.35">
      <c r="B104" s="85" t="s">
        <v>37</v>
      </c>
      <c r="C104" s="85" t="s">
        <v>86</v>
      </c>
      <c r="D104" s="85" t="s">
        <v>39</v>
      </c>
      <c r="E104" s="86">
        <v>8</v>
      </c>
      <c r="F104" s="86">
        <v>0</v>
      </c>
      <c r="G104" s="86"/>
      <c r="H104" s="86" t="str">
        <f t="shared" si="1"/>
        <v>B02.00</v>
      </c>
      <c r="I104" s="86"/>
    </row>
    <row r="105" spans="2:9" x14ac:dyDescent="0.35">
      <c r="B105" s="85" t="s">
        <v>37</v>
      </c>
      <c r="C105" s="85" t="s">
        <v>87</v>
      </c>
      <c r="D105" s="85" t="s">
        <v>36</v>
      </c>
      <c r="E105" s="86">
        <v>8</v>
      </c>
      <c r="F105" s="86">
        <v>0</v>
      </c>
      <c r="G105" s="86"/>
      <c r="H105" s="86" t="str">
        <f t="shared" si="1"/>
        <v>B02.00</v>
      </c>
      <c r="I105" s="86"/>
    </row>
    <row r="106" spans="2:9" x14ac:dyDescent="0.35">
      <c r="B106" s="85" t="s">
        <v>37</v>
      </c>
      <c r="C106" s="85" t="s">
        <v>87</v>
      </c>
      <c r="D106" s="85" t="s">
        <v>39</v>
      </c>
      <c r="E106" s="86">
        <v>8</v>
      </c>
      <c r="F106" s="86">
        <v>8</v>
      </c>
      <c r="G106" s="86"/>
      <c r="H106" s="86" t="str">
        <f t="shared" si="1"/>
        <v>B02.00</v>
      </c>
      <c r="I106" s="86"/>
    </row>
    <row r="107" spans="2:9" x14ac:dyDescent="0.35">
      <c r="B107" s="85" t="s">
        <v>37</v>
      </c>
      <c r="C107" s="85" t="s">
        <v>88</v>
      </c>
      <c r="D107" s="85" t="s">
        <v>36</v>
      </c>
      <c r="E107" s="86">
        <v>8</v>
      </c>
      <c r="F107" s="86">
        <v>0</v>
      </c>
      <c r="G107" s="86"/>
      <c r="H107" s="86" t="str">
        <f t="shared" si="1"/>
        <v>B02.00</v>
      </c>
      <c r="I107" s="86"/>
    </row>
    <row r="108" spans="2:9" x14ac:dyDescent="0.35">
      <c r="B108" s="85" t="s">
        <v>37</v>
      </c>
      <c r="C108" s="85" t="s">
        <v>88</v>
      </c>
      <c r="D108" s="85" t="s">
        <v>39</v>
      </c>
      <c r="E108" s="86">
        <v>8</v>
      </c>
      <c r="F108" s="86">
        <v>8</v>
      </c>
      <c r="G108" s="86"/>
      <c r="H108" s="86" t="str">
        <f t="shared" si="1"/>
        <v>B02.00</v>
      </c>
      <c r="I108" s="86"/>
    </row>
    <row r="109" spans="2:9" x14ac:dyDescent="0.35">
      <c r="B109" s="85" t="s">
        <v>37</v>
      </c>
      <c r="C109" s="85" t="s">
        <v>89</v>
      </c>
      <c r="D109" s="85" t="s">
        <v>36</v>
      </c>
      <c r="E109" s="86">
        <v>8</v>
      </c>
      <c r="F109" s="86">
        <v>0</v>
      </c>
      <c r="G109" s="86"/>
      <c r="H109" s="86" t="str">
        <f t="shared" si="1"/>
        <v>B02.00</v>
      </c>
      <c r="I109" s="86"/>
    </row>
    <row r="110" spans="2:9" x14ac:dyDescent="0.35">
      <c r="B110" s="85" t="s">
        <v>37</v>
      </c>
      <c r="C110" s="85" t="s">
        <v>89</v>
      </c>
      <c r="D110" s="85" t="s">
        <v>39</v>
      </c>
      <c r="E110" s="86">
        <v>8</v>
      </c>
      <c r="F110" s="86">
        <v>0</v>
      </c>
      <c r="G110" s="86"/>
      <c r="H110" s="86" t="str">
        <f t="shared" si="1"/>
        <v>B02.00</v>
      </c>
      <c r="I110" s="86"/>
    </row>
    <row r="111" spans="2:9" x14ac:dyDescent="0.35">
      <c r="B111" s="85" t="s">
        <v>37</v>
      </c>
      <c r="C111" s="85" t="s">
        <v>90</v>
      </c>
      <c r="D111" s="85" t="s">
        <v>36</v>
      </c>
      <c r="E111" s="86">
        <v>8</v>
      </c>
      <c r="F111" s="86">
        <v>0</v>
      </c>
      <c r="G111" s="86"/>
      <c r="H111" s="86" t="str">
        <f t="shared" si="1"/>
        <v>B02.00</v>
      </c>
      <c r="I111" s="86"/>
    </row>
    <row r="112" spans="2:9" x14ac:dyDescent="0.35">
      <c r="B112" s="85" t="s">
        <v>37</v>
      </c>
      <c r="C112" s="85" t="s">
        <v>90</v>
      </c>
      <c r="D112" s="85" t="s">
        <v>39</v>
      </c>
      <c r="E112" s="86">
        <v>8</v>
      </c>
      <c r="F112" s="86">
        <v>0</v>
      </c>
      <c r="G112" s="86"/>
      <c r="H112" s="86" t="str">
        <f t="shared" si="1"/>
        <v>B02.00</v>
      </c>
      <c r="I112" s="86"/>
    </row>
    <row r="113" spans="2:9" x14ac:dyDescent="0.35">
      <c r="B113" s="85" t="s">
        <v>37</v>
      </c>
      <c r="C113" s="85" t="s">
        <v>91</v>
      </c>
      <c r="D113" s="85" t="s">
        <v>36</v>
      </c>
      <c r="E113" s="86">
        <v>8</v>
      </c>
      <c r="F113" s="86">
        <v>0</v>
      </c>
      <c r="G113" s="86"/>
      <c r="H113" s="86" t="str">
        <f t="shared" si="1"/>
        <v>B02.00</v>
      </c>
      <c r="I113" s="86"/>
    </row>
    <row r="114" spans="2:9" x14ac:dyDescent="0.35">
      <c r="B114" s="85" t="s">
        <v>37</v>
      </c>
      <c r="C114" s="85" t="s">
        <v>91</v>
      </c>
      <c r="D114" s="85" t="s">
        <v>39</v>
      </c>
      <c r="E114" s="86">
        <v>8</v>
      </c>
      <c r="F114" s="86">
        <v>0</v>
      </c>
      <c r="G114" s="86"/>
      <c r="H114" s="86" t="str">
        <f t="shared" si="1"/>
        <v>B02.00</v>
      </c>
      <c r="I114" s="86"/>
    </row>
    <row r="115" spans="2:9" x14ac:dyDescent="0.35">
      <c r="B115" s="85" t="s">
        <v>37</v>
      </c>
      <c r="C115" s="85" t="s">
        <v>92</v>
      </c>
      <c r="D115" s="85" t="s">
        <v>36</v>
      </c>
      <c r="E115" s="86">
        <v>8</v>
      </c>
      <c r="F115" s="86">
        <v>0</v>
      </c>
      <c r="G115" s="86"/>
      <c r="H115" s="86" t="str">
        <f t="shared" si="1"/>
        <v>B02.00</v>
      </c>
      <c r="I115" s="86"/>
    </row>
    <row r="116" spans="2:9" x14ac:dyDescent="0.35">
      <c r="B116" s="85" t="s">
        <v>37</v>
      </c>
      <c r="C116" s="85" t="s">
        <v>92</v>
      </c>
      <c r="D116" s="85" t="s">
        <v>39</v>
      </c>
      <c r="E116" s="86">
        <v>8</v>
      </c>
      <c r="F116" s="86">
        <v>0</v>
      </c>
      <c r="G116" s="86"/>
      <c r="H116" s="86" t="str">
        <f t="shared" si="1"/>
        <v>B02.00</v>
      </c>
      <c r="I116" s="86"/>
    </row>
    <row r="117" spans="2:9" x14ac:dyDescent="0.35">
      <c r="B117" s="85" t="s">
        <v>37</v>
      </c>
      <c r="C117" s="85" t="s">
        <v>93</v>
      </c>
      <c r="D117" s="85" t="s">
        <v>36</v>
      </c>
      <c r="E117" s="86">
        <v>8</v>
      </c>
      <c r="F117" s="86">
        <v>0</v>
      </c>
      <c r="G117" s="86"/>
      <c r="H117" s="86" t="str">
        <f t="shared" si="1"/>
        <v>B02.00</v>
      </c>
      <c r="I117" s="86"/>
    </row>
    <row r="118" spans="2:9" x14ac:dyDescent="0.35">
      <c r="B118" s="85" t="s">
        <v>37</v>
      </c>
      <c r="C118" s="85" t="s">
        <v>93</v>
      </c>
      <c r="D118" s="85" t="s">
        <v>39</v>
      </c>
      <c r="E118" s="86">
        <v>8</v>
      </c>
      <c r="F118" s="86">
        <v>8</v>
      </c>
      <c r="G118" s="86"/>
      <c r="H118" s="86" t="str">
        <f t="shared" si="1"/>
        <v>B02.00</v>
      </c>
      <c r="I118" s="86"/>
    </row>
    <row r="119" spans="2:9" x14ac:dyDescent="0.35">
      <c r="B119" s="85" t="s">
        <v>37</v>
      </c>
      <c r="C119" s="85" t="s">
        <v>94</v>
      </c>
      <c r="D119" s="85" t="s">
        <v>36</v>
      </c>
      <c r="E119" s="86">
        <v>8</v>
      </c>
      <c r="F119" s="86">
        <v>0</v>
      </c>
      <c r="G119" s="86"/>
      <c r="H119" s="86" t="str">
        <f t="shared" si="1"/>
        <v>B02.00</v>
      </c>
      <c r="I119" s="86"/>
    </row>
    <row r="120" spans="2:9" x14ac:dyDescent="0.35">
      <c r="B120" s="85" t="s">
        <v>37</v>
      </c>
      <c r="C120" s="85" t="s">
        <v>94</v>
      </c>
      <c r="D120" s="85" t="s">
        <v>39</v>
      </c>
      <c r="E120" s="86">
        <v>8</v>
      </c>
      <c r="F120" s="86">
        <v>8</v>
      </c>
      <c r="G120" s="86"/>
      <c r="H120" s="86" t="str">
        <f t="shared" si="1"/>
        <v>B02.00</v>
      </c>
      <c r="I120" s="86"/>
    </row>
    <row r="121" spans="2:9" x14ac:dyDescent="0.35">
      <c r="B121" s="85" t="s">
        <v>37</v>
      </c>
      <c r="C121" s="85" t="s">
        <v>95</v>
      </c>
      <c r="D121" s="85" t="s">
        <v>36</v>
      </c>
      <c r="E121" s="86">
        <v>8</v>
      </c>
      <c r="F121" s="86">
        <v>0</v>
      </c>
      <c r="G121" s="86"/>
      <c r="H121" s="86" t="str">
        <f t="shared" si="1"/>
        <v>B02.00</v>
      </c>
      <c r="I121" s="86"/>
    </row>
    <row r="122" spans="2:9" x14ac:dyDescent="0.35">
      <c r="B122" s="85" t="s">
        <v>37</v>
      </c>
      <c r="C122" s="85" t="s">
        <v>95</v>
      </c>
      <c r="D122" s="85" t="s">
        <v>39</v>
      </c>
      <c r="E122" s="86">
        <v>8</v>
      </c>
      <c r="F122" s="86">
        <v>8</v>
      </c>
      <c r="G122" s="86"/>
      <c r="H122" s="86" t="str">
        <f t="shared" si="1"/>
        <v>B02.00</v>
      </c>
      <c r="I122" s="86"/>
    </row>
    <row r="123" spans="2:9" x14ac:dyDescent="0.35">
      <c r="B123" s="85" t="s">
        <v>37</v>
      </c>
      <c r="C123" s="85" t="s">
        <v>96</v>
      </c>
      <c r="D123" s="85" t="s">
        <v>36</v>
      </c>
      <c r="E123" s="86">
        <v>8</v>
      </c>
      <c r="F123" s="86">
        <v>0</v>
      </c>
      <c r="G123" s="86"/>
      <c r="H123" s="86" t="str">
        <f t="shared" si="1"/>
        <v>B02.00</v>
      </c>
      <c r="I123" s="86"/>
    </row>
    <row r="124" spans="2:9" x14ac:dyDescent="0.35">
      <c r="B124" s="85" t="s">
        <v>37</v>
      </c>
      <c r="C124" s="85" t="s">
        <v>96</v>
      </c>
      <c r="D124" s="85" t="s">
        <v>39</v>
      </c>
      <c r="E124" s="86">
        <v>8</v>
      </c>
      <c r="F124" s="86">
        <v>8</v>
      </c>
      <c r="G124" s="86"/>
      <c r="H124" s="86" t="str">
        <f t="shared" si="1"/>
        <v>B02.00</v>
      </c>
      <c r="I124" s="86"/>
    </row>
    <row r="125" spans="2:9" x14ac:dyDescent="0.35">
      <c r="B125" s="85" t="s">
        <v>37</v>
      </c>
      <c r="C125" s="85" t="s">
        <v>97</v>
      </c>
      <c r="D125" s="85" t="s">
        <v>36</v>
      </c>
      <c r="E125" s="86">
        <v>8</v>
      </c>
      <c r="F125" s="86">
        <v>2</v>
      </c>
      <c r="G125" s="86"/>
      <c r="H125" s="86" t="str">
        <f t="shared" si="1"/>
        <v>B02.00</v>
      </c>
      <c r="I125" s="86"/>
    </row>
    <row r="126" spans="2:9" x14ac:dyDescent="0.35">
      <c r="B126" s="85" t="s">
        <v>37</v>
      </c>
      <c r="C126" s="85" t="s">
        <v>97</v>
      </c>
      <c r="D126" s="85" t="s">
        <v>39</v>
      </c>
      <c r="E126" s="86">
        <v>8</v>
      </c>
      <c r="F126" s="86">
        <v>0</v>
      </c>
      <c r="G126" s="86"/>
      <c r="H126" s="86" t="str">
        <f t="shared" si="1"/>
        <v>B02.00</v>
      </c>
      <c r="I126" s="86"/>
    </row>
    <row r="127" spans="2:9" x14ac:dyDescent="0.35">
      <c r="B127" s="85" t="s">
        <v>37</v>
      </c>
      <c r="C127" s="85" t="s">
        <v>98</v>
      </c>
      <c r="D127" s="85" t="s">
        <v>36</v>
      </c>
      <c r="E127" s="86">
        <v>8</v>
      </c>
      <c r="F127" s="86">
        <v>0</v>
      </c>
      <c r="G127" s="86"/>
      <c r="H127" s="86" t="str">
        <f t="shared" si="1"/>
        <v>B02.00</v>
      </c>
      <c r="I127" s="86"/>
    </row>
    <row r="128" spans="2:9" x14ac:dyDescent="0.35">
      <c r="B128" s="85" t="s">
        <v>37</v>
      </c>
      <c r="C128" s="85" t="s">
        <v>98</v>
      </c>
      <c r="D128" s="85" t="s">
        <v>39</v>
      </c>
      <c r="E128" s="86">
        <v>8</v>
      </c>
      <c r="F128" s="86">
        <v>0</v>
      </c>
      <c r="G128" s="86"/>
      <c r="H128" s="86" t="str">
        <f t="shared" si="1"/>
        <v>B02.00</v>
      </c>
      <c r="I128" s="86" t="s">
        <v>322</v>
      </c>
    </row>
    <row r="129" spans="2:9" x14ac:dyDescent="0.35">
      <c r="B129" s="85" t="s">
        <v>37</v>
      </c>
      <c r="C129" s="85" t="s">
        <v>99</v>
      </c>
      <c r="D129" s="85" t="s">
        <v>36</v>
      </c>
      <c r="E129" s="86">
        <v>8</v>
      </c>
      <c r="F129" s="86">
        <v>2</v>
      </c>
      <c r="G129" s="86"/>
      <c r="H129" s="86" t="str">
        <f t="shared" si="1"/>
        <v>B02.00</v>
      </c>
      <c r="I129" s="86" t="s">
        <v>322</v>
      </c>
    </row>
    <row r="130" spans="2:9" x14ac:dyDescent="0.35">
      <c r="B130" s="85" t="s">
        <v>37</v>
      </c>
      <c r="C130" s="85" t="s">
        <v>99</v>
      </c>
      <c r="D130" s="85" t="s">
        <v>39</v>
      </c>
      <c r="E130" s="86">
        <v>8</v>
      </c>
      <c r="F130" s="86">
        <v>0</v>
      </c>
      <c r="G130" s="86"/>
      <c r="H130" s="86" t="str">
        <f t="shared" si="1"/>
        <v>B02.00</v>
      </c>
      <c r="I130" s="86" t="s">
        <v>322</v>
      </c>
    </row>
    <row r="131" spans="2:9" x14ac:dyDescent="0.35">
      <c r="B131" s="85" t="s">
        <v>37</v>
      </c>
      <c r="C131" s="85" t="s">
        <v>100</v>
      </c>
      <c r="D131" s="85" t="s">
        <v>36</v>
      </c>
      <c r="E131" s="86">
        <v>8</v>
      </c>
      <c r="F131" s="86">
        <v>0</v>
      </c>
      <c r="G131" s="86"/>
      <c r="H131" s="86" t="str">
        <f t="shared" si="1"/>
        <v>B02.00</v>
      </c>
      <c r="I131" s="86"/>
    </row>
    <row r="132" spans="2:9" x14ac:dyDescent="0.35">
      <c r="B132" s="85" t="s">
        <v>37</v>
      </c>
      <c r="C132" s="85" t="s">
        <v>100</v>
      </c>
      <c r="D132" s="85" t="s">
        <v>39</v>
      </c>
      <c r="E132" s="86">
        <v>8</v>
      </c>
      <c r="F132" s="86">
        <v>0</v>
      </c>
      <c r="G132" s="86"/>
      <c r="H132" s="86" t="str">
        <f t="shared" si="1"/>
        <v>B02.00</v>
      </c>
      <c r="I132" s="86"/>
    </row>
    <row r="133" spans="2:9" x14ac:dyDescent="0.35">
      <c r="B133" s="85" t="s">
        <v>37</v>
      </c>
      <c r="C133" s="85" t="s">
        <v>101</v>
      </c>
      <c r="D133" s="85" t="s">
        <v>36</v>
      </c>
      <c r="E133" s="86">
        <v>8</v>
      </c>
      <c r="F133" s="86">
        <v>0</v>
      </c>
      <c r="G133" s="86"/>
      <c r="H133" s="86" t="str">
        <f t="shared" si="1"/>
        <v>B02.00</v>
      </c>
      <c r="I133" s="86"/>
    </row>
    <row r="134" spans="2:9" x14ac:dyDescent="0.35">
      <c r="B134" s="85" t="s">
        <v>37</v>
      </c>
      <c r="C134" s="85" t="s">
        <v>101</v>
      </c>
      <c r="D134" s="85" t="s">
        <v>39</v>
      </c>
      <c r="E134" s="86">
        <v>8</v>
      </c>
      <c r="F134" s="86">
        <v>0</v>
      </c>
      <c r="G134" s="86"/>
      <c r="H134" s="86" t="str">
        <f t="shared" si="1"/>
        <v>B02.00</v>
      </c>
      <c r="I134" s="86"/>
    </row>
    <row r="135" spans="2:9" x14ac:dyDescent="0.35">
      <c r="B135" s="85" t="s">
        <v>37</v>
      </c>
      <c r="C135" s="85" t="s">
        <v>102</v>
      </c>
      <c r="D135" s="85" t="s">
        <v>36</v>
      </c>
      <c r="E135" s="86">
        <v>8</v>
      </c>
      <c r="F135" s="86">
        <v>0</v>
      </c>
      <c r="G135" s="86"/>
      <c r="H135" s="86" t="str">
        <f t="shared" si="1"/>
        <v>B02.00</v>
      </c>
      <c r="I135" s="86"/>
    </row>
    <row r="136" spans="2:9" x14ac:dyDescent="0.35">
      <c r="B136" s="85" t="s">
        <v>37</v>
      </c>
      <c r="C136" s="85" t="s">
        <v>102</v>
      </c>
      <c r="D136" s="85" t="s">
        <v>39</v>
      </c>
      <c r="E136" s="86">
        <v>8</v>
      </c>
      <c r="F136" s="86">
        <v>8</v>
      </c>
      <c r="G136" s="86"/>
      <c r="H136" s="86" t="str">
        <f t="shared" si="1"/>
        <v>B02.00</v>
      </c>
      <c r="I136" s="86"/>
    </row>
    <row r="137" spans="2:9" x14ac:dyDescent="0.35">
      <c r="B137" s="85" t="s">
        <v>37</v>
      </c>
      <c r="C137" s="85" t="s">
        <v>103</v>
      </c>
      <c r="D137" s="85" t="s">
        <v>36</v>
      </c>
      <c r="E137" s="86">
        <v>8</v>
      </c>
      <c r="F137" s="86">
        <v>0</v>
      </c>
      <c r="G137" s="86"/>
      <c r="H137" s="86" t="str">
        <f t="shared" si="1"/>
        <v>B02.00</v>
      </c>
      <c r="I137" s="86"/>
    </row>
    <row r="138" spans="2:9" x14ac:dyDescent="0.35">
      <c r="B138" s="85" t="s">
        <v>37</v>
      </c>
      <c r="C138" s="85" t="s">
        <v>103</v>
      </c>
      <c r="D138" s="85" t="s">
        <v>39</v>
      </c>
      <c r="E138" s="86">
        <v>8</v>
      </c>
      <c r="F138" s="86">
        <v>8</v>
      </c>
      <c r="G138" s="86"/>
      <c r="H138" s="86" t="str">
        <f t="shared" ref="H138:H154" si="2">MID(B138,22,3)&amp;"."&amp;MID(B138,25,2)</f>
        <v>B02.00</v>
      </c>
      <c r="I138" s="86"/>
    </row>
    <row r="139" spans="2:9" x14ac:dyDescent="0.35">
      <c r="B139" s="85" t="s">
        <v>37</v>
      </c>
      <c r="C139" s="85" t="s">
        <v>104</v>
      </c>
      <c r="D139" s="85" t="s">
        <v>36</v>
      </c>
      <c r="E139" s="86">
        <v>8</v>
      </c>
      <c r="F139" s="86">
        <v>0</v>
      </c>
      <c r="G139" s="86"/>
      <c r="H139" s="86" t="str">
        <f t="shared" si="2"/>
        <v>B02.00</v>
      </c>
      <c r="I139" s="86"/>
    </row>
    <row r="140" spans="2:9" x14ac:dyDescent="0.35">
      <c r="B140" s="85" t="s">
        <v>37</v>
      </c>
      <c r="C140" s="85" t="s">
        <v>104</v>
      </c>
      <c r="D140" s="85" t="s">
        <v>39</v>
      </c>
      <c r="E140" s="86">
        <v>8</v>
      </c>
      <c r="F140" s="86">
        <v>8</v>
      </c>
      <c r="G140" s="86"/>
      <c r="H140" s="86" t="str">
        <f t="shared" si="2"/>
        <v>B02.00</v>
      </c>
      <c r="I140" s="86"/>
    </row>
    <row r="141" spans="2:9" x14ac:dyDescent="0.35">
      <c r="B141" s="85" t="s">
        <v>37</v>
      </c>
      <c r="C141" s="85" t="s">
        <v>105</v>
      </c>
      <c r="D141" s="85" t="s">
        <v>36</v>
      </c>
      <c r="E141" s="86">
        <v>8</v>
      </c>
      <c r="F141" s="86">
        <v>0</v>
      </c>
      <c r="G141" s="86"/>
      <c r="H141" s="86" t="str">
        <f t="shared" si="2"/>
        <v>B02.00</v>
      </c>
      <c r="I141" s="86"/>
    </row>
    <row r="142" spans="2:9" x14ac:dyDescent="0.35">
      <c r="B142" s="85" t="s">
        <v>37</v>
      </c>
      <c r="C142" s="85" t="s">
        <v>105</v>
      </c>
      <c r="D142" s="85" t="s">
        <v>39</v>
      </c>
      <c r="E142" s="86">
        <v>8</v>
      </c>
      <c r="F142" s="86">
        <v>0</v>
      </c>
      <c r="G142" s="86"/>
      <c r="H142" s="86" t="str">
        <f t="shared" si="2"/>
        <v>B02.00</v>
      </c>
      <c r="I142" s="86"/>
    </row>
    <row r="143" spans="2:9" x14ac:dyDescent="0.35">
      <c r="B143" s="85" t="s">
        <v>37</v>
      </c>
      <c r="C143" s="85" t="s">
        <v>106</v>
      </c>
      <c r="D143" s="85" t="s">
        <v>36</v>
      </c>
      <c r="E143" s="86">
        <v>8</v>
      </c>
      <c r="F143" s="86">
        <v>0</v>
      </c>
      <c r="G143" s="86"/>
      <c r="H143" s="86" t="str">
        <f t="shared" si="2"/>
        <v>B02.00</v>
      </c>
      <c r="I143" s="86"/>
    </row>
    <row r="144" spans="2:9" x14ac:dyDescent="0.35">
      <c r="B144" s="85" t="s">
        <v>37</v>
      </c>
      <c r="C144" s="85" t="s">
        <v>106</v>
      </c>
      <c r="D144" s="85" t="s">
        <v>39</v>
      </c>
      <c r="E144" s="86">
        <v>8</v>
      </c>
      <c r="F144" s="86">
        <v>0</v>
      </c>
      <c r="G144" s="86"/>
      <c r="H144" s="86" t="str">
        <f t="shared" si="2"/>
        <v>B02.00</v>
      </c>
      <c r="I144" s="86"/>
    </row>
    <row r="145" spans="2:9" x14ac:dyDescent="0.35">
      <c r="B145" s="85" t="s">
        <v>37</v>
      </c>
      <c r="C145" s="85" t="s">
        <v>107</v>
      </c>
      <c r="D145" s="85" t="s">
        <v>36</v>
      </c>
      <c r="E145" s="86">
        <v>8</v>
      </c>
      <c r="F145" s="86">
        <v>0</v>
      </c>
      <c r="G145" s="86"/>
      <c r="H145" s="86" t="str">
        <f t="shared" si="2"/>
        <v>B02.00</v>
      </c>
      <c r="I145" s="86"/>
    </row>
    <row r="146" spans="2:9" x14ac:dyDescent="0.35">
      <c r="B146" s="85" t="s">
        <v>37</v>
      </c>
      <c r="C146" s="85" t="s">
        <v>107</v>
      </c>
      <c r="D146" s="85" t="s">
        <v>39</v>
      </c>
      <c r="E146" s="86">
        <v>8</v>
      </c>
      <c r="F146" s="86">
        <v>0</v>
      </c>
      <c r="G146" s="86"/>
      <c r="H146" s="86" t="str">
        <f t="shared" si="2"/>
        <v>B02.00</v>
      </c>
      <c r="I146" s="86" t="s">
        <v>322</v>
      </c>
    </row>
    <row r="147" spans="2:9" x14ac:dyDescent="0.35">
      <c r="B147" s="85" t="s">
        <v>37</v>
      </c>
      <c r="C147" s="85" t="s">
        <v>108</v>
      </c>
      <c r="D147" s="85" t="s">
        <v>36</v>
      </c>
      <c r="E147" s="86">
        <v>8</v>
      </c>
      <c r="F147" s="86">
        <v>0</v>
      </c>
      <c r="G147" s="86"/>
      <c r="H147" s="86" t="str">
        <f t="shared" si="2"/>
        <v>B02.00</v>
      </c>
      <c r="I147" s="86" t="s">
        <v>322</v>
      </c>
    </row>
    <row r="148" spans="2:9" x14ac:dyDescent="0.35">
      <c r="B148" s="85" t="s">
        <v>37</v>
      </c>
      <c r="C148" s="85" t="s">
        <v>108</v>
      </c>
      <c r="D148" s="85" t="s">
        <v>39</v>
      </c>
      <c r="E148" s="86">
        <v>8</v>
      </c>
      <c r="F148" s="86">
        <v>0</v>
      </c>
      <c r="G148" s="86"/>
      <c r="H148" s="86" t="str">
        <f t="shared" si="2"/>
        <v>B02.00</v>
      </c>
      <c r="I148" s="86" t="s">
        <v>322</v>
      </c>
    </row>
    <row r="149" spans="2:9" x14ac:dyDescent="0.35">
      <c r="B149" s="85" t="s">
        <v>37</v>
      </c>
      <c r="C149" s="85" t="s">
        <v>109</v>
      </c>
      <c r="D149" s="85" t="s">
        <v>36</v>
      </c>
      <c r="E149" s="86">
        <v>8</v>
      </c>
      <c r="F149" s="86">
        <v>0</v>
      </c>
      <c r="G149" s="86"/>
      <c r="H149" s="86" t="str">
        <f t="shared" si="2"/>
        <v>B02.00</v>
      </c>
      <c r="I149" s="86" t="s">
        <v>322</v>
      </c>
    </row>
    <row r="150" spans="2:9" x14ac:dyDescent="0.35">
      <c r="B150" s="85" t="s">
        <v>37</v>
      </c>
      <c r="C150" s="85" t="s">
        <v>109</v>
      </c>
      <c r="D150" s="85" t="s">
        <v>39</v>
      </c>
      <c r="E150" s="86">
        <v>8</v>
      </c>
      <c r="F150" s="86">
        <v>8</v>
      </c>
      <c r="G150" s="86"/>
      <c r="H150" s="86" t="str">
        <f t="shared" si="2"/>
        <v>B02.00</v>
      </c>
      <c r="I150" s="86" t="s">
        <v>322</v>
      </c>
    </row>
    <row r="151" spans="2:9" x14ac:dyDescent="0.35">
      <c r="B151" s="85" t="s">
        <v>37</v>
      </c>
      <c r="C151" s="85" t="s">
        <v>110</v>
      </c>
      <c r="D151" s="85" t="s">
        <v>36</v>
      </c>
      <c r="E151" s="86">
        <v>8</v>
      </c>
      <c r="F151" s="86">
        <v>0</v>
      </c>
      <c r="G151" s="86"/>
      <c r="H151" s="86" t="str">
        <f t="shared" si="2"/>
        <v>B02.00</v>
      </c>
      <c r="I151" s="86"/>
    </row>
    <row r="152" spans="2:9" x14ac:dyDescent="0.35">
      <c r="B152" s="85" t="s">
        <v>37</v>
      </c>
      <c r="C152" s="85" t="s">
        <v>110</v>
      </c>
      <c r="D152" s="85" t="s">
        <v>39</v>
      </c>
      <c r="E152" s="86">
        <v>8</v>
      </c>
      <c r="F152" s="86">
        <v>0</v>
      </c>
      <c r="G152" s="86"/>
      <c r="H152" s="86" t="str">
        <f t="shared" si="2"/>
        <v>B02.00</v>
      </c>
      <c r="I152" s="86"/>
    </row>
    <row r="153" spans="2:9" x14ac:dyDescent="0.35">
      <c r="B153" s="85" t="s">
        <v>37</v>
      </c>
      <c r="C153" s="85" t="s">
        <v>111</v>
      </c>
      <c r="D153" s="85" t="s">
        <v>36</v>
      </c>
      <c r="E153" s="86">
        <v>8</v>
      </c>
      <c r="F153" s="86">
        <v>0</v>
      </c>
      <c r="G153" s="86"/>
      <c r="H153" s="86" t="str">
        <f t="shared" si="2"/>
        <v>B02.00</v>
      </c>
      <c r="I153" s="86"/>
    </row>
    <row r="154" spans="2:9" x14ac:dyDescent="0.35">
      <c r="B154" s="85" t="s">
        <v>37</v>
      </c>
      <c r="C154" s="85" t="s">
        <v>111</v>
      </c>
      <c r="D154" s="85" t="s">
        <v>39</v>
      </c>
      <c r="E154" s="86">
        <v>8</v>
      </c>
      <c r="F154" s="86">
        <v>0</v>
      </c>
      <c r="G154" s="86"/>
      <c r="H154" s="86" t="str">
        <f t="shared" si="2"/>
        <v>B02.00</v>
      </c>
      <c r="I154" s="86"/>
    </row>
    <row r="155" spans="2:9" x14ac:dyDescent="0.35">
      <c r="B155" s="98" t="s">
        <v>331</v>
      </c>
      <c r="C155" s="98" t="s">
        <v>332</v>
      </c>
      <c r="D155" s="98" t="s">
        <v>323</v>
      </c>
      <c r="E155" s="99">
        <v>9460</v>
      </c>
      <c r="F155" s="99">
        <v>0</v>
      </c>
      <c r="G155" s="99" t="s">
        <v>337</v>
      </c>
      <c r="H155" s="99" t="str">
        <f>MID(B155,22,3)&amp;"."&amp;MID(B155,25,2)</f>
        <v>B05.00</v>
      </c>
      <c r="I155" s="99"/>
    </row>
    <row r="156" spans="2:9" x14ac:dyDescent="0.35">
      <c r="B156" s="98" t="s">
        <v>333</v>
      </c>
      <c r="C156" s="98" t="s">
        <v>334</v>
      </c>
      <c r="D156" s="98" t="s">
        <v>323</v>
      </c>
      <c r="E156" s="99">
        <v>4740</v>
      </c>
      <c r="F156" s="99">
        <v>0</v>
      </c>
      <c r="G156" s="99" t="s">
        <v>337</v>
      </c>
      <c r="H156" s="99" t="str">
        <f>MID(B156,22,3)&amp;"."&amp;MID(B156,25,2)</f>
        <v>B90.00</v>
      </c>
      <c r="I156" s="99"/>
    </row>
    <row r="157" spans="2:9" x14ac:dyDescent="0.35">
      <c r="B157" s="98" t="s">
        <v>37</v>
      </c>
      <c r="C157" s="98" t="s">
        <v>40</v>
      </c>
      <c r="D157" s="98" t="s">
        <v>323</v>
      </c>
      <c r="E157" s="99">
        <v>8</v>
      </c>
      <c r="F157" s="99">
        <v>0</v>
      </c>
      <c r="G157" s="99" t="s">
        <v>337</v>
      </c>
      <c r="H157" s="99" t="str">
        <f>MID(B157,22,3)&amp;"."&amp;MID(B157,25,2)</f>
        <v>B02.00</v>
      </c>
      <c r="I157" s="99"/>
    </row>
    <row r="158" spans="2:9" x14ac:dyDescent="0.35">
      <c r="B158" s="98" t="s">
        <v>37</v>
      </c>
      <c r="C158" s="98" t="s">
        <v>40</v>
      </c>
      <c r="D158" s="98" t="s">
        <v>324</v>
      </c>
      <c r="E158" s="99">
        <v>8</v>
      </c>
      <c r="F158" s="99">
        <v>0</v>
      </c>
      <c r="G158" s="99" t="s">
        <v>337</v>
      </c>
      <c r="H158" s="99" t="str">
        <f>MID(B158,22,3)&amp;"."&amp;MID(B158,25,2)</f>
        <v>B02.00</v>
      </c>
      <c r="I158" s="99"/>
    </row>
  </sheetData>
  <autoFilter ref="B8:H154" xr:uid="{90D6CD8A-7C56-4B85-AF15-7FD4E534061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c r="C9" s="85"/>
      <c r="D9" s="85"/>
      <c r="E9" s="86"/>
      <c r="F9" s="86"/>
      <c r="G9" s="86"/>
      <c r="H9" s="86"/>
      <c r="I9" s="86"/>
    </row>
    <row r="10" spans="1:12" x14ac:dyDescent="0.35">
      <c r="B10" s="85"/>
      <c r="C10" s="85"/>
      <c r="D10" s="85"/>
      <c r="E10" s="86"/>
      <c r="F10" s="86"/>
      <c r="G10" s="86"/>
      <c r="H10" s="86"/>
      <c r="I10" s="86"/>
    </row>
    <row r="11" spans="1:12" x14ac:dyDescent="0.35">
      <c r="B11" s="85"/>
      <c r="C11" s="85"/>
      <c r="D11" s="85"/>
      <c r="E11" s="86"/>
      <c r="F11" s="86"/>
      <c r="G11" s="86"/>
      <c r="H11" s="86"/>
      <c r="I11" s="86"/>
    </row>
    <row r="12" spans="1:12" x14ac:dyDescent="0.35">
      <c r="B12" s="85"/>
      <c r="C12" s="85"/>
      <c r="D12" s="85"/>
      <c r="E12" s="86"/>
      <c r="F12" s="86"/>
      <c r="G12" s="86"/>
      <c r="H12" s="86"/>
      <c r="I12" s="86"/>
    </row>
    <row r="13" spans="1:12" x14ac:dyDescent="0.35">
      <c r="B13" s="85"/>
      <c r="C13" s="85"/>
      <c r="D13" s="85"/>
      <c r="E13" s="86"/>
      <c r="F13" s="86"/>
      <c r="G13" s="86"/>
      <c r="H13" s="86"/>
      <c r="I13" s="86"/>
    </row>
    <row r="14" spans="1:12" x14ac:dyDescent="0.35">
      <c r="B14" s="85"/>
      <c r="C14" s="85"/>
      <c r="D14" s="85"/>
      <c r="E14" s="86"/>
      <c r="F14" s="86"/>
      <c r="G14" s="86"/>
      <c r="H14" s="86"/>
      <c r="I14" s="86"/>
    </row>
    <row r="15" spans="1:12" x14ac:dyDescent="0.35">
      <c r="B15" s="85"/>
      <c r="C15" s="85"/>
      <c r="D15" s="85"/>
      <c r="E15" s="86"/>
      <c r="F15" s="86"/>
      <c r="G15" s="86"/>
      <c r="H15" s="86"/>
      <c r="I15" s="86"/>
    </row>
    <row r="16" spans="1:12" x14ac:dyDescent="0.35">
      <c r="B16" s="85"/>
      <c r="C16" s="85"/>
      <c r="D16" s="85"/>
      <c r="E16" s="86"/>
      <c r="F16" s="86"/>
      <c r="G16" s="86"/>
      <c r="H16" s="86"/>
      <c r="I16" s="86"/>
    </row>
    <row r="17" spans="2:9" x14ac:dyDescent="0.35">
      <c r="B17" s="85"/>
      <c r="C17" s="85"/>
      <c r="D17" s="85"/>
      <c r="E17" s="86"/>
      <c r="F17" s="86"/>
      <c r="G17" s="86"/>
      <c r="H17" s="86"/>
      <c r="I17" s="86"/>
    </row>
    <row r="18" spans="2:9" x14ac:dyDescent="0.35">
      <c r="B18" s="85"/>
      <c r="C18" s="85"/>
      <c r="D18" s="85"/>
      <c r="E18" s="86"/>
      <c r="F18" s="86"/>
      <c r="G18" s="86"/>
      <c r="H18" s="86"/>
      <c r="I18" s="86"/>
    </row>
    <row r="19" spans="2:9" x14ac:dyDescent="0.35">
      <c r="B19" s="85"/>
      <c r="C19" s="85"/>
      <c r="D19" s="85"/>
      <c r="E19" s="86"/>
      <c r="F19" s="86"/>
      <c r="G19" s="86"/>
      <c r="H19" s="86"/>
      <c r="I19" s="86"/>
    </row>
    <row r="20" spans="2:9" x14ac:dyDescent="0.35">
      <c r="B20" s="85"/>
      <c r="C20" s="85"/>
      <c r="D20" s="85"/>
      <c r="E20" s="86"/>
      <c r="F20" s="86"/>
      <c r="G20" s="86"/>
      <c r="H20" s="86"/>
      <c r="I20" s="86"/>
    </row>
    <row r="21" spans="2:9" x14ac:dyDescent="0.35">
      <c r="B21" s="85"/>
      <c r="C21" s="85"/>
      <c r="D21" s="85"/>
      <c r="E21" s="86"/>
      <c r="F21" s="86"/>
      <c r="G21" s="86"/>
      <c r="H21" s="86"/>
      <c r="I21" s="86"/>
    </row>
    <row r="22" spans="2:9" x14ac:dyDescent="0.35">
      <c r="B22" s="85"/>
      <c r="C22" s="85"/>
      <c r="D22" s="85"/>
      <c r="E22" s="86"/>
      <c r="F22" s="86"/>
      <c r="G22" s="86"/>
      <c r="H22" s="86"/>
      <c r="I22" s="86"/>
    </row>
    <row r="23" spans="2:9" x14ac:dyDescent="0.35">
      <c r="B23" s="85"/>
      <c r="C23" s="85"/>
      <c r="D23" s="85"/>
      <c r="E23" s="86"/>
      <c r="F23" s="86"/>
      <c r="G23" s="86"/>
      <c r="H23" s="86"/>
      <c r="I23" s="86"/>
    </row>
    <row r="24" spans="2:9" x14ac:dyDescent="0.35">
      <c r="B24" s="85"/>
      <c r="C24" s="85"/>
      <c r="D24" s="85"/>
      <c r="E24" s="86"/>
      <c r="F24" s="86"/>
      <c r="G24" s="86"/>
      <c r="H24" s="86"/>
      <c r="I24" s="86"/>
    </row>
    <row r="25" spans="2:9" x14ac:dyDescent="0.35">
      <c r="B25" s="85"/>
      <c r="C25" s="85"/>
      <c r="D25" s="85"/>
      <c r="E25" s="86"/>
      <c r="F25" s="86"/>
      <c r="G25" s="86"/>
      <c r="H25" s="86"/>
      <c r="I25" s="86"/>
    </row>
    <row r="26" spans="2:9" x14ac:dyDescent="0.35">
      <c r="B26" s="85"/>
      <c r="C26" s="85"/>
      <c r="D26" s="85"/>
      <c r="E26" s="86"/>
      <c r="F26" s="86"/>
      <c r="G26" s="86"/>
      <c r="H26" s="86"/>
      <c r="I26" s="86"/>
    </row>
    <row r="27" spans="2:9" x14ac:dyDescent="0.35">
      <c r="B27" s="85"/>
      <c r="C27" s="85"/>
      <c r="D27" s="85"/>
      <c r="E27" s="86"/>
      <c r="F27" s="86"/>
      <c r="G27" s="86"/>
      <c r="H27" s="86"/>
      <c r="I27" s="86"/>
    </row>
    <row r="28" spans="2:9" x14ac:dyDescent="0.35">
      <c r="B28" s="85"/>
      <c r="C28" s="85"/>
      <c r="D28" s="85"/>
      <c r="E28" s="86"/>
      <c r="F28" s="86"/>
      <c r="G28" s="86"/>
      <c r="H28" s="86"/>
      <c r="I28" s="86"/>
    </row>
    <row r="29" spans="2:9" x14ac:dyDescent="0.35">
      <c r="B29" s="85"/>
      <c r="C29" s="85"/>
      <c r="D29" s="85"/>
      <c r="E29" s="86"/>
      <c r="F29" s="86"/>
      <c r="G29" s="86"/>
      <c r="H29" s="86"/>
      <c r="I29" s="86"/>
    </row>
    <row r="30" spans="2:9" x14ac:dyDescent="0.35">
      <c r="B30" s="85"/>
      <c r="C30" s="85"/>
      <c r="D30" s="85"/>
      <c r="E30" s="86"/>
      <c r="F30" s="86"/>
      <c r="G30" s="86"/>
      <c r="H30" s="86"/>
      <c r="I30" s="86"/>
    </row>
    <row r="31" spans="2:9" x14ac:dyDescent="0.35">
      <c r="B31" s="85"/>
      <c r="C31" s="85"/>
      <c r="D31" s="85"/>
      <c r="E31" s="86"/>
      <c r="F31" s="86"/>
      <c r="G31" s="86"/>
      <c r="H31" s="86"/>
      <c r="I31" s="86"/>
    </row>
    <row r="32" spans="2:9" x14ac:dyDescent="0.35">
      <c r="B32" s="85"/>
      <c r="C32" s="85"/>
      <c r="D32" s="85"/>
      <c r="E32" s="86"/>
      <c r="F32" s="86"/>
      <c r="G32" s="86"/>
      <c r="H32" s="86"/>
      <c r="I32" s="86"/>
    </row>
    <row r="33" spans="2:9" x14ac:dyDescent="0.35">
      <c r="B33" s="85"/>
      <c r="C33" s="85"/>
      <c r="D33" s="85"/>
      <c r="E33" s="86"/>
      <c r="F33" s="86"/>
      <c r="G33" s="86"/>
      <c r="H33" s="86"/>
      <c r="I33" s="86"/>
    </row>
    <row r="34" spans="2:9" x14ac:dyDescent="0.35">
      <c r="B34" s="85"/>
      <c r="C34" s="85"/>
      <c r="D34" s="85"/>
      <c r="E34" s="86"/>
      <c r="F34" s="86"/>
      <c r="G34" s="86"/>
      <c r="H34" s="86"/>
      <c r="I34" s="86"/>
    </row>
    <row r="35" spans="2:9" x14ac:dyDescent="0.35">
      <c r="B35" s="85"/>
      <c r="C35" s="85"/>
      <c r="D35" s="85"/>
      <c r="E35" s="86"/>
      <c r="F35" s="86"/>
      <c r="G35" s="86"/>
      <c r="H35" s="86"/>
      <c r="I35" s="86"/>
    </row>
    <row r="36" spans="2:9" x14ac:dyDescent="0.35">
      <c r="B36" s="85"/>
      <c r="C36" s="85"/>
      <c r="D36" s="85"/>
      <c r="E36" s="86"/>
      <c r="F36" s="86"/>
      <c r="G36" s="86"/>
      <c r="H36" s="86"/>
      <c r="I36" s="86"/>
    </row>
    <row r="37" spans="2:9" x14ac:dyDescent="0.35">
      <c r="B37" s="85"/>
      <c r="C37" s="85"/>
      <c r="D37" s="85"/>
      <c r="E37" s="86"/>
      <c r="F37" s="86"/>
      <c r="G37" s="86"/>
      <c r="H37" s="86"/>
      <c r="I37" s="86"/>
    </row>
    <row r="38" spans="2:9" x14ac:dyDescent="0.35">
      <c r="B38" s="85"/>
      <c r="C38" s="85"/>
      <c r="D38" s="85"/>
      <c r="E38" s="86"/>
      <c r="F38" s="86"/>
      <c r="G38" s="86"/>
      <c r="H38" s="86"/>
      <c r="I38" s="86"/>
    </row>
    <row r="39" spans="2:9" x14ac:dyDescent="0.35">
      <c r="B39" s="85"/>
      <c r="C39" s="85"/>
      <c r="D39" s="85"/>
      <c r="E39" s="86"/>
      <c r="F39" s="86"/>
      <c r="G39" s="86"/>
      <c r="H39" s="86"/>
      <c r="I39" s="86"/>
    </row>
    <row r="40" spans="2:9" x14ac:dyDescent="0.35">
      <c r="B40" s="85"/>
      <c r="C40" s="85"/>
      <c r="D40" s="85"/>
      <c r="E40" s="86"/>
      <c r="F40" s="86"/>
      <c r="G40" s="86"/>
      <c r="H40" s="86"/>
      <c r="I40" s="86"/>
    </row>
    <row r="41" spans="2:9" x14ac:dyDescent="0.35">
      <c r="B41" s="85"/>
      <c r="C41" s="85"/>
      <c r="D41" s="85"/>
      <c r="E41" s="86"/>
      <c r="F41" s="86"/>
      <c r="G41" s="86"/>
      <c r="H41" s="86"/>
      <c r="I41" s="86"/>
    </row>
    <row r="42" spans="2:9" x14ac:dyDescent="0.35">
      <c r="B42" s="85"/>
      <c r="C42" s="85"/>
      <c r="D42" s="85"/>
      <c r="E42" s="86"/>
      <c r="F42" s="86"/>
      <c r="G42" s="86"/>
      <c r="H42" s="86"/>
      <c r="I42" s="86"/>
    </row>
    <row r="43" spans="2:9" x14ac:dyDescent="0.35">
      <c r="B43" s="85"/>
      <c r="C43" s="85"/>
      <c r="D43" s="85"/>
      <c r="E43" s="86"/>
      <c r="F43" s="86"/>
      <c r="G43" s="86"/>
      <c r="H43" s="86"/>
      <c r="I43" s="86"/>
    </row>
    <row r="44" spans="2:9" x14ac:dyDescent="0.35">
      <c r="B44" s="85"/>
      <c r="C44" s="85"/>
      <c r="D44" s="85"/>
      <c r="E44" s="86"/>
      <c r="F44" s="86"/>
      <c r="G44" s="86"/>
      <c r="H44" s="86"/>
      <c r="I44" s="86"/>
    </row>
    <row r="45" spans="2:9" x14ac:dyDescent="0.35">
      <c r="B45" s="85"/>
      <c r="C45" s="85"/>
      <c r="D45" s="85"/>
      <c r="E45" s="86"/>
      <c r="F45" s="86"/>
      <c r="G45" s="86"/>
      <c r="H45" s="86"/>
      <c r="I45" s="86"/>
    </row>
    <row r="46" spans="2:9" x14ac:dyDescent="0.35">
      <c r="B46" s="85"/>
      <c r="C46" s="85"/>
      <c r="D46" s="85"/>
      <c r="E46" s="86"/>
      <c r="F46" s="86"/>
      <c r="G46" s="86"/>
      <c r="H46" s="86"/>
      <c r="I46" s="86"/>
    </row>
    <row r="47" spans="2:9" x14ac:dyDescent="0.35">
      <c r="B47" s="85"/>
      <c r="C47" s="85"/>
      <c r="D47" s="85"/>
      <c r="E47" s="86"/>
      <c r="F47" s="86"/>
      <c r="G47" s="86"/>
      <c r="H47" s="86"/>
      <c r="I47" s="86"/>
    </row>
    <row r="48" spans="2:9" x14ac:dyDescent="0.35">
      <c r="B48" s="85"/>
      <c r="C48" s="85"/>
      <c r="D48" s="85"/>
      <c r="E48" s="86"/>
      <c r="F48" s="86"/>
      <c r="G48" s="86"/>
      <c r="H48" s="86"/>
      <c r="I48" s="86"/>
    </row>
    <row r="49" spans="2:9" x14ac:dyDescent="0.35">
      <c r="B49" s="85"/>
      <c r="C49" s="85"/>
      <c r="D49" s="85"/>
      <c r="E49" s="86"/>
      <c r="F49" s="86"/>
      <c r="G49" s="86"/>
      <c r="H49" s="86"/>
      <c r="I49" s="86"/>
    </row>
    <row r="50" spans="2:9" x14ac:dyDescent="0.35">
      <c r="B50" s="85"/>
      <c r="C50" s="85"/>
      <c r="D50" s="85"/>
      <c r="E50" s="86"/>
      <c r="F50" s="86"/>
      <c r="G50" s="86"/>
      <c r="H50" s="86"/>
      <c r="I50" s="86"/>
    </row>
    <row r="51" spans="2:9" x14ac:dyDescent="0.35">
      <c r="B51" s="85"/>
      <c r="C51" s="85"/>
      <c r="D51" s="85"/>
      <c r="E51" s="86"/>
      <c r="F51" s="86"/>
      <c r="G51" s="86"/>
      <c r="H51" s="86"/>
      <c r="I51" s="86"/>
    </row>
    <row r="52" spans="2:9" x14ac:dyDescent="0.35">
      <c r="B52" s="85"/>
      <c r="C52" s="85"/>
      <c r="D52" s="85"/>
      <c r="E52" s="86"/>
      <c r="F52" s="86"/>
      <c r="G52" s="86"/>
      <c r="H52" s="86"/>
      <c r="I52" s="86"/>
    </row>
    <row r="53" spans="2:9" x14ac:dyDescent="0.35">
      <c r="B53" s="85"/>
      <c r="C53" s="85"/>
      <c r="D53" s="85"/>
      <c r="E53" s="86"/>
      <c r="F53" s="86"/>
      <c r="G53" s="86"/>
      <c r="H53" s="86"/>
      <c r="I53" s="86"/>
    </row>
    <row r="54" spans="2:9" x14ac:dyDescent="0.35">
      <c r="B54" s="85"/>
      <c r="C54" s="85"/>
      <c r="D54" s="85"/>
      <c r="E54" s="86"/>
      <c r="F54" s="86"/>
      <c r="G54" s="86"/>
      <c r="H54" s="86"/>
      <c r="I54" s="86"/>
    </row>
    <row r="55" spans="2:9" x14ac:dyDescent="0.35">
      <c r="B55" s="85"/>
      <c r="C55" s="85"/>
      <c r="D55" s="85"/>
      <c r="E55" s="86"/>
      <c r="F55" s="86"/>
      <c r="G55" s="86"/>
      <c r="H55" s="86"/>
      <c r="I55" s="86"/>
    </row>
    <row r="56" spans="2:9" x14ac:dyDescent="0.35">
      <c r="B56" s="85"/>
      <c r="C56" s="85"/>
      <c r="D56" s="85"/>
      <c r="E56" s="86"/>
      <c r="F56" s="86"/>
      <c r="G56" s="86"/>
      <c r="H56" s="86"/>
      <c r="I56" s="86"/>
    </row>
    <row r="57" spans="2:9" x14ac:dyDescent="0.35">
      <c r="B57" s="85"/>
      <c r="C57" s="85"/>
      <c r="D57" s="85"/>
      <c r="E57" s="86"/>
      <c r="F57" s="86"/>
      <c r="G57" s="86"/>
      <c r="H57" s="86"/>
      <c r="I57" s="86"/>
    </row>
    <row r="58" spans="2:9" x14ac:dyDescent="0.35">
      <c r="B58" s="85"/>
      <c r="C58" s="85"/>
      <c r="D58" s="85"/>
      <c r="E58" s="86"/>
      <c r="F58" s="86"/>
      <c r="G58" s="86"/>
      <c r="H58" s="86"/>
      <c r="I58" s="86"/>
    </row>
    <row r="59" spans="2:9" x14ac:dyDescent="0.35">
      <c r="B59" s="85"/>
      <c r="C59" s="85"/>
      <c r="D59" s="85"/>
      <c r="E59" s="86"/>
      <c r="F59" s="86"/>
      <c r="G59" s="86"/>
      <c r="H59" s="86"/>
      <c r="I59" s="86"/>
    </row>
    <row r="60" spans="2:9" x14ac:dyDescent="0.35">
      <c r="B60" s="85"/>
      <c r="C60" s="85"/>
      <c r="D60" s="85"/>
      <c r="E60" s="86"/>
      <c r="F60" s="86"/>
      <c r="G60" s="86"/>
      <c r="H60" s="86"/>
      <c r="I60" s="86"/>
    </row>
    <row r="61" spans="2:9" x14ac:dyDescent="0.35">
      <c r="B61" s="85"/>
      <c r="C61" s="85"/>
      <c r="D61" s="85"/>
      <c r="E61" s="86"/>
      <c r="F61" s="86"/>
      <c r="G61" s="86"/>
      <c r="H61" s="86"/>
      <c r="I61" s="86"/>
    </row>
    <row r="62" spans="2:9" x14ac:dyDescent="0.35">
      <c r="B62" s="85"/>
      <c r="C62" s="85"/>
      <c r="D62" s="85"/>
      <c r="E62" s="86"/>
      <c r="F62" s="86"/>
      <c r="G62" s="86"/>
      <c r="H62" s="86"/>
      <c r="I62" s="86"/>
    </row>
    <row r="63" spans="2:9" x14ac:dyDescent="0.35">
      <c r="B63" s="85"/>
      <c r="C63" s="85"/>
      <c r="D63" s="85"/>
      <c r="E63" s="86"/>
      <c r="F63" s="86"/>
      <c r="G63" s="86"/>
      <c r="H63" s="86"/>
      <c r="I63" s="86"/>
    </row>
    <row r="64" spans="2:9" x14ac:dyDescent="0.35">
      <c r="B64" s="85"/>
      <c r="C64" s="85"/>
      <c r="D64" s="85"/>
      <c r="E64" s="86"/>
      <c r="F64" s="86"/>
      <c r="G64" s="86"/>
      <c r="H64" s="86"/>
      <c r="I64" s="86"/>
    </row>
    <row r="65" spans="2:9" x14ac:dyDescent="0.35">
      <c r="B65" s="85"/>
      <c r="C65" s="85"/>
      <c r="D65" s="85"/>
      <c r="E65" s="86"/>
      <c r="F65" s="86"/>
      <c r="G65" s="86"/>
      <c r="H65" s="86"/>
      <c r="I65" s="86"/>
    </row>
    <row r="66" spans="2:9" x14ac:dyDescent="0.35">
      <c r="B66" s="85"/>
      <c r="C66" s="85"/>
      <c r="D66" s="85"/>
      <c r="E66" s="86"/>
      <c r="F66" s="86"/>
      <c r="G66" s="86"/>
      <c r="H66" s="86"/>
      <c r="I66" s="86"/>
    </row>
    <row r="67" spans="2:9" x14ac:dyDescent="0.35">
      <c r="B67" s="85"/>
      <c r="C67" s="85"/>
      <c r="D67" s="85"/>
      <c r="E67" s="86"/>
      <c r="F67" s="86"/>
      <c r="G67" s="86"/>
      <c r="H67" s="86"/>
      <c r="I67" s="86"/>
    </row>
    <row r="68" spans="2:9" x14ac:dyDescent="0.35">
      <c r="B68" s="85"/>
      <c r="C68" s="85"/>
      <c r="D68" s="85"/>
      <c r="E68" s="86"/>
      <c r="F68" s="86"/>
      <c r="G68" s="86"/>
      <c r="H68" s="86"/>
      <c r="I68" s="86"/>
    </row>
    <row r="69" spans="2:9" x14ac:dyDescent="0.35">
      <c r="B69" s="85"/>
      <c r="C69" s="85"/>
      <c r="D69" s="85"/>
      <c r="E69" s="86"/>
      <c r="F69" s="86"/>
      <c r="G69" s="86"/>
      <c r="H69" s="86"/>
      <c r="I69" s="86"/>
    </row>
    <row r="70" spans="2:9" x14ac:dyDescent="0.35">
      <c r="B70" s="85"/>
      <c r="C70" s="85"/>
      <c r="D70" s="85"/>
      <c r="E70" s="86"/>
      <c r="F70" s="86"/>
      <c r="G70" s="86"/>
      <c r="H70" s="86"/>
      <c r="I70" s="86"/>
    </row>
    <row r="71" spans="2:9" x14ac:dyDescent="0.35">
      <c r="B71" s="85"/>
      <c r="C71" s="85"/>
      <c r="D71" s="85"/>
      <c r="E71" s="86"/>
      <c r="F71" s="86"/>
      <c r="G71" s="86"/>
      <c r="H71" s="86"/>
      <c r="I71" s="86"/>
    </row>
    <row r="72" spans="2:9" x14ac:dyDescent="0.35">
      <c r="B72" s="85"/>
      <c r="C72" s="85"/>
      <c r="D72" s="85"/>
      <c r="E72" s="86"/>
      <c r="F72" s="86"/>
      <c r="G72" s="86"/>
      <c r="H72" s="86"/>
      <c r="I72" s="86"/>
    </row>
    <row r="73" spans="2:9" x14ac:dyDescent="0.35">
      <c r="B73" s="85"/>
      <c r="C73" s="85"/>
      <c r="D73" s="85"/>
      <c r="E73" s="86"/>
      <c r="F73" s="86"/>
      <c r="G73" s="86"/>
      <c r="H73" s="86"/>
      <c r="I73" s="86"/>
    </row>
    <row r="74" spans="2:9" x14ac:dyDescent="0.35">
      <c r="B74" s="85"/>
      <c r="C74" s="85"/>
      <c r="D74" s="85"/>
      <c r="E74" s="86"/>
      <c r="F74" s="86"/>
      <c r="G74" s="86"/>
      <c r="H74" s="86"/>
      <c r="I74" s="86"/>
    </row>
    <row r="75" spans="2:9" x14ac:dyDescent="0.35">
      <c r="B75" s="85"/>
      <c r="C75" s="85"/>
      <c r="D75" s="85"/>
      <c r="E75" s="86"/>
      <c r="F75" s="86"/>
      <c r="G75" s="86"/>
      <c r="H75" s="86"/>
      <c r="I75" s="86"/>
    </row>
    <row r="76" spans="2:9" x14ac:dyDescent="0.35">
      <c r="B76" s="85"/>
      <c r="C76" s="85"/>
      <c r="D76" s="85"/>
      <c r="E76" s="86"/>
      <c r="F76" s="86"/>
      <c r="G76" s="86"/>
      <c r="H76" s="86"/>
      <c r="I76" s="86"/>
    </row>
    <row r="77" spans="2:9" x14ac:dyDescent="0.35">
      <c r="B77" s="85"/>
      <c r="C77" s="85"/>
      <c r="D77" s="85"/>
      <c r="E77" s="86"/>
      <c r="F77" s="86"/>
      <c r="G77" s="86"/>
      <c r="H77" s="86"/>
      <c r="I77" s="86"/>
    </row>
    <row r="78" spans="2:9" x14ac:dyDescent="0.35">
      <c r="B78" s="85"/>
      <c r="C78" s="85"/>
      <c r="D78" s="85"/>
      <c r="E78" s="86"/>
      <c r="F78" s="86"/>
      <c r="G78" s="86"/>
      <c r="H78" s="86"/>
      <c r="I78" s="86"/>
    </row>
    <row r="79" spans="2:9" x14ac:dyDescent="0.35">
      <c r="B79" s="85"/>
      <c r="C79" s="85"/>
      <c r="D79" s="85"/>
      <c r="E79" s="86"/>
      <c r="F79" s="86"/>
      <c r="G79" s="86"/>
      <c r="H79" s="86"/>
      <c r="I79" s="86"/>
    </row>
    <row r="80" spans="2:9" x14ac:dyDescent="0.35">
      <c r="B80" s="85"/>
      <c r="C80" s="85"/>
      <c r="D80" s="85"/>
      <c r="E80" s="86"/>
      <c r="F80" s="86"/>
      <c r="G80" s="86"/>
      <c r="H80" s="86"/>
      <c r="I80" s="86"/>
    </row>
    <row r="81" spans="2:9" x14ac:dyDescent="0.35">
      <c r="B81" s="85"/>
      <c r="C81" s="85"/>
      <c r="D81" s="85"/>
      <c r="E81" s="86"/>
      <c r="F81" s="86"/>
      <c r="G81" s="86"/>
      <c r="H81" s="86"/>
      <c r="I81" s="86"/>
    </row>
    <row r="82" spans="2:9" x14ac:dyDescent="0.35">
      <c r="B82" s="85"/>
      <c r="C82" s="85"/>
      <c r="D82" s="85"/>
      <c r="E82" s="86"/>
      <c r="F82" s="86"/>
      <c r="G82" s="86"/>
      <c r="H82" s="86"/>
      <c r="I82" s="86"/>
    </row>
    <row r="83" spans="2:9" x14ac:dyDescent="0.35">
      <c r="B83" s="85"/>
      <c r="C83" s="85"/>
      <c r="D83" s="85"/>
      <c r="E83" s="86"/>
      <c r="F83" s="86"/>
      <c r="G83" s="86"/>
      <c r="H83" s="86"/>
      <c r="I83" s="86"/>
    </row>
    <row r="84" spans="2:9" x14ac:dyDescent="0.35">
      <c r="B84" s="85"/>
      <c r="C84" s="85"/>
      <c r="D84" s="85"/>
      <c r="E84" s="86"/>
      <c r="F84" s="86"/>
      <c r="G84" s="86"/>
      <c r="H84" s="86"/>
      <c r="I84" s="86"/>
    </row>
    <row r="85" spans="2:9" x14ac:dyDescent="0.35">
      <c r="B85" s="85"/>
      <c r="C85" s="85"/>
      <c r="D85" s="85"/>
      <c r="E85" s="86"/>
      <c r="F85" s="86"/>
      <c r="G85" s="86"/>
      <c r="H85" s="86"/>
      <c r="I85" s="86"/>
    </row>
    <row r="86" spans="2:9" x14ac:dyDescent="0.35">
      <c r="B86" s="85"/>
      <c r="C86" s="85"/>
      <c r="D86" s="85"/>
      <c r="E86" s="86"/>
      <c r="F86" s="86"/>
      <c r="G86" s="86"/>
      <c r="H86" s="86"/>
      <c r="I86" s="86"/>
    </row>
    <row r="87" spans="2:9" x14ac:dyDescent="0.35">
      <c r="B87" s="85"/>
      <c r="C87" s="85"/>
      <c r="D87" s="85"/>
      <c r="E87" s="86"/>
      <c r="F87" s="86"/>
      <c r="G87" s="86"/>
      <c r="H87" s="86"/>
      <c r="I87" s="86"/>
    </row>
    <row r="88" spans="2:9" x14ac:dyDescent="0.35">
      <c r="B88" s="85"/>
      <c r="C88" s="85"/>
      <c r="D88" s="85"/>
      <c r="E88" s="86"/>
      <c r="F88" s="86"/>
      <c r="G88" s="86"/>
      <c r="H88" s="86"/>
      <c r="I88" s="86"/>
    </row>
    <row r="89" spans="2:9" x14ac:dyDescent="0.35">
      <c r="B89" s="85"/>
      <c r="C89" s="85"/>
      <c r="D89" s="85"/>
      <c r="E89" s="86"/>
      <c r="F89" s="86"/>
      <c r="G89" s="86"/>
      <c r="H89" s="86"/>
      <c r="I89" s="86"/>
    </row>
    <row r="90" spans="2:9" x14ac:dyDescent="0.35">
      <c r="B90" s="85"/>
      <c r="C90" s="85"/>
      <c r="D90" s="85"/>
      <c r="E90" s="86"/>
      <c r="F90" s="86"/>
      <c r="G90" s="86"/>
      <c r="H90" s="86"/>
      <c r="I90" s="86"/>
    </row>
    <row r="91" spans="2:9" x14ac:dyDescent="0.35">
      <c r="B91" s="85"/>
      <c r="C91" s="85"/>
      <c r="D91" s="85"/>
      <c r="E91" s="86"/>
      <c r="F91" s="86"/>
      <c r="G91" s="86"/>
      <c r="H91" s="86"/>
      <c r="I91" s="86"/>
    </row>
    <row r="92" spans="2:9" x14ac:dyDescent="0.35">
      <c r="B92" s="85"/>
      <c r="C92" s="85"/>
      <c r="D92" s="85"/>
      <c r="E92" s="86"/>
      <c r="F92" s="86"/>
      <c r="G92" s="86"/>
      <c r="H92" s="86"/>
      <c r="I92" s="86"/>
    </row>
    <row r="93" spans="2:9" x14ac:dyDescent="0.35">
      <c r="B93" s="85"/>
      <c r="C93" s="85"/>
      <c r="D93" s="85"/>
      <c r="E93" s="86"/>
      <c r="F93" s="86"/>
      <c r="G93" s="86"/>
      <c r="H93" s="86"/>
      <c r="I93" s="86"/>
    </row>
    <row r="94" spans="2:9" x14ac:dyDescent="0.35">
      <c r="B94" s="85"/>
      <c r="C94" s="85"/>
      <c r="D94" s="85"/>
      <c r="E94" s="86"/>
      <c r="F94" s="86"/>
      <c r="G94" s="86"/>
      <c r="H94" s="86"/>
      <c r="I94" s="86"/>
    </row>
    <row r="95" spans="2:9" x14ac:dyDescent="0.35">
      <c r="B95" s="85"/>
      <c r="C95" s="85"/>
      <c r="D95" s="85"/>
      <c r="E95" s="86"/>
      <c r="F95" s="86"/>
      <c r="G95" s="86"/>
      <c r="H95" s="86"/>
      <c r="I95" s="86"/>
    </row>
    <row r="96" spans="2:9" x14ac:dyDescent="0.35">
      <c r="B96" s="85"/>
      <c r="C96" s="85"/>
      <c r="D96" s="85"/>
      <c r="E96" s="86"/>
      <c r="F96" s="86"/>
      <c r="G96" s="86"/>
      <c r="H96" s="86"/>
      <c r="I96" s="86"/>
    </row>
    <row r="97" spans="2:9" x14ac:dyDescent="0.35">
      <c r="B97" s="85"/>
      <c r="C97" s="85"/>
      <c r="D97" s="85"/>
      <c r="E97" s="86"/>
      <c r="F97" s="86"/>
      <c r="G97" s="86"/>
      <c r="H97" s="86"/>
      <c r="I97" s="86"/>
    </row>
    <row r="98" spans="2:9" x14ac:dyDescent="0.35">
      <c r="B98" s="85"/>
      <c r="C98" s="85"/>
      <c r="D98" s="85"/>
      <c r="E98" s="86"/>
      <c r="F98" s="86"/>
      <c r="G98" s="86"/>
      <c r="H98" s="86"/>
      <c r="I98" s="86"/>
    </row>
    <row r="99" spans="2:9" x14ac:dyDescent="0.35">
      <c r="B99" s="85"/>
      <c r="C99" s="85"/>
      <c r="D99" s="85"/>
      <c r="E99" s="86"/>
      <c r="F99" s="86"/>
      <c r="G99" s="86"/>
      <c r="H99" s="86"/>
      <c r="I99" s="86"/>
    </row>
    <row r="100" spans="2:9" x14ac:dyDescent="0.35">
      <c r="B100" s="85"/>
      <c r="C100" s="85"/>
      <c r="D100" s="85"/>
      <c r="E100" s="86"/>
      <c r="F100" s="86"/>
      <c r="G100" s="86"/>
      <c r="H100" s="86"/>
      <c r="I100" s="86"/>
    </row>
    <row r="101" spans="2:9" x14ac:dyDescent="0.35">
      <c r="B101" s="85"/>
      <c r="C101" s="85"/>
      <c r="D101" s="85"/>
      <c r="E101" s="86"/>
      <c r="F101" s="86"/>
      <c r="G101" s="86"/>
      <c r="H101" s="86"/>
      <c r="I101" s="86"/>
    </row>
    <row r="102" spans="2:9" x14ac:dyDescent="0.35">
      <c r="B102" s="85"/>
      <c r="C102" s="85"/>
      <c r="D102" s="85"/>
      <c r="E102" s="86"/>
      <c r="F102" s="86"/>
      <c r="G102" s="86"/>
      <c r="H102" s="86"/>
      <c r="I102" s="86"/>
    </row>
    <row r="103" spans="2:9" x14ac:dyDescent="0.35">
      <c r="B103" s="85"/>
      <c r="C103" s="85"/>
      <c r="D103" s="85"/>
      <c r="E103" s="86"/>
      <c r="F103" s="86"/>
      <c r="G103" s="86"/>
      <c r="H103" s="86"/>
      <c r="I103" s="86"/>
    </row>
    <row r="104" spans="2:9" x14ac:dyDescent="0.35">
      <c r="B104" s="85"/>
      <c r="C104" s="85"/>
      <c r="D104" s="85"/>
      <c r="E104" s="86"/>
      <c r="F104" s="86"/>
      <c r="G104" s="86"/>
      <c r="H104" s="86"/>
      <c r="I104" s="86"/>
    </row>
    <row r="105" spans="2:9" x14ac:dyDescent="0.35">
      <c r="B105" s="85"/>
      <c r="C105" s="85"/>
      <c r="D105" s="85"/>
      <c r="E105" s="86"/>
      <c r="F105" s="86"/>
      <c r="G105" s="86"/>
      <c r="H105" s="86"/>
      <c r="I105" s="86"/>
    </row>
    <row r="106" spans="2:9" x14ac:dyDescent="0.35">
      <c r="B106" s="85"/>
      <c r="C106" s="85"/>
      <c r="D106" s="85"/>
      <c r="E106" s="86"/>
      <c r="F106" s="86"/>
      <c r="G106" s="86"/>
      <c r="H106" s="86"/>
      <c r="I106" s="86"/>
    </row>
    <row r="107" spans="2:9" x14ac:dyDescent="0.35">
      <c r="B107" s="85"/>
      <c r="C107" s="85"/>
      <c r="D107" s="85"/>
      <c r="E107" s="86"/>
      <c r="F107" s="86"/>
      <c r="G107" s="86"/>
      <c r="H107" s="86"/>
      <c r="I107" s="86"/>
    </row>
    <row r="108" spans="2:9" x14ac:dyDescent="0.35">
      <c r="B108" s="85"/>
      <c r="C108" s="85"/>
      <c r="D108" s="85"/>
      <c r="E108" s="86"/>
      <c r="F108" s="86"/>
      <c r="G108" s="86"/>
      <c r="H108" s="86"/>
      <c r="I108" s="86"/>
    </row>
    <row r="109" spans="2:9" x14ac:dyDescent="0.35">
      <c r="B109" s="85"/>
      <c r="C109" s="85"/>
      <c r="D109" s="85"/>
      <c r="E109" s="86"/>
      <c r="F109" s="86"/>
      <c r="G109" s="86"/>
      <c r="H109" s="86"/>
      <c r="I109" s="86"/>
    </row>
    <row r="110" spans="2:9" x14ac:dyDescent="0.35">
      <c r="B110" s="85"/>
      <c r="C110" s="85"/>
      <c r="D110" s="85"/>
      <c r="E110" s="86"/>
      <c r="F110" s="86"/>
      <c r="G110" s="86"/>
      <c r="H110" s="86"/>
      <c r="I110" s="86"/>
    </row>
    <row r="111" spans="2:9" x14ac:dyDescent="0.35">
      <c r="B111" s="85"/>
      <c r="C111" s="85"/>
      <c r="D111" s="85"/>
      <c r="E111" s="86"/>
      <c r="F111" s="86"/>
      <c r="G111" s="86"/>
      <c r="H111" s="86"/>
      <c r="I111" s="86"/>
    </row>
    <row r="112" spans="2:9" x14ac:dyDescent="0.35">
      <c r="B112" s="85"/>
      <c r="C112" s="85"/>
      <c r="D112" s="85"/>
      <c r="E112" s="86"/>
      <c r="F112" s="86"/>
      <c r="G112" s="86"/>
      <c r="H112" s="86"/>
      <c r="I112" s="86"/>
    </row>
    <row r="113" spans="2:9" x14ac:dyDescent="0.35">
      <c r="B113" s="85"/>
      <c r="C113" s="85"/>
      <c r="D113" s="85"/>
      <c r="E113" s="86"/>
      <c r="F113" s="86"/>
      <c r="G113" s="86"/>
      <c r="H113" s="86"/>
      <c r="I113" s="86"/>
    </row>
    <row r="114" spans="2:9" x14ac:dyDescent="0.35">
      <c r="B114" s="85"/>
      <c r="C114" s="85"/>
      <c r="D114" s="85"/>
      <c r="E114" s="86"/>
      <c r="F114" s="86"/>
      <c r="G114" s="86"/>
      <c r="H114" s="86"/>
      <c r="I114" s="86"/>
    </row>
    <row r="115" spans="2:9" x14ac:dyDescent="0.35">
      <c r="B115" s="85"/>
      <c r="C115" s="85"/>
      <c r="D115" s="85"/>
      <c r="E115" s="86"/>
      <c r="F115" s="86"/>
      <c r="G115" s="86"/>
      <c r="H115" s="86"/>
      <c r="I115" s="86"/>
    </row>
    <row r="116" spans="2:9" x14ac:dyDescent="0.35">
      <c r="B116" s="85"/>
      <c r="C116" s="85"/>
      <c r="D116" s="85"/>
      <c r="E116" s="86"/>
      <c r="F116" s="86"/>
      <c r="G116" s="86"/>
      <c r="H116" s="86"/>
      <c r="I116" s="86"/>
    </row>
    <row r="117" spans="2:9" x14ac:dyDescent="0.35">
      <c r="B117" s="85"/>
      <c r="C117" s="85"/>
      <c r="D117" s="85"/>
      <c r="E117" s="86"/>
      <c r="F117" s="86"/>
      <c r="G117" s="86"/>
      <c r="H117" s="86"/>
      <c r="I117" s="86"/>
    </row>
    <row r="118" spans="2:9" x14ac:dyDescent="0.35">
      <c r="B118" s="85"/>
      <c r="C118" s="85"/>
      <c r="D118" s="85"/>
      <c r="E118" s="86"/>
      <c r="F118" s="86"/>
      <c r="G118" s="86"/>
      <c r="H118" s="86"/>
      <c r="I118" s="86"/>
    </row>
    <row r="119" spans="2:9" x14ac:dyDescent="0.35">
      <c r="B119" s="85"/>
      <c r="C119" s="85"/>
      <c r="D119" s="85"/>
      <c r="E119" s="86"/>
      <c r="F119" s="86"/>
      <c r="G119" s="86"/>
      <c r="H119" s="86"/>
      <c r="I119" s="86"/>
    </row>
    <row r="120" spans="2:9" x14ac:dyDescent="0.35">
      <c r="B120" s="85"/>
      <c r="C120" s="85"/>
      <c r="D120" s="85"/>
      <c r="E120" s="86"/>
      <c r="F120" s="86"/>
      <c r="G120" s="86"/>
      <c r="H120" s="86"/>
      <c r="I120" s="86"/>
    </row>
    <row r="121" spans="2:9" x14ac:dyDescent="0.35">
      <c r="B121" s="85"/>
      <c r="C121" s="85"/>
      <c r="D121" s="85"/>
      <c r="E121" s="86"/>
      <c r="F121" s="86"/>
      <c r="G121" s="86"/>
      <c r="H121" s="86"/>
      <c r="I121" s="86"/>
    </row>
    <row r="122" spans="2:9" x14ac:dyDescent="0.35">
      <c r="B122" s="85"/>
      <c r="C122" s="85"/>
      <c r="D122" s="85"/>
      <c r="E122" s="86"/>
      <c r="F122" s="86"/>
      <c r="G122" s="86"/>
      <c r="H122" s="86"/>
      <c r="I122" s="86"/>
    </row>
    <row r="123" spans="2:9" x14ac:dyDescent="0.35">
      <c r="B123" s="85"/>
      <c r="C123" s="85"/>
      <c r="D123" s="85"/>
      <c r="E123" s="86"/>
      <c r="F123" s="86"/>
      <c r="G123" s="86"/>
      <c r="H123" s="86"/>
      <c r="I123" s="86"/>
    </row>
    <row r="124" spans="2:9" x14ac:dyDescent="0.35">
      <c r="B124" s="85"/>
      <c r="C124" s="85"/>
      <c r="D124" s="85"/>
      <c r="E124" s="86"/>
      <c r="F124" s="86"/>
      <c r="G124" s="86"/>
      <c r="H124" s="86"/>
      <c r="I124" s="86"/>
    </row>
    <row r="125" spans="2:9" x14ac:dyDescent="0.35">
      <c r="B125" s="85"/>
      <c r="C125" s="85"/>
      <c r="D125" s="85"/>
      <c r="E125" s="86"/>
      <c r="F125" s="86"/>
      <c r="G125" s="86"/>
      <c r="H125" s="86"/>
      <c r="I125" s="86"/>
    </row>
    <row r="126" spans="2:9" x14ac:dyDescent="0.35">
      <c r="B126" s="85"/>
      <c r="C126" s="85"/>
      <c r="D126" s="85"/>
      <c r="E126" s="86"/>
      <c r="F126" s="86"/>
      <c r="G126" s="86"/>
      <c r="H126" s="86"/>
      <c r="I126" s="86"/>
    </row>
    <row r="127" spans="2:9" x14ac:dyDescent="0.35">
      <c r="B127" s="85"/>
      <c r="C127" s="85"/>
      <c r="D127" s="85"/>
      <c r="E127" s="86"/>
      <c r="F127" s="86"/>
      <c r="G127" s="86"/>
      <c r="H127" s="86"/>
      <c r="I127" s="86"/>
    </row>
    <row r="128" spans="2:9" x14ac:dyDescent="0.35">
      <c r="B128" s="85"/>
      <c r="C128" s="85"/>
      <c r="D128" s="85"/>
      <c r="E128" s="86"/>
      <c r="F128" s="86"/>
      <c r="G128" s="86"/>
      <c r="H128" s="86"/>
      <c r="I128" s="86"/>
    </row>
    <row r="129" spans="2:9" x14ac:dyDescent="0.35">
      <c r="B129" s="85"/>
      <c r="C129" s="85"/>
      <c r="D129" s="85"/>
      <c r="E129" s="86"/>
      <c r="F129" s="86"/>
      <c r="G129" s="86"/>
      <c r="H129" s="86"/>
      <c r="I129" s="86"/>
    </row>
    <row r="130" spans="2:9" x14ac:dyDescent="0.35">
      <c r="B130" s="85"/>
      <c r="C130" s="85"/>
      <c r="D130" s="85"/>
      <c r="E130" s="86"/>
      <c r="F130" s="86"/>
      <c r="G130" s="86"/>
      <c r="H130" s="86"/>
      <c r="I130" s="86"/>
    </row>
    <row r="131" spans="2:9" x14ac:dyDescent="0.35">
      <c r="B131" s="85"/>
      <c r="C131" s="85"/>
      <c r="D131" s="85"/>
      <c r="E131" s="86"/>
      <c r="F131" s="86"/>
      <c r="G131" s="86"/>
      <c r="H131" s="86"/>
      <c r="I131" s="86"/>
    </row>
    <row r="132" spans="2:9" x14ac:dyDescent="0.35">
      <c r="B132" s="85"/>
      <c r="C132" s="85"/>
      <c r="D132" s="85"/>
      <c r="E132" s="86"/>
      <c r="F132" s="86"/>
      <c r="G132" s="86"/>
      <c r="H132" s="86"/>
      <c r="I132" s="86"/>
    </row>
    <row r="133" spans="2:9" x14ac:dyDescent="0.35">
      <c r="B133" s="85"/>
      <c r="C133" s="85"/>
      <c r="D133" s="85"/>
      <c r="E133" s="86"/>
      <c r="F133" s="86"/>
      <c r="G133" s="86"/>
      <c r="H133" s="86"/>
      <c r="I133" s="86"/>
    </row>
    <row r="134" spans="2:9" x14ac:dyDescent="0.35">
      <c r="B134" s="85"/>
      <c r="C134" s="85"/>
      <c r="D134" s="85"/>
      <c r="E134" s="86"/>
      <c r="F134" s="86"/>
      <c r="G134" s="86"/>
      <c r="H134" s="86"/>
      <c r="I134" s="86"/>
    </row>
    <row r="135" spans="2:9" x14ac:dyDescent="0.35">
      <c r="B135" s="85"/>
      <c r="C135" s="85"/>
      <c r="D135" s="85"/>
      <c r="E135" s="86"/>
      <c r="F135" s="86"/>
      <c r="G135" s="86"/>
      <c r="H135" s="86"/>
      <c r="I135" s="86"/>
    </row>
    <row r="136" spans="2:9" x14ac:dyDescent="0.35">
      <c r="B136" s="85"/>
      <c r="C136" s="85"/>
      <c r="D136" s="85"/>
      <c r="E136" s="86"/>
      <c r="F136" s="86"/>
      <c r="G136" s="86"/>
      <c r="H136" s="86"/>
      <c r="I136" s="86"/>
    </row>
    <row r="137" spans="2:9" x14ac:dyDescent="0.35">
      <c r="B137" s="85"/>
      <c r="C137" s="85"/>
      <c r="D137" s="85"/>
      <c r="E137" s="86"/>
      <c r="F137" s="86"/>
      <c r="G137" s="86"/>
      <c r="H137" s="86"/>
      <c r="I137" s="86"/>
    </row>
    <row r="138" spans="2:9" x14ac:dyDescent="0.35">
      <c r="B138" s="85"/>
      <c r="C138" s="85"/>
      <c r="D138" s="85"/>
      <c r="E138" s="86"/>
      <c r="F138" s="86"/>
      <c r="G138" s="86"/>
      <c r="H138" s="86"/>
      <c r="I138" s="86"/>
    </row>
    <row r="139" spans="2:9" x14ac:dyDescent="0.35">
      <c r="B139" s="85"/>
      <c r="C139" s="85"/>
      <c r="D139" s="85"/>
      <c r="E139" s="86"/>
      <c r="F139" s="86"/>
      <c r="G139" s="86"/>
      <c r="H139" s="86"/>
      <c r="I139" s="86"/>
    </row>
    <row r="140" spans="2:9" x14ac:dyDescent="0.35">
      <c r="B140" s="85"/>
      <c r="C140" s="85"/>
      <c r="D140" s="85"/>
      <c r="E140" s="86"/>
      <c r="F140" s="86"/>
      <c r="G140" s="86"/>
      <c r="H140" s="86"/>
      <c r="I140" s="86"/>
    </row>
    <row r="141" spans="2:9" x14ac:dyDescent="0.35">
      <c r="B141" s="85"/>
      <c r="C141" s="85"/>
      <c r="D141" s="85"/>
      <c r="E141" s="86"/>
      <c r="F141" s="86"/>
      <c r="G141" s="86"/>
      <c r="H141" s="86"/>
      <c r="I141" s="86"/>
    </row>
    <row r="142" spans="2:9" x14ac:dyDescent="0.35">
      <c r="B142" s="85"/>
      <c r="C142" s="85"/>
      <c r="D142" s="85"/>
      <c r="E142" s="86"/>
      <c r="F142" s="86"/>
      <c r="G142" s="86"/>
      <c r="H142" s="86"/>
      <c r="I142" s="86"/>
    </row>
    <row r="143" spans="2:9" x14ac:dyDescent="0.35">
      <c r="B143" s="85"/>
      <c r="C143" s="85"/>
      <c r="D143" s="85"/>
      <c r="E143" s="86"/>
      <c r="F143" s="86"/>
      <c r="G143" s="86"/>
      <c r="H143" s="86"/>
      <c r="I143" s="86"/>
    </row>
    <row r="144" spans="2:9" x14ac:dyDescent="0.35">
      <c r="B144" s="85"/>
      <c r="C144" s="85"/>
      <c r="D144" s="85"/>
      <c r="E144" s="86"/>
      <c r="F144" s="86"/>
      <c r="G144" s="86"/>
      <c r="H144" s="86"/>
      <c r="I144" s="86"/>
    </row>
    <row r="145" spans="2:9" x14ac:dyDescent="0.35">
      <c r="B145" s="85"/>
      <c r="C145" s="85"/>
      <c r="D145" s="85"/>
      <c r="E145" s="86"/>
      <c r="F145" s="86"/>
      <c r="G145" s="86"/>
      <c r="H145" s="86"/>
      <c r="I145" s="86"/>
    </row>
    <row r="146" spans="2:9" x14ac:dyDescent="0.35">
      <c r="B146" s="85"/>
      <c r="C146" s="85"/>
      <c r="D146" s="85"/>
      <c r="E146" s="86"/>
      <c r="F146" s="86"/>
      <c r="G146" s="86"/>
      <c r="H146" s="86"/>
      <c r="I146" s="86"/>
    </row>
    <row r="147" spans="2:9" x14ac:dyDescent="0.35">
      <c r="B147" s="85"/>
      <c r="C147" s="85"/>
      <c r="D147" s="85"/>
      <c r="E147" s="86"/>
      <c r="F147" s="86"/>
      <c r="G147" s="86"/>
      <c r="H147" s="86"/>
      <c r="I147" s="86"/>
    </row>
    <row r="148" spans="2:9" x14ac:dyDescent="0.35">
      <c r="B148" s="85"/>
      <c r="C148" s="85"/>
      <c r="D148" s="85"/>
      <c r="E148" s="86"/>
      <c r="F148" s="86"/>
      <c r="G148" s="86"/>
      <c r="H148" s="86"/>
      <c r="I148" s="86"/>
    </row>
    <row r="149" spans="2:9" x14ac:dyDescent="0.35">
      <c r="B149" s="85"/>
      <c r="C149" s="85"/>
      <c r="D149" s="85"/>
      <c r="E149" s="86"/>
      <c r="F149" s="86"/>
      <c r="G149" s="86"/>
      <c r="H149" s="86"/>
      <c r="I149" s="86"/>
    </row>
    <row r="150" spans="2:9" x14ac:dyDescent="0.35">
      <c r="B150" s="85"/>
      <c r="C150" s="85"/>
      <c r="D150" s="85"/>
      <c r="E150" s="86"/>
      <c r="F150" s="86"/>
      <c r="G150" s="86"/>
      <c r="H150" s="86"/>
      <c r="I150" s="86"/>
    </row>
    <row r="151" spans="2:9" x14ac:dyDescent="0.35">
      <c r="B151" s="85"/>
      <c r="C151" s="85"/>
      <c r="D151" s="85"/>
      <c r="E151" s="86"/>
      <c r="F151" s="86"/>
      <c r="G151" s="86"/>
      <c r="H151" s="86"/>
      <c r="I151" s="86"/>
    </row>
    <row r="152" spans="2:9" x14ac:dyDescent="0.35">
      <c r="B152" s="85"/>
      <c r="C152" s="85"/>
      <c r="D152" s="85"/>
      <c r="E152" s="86"/>
      <c r="F152" s="86"/>
      <c r="G152" s="86"/>
      <c r="H152" s="86"/>
      <c r="I152" s="86"/>
    </row>
    <row r="153" spans="2:9" x14ac:dyDescent="0.35">
      <c r="B153" s="85"/>
      <c r="C153" s="85"/>
      <c r="D153" s="85"/>
      <c r="E153" s="86"/>
      <c r="F153" s="86"/>
      <c r="G153" s="86"/>
      <c r="H153" s="86"/>
      <c r="I153" s="86"/>
    </row>
    <row r="154" spans="2:9" x14ac:dyDescent="0.35">
      <c r="B154" s="85"/>
      <c r="C154" s="85"/>
      <c r="D154" s="85"/>
      <c r="E154" s="86"/>
      <c r="F154" s="86"/>
      <c r="G154" s="86"/>
      <c r="H154" s="86"/>
      <c r="I154" s="86"/>
    </row>
    <row r="155" spans="2:9" x14ac:dyDescent="0.35">
      <c r="B155" s="98"/>
      <c r="C155" s="98"/>
      <c r="D155" s="98"/>
      <c r="E155" s="99"/>
      <c r="F155" s="99"/>
      <c r="G155" s="99"/>
      <c r="H155" s="99"/>
      <c r="I155" s="99"/>
    </row>
    <row r="156" spans="2:9" x14ac:dyDescent="0.35">
      <c r="B156" s="98"/>
      <c r="C156" s="98"/>
      <c r="D156" s="98"/>
      <c r="E156" s="99"/>
      <c r="F156" s="99"/>
      <c r="G156" s="99"/>
      <c r="H156" s="99"/>
      <c r="I156" s="99"/>
    </row>
    <row r="157" spans="2:9" x14ac:dyDescent="0.35">
      <c r="B157" s="98"/>
      <c r="C157" s="98"/>
      <c r="D157" s="98"/>
      <c r="E157" s="99"/>
      <c r="F157" s="99"/>
      <c r="G157" s="99"/>
      <c r="H157" s="99"/>
      <c r="I157" s="99"/>
    </row>
    <row r="158" spans="2:9" x14ac:dyDescent="0.35">
      <c r="B158" s="98"/>
      <c r="C158" s="98"/>
      <c r="D158" s="98"/>
      <c r="E158" s="99"/>
      <c r="F158" s="99"/>
      <c r="G158" s="99"/>
      <c r="H158" s="99"/>
      <c r="I158" s="99"/>
    </row>
  </sheetData>
  <autoFilter ref="B8:H154" xr:uid="{90D6CD8A-7C56-4B85-AF15-7FD4E534061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V28"/>
  <sheetViews>
    <sheetView showGridLines="0" zoomScale="80" zoomScaleNormal="80" workbookViewId="0">
      <selection activeCell="C24" sqref="C24"/>
    </sheetView>
  </sheetViews>
  <sheetFormatPr defaultColWidth="0" defaultRowHeight="14.5" zeroHeight="1" x14ac:dyDescent="0.35"/>
  <cols>
    <col min="1" max="2" width="3.81640625" customWidth="1"/>
    <col min="3" max="5" width="18.54296875" customWidth="1"/>
    <col min="6" max="6" width="8.90625" customWidth="1"/>
    <col min="7" max="9" width="18.54296875" customWidth="1"/>
    <col min="10" max="10" width="8.90625" customWidth="1"/>
    <col min="11" max="13" width="18.54296875" customWidth="1"/>
    <col min="14" max="14" width="3.81640625" customWidth="1"/>
    <col min="15" max="22" width="0" hidden="1" customWidth="1"/>
    <col min="23" max="16384" width="8.90625" hidden="1"/>
  </cols>
  <sheetData>
    <row r="1" spans="1:14" x14ac:dyDescent="0.35">
      <c r="A1" s="66"/>
      <c r="B1" s="66"/>
      <c r="C1" s="66"/>
      <c r="D1" s="66"/>
      <c r="E1" s="66"/>
      <c r="F1" s="66"/>
      <c r="G1" s="66"/>
      <c r="H1" s="66"/>
      <c r="I1" s="66"/>
      <c r="J1" s="66"/>
      <c r="K1" s="66"/>
      <c r="L1" s="66"/>
      <c r="M1" s="66"/>
      <c r="N1" s="66"/>
    </row>
    <row r="2" spans="1:14" x14ac:dyDescent="0.35">
      <c r="A2" s="66"/>
      <c r="B2" s="66"/>
      <c r="C2" s="66"/>
      <c r="D2" s="66"/>
      <c r="E2" s="66"/>
      <c r="F2" s="66"/>
      <c r="G2" s="66"/>
      <c r="H2" s="66"/>
      <c r="I2" s="66"/>
      <c r="J2" s="66"/>
      <c r="K2" s="66"/>
      <c r="L2" s="66"/>
      <c r="M2" s="66"/>
      <c r="N2" s="66"/>
    </row>
    <row r="3" spans="1:14" x14ac:dyDescent="0.35">
      <c r="A3" s="66"/>
      <c r="B3" s="66"/>
      <c r="C3" s="66"/>
      <c r="D3" s="66"/>
      <c r="E3" s="66"/>
      <c r="F3" s="66"/>
      <c r="G3" s="66"/>
      <c r="H3" s="66"/>
      <c r="I3" s="66"/>
      <c r="J3" s="66"/>
      <c r="K3" s="66"/>
      <c r="L3" s="66"/>
      <c r="M3" s="66"/>
      <c r="N3" s="66"/>
    </row>
    <row r="4" spans="1:14" ht="3" customHeight="1" x14ac:dyDescent="0.35">
      <c r="A4" s="67"/>
      <c r="B4" s="67"/>
      <c r="C4" s="67"/>
      <c r="D4" s="67"/>
      <c r="E4" s="67"/>
      <c r="F4" s="67"/>
      <c r="G4" s="67"/>
      <c r="H4" s="67"/>
      <c r="I4" s="67"/>
      <c r="J4" s="67"/>
      <c r="K4" s="67"/>
      <c r="L4" s="67"/>
      <c r="M4" s="67"/>
      <c r="N4" s="67"/>
    </row>
    <row r="5" spans="1:14" x14ac:dyDescent="0.35">
      <c r="A5" s="68"/>
      <c r="B5" s="68"/>
      <c r="C5" s="68"/>
      <c r="D5" s="68"/>
      <c r="E5" s="68"/>
      <c r="F5" s="68"/>
      <c r="G5" s="68"/>
      <c r="H5" s="68"/>
      <c r="I5" s="68"/>
      <c r="J5" s="68"/>
      <c r="K5" s="68"/>
      <c r="L5" s="68"/>
      <c r="M5" s="68"/>
      <c r="N5" s="68"/>
    </row>
    <row r="6" spans="1:14" ht="15" thickBot="1" x14ac:dyDescent="0.4">
      <c r="A6" s="68"/>
      <c r="B6" s="69" t="s">
        <v>317</v>
      </c>
      <c r="C6" s="69"/>
      <c r="D6" s="70"/>
      <c r="E6" s="70"/>
      <c r="F6" s="70"/>
      <c r="G6" s="70"/>
      <c r="H6" s="70"/>
      <c r="I6" s="70"/>
      <c r="J6" s="70"/>
      <c r="K6" s="70"/>
      <c r="L6" s="70"/>
      <c r="M6" s="70"/>
    </row>
    <row r="7" spans="1:14" x14ac:dyDescent="0.35">
      <c r="A7" s="68"/>
      <c r="B7" s="68"/>
      <c r="C7" s="68"/>
      <c r="D7" s="68"/>
      <c r="E7" s="68"/>
      <c r="F7" s="68"/>
      <c r="G7" s="68"/>
    </row>
    <row r="8" spans="1:14" x14ac:dyDescent="0.35">
      <c r="A8" s="68"/>
      <c r="B8" s="68"/>
      <c r="C8" s="102" t="s">
        <v>10</v>
      </c>
      <c r="D8" s="68"/>
      <c r="E8" s="68"/>
      <c r="F8" s="68"/>
      <c r="G8" s="68"/>
    </row>
    <row r="9" spans="1:14" x14ac:dyDescent="0.35">
      <c r="A9" s="68"/>
      <c r="B9" s="68"/>
      <c r="C9" s="102" t="s">
        <v>353</v>
      </c>
      <c r="D9" s="68"/>
      <c r="E9" s="68"/>
      <c r="F9" s="68"/>
      <c r="G9" s="102" t="s">
        <v>354</v>
      </c>
      <c r="K9" s="102" t="s">
        <v>355</v>
      </c>
    </row>
    <row r="10" spans="1:14" x14ac:dyDescent="0.35">
      <c r="A10" s="68"/>
      <c r="B10" s="68"/>
      <c r="C10" s="68"/>
      <c r="D10" s="68"/>
      <c r="E10" s="68"/>
      <c r="F10" s="68"/>
    </row>
    <row r="11" spans="1:14" x14ac:dyDescent="0.35">
      <c r="C11" s="84" t="s">
        <v>356</v>
      </c>
      <c r="D11" s="84" t="s">
        <v>357</v>
      </c>
      <c r="E11" s="84" t="s">
        <v>358</v>
      </c>
      <c r="G11" s="84" t="s">
        <v>356</v>
      </c>
      <c r="H11" s="84" t="s">
        <v>357</v>
      </c>
      <c r="I11" s="84" t="s">
        <v>358</v>
      </c>
      <c r="K11" s="84" t="b">
        <f t="shared" ref="K11:M13" si="0">+C11=G11</f>
        <v>1</v>
      </c>
      <c r="L11" s="84" t="b">
        <f t="shared" si="0"/>
        <v>1</v>
      </c>
      <c r="M11" s="84" t="b">
        <f t="shared" si="0"/>
        <v>1</v>
      </c>
    </row>
    <row r="12" spans="1:14" x14ac:dyDescent="0.35">
      <c r="C12" s="86" t="s">
        <v>359</v>
      </c>
      <c r="D12" s="86" t="s">
        <v>360</v>
      </c>
      <c r="E12" s="86" t="s">
        <v>361</v>
      </c>
      <c r="G12" s="86" t="s">
        <v>359</v>
      </c>
      <c r="H12" s="86" t="s">
        <v>360</v>
      </c>
      <c r="I12" s="86" t="s">
        <v>361</v>
      </c>
      <c r="K12" s="103" t="b">
        <f t="shared" si="0"/>
        <v>1</v>
      </c>
      <c r="L12" s="103" t="b">
        <f t="shared" si="0"/>
        <v>1</v>
      </c>
      <c r="M12" s="103" t="b">
        <f t="shared" si="0"/>
        <v>1</v>
      </c>
    </row>
    <row r="13" spans="1:14" x14ac:dyDescent="0.35">
      <c r="C13" s="86" t="s">
        <v>359</v>
      </c>
      <c r="D13" s="86" t="s">
        <v>360</v>
      </c>
      <c r="E13" s="86" t="s">
        <v>361</v>
      </c>
      <c r="G13" s="86" t="s">
        <v>359</v>
      </c>
      <c r="H13" s="86" t="s">
        <v>360</v>
      </c>
      <c r="I13" s="86" t="s">
        <v>361</v>
      </c>
      <c r="K13" s="103" t="b">
        <f t="shared" si="0"/>
        <v>1</v>
      </c>
      <c r="L13" s="103" t="b">
        <f t="shared" si="0"/>
        <v>1</v>
      </c>
      <c r="M13" s="103" t="b">
        <f t="shared" si="0"/>
        <v>1</v>
      </c>
    </row>
    <row r="14" spans="1:14" x14ac:dyDescent="0.35"/>
    <row r="15" spans="1:14" x14ac:dyDescent="0.35">
      <c r="C15" s="102" t="s">
        <v>362</v>
      </c>
    </row>
    <row r="16" spans="1:14" x14ac:dyDescent="0.35">
      <c r="A16" s="68"/>
      <c r="B16" s="68"/>
      <c r="C16" s="102" t="s">
        <v>353</v>
      </c>
      <c r="D16" s="68"/>
      <c r="E16" s="68"/>
      <c r="F16" s="68"/>
      <c r="G16" s="102" t="s">
        <v>354</v>
      </c>
      <c r="K16" s="102" t="s">
        <v>355</v>
      </c>
    </row>
    <row r="17" spans="1:13" x14ac:dyDescent="0.35">
      <c r="C17" s="102"/>
    </row>
    <row r="18" spans="1:13" x14ac:dyDescent="0.35">
      <c r="C18" s="84" t="s">
        <v>356</v>
      </c>
      <c r="D18" s="84" t="s">
        <v>357</v>
      </c>
      <c r="E18" s="84" t="s">
        <v>358</v>
      </c>
      <c r="G18" s="84" t="s">
        <v>356</v>
      </c>
      <c r="H18" s="84" t="s">
        <v>357</v>
      </c>
      <c r="I18" s="84" t="s">
        <v>358</v>
      </c>
      <c r="K18" s="84" t="b">
        <f t="shared" ref="K18:M20" si="1">+C18=G18</f>
        <v>1</v>
      </c>
      <c r="L18" s="84" t="b">
        <f t="shared" si="1"/>
        <v>1</v>
      </c>
      <c r="M18" s="84" t="b">
        <f t="shared" si="1"/>
        <v>1</v>
      </c>
    </row>
    <row r="19" spans="1:13" x14ac:dyDescent="0.35">
      <c r="C19" s="86" t="s">
        <v>359</v>
      </c>
      <c r="D19" s="86" t="s">
        <v>360</v>
      </c>
      <c r="E19" s="86" t="s">
        <v>361</v>
      </c>
      <c r="G19" s="86" t="s">
        <v>359</v>
      </c>
      <c r="H19" s="86" t="s">
        <v>360</v>
      </c>
      <c r="I19" s="86" t="s">
        <v>361</v>
      </c>
      <c r="K19" s="103" t="b">
        <f t="shared" si="1"/>
        <v>1</v>
      </c>
      <c r="L19" s="103" t="b">
        <f t="shared" si="1"/>
        <v>1</v>
      </c>
      <c r="M19" s="103" t="b">
        <f t="shared" si="1"/>
        <v>1</v>
      </c>
    </row>
    <row r="20" spans="1:13" x14ac:dyDescent="0.35">
      <c r="C20" s="86" t="s">
        <v>359</v>
      </c>
      <c r="D20" s="86" t="s">
        <v>360</v>
      </c>
      <c r="E20" s="86" t="s">
        <v>361</v>
      </c>
      <c r="G20" s="86" t="s">
        <v>359</v>
      </c>
      <c r="H20" s="86" t="s">
        <v>360</v>
      </c>
      <c r="I20" s="86" t="s">
        <v>361</v>
      </c>
      <c r="K20" s="103" t="b">
        <f t="shared" si="1"/>
        <v>1</v>
      </c>
      <c r="L20" s="103" t="b">
        <f t="shared" si="1"/>
        <v>1</v>
      </c>
      <c r="M20" s="103" t="b">
        <f t="shared" si="1"/>
        <v>1</v>
      </c>
    </row>
    <row r="21" spans="1:13" x14ac:dyDescent="0.35"/>
    <row r="22" spans="1:13" x14ac:dyDescent="0.35">
      <c r="A22" s="68"/>
      <c r="B22" s="68"/>
      <c r="C22" s="102" t="s">
        <v>12</v>
      </c>
      <c r="D22" s="68"/>
      <c r="E22" s="68"/>
      <c r="F22" s="68"/>
      <c r="G22" s="68"/>
    </row>
    <row r="23" spans="1:13" x14ac:dyDescent="0.35">
      <c r="A23" s="68"/>
      <c r="B23" s="68"/>
      <c r="C23" s="102" t="s">
        <v>353</v>
      </c>
      <c r="D23" s="68"/>
      <c r="E23" s="68"/>
      <c r="F23" s="68"/>
      <c r="G23" s="102" t="s">
        <v>354</v>
      </c>
      <c r="K23" s="102" t="s">
        <v>355</v>
      </c>
    </row>
    <row r="24" spans="1:13" x14ac:dyDescent="0.35">
      <c r="A24" s="68"/>
      <c r="B24" s="68"/>
      <c r="C24" s="68"/>
      <c r="D24" s="68"/>
      <c r="E24" s="68"/>
      <c r="F24" s="68"/>
    </row>
    <row r="25" spans="1:13" x14ac:dyDescent="0.35">
      <c r="C25" s="84" t="s">
        <v>356</v>
      </c>
      <c r="D25" s="84" t="s">
        <v>357</v>
      </c>
      <c r="E25" s="84" t="s">
        <v>358</v>
      </c>
      <c r="G25" s="84" t="s">
        <v>356</v>
      </c>
      <c r="H25" s="84" t="s">
        <v>357</v>
      </c>
      <c r="I25" s="84" t="s">
        <v>358</v>
      </c>
      <c r="K25" s="84" t="b">
        <f t="shared" ref="K25:M27" si="2">+C25=G25</f>
        <v>1</v>
      </c>
      <c r="L25" s="84" t="b">
        <f t="shared" si="2"/>
        <v>1</v>
      </c>
      <c r="M25" s="84" t="b">
        <f t="shared" si="2"/>
        <v>1</v>
      </c>
    </row>
    <row r="26" spans="1:13" x14ac:dyDescent="0.35">
      <c r="C26" s="86" t="s">
        <v>359</v>
      </c>
      <c r="D26" s="86" t="s">
        <v>360</v>
      </c>
      <c r="E26" s="86" t="s">
        <v>361</v>
      </c>
      <c r="G26" s="86" t="s">
        <v>359</v>
      </c>
      <c r="H26" s="86" t="s">
        <v>360</v>
      </c>
      <c r="I26" s="86" t="s">
        <v>361</v>
      </c>
      <c r="K26" s="103" t="b">
        <f t="shared" si="2"/>
        <v>1</v>
      </c>
      <c r="L26" s="103" t="b">
        <f t="shared" si="2"/>
        <v>1</v>
      </c>
      <c r="M26" s="103" t="b">
        <f t="shared" si="2"/>
        <v>1</v>
      </c>
    </row>
    <row r="27" spans="1:13" x14ac:dyDescent="0.35">
      <c r="C27" s="86" t="s">
        <v>359</v>
      </c>
      <c r="D27" s="86" t="s">
        <v>360</v>
      </c>
      <c r="E27" s="86" t="s">
        <v>361</v>
      </c>
      <c r="G27" s="86" t="s">
        <v>359</v>
      </c>
      <c r="H27" s="86" t="s">
        <v>360</v>
      </c>
      <c r="I27" s="86" t="s">
        <v>361</v>
      </c>
      <c r="K27" s="103" t="b">
        <f t="shared" si="2"/>
        <v>1</v>
      </c>
      <c r="L27" s="103" t="b">
        <f t="shared" si="2"/>
        <v>1</v>
      </c>
      <c r="M27" s="103" t="b">
        <f t="shared" si="2"/>
        <v>1</v>
      </c>
    </row>
    <row r="28" spans="1:13" x14ac:dyDescent="0.35"/>
  </sheetData>
  <conditionalFormatting sqref="K11:M13">
    <cfRule type="cellIs" dxfId="2" priority="4" operator="equal">
      <formula>TRUE</formula>
    </cfRule>
  </conditionalFormatting>
  <conditionalFormatting sqref="K18:M20">
    <cfRule type="cellIs" dxfId="1" priority="3" operator="equal">
      <formula>TRUE</formula>
    </cfRule>
  </conditionalFormatting>
  <conditionalFormatting sqref="K25:M27">
    <cfRule type="cellIs" dxfId="0" priority="1" operator="equal">
      <formula>TRUE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7F4701B-63D8-42E7-92B9-2A50268EA1D6}"/>
</file>

<file path=customXml/itemProps3.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Instruções</vt:lpstr>
      <vt:lpstr>Param_RefDate</vt:lpstr>
      <vt:lpstr>1. Dashboard</vt:lpstr>
      <vt:lpstr>2. Inputs --&gt;</vt:lpstr>
      <vt:lpstr>Query1</vt:lpstr>
      <vt:lpstr>2.1. Regulamentares</vt:lpstr>
      <vt:lpstr>2.2. Outros</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Nuno Miguel Rocha Ferreira</cp:lastModifiedBy>
  <dcterms:created xsi:type="dcterms:W3CDTF">2025-11-28T00:22:37Z</dcterms:created>
  <dcterms:modified xsi:type="dcterms:W3CDTF">2025-12-16T09:53:43Z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