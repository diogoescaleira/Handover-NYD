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TestesBail-In/Shared Documents/Geral/05. Ficheiro ODBC/"/>
    </mc:Choice>
  </mc:AlternateContent>
  <xr:revisionPtr revIDLastSave="9" documentId="13_ncr:1_{EEDA2D26-9342-42A8-A662-A01134969223}" xr6:coauthVersionLast="47" xr6:coauthVersionMax="47" xr10:uidLastSave="{0AA846B4-5018-4621-87BE-5CE53C933A37}"/>
  <bookViews>
    <workbookView xWindow="-96" yWindow="-96" windowWidth="23232" windowHeight="12432" tabRatio="582" activeTab="3" xr2:uid="{00000000-000D-0000-FFFF-FFFF00000000}"/>
  </bookViews>
  <sheets>
    <sheet name="Instrucoes" sheetId="613" r:id="rId1"/>
    <sheet name="Resumo" sheetId="185" r:id="rId2"/>
    <sheet name="Template" sheetId="67" state="veryHidden" r:id="rId3"/>
    <sheet name="Caracteristicas_Controlos" sheetId="186" r:id="rId4"/>
    <sheet name="MBI_KPI_48" sheetId="684" r:id="rId5"/>
  </sheets>
  <definedNames>
    <definedName name="Query_from_Impala_PRO" localSheetId="3" hidden="1">Caracteristicas_Controlos!#REF!</definedName>
    <definedName name="Query_from_Impala_PRO" localSheetId="0" hidden="1">Instrucoes!$C$17:$D$18</definedName>
    <definedName name="Query_from_Impala_PRO" localSheetId="4" hidden="1">MBI_KPI_48!#REF!</definedName>
    <definedName name="Query_from_Impala_PRO" localSheetId="1" hidden="1">Resumo!#REF!</definedName>
    <definedName name="Query_from_Impala_PRO" localSheetId="2" hidden="1">Template!#REF!</definedName>
    <definedName name="Query_from_Impala_PRO_1" localSheetId="3" hidden="1">Caracteristicas_Controlos!$B$9:$AQ$157</definedName>
    <definedName name="Query_from_Impala_PRO_1" localSheetId="0" hidden="1">Instrucoes!#REF!</definedName>
    <definedName name="Query_from_Impala_PRO_1" localSheetId="1" hidden="1">Resumo!$B$37:$L$39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8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Impala PRO" type="1" refreshedVersion="6" background="1" saveData="1">
    <dbPr connection="DSN=Impala PRO;" command="select ref_date, _x000d__x000a_count(cod_kpi) as numero_kpi_executados_x000d__x000a__x000d__x000a_from cd_controlos.ck800_kpi_param_x000d__x000a_where  ativo = 1 AND categ_teste in ('Bens Imóveis')_x000d__x000a_group by ref_date _x000d__x000a_order by ref_date desc_x000d__x000a_limit 5"/>
  </connection>
  <connection id="2" xr16:uid="{00000000-0015-0000-FFFF-FFFF01000000}" name="Query from Impala PRO11" type="1" refreshedVersion="8" background="1" saveData="1">
    <dbPr connection="DSN=Impala PRO;USEONLYSSPI_DSN-LESS=;" command="SELECT DISTINCT _x000d__x000a_a.dado_base, a.cod_kpi, a.desc_kpi, a.criticidade, a.tipo_kpi_desc as tipo_kpi, b.num_reg_ok as numero_ok, b.num_reg_nok as numero_nok, b.num_reg_tot as numero_total, _x000d__x000a_ROUND(if(b.num_reg_tot &lt;&gt; 0, b.num_reg_nok/ b.num_reg_tot, 0),10) as percentagem_nok,_x000d__x000a_(case when b.resultado is null then 'ERRO' else upper(b.resultado) end) as resultado_x000d__x000a__x000d__x000a_FROM_x000d__x000a__x000d__x000a_(_x000d__x000a_SELECT *,_x000d__x000a_(case when  tipo_kpi = 1 then 'Preenchimento'_x000d__x000a_          when tipo_kpi = 2 then 'Formato'_x000d__x000a_          when tipo_kpi = 3 then 'Catalogo'_x000d__x000a_          when tipo_kpi = 4 then 'Integridade'_x000d__x000a_          when tipo_kpi= 5 then 'Unicidade'_x000d__x000a_          when tipo_kpi = 6 then 'Variacao'_x000d__x000a_          else '' end) as tipo_kpi_desc_x000d__x000a__x000d__x000a_FROM cd_controlos.ck800_kpi_param_x000d__x000a_WHERE (ref_date=?) AND (categ_teste in ('Bens Imóveis'))  AND ativo = 1 and status = 1_x000d__x000a_) a_x000d__x000a_INNER JOIN  _x000d__x000a_(_x000d__x000a_SELECT * FROM cd_controlos.ck002_resultados _x000d__x000a_WHERE (ref_date=?)_x000d__x000a_and flag_oficial = 1_x000d__x000a_)b_x000d__x000a__x000d__x000a_ON a.cod_kpi = b.cod_kpi _x000d__x000a_and a.data_execucao  = b.data_execucao"/>
    <parameters count="4">
      <parameter name="Parameter1" sqlType="12" parameterType="cell" cell="Resumo!$C$10"/>
      <parameter name="Parameter2" parameterType="cell" cell="Resumo!$C$10"/>
      <parameter name="Parameter3"/>
      <parameter name="Parameter4" prompt="Parameter4"/>
    </parameters>
  </connection>
  <connection id="3" xr16:uid="{00000000-0015-0000-FFFF-FFFF02000000}" name="Query from Impala PRO21" type="1" refreshedVersion="8" background="1" saveData="1">
    <dbPr connection="DSN=Impala PRO;USEONLYSSPI_DSN-LESS=;" command="SELECT a.*,_x000d__x000a_        c.alrt_amarelo, c.alrt_laranja, c.alrt_vermelho ,_x000d__x000a_       b.num_reg_ok,_x000d__x000a_       b.num_reg_nok,_x000d__x000a_       b.num_reg_tot,_x000d__x000a_       b.resultado_x000d__x000a_FROM_x000d__x000a_  (SELECT *_x000d__x000a_   FROM cd_controlos.ck800_kpi_param as ck800_kpi_param_x000d__x000a_   WHERE (ck800_kpi_param.ref_date= ? )_x000d__x000a_     AND (categ_teste IN ('Bens Imóveis'))_x000d__x000a_     AND ativo = 1 ) a_x000d__x000a_LEFT JOIN_x000d__x000a_  (SELECT *_x000d__x000a_   FROM cd_controlos.ck002_resultados_x000d__x000a_   WHERE ref_date = ? _x000d__x000a_   and flag_oficial = 1_x000d__x000a_   ) b ON a.cod_kpi = b.cod_kpi_x000d__x000a_AND a.data_execucao = b.data_execucao_x000d__x000a_LEFT JOIN_x000d__x000a_    (_x000d__x000a_        select * from cd_controlos.ck810_cat_alertas_x000d__x000a_        _x000d__x000a_    ) c_x000d__x000a_        on c.tipo_alerta = a.tipo_alerta_x000d__x000a_           AND a.data_execucao = c.data_execucao"/>
    <parameters count="3">
      <parameter name="Parameter1" sqlType="12" parameterType="cell" cell="Resumo!$C$10"/>
      <parameter name="Parameter2" parameterType="cell" cell="Resumo!$C$10"/>
      <parameter name="Parameter3"/>
    </parameters>
  </connection>
</connections>
</file>

<file path=xl/sharedStrings.xml><?xml version="1.0" encoding="utf-8"?>
<sst xmlns="http://schemas.openxmlformats.org/spreadsheetml/2006/main" count="3222" uniqueCount="483">
  <si>
    <t>cod_kpi</t>
  </si>
  <si>
    <t>num_reg_ok</t>
  </si>
  <si>
    <t>num_reg_nok</t>
  </si>
  <si>
    <t>num_reg_tot</t>
  </si>
  <si>
    <t>resultado</t>
  </si>
  <si>
    <t>LARANJA</t>
  </si>
  <si>
    <t>AMARELO</t>
  </si>
  <si>
    <t>Resumo Agregado dos Controlos</t>
  </si>
  <si>
    <t>Resumo por Controlo</t>
  </si>
  <si>
    <t>Resultado do Controlo</t>
  </si>
  <si>
    <t>OK</t>
  </si>
  <si>
    <t>VERMELHO</t>
  </si>
  <si>
    <t>ERRO</t>
  </si>
  <si>
    <t>SEM DADOS</t>
  </si>
  <si>
    <t>TOTAL</t>
  </si>
  <si>
    <t>Num Controlos</t>
  </si>
  <si>
    <t>% Controlos</t>
  </si>
  <si>
    <t>Parametrização dos Controlos</t>
  </si>
  <si>
    <t>Consultar_Detalhe</t>
  </si>
  <si>
    <t>dado_base</t>
  </si>
  <si>
    <t>criticidade</t>
  </si>
  <si>
    <t>tipo_kpi</t>
  </si>
  <si>
    <t>desc_kpi</t>
  </si>
  <si>
    <t>numero_ok</t>
  </si>
  <si>
    <t>numero_nok</t>
  </si>
  <si>
    <t>numero_total</t>
  </si>
  <si>
    <t>Stock</t>
  </si>
  <si>
    <t>categ_teste</t>
  </si>
  <si>
    <t>sub_categ_teste</t>
  </si>
  <si>
    <t>ativo</t>
  </si>
  <si>
    <t>fonte_externa</t>
  </si>
  <si>
    <t>ambito</t>
  </si>
  <si>
    <t>repositorio</t>
  </si>
  <si>
    <t>periodicidade</t>
  </si>
  <si>
    <t>dia_exec</t>
  </si>
  <si>
    <t>tipo_exec</t>
  </si>
  <si>
    <t>universo_tbl</t>
  </si>
  <si>
    <t>desc_universo_tbl</t>
  </si>
  <si>
    <t>universo_cond_sql</t>
  </si>
  <si>
    <t>kpi_cond_sql</t>
  </si>
  <si>
    <t>catal_campo_orig</t>
  </si>
  <si>
    <t>catal_tbl_ref</t>
  </si>
  <si>
    <t>catal_campo_ref</t>
  </si>
  <si>
    <t>catal_filtro</t>
  </si>
  <si>
    <t>campos_agreg</t>
  </si>
  <si>
    <t>cond_agreg</t>
  </si>
  <si>
    <t>variacao_num_periodos</t>
  </si>
  <si>
    <t>alrt_amarelo</t>
  </si>
  <si>
    <t>alrt_laranja</t>
  </si>
  <si>
    <t>alrt_vermelho</t>
  </si>
  <si>
    <t>htimest</t>
  </si>
  <si>
    <t>ckutulmo</t>
  </si>
  <si>
    <t>ref_date</t>
  </si>
  <si>
    <t>cod_visao</t>
  </si>
  <si>
    <t>percentagem_nok</t>
  </si>
  <si>
    <t>identificador</t>
  </si>
  <si>
    <t>campos_chave</t>
  </si>
  <si>
    <t>campos_inval</t>
  </si>
  <si>
    <t>Detalhe</t>
  </si>
  <si>
    <t>Resumo</t>
  </si>
  <si>
    <t>Procedimento</t>
  </si>
  <si>
    <t xml:space="preserve">1. Inserir data de referência </t>
  </si>
  <si>
    <t>2. Definir Universo</t>
  </si>
  <si>
    <t xml:space="preserve">     Formato Data Lake</t>
  </si>
  <si>
    <t>Instruções</t>
  </si>
  <si>
    <t>Procedimento de atualização e extração de informação</t>
  </si>
  <si>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O Detalhe de cada incidência está limitado a 20.000 registos.</t>
    </r>
  </si>
  <si>
    <t>numero_kpi_executados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</si>
  <si>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Selecionar a data pretendida na </t>
    </r>
    <r>
      <rPr>
        <i/>
        <sz val="11"/>
        <color theme="1"/>
        <rFont val="Calibri"/>
        <family val="2"/>
        <scheme val="minor"/>
      </rPr>
      <t>sheet</t>
    </r>
    <r>
      <rPr>
        <sz val="11"/>
        <color theme="1"/>
        <rFont val="Calibri"/>
        <family val="2"/>
        <scheme val="minor"/>
      </rPr>
      <t xml:space="preserve"> "Resumo". </t>
    </r>
  </si>
  <si>
    <t>Sugestão de datas: na tabela abaixo encontram-se as datas das últimas 5 execuções. Atualizar as últimas datas:</t>
  </si>
  <si>
    <t>2. Apagar Informação anterior</t>
  </si>
  <si>
    <t>3. Gerar Resumo</t>
  </si>
  <si>
    <t>4. Gerar Detalhe de Incidências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</si>
  <si>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Apagar a informação gerada pela macro anteriormente, de modo a evitar interferência com a geração dos novos dados.</t>
    </r>
  </si>
  <si>
    <r>
      <rPr>
        <b/>
        <sz val="11"/>
        <color theme="1"/>
        <rFont val="Calibri"/>
        <family val="2"/>
        <scheme val="minor"/>
      </rPr>
      <t>3)</t>
    </r>
    <r>
      <rPr>
        <sz val="11"/>
        <color theme="1"/>
        <rFont val="Calibri"/>
        <family val="2"/>
        <scheme val="minor"/>
      </rPr>
      <t xml:space="preserve"> Gerar tabelas resumo com resultados dos controlos. As tabelas serão visíveis na </t>
    </r>
    <r>
      <rPr>
        <i/>
        <sz val="11"/>
        <color theme="1"/>
        <rFont val="Calibri"/>
        <family val="2"/>
        <scheme val="minor"/>
      </rPr>
      <t>sheet</t>
    </r>
    <r>
      <rPr>
        <sz val="11"/>
        <color theme="1"/>
        <rFont val="Calibri"/>
        <family val="2"/>
        <scheme val="minor"/>
      </rPr>
      <t xml:space="preserve"> "Resumo".  Para obter maior detalhe das características de cada controlo, por favor consultar</t>
    </r>
    <r>
      <rPr>
        <i/>
        <sz val="11"/>
        <color theme="1"/>
        <rFont val="Calibri"/>
        <family val="2"/>
        <scheme val="minor"/>
      </rPr>
      <t xml:space="preserve"> sheet </t>
    </r>
    <r>
      <rPr>
        <sz val="11"/>
        <color theme="1"/>
        <rFont val="Calibri"/>
        <family val="2"/>
        <scheme val="minor"/>
      </rPr>
      <t>"Caracteristicas_Controlos".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</si>
  <si>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O Detalhe deve ser gerado apenas apos a atualização das tabelas resumo (ponto 4). Para cada controlo com alerta Vermelho, Laranja ou Amarelo será gerada uma nova </t>
    </r>
    <r>
      <rPr>
        <i/>
        <sz val="11"/>
        <color theme="1"/>
        <rFont val="Calibri"/>
        <family val="2"/>
        <scheme val="minor"/>
      </rPr>
      <t>sheet</t>
    </r>
    <r>
      <rPr>
        <sz val="11"/>
        <color theme="1"/>
        <rFont val="Calibri"/>
        <family val="2"/>
        <scheme val="minor"/>
      </rPr>
      <t xml:space="preserve"> com detalhe dos erros.</t>
    </r>
  </si>
  <si>
    <t>Variacao</t>
  </si>
  <si>
    <t>2022-11-03</t>
  </si>
  <si>
    <t>Unicidade</t>
  </si>
  <si>
    <t>A</t>
  </si>
  <si>
    <t>finalidade</t>
  </si>
  <si>
    <t>status</t>
  </si>
  <si>
    <t>contagem_agreg</t>
  </si>
  <si>
    <t>tipo_alerta</t>
  </si>
  <si>
    <t>data_execucao</t>
  </si>
  <si>
    <t>cod_agreg</t>
  </si>
  <si>
    <t>M</t>
  </si>
  <si>
    <t>servdlakep</t>
  </si>
  <si>
    <t>abs(%)&gt;2</t>
  </si>
  <si>
    <t>abs(%)&gt;10</t>
  </si>
  <si>
    <t>Variação</t>
  </si>
  <si>
    <t>count(*)</t>
  </si>
  <si>
    <t>abs(%)&gt;6</t>
  </si>
  <si>
    <t>abs(%)&gt;8</t>
  </si>
  <si>
    <t>abs(%)&gt;1</t>
  </si>
  <si>
    <t>BO</t>
  </si>
  <si>
    <t>Ok</t>
  </si>
  <si>
    <t>Local_68</t>
  </si>
  <si>
    <t>Corp_02</t>
  </si>
  <si>
    <t>abs(%)&gt;0.51</t>
  </si>
  <si>
    <t>Corp_00</t>
  </si>
  <si>
    <t>abs(%)&gt;0.006</t>
  </si>
  <si>
    <t>abs(%)&gt;0.05</t>
  </si>
  <si>
    <t>abs(%)&gt;0.056</t>
  </si>
  <si>
    <t>Vermelho</t>
  </si>
  <si>
    <t>Amarelo</t>
  </si>
  <si>
    <t>MA</t>
  </si>
  <si>
    <t>Corp_01</t>
  </si>
  <si>
    <t>abs(%)&gt;0.5</t>
  </si>
  <si>
    <t>abs(%)&gt;0.6</t>
  </si>
  <si>
    <t>cd_estruturais.tat91_tabelas</t>
  </si>
  <si>
    <t>31</t>
  </si>
  <si>
    <t>0000</t>
  </si>
  <si>
    <t>null</t>
  </si>
  <si>
    <t>Controlos Bens Imóveis</t>
  </si>
  <si>
    <t>Quality_score</t>
  </si>
  <si>
    <t>MBI_KPI_86</t>
  </si>
  <si>
    <t>Variação mensal do número de classificações estimadas (Quality_score diferente de '1-REAL' e '7-SIN DATOS')</t>
  </si>
  <si>
    <t>nr registos</t>
  </si>
  <si>
    <t>MBI_KPI_90</t>
  </si>
  <si>
    <t>Variação mensal do número de registos da tabela business_assets.process_property_rel</t>
  </si>
  <si>
    <t>EPC</t>
  </si>
  <si>
    <t>MBI_KPI_83</t>
  </si>
  <si>
    <t>Variação mensal de registos com EPC = B.</t>
  </si>
  <si>
    <t>MBI_KPI_88</t>
  </si>
  <si>
    <t>Variação mensal do número de registos da tabela business_assets.responsibility_process_rel</t>
  </si>
  <si>
    <t>MBI_KPI_84</t>
  </si>
  <si>
    <t>Variação mensal de registos com EPC = B-.</t>
  </si>
  <si>
    <t>MBI_KPI_91</t>
  </si>
  <si>
    <t>Variação mensal do número de registos da tabela business_assets.property</t>
  </si>
  <si>
    <t>PRIMARY_ENERGY_REQ_VALUE</t>
  </si>
  <si>
    <t>MBI_KPI_87</t>
  </si>
  <si>
    <t>Variação mensal do número imóveis com o campo PRIMARY_ENERGY_REQ_VALUE igual a NULL</t>
  </si>
  <si>
    <t>MBI_KPI_92</t>
  </si>
  <si>
    <t>Variação mensal do número de registos da tabela business_assets.property_energy_certificate</t>
  </si>
  <si>
    <t>MBI_KPI_82</t>
  </si>
  <si>
    <t>Variação mensal de registos com EPC = A.</t>
  </si>
  <si>
    <t>MBI_KPI_89</t>
  </si>
  <si>
    <t>Variação mensal do número de registos da tabela business_assets.process</t>
  </si>
  <si>
    <t>MBI_KPI_85</t>
  </si>
  <si>
    <t>Variação mensal do número de classificações reais (Quality_score = 1 - Real)</t>
  </si>
  <si>
    <t>MBI_KPI_81</t>
  </si>
  <si>
    <t>Variação mensal de registos com EPC = A+.</t>
  </si>
  <si>
    <t>Bens Imóveis</t>
  </si>
  <si>
    <t>business_assets.property_energy_certificate</t>
  </si>
  <si>
    <t>data_date_part = &amp;datareferencia and EPC = 'A+'</t>
  </si>
  <si>
    <t>CDO</t>
  </si>
  <si>
    <t>data_date_part = &amp;datareferencia and EPC = 'A'</t>
  </si>
  <si>
    <t>data_date_part = &amp;datareferencia and EPC = 'B'</t>
  </si>
  <si>
    <t>data_date_part = &amp;datareferencia and EPC = 'B-'</t>
  </si>
  <si>
    <t>data_date_part = &amp;datareferencia and quality_score = '1-REAL'</t>
  </si>
  <si>
    <t>data_date_part = &amp;datareferencia and quality_score not in ('1-REAL','7-SIN DATO')</t>
  </si>
  <si>
    <t>data_date_part = &amp;datareferencia and primary_energy_req_value is null</t>
  </si>
  <si>
    <t>business_assets.responsibility_process_rel</t>
  </si>
  <si>
    <t>Tabela de relação responsabilidade-processo</t>
  </si>
  <si>
    <t>data_date_part = &amp;datareferencia</t>
  </si>
  <si>
    <t>business_assets.process</t>
  </si>
  <si>
    <t>Tabela de processos</t>
  </si>
  <si>
    <t>business_assets.process_property_rel</t>
  </si>
  <si>
    <t>Tabela de relação processo-bem</t>
  </si>
  <si>
    <t>business_assets.property</t>
  </si>
  <si>
    <t>Tabela de bens imóveis</t>
  </si>
  <si>
    <t>property_type_code</t>
  </si>
  <si>
    <t>MBI_KPI_39</t>
  </si>
  <si>
    <t>construcion_year</t>
  </si>
  <si>
    <t>MBI_KPI_29</t>
  </si>
  <si>
    <t>Validar que o campo CONTSTRUCTION_YEAR corresponde ao ANOCONST mais recente associado a um bem da tabela GPT18_BENS.</t>
  </si>
  <si>
    <t>PROPERTY_BANK_ID PROPERTY_BRANCH_CODE PROPERTY_CONTRACT_ID PROPERTY_REFERENCE_CODE</t>
  </si>
  <si>
    <t>MBI_KPI_11</t>
  </si>
  <si>
    <t>PROCESS_BANK_ID, PROCESS_BRANCH_CODE, PROCESS_ACCOUNT_ID, PROCESS_REFERENCE_CODE</t>
  </si>
  <si>
    <t>MBI_KPI_13</t>
  </si>
  <si>
    <t>Validar que o processos que se econtram na tabela RESPONSIBILITY_PROCESS_REL também se encontram na tabela PROCESS.</t>
  </si>
  <si>
    <t>MBI_KPI_12</t>
  </si>
  <si>
    <t>última data de avaliação do bem</t>
  </si>
  <si>
    <t>emissiones</t>
  </si>
  <si>
    <t>MBI_KPI_74</t>
  </si>
  <si>
    <t>financed_property_ind</t>
  </si>
  <si>
    <t>MBI_KPI_24</t>
  </si>
  <si>
    <t>Validar que o campo FINANCED_PROPERTY_IND é preenchido com '0' ou '1'.</t>
  </si>
  <si>
    <t>PROPERTY_BANK_ID, PROPERTY_BRANCH_CODE, PROPERTY_CONTRACT_ID, PROPERTY_REFERENCE_CODE, CHAVE_GLOVAL</t>
  </si>
  <si>
    <t>MBI_KPI_30</t>
  </si>
  <si>
    <t>effective_relation_end_date</t>
  </si>
  <si>
    <t>MBI_KPI_33</t>
  </si>
  <si>
    <t>Validar que o campo EFFECTIVE_RELATION_DATE é diferente de '9999-12-31' ou vazio.</t>
  </si>
  <si>
    <t>collateral_property_ind</t>
  </si>
  <si>
    <t>MBI_KPI_27</t>
  </si>
  <si>
    <t>Validar que todos os registos do campo COLLATERAL_PROPERTY_IND estão preenchidos com os valores '0' ou '1'.</t>
  </si>
  <si>
    <t>relation_start_date</t>
  </si>
  <si>
    <t>MBI_KPI_32</t>
  </si>
  <si>
    <t>Validar que o campo Relation_Start_Date é diferente de '9999-12-31' ou vazio.</t>
  </si>
  <si>
    <t>MBI_KPI_79</t>
  </si>
  <si>
    <t>LAST_APPRASISAL_AMOUNT</t>
  </si>
  <si>
    <t>MBI_KPI_45</t>
  </si>
  <si>
    <t>Validar que o montante da última avaliação se encontra corretamente preenchido de acordo com cada fonte de informação.</t>
  </si>
  <si>
    <t>process_start_date process_due_date</t>
  </si>
  <si>
    <t>MBI_KPI_69</t>
  </si>
  <si>
    <t>Validar que o valor do campo PROCESS_START_DATE nunca é inferior ao campo PROCESS_DUE_DATE</t>
  </si>
  <si>
    <t>chave_property</t>
  </si>
  <si>
    <t>MBI_KPI_16</t>
  </si>
  <si>
    <t>Validar que todos os registos que se encontram na tabela PROPERTY_ENERGY_CERTIFICATE também se encontram na tabela PROPERTY.</t>
  </si>
  <si>
    <t>GUARANTEE_CODE</t>
  </si>
  <si>
    <t>MBI_KPI_36</t>
  </si>
  <si>
    <t>Validar que o campo GUARANTEE_CODE (código da garantia) está preenchido, e com o formato correto (Universo adicional ao MUG).</t>
  </si>
  <si>
    <t>seized_property_ind, financed_property_ind, collateral_property_ind</t>
  </si>
  <si>
    <t>MBI_KPI_38</t>
  </si>
  <si>
    <t>Garantir que os registos da tabela PROCESS_PROPERTY_REL que estão preenchidos com o valor '1' no campo SEIZED_PROPERTY_IND não estão preenchidos com o valor '1' nos campos FINANCED_PROPERTY_IND e COLLATERAL_PROPERTY_IND.</t>
  </si>
  <si>
    <t>established_relation_end_date relation_start_date</t>
  </si>
  <si>
    <t>MBI_KPI_34</t>
  </si>
  <si>
    <t>Validar que a data no campo ESTABLISHED_RELATION_END_DATE é superior à data no campo RELATION_START_DATE.</t>
  </si>
  <si>
    <t>process_start_date</t>
  </si>
  <si>
    <t>MBI_KPI_17</t>
  </si>
  <si>
    <t>Validar que o campo PROCESS_START_DATE está preenchido e com um valor diferente de '9999-12-31'.</t>
  </si>
  <si>
    <t>property_code</t>
  </si>
  <si>
    <t>MBI_KPI_40</t>
  </si>
  <si>
    <t>Validar que o campo PROPERTY_CODE da tabela PROPERTY se encontra preenchido, e com o formato correto.</t>
  </si>
  <si>
    <t>epc</t>
  </si>
  <si>
    <t>MBI_KPI_94</t>
  </si>
  <si>
    <t>Sempre que uma chave do bem estiver no input da Gloval, a property_energy_certificate tem de ter o campo source_code preenchido com um valor diferente de "MISS;MISS;MISS;MISS".</t>
  </si>
  <si>
    <t>consumos</t>
  </si>
  <si>
    <t>MBI_KPI_75</t>
  </si>
  <si>
    <t>Registos em que o campo Consumos apresenta o valor NULL (Excluindo registos com fiabilidad '7-SIN DATO').</t>
  </si>
  <si>
    <t>Registos na RESPONSIBILITY_PROCESS_REL</t>
  </si>
  <si>
    <t>MBI_KPI_2</t>
  </si>
  <si>
    <t>Registos duplicados na RESPONSIBILITY_PROCESS_REL</t>
  </si>
  <si>
    <t>property_bank_id, property_branch_code, property_contract_id, property_reference_code</t>
  </si>
  <si>
    <t>MBI_KPI_15</t>
  </si>
  <si>
    <t>Validar que todos os bens que se econtram na tabela PROCESS_PROPERTY_REL também se encontram na tabela PROPERTY.</t>
  </si>
  <si>
    <t>seized_property_ind</t>
  </si>
  <si>
    <t>MBI_KPI_26</t>
  </si>
  <si>
    <t>Validar que todos os registos do campo SEIZED_PROPERTY_IND estão preenchidos com os valores '0' ou '1'.</t>
  </si>
  <si>
    <t>Registos na PROCESS_PROPERTY_REL</t>
  </si>
  <si>
    <t>MBI_KPI_3</t>
  </si>
  <si>
    <t>Registos duplicados na PROCESS_PROPERTY_REL</t>
  </si>
  <si>
    <t>CLASSE_ENERGETICA, FIABILIDAD, EMISSIONES, CONSUMOS</t>
  </si>
  <si>
    <t>MBI_KPI_31</t>
  </si>
  <si>
    <t>Validar que pelo menos um dos campos 'CLASSE_ENERGETICA', 'FIABILIDAD', 'EMISSIONES' e 'CONSUMOS' está preenchido para cada registo.</t>
  </si>
  <si>
    <t>MBI_KPI_58</t>
  </si>
  <si>
    <t>Garantir que o Universo de Processos-Bens da tabela PROCESS_PROPERTY_REL se encontra correto de acordo com o que deve ser selecionado a partir de cada fonte de informação.</t>
  </si>
  <si>
    <t>country_code</t>
  </si>
  <si>
    <t>MBI_KPI_41</t>
  </si>
  <si>
    <t>Validar que o campo Country_CODE da tabela PROPERTY está preenchido com valores válidos (Universo adicional ao MUG).</t>
  </si>
  <si>
    <t>Registos na PROPERTY</t>
  </si>
  <si>
    <t>MBI_KPI_4</t>
  </si>
  <si>
    <t>Registos duplicados na tabela PROPERTY</t>
  </si>
  <si>
    <t>chave_responsabilidade, chave_processo</t>
  </si>
  <si>
    <t>MBI_KPI_56</t>
  </si>
  <si>
    <t>Garantir que o Universo de Responsabilidades-Processos da tabela RESPONSIBILITY_PROCESS_REL se encontra correto de acordo com o que deve ser selecionado a partir de cada fonte de informação.</t>
  </si>
  <si>
    <t>currency_code</t>
  </si>
  <si>
    <t>MBI_KPI_22</t>
  </si>
  <si>
    <t>Validar que o campo CURRENCY_CODE está preenchido com o formato válido (Universo adicional ao MUG).</t>
  </si>
  <si>
    <t>Formato</t>
  </si>
  <si>
    <t>chave processo</t>
  </si>
  <si>
    <t>MBI_KPI_57</t>
  </si>
  <si>
    <t>Garantir que o Universo de Processos da tabela PROCESS se encontra correto de acordo com o que deve ser selecionado a partir de cada fonte de informação.Garantir que o Universo de Processos da tabela PROCESS se encontra correto de acordo com o que deve ser selecionado a partir de cada fonte de informação.</t>
  </si>
  <si>
    <t>Data de emissão da licença de utilização</t>
  </si>
  <si>
    <t>MBI_KPI_47</t>
  </si>
  <si>
    <t>Validar que o campo USAGE_PERMIT_START_DATE da tabela property se encontra preenchido, e com um valor diferente de '9999-12-31' (com exceção dos imóveis em desinvestimento, para os quais o campo está preenchido com '9999-12-31').</t>
  </si>
  <si>
    <t>Chave Responsabilidade</t>
  </si>
  <si>
    <t>MBI_KPI_8</t>
  </si>
  <si>
    <t>source_code</t>
  </si>
  <si>
    <t>MBI_KPI_28</t>
  </si>
  <si>
    <t>process_due_date</t>
  </si>
  <si>
    <t>MBI_KPI_19</t>
  </si>
  <si>
    <t>Código indicador de utilização (finalidade) do bem</t>
  </si>
  <si>
    <t>MBI_KPI_52</t>
  </si>
  <si>
    <t>guarantee_type_code</t>
  </si>
  <si>
    <t>MBI_KPI_20</t>
  </si>
  <si>
    <t>Validar que o campo GUARANTEE_TYPE_CODE está sempre preenchido com os valores 'E' (Específica), 'G' (Genérica) ou ' ' (Vazio), de acordo com a sua fonte de informação.</t>
  </si>
  <si>
    <t>EP_SCORE, CARBON_EMISSION_VALUE_YEAR, QUALITY_SCORE</t>
  </si>
  <si>
    <t>MBI_KPI_78</t>
  </si>
  <si>
    <t>Validar que os campos  EP_SCORE and CARBON_EMISSION_VALUE_YEAR se encontram preenchidos sempre que esta informação seja proveniente do input da Gloval (para os casos em que quality_score diferente de "7 - Sin Dato".</t>
  </si>
  <si>
    <t>MBI_KPI_18</t>
  </si>
  <si>
    <t>Validar que a PROCESS_START_DATE corresponde à data associada à primeira versão do registo na tabela GPT21_PROCESSOS (para registos provenientes da GPT21_Processos).</t>
  </si>
  <si>
    <t>CADASTRAL_REGISTER_CODE</t>
  </si>
  <si>
    <t>MBI_KPI_49</t>
  </si>
  <si>
    <t>Validar que o campo Cadastral_Register_Code se encontra corretamente preenchido (de acordo com cada fonte de informação).</t>
  </si>
  <si>
    <t>MBI_KPI_43</t>
  </si>
  <si>
    <t>Validar que a data de avaliação do imóvel é igual ou inferior à data de referência (Universo adicional ao MUG).</t>
  </si>
  <si>
    <t>MBI_KPI_14</t>
  </si>
  <si>
    <t>Validar que todos os processos presentes na tabela PROCESS também se encontram na tabela PROCESS_PROPERTY_REL.</t>
  </si>
  <si>
    <t>Registos na PROCESS</t>
  </si>
  <si>
    <t>MBI_KPI_1</t>
  </si>
  <si>
    <t>Registos duplicados na PROCESS</t>
  </si>
  <si>
    <t>Chave processo</t>
  </si>
  <si>
    <t>MBI_KPI_7</t>
  </si>
  <si>
    <t>PROPERTY_TYPE_CODE</t>
  </si>
  <si>
    <t>MBI_KPI_50</t>
  </si>
  <si>
    <t>Registos na tabela PROPERTY com tipo de bem (ctipbem) diferente do tipo de bem preenchido nas tabelas GT009_BENS_IMOV e GPT18_BENS.</t>
  </si>
  <si>
    <t>Process_campaign_code</t>
  </si>
  <si>
    <t>MBI_KPI_37</t>
  </si>
  <si>
    <t>Validar que o campo PROCESS_CAMPAIGN_CODE se encontra preenchido com valores válidos (Universo adicional ao MUG).</t>
  </si>
  <si>
    <t>Código indicador de tipo de bem</t>
  </si>
  <si>
    <t>MBI_KPI_51</t>
  </si>
  <si>
    <t>chave_bem</t>
  </si>
  <si>
    <t>MBI_KPI_59</t>
  </si>
  <si>
    <t>Validar que o Universo de bens da tabela PROPERTY se encontra correto de acordo com o que deve ser selecionado a partir de cada fonte de informação.</t>
  </si>
  <si>
    <t>Chave Processo</t>
  </si>
  <si>
    <t>MBI_KPI_9</t>
  </si>
  <si>
    <t>Código Postal do imóvel</t>
  </si>
  <si>
    <t>MBI_KPI_48</t>
  </si>
  <si>
    <t>Validar que os 4 primeiros dígitos do campo Postal_Code estão preenchidos de acordo com o catálogo correspondente (Universo adicional ao MUG).</t>
  </si>
  <si>
    <t>Registos na PROPERTY_ENERGY_CERTIFICATE</t>
  </si>
  <si>
    <t>MBI_KPI_5</t>
  </si>
  <si>
    <t>Registos duplicados na tabela PROPERTY_ENERGY_CERTIFICATE</t>
  </si>
  <si>
    <t>Currency_code</t>
  </si>
  <si>
    <t>MBI_KPI_21</t>
  </si>
  <si>
    <t>Validar que o campo CURRENCY_CODE está preenchido com valores válidos (Universo adicional ao MUG).</t>
  </si>
  <si>
    <t>chave_processo, chave_bem</t>
  </si>
  <si>
    <t>MBI_KPI_70</t>
  </si>
  <si>
    <t>Registos na ENERGY_CERTIFICATE_EST_INPUT</t>
  </si>
  <si>
    <t>MBI_KPI_6</t>
  </si>
  <si>
    <t>Registos duplicados na tabela ENERGY_CERTIFICATE_EST_INPUT</t>
  </si>
  <si>
    <t>process_bank_id, process_branch_code, process_account_id, process_reference_code</t>
  </si>
  <si>
    <t>MBI_KPI_10</t>
  </si>
  <si>
    <t>MBI_KPI_23</t>
  </si>
  <si>
    <t>MBI_KPI_77</t>
  </si>
  <si>
    <t>Garantir que o campo EPC está preenchido com os valores 'A','A+','B','B-','C','D','E','F','G' (excluindo registos NULL ou vazios)</t>
  </si>
  <si>
    <t>MBI_KPI_93</t>
  </si>
  <si>
    <t>Sempre que o campo EPC tiver uma letra de certificado energético associada, o campo source_code e quality_score têm de estar mapeados.</t>
  </si>
  <si>
    <t>Baremos</t>
  </si>
  <si>
    <t>Tabela de informação dos certificados energéticos dos imóveis</t>
  </si>
  <si>
    <t>data_date_part = &amp;datareferencia and trim(epc) &lt;&gt; '' and epc is not null</t>
  </si>
  <si>
    <t>epc in ('A','A+','B','B-', 'C','D','E','F','G')</t>
  </si>
  <si>
    <t>3</t>
  </si>
  <si>
    <t>Qualidade</t>
  </si>
  <si>
    <t>Tabela de certificados energeticos associados aos bens imoveis</t>
  </si>
  <si>
    <t>data_date_part = &amp;datareferencia and nzeb_ind = 'true'</t>
  </si>
  <si>
    <t>MBI_KPI_15_query</t>
  </si>
  <si>
    <t>chave_property is not null</t>
  </si>
  <si>
    <t>MBI_KPI_37_query</t>
  </si>
  <si>
    <t>tayd91c0_celemtab is not null</t>
  </si>
  <si>
    <t>Integridade entre tabelas</t>
  </si>
  <si>
    <t>MBI_KPI_10_query</t>
  </si>
  <si>
    <t>not (chave_gpt21 is null and chave_gt008 is null)</t>
  </si>
  <si>
    <t>Local_29</t>
  </si>
  <si>
    <t>#&gt;0</t>
  </si>
  <si>
    <t>MBI_KPI_11_query</t>
  </si>
  <si>
    <t>not (chave_gpt18 is null and chave_bem_gt008 is null)</t>
  </si>
  <si>
    <t>MBI_KPI_12_query</t>
  </si>
  <si>
    <t>not (chave_gpt18 is null and chave_bem_gt009 is null)</t>
  </si>
  <si>
    <t>BUSINESS_ASSETS.PROCESS_PROPERTY_REL</t>
  </si>
  <si>
    <t>Tabela de relação processo-bem (PROCESS_PROPERTY_REL)</t>
  </si>
  <si>
    <t>source_code in ('MG','GP','IFIC','RECUP','T_URBE','ADJUD')</t>
  </si>
  <si>
    <t>property_extra_mug</t>
  </si>
  <si>
    <t>trim(property_type_code) &lt;&gt; '' and length(trim(property_type_code)) = 4</t>
  </si>
  <si>
    <t>BUSINESS_ASSETS.PROPERTY</t>
  </si>
  <si>
    <t>property_code is not null and trim(property_code) &lt;&gt; '' and length(trim(property_code))= 4</t>
  </si>
  <si>
    <t>BUSINESS_ASSETS.PROCESS</t>
  </si>
  <si>
    <t>Tabela PROCESS</t>
  </si>
  <si>
    <t>financed_property_ind in (0,1)</t>
  </si>
  <si>
    <t>seized_property_ind in (0,1)</t>
  </si>
  <si>
    <t>collateral_property_ind in (0,1)</t>
  </si>
  <si>
    <t>MBI_KPI_32_query</t>
  </si>
  <si>
    <t>resultado = 'ok'</t>
  </si>
  <si>
    <t>MBI_KPI_33_query</t>
  </si>
  <si>
    <t>BUSINESS_ASSETS.RESPONSIBILITY_PROCESS_REL</t>
  </si>
  <si>
    <t>Tabela de relação responsabilidade- processo</t>
  </si>
  <si>
    <t>established_relation_end_date &gt; relation_start_date</t>
  </si>
  <si>
    <t>data_date_part = &amp;datareferencia and seized_property_ind = 1</t>
  </si>
  <si>
    <t>not (financed_property_ind &lt;&gt; 0 or collateral_property_ind &lt;&gt; 0)</t>
  </si>
  <si>
    <t>Duplicados</t>
  </si>
  <si>
    <t>Registos duplicados na PROPERTY</t>
  </si>
  <si>
    <t>PROPERTY_BANK_ID, PROPERTY_BRANCH_CODE, PROPERTY_CONTRACT_ID, PROPERTY_REFERENCE_CODE, DATA_DATE_PART</t>
  </si>
  <si>
    <t>count (1)</t>
  </si>
  <si>
    <t>Integridade de campos</t>
  </si>
  <si>
    <t>MBI_KPI_49_query</t>
  </si>
  <si>
    <t>cadastral_register_code_s = cadastral_register_code</t>
  </si>
  <si>
    <t>BUSINESS_ASSETS.PROPERTY_ENERGY_CERTIFICATE</t>
  </si>
  <si>
    <t>Registos duplicados na PROPERTY_ENERGY_CERTIFICATE</t>
  </si>
  <si>
    <t>MBI_KPI_58_query</t>
  </si>
  <si>
    <t>MBI_KPI_59_query</t>
  </si>
  <si>
    <t>chave_bem_output is not null</t>
  </si>
  <si>
    <t>Tabela de Processos</t>
  </si>
  <si>
    <t>process_start_date &lt; process_due_date</t>
  </si>
  <si>
    <t>MBI_KPI_7_query</t>
  </si>
  <si>
    <t>not (chave_gt002 is null and chave_gpt21 is null)</t>
  </si>
  <si>
    <t>Tabela relação processo-bem</t>
  </si>
  <si>
    <t>concat(process_bank_id, process_branch_code, process_account_id, process_reference_code) is not null and concat(property_bank_id, property_branch_code, property_contract_id, property_reference_code) is not null</t>
  </si>
  <si>
    <t>MBI_KPI_13_query</t>
  </si>
  <si>
    <t>proc_chave_processo is not null</t>
  </si>
  <si>
    <t>MBI_KPI_14_query</t>
  </si>
  <si>
    <t>chave_responsibility_process_rel is not null</t>
  </si>
  <si>
    <t>MBI_KPIs_input</t>
  </si>
  <si>
    <t>chave_bem is not null and chave_gloval is not null</t>
  </si>
  <si>
    <t>not (classe_energetica is null and fiabilidad is null and emissiones is null and consumos is null)</t>
  </si>
  <si>
    <t>MBI_KPI_47_query</t>
  </si>
  <si>
    <t>MBI_KPI_6_query</t>
  </si>
  <si>
    <t>MBI_KPI_74_75</t>
  </si>
  <si>
    <t>consumos is not null</t>
  </si>
  <si>
    <t>MBI_KPI_48_query</t>
  </si>
  <si>
    <t>e2401_zona is not null</t>
  </si>
  <si>
    <t>MBI_KPI_50_query</t>
  </si>
  <si>
    <t>property_type_code_simul = property_type_code</t>
  </si>
  <si>
    <t>trim(property_type_code) &lt;&gt; ''  and length(trim(property_type_code)) = 4</t>
  </si>
  <si>
    <t>trim(PROPERTY_PURPOSE_CODE) &lt;&gt; '' and length(trim(PROPERTY_PURPOSE_CODE)) = 2</t>
  </si>
  <si>
    <t>MBI_KPI_56_query</t>
  </si>
  <si>
    <t>not (concat(chave_proc_f, chave_resp_f) is not null and concat(chave_proc_output, chave_resp_output)is null)</t>
  </si>
  <si>
    <t>MBI_KPI_57_query</t>
  </si>
  <si>
    <t>chave_proc_output is not null</t>
  </si>
  <si>
    <t>emissiones is not null</t>
  </si>
  <si>
    <t>Tabela de certificados energéticos associados aos imóveis</t>
  </si>
  <si>
    <t>ep_score is not null and carbon_emission_value_year is not null</t>
  </si>
  <si>
    <t>MBI_KPI_8_query</t>
  </si>
  <si>
    <t>chave_resp_f = chave_resp_output and chave_resp_f is not null</t>
  </si>
  <si>
    <t>MBI_KPI_9_query</t>
  </si>
  <si>
    <t>not (chave_gt001 is null and chave_gpt21 is null)</t>
  </si>
  <si>
    <t>data_date_part = &amp;datareferencia and epc is not null</t>
  </si>
  <si>
    <t>source_code is not null and quality_score is not null</t>
  </si>
  <si>
    <t>MBI_KPI_94_query</t>
  </si>
  <si>
    <t>source_code not in ('MISS,MISS,MISS,MISS')</t>
  </si>
  <si>
    <t>last_appraisal_date &lt; data_date_part or last_appraisal_date = data_date_part</t>
  </si>
  <si>
    <t>tayd91c0_celemtab</t>
  </si>
  <si>
    <t>MBI_KPI_19_query</t>
  </si>
  <si>
    <t>guarantee_type_code in ('E','G','')</t>
  </si>
  <si>
    <t>MBI_KPI_29_query</t>
  </si>
  <si>
    <t>anoconst = construction_year</t>
  </si>
  <si>
    <t>data_date_part = &amp;datareferencia and source_code not in ('MG','T_URBE','IFIC','RECUP','ADJUD')</t>
  </si>
  <si>
    <t>data_date_part = &amp;datareferencia and source_code in ('GPT31;GLOVAL;GLOVAL;GLOVAL','ADENE;GLOVAL;GLOVAL;GLOVAL','OCR;GLOVAL;GLOVAL;GLOVAL','GLOVAL;GLOVAL;GLOVAL;GLOVAL') and quality_score &lt;&gt; '7-SIN DATO'</t>
  </si>
  <si>
    <t>PROCESS_BANK_ID, PROCESS_BRANCH_CODE, PROCESS_ACCOUNT_ID, PROCESS_REFERENCE_CODE, DATA_DATE_PART</t>
  </si>
  <si>
    <t>count(1)</t>
  </si>
  <si>
    <t>MBI_KPI_16_query</t>
  </si>
  <si>
    <t>MBI_KPI_17_query</t>
  </si>
  <si>
    <t>MBI_KPI_18_query</t>
  </si>
  <si>
    <t>process_start_date = dtproc</t>
  </si>
  <si>
    <t>BANK_ID, BRANCH_CODE, CONTRACT_ID, REFERENCE_CODE, PROCESS_BANK_ID, PROCESS_BRANCH_CODE, PROCESS_ACCOUNT_ID, PROCESS_REFERENCE_CODE, DATA_DATE_PART</t>
  </si>
  <si>
    <t>Cruzamento moeda da garantia com catálogo</t>
  </si>
  <si>
    <t>data_date_part = &amp;datareferencia and source_code &lt;&gt; 'MG'</t>
  </si>
  <si>
    <t>data_date_part = &amp;datareferenciautil and tayd91c0_ctabela = '206'</t>
  </si>
  <si>
    <t>Tabela de processos (Universo adicional ao MUG)</t>
  </si>
  <si>
    <t>(length(trim(currency_code)) = 3 and cast(currency_code as int) is not null)</t>
  </si>
  <si>
    <t>PROCESS_BANK_ID, PROCESS_BRANCH_CODE, PROCESS_ACCOUNT_ID, PROCESS_REFERENCE_CODE, PROPERTY_BANK_ID, PROPERTY_BRANCH_CODE, PROPERTY_CONTRACT_ID, PROPERTY_REFERENCE_CODE, DATA_DATE_PART</t>
  </si>
  <si>
    <t>process_extra_mug</t>
  </si>
  <si>
    <t>(trim(guarantee_code) &lt;&gt;'' and length(trim(guarantee_code)) = 3) and trim(guarantee_code) is not null</t>
  </si>
  <si>
    <t>MBI_KPI_41_query</t>
  </si>
  <si>
    <t>data_date_part = &amp;datareferenciautil and tayd91c0_ctabela = '015'</t>
  </si>
  <si>
    <t>MBI_KPI_45_query</t>
  </si>
  <si>
    <t>LAST_APPRAISAL_AMOUNT_s = last_appraisal_Amount</t>
  </si>
  <si>
    <t>e2401_zona</t>
  </si>
  <si>
    <t>POSTAL_CODE</t>
  </si>
  <si>
    <t>0000000</t>
  </si>
  <si>
    <t>property_bank_id</t>
  </si>
  <si>
    <t>property_branch_code</t>
  </si>
  <si>
    <t>property_contract_id</t>
  </si>
  <si>
    <t>property_reference_code</t>
  </si>
  <si>
    <t>10159340002</t>
  </si>
  <si>
    <t>8703301</t>
  </si>
  <si>
    <t>0030</t>
  </si>
  <si>
    <t>17158170001</t>
  </si>
  <si>
    <t>NZEB_IND</t>
  </si>
  <si>
    <t>Registos em que o campo Emissiones apresenta o valor NULL (Excluindo registos com fiabilidad '7-Sin Dato').</t>
  </si>
  <si>
    <t>Bens imóveis com o campo código de finalidade do bem (PROPERTY_PURPOSE_CODE) não preenchido ou preenchido em formato incorreto (Universo adicional ao MUG, excluindo imóveis em desinvestimento).</t>
  </si>
  <si>
    <t>Variação mensal de registos com NZEB_IND = true</t>
  </si>
  <si>
    <t>MBI_KPI_25</t>
  </si>
  <si>
    <t>Validar que o campo FINANCED_PROPERTY_IND está preenchido de acordo com as regras definidas.</t>
  </si>
  <si>
    <t>Validar que  o campo process_due_date se encontra sempre preenchido (sem  NULL)</t>
  </si>
  <si>
    <t>MBI_KPI_25_query</t>
  </si>
  <si>
    <t>cast(financed_property_ind as string) = financed_property_ind_s</t>
  </si>
  <si>
    <t>process_due_date is not null</t>
  </si>
  <si>
    <t>property_registos_gp</t>
  </si>
  <si>
    <t>mbi_kpi_40_query</t>
  </si>
  <si>
    <t>MBI_KPI_30_query</t>
  </si>
  <si>
    <t>D+27</t>
  </si>
  <si>
    <t>2025-10-31</t>
  </si>
  <si>
    <t>2025-11-20</t>
  </si>
  <si>
    <t>Validar que todos os processos (PROCESS_BANK_ID, PROCESS_BRANCH_CODE, PROCESS_ACCOUNT_ID, PROCESS_REFERENCE_CODE)  presentes na tabela RESPONSIBILITY_PROCESS_REL se encontram na tabela GT001_TRZ_RSP_GT ou GPT21_PROCESSOS (excluindo imóveis em desinvestimento).</t>
  </si>
  <si>
    <t>Validar que todos os processos que estão na tabela PROCESS_PROPERTY_REL também se encontram na tabela GT008_GT_IMV ou GPT21_PROCESSOS (excluindo imóveis em desinvestimento).</t>
  </si>
  <si>
    <t>Validar que os bens presentes na tabela PROCESS_PROPERTY_REL se encontram na tabela GT008_trz_GT_IMV ou GPT18_bens (excluindo imóveis em desinvestimento)..</t>
  </si>
  <si>
    <t>Validar que os bens presentes na tabela PROPERTY também se encontra na tabela GT009_BENS_IMOV ou GPT18_bens (excluindo imóveis em desinvestimento).</t>
  </si>
  <si>
    <t>Validar que o campo SOURCE_CODE é igual a 'MG' ou 'GP'</t>
  </si>
  <si>
    <t>source_code in ('GP','MG')</t>
  </si>
  <si>
    <t>Validar que o campo SOURCE_CODE está preenchido com os valores 'MG', 'GP' ,'ADJUD','IFIC','RECUP' e 'T_URBE'</t>
  </si>
  <si>
    <t>Validar que todos os registos enviados à GLOVAL na data de referência mais recente têm a chave do imóvel e chave do imóvel encriptada simultaneamente preenchidos (registos com o campo data_envio preenchido).</t>
  </si>
  <si>
    <t>Bens Imóveis com o campo PROPERTY_TYPE_CODE da tabela PROPERTY não preenchido, ou preenchido em formato incorreto (Universo adicional ao MUG, excluindo imóveis em desinvestimento).</t>
  </si>
  <si>
    <t>Bens imóveis com o campo código de tipo de bem (PROPERTY_TYPE_CODE) não preenchido ou preenchido em formato incorreto (Universo adicional ao MUG, excluindo imóveis em desinvestimento)</t>
  </si>
  <si>
    <t>chave processo, chave bem</t>
  </si>
  <si>
    <t>Validar que todos os processos presentes na tabela PROCESS se encontram na tabela GT002_GRNT_PRC ou na tabela GPT21_PROCESSOS (excluindo imóveis em desinvestimento).</t>
  </si>
  <si>
    <t>Garantias com código de garantia ou produto/subproduto de garantia hipotecária sem bem hipotecário associado (Apenas registos com source = GP)</t>
  </si>
  <si>
    <t>Validar que todas as responsabilidades se encontram na tabela GT001_TRZ_RSP_GT ou GPT21_PROCESSOS (excluindo imóveis em desinvestimento).</t>
  </si>
  <si>
    <t>2025-11-19</t>
  </si>
  <si>
    <t>2025-11-27</t>
  </si>
  <si>
    <t>Sem dados</t>
  </si>
  <si>
    <t>10191520012</t>
  </si>
  <si>
    <t>10562260001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</si>
</sst>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00%"/>
    <numFmt numFmtId="166" formatCode="0.000000%"/>
    <numFmt numFmtId="167" formatCode="yyyy\-mm\-dd\ hh:mm:ss"/>
  </numFmts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i/>
      <sz val="9"/>
      <color theme="1"/>
      <name val="Arial"/>
      <family val="2"/>
    </font>
    <font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86">
    <xf numFmtId="0" fontId="0" fillId="0" borderId="0" xfId="0"/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1" xfId="0" applyFont="1" applyBorder="1"/>
    <xf numFmtId="0" fontId="7" fillId="2" borderId="0" xfId="0" applyFont="1" applyFill="1"/>
    <xf numFmtId="0" fontId="10" fillId="2" borderId="2" xfId="0" applyFont="1" applyFill="1" applyBorder="1"/>
    <xf numFmtId="0" fontId="0" fillId="2" borderId="2" xfId="0" applyFill="1" applyBorder="1"/>
    <xf numFmtId="0" fontId="10" fillId="0" borderId="0" xfId="0" applyFont="1"/>
    <xf numFmtId="0" fontId="5" fillId="0" borderId="0" xfId="0" applyFont="1"/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1" fillId="0" borderId="0" xfId="0" applyFont="1"/>
    <xf numFmtId="0" fontId="4" fillId="2" borderId="2" xfId="0" applyFont="1" applyFill="1" applyBorder="1"/>
    <xf numFmtId="0" fontId="6" fillId="3" borderId="3" xfId="0" applyFont="1" applyFill="1" applyBorder="1"/>
    <xf numFmtId="49" fontId="0" fillId="0" borderId="3" xfId="0" applyNumberForma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10" fontId="0" fillId="2" borderId="2" xfId="1" applyNumberFormat="1" applyFont="1" applyFill="1" applyBorder="1" applyAlignment="1">
      <alignment horizontal="center"/>
    </xf>
    <xf numFmtId="10" fontId="0" fillId="0" borderId="0" xfId="1" applyNumberFormat="1" applyFont="1" applyFill="1" applyAlignment="1">
      <alignment horizontal="center"/>
    </xf>
    <xf numFmtId="10" fontId="10" fillId="2" borderId="2" xfId="1" applyNumberFormat="1" applyFont="1" applyFill="1" applyBorder="1" applyAlignment="1">
      <alignment horizontal="center"/>
    </xf>
    <xf numFmtId="10" fontId="10" fillId="0" borderId="0" xfId="1" applyNumberFormat="1" applyFont="1" applyFill="1" applyBorder="1" applyAlignment="1">
      <alignment horizontal="center"/>
    </xf>
    <xf numFmtId="10" fontId="6" fillId="3" borderId="3" xfId="1" applyNumberFormat="1" applyFont="1" applyFill="1" applyBorder="1" applyAlignment="1">
      <alignment horizontal="center"/>
    </xf>
    <xf numFmtId="0" fontId="12" fillId="0" borderId="0" xfId="0" applyFont="1"/>
    <xf numFmtId="1" fontId="0" fillId="0" borderId="3" xfId="0" applyNumberFormat="1" applyBorder="1" applyAlignment="1">
      <alignment horizontal="center"/>
    </xf>
    <xf numFmtId="9" fontId="0" fillId="0" borderId="3" xfId="1" applyFont="1" applyFill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9" fontId="5" fillId="0" borderId="3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19" fillId="0" borderId="0" xfId="0" applyFont="1"/>
    <xf numFmtId="0" fontId="20" fillId="0" borderId="0" xfId="0" applyFont="1"/>
    <xf numFmtId="0" fontId="21" fillId="3" borderId="3" xfId="0" applyFont="1" applyFill="1" applyBorder="1"/>
    <xf numFmtId="0" fontId="6" fillId="4" borderId="0" xfId="0" applyFont="1" applyFill="1"/>
    <xf numFmtId="2" fontId="0" fillId="0" borderId="3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5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5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 indent="1"/>
    </xf>
    <xf numFmtId="10" fontId="12" fillId="0" borderId="0" xfId="1" applyNumberFormat="1" applyFont="1" applyFill="1" applyAlignment="1">
      <alignment horizontal="center"/>
    </xf>
    <xf numFmtId="10" fontId="12" fillId="0" borderId="0" xfId="1" applyNumberFormat="1" applyFont="1" applyFill="1"/>
    <xf numFmtId="0" fontId="0" fillId="3" borderId="0" xfId="0" applyFill="1"/>
    <xf numFmtId="0" fontId="18" fillId="0" borderId="0" xfId="2" applyFill="1" applyAlignment="1">
      <alignment horizontal="center"/>
    </xf>
    <xf numFmtId="166" fontId="0" fillId="0" borderId="0" xfId="1" applyNumberFormat="1" applyFont="1"/>
    <xf numFmtId="166" fontId="0" fillId="0" borderId="0" xfId="1" applyNumberFormat="1" applyFont="1" applyFill="1" applyAlignment="1">
      <alignment horizontal="center"/>
    </xf>
    <xf numFmtId="49" fontId="0" fillId="0" borderId="0" xfId="0" applyNumberFormat="1"/>
    <xf numFmtId="49" fontId="8" fillId="0" borderId="0" xfId="0" applyNumberFormat="1" applyFont="1"/>
    <xf numFmtId="49" fontId="7" fillId="0" borderId="0" xfId="0" applyNumberFormat="1" applyFont="1"/>
    <xf numFmtId="49" fontId="9" fillId="0" borderId="0" xfId="0" applyNumberFormat="1" applyFont="1"/>
    <xf numFmtId="49" fontId="7" fillId="0" borderId="1" xfId="0" applyNumberFormat="1" applyFont="1" applyBorder="1"/>
    <xf numFmtId="49" fontId="7" fillId="2" borderId="0" xfId="0" applyNumberFormat="1" applyFont="1" applyFill="1"/>
    <xf numFmtId="49" fontId="4" fillId="2" borderId="2" xfId="0" applyNumberFormat="1" applyFont="1" applyFill="1" applyBorder="1"/>
    <xf numFmtId="49" fontId="0" fillId="2" borderId="2" xfId="0" applyNumberFormat="1" applyFill="1" applyBorder="1"/>
    <xf numFmtId="49" fontId="18" fillId="0" borderId="0" xfId="2" applyNumberFormat="1"/>
    <xf numFmtId="49" fontId="12" fillId="0" borderId="0" xfId="0" applyNumberFormat="1" applyFont="1"/>
    <xf numFmtId="49" fontId="3" fillId="3" borderId="3" xfId="0" applyNumberFormat="1" applyFont="1" applyFill="1" applyBorder="1" applyAlignment="1">
      <alignment horizontal="center"/>
    </xf>
    <xf numFmtId="49" fontId="5" fillId="0" borderId="0" xfId="0" applyNumberFormat="1" applyFont="1"/>
    <xf numFmtId="167" fontId="0" fillId="0" borderId="0" xfId="0" applyNumberFormat="1"/>
    <xf numFmtId="9" fontId="0" fillId="0" borderId="0" xfId="0" applyNumberFormat="1"/>
    <xf numFmtId="0" fontId="0" fillId="2" borderId="0" xfId="0" applyFill="1"/>
    <xf numFmtId="49" fontId="0" fillId="0" borderId="0" xfId="0" applyNumberFormat="1" applyAlignment="1">
      <alignment horizontal="left"/>
    </xf>
    <xf numFmtId="49" fontId="8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1" xfId="0" applyNumberFormat="1" applyFont="1" applyBorder="1" applyAlignment="1">
      <alignment horizontal="left"/>
    </xf>
    <xf numFmtId="49" fontId="7" fillId="2" borderId="0" xfId="0" applyNumberFormat="1" applyFont="1" applyFill="1" applyAlignment="1">
      <alignment horizontal="left"/>
    </xf>
    <xf numFmtId="49" fontId="4" fillId="2" borderId="2" xfId="0" applyNumberFormat="1" applyFont="1" applyFill="1" applyBorder="1" applyAlignment="1">
      <alignment horizontal="left"/>
    </xf>
    <xf numFmtId="49" fontId="0" fillId="2" borderId="2" xfId="0" applyNumberFormat="1" applyFill="1" applyBorder="1" applyAlignment="1">
      <alignment horizontal="left"/>
    </xf>
    <xf numFmtId="49" fontId="18" fillId="0" borderId="0" xfId="2" applyNumberFormat="1" applyAlignment="1">
      <alignment horizontal="left"/>
    </xf>
    <xf numFmtId="49" fontId="12" fillId="0" borderId="0" xfId="0" applyNumberFormat="1" applyFont="1" applyAlignment="1">
      <alignment horizontal="left"/>
    </xf>
    <xf numFmtId="49" fontId="23" fillId="3" borderId="5" xfId="0" applyNumberFormat="1" applyFont="1" applyFill="1" applyBorder="1" applyAlignment="1">
      <alignment horizontal="left"/>
    </xf>
    <xf numFmtId="165" fontId="0" fillId="0" borderId="0" xfId="1" applyNumberFormat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52">
    <dxf>
      <numFmt numFmtId="167" formatCode="yyyy\-mm\-dd\ hh:mm:ss"/>
    </dxf>
    <dxf>
      <numFmt numFmtId="13" formatCode="0%"/>
    </dxf>
    <dxf>
      <numFmt numFmtId="13" formatCode="0%"/>
    </dxf>
    <dxf>
      <numFmt numFmtId="13" formatCode="0%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9"/>
      </font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9"/>
      </font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14941</xdr:colOff>
      <xdr:row>1</xdr:row>
      <xdr:rowOff>0</xdr:rowOff>
    </xdr:from>
    <xdr:to>
      <xdr:col>3</xdr:col>
      <xdr:colOff>30082</xdr:colOff>
      <xdr:row>2</xdr:row>
      <xdr:rowOff>5519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741" y="184150"/>
          <a:ext cx="1188023" cy="189669"/>
        </a:xfrm>
        <a:prstGeom prst="rect">
          <a:avLst/>
        </a:prstGeom>
      </xdr:spPr>
    </xdr:pic>
    <xdr:clientData/>
  </xdr:twoCellAnchor>
  <xdr:oneCellAnchor>
    <xdr:from>
      <xdr:col>1</xdr:col>
      <xdr:colOff>44822</xdr:colOff>
      <xdr:row>7</xdr:row>
      <xdr:rowOff>59765</xdr:rowOff>
    </xdr:from>
    <xdr:ext cx="158869" cy="179295"/>
    <xdr:pic>
      <xdr:nvPicPr>
        <xdr:cNvPr id="6" name="Picture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116" y="1255059"/>
          <a:ext cx="158869" cy="179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68580</xdr:rowOff>
        </xdr:from>
        <xdr:to>
          <xdr:col>3</xdr:col>
          <xdr:colOff>152400</xdr:colOff>
          <xdr:row>14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8591</xdr:colOff>
      <xdr:row>1</xdr:row>
      <xdr:rowOff>0</xdr:rowOff>
    </xdr:from>
    <xdr:to>
      <xdr:col>1</xdr:col>
      <xdr:colOff>1202964</xdr:colOff>
      <xdr:row>2</xdr:row>
      <xdr:rowOff>11869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741" y="184150"/>
          <a:ext cx="1188023" cy="1896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12</xdr:row>
          <xdr:rowOff>137160</xdr:rowOff>
        </xdr:from>
        <xdr:to>
          <xdr:col>3</xdr:col>
          <xdr:colOff>0</xdr:colOff>
          <xdr:row>13</xdr:row>
          <xdr:rowOff>190500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01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16</xdr:row>
          <xdr:rowOff>137160</xdr:rowOff>
        </xdr:from>
        <xdr:to>
          <xdr:col>3</xdr:col>
          <xdr:colOff>22860</xdr:colOff>
          <xdr:row>18</xdr:row>
          <xdr:rowOff>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14</xdr:row>
          <xdr:rowOff>137160</xdr:rowOff>
        </xdr:from>
        <xdr:to>
          <xdr:col>2</xdr:col>
          <xdr:colOff>1402080</xdr:colOff>
          <xdr:row>16</xdr:row>
          <xdr:rowOff>0</xdr:rowOff>
        </xdr:to>
        <xdr:sp macro="" textlink="">
          <xdr:nvSpPr>
            <xdr:cNvPr id="148483" name="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1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Resumo</a:t>
              </a: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14941</xdr:colOff>
      <xdr:row>1</xdr:row>
      <xdr:rowOff>0</xdr:rowOff>
    </xdr:from>
    <xdr:to>
      <xdr:col>1</xdr:col>
      <xdr:colOff>1202964</xdr:colOff>
      <xdr:row>2</xdr:row>
      <xdr:rowOff>5519</xdr:rowOff>
    </xdr:to>
    <xdr:pic>
      <xdr:nvPicPr>
        <xdr:cNvPr id="3" name="Gráfico 1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4235" y="186765"/>
          <a:ext cx="1188023" cy="192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8591</xdr:colOff>
      <xdr:row>1</xdr:row>
      <xdr:rowOff>0</xdr:rowOff>
    </xdr:from>
    <xdr:to>
      <xdr:col>2</xdr:col>
      <xdr:colOff>112258</xdr:colOff>
      <xdr:row>2</xdr:row>
      <xdr:rowOff>11869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741" y="184150"/>
          <a:ext cx="1188023" cy="1896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11766</xdr:colOff>
      <xdr:row>1</xdr:row>
      <xdr:rowOff>0</xdr:rowOff>
    </xdr:from>
    <xdr:to>
      <xdr:col>1</xdr:col>
      <xdr:colOff>1202964</xdr:colOff>
      <xdr:row>2</xdr:row>
      <xdr:rowOff>8694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76B3FD0C-128C-47B8-8904-CCBCE272E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741" y="180975"/>
          <a:ext cx="1191198" cy="18966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Impala PRO" growShrinkType="insert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2">
      <queryTableField id="1" name="ref_date" tableColumnId="1"/>
      <queryTableField id="5" name="numero_kpi_executad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Impala PRO_1" growShrinkType="insertClear" adjustColumnWidth="0" connectionId="2" xr16:uid="{00000000-0016-0000-0100-000001000000}" autoFormatId="16" applyNumberFormats="0" applyBorderFormats="0" applyFontFormats="0" applyPatternFormats="0" applyAlignmentFormats="0" applyWidthHeightFormats="0">
  <queryTableRefresh nextId="52" unboundColumnsRight="1">
    <queryTableFields count="12">
      <queryTableField id="1" name="dado_base" tableColumnId="1"/>
      <queryTableField id="2" name="cod_kpi" tableColumnId="2"/>
      <queryTableField id="5" name="desc_kpi" tableColumnId="5"/>
      <queryTableField id="3" name="criticidade" tableColumnId="3"/>
      <queryTableField id="4" name="tipo_kpi" tableColumnId="4"/>
      <queryTableField id="42" name="numero_ok" tableColumnId="41"/>
      <queryTableField id="43" name="numero_nok" tableColumnId="42"/>
      <queryTableField id="44" name="numero_total" tableColumnId="43"/>
      <queryTableField id="46" name="percentagem_nok" tableColumnId="45"/>
      <queryTableField id="51" dataBound="0" tableColumnId="6"/>
      <queryTableField id="45" name="resultado" tableColumnId="44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Impala PRO_1" growShrinkType="insertClear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46">
    <queryTableFields count="42">
      <queryTableField id="1" name="cod_kpi" tableColumnId="1"/>
      <queryTableField id="2" name="desc_kpi" tableColumnId="2"/>
      <queryTableField id="3" name="categ_teste" tableColumnId="3"/>
      <queryTableField id="4" name="sub_categ_teste" tableColumnId="4"/>
      <queryTableField id="5" name="ativo" tableColumnId="5"/>
      <queryTableField id="6" name="fonte_externa" tableColumnId="6"/>
      <queryTableField id="7" name="ambito" tableColumnId="7"/>
      <queryTableField id="8" name="repositorio" tableColumnId="8"/>
      <queryTableField id="9" name="dado_base" tableColumnId="9"/>
      <queryTableField id="10" name="periodicidade" tableColumnId="10"/>
      <queryTableField id="11" name="dia_exec" tableColumnId="11"/>
      <queryTableField id="12" name="criticidade" tableColumnId="12"/>
      <queryTableField id="13" name="tipo_exec" tableColumnId="13"/>
      <queryTableField id="14" name="universo_tbl" tableColumnId="14"/>
      <queryTableField id="15" name="desc_universo_tbl" tableColumnId="15"/>
      <queryTableField id="16" name="universo_cond_sql" tableColumnId="16"/>
      <queryTableField id="17" name="tipo_kpi" tableColumnId="17"/>
      <queryTableField id="18" name="kpi_cond_sql" tableColumnId="18"/>
      <queryTableField id="19" name="catal_campo_orig" tableColumnId="19"/>
      <queryTableField id="20" name="catal_tbl_ref" tableColumnId="20"/>
      <queryTableField id="21" name="catal_campo_ref" tableColumnId="21"/>
      <queryTableField id="22" name="catal_filtro" tableColumnId="22"/>
      <queryTableField id="23" name="campos_agreg" tableColumnId="23"/>
      <queryTableField id="24" name="cond_agreg" tableColumnId="24"/>
      <queryTableField id="25" name="variacao_num_periodos" tableColumnId="25"/>
      <queryTableField id="26" name="alrt_amarelo" tableColumnId="26"/>
      <queryTableField id="27" name="alrt_laranja" tableColumnId="27"/>
      <queryTableField id="28" name="alrt_vermelho" tableColumnId="28"/>
      <queryTableField id="29" name="htimest" tableColumnId="29"/>
      <queryTableField id="30" name="ckutulmo" tableColumnId="30"/>
      <queryTableField id="31" name="ref_date" tableColumnId="31"/>
      <queryTableField id="32" name="cod_visao" tableColumnId="32"/>
      <queryTableField id="33" name="num_reg_ok" tableColumnId="33"/>
      <queryTableField id="34" name="num_reg_nok" tableColumnId="34"/>
      <queryTableField id="35" name="num_reg_tot" tableColumnId="35"/>
      <queryTableField id="36" name="resultado" tableColumnId="36"/>
      <queryTableField id="40" name="finalidade" tableColumnId="37"/>
      <queryTableField id="41" name="status" tableColumnId="38"/>
      <queryTableField id="42" name="contagem_agreg" tableColumnId="39"/>
      <queryTableField id="43" name="tipo_alerta" tableColumnId="40"/>
      <queryTableField id="44" name="data_execucao" tableColumnId="41"/>
      <queryTableField id="45" name="cod_agreg" tableColumnId="4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Impala_PRO" displayName="Table_Query_from_Impala_PRO" ref="C17:D18" tableType="queryTable" totalsRowShown="0" headerRowDxfId="38">
  <autoFilter ref="C17:D18" xr:uid="{00000000-0009-0000-0100-000001000000}"/>
  <tableColumns count="2">
    <tableColumn id="1" xr3:uid="{00000000-0010-0000-0000-000001000000}" uniqueName="1" name="ref_date" queryTableFieldId="1"/>
    <tableColumn id="5" xr3:uid="{00000000-0010-0000-0000-000005000000}" uniqueName="5" name="numero_kpi_executados" queryTableFieldId="5" dataDxfId="3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Query_from_Impala_PRO38" displayName="Table_Query_from_Impala_PRO38" ref="B37:M39" tableType="queryTable" totalsRowShown="0" headerRowDxfId="17" dataDxfId="15" headerRowBorderDxfId="16">
  <autoFilter ref="B37:M39" xr:uid="{00000000-000C-0000-FFFF-FFFF01000000}"/>
  <tableColumns count="12">
    <tableColumn id="1" xr3:uid="{00000000-0010-0000-0100-000001000000}" uniqueName="1" name="dado_base" queryTableFieldId="1"/>
    <tableColumn id="2" xr3:uid="{00000000-0010-0000-0100-000002000000}" uniqueName="2" name="cod_kpi" queryTableFieldId="2"/>
    <tableColumn id="5" xr3:uid="{00000000-0010-0000-0100-000005000000}" uniqueName="5" name="desc_kpi" queryTableFieldId="5" dataDxfId="14"/>
    <tableColumn id="3" xr3:uid="{00000000-0010-0000-0100-000003000000}" uniqueName="3" name="criticidade" queryTableFieldId="3" dataDxfId="13"/>
    <tableColumn id="4" xr3:uid="{00000000-0010-0000-0100-000004000000}" uniqueName="4" name="tipo_kpi" queryTableFieldId="4" dataDxfId="12"/>
    <tableColumn id="41" xr3:uid="{00000000-0010-0000-0100-000029000000}" uniqueName="41" name="numero_ok" queryTableFieldId="42" dataDxfId="11"/>
    <tableColumn id="42" xr3:uid="{00000000-0010-0000-0100-00002A000000}" uniqueName="42" name="numero_nok" queryTableFieldId="43" dataDxfId="10"/>
    <tableColumn id="43" xr3:uid="{00000000-0010-0000-0100-00002B000000}" uniqueName="43" name="numero_total" queryTableFieldId="44" dataDxfId="9"/>
    <tableColumn id="45" xr3:uid="{00000000-0010-0000-0100-00002D000000}" uniqueName="45" name="percentagem_nok" queryTableFieldId="46" dataDxfId="8" dataCellStyle="Percent"/>
    <tableColumn id="6" xr3:uid="{00000000-0010-0000-0100-000006000000}" uniqueName="6" name="Variacao" queryTableFieldId="51" dataDxfId="7" dataCellStyle="Percent"/>
    <tableColumn id="44" xr3:uid="{00000000-0010-0000-0100-00002C000000}" uniqueName="44" name="resultado" queryTableFieldId="45" dataDxfId="6"/>
    <tableColumn id="10" xr3:uid="{00000000-0010-0000-0100-00000A000000}" uniqueName="10" name="Consultar_Detalhe" queryTableFieldId="11" dataDxfId="5" dataCellStyle="Hyperlink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e_Query_from_Impala_PRO59" displayName="Table_Query_from_Impala_PRO59" ref="B9:AQ157" tableType="queryTable" totalsRowShown="0" headerRowDxfId="4">
  <autoFilter ref="B9:AQ157" xr:uid="{00000000-0009-0000-0100-000008000000}"/>
  <sortState xmlns:xlrd2="http://schemas.microsoft.com/office/spreadsheetml/2017/richdata2" ref="B10:AQ157">
    <sortCondition ref="B9:B157"/>
  </sortState>
  <tableColumns count="42">
    <tableColumn id="1" xr3:uid="{00000000-0010-0000-0200-000001000000}" uniqueName="1" name="cod_kpi" queryTableFieldId="1"/>
    <tableColumn id="2" xr3:uid="{00000000-0010-0000-0200-000002000000}" uniqueName="2" name="desc_kpi" queryTableFieldId="2"/>
    <tableColumn id="3" xr3:uid="{00000000-0010-0000-0200-000003000000}" uniqueName="3" name="categ_teste" queryTableFieldId="3"/>
    <tableColumn id="4" xr3:uid="{00000000-0010-0000-0200-000004000000}" uniqueName="4" name="sub_categ_teste" queryTableFieldId="4"/>
    <tableColumn id="5" xr3:uid="{00000000-0010-0000-0200-000005000000}" uniqueName="5" name="ativo" queryTableFieldId="5"/>
    <tableColumn id="6" xr3:uid="{00000000-0010-0000-0200-000006000000}" uniqueName="6" name="fonte_externa" queryTableFieldId="6"/>
    <tableColumn id="7" xr3:uid="{00000000-0010-0000-0200-000007000000}" uniqueName="7" name="ambito" queryTableFieldId="7"/>
    <tableColumn id="8" xr3:uid="{00000000-0010-0000-0200-000008000000}" uniqueName="8" name="repositorio" queryTableFieldId="8"/>
    <tableColumn id="9" xr3:uid="{00000000-0010-0000-0200-000009000000}" uniqueName="9" name="dado_base" queryTableFieldId="9"/>
    <tableColumn id="10" xr3:uid="{00000000-0010-0000-0200-00000A000000}" uniqueName="10" name="periodicidade" queryTableFieldId="10"/>
    <tableColumn id="11" xr3:uid="{00000000-0010-0000-0200-00000B000000}" uniqueName="11" name="dia_exec" queryTableFieldId="11"/>
    <tableColumn id="12" xr3:uid="{00000000-0010-0000-0200-00000C000000}" uniqueName="12" name="criticidade" queryTableFieldId="12"/>
    <tableColumn id="13" xr3:uid="{00000000-0010-0000-0200-00000D000000}" uniqueName="13" name="tipo_exec" queryTableFieldId="13"/>
    <tableColumn id="14" xr3:uid="{00000000-0010-0000-0200-00000E000000}" uniqueName="14" name="universo_tbl" queryTableFieldId="14"/>
    <tableColumn id="15" xr3:uid="{00000000-0010-0000-0200-00000F000000}" uniqueName="15" name="desc_universo_tbl" queryTableFieldId="15"/>
    <tableColumn id="16" xr3:uid="{00000000-0010-0000-0200-000010000000}" uniqueName="16" name="universo_cond_sql" queryTableFieldId="16"/>
    <tableColumn id="17" xr3:uid="{00000000-0010-0000-0200-000011000000}" uniqueName="17" name="tipo_kpi" queryTableFieldId="17"/>
    <tableColumn id="18" xr3:uid="{00000000-0010-0000-0200-000012000000}" uniqueName="18" name="kpi_cond_sql" queryTableFieldId="18"/>
    <tableColumn id="19" xr3:uid="{00000000-0010-0000-0200-000013000000}" uniqueName="19" name="catal_campo_orig" queryTableFieldId="19"/>
    <tableColumn id="20" xr3:uid="{00000000-0010-0000-0200-000014000000}" uniqueName="20" name="catal_tbl_ref" queryTableFieldId="20"/>
    <tableColumn id="21" xr3:uid="{00000000-0010-0000-0200-000015000000}" uniqueName="21" name="catal_campo_ref" queryTableFieldId="21"/>
    <tableColumn id="22" xr3:uid="{00000000-0010-0000-0200-000016000000}" uniqueName="22" name="catal_filtro" queryTableFieldId="22"/>
    <tableColumn id="23" xr3:uid="{00000000-0010-0000-0200-000017000000}" uniqueName="23" name="campos_agreg" queryTableFieldId="23"/>
    <tableColumn id="24" xr3:uid="{00000000-0010-0000-0200-000018000000}" uniqueName="24" name="cond_agreg" queryTableFieldId="24"/>
    <tableColumn id="25" xr3:uid="{00000000-0010-0000-0200-000019000000}" uniqueName="25" name="variacao_num_periodos" queryTableFieldId="25"/>
    <tableColumn id="26" xr3:uid="{00000000-0010-0000-0200-00001A000000}" uniqueName="26" name="alrt_amarelo" queryTableFieldId="26" dataDxfId="3"/>
    <tableColumn id="27" xr3:uid="{00000000-0010-0000-0200-00001B000000}" uniqueName="27" name="alrt_laranja" queryTableFieldId="27" dataDxfId="2"/>
    <tableColumn id="28" xr3:uid="{00000000-0010-0000-0200-00001C000000}" uniqueName="28" name="alrt_vermelho" queryTableFieldId="28" dataDxfId="1"/>
    <tableColumn id="29" xr3:uid="{00000000-0010-0000-0200-00001D000000}" uniqueName="29" name="htimest" queryTableFieldId="29" dataDxfId="0"/>
    <tableColumn id="30" xr3:uid="{00000000-0010-0000-0200-00001E000000}" uniqueName="30" name="ckutulmo" queryTableFieldId="30"/>
    <tableColumn id="31" xr3:uid="{00000000-0010-0000-0200-00001F000000}" uniqueName="31" name="ref_date" queryTableFieldId="31"/>
    <tableColumn id="32" xr3:uid="{00000000-0010-0000-0200-000020000000}" uniqueName="32" name="cod_visao" queryTableFieldId="32"/>
    <tableColumn id="33" xr3:uid="{00000000-0010-0000-0200-000021000000}" uniqueName="33" name="num_reg_ok" queryTableFieldId="33"/>
    <tableColumn id="34" xr3:uid="{00000000-0010-0000-0200-000022000000}" uniqueName="34" name="num_reg_nok" queryTableFieldId="34"/>
    <tableColumn id="35" xr3:uid="{00000000-0010-0000-0200-000023000000}" uniqueName="35" name="num_reg_tot" queryTableFieldId="35"/>
    <tableColumn id="36" xr3:uid="{00000000-0010-0000-0200-000024000000}" uniqueName="36" name="resultado" queryTableFieldId="36"/>
    <tableColumn id="37" xr3:uid="{00000000-0010-0000-0200-000025000000}" uniqueName="37" name="finalidade" queryTableFieldId="40"/>
    <tableColumn id="38" xr3:uid="{00000000-0010-0000-0200-000026000000}" uniqueName="38" name="status" queryTableFieldId="41"/>
    <tableColumn id="39" xr3:uid="{00000000-0010-0000-0200-000027000000}" uniqueName="39" name="contagem_agreg" queryTableFieldId="42"/>
    <tableColumn id="40" xr3:uid="{00000000-0010-0000-0200-000028000000}" uniqueName="40" name="tipo_alerta" queryTableFieldId="43"/>
    <tableColumn id="41" xr3:uid="{00000000-0010-0000-0200-000029000000}" uniqueName="41" name="data_execucao" queryTableFieldId="44"/>
    <tableColumn id="42" xr3:uid="{00000000-0010-0000-0200-00002A000000}" uniqueName="42" name="cod_agreg" queryTableField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AW29"/>
  <sheetViews>
    <sheetView showGridLines="0" topLeftCell="A2" zoomScale="85" zoomScaleNormal="85" workbookViewId="0"/>
  </sheetViews>
  <sheetFormatPr defaultColWidth="0" defaultRowHeight="14.4" x14ac:dyDescent="0.3"/>
  <cols>
    <col min="1" max="1" width="2.5546875" customWidth="1"/>
    <col min="2" max="2" width="3.5546875" style="34" customWidth="1"/>
    <col min="3" max="3" width="13.109375" style="34" customWidth="1"/>
    <col min="4" max="4" width="14.44140625" style="34" customWidth="1"/>
    <col min="5" max="5" width="24.77734375" customWidth="1"/>
    <col min="6" max="13" width="15.5546875" customWidth="1"/>
    <col min="14" max="14" width="19" style="23" customWidth="1"/>
    <col min="15" max="15" width="15.5546875" customWidth="1"/>
    <col min="16" max="16" width="18.109375" customWidth="1"/>
    <col min="17" max="17" width="15.5546875" customWidth="1"/>
    <col min="18" max="16384" width="9.109375" hidden="1"/>
  </cols>
  <sheetData>
    <row r="1" spans="2:49" x14ac:dyDescent="0.3">
      <c r="B1"/>
      <c r="C1"/>
      <c r="D1"/>
    </row>
    <row r="2" spans="2:49" x14ac:dyDescent="0.3">
      <c r="B2"/>
      <c r="C2"/>
      <c r="D2"/>
    </row>
    <row r="3" spans="2:49" s="1" customFormat="1" ht="13.8" x14ac:dyDescent="0.25">
      <c r="B3" s="2" t="s">
        <v>114</v>
      </c>
      <c r="C3" s="2"/>
      <c r="D3" s="2"/>
      <c r="G3" s="3"/>
      <c r="N3" s="39"/>
    </row>
    <row r="4" spans="2:49" s="1" customFormat="1" ht="5.25" customHeight="1" thickBo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0"/>
      <c r="O4" s="4"/>
      <c r="P4" s="4"/>
      <c r="Q4" s="4"/>
    </row>
    <row r="5" spans="2:49" s="1" customFormat="1" ht="15" customHeight="1" thickTop="1" x14ac:dyDescent="0.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41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2:49" ht="15" customHeight="1" thickBot="1" x14ac:dyDescent="0.35">
      <c r="B6" s="13" t="s">
        <v>64</v>
      </c>
      <c r="C6" s="13"/>
      <c r="D6" s="13"/>
      <c r="E6" s="7"/>
      <c r="F6" s="7"/>
      <c r="G6" s="7"/>
      <c r="H6" s="7"/>
      <c r="I6" s="7"/>
      <c r="J6" s="7"/>
      <c r="K6" s="7"/>
      <c r="L6" s="7"/>
      <c r="M6" s="7"/>
      <c r="N6" s="24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8" spans="2:49" ht="5.25" customHeight="1" x14ac:dyDescent="0.3"/>
    <row r="9" spans="2:49" ht="14.7" customHeight="1" x14ac:dyDescent="0.3">
      <c r="B9" s="48" t="s">
        <v>65</v>
      </c>
      <c r="C9" s="48"/>
      <c r="D9" s="48"/>
      <c r="E9" s="10"/>
      <c r="F9" s="23"/>
      <c r="G9" s="23"/>
      <c r="H9" s="23"/>
      <c r="I9" s="23"/>
      <c r="J9" s="23"/>
      <c r="K9" s="23"/>
      <c r="L9" s="30"/>
      <c r="M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1" spans="2:49" x14ac:dyDescent="0.3">
      <c r="B11" s="49" t="s">
        <v>68</v>
      </c>
      <c r="C11" s="49"/>
      <c r="D11" s="49"/>
    </row>
    <row r="12" spans="2:49" ht="5.25" customHeight="1" x14ac:dyDescent="0.3">
      <c r="B12" s="49"/>
      <c r="C12" s="49"/>
      <c r="D12" s="49"/>
    </row>
    <row r="13" spans="2:49" x14ac:dyDescent="0.3">
      <c r="B13" s="49" t="s">
        <v>69</v>
      </c>
      <c r="C13" s="49"/>
      <c r="D13" s="49"/>
    </row>
    <row r="14" spans="2:49" ht="5.25" customHeight="1" x14ac:dyDescent="0.3">
      <c r="B14" s="49"/>
      <c r="C14" s="49"/>
      <c r="D14" s="49"/>
    </row>
    <row r="15" spans="2:49" x14ac:dyDescent="0.3">
      <c r="B15" s="49"/>
      <c r="C15" s="49"/>
      <c r="D15" s="49"/>
    </row>
    <row r="16" spans="2:49" ht="5.25" customHeight="1" x14ac:dyDescent="0.3">
      <c r="B16" s="49"/>
      <c r="C16" s="49"/>
      <c r="D16" s="49"/>
    </row>
    <row r="17" spans="2:14" x14ac:dyDescent="0.3">
      <c r="C17" s="56" t="s">
        <v>52</v>
      </c>
      <c r="D17" s="56" t="s">
        <v>67</v>
      </c>
      <c r="K17" s="23"/>
      <c r="N17"/>
    </row>
    <row r="18" spans="2:14" x14ac:dyDescent="0.3">
      <c r="C18" t="s">
        <v>77</v>
      </c>
      <c r="D18" s="23">
        <v>2</v>
      </c>
      <c r="K18" s="23"/>
      <c r="N18"/>
    </row>
    <row r="19" spans="2:14" x14ac:dyDescent="0.3">
      <c r="C19"/>
      <c r="D19" s="23"/>
      <c r="K19" s="23"/>
      <c r="N19"/>
    </row>
    <row r="20" spans="2:14" x14ac:dyDescent="0.3">
      <c r="C20"/>
      <c r="D20" s="23"/>
      <c r="K20" s="23"/>
      <c r="N20"/>
    </row>
    <row r="21" spans="2:14" x14ac:dyDescent="0.3">
      <c r="C21"/>
      <c r="D21" s="23"/>
      <c r="K21" s="23"/>
      <c r="N21"/>
    </row>
    <row r="22" spans="2:14" x14ac:dyDescent="0.3">
      <c r="C22"/>
      <c r="D22" s="23"/>
      <c r="K22" s="23"/>
      <c r="N22"/>
    </row>
    <row r="23" spans="2:14" x14ac:dyDescent="0.3">
      <c r="C23"/>
      <c r="D23" s="23"/>
      <c r="K23" s="23"/>
      <c r="N23"/>
    </row>
    <row r="24" spans="2:14" x14ac:dyDescent="0.3">
      <c r="B24" s="49" t="s">
        <v>73</v>
      </c>
      <c r="C24" s="49"/>
      <c r="D24" s="49"/>
    </row>
    <row r="25" spans="2:14" x14ac:dyDescent="0.3">
      <c r="B25" s="49"/>
      <c r="C25" s="49"/>
      <c r="D25" s="49"/>
    </row>
    <row r="26" spans="2:14" x14ac:dyDescent="0.3">
      <c r="B26" s="49" t="s">
        <v>74</v>
      </c>
      <c r="C26" s="49"/>
      <c r="D26" s="49"/>
    </row>
    <row r="27" spans="2:14" x14ac:dyDescent="0.3">
      <c r="B27" s="49"/>
      <c r="C27" s="49"/>
      <c r="D27" s="49"/>
    </row>
    <row r="28" spans="2:14" x14ac:dyDescent="0.3">
      <c r="B28" s="49" t="s">
        <v>75</v>
      </c>
      <c r="C28" s="49"/>
      <c r="D28" s="49"/>
    </row>
    <row r="29" spans="2:14" x14ac:dyDescent="0.3">
      <c r="B29" s="49" t="s">
        <v>66</v>
      </c>
      <c r="C29" s="49"/>
      <c r="D29" s="49"/>
    </row>
  </sheetData>
  <conditionalFormatting sqref="AU9">
    <cfRule type="containsText" dxfId="51" priority="14" operator="containsText" text="OK">
      <formula>NOT(ISERROR(SEARCH("OK",AU9)))</formula>
    </cfRule>
    <cfRule type="containsText" dxfId="50" priority="15" operator="containsText" text="SEM DADOS">
      <formula>NOT(ISERROR(SEARCH("SEM DADOS",AU9)))</formula>
    </cfRule>
    <cfRule type="containsText" dxfId="49" priority="16" operator="containsText" text="ERRO">
      <formula>NOT(ISERROR(SEARCH("ERRO",AU9)))</formula>
    </cfRule>
    <cfRule type="containsText" dxfId="48" priority="17" operator="containsText" text="AMARELO">
      <formula>NOT(ISERROR(SEARCH("AMARELO",AU9)))</formula>
    </cfRule>
    <cfRule type="containsText" dxfId="47" priority="18" operator="containsText" text="LARANJA">
      <formula>NOT(ISERROR(SEARCH("LARANJA",AU9)))</formula>
    </cfRule>
    <cfRule type="containsText" dxfId="46" priority="19" operator="containsText" text="VERMELHO">
      <formula>NOT(ISERROR(SEARCH("VERMELHO",AU9)))</formula>
    </cfRule>
  </conditionalFormatting>
  <conditionalFormatting sqref="A5">
    <cfRule type="containsText" dxfId="45" priority="7" operator="containsText" text="VERMELHO">
      <formula>NOT(ISERROR(SEARCH("VERMELHO",A5)))</formula>
    </cfRule>
  </conditionalFormatting>
  <conditionalFormatting sqref="M1:M16 J17:J23 M24:M1048576">
    <cfRule type="containsText" dxfId="44" priority="1" operator="containsText" text="SEM DADOS">
      <formula>NOT(ISERROR(SEARCH("SEM DADOS",J1)))</formula>
    </cfRule>
    <cfRule type="containsText" dxfId="43" priority="2" operator="containsText" text="ERRO">
      <formula>NOT(ISERROR(SEARCH("ERRO",J1)))</formula>
    </cfRule>
    <cfRule type="containsText" dxfId="42" priority="3" operator="containsText" text="OK">
      <formula>NOT(ISERROR(SEARCH("OK",J1)))</formula>
    </cfRule>
    <cfRule type="containsText" dxfId="41" priority="4" operator="containsText" text="AMARELO">
      <formula>NOT(ISERROR(SEARCH("AMARELO",J1)))</formula>
    </cfRule>
    <cfRule type="containsText" dxfId="40" priority="5" operator="containsText" text="LARANJA">
      <formula>NOT(ISERROR(SEARCH("LARANJA",J1)))</formula>
    </cfRule>
    <cfRule type="containsText" dxfId="39" priority="6" operator="containsText" text="VERMELHO">
      <formula>NOT(ISERROR(SEARCH("VERMELHO",J1)))</formula>
    </cfRule>
  </conditionalFormatting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ualizar_datas">
                <anchor moveWithCells="1" sizeWithCells="1">
                  <from>
                    <xdr:col>2</xdr:col>
                    <xdr:colOff>0</xdr:colOff>
                    <xdr:row>13</xdr:row>
                    <xdr:rowOff>68580</xdr:rowOff>
                  </from>
                  <to>
                    <xdr:col>3</xdr:col>
                    <xdr:colOff>152400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AS39"/>
  <sheetViews>
    <sheetView showGridLines="0" zoomScale="85" zoomScaleNormal="85" workbookViewId="0">
      <selection activeCell="B38" sqref="B38"/>
    </sheetView>
  </sheetViews>
  <sheetFormatPr defaultColWidth="0" defaultRowHeight="14.4" x14ac:dyDescent="0.3"/>
  <cols>
    <col min="1" max="1" width="2.5546875" customWidth="1"/>
    <col min="2" max="2" width="33.44140625" style="34" customWidth="1"/>
    <col min="3" max="3" width="15.5546875" customWidth="1"/>
    <col min="4" max="4" width="85.5546875" bestFit="1" customWidth="1"/>
    <col min="5" max="6" width="15.5546875" customWidth="1"/>
    <col min="7" max="7" width="19.109375" bestFit="1" customWidth="1"/>
    <col min="8" max="12" width="15.5546875" customWidth="1"/>
    <col min="13" max="13" width="15.5546875" style="23" customWidth="1"/>
    <col min="14" max="14" width="9.109375" customWidth="1"/>
    <col min="15" max="16384" width="9.109375" hidden="1"/>
  </cols>
  <sheetData>
    <row r="1" spans="2:45" x14ac:dyDescent="0.3">
      <c r="B1"/>
    </row>
    <row r="2" spans="2:45" x14ac:dyDescent="0.3">
      <c r="B2"/>
    </row>
    <row r="3" spans="2:45" s="1" customFormat="1" ht="13.8" x14ac:dyDescent="0.25">
      <c r="B3" s="2" t="s">
        <v>114</v>
      </c>
      <c r="E3" s="3"/>
      <c r="M3" s="39"/>
    </row>
    <row r="4" spans="2:45" s="1" customFormat="1" ht="5.25" customHeight="1" thickBo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0"/>
      <c r="N4" s="40"/>
    </row>
    <row r="5" spans="2:45" s="1" customFormat="1" ht="15" customHeight="1" thickTop="1" x14ac:dyDescent="0.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41"/>
      <c r="N5" s="41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</row>
    <row r="6" spans="2:45" ht="15" customHeight="1" thickBot="1" x14ac:dyDescent="0.35">
      <c r="B6" s="13" t="s">
        <v>60</v>
      </c>
      <c r="C6" s="7"/>
      <c r="D6" s="7"/>
      <c r="E6" s="7"/>
      <c r="F6" s="7"/>
      <c r="G6" s="7"/>
      <c r="H6" s="7"/>
      <c r="I6" s="7"/>
      <c r="J6" s="7"/>
      <c r="K6" s="7"/>
      <c r="L6" s="7"/>
      <c r="M6" s="2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8" spans="2:45" ht="5.25" customHeight="1" x14ac:dyDescent="0.3"/>
    <row r="9" spans="2:45" x14ac:dyDescent="0.3">
      <c r="B9" s="14" t="s">
        <v>61</v>
      </c>
      <c r="C9" s="47">
        <v>45961</v>
      </c>
      <c r="D9" s="23"/>
      <c r="E9" s="48"/>
      <c r="F9" s="52"/>
      <c r="G9" s="52"/>
      <c r="H9" s="52"/>
      <c r="I9" s="52"/>
      <c r="J9" s="54"/>
      <c r="K9" s="54"/>
      <c r="L9" s="52"/>
      <c r="M9" s="52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</row>
    <row r="10" spans="2:45" hidden="1" x14ac:dyDescent="0.3">
      <c r="B10" s="45" t="s">
        <v>63</v>
      </c>
      <c r="C10" s="46" t="str">
        <f>YEAR(C9)&amp;"-"&amp;TEXT(MONTH(C9),"00")&amp;"-"&amp;TEXT(DAY(C9),"00")</f>
        <v>2025-10-31</v>
      </c>
      <c r="D10" s="23"/>
      <c r="E10" s="50"/>
      <c r="F10" s="52"/>
      <c r="G10" s="52"/>
      <c r="H10" s="52"/>
      <c r="I10" s="52"/>
      <c r="J10" s="54"/>
      <c r="K10" s="54"/>
      <c r="L10" s="52"/>
      <c r="M10" s="52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</row>
    <row r="11" spans="2:45" ht="10.199999999999999" hidden="1" customHeight="1" x14ac:dyDescent="0.3">
      <c r="B11" s="12"/>
      <c r="C11" s="10"/>
      <c r="D11" s="23"/>
      <c r="E11" s="52"/>
      <c r="F11" s="52"/>
      <c r="G11" s="52"/>
      <c r="H11" s="52"/>
      <c r="I11" s="52"/>
      <c r="J11" s="54"/>
      <c r="K11" s="54"/>
      <c r="L11" s="52"/>
      <c r="M11" s="52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</row>
    <row r="12" spans="2:45" hidden="1" x14ac:dyDescent="0.3">
      <c r="B12" s="14" t="s">
        <v>62</v>
      </c>
      <c r="C12" s="15" t="s">
        <v>26</v>
      </c>
      <c r="E12" s="34"/>
      <c r="F12" s="34"/>
      <c r="G12" s="34"/>
      <c r="H12" s="34"/>
      <c r="I12" s="34"/>
      <c r="J12" s="55"/>
      <c r="K12" s="55"/>
      <c r="L12" s="34"/>
      <c r="M12" s="52"/>
    </row>
    <row r="13" spans="2:45" ht="10.199999999999999" customHeight="1" x14ac:dyDescent="0.3">
      <c r="B13" s="12"/>
      <c r="C13" s="10"/>
      <c r="D13" s="23"/>
      <c r="E13" s="51"/>
      <c r="F13" s="52"/>
      <c r="G13" s="52"/>
      <c r="H13" s="52"/>
      <c r="I13" s="52"/>
      <c r="J13" s="54"/>
      <c r="K13" s="54"/>
      <c r="L13" s="52"/>
      <c r="M13" s="52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</row>
    <row r="14" spans="2:45" x14ac:dyDescent="0.3">
      <c r="B14" s="14" t="s">
        <v>70</v>
      </c>
      <c r="C14" s="10"/>
      <c r="D14" s="23"/>
      <c r="E14" s="51"/>
      <c r="F14" s="52"/>
      <c r="G14" s="52"/>
      <c r="H14" s="52"/>
      <c r="I14" s="52"/>
      <c r="J14" s="54"/>
      <c r="K14" s="54"/>
      <c r="L14" s="52"/>
      <c r="M14" s="52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</row>
    <row r="15" spans="2:45" ht="10.199999999999999" customHeight="1" x14ac:dyDescent="0.3">
      <c r="B15" s="42"/>
      <c r="C15" s="10"/>
      <c r="D15" s="23"/>
      <c r="E15" s="52"/>
      <c r="F15" s="52"/>
      <c r="G15" s="52"/>
      <c r="H15" s="52"/>
      <c r="I15" s="52"/>
      <c r="J15" s="54"/>
      <c r="K15" s="54"/>
      <c r="L15" s="52"/>
      <c r="M15" s="52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</row>
    <row r="16" spans="2:45" ht="15.6" x14ac:dyDescent="0.3">
      <c r="B16" s="44" t="s">
        <v>71</v>
      </c>
      <c r="C16" s="10"/>
      <c r="D16" s="23"/>
      <c r="E16" s="51"/>
      <c r="F16" s="52"/>
      <c r="G16" s="52"/>
      <c r="H16" s="52"/>
      <c r="I16" s="52"/>
      <c r="J16" s="54"/>
      <c r="K16" s="54"/>
      <c r="L16" s="52"/>
      <c r="M16" s="52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</row>
    <row r="17" spans="2:45" ht="10.199999999999999" customHeight="1" x14ac:dyDescent="0.3">
      <c r="B17" s="43"/>
      <c r="C17" s="10"/>
      <c r="D17" s="23"/>
      <c r="E17" s="52"/>
      <c r="F17" s="52"/>
      <c r="G17" s="52"/>
      <c r="H17" s="52"/>
      <c r="I17" s="52"/>
      <c r="J17" s="54"/>
      <c r="K17" s="54"/>
      <c r="L17" s="52"/>
      <c r="M17" s="52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</row>
    <row r="18" spans="2:45" ht="15.6" x14ac:dyDescent="0.3">
      <c r="B18" s="44" t="s">
        <v>72</v>
      </c>
      <c r="C18" s="10"/>
      <c r="D18" s="23"/>
      <c r="E18" s="51"/>
      <c r="F18" s="52"/>
      <c r="G18" s="52"/>
      <c r="H18" s="52"/>
      <c r="I18" s="52"/>
      <c r="J18" s="54"/>
      <c r="K18" s="54"/>
      <c r="L18" s="52"/>
      <c r="M18" s="52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</row>
    <row r="19" spans="2:45" x14ac:dyDescent="0.3">
      <c r="B19" s="12"/>
      <c r="C19" s="10"/>
      <c r="D19" s="23"/>
      <c r="E19" s="53"/>
      <c r="F19" s="23"/>
      <c r="G19" s="23"/>
      <c r="H19" s="23"/>
      <c r="I19" s="23"/>
      <c r="J19" s="30"/>
      <c r="K19" s="30"/>
      <c r="L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</row>
    <row r="20" spans="2:45" x14ac:dyDescent="0.3">
      <c r="B20" s="12"/>
      <c r="C20" s="10"/>
      <c r="D20" s="23"/>
      <c r="E20" s="23"/>
      <c r="F20" s="23"/>
      <c r="G20" s="23"/>
      <c r="H20" s="23"/>
      <c r="I20" s="23"/>
      <c r="J20" s="30"/>
      <c r="K20" s="30"/>
      <c r="L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</row>
    <row r="21" spans="2:45" ht="15" customHeight="1" thickBot="1" x14ac:dyDescent="0.35">
      <c r="B21" s="13" t="s">
        <v>7</v>
      </c>
      <c r="C21" s="6"/>
      <c r="D21" s="25"/>
      <c r="E21" s="25"/>
      <c r="F21" s="25"/>
      <c r="G21" s="25"/>
      <c r="H21" s="25"/>
      <c r="I21" s="25"/>
      <c r="J21" s="31"/>
      <c r="K21" s="31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</row>
    <row r="22" spans="2:45" ht="5.25" customHeight="1" x14ac:dyDescent="0.3">
      <c r="B22" s="8"/>
      <c r="C22" s="8"/>
      <c r="D22" s="26"/>
      <c r="E22" s="26"/>
      <c r="F22" s="26"/>
      <c r="G22" s="26"/>
      <c r="H22" s="26"/>
      <c r="I22" s="26"/>
      <c r="J22" s="32"/>
      <c r="K22" s="32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3"/>
    </row>
    <row r="23" spans="2:45" ht="15" customHeight="1" x14ac:dyDescent="0.3">
      <c r="B23" s="9"/>
      <c r="C23" s="11"/>
      <c r="D23" s="23"/>
      <c r="E23" s="23"/>
      <c r="F23" s="23"/>
      <c r="G23" s="23"/>
      <c r="H23" s="23"/>
      <c r="I23" s="23"/>
      <c r="J23" s="30"/>
      <c r="K23" s="30"/>
      <c r="L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</row>
    <row r="24" spans="2:45" ht="15" customHeight="1" x14ac:dyDescent="0.3">
      <c r="B24" s="16" t="s">
        <v>9</v>
      </c>
      <c r="C24" s="16" t="s">
        <v>15</v>
      </c>
      <c r="D24" s="16" t="s">
        <v>16</v>
      </c>
      <c r="E24" s="23"/>
      <c r="F24" s="23"/>
      <c r="G24" s="23"/>
      <c r="H24" s="23"/>
      <c r="I24" s="30"/>
      <c r="J24" s="23"/>
      <c r="K24" s="23"/>
      <c r="L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</row>
    <row r="25" spans="2:45" ht="15" customHeight="1" x14ac:dyDescent="0.3">
      <c r="B25" s="17" t="s">
        <v>11</v>
      </c>
      <c r="C25" s="35">
        <v>0</v>
      </c>
      <c r="D25" s="36">
        <v>0</v>
      </c>
      <c r="E25" s="23"/>
      <c r="F25" s="23"/>
      <c r="G25" s="23"/>
      <c r="H25" s="23"/>
      <c r="I25" s="30"/>
      <c r="J25" s="23"/>
      <c r="K25" s="23"/>
      <c r="L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</row>
    <row r="26" spans="2:45" ht="15" customHeight="1" x14ac:dyDescent="0.3">
      <c r="B26" s="18" t="s">
        <v>5</v>
      </c>
      <c r="C26" s="35">
        <v>0</v>
      </c>
      <c r="D26" s="36">
        <v>0</v>
      </c>
      <c r="E26" s="23"/>
      <c r="F26" s="23"/>
      <c r="G26" s="23"/>
      <c r="H26" s="23"/>
      <c r="I26" s="30"/>
      <c r="J26" s="23"/>
      <c r="K26" s="23"/>
      <c r="L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</row>
    <row r="27" spans="2:45" ht="15" customHeight="1" x14ac:dyDescent="0.3">
      <c r="B27" s="19" t="s">
        <v>6</v>
      </c>
      <c r="C27" s="35">
        <v>1</v>
      </c>
      <c r="D27" s="36">
        <v>0.5</v>
      </c>
      <c r="E27" s="23"/>
      <c r="F27" s="23"/>
      <c r="G27" s="23"/>
      <c r="H27" s="23"/>
      <c r="I27" s="30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</row>
    <row r="28" spans="2:45" ht="15" customHeight="1" x14ac:dyDescent="0.3">
      <c r="B28" s="20" t="s">
        <v>10</v>
      </c>
      <c r="C28" s="35">
        <v>1</v>
      </c>
      <c r="D28" s="36">
        <v>0.5</v>
      </c>
      <c r="E28" s="23"/>
      <c r="F28" s="23"/>
      <c r="G28" s="23"/>
      <c r="H28" s="23"/>
      <c r="I28" s="30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</row>
    <row r="29" spans="2:45" ht="15" customHeight="1" x14ac:dyDescent="0.3">
      <c r="B29" s="21" t="s">
        <v>12</v>
      </c>
      <c r="C29" s="35">
        <v>0</v>
      </c>
      <c r="D29" s="36">
        <v>0</v>
      </c>
      <c r="E29" s="23"/>
      <c r="F29" s="23"/>
      <c r="G29" s="23"/>
      <c r="H29" s="23"/>
      <c r="I29" s="30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</row>
    <row r="30" spans="2:45" ht="15" customHeight="1" x14ac:dyDescent="0.3">
      <c r="B30" s="21" t="s">
        <v>13</v>
      </c>
      <c r="C30" s="35">
        <v>0</v>
      </c>
      <c r="D30" s="36">
        <v>0</v>
      </c>
      <c r="E30" s="23"/>
      <c r="F30" s="23"/>
      <c r="G30" s="23"/>
      <c r="H30" s="23"/>
      <c r="I30" s="30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</row>
    <row r="31" spans="2:45" ht="15" customHeight="1" x14ac:dyDescent="0.3">
      <c r="B31" s="22" t="s">
        <v>14</v>
      </c>
      <c r="C31" s="37">
        <v>2</v>
      </c>
      <c r="D31" s="38">
        <v>1</v>
      </c>
      <c r="E31" s="23"/>
      <c r="F31" s="23"/>
      <c r="G31" s="23"/>
      <c r="H31" s="23"/>
      <c r="I31" s="30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</row>
    <row r="32" spans="2:45" x14ac:dyDescent="0.3">
      <c r="B32" s="9"/>
      <c r="C32" s="11"/>
      <c r="D32" s="23"/>
      <c r="E32" s="23"/>
      <c r="F32" s="23"/>
      <c r="G32" s="23"/>
      <c r="H32" s="23"/>
      <c r="I32" s="23"/>
      <c r="J32" s="30"/>
      <c r="K32" s="30"/>
      <c r="L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</row>
    <row r="33" spans="2:45" x14ac:dyDescent="0.3">
      <c r="B33" s="9"/>
      <c r="C33" s="11"/>
      <c r="D33" s="23"/>
      <c r="E33" s="23"/>
      <c r="F33" s="23"/>
      <c r="G33" s="23"/>
      <c r="H33" s="23"/>
      <c r="I33" s="23"/>
      <c r="J33" s="30"/>
      <c r="K33" s="30"/>
      <c r="L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</row>
    <row r="34" spans="2:45" ht="15" thickBot="1" x14ac:dyDescent="0.35">
      <c r="B34" s="13" t="s">
        <v>8</v>
      </c>
      <c r="C34" s="7"/>
      <c r="D34" s="24"/>
      <c r="E34" s="24"/>
      <c r="F34" s="24"/>
      <c r="G34" s="24"/>
      <c r="H34" s="24"/>
      <c r="I34" s="24"/>
      <c r="J34" s="29"/>
      <c r="K34" s="29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</row>
    <row r="35" spans="2:45" ht="5.25" customHeight="1" x14ac:dyDescent="0.3">
      <c r="B35"/>
      <c r="D35" s="23"/>
      <c r="E35" s="23"/>
      <c r="F35" s="23"/>
      <c r="G35" s="23"/>
      <c r="H35" s="23"/>
      <c r="I35" s="23"/>
      <c r="J35" s="30"/>
      <c r="K35" s="30"/>
      <c r="L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</row>
    <row r="36" spans="2:45" ht="15.6" x14ac:dyDescent="0.3">
      <c r="B36" s="8"/>
      <c r="D36" s="23"/>
      <c r="E36" s="23"/>
      <c r="F36" s="23"/>
      <c r="G36" s="23"/>
      <c r="H36" s="59"/>
      <c r="I36" s="23"/>
      <c r="J36" s="30"/>
      <c r="K36" s="30"/>
      <c r="L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</row>
    <row r="37" spans="2:45" x14ac:dyDescent="0.3">
      <c r="B37" s="16" t="s">
        <v>19</v>
      </c>
      <c r="C37" s="16" t="s">
        <v>0</v>
      </c>
      <c r="D37" s="16" t="s">
        <v>22</v>
      </c>
      <c r="E37" s="16" t="s">
        <v>20</v>
      </c>
      <c r="F37" s="16" t="s">
        <v>21</v>
      </c>
      <c r="G37" s="16" t="s">
        <v>23</v>
      </c>
      <c r="H37" s="16" t="s">
        <v>24</v>
      </c>
      <c r="I37" s="16" t="s">
        <v>25</v>
      </c>
      <c r="J37" s="33" t="s">
        <v>54</v>
      </c>
      <c r="K37" s="33" t="s">
        <v>76</v>
      </c>
      <c r="L37" s="16" t="s">
        <v>4</v>
      </c>
      <c r="M37" s="27" t="s">
        <v>18</v>
      </c>
    </row>
    <row r="38" spans="2:45" x14ac:dyDescent="0.3">
      <c r="B38" t="s">
        <v>230</v>
      </c>
      <c r="C38" t="s">
        <v>231</v>
      </c>
      <c r="D38" s="28" t="s">
        <v>232</v>
      </c>
      <c r="E38" s="23" t="s">
        <v>79</v>
      </c>
      <c r="F38" s="23" t="s">
        <v>78</v>
      </c>
      <c r="G38" s="23">
        <v>382284</v>
      </c>
      <c r="H38" s="23">
        <v>0</v>
      </c>
      <c r="I38" s="23">
        <v>382284</v>
      </c>
      <c r="J38" s="85">
        <v>0</v>
      </c>
      <c r="K38" s="85"/>
      <c r="L38" s="23" t="s">
        <v>10</v>
      </c>
      <c r="M38" s="57"/>
    </row>
    <row r="39" spans="2:45" x14ac:dyDescent="0.3">
      <c r="B39" t="s">
        <v>298</v>
      </c>
      <c r="C39" t="s">
        <v>299</v>
      </c>
      <c r="D39" s="28" t="s">
        <v>300</v>
      </c>
      <c r="E39" s="23" t="s">
        <v>79</v>
      </c>
      <c r="F39" s="23" t="s">
        <v>250</v>
      </c>
      <c r="G39" s="23">
        <v>14666</v>
      </c>
      <c r="H39" s="23">
        <v>4</v>
      </c>
      <c r="I39" s="23">
        <v>14670</v>
      </c>
      <c r="J39" s="85">
        <v>2.726653E-4</v>
      </c>
      <c r="K39" s="85"/>
      <c r="L39" s="23" t="s">
        <v>6</v>
      </c>
      <c r="M39" s="57" t="s">
        <v>299</v>
      </c>
    </row>
  </sheetData>
  <conditionalFormatting sqref="AQ9:AQ10 AQ13:AQ23 AQ32:AQ36 AP24:AP31">
    <cfRule type="containsText" dxfId="36" priority="14" operator="containsText" text="OK">
      <formula>NOT(ISERROR(SEARCH("OK",AP9)))</formula>
    </cfRule>
    <cfRule type="containsText" dxfId="35" priority="15" operator="containsText" text="SEM DADOS">
      <formula>NOT(ISERROR(SEARCH("SEM DADOS",AP9)))</formula>
    </cfRule>
    <cfRule type="containsText" dxfId="34" priority="16" operator="containsText" text="ERRO">
      <formula>NOT(ISERROR(SEARCH("ERRO",AP9)))</formula>
    </cfRule>
    <cfRule type="containsText" dxfId="33" priority="17" operator="containsText" text="AMARELO">
      <formula>NOT(ISERROR(SEARCH("AMARELO",AP9)))</formula>
    </cfRule>
    <cfRule type="containsText" dxfId="32" priority="18" operator="containsText" text="LARANJA">
      <formula>NOT(ISERROR(SEARCH("LARANJA",AP9)))</formula>
    </cfRule>
    <cfRule type="containsText" dxfId="31" priority="19" operator="containsText" text="VERMELHO">
      <formula>NOT(ISERROR(SEARCH("VERMELHO",AP9)))</formula>
    </cfRule>
  </conditionalFormatting>
  <conditionalFormatting sqref="AQ11">
    <cfRule type="containsText" dxfId="30" priority="8" operator="containsText" text="OK">
      <formula>NOT(ISERROR(SEARCH("OK",AQ11)))</formula>
    </cfRule>
    <cfRule type="containsText" dxfId="29" priority="9" operator="containsText" text="SEM DADOS">
      <formula>NOT(ISERROR(SEARCH("SEM DADOS",AQ11)))</formula>
    </cfRule>
    <cfRule type="containsText" dxfId="28" priority="10" operator="containsText" text="ERRO">
      <formula>NOT(ISERROR(SEARCH("ERRO",AQ11)))</formula>
    </cfRule>
    <cfRule type="containsText" dxfId="27" priority="11" operator="containsText" text="AMARELO">
      <formula>NOT(ISERROR(SEARCH("AMARELO",AQ11)))</formula>
    </cfRule>
    <cfRule type="containsText" dxfId="26" priority="12" operator="containsText" text="LARANJA">
      <formula>NOT(ISERROR(SEARCH("LARANJA",AQ11)))</formula>
    </cfRule>
    <cfRule type="containsText" dxfId="25" priority="13" operator="containsText" text="VERMELHO">
      <formula>NOT(ISERROR(SEARCH("VERMELHO",AQ11)))</formula>
    </cfRule>
  </conditionalFormatting>
  <conditionalFormatting sqref="A5">
    <cfRule type="containsText" dxfId="24" priority="7" operator="containsText" text="VERMELHO">
      <formula>NOT(ISERROR(SEARCH("VERMELHO",A5)))</formula>
    </cfRule>
  </conditionalFormatting>
  <conditionalFormatting sqref="L1:L23 J24:K31 L32:L1048576">
    <cfRule type="containsText" dxfId="23" priority="1" operator="containsText" text="SEM DADOS">
      <formula>NOT(ISERROR(SEARCH("SEM DADOS",J1)))</formula>
    </cfRule>
    <cfRule type="containsText" dxfId="22" priority="2" operator="containsText" text="ERRO">
      <formula>NOT(ISERROR(SEARCH("ERRO",J1)))</formula>
    </cfRule>
    <cfRule type="containsText" dxfId="21" priority="3" operator="containsText" text="OK">
      <formula>NOT(ISERROR(SEARCH("OK",J1)))</formula>
    </cfRule>
    <cfRule type="containsText" dxfId="20" priority="4" operator="containsText" text="AMARELO">
      <formula>NOT(ISERROR(SEARCH("AMARELO",J1)))</formula>
    </cfRule>
    <cfRule type="containsText" dxfId="19" priority="5" operator="containsText" text="LARANJA">
      <formula>NOT(ISERROR(SEARCH("LARANJA",J1)))</formula>
    </cfRule>
    <cfRule type="containsText" dxfId="18" priority="6" operator="containsText" text="VERMELHO">
      <formula>NOT(ISERROR(SEARCH("VERMELHO",J1)))</formula>
    </cfRule>
  </conditionalFormatting>
  <dataValidations disablePrompts="1" count="1">
    <dataValidation type="list" allowBlank="1" showInputMessage="1" showErrorMessage="1" sqref="C12" xr:uid="{00000000-0002-0000-0100-000000000000}">
      <formula1>"Stock,NP"</formula1>
    </dataValidation>
  </dataValidations>
  <hyperlinks>
    <hyperlink ref="M39" location="'MBI_KPI_48'!A1" display="MBI_KPI_48" xr:uid="{3C692C7A-DBA9-4814-888B-5D7EA7FD89A6}"/>
  </hyperlinks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Apagar">
                <anchor moveWithCells="1" sizeWithCells="1">
                  <from>
                    <xdr:col>2</xdr:col>
                    <xdr:colOff>22860</xdr:colOff>
                    <xdr:row>12</xdr:row>
                    <xdr:rowOff>137160</xdr:rowOff>
                  </from>
                  <to>
                    <xdr:col>3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5" name="Button 2">
              <controlPr defaultSize="0" print="0" autoFill="0" autoPict="0" macro="[0]!Detalhe">
                <anchor moveWithCells="1" sizeWithCells="1">
                  <from>
                    <xdr:col>2</xdr:col>
                    <xdr:colOff>30480</xdr:colOff>
                    <xdr:row>16</xdr:row>
                    <xdr:rowOff>137160</xdr:rowOff>
                  </from>
                  <to>
                    <xdr:col>3</xdr:col>
                    <xdr:colOff>22860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3" r:id="rId6" name="Button 3">
              <controlPr defaultSize="0" print="0" autoFill="0" autoPict="0" macro="[0]!Resumo">
                <anchor moveWithCells="1" sizeWithCells="1">
                  <from>
                    <xdr:col>2</xdr:col>
                    <xdr:colOff>22860</xdr:colOff>
                    <xdr:row>14</xdr:row>
                    <xdr:rowOff>137160</xdr:rowOff>
                  </from>
                  <to>
                    <xdr:col>2</xdr:col>
                    <xdr:colOff>1402080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CN9"/>
  <sheetViews>
    <sheetView showGridLines="0" zoomScale="85" zoomScaleNormal="85" workbookViewId="0">
      <pane ySplit="4" topLeftCell="A5" activePane="bottomLeft" state="frozen"/>
      <selection activeCell="J36" sqref="J36"/>
      <selection pane="bottomLeft"/>
    </sheetView>
  </sheetViews>
  <sheetFormatPr defaultColWidth="9.109375" defaultRowHeight="13.8" x14ac:dyDescent="0.3"/>
  <cols>
    <col min="1" max="1" width="2.5546875" style="34" customWidth="1"/>
    <col min="2" max="92" width="25.5546875" style="69" customWidth="1"/>
    <col min="93" max="465" width="9.109375" style="34" customWidth="1"/>
    <col min="466" max="16384" width="9.109375" style="34"/>
  </cols>
  <sheetData>
    <row r="1" spans="2:92" customFormat="1" ht="14.4" x14ac:dyDescent="0.3"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</row>
    <row r="2" spans="2:92" customFormat="1" ht="14.4" x14ac:dyDescent="0.3"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</row>
    <row r="3" spans="2:92" s="1" customFormat="1" x14ac:dyDescent="0.25">
      <c r="B3" s="61" t="s">
        <v>114</v>
      </c>
      <c r="C3" s="62"/>
      <c r="D3" s="62"/>
      <c r="E3" s="63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</row>
    <row r="4" spans="2:92" s="1" customFormat="1" ht="5.25" customHeight="1" thickBot="1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</row>
    <row r="5" spans="2:92" s="1" customFormat="1" ht="15" customHeight="1" thickTop="1" x14ac:dyDescent="0.2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</row>
    <row r="6" spans="2:92" customFormat="1" ht="15" customHeight="1" thickBot="1" x14ac:dyDescent="0.35">
      <c r="B6" s="66" t="s">
        <v>58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</row>
    <row r="7" spans="2:92" customFormat="1" ht="14.4" x14ac:dyDescent="0.3">
      <c r="B7" s="68" t="s">
        <v>59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</row>
    <row r="8" spans="2:92" customFormat="1" ht="5.25" customHeight="1" x14ac:dyDescent="0.3">
      <c r="B8" s="69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</row>
    <row r="9" spans="2:92" s="9" customFormat="1" ht="14.4" x14ac:dyDescent="0.3">
      <c r="B9" s="70" t="s">
        <v>0</v>
      </c>
      <c r="C9" s="70" t="s">
        <v>55</v>
      </c>
      <c r="D9" s="70" t="s">
        <v>56</v>
      </c>
      <c r="E9" s="70" t="s">
        <v>57</v>
      </c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71"/>
      <c r="BV9" s="71"/>
      <c r="BW9" s="71"/>
      <c r="BX9" s="71"/>
      <c r="BY9" s="71"/>
      <c r="BZ9" s="71"/>
      <c r="CA9" s="71"/>
      <c r="CB9" s="71"/>
      <c r="CC9" s="71"/>
      <c r="CD9" s="71"/>
      <c r="CE9" s="71"/>
      <c r="CF9" s="71"/>
      <c r="CG9" s="71"/>
      <c r="CH9" s="71"/>
      <c r="CI9" s="71"/>
      <c r="CJ9" s="71"/>
      <c r="CK9" s="71"/>
      <c r="CL9" s="71"/>
      <c r="CM9" s="71"/>
      <c r="CN9" s="71"/>
    </row>
  </sheetData>
  <hyperlinks>
    <hyperlink ref="B7" location="Resumo!A1" display="Resumo" xr:uid="{00000000-0004-0000-0200-000000000000}"/>
  </hyperlinks>
  <pageMargins left="0.7" right="0.7" top="0.75" bottom="0.75" header="0.3" footer="0.3"/>
  <pageSetup paperSize="9" orientation="portrait" verticalDpi="599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B1:AQ157"/>
  <sheetViews>
    <sheetView showGridLines="0" tabSelected="1" zoomScale="85" zoomScaleNormal="85" workbookViewId="0">
      <pane ySplit="4" topLeftCell="A17" activePane="bottomLeft" state="frozen"/>
      <selection activeCell="J36" sqref="J36"/>
      <selection pane="bottomLeft" activeCell="E12" sqref="E12"/>
    </sheetView>
  </sheetViews>
  <sheetFormatPr defaultColWidth="9.109375" defaultRowHeight="14.4" x14ac:dyDescent="0.3"/>
  <cols>
    <col min="1" max="1" width="2.5546875" customWidth="1"/>
    <col min="2" max="2" width="15.5546875" style="34" customWidth="1"/>
    <col min="3" max="3" width="55.109375" customWidth="1"/>
    <col min="4" max="8" width="15.5546875" customWidth="1"/>
    <col min="9" max="9" width="32.109375" customWidth="1"/>
    <col min="10" max="18" width="15.5546875" customWidth="1"/>
    <col min="19" max="19" width="63.5546875" customWidth="1"/>
    <col min="20" max="29" width="15.5546875" customWidth="1"/>
    <col min="30" max="30" width="18.109375" bestFit="1" customWidth="1"/>
    <col min="31" max="43" width="15.5546875" customWidth="1"/>
    <col min="44" max="466" width="9.109375" customWidth="1"/>
  </cols>
  <sheetData>
    <row r="1" spans="2:43" x14ac:dyDescent="0.3">
      <c r="B1"/>
    </row>
    <row r="2" spans="2:43" x14ac:dyDescent="0.3">
      <c r="B2"/>
    </row>
    <row r="3" spans="2:43" s="1" customFormat="1" ht="13.8" x14ac:dyDescent="0.25">
      <c r="B3" s="2" t="s">
        <v>114</v>
      </c>
      <c r="E3" s="3"/>
    </row>
    <row r="4" spans="2:43" s="1" customFormat="1" ht="5.25" customHeight="1" thickBo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2:43" s="1" customFormat="1" ht="15" customHeight="1" thickTop="1" x14ac:dyDescent="0.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2:43" ht="15" customHeight="1" thickBot="1" x14ac:dyDescent="0.35">
      <c r="B6" s="13" t="s">
        <v>17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4"/>
      <c r="AM6" s="74"/>
      <c r="AN6" s="74"/>
      <c r="AO6" s="74"/>
      <c r="AP6" s="74"/>
      <c r="AQ6" s="74"/>
    </row>
    <row r="7" spans="2:43" x14ac:dyDescent="0.3">
      <c r="AH7" s="58"/>
    </row>
    <row r="8" spans="2:43" ht="5.25" customHeight="1" x14ac:dyDescent="0.3"/>
    <row r="9" spans="2:43" x14ac:dyDescent="0.3">
      <c r="B9" s="16" t="s">
        <v>0</v>
      </c>
      <c r="C9" s="16" t="s">
        <v>22</v>
      </c>
      <c r="D9" s="16" t="s">
        <v>27</v>
      </c>
      <c r="E9" s="16" t="s">
        <v>28</v>
      </c>
      <c r="F9" s="16" t="s">
        <v>29</v>
      </c>
      <c r="G9" s="16" t="s">
        <v>30</v>
      </c>
      <c r="H9" s="16" t="s">
        <v>31</v>
      </c>
      <c r="I9" s="16" t="s">
        <v>32</v>
      </c>
      <c r="J9" s="16" t="s">
        <v>19</v>
      </c>
      <c r="K9" s="16" t="s">
        <v>33</v>
      </c>
      <c r="L9" s="16" t="s">
        <v>34</v>
      </c>
      <c r="M9" s="16" t="s">
        <v>20</v>
      </c>
      <c r="N9" s="16" t="s">
        <v>35</v>
      </c>
      <c r="O9" s="16" t="s">
        <v>36</v>
      </c>
      <c r="P9" s="16" t="s">
        <v>37</v>
      </c>
      <c r="Q9" s="16" t="s">
        <v>38</v>
      </c>
      <c r="R9" s="16" t="s">
        <v>21</v>
      </c>
      <c r="S9" s="16" t="s">
        <v>39</v>
      </c>
      <c r="T9" s="16" t="s">
        <v>40</v>
      </c>
      <c r="U9" s="16" t="s">
        <v>41</v>
      </c>
      <c r="V9" s="16" t="s">
        <v>42</v>
      </c>
      <c r="W9" s="16" t="s">
        <v>43</v>
      </c>
      <c r="X9" s="16" t="s">
        <v>44</v>
      </c>
      <c r="Y9" s="16" t="s">
        <v>45</v>
      </c>
      <c r="Z9" s="16" t="s">
        <v>46</v>
      </c>
      <c r="AA9" s="16" t="s">
        <v>47</v>
      </c>
      <c r="AB9" s="16" t="s">
        <v>48</v>
      </c>
      <c r="AC9" s="16" t="s">
        <v>49</v>
      </c>
      <c r="AD9" s="16" t="s">
        <v>50</v>
      </c>
      <c r="AE9" s="16" t="s">
        <v>51</v>
      </c>
      <c r="AF9" s="16" t="s">
        <v>52</v>
      </c>
      <c r="AG9" s="16" t="s">
        <v>53</v>
      </c>
      <c r="AH9" s="16" t="s">
        <v>1</v>
      </c>
      <c r="AI9" s="16" t="s">
        <v>2</v>
      </c>
      <c r="AJ9" s="16" t="s">
        <v>3</v>
      </c>
      <c r="AK9" s="16" t="s">
        <v>4</v>
      </c>
      <c r="AL9" s="16" t="s">
        <v>80</v>
      </c>
      <c r="AM9" s="16" t="s">
        <v>81</v>
      </c>
      <c r="AN9" s="16" t="s">
        <v>82</v>
      </c>
      <c r="AO9" s="16" t="s">
        <v>83</v>
      </c>
      <c r="AP9" s="16" t="s">
        <v>84</v>
      </c>
      <c r="AQ9" s="16" t="s">
        <v>85</v>
      </c>
    </row>
    <row r="10" spans="2:43" x14ac:dyDescent="0.3">
      <c r="B10" t="s">
        <v>281</v>
      </c>
      <c r="C10" t="s">
        <v>282</v>
      </c>
      <c r="D10" t="s">
        <v>143</v>
      </c>
      <c r="E10" t="s">
        <v>360</v>
      </c>
      <c r="F10">
        <v>1</v>
      </c>
      <c r="I10">
        <v>3</v>
      </c>
      <c r="J10" t="s">
        <v>280</v>
      </c>
      <c r="K10" t="s">
        <v>86</v>
      </c>
      <c r="L10" t="s">
        <v>461</v>
      </c>
      <c r="M10" t="s">
        <v>79</v>
      </c>
      <c r="N10" t="s">
        <v>95</v>
      </c>
      <c r="O10" t="s">
        <v>347</v>
      </c>
      <c r="P10" t="s">
        <v>282</v>
      </c>
      <c r="Q10" t="s">
        <v>155</v>
      </c>
      <c r="R10">
        <v>5</v>
      </c>
      <c r="X10" t="s">
        <v>418</v>
      </c>
      <c r="Y10" t="s">
        <v>419</v>
      </c>
      <c r="AA10" s="73" t="s">
        <v>335</v>
      </c>
      <c r="AB10" s="73" t="s">
        <v>335</v>
      </c>
      <c r="AC10" s="73" t="s">
        <v>335</v>
      </c>
      <c r="AD10" s="72">
        <v>45981.600335648145</v>
      </c>
      <c r="AE10" t="s">
        <v>87</v>
      </c>
      <c r="AF10" t="s">
        <v>462</v>
      </c>
      <c r="AG10">
        <v>1</v>
      </c>
      <c r="AL10">
        <v>2</v>
      </c>
      <c r="AM10">
        <v>2</v>
      </c>
      <c r="AO10" t="s">
        <v>334</v>
      </c>
      <c r="AP10" t="s">
        <v>463</v>
      </c>
      <c r="AQ10" t="s">
        <v>146</v>
      </c>
    </row>
    <row r="11" spans="2:43" x14ac:dyDescent="0.3">
      <c r="B11" t="s">
        <v>281</v>
      </c>
      <c r="C11" t="s">
        <v>282</v>
      </c>
      <c r="D11" t="s">
        <v>143</v>
      </c>
      <c r="E11" t="s">
        <v>360</v>
      </c>
      <c r="F11">
        <v>1</v>
      </c>
      <c r="I11">
        <v>3</v>
      </c>
      <c r="J11" t="s">
        <v>280</v>
      </c>
      <c r="K11" t="s">
        <v>86</v>
      </c>
      <c r="L11" t="s">
        <v>461</v>
      </c>
      <c r="M11" t="s">
        <v>79</v>
      </c>
      <c r="N11" t="s">
        <v>95</v>
      </c>
      <c r="O11" t="s">
        <v>347</v>
      </c>
      <c r="P11" t="s">
        <v>282</v>
      </c>
      <c r="Q11" t="s">
        <v>155</v>
      </c>
      <c r="R11">
        <v>5</v>
      </c>
      <c r="X11" t="s">
        <v>418</v>
      </c>
      <c r="Y11" t="s">
        <v>419</v>
      </c>
      <c r="AA11" s="73" t="s">
        <v>335</v>
      </c>
      <c r="AB11" s="73" t="s">
        <v>335</v>
      </c>
      <c r="AC11" s="73" t="s">
        <v>335</v>
      </c>
      <c r="AD11" s="72">
        <v>45988.918425925927</v>
      </c>
      <c r="AE11" t="s">
        <v>87</v>
      </c>
      <c r="AF11" t="s">
        <v>462</v>
      </c>
      <c r="AG11">
        <v>1</v>
      </c>
      <c r="AH11">
        <v>377376</v>
      </c>
      <c r="AI11">
        <v>0</v>
      </c>
      <c r="AJ11">
        <v>377376</v>
      </c>
      <c r="AK11" t="s">
        <v>96</v>
      </c>
      <c r="AL11">
        <v>2</v>
      </c>
      <c r="AM11">
        <v>2</v>
      </c>
      <c r="AO11" t="s">
        <v>334</v>
      </c>
      <c r="AP11" t="s">
        <v>479</v>
      </c>
      <c r="AQ11" t="s">
        <v>323</v>
      </c>
    </row>
    <row r="12" spans="2:43" x14ac:dyDescent="0.3">
      <c r="B12" t="s">
        <v>313</v>
      </c>
      <c r="C12" t="s">
        <v>465</v>
      </c>
      <c r="D12" t="s">
        <v>143</v>
      </c>
      <c r="E12" t="s">
        <v>331</v>
      </c>
      <c r="F12">
        <v>1</v>
      </c>
      <c r="I12">
        <v>3</v>
      </c>
      <c r="J12" t="s">
        <v>312</v>
      </c>
      <c r="K12" t="s">
        <v>86</v>
      </c>
      <c r="L12" t="s">
        <v>461</v>
      </c>
      <c r="M12" t="s">
        <v>79</v>
      </c>
      <c r="N12" t="s">
        <v>95</v>
      </c>
      <c r="O12" t="s">
        <v>332</v>
      </c>
      <c r="R12">
        <v>4</v>
      </c>
      <c r="S12" t="s">
        <v>333</v>
      </c>
      <c r="AA12" s="73" t="s">
        <v>335</v>
      </c>
      <c r="AB12" s="73" t="s">
        <v>335</v>
      </c>
      <c r="AC12" s="73" t="s">
        <v>335</v>
      </c>
      <c r="AD12" s="72">
        <v>45981.600335648145</v>
      </c>
      <c r="AE12" t="s">
        <v>87</v>
      </c>
      <c r="AF12" t="s">
        <v>462</v>
      </c>
      <c r="AG12">
        <v>1</v>
      </c>
      <c r="AL12">
        <v>2</v>
      </c>
      <c r="AM12">
        <v>2</v>
      </c>
      <c r="AO12" t="s">
        <v>334</v>
      </c>
      <c r="AP12" t="s">
        <v>463</v>
      </c>
      <c r="AQ12" t="s">
        <v>146</v>
      </c>
    </row>
    <row r="13" spans="2:43" x14ac:dyDescent="0.3">
      <c r="B13" t="s">
        <v>313</v>
      </c>
      <c r="C13" t="s">
        <v>465</v>
      </c>
      <c r="D13" t="s">
        <v>143</v>
      </c>
      <c r="E13" t="s">
        <v>331</v>
      </c>
      <c r="F13">
        <v>1</v>
      </c>
      <c r="I13">
        <v>3</v>
      </c>
      <c r="J13" t="s">
        <v>312</v>
      </c>
      <c r="K13" t="s">
        <v>86</v>
      </c>
      <c r="L13" t="s">
        <v>461</v>
      </c>
      <c r="M13" t="s">
        <v>79</v>
      </c>
      <c r="N13" t="s">
        <v>95</v>
      </c>
      <c r="O13" t="s">
        <v>332</v>
      </c>
      <c r="R13">
        <v>4</v>
      </c>
      <c r="S13" t="s">
        <v>333</v>
      </c>
      <c r="AA13" s="73" t="s">
        <v>335</v>
      </c>
      <c r="AB13" s="73" t="s">
        <v>335</v>
      </c>
      <c r="AC13" s="73" t="s">
        <v>335</v>
      </c>
      <c r="AD13" s="72">
        <v>45988.918425925927</v>
      </c>
      <c r="AE13" t="s">
        <v>87</v>
      </c>
      <c r="AF13" t="s">
        <v>462</v>
      </c>
      <c r="AG13">
        <v>1</v>
      </c>
      <c r="AH13">
        <v>382284</v>
      </c>
      <c r="AI13">
        <v>0</v>
      </c>
      <c r="AJ13">
        <v>382284</v>
      </c>
      <c r="AK13" t="s">
        <v>96</v>
      </c>
      <c r="AL13">
        <v>2</v>
      </c>
      <c r="AM13">
        <v>2</v>
      </c>
      <c r="AO13" t="s">
        <v>334</v>
      </c>
      <c r="AP13" t="s">
        <v>479</v>
      </c>
      <c r="AQ13" t="s">
        <v>323</v>
      </c>
    </row>
    <row r="14" spans="2:43" x14ac:dyDescent="0.3">
      <c r="B14" t="s">
        <v>168</v>
      </c>
      <c r="C14" t="s">
        <v>466</v>
      </c>
      <c r="D14" t="s">
        <v>143</v>
      </c>
      <c r="E14" t="s">
        <v>331</v>
      </c>
      <c r="F14">
        <v>1</v>
      </c>
      <c r="I14">
        <v>3</v>
      </c>
      <c r="J14" t="s">
        <v>167</v>
      </c>
      <c r="K14" t="s">
        <v>86</v>
      </c>
      <c r="L14" t="s">
        <v>461</v>
      </c>
      <c r="M14" t="s">
        <v>106</v>
      </c>
      <c r="N14" t="s">
        <v>95</v>
      </c>
      <c r="O14" t="s">
        <v>336</v>
      </c>
      <c r="R14">
        <v>4</v>
      </c>
      <c r="S14" t="s">
        <v>337</v>
      </c>
      <c r="AA14" s="73" t="s">
        <v>335</v>
      </c>
      <c r="AB14" s="73" t="s">
        <v>335</v>
      </c>
      <c r="AC14" s="73" t="s">
        <v>335</v>
      </c>
      <c r="AD14" s="72">
        <v>45981.600335648145</v>
      </c>
      <c r="AE14" t="s">
        <v>87</v>
      </c>
      <c r="AF14" t="s">
        <v>462</v>
      </c>
      <c r="AG14">
        <v>1</v>
      </c>
      <c r="AL14">
        <v>2</v>
      </c>
      <c r="AM14">
        <v>2</v>
      </c>
      <c r="AO14" t="s">
        <v>334</v>
      </c>
      <c r="AP14" t="s">
        <v>463</v>
      </c>
      <c r="AQ14" t="s">
        <v>146</v>
      </c>
    </row>
    <row r="15" spans="2:43" x14ac:dyDescent="0.3">
      <c r="B15" t="s">
        <v>168</v>
      </c>
      <c r="C15" t="s">
        <v>466</v>
      </c>
      <c r="D15" t="s">
        <v>143</v>
      </c>
      <c r="E15" t="s">
        <v>331</v>
      </c>
      <c r="F15">
        <v>1</v>
      </c>
      <c r="I15">
        <v>3</v>
      </c>
      <c r="J15" t="s">
        <v>167</v>
      </c>
      <c r="K15" t="s">
        <v>86</v>
      </c>
      <c r="L15" t="s">
        <v>461</v>
      </c>
      <c r="M15" t="s">
        <v>106</v>
      </c>
      <c r="N15" t="s">
        <v>95</v>
      </c>
      <c r="O15" t="s">
        <v>336</v>
      </c>
      <c r="R15">
        <v>4</v>
      </c>
      <c r="S15" t="s">
        <v>337</v>
      </c>
      <c r="AA15" s="73" t="s">
        <v>335</v>
      </c>
      <c r="AB15" s="73" t="s">
        <v>335</v>
      </c>
      <c r="AC15" s="73" t="s">
        <v>335</v>
      </c>
      <c r="AD15" s="72">
        <v>45988.918425925927</v>
      </c>
      <c r="AE15" t="s">
        <v>87</v>
      </c>
      <c r="AF15" t="s">
        <v>462</v>
      </c>
      <c r="AG15">
        <v>1</v>
      </c>
      <c r="AH15">
        <v>382284</v>
      </c>
      <c r="AI15">
        <v>0</v>
      </c>
      <c r="AJ15">
        <v>382284</v>
      </c>
      <c r="AK15" t="s">
        <v>96</v>
      </c>
      <c r="AL15">
        <v>2</v>
      </c>
      <c r="AM15">
        <v>2</v>
      </c>
      <c r="AO15" t="s">
        <v>334</v>
      </c>
      <c r="AP15" t="s">
        <v>479</v>
      </c>
      <c r="AQ15" t="s">
        <v>323</v>
      </c>
    </row>
    <row r="16" spans="2:43" x14ac:dyDescent="0.3">
      <c r="B16" t="s">
        <v>172</v>
      </c>
      <c r="C16" t="s">
        <v>467</v>
      </c>
      <c r="D16" t="s">
        <v>143</v>
      </c>
      <c r="E16" t="s">
        <v>331</v>
      </c>
      <c r="F16">
        <v>1</v>
      </c>
      <c r="I16">
        <v>3</v>
      </c>
      <c r="J16" t="s">
        <v>167</v>
      </c>
      <c r="K16" t="s">
        <v>86</v>
      </c>
      <c r="L16" t="s">
        <v>461</v>
      </c>
      <c r="M16" t="s">
        <v>79</v>
      </c>
      <c r="N16" t="s">
        <v>95</v>
      </c>
      <c r="O16" t="s">
        <v>338</v>
      </c>
      <c r="R16">
        <v>4</v>
      </c>
      <c r="S16" t="s">
        <v>339</v>
      </c>
      <c r="AA16" s="73" t="s">
        <v>335</v>
      </c>
      <c r="AB16" s="73" t="s">
        <v>335</v>
      </c>
      <c r="AC16" s="73" t="s">
        <v>335</v>
      </c>
      <c r="AD16" s="72">
        <v>45981.600335648145</v>
      </c>
      <c r="AE16" t="s">
        <v>87</v>
      </c>
      <c r="AF16" t="s">
        <v>462</v>
      </c>
      <c r="AG16">
        <v>1</v>
      </c>
      <c r="AL16">
        <v>2</v>
      </c>
      <c r="AM16">
        <v>2</v>
      </c>
      <c r="AO16" t="s">
        <v>334</v>
      </c>
      <c r="AP16" t="s">
        <v>463</v>
      </c>
      <c r="AQ16" t="s">
        <v>146</v>
      </c>
    </row>
    <row r="17" spans="2:43" x14ac:dyDescent="0.3">
      <c r="B17" t="s">
        <v>172</v>
      </c>
      <c r="C17" t="s">
        <v>467</v>
      </c>
      <c r="D17" t="s">
        <v>143</v>
      </c>
      <c r="E17" t="s">
        <v>331</v>
      </c>
      <c r="F17">
        <v>1</v>
      </c>
      <c r="I17">
        <v>3</v>
      </c>
      <c r="J17" t="s">
        <v>167</v>
      </c>
      <c r="K17" t="s">
        <v>86</v>
      </c>
      <c r="L17" t="s">
        <v>461</v>
      </c>
      <c r="M17" t="s">
        <v>79</v>
      </c>
      <c r="N17" t="s">
        <v>95</v>
      </c>
      <c r="O17" t="s">
        <v>338</v>
      </c>
      <c r="R17">
        <v>4</v>
      </c>
      <c r="S17" t="s">
        <v>339</v>
      </c>
      <c r="AA17" s="73" t="s">
        <v>335</v>
      </c>
      <c r="AB17" s="73" t="s">
        <v>335</v>
      </c>
      <c r="AC17" s="73" t="s">
        <v>335</v>
      </c>
      <c r="AD17" s="72">
        <v>45988.918425925927</v>
      </c>
      <c r="AE17" t="s">
        <v>87</v>
      </c>
      <c r="AF17" t="s">
        <v>462</v>
      </c>
      <c r="AG17">
        <v>1</v>
      </c>
      <c r="AH17">
        <v>275537</v>
      </c>
      <c r="AI17">
        <v>0</v>
      </c>
      <c r="AJ17">
        <v>275537</v>
      </c>
      <c r="AK17" t="s">
        <v>96</v>
      </c>
      <c r="AL17">
        <v>2</v>
      </c>
      <c r="AM17">
        <v>2</v>
      </c>
      <c r="AO17" t="s">
        <v>334</v>
      </c>
      <c r="AP17" t="s">
        <v>479</v>
      </c>
      <c r="AQ17" t="s">
        <v>323</v>
      </c>
    </row>
    <row r="18" spans="2:43" x14ac:dyDescent="0.3">
      <c r="B18" t="s">
        <v>170</v>
      </c>
      <c r="C18" t="s">
        <v>171</v>
      </c>
      <c r="D18" t="s">
        <v>143</v>
      </c>
      <c r="E18" t="s">
        <v>331</v>
      </c>
      <c r="F18">
        <v>1</v>
      </c>
      <c r="I18">
        <v>3</v>
      </c>
      <c r="J18" t="s">
        <v>169</v>
      </c>
      <c r="K18" t="s">
        <v>86</v>
      </c>
      <c r="L18" t="s">
        <v>461</v>
      </c>
      <c r="M18" t="s">
        <v>106</v>
      </c>
      <c r="N18" t="s">
        <v>95</v>
      </c>
      <c r="O18" t="s">
        <v>378</v>
      </c>
      <c r="R18">
        <v>4</v>
      </c>
      <c r="S18" t="s">
        <v>379</v>
      </c>
      <c r="AA18" s="73" t="s">
        <v>335</v>
      </c>
      <c r="AB18" s="73" t="s">
        <v>335</v>
      </c>
      <c r="AC18" s="73" t="s">
        <v>335</v>
      </c>
      <c r="AD18" s="72">
        <v>45981.600335648145</v>
      </c>
      <c r="AE18" t="s">
        <v>87</v>
      </c>
      <c r="AF18" t="s">
        <v>462</v>
      </c>
      <c r="AG18">
        <v>1</v>
      </c>
      <c r="AL18">
        <v>2</v>
      </c>
      <c r="AM18">
        <v>2</v>
      </c>
      <c r="AO18" t="s">
        <v>334</v>
      </c>
      <c r="AP18" t="s">
        <v>463</v>
      </c>
      <c r="AQ18" t="s">
        <v>146</v>
      </c>
    </row>
    <row r="19" spans="2:43" x14ac:dyDescent="0.3">
      <c r="B19" t="s">
        <v>170</v>
      </c>
      <c r="C19" t="s">
        <v>171</v>
      </c>
      <c r="D19" t="s">
        <v>143</v>
      </c>
      <c r="E19" t="s">
        <v>331</v>
      </c>
      <c r="F19">
        <v>1</v>
      </c>
      <c r="I19">
        <v>3</v>
      </c>
      <c r="J19" t="s">
        <v>169</v>
      </c>
      <c r="K19" t="s">
        <v>86</v>
      </c>
      <c r="L19" t="s">
        <v>461</v>
      </c>
      <c r="M19" t="s">
        <v>106</v>
      </c>
      <c r="N19" t="s">
        <v>95</v>
      </c>
      <c r="O19" t="s">
        <v>378</v>
      </c>
      <c r="R19">
        <v>4</v>
      </c>
      <c r="S19" t="s">
        <v>379</v>
      </c>
      <c r="AA19" s="73" t="s">
        <v>335</v>
      </c>
      <c r="AB19" s="73" t="s">
        <v>335</v>
      </c>
      <c r="AC19" s="73" t="s">
        <v>335</v>
      </c>
      <c r="AD19" s="72">
        <v>45988.918425925927</v>
      </c>
      <c r="AE19" t="s">
        <v>87</v>
      </c>
      <c r="AF19" t="s">
        <v>462</v>
      </c>
      <c r="AG19">
        <v>1</v>
      </c>
      <c r="AH19">
        <v>377681</v>
      </c>
      <c r="AI19">
        <v>0</v>
      </c>
      <c r="AJ19">
        <v>377681</v>
      </c>
      <c r="AK19" t="s">
        <v>96</v>
      </c>
      <c r="AL19">
        <v>2</v>
      </c>
      <c r="AM19">
        <v>2</v>
      </c>
      <c r="AO19" t="s">
        <v>334</v>
      </c>
      <c r="AP19" t="s">
        <v>479</v>
      </c>
      <c r="AQ19" t="s">
        <v>323</v>
      </c>
    </row>
    <row r="20" spans="2:43" x14ac:dyDescent="0.3">
      <c r="B20" t="s">
        <v>278</v>
      </c>
      <c r="C20" t="s">
        <v>279</v>
      </c>
      <c r="D20" t="s">
        <v>143</v>
      </c>
      <c r="E20" t="s">
        <v>331</v>
      </c>
      <c r="F20">
        <v>1</v>
      </c>
      <c r="I20">
        <v>3</v>
      </c>
      <c r="J20" t="s">
        <v>169</v>
      </c>
      <c r="K20" t="s">
        <v>86</v>
      </c>
      <c r="L20" t="s">
        <v>461</v>
      </c>
      <c r="M20" t="s">
        <v>106</v>
      </c>
      <c r="N20" t="s">
        <v>95</v>
      </c>
      <c r="O20" t="s">
        <v>380</v>
      </c>
      <c r="R20">
        <v>4</v>
      </c>
      <c r="S20" t="s">
        <v>381</v>
      </c>
      <c r="AA20" s="73" t="s">
        <v>335</v>
      </c>
      <c r="AB20" s="73" t="s">
        <v>335</v>
      </c>
      <c r="AC20" s="73" t="s">
        <v>335</v>
      </c>
      <c r="AD20" s="72">
        <v>45981.600335648145</v>
      </c>
      <c r="AE20" t="s">
        <v>87</v>
      </c>
      <c r="AF20" t="s">
        <v>462</v>
      </c>
      <c r="AG20">
        <v>1</v>
      </c>
      <c r="AL20">
        <v>2</v>
      </c>
      <c r="AM20">
        <v>2</v>
      </c>
      <c r="AO20" t="s">
        <v>334</v>
      </c>
      <c r="AP20" t="s">
        <v>463</v>
      </c>
      <c r="AQ20" t="s">
        <v>146</v>
      </c>
    </row>
    <row r="21" spans="2:43" x14ac:dyDescent="0.3">
      <c r="B21" t="s">
        <v>278</v>
      </c>
      <c r="C21" t="s">
        <v>279</v>
      </c>
      <c r="D21" t="s">
        <v>143</v>
      </c>
      <c r="E21" t="s">
        <v>331</v>
      </c>
      <c r="F21">
        <v>1</v>
      </c>
      <c r="I21">
        <v>3</v>
      </c>
      <c r="J21" t="s">
        <v>169</v>
      </c>
      <c r="K21" t="s">
        <v>86</v>
      </c>
      <c r="L21" t="s">
        <v>461</v>
      </c>
      <c r="M21" t="s">
        <v>106</v>
      </c>
      <c r="N21" t="s">
        <v>95</v>
      </c>
      <c r="O21" t="s">
        <v>380</v>
      </c>
      <c r="R21">
        <v>4</v>
      </c>
      <c r="S21" t="s">
        <v>381</v>
      </c>
      <c r="AA21" s="73" t="s">
        <v>335</v>
      </c>
      <c r="AB21" s="73" t="s">
        <v>335</v>
      </c>
      <c r="AC21" s="73" t="s">
        <v>335</v>
      </c>
      <c r="AD21" s="72">
        <v>45988.918425925927</v>
      </c>
      <c r="AE21" t="s">
        <v>87</v>
      </c>
      <c r="AF21" t="s">
        <v>462</v>
      </c>
      <c r="AG21">
        <v>1</v>
      </c>
      <c r="AH21">
        <v>377376</v>
      </c>
      <c r="AI21">
        <v>0</v>
      </c>
      <c r="AJ21">
        <v>377376</v>
      </c>
      <c r="AK21" t="s">
        <v>96</v>
      </c>
      <c r="AL21">
        <v>2</v>
      </c>
      <c r="AM21">
        <v>2</v>
      </c>
      <c r="AO21" t="s">
        <v>334</v>
      </c>
      <c r="AP21" t="s">
        <v>479</v>
      </c>
      <c r="AQ21" t="s">
        <v>323</v>
      </c>
    </row>
    <row r="22" spans="2:43" x14ac:dyDescent="0.3">
      <c r="B22" t="s">
        <v>225</v>
      </c>
      <c r="C22" t="s">
        <v>226</v>
      </c>
      <c r="D22" t="s">
        <v>143</v>
      </c>
      <c r="E22" t="s">
        <v>331</v>
      </c>
      <c r="F22">
        <v>1</v>
      </c>
      <c r="I22">
        <v>3</v>
      </c>
      <c r="J22" t="s">
        <v>224</v>
      </c>
      <c r="K22" t="s">
        <v>86</v>
      </c>
      <c r="L22" t="s">
        <v>461</v>
      </c>
      <c r="M22" t="s">
        <v>106</v>
      </c>
      <c r="N22" t="s">
        <v>95</v>
      </c>
      <c r="O22" t="s">
        <v>327</v>
      </c>
      <c r="R22">
        <v>4</v>
      </c>
      <c r="S22" t="s">
        <v>328</v>
      </c>
      <c r="AA22" s="73" t="s">
        <v>335</v>
      </c>
      <c r="AB22" s="73" t="s">
        <v>335</v>
      </c>
      <c r="AC22" s="73" t="s">
        <v>335</v>
      </c>
      <c r="AD22" s="72">
        <v>45981.600335648145</v>
      </c>
      <c r="AE22" t="s">
        <v>87</v>
      </c>
      <c r="AF22" t="s">
        <v>462</v>
      </c>
      <c r="AG22">
        <v>1</v>
      </c>
      <c r="AL22">
        <v>2</v>
      </c>
      <c r="AM22">
        <v>2</v>
      </c>
      <c r="AO22" t="s">
        <v>334</v>
      </c>
      <c r="AP22" t="s">
        <v>463</v>
      </c>
      <c r="AQ22" t="s">
        <v>146</v>
      </c>
    </row>
    <row r="23" spans="2:43" x14ac:dyDescent="0.3">
      <c r="B23" t="s">
        <v>225</v>
      </c>
      <c r="C23" t="s">
        <v>226</v>
      </c>
      <c r="D23" t="s">
        <v>143</v>
      </c>
      <c r="E23" t="s">
        <v>331</v>
      </c>
      <c r="F23">
        <v>1</v>
      </c>
      <c r="I23">
        <v>3</v>
      </c>
      <c r="J23" t="s">
        <v>224</v>
      </c>
      <c r="K23" t="s">
        <v>86</v>
      </c>
      <c r="L23" t="s">
        <v>461</v>
      </c>
      <c r="M23" t="s">
        <v>106</v>
      </c>
      <c r="N23" t="s">
        <v>95</v>
      </c>
      <c r="O23" t="s">
        <v>327</v>
      </c>
      <c r="R23">
        <v>4</v>
      </c>
      <c r="S23" t="s">
        <v>328</v>
      </c>
      <c r="AA23" s="73" t="s">
        <v>335</v>
      </c>
      <c r="AB23" s="73" t="s">
        <v>335</v>
      </c>
      <c r="AC23" s="73" t="s">
        <v>335</v>
      </c>
      <c r="AD23" s="72">
        <v>45988.918425925927</v>
      </c>
      <c r="AE23" t="s">
        <v>87</v>
      </c>
      <c r="AF23" t="s">
        <v>462</v>
      </c>
      <c r="AG23">
        <v>1</v>
      </c>
      <c r="AH23">
        <v>382284</v>
      </c>
      <c r="AI23">
        <v>0</v>
      </c>
      <c r="AJ23">
        <v>382284</v>
      </c>
      <c r="AK23" t="s">
        <v>96</v>
      </c>
      <c r="AL23">
        <v>2</v>
      </c>
      <c r="AM23">
        <v>2</v>
      </c>
      <c r="AO23" t="s">
        <v>334</v>
      </c>
      <c r="AP23" t="s">
        <v>479</v>
      </c>
      <c r="AQ23" t="s">
        <v>323</v>
      </c>
    </row>
    <row r="24" spans="2:43" x14ac:dyDescent="0.3">
      <c r="B24" t="s">
        <v>198</v>
      </c>
      <c r="C24" t="s">
        <v>199</v>
      </c>
      <c r="D24" t="s">
        <v>143</v>
      </c>
      <c r="E24" t="s">
        <v>331</v>
      </c>
      <c r="F24">
        <v>1</v>
      </c>
      <c r="I24">
        <v>3</v>
      </c>
      <c r="J24" t="s">
        <v>197</v>
      </c>
      <c r="K24" t="s">
        <v>86</v>
      </c>
      <c r="L24" t="s">
        <v>461</v>
      </c>
      <c r="M24" t="s">
        <v>106</v>
      </c>
      <c r="N24" t="s">
        <v>95</v>
      </c>
      <c r="O24" t="s">
        <v>420</v>
      </c>
      <c r="R24">
        <v>4</v>
      </c>
      <c r="S24" t="s">
        <v>328</v>
      </c>
      <c r="AA24" s="73" t="s">
        <v>335</v>
      </c>
      <c r="AB24" s="73" t="s">
        <v>335</v>
      </c>
      <c r="AC24" s="73" t="s">
        <v>335</v>
      </c>
      <c r="AD24" s="72">
        <v>45981.600335648145</v>
      </c>
      <c r="AE24" t="s">
        <v>87</v>
      </c>
      <c r="AF24" t="s">
        <v>462</v>
      </c>
      <c r="AG24">
        <v>1</v>
      </c>
      <c r="AL24">
        <v>2</v>
      </c>
      <c r="AM24">
        <v>2</v>
      </c>
      <c r="AO24" t="s">
        <v>334</v>
      </c>
      <c r="AP24" t="s">
        <v>463</v>
      </c>
      <c r="AQ24" t="s">
        <v>146</v>
      </c>
    </row>
    <row r="25" spans="2:43" x14ac:dyDescent="0.3">
      <c r="B25" t="s">
        <v>198</v>
      </c>
      <c r="C25" t="s">
        <v>199</v>
      </c>
      <c r="D25" t="s">
        <v>143</v>
      </c>
      <c r="E25" t="s">
        <v>331</v>
      </c>
      <c r="F25">
        <v>1</v>
      </c>
      <c r="I25">
        <v>3</v>
      </c>
      <c r="J25" t="s">
        <v>197</v>
      </c>
      <c r="K25" t="s">
        <v>86</v>
      </c>
      <c r="L25" t="s">
        <v>461</v>
      </c>
      <c r="M25" t="s">
        <v>106</v>
      </c>
      <c r="N25" t="s">
        <v>95</v>
      </c>
      <c r="O25" t="s">
        <v>420</v>
      </c>
      <c r="R25">
        <v>4</v>
      </c>
      <c r="S25" t="s">
        <v>328</v>
      </c>
      <c r="AA25" s="73" t="s">
        <v>335</v>
      </c>
      <c r="AB25" s="73" t="s">
        <v>335</v>
      </c>
      <c r="AC25" s="73" t="s">
        <v>335</v>
      </c>
      <c r="AD25" s="72">
        <v>45988.918425925927</v>
      </c>
      <c r="AE25" t="s">
        <v>87</v>
      </c>
      <c r="AF25" t="s">
        <v>462</v>
      </c>
      <c r="AG25">
        <v>1</v>
      </c>
      <c r="AH25">
        <v>275537</v>
      </c>
      <c r="AI25">
        <v>0</v>
      </c>
      <c r="AJ25">
        <v>275537</v>
      </c>
      <c r="AK25" t="s">
        <v>96</v>
      </c>
      <c r="AL25">
        <v>2</v>
      </c>
      <c r="AM25">
        <v>2</v>
      </c>
      <c r="AO25" t="s">
        <v>334</v>
      </c>
      <c r="AP25" t="s">
        <v>479</v>
      </c>
      <c r="AQ25" t="s">
        <v>323</v>
      </c>
    </row>
    <row r="26" spans="2:43" x14ac:dyDescent="0.3">
      <c r="B26" t="s">
        <v>210</v>
      </c>
      <c r="C26" t="s">
        <v>211</v>
      </c>
      <c r="D26" t="s">
        <v>143</v>
      </c>
      <c r="E26" t="s">
        <v>324</v>
      </c>
      <c r="F26">
        <v>1</v>
      </c>
      <c r="I26">
        <v>3</v>
      </c>
      <c r="J26" t="s">
        <v>209</v>
      </c>
      <c r="K26" t="s">
        <v>86</v>
      </c>
      <c r="L26" t="s">
        <v>461</v>
      </c>
      <c r="M26" t="s">
        <v>79</v>
      </c>
      <c r="N26" t="s">
        <v>95</v>
      </c>
      <c r="O26" t="s">
        <v>421</v>
      </c>
      <c r="R26">
        <v>1</v>
      </c>
      <c r="S26" t="s">
        <v>353</v>
      </c>
      <c r="AA26" s="73" t="s">
        <v>101</v>
      </c>
      <c r="AB26" s="73" t="s">
        <v>108</v>
      </c>
      <c r="AC26" s="73" t="s">
        <v>109</v>
      </c>
      <c r="AD26" s="72">
        <v>45981.600335648145</v>
      </c>
      <c r="AE26" t="s">
        <v>87</v>
      </c>
      <c r="AF26" t="s">
        <v>462</v>
      </c>
      <c r="AG26">
        <v>1</v>
      </c>
      <c r="AL26">
        <v>2</v>
      </c>
      <c r="AM26">
        <v>2</v>
      </c>
      <c r="AO26" t="s">
        <v>107</v>
      </c>
      <c r="AP26" t="s">
        <v>463</v>
      </c>
      <c r="AQ26" t="s">
        <v>146</v>
      </c>
    </row>
    <row r="27" spans="2:43" x14ac:dyDescent="0.3">
      <c r="B27" t="s">
        <v>210</v>
      </c>
      <c r="C27" t="s">
        <v>211</v>
      </c>
      <c r="D27" t="s">
        <v>143</v>
      </c>
      <c r="E27" t="s">
        <v>324</v>
      </c>
      <c r="F27">
        <v>1</v>
      </c>
      <c r="I27">
        <v>3</v>
      </c>
      <c r="J27" t="s">
        <v>209</v>
      </c>
      <c r="K27" t="s">
        <v>86</v>
      </c>
      <c r="L27" t="s">
        <v>461</v>
      </c>
      <c r="M27" t="s">
        <v>79</v>
      </c>
      <c r="N27" t="s">
        <v>95</v>
      </c>
      <c r="O27" t="s">
        <v>421</v>
      </c>
      <c r="R27">
        <v>1</v>
      </c>
      <c r="S27" t="s">
        <v>353</v>
      </c>
      <c r="AA27" s="73" t="s">
        <v>101</v>
      </c>
      <c r="AB27" s="73" t="s">
        <v>108</v>
      </c>
      <c r="AC27" s="73" t="s">
        <v>109</v>
      </c>
      <c r="AD27" s="72">
        <v>45988.918425925927</v>
      </c>
      <c r="AE27" t="s">
        <v>87</v>
      </c>
      <c r="AF27" t="s">
        <v>462</v>
      </c>
      <c r="AG27">
        <v>1</v>
      </c>
      <c r="AH27">
        <v>377376</v>
      </c>
      <c r="AI27">
        <v>0</v>
      </c>
      <c r="AJ27">
        <v>377376</v>
      </c>
      <c r="AK27" t="s">
        <v>96</v>
      </c>
      <c r="AL27">
        <v>2</v>
      </c>
      <c r="AM27">
        <v>2</v>
      </c>
      <c r="AO27" t="s">
        <v>107</v>
      </c>
      <c r="AP27" t="s">
        <v>479</v>
      </c>
      <c r="AQ27" t="s">
        <v>323</v>
      </c>
    </row>
    <row r="28" spans="2:43" x14ac:dyDescent="0.3">
      <c r="B28" t="s">
        <v>271</v>
      </c>
      <c r="C28" t="s">
        <v>272</v>
      </c>
      <c r="D28" t="s">
        <v>143</v>
      </c>
      <c r="E28" t="s">
        <v>324</v>
      </c>
      <c r="F28">
        <v>1</v>
      </c>
      <c r="I28">
        <v>3</v>
      </c>
      <c r="J28" t="s">
        <v>209</v>
      </c>
      <c r="K28" t="s">
        <v>86</v>
      </c>
      <c r="L28" t="s">
        <v>461</v>
      </c>
      <c r="M28" t="s">
        <v>79</v>
      </c>
      <c r="N28" t="s">
        <v>95</v>
      </c>
      <c r="O28" t="s">
        <v>422</v>
      </c>
      <c r="R28">
        <v>4</v>
      </c>
      <c r="S28" t="s">
        <v>423</v>
      </c>
      <c r="AA28" s="73" t="s">
        <v>99</v>
      </c>
      <c r="AB28" s="73" t="s">
        <v>94</v>
      </c>
      <c r="AC28" s="73" t="s">
        <v>88</v>
      </c>
      <c r="AD28" s="72">
        <v>45981.600335648145</v>
      </c>
      <c r="AE28" t="s">
        <v>87</v>
      </c>
      <c r="AF28" t="s">
        <v>462</v>
      </c>
      <c r="AG28">
        <v>1</v>
      </c>
      <c r="AL28">
        <v>2</v>
      </c>
      <c r="AM28">
        <v>2</v>
      </c>
      <c r="AO28" t="s">
        <v>98</v>
      </c>
      <c r="AP28" t="s">
        <v>463</v>
      </c>
      <c r="AQ28" t="s">
        <v>146</v>
      </c>
    </row>
    <row r="29" spans="2:43" x14ac:dyDescent="0.3">
      <c r="B29" t="s">
        <v>271</v>
      </c>
      <c r="C29" t="s">
        <v>272</v>
      </c>
      <c r="D29" t="s">
        <v>143</v>
      </c>
      <c r="E29" t="s">
        <v>324</v>
      </c>
      <c r="F29">
        <v>1</v>
      </c>
      <c r="I29">
        <v>3</v>
      </c>
      <c r="J29" t="s">
        <v>209</v>
      </c>
      <c r="K29" t="s">
        <v>86</v>
      </c>
      <c r="L29" t="s">
        <v>461</v>
      </c>
      <c r="M29" t="s">
        <v>79</v>
      </c>
      <c r="N29" t="s">
        <v>95</v>
      </c>
      <c r="O29" t="s">
        <v>422</v>
      </c>
      <c r="R29">
        <v>4</v>
      </c>
      <c r="S29" t="s">
        <v>423</v>
      </c>
      <c r="AA29" s="73" t="s">
        <v>99</v>
      </c>
      <c r="AB29" s="73" t="s">
        <v>94</v>
      </c>
      <c r="AC29" s="73" t="s">
        <v>88</v>
      </c>
      <c r="AD29" s="72">
        <v>45988.918425925927</v>
      </c>
      <c r="AE29" t="s">
        <v>87</v>
      </c>
      <c r="AF29" t="s">
        <v>462</v>
      </c>
      <c r="AG29">
        <v>1</v>
      </c>
      <c r="AH29">
        <v>13373</v>
      </c>
      <c r="AI29">
        <v>0</v>
      </c>
      <c r="AJ29">
        <v>13373</v>
      </c>
      <c r="AK29" t="s">
        <v>96</v>
      </c>
      <c r="AL29">
        <v>2</v>
      </c>
      <c r="AM29">
        <v>2</v>
      </c>
      <c r="AO29" t="s">
        <v>98</v>
      </c>
      <c r="AP29" t="s">
        <v>479</v>
      </c>
      <c r="AQ29" t="s">
        <v>323</v>
      </c>
    </row>
    <row r="30" spans="2:43" x14ac:dyDescent="0.3">
      <c r="B30" t="s">
        <v>262</v>
      </c>
      <c r="C30" t="s">
        <v>454</v>
      </c>
      <c r="D30" t="s">
        <v>143</v>
      </c>
      <c r="E30" t="s">
        <v>324</v>
      </c>
      <c r="F30">
        <v>1</v>
      </c>
      <c r="I30">
        <v>3</v>
      </c>
      <c r="J30" t="s">
        <v>261</v>
      </c>
      <c r="K30" t="s">
        <v>86</v>
      </c>
      <c r="L30" t="s">
        <v>461</v>
      </c>
      <c r="M30" t="s">
        <v>79</v>
      </c>
      <c r="N30" t="s">
        <v>95</v>
      </c>
      <c r="O30" t="s">
        <v>412</v>
      </c>
      <c r="R30">
        <v>1</v>
      </c>
      <c r="S30" t="s">
        <v>457</v>
      </c>
      <c r="AA30" s="73" t="s">
        <v>99</v>
      </c>
      <c r="AB30" s="73" t="s">
        <v>94</v>
      </c>
      <c r="AC30" s="73" t="s">
        <v>88</v>
      </c>
      <c r="AD30" s="72">
        <v>45981.600335648145</v>
      </c>
      <c r="AE30" t="s">
        <v>87</v>
      </c>
      <c r="AF30" t="s">
        <v>462</v>
      </c>
      <c r="AG30">
        <v>1</v>
      </c>
      <c r="AL30">
        <v>2</v>
      </c>
      <c r="AM30">
        <v>2</v>
      </c>
      <c r="AO30" t="s">
        <v>98</v>
      </c>
      <c r="AP30" t="s">
        <v>463</v>
      </c>
      <c r="AQ30" t="s">
        <v>146</v>
      </c>
    </row>
    <row r="31" spans="2:43" x14ac:dyDescent="0.3">
      <c r="B31" t="s">
        <v>262</v>
      </c>
      <c r="C31" t="s">
        <v>454</v>
      </c>
      <c r="D31" t="s">
        <v>143</v>
      </c>
      <c r="E31" t="s">
        <v>324</v>
      </c>
      <c r="F31">
        <v>1</v>
      </c>
      <c r="I31">
        <v>3</v>
      </c>
      <c r="J31" t="s">
        <v>261</v>
      </c>
      <c r="K31" t="s">
        <v>86</v>
      </c>
      <c r="L31" t="s">
        <v>461</v>
      </c>
      <c r="M31" t="s">
        <v>79</v>
      </c>
      <c r="N31" t="s">
        <v>95</v>
      </c>
      <c r="O31" t="s">
        <v>412</v>
      </c>
      <c r="R31">
        <v>1</v>
      </c>
      <c r="S31" t="s">
        <v>457</v>
      </c>
      <c r="AA31" s="73" t="s">
        <v>99</v>
      </c>
      <c r="AB31" s="73" t="s">
        <v>94</v>
      </c>
      <c r="AC31" s="73" t="s">
        <v>88</v>
      </c>
      <c r="AD31" s="72">
        <v>45988.918425925927</v>
      </c>
      <c r="AE31" t="s">
        <v>87</v>
      </c>
      <c r="AF31" t="s">
        <v>462</v>
      </c>
      <c r="AG31">
        <v>1</v>
      </c>
      <c r="AH31">
        <v>377376</v>
      </c>
      <c r="AI31">
        <v>0</v>
      </c>
      <c r="AJ31">
        <v>377376</v>
      </c>
      <c r="AK31" t="s">
        <v>96</v>
      </c>
      <c r="AL31">
        <v>2</v>
      </c>
      <c r="AM31">
        <v>2</v>
      </c>
      <c r="AO31" t="s">
        <v>98</v>
      </c>
      <c r="AP31" t="s">
        <v>479</v>
      </c>
      <c r="AQ31" t="s">
        <v>323</v>
      </c>
    </row>
    <row r="32" spans="2:43" x14ac:dyDescent="0.3">
      <c r="B32" t="s">
        <v>222</v>
      </c>
      <c r="C32" t="s">
        <v>223</v>
      </c>
      <c r="D32" t="s">
        <v>143</v>
      </c>
      <c r="E32" t="s">
        <v>360</v>
      </c>
      <c r="F32">
        <v>1</v>
      </c>
      <c r="I32">
        <v>3</v>
      </c>
      <c r="J32" t="s">
        <v>221</v>
      </c>
      <c r="K32" t="s">
        <v>86</v>
      </c>
      <c r="L32" t="s">
        <v>461</v>
      </c>
      <c r="M32" t="s">
        <v>79</v>
      </c>
      <c r="N32" t="s">
        <v>95</v>
      </c>
      <c r="O32" t="s">
        <v>355</v>
      </c>
      <c r="P32" t="s">
        <v>223</v>
      </c>
      <c r="Q32" t="s">
        <v>155</v>
      </c>
      <c r="R32">
        <v>5</v>
      </c>
      <c r="X32" t="s">
        <v>424</v>
      </c>
      <c r="Y32" t="s">
        <v>363</v>
      </c>
      <c r="AA32" s="73" t="s">
        <v>335</v>
      </c>
      <c r="AB32" s="73" t="s">
        <v>335</v>
      </c>
      <c r="AC32" s="73" t="s">
        <v>335</v>
      </c>
      <c r="AD32" s="72">
        <v>45981.600335648145</v>
      </c>
      <c r="AE32" t="s">
        <v>87</v>
      </c>
      <c r="AF32" t="s">
        <v>462</v>
      </c>
      <c r="AG32">
        <v>1</v>
      </c>
      <c r="AL32">
        <v>2</v>
      </c>
      <c r="AM32">
        <v>2</v>
      </c>
      <c r="AO32" t="s">
        <v>334</v>
      </c>
      <c r="AP32" t="s">
        <v>463</v>
      </c>
      <c r="AQ32" t="s">
        <v>146</v>
      </c>
    </row>
    <row r="33" spans="2:43" x14ac:dyDescent="0.3">
      <c r="B33" t="s">
        <v>222</v>
      </c>
      <c r="C33" t="s">
        <v>223</v>
      </c>
      <c r="D33" t="s">
        <v>143</v>
      </c>
      <c r="E33" t="s">
        <v>360</v>
      </c>
      <c r="F33">
        <v>1</v>
      </c>
      <c r="I33">
        <v>3</v>
      </c>
      <c r="J33" t="s">
        <v>221</v>
      </c>
      <c r="K33" t="s">
        <v>86</v>
      </c>
      <c r="L33" t="s">
        <v>461</v>
      </c>
      <c r="M33" t="s">
        <v>79</v>
      </c>
      <c r="N33" t="s">
        <v>95</v>
      </c>
      <c r="O33" t="s">
        <v>355</v>
      </c>
      <c r="P33" t="s">
        <v>223</v>
      </c>
      <c r="Q33" t="s">
        <v>155</v>
      </c>
      <c r="R33">
        <v>5</v>
      </c>
      <c r="X33" t="s">
        <v>424</v>
      </c>
      <c r="Y33" t="s">
        <v>363</v>
      </c>
      <c r="AA33" s="73" t="s">
        <v>335</v>
      </c>
      <c r="AB33" s="73" t="s">
        <v>335</v>
      </c>
      <c r="AC33" s="73" t="s">
        <v>335</v>
      </c>
      <c r="AD33" s="72">
        <v>45988.918425925927</v>
      </c>
      <c r="AE33" t="s">
        <v>87</v>
      </c>
      <c r="AF33" t="s">
        <v>462</v>
      </c>
      <c r="AG33">
        <v>1</v>
      </c>
      <c r="AH33">
        <v>377681</v>
      </c>
      <c r="AI33">
        <v>0</v>
      </c>
      <c r="AJ33">
        <v>377681</v>
      </c>
      <c r="AK33" t="s">
        <v>96</v>
      </c>
      <c r="AL33">
        <v>2</v>
      </c>
      <c r="AM33">
        <v>2</v>
      </c>
      <c r="AO33" t="s">
        <v>334</v>
      </c>
      <c r="AP33" t="s">
        <v>479</v>
      </c>
      <c r="AQ33" t="s">
        <v>323</v>
      </c>
    </row>
    <row r="34" spans="2:43" x14ac:dyDescent="0.3">
      <c r="B34" t="s">
        <v>266</v>
      </c>
      <c r="C34" t="s">
        <v>267</v>
      </c>
      <c r="D34" t="s">
        <v>143</v>
      </c>
      <c r="E34" t="s">
        <v>319</v>
      </c>
      <c r="F34">
        <v>1</v>
      </c>
      <c r="I34">
        <v>3</v>
      </c>
      <c r="J34" t="s">
        <v>265</v>
      </c>
      <c r="K34" t="s">
        <v>86</v>
      </c>
      <c r="L34" t="s">
        <v>461</v>
      </c>
      <c r="M34" t="s">
        <v>79</v>
      </c>
      <c r="N34" t="s">
        <v>95</v>
      </c>
      <c r="O34" t="s">
        <v>347</v>
      </c>
      <c r="P34" t="s">
        <v>157</v>
      </c>
      <c r="Q34" t="s">
        <v>155</v>
      </c>
      <c r="R34">
        <v>3</v>
      </c>
      <c r="S34" t="s">
        <v>413</v>
      </c>
      <c r="AA34" s="73" t="s">
        <v>101</v>
      </c>
      <c r="AB34" s="73" t="s">
        <v>102</v>
      </c>
      <c r="AC34" s="73" t="s">
        <v>103</v>
      </c>
      <c r="AD34" s="72">
        <v>45981.600335648145</v>
      </c>
      <c r="AE34" t="s">
        <v>87</v>
      </c>
      <c r="AF34" t="s">
        <v>462</v>
      </c>
      <c r="AG34">
        <v>1</v>
      </c>
      <c r="AL34">
        <v>2</v>
      </c>
      <c r="AM34">
        <v>2</v>
      </c>
      <c r="AO34" t="s">
        <v>100</v>
      </c>
      <c r="AP34" t="s">
        <v>463</v>
      </c>
      <c r="AQ34" t="s">
        <v>146</v>
      </c>
    </row>
    <row r="35" spans="2:43" x14ac:dyDescent="0.3">
      <c r="B35" t="s">
        <v>266</v>
      </c>
      <c r="C35" t="s">
        <v>267</v>
      </c>
      <c r="D35" t="s">
        <v>143</v>
      </c>
      <c r="E35" t="s">
        <v>319</v>
      </c>
      <c r="F35">
        <v>1</v>
      </c>
      <c r="I35">
        <v>3</v>
      </c>
      <c r="J35" t="s">
        <v>265</v>
      </c>
      <c r="K35" t="s">
        <v>86</v>
      </c>
      <c r="L35" t="s">
        <v>461</v>
      </c>
      <c r="M35" t="s">
        <v>79</v>
      </c>
      <c r="N35" t="s">
        <v>95</v>
      </c>
      <c r="O35" t="s">
        <v>347</v>
      </c>
      <c r="P35" t="s">
        <v>157</v>
      </c>
      <c r="Q35" t="s">
        <v>155</v>
      </c>
      <c r="R35">
        <v>3</v>
      </c>
      <c r="S35" t="s">
        <v>413</v>
      </c>
      <c r="AA35" s="73" t="s">
        <v>101</v>
      </c>
      <c r="AB35" s="73" t="s">
        <v>102</v>
      </c>
      <c r="AC35" s="73" t="s">
        <v>103</v>
      </c>
      <c r="AD35" s="72">
        <v>45988.918425925927</v>
      </c>
      <c r="AE35" t="s">
        <v>87</v>
      </c>
      <c r="AF35" t="s">
        <v>462</v>
      </c>
      <c r="AG35">
        <v>1</v>
      </c>
      <c r="AH35">
        <v>377376</v>
      </c>
      <c r="AI35">
        <v>0</v>
      </c>
      <c r="AJ35">
        <v>377376</v>
      </c>
      <c r="AK35" t="s">
        <v>96</v>
      </c>
      <c r="AL35">
        <v>2</v>
      </c>
      <c r="AM35">
        <v>2</v>
      </c>
      <c r="AO35" t="s">
        <v>100</v>
      </c>
      <c r="AP35" t="s">
        <v>479</v>
      </c>
      <c r="AQ35" t="s">
        <v>323</v>
      </c>
    </row>
    <row r="36" spans="2:43" x14ac:dyDescent="0.3">
      <c r="B36" t="s">
        <v>305</v>
      </c>
      <c r="C36" t="s">
        <v>306</v>
      </c>
      <c r="D36" t="s">
        <v>143</v>
      </c>
      <c r="E36" t="s">
        <v>319</v>
      </c>
      <c r="F36">
        <v>1</v>
      </c>
      <c r="I36">
        <v>3</v>
      </c>
      <c r="J36" t="s">
        <v>304</v>
      </c>
      <c r="K36" t="s">
        <v>86</v>
      </c>
      <c r="L36" t="s">
        <v>461</v>
      </c>
      <c r="M36" t="s">
        <v>79</v>
      </c>
      <c r="N36" t="s">
        <v>95</v>
      </c>
      <c r="O36" t="s">
        <v>347</v>
      </c>
      <c r="P36" t="s">
        <v>425</v>
      </c>
      <c r="Q36" t="s">
        <v>426</v>
      </c>
      <c r="R36">
        <v>3</v>
      </c>
      <c r="T36" t="s">
        <v>247</v>
      </c>
      <c r="U36" t="s">
        <v>110</v>
      </c>
      <c r="V36" t="s">
        <v>411</v>
      </c>
      <c r="W36" t="s">
        <v>427</v>
      </c>
      <c r="AA36" s="73" t="s">
        <v>101</v>
      </c>
      <c r="AB36" s="73" t="s">
        <v>102</v>
      </c>
      <c r="AC36" s="73" t="s">
        <v>103</v>
      </c>
      <c r="AD36" s="72">
        <v>45981.600335648145</v>
      </c>
      <c r="AE36" t="s">
        <v>87</v>
      </c>
      <c r="AF36" t="s">
        <v>462</v>
      </c>
      <c r="AG36">
        <v>1</v>
      </c>
      <c r="AL36">
        <v>2</v>
      </c>
      <c r="AM36">
        <v>2</v>
      </c>
      <c r="AO36" t="s">
        <v>100</v>
      </c>
      <c r="AP36" t="s">
        <v>463</v>
      </c>
      <c r="AQ36" t="s">
        <v>146</v>
      </c>
    </row>
    <row r="37" spans="2:43" x14ac:dyDescent="0.3">
      <c r="B37" t="s">
        <v>305</v>
      </c>
      <c r="C37" t="s">
        <v>306</v>
      </c>
      <c r="D37" t="s">
        <v>143</v>
      </c>
      <c r="E37" t="s">
        <v>319</v>
      </c>
      <c r="F37">
        <v>1</v>
      </c>
      <c r="I37">
        <v>3</v>
      </c>
      <c r="J37" t="s">
        <v>304</v>
      </c>
      <c r="K37" t="s">
        <v>86</v>
      </c>
      <c r="L37" t="s">
        <v>461</v>
      </c>
      <c r="M37" t="s">
        <v>79</v>
      </c>
      <c r="N37" t="s">
        <v>95</v>
      </c>
      <c r="O37" t="s">
        <v>347</v>
      </c>
      <c r="P37" t="s">
        <v>425</v>
      </c>
      <c r="Q37" t="s">
        <v>426</v>
      </c>
      <c r="R37">
        <v>3</v>
      </c>
      <c r="T37" t="s">
        <v>247</v>
      </c>
      <c r="U37" t="s">
        <v>110</v>
      </c>
      <c r="V37" t="s">
        <v>411</v>
      </c>
      <c r="W37" t="s">
        <v>427</v>
      </c>
      <c r="AA37" s="73" t="s">
        <v>101</v>
      </c>
      <c r="AB37" s="73" t="s">
        <v>102</v>
      </c>
      <c r="AC37" s="73" t="s">
        <v>103</v>
      </c>
      <c r="AD37" s="72">
        <v>45988.918425925927</v>
      </c>
      <c r="AE37" t="s">
        <v>87</v>
      </c>
      <c r="AF37" t="s">
        <v>462</v>
      </c>
      <c r="AG37">
        <v>1</v>
      </c>
      <c r="AH37">
        <v>15615</v>
      </c>
      <c r="AI37">
        <v>0</v>
      </c>
      <c r="AJ37">
        <v>15615</v>
      </c>
      <c r="AK37" t="s">
        <v>96</v>
      </c>
      <c r="AL37">
        <v>2</v>
      </c>
      <c r="AM37">
        <v>2</v>
      </c>
      <c r="AO37" t="s">
        <v>100</v>
      </c>
      <c r="AP37" t="s">
        <v>479</v>
      </c>
      <c r="AQ37" t="s">
        <v>323</v>
      </c>
    </row>
    <row r="38" spans="2:43" x14ac:dyDescent="0.3">
      <c r="B38" t="s">
        <v>248</v>
      </c>
      <c r="C38" t="s">
        <v>249</v>
      </c>
      <c r="D38" t="s">
        <v>143</v>
      </c>
      <c r="E38" t="s">
        <v>324</v>
      </c>
      <c r="F38">
        <v>1</v>
      </c>
      <c r="I38">
        <v>3</v>
      </c>
      <c r="J38" t="s">
        <v>247</v>
      </c>
      <c r="K38" t="s">
        <v>86</v>
      </c>
      <c r="L38" t="s">
        <v>461</v>
      </c>
      <c r="M38" t="s">
        <v>79</v>
      </c>
      <c r="N38" t="s">
        <v>95</v>
      </c>
      <c r="O38" t="s">
        <v>347</v>
      </c>
      <c r="P38" t="s">
        <v>428</v>
      </c>
      <c r="Q38" t="s">
        <v>426</v>
      </c>
      <c r="R38">
        <v>2</v>
      </c>
      <c r="S38" t="s">
        <v>429</v>
      </c>
      <c r="AA38" s="73" t="s">
        <v>101</v>
      </c>
      <c r="AB38" s="73" t="s">
        <v>108</v>
      </c>
      <c r="AC38" s="73" t="s">
        <v>109</v>
      </c>
      <c r="AD38" s="72">
        <v>45981.600335648145</v>
      </c>
      <c r="AE38" t="s">
        <v>87</v>
      </c>
      <c r="AF38" t="s">
        <v>462</v>
      </c>
      <c r="AG38">
        <v>1</v>
      </c>
      <c r="AL38">
        <v>2</v>
      </c>
      <c r="AM38">
        <v>2</v>
      </c>
      <c r="AO38" t="s">
        <v>107</v>
      </c>
      <c r="AP38" t="s">
        <v>463</v>
      </c>
      <c r="AQ38" t="s">
        <v>146</v>
      </c>
    </row>
    <row r="39" spans="2:43" x14ac:dyDescent="0.3">
      <c r="B39" t="s">
        <v>248</v>
      </c>
      <c r="C39" t="s">
        <v>249</v>
      </c>
      <c r="D39" t="s">
        <v>143</v>
      </c>
      <c r="E39" t="s">
        <v>324</v>
      </c>
      <c r="F39">
        <v>1</v>
      </c>
      <c r="I39">
        <v>3</v>
      </c>
      <c r="J39" t="s">
        <v>247</v>
      </c>
      <c r="K39" t="s">
        <v>86</v>
      </c>
      <c r="L39" t="s">
        <v>461</v>
      </c>
      <c r="M39" t="s">
        <v>79</v>
      </c>
      <c r="N39" t="s">
        <v>95</v>
      </c>
      <c r="O39" t="s">
        <v>347</v>
      </c>
      <c r="P39" t="s">
        <v>428</v>
      </c>
      <c r="Q39" t="s">
        <v>426</v>
      </c>
      <c r="R39">
        <v>2</v>
      </c>
      <c r="S39" t="s">
        <v>429</v>
      </c>
      <c r="AA39" s="73" t="s">
        <v>101</v>
      </c>
      <c r="AB39" s="73" t="s">
        <v>108</v>
      </c>
      <c r="AC39" s="73" t="s">
        <v>109</v>
      </c>
      <c r="AD39" s="72">
        <v>45988.918425925927</v>
      </c>
      <c r="AE39" t="s">
        <v>87</v>
      </c>
      <c r="AF39" t="s">
        <v>462</v>
      </c>
      <c r="AG39">
        <v>1</v>
      </c>
      <c r="AH39">
        <v>15615</v>
      </c>
      <c r="AI39">
        <v>0</v>
      </c>
      <c r="AJ39">
        <v>15615</v>
      </c>
      <c r="AK39" t="s">
        <v>96</v>
      </c>
      <c r="AL39">
        <v>2</v>
      </c>
      <c r="AM39">
        <v>2</v>
      </c>
      <c r="AO39" t="s">
        <v>107</v>
      </c>
      <c r="AP39" t="s">
        <v>479</v>
      </c>
      <c r="AQ39" t="s">
        <v>323</v>
      </c>
    </row>
    <row r="40" spans="2:43" x14ac:dyDescent="0.3">
      <c r="B40" t="s">
        <v>314</v>
      </c>
      <c r="C40" t="s">
        <v>468</v>
      </c>
      <c r="D40" t="s">
        <v>143</v>
      </c>
      <c r="E40" t="s">
        <v>319</v>
      </c>
      <c r="F40">
        <v>1</v>
      </c>
      <c r="I40">
        <v>3</v>
      </c>
      <c r="J40" t="s">
        <v>259</v>
      </c>
      <c r="K40" t="s">
        <v>86</v>
      </c>
      <c r="L40" t="s">
        <v>461</v>
      </c>
      <c r="M40" t="s">
        <v>79</v>
      </c>
      <c r="N40" t="s">
        <v>95</v>
      </c>
      <c r="O40" t="s">
        <v>347</v>
      </c>
      <c r="P40" t="s">
        <v>348</v>
      </c>
      <c r="Q40" t="s">
        <v>155</v>
      </c>
      <c r="R40">
        <v>3</v>
      </c>
      <c r="S40" t="s">
        <v>469</v>
      </c>
      <c r="AA40" s="73" t="s">
        <v>101</v>
      </c>
      <c r="AB40" s="73" t="s">
        <v>102</v>
      </c>
      <c r="AC40" s="73" t="s">
        <v>103</v>
      </c>
      <c r="AD40" s="72">
        <v>45981.600335648145</v>
      </c>
      <c r="AE40" t="s">
        <v>87</v>
      </c>
      <c r="AF40" t="s">
        <v>462</v>
      </c>
      <c r="AG40">
        <v>1</v>
      </c>
      <c r="AL40">
        <v>2</v>
      </c>
      <c r="AM40">
        <v>2</v>
      </c>
      <c r="AO40" t="s">
        <v>100</v>
      </c>
      <c r="AP40" t="s">
        <v>463</v>
      </c>
      <c r="AQ40" t="s">
        <v>146</v>
      </c>
    </row>
    <row r="41" spans="2:43" x14ac:dyDescent="0.3">
      <c r="B41" t="s">
        <v>314</v>
      </c>
      <c r="C41" t="s">
        <v>468</v>
      </c>
      <c r="D41" t="s">
        <v>143</v>
      </c>
      <c r="E41" t="s">
        <v>319</v>
      </c>
      <c r="F41">
        <v>1</v>
      </c>
      <c r="I41">
        <v>3</v>
      </c>
      <c r="J41" t="s">
        <v>259</v>
      </c>
      <c r="K41" t="s">
        <v>86</v>
      </c>
      <c r="L41" t="s">
        <v>461</v>
      </c>
      <c r="M41" t="s">
        <v>79</v>
      </c>
      <c r="N41" t="s">
        <v>95</v>
      </c>
      <c r="O41" t="s">
        <v>347</v>
      </c>
      <c r="P41" t="s">
        <v>348</v>
      </c>
      <c r="Q41" t="s">
        <v>155</v>
      </c>
      <c r="R41">
        <v>3</v>
      </c>
      <c r="S41" t="s">
        <v>469</v>
      </c>
      <c r="AA41" s="73" t="s">
        <v>101</v>
      </c>
      <c r="AB41" s="73" t="s">
        <v>102</v>
      </c>
      <c r="AC41" s="73" t="s">
        <v>103</v>
      </c>
      <c r="AD41" s="72">
        <v>45988.918425925927</v>
      </c>
      <c r="AE41" t="s">
        <v>87</v>
      </c>
      <c r="AF41" t="s">
        <v>462</v>
      </c>
      <c r="AG41">
        <v>1</v>
      </c>
      <c r="AH41">
        <v>377376</v>
      </c>
      <c r="AI41">
        <v>0</v>
      </c>
      <c r="AJ41">
        <v>377376</v>
      </c>
      <c r="AK41" t="s">
        <v>96</v>
      </c>
      <c r="AL41">
        <v>2</v>
      </c>
      <c r="AM41">
        <v>2</v>
      </c>
      <c r="AO41" t="s">
        <v>100</v>
      </c>
      <c r="AP41" t="s">
        <v>479</v>
      </c>
      <c r="AQ41" t="s">
        <v>323</v>
      </c>
    </row>
    <row r="42" spans="2:43" x14ac:dyDescent="0.3">
      <c r="B42" t="s">
        <v>177</v>
      </c>
      <c r="C42" t="s">
        <v>178</v>
      </c>
      <c r="D42" t="s">
        <v>143</v>
      </c>
      <c r="E42" t="s">
        <v>319</v>
      </c>
      <c r="F42">
        <v>1</v>
      </c>
      <c r="I42">
        <v>3</v>
      </c>
      <c r="J42" t="s">
        <v>176</v>
      </c>
      <c r="K42" t="s">
        <v>86</v>
      </c>
      <c r="L42" t="s">
        <v>461</v>
      </c>
      <c r="M42" t="s">
        <v>79</v>
      </c>
      <c r="N42" t="s">
        <v>95</v>
      </c>
      <c r="O42" t="s">
        <v>340</v>
      </c>
      <c r="P42" t="s">
        <v>341</v>
      </c>
      <c r="Q42" t="s">
        <v>155</v>
      </c>
      <c r="R42">
        <v>1</v>
      </c>
      <c r="S42" t="s">
        <v>349</v>
      </c>
      <c r="AA42" s="73" t="s">
        <v>101</v>
      </c>
      <c r="AB42" s="73" t="s">
        <v>102</v>
      </c>
      <c r="AC42" s="73" t="s">
        <v>103</v>
      </c>
      <c r="AD42" s="72">
        <v>45981.600335648145</v>
      </c>
      <c r="AE42" t="s">
        <v>87</v>
      </c>
      <c r="AF42" t="s">
        <v>462</v>
      </c>
      <c r="AG42">
        <v>1</v>
      </c>
      <c r="AL42">
        <v>2</v>
      </c>
      <c r="AM42">
        <v>2</v>
      </c>
      <c r="AO42" t="s">
        <v>100</v>
      </c>
      <c r="AP42" t="s">
        <v>463</v>
      </c>
      <c r="AQ42" t="s">
        <v>146</v>
      </c>
    </row>
    <row r="43" spans="2:43" x14ac:dyDescent="0.3">
      <c r="B43" t="s">
        <v>177</v>
      </c>
      <c r="C43" t="s">
        <v>178</v>
      </c>
      <c r="D43" t="s">
        <v>143</v>
      </c>
      <c r="E43" t="s">
        <v>319</v>
      </c>
      <c r="F43">
        <v>1</v>
      </c>
      <c r="I43">
        <v>3</v>
      </c>
      <c r="J43" t="s">
        <v>176</v>
      </c>
      <c r="K43" t="s">
        <v>86</v>
      </c>
      <c r="L43" t="s">
        <v>461</v>
      </c>
      <c r="M43" t="s">
        <v>79</v>
      </c>
      <c r="N43" t="s">
        <v>95</v>
      </c>
      <c r="O43" t="s">
        <v>340</v>
      </c>
      <c r="P43" t="s">
        <v>341</v>
      </c>
      <c r="Q43" t="s">
        <v>155</v>
      </c>
      <c r="R43">
        <v>1</v>
      </c>
      <c r="S43" t="s">
        <v>349</v>
      </c>
      <c r="AA43" s="73" t="s">
        <v>101</v>
      </c>
      <c r="AB43" s="73" t="s">
        <v>102</v>
      </c>
      <c r="AC43" s="73" t="s">
        <v>103</v>
      </c>
      <c r="AD43" s="72">
        <v>45988.918425925927</v>
      </c>
      <c r="AE43" t="s">
        <v>87</v>
      </c>
      <c r="AF43" t="s">
        <v>462</v>
      </c>
      <c r="AG43">
        <v>1</v>
      </c>
      <c r="AH43">
        <v>382284</v>
      </c>
      <c r="AI43">
        <v>0</v>
      </c>
      <c r="AJ43">
        <v>382284</v>
      </c>
      <c r="AK43" t="s">
        <v>96</v>
      </c>
      <c r="AL43">
        <v>2</v>
      </c>
      <c r="AM43">
        <v>2</v>
      </c>
      <c r="AO43" t="s">
        <v>100</v>
      </c>
      <c r="AP43" t="s">
        <v>479</v>
      </c>
      <c r="AQ43" t="s">
        <v>323</v>
      </c>
    </row>
    <row r="44" spans="2:43" x14ac:dyDescent="0.3">
      <c r="B44" t="s">
        <v>452</v>
      </c>
      <c r="C44" t="s">
        <v>453</v>
      </c>
      <c r="D44" t="s">
        <v>143</v>
      </c>
      <c r="E44" t="s">
        <v>324</v>
      </c>
      <c r="F44">
        <v>1</v>
      </c>
      <c r="I44">
        <v>3</v>
      </c>
      <c r="J44" t="s">
        <v>176</v>
      </c>
      <c r="K44" t="s">
        <v>86</v>
      </c>
      <c r="L44" t="s">
        <v>461</v>
      </c>
      <c r="M44" t="s">
        <v>79</v>
      </c>
      <c r="N44" t="s">
        <v>95</v>
      </c>
      <c r="O44" t="s">
        <v>455</v>
      </c>
      <c r="R44">
        <v>4</v>
      </c>
      <c r="S44" t="s">
        <v>456</v>
      </c>
      <c r="AA44" s="73" t="s">
        <v>99</v>
      </c>
      <c r="AB44" s="73" t="s">
        <v>94</v>
      </c>
      <c r="AC44" s="73" t="s">
        <v>88</v>
      </c>
      <c r="AD44" s="72">
        <v>45981.600335648145</v>
      </c>
      <c r="AE44" t="s">
        <v>87</v>
      </c>
      <c r="AF44" t="s">
        <v>462</v>
      </c>
      <c r="AG44">
        <v>1</v>
      </c>
      <c r="AL44">
        <v>2</v>
      </c>
      <c r="AM44">
        <v>2</v>
      </c>
      <c r="AO44" t="s">
        <v>98</v>
      </c>
      <c r="AP44" t="s">
        <v>463</v>
      </c>
      <c r="AQ44" t="s">
        <v>146</v>
      </c>
    </row>
    <row r="45" spans="2:43" x14ac:dyDescent="0.3">
      <c r="B45" t="s">
        <v>452</v>
      </c>
      <c r="C45" t="s">
        <v>453</v>
      </c>
      <c r="D45" t="s">
        <v>143</v>
      </c>
      <c r="E45" t="s">
        <v>324</v>
      </c>
      <c r="F45">
        <v>1</v>
      </c>
      <c r="I45">
        <v>3</v>
      </c>
      <c r="J45" t="s">
        <v>176</v>
      </c>
      <c r="K45" t="s">
        <v>86</v>
      </c>
      <c r="L45" t="s">
        <v>461</v>
      </c>
      <c r="M45" t="s">
        <v>79</v>
      </c>
      <c r="N45" t="s">
        <v>95</v>
      </c>
      <c r="O45" t="s">
        <v>455</v>
      </c>
      <c r="R45">
        <v>4</v>
      </c>
      <c r="S45" t="s">
        <v>456</v>
      </c>
      <c r="AA45" s="73" t="s">
        <v>99</v>
      </c>
      <c r="AB45" s="73" t="s">
        <v>94</v>
      </c>
      <c r="AC45" s="73" t="s">
        <v>88</v>
      </c>
      <c r="AD45" s="72">
        <v>45988.918425925927</v>
      </c>
      <c r="AE45" t="s">
        <v>87</v>
      </c>
      <c r="AF45" t="s">
        <v>462</v>
      </c>
      <c r="AG45">
        <v>1</v>
      </c>
      <c r="AH45">
        <v>386584</v>
      </c>
      <c r="AI45">
        <v>0</v>
      </c>
      <c r="AJ45">
        <v>386584</v>
      </c>
      <c r="AK45" t="s">
        <v>96</v>
      </c>
      <c r="AL45">
        <v>2</v>
      </c>
      <c r="AM45">
        <v>2</v>
      </c>
      <c r="AO45" t="s">
        <v>98</v>
      </c>
      <c r="AP45" t="s">
        <v>479</v>
      </c>
      <c r="AQ45" t="s">
        <v>323</v>
      </c>
    </row>
    <row r="46" spans="2:43" x14ac:dyDescent="0.3">
      <c r="B46" t="s">
        <v>228</v>
      </c>
      <c r="C46" t="s">
        <v>229</v>
      </c>
      <c r="D46" t="s">
        <v>143</v>
      </c>
      <c r="E46" t="s">
        <v>319</v>
      </c>
      <c r="F46">
        <v>1</v>
      </c>
      <c r="I46">
        <v>3</v>
      </c>
      <c r="J46" t="s">
        <v>227</v>
      </c>
      <c r="K46" t="s">
        <v>86</v>
      </c>
      <c r="L46" t="s">
        <v>461</v>
      </c>
      <c r="M46" t="s">
        <v>79</v>
      </c>
      <c r="N46" t="s">
        <v>95</v>
      </c>
      <c r="O46" t="s">
        <v>340</v>
      </c>
      <c r="P46" t="s">
        <v>341</v>
      </c>
      <c r="Q46" t="s">
        <v>155</v>
      </c>
      <c r="R46">
        <v>1</v>
      </c>
      <c r="S46" t="s">
        <v>350</v>
      </c>
      <c r="AA46" s="73" t="s">
        <v>101</v>
      </c>
      <c r="AB46" s="73" t="s">
        <v>102</v>
      </c>
      <c r="AC46" s="73" t="s">
        <v>103</v>
      </c>
      <c r="AD46" s="72">
        <v>45981.600335648145</v>
      </c>
      <c r="AE46" t="s">
        <v>87</v>
      </c>
      <c r="AF46" t="s">
        <v>462</v>
      </c>
      <c r="AG46">
        <v>1</v>
      </c>
      <c r="AL46">
        <v>2</v>
      </c>
      <c r="AM46">
        <v>2</v>
      </c>
      <c r="AO46" t="s">
        <v>100</v>
      </c>
      <c r="AP46" t="s">
        <v>463</v>
      </c>
      <c r="AQ46" t="s">
        <v>146</v>
      </c>
    </row>
    <row r="47" spans="2:43" x14ac:dyDescent="0.3">
      <c r="B47" t="s">
        <v>228</v>
      </c>
      <c r="C47" t="s">
        <v>229</v>
      </c>
      <c r="D47" t="s">
        <v>143</v>
      </c>
      <c r="E47" t="s">
        <v>319</v>
      </c>
      <c r="F47">
        <v>1</v>
      </c>
      <c r="I47">
        <v>3</v>
      </c>
      <c r="J47" t="s">
        <v>227</v>
      </c>
      <c r="K47" t="s">
        <v>86</v>
      </c>
      <c r="L47" t="s">
        <v>461</v>
      </c>
      <c r="M47" t="s">
        <v>79</v>
      </c>
      <c r="N47" t="s">
        <v>95</v>
      </c>
      <c r="O47" t="s">
        <v>340</v>
      </c>
      <c r="P47" t="s">
        <v>341</v>
      </c>
      <c r="Q47" t="s">
        <v>155</v>
      </c>
      <c r="R47">
        <v>1</v>
      </c>
      <c r="S47" t="s">
        <v>350</v>
      </c>
      <c r="AA47" s="73" t="s">
        <v>101</v>
      </c>
      <c r="AB47" s="73" t="s">
        <v>102</v>
      </c>
      <c r="AC47" s="73" t="s">
        <v>103</v>
      </c>
      <c r="AD47" s="72">
        <v>45988.918425925927</v>
      </c>
      <c r="AE47" t="s">
        <v>87</v>
      </c>
      <c r="AF47" t="s">
        <v>462</v>
      </c>
      <c r="AG47">
        <v>1</v>
      </c>
      <c r="AH47">
        <v>382284</v>
      </c>
      <c r="AI47">
        <v>0</v>
      </c>
      <c r="AJ47">
        <v>382284</v>
      </c>
      <c r="AK47" t="s">
        <v>96</v>
      </c>
      <c r="AL47">
        <v>2</v>
      </c>
      <c r="AM47">
        <v>2</v>
      </c>
      <c r="AO47" t="s">
        <v>100</v>
      </c>
      <c r="AP47" t="s">
        <v>479</v>
      </c>
      <c r="AQ47" t="s">
        <v>323</v>
      </c>
    </row>
    <row r="48" spans="2:43" x14ac:dyDescent="0.3">
      <c r="B48" t="s">
        <v>185</v>
      </c>
      <c r="C48" t="s">
        <v>186</v>
      </c>
      <c r="D48" t="s">
        <v>143</v>
      </c>
      <c r="E48" t="s">
        <v>319</v>
      </c>
      <c r="F48">
        <v>1</v>
      </c>
      <c r="I48">
        <v>3</v>
      </c>
      <c r="J48" t="s">
        <v>184</v>
      </c>
      <c r="K48" t="s">
        <v>86</v>
      </c>
      <c r="L48" t="s">
        <v>461</v>
      </c>
      <c r="M48" t="s">
        <v>79</v>
      </c>
      <c r="N48" t="s">
        <v>95</v>
      </c>
      <c r="O48" t="s">
        <v>340</v>
      </c>
      <c r="P48" t="s">
        <v>341</v>
      </c>
      <c r="Q48" t="s">
        <v>155</v>
      </c>
      <c r="R48">
        <v>1</v>
      </c>
      <c r="S48" t="s">
        <v>351</v>
      </c>
      <c r="AA48" s="73" t="s">
        <v>101</v>
      </c>
      <c r="AB48" s="73" t="s">
        <v>102</v>
      </c>
      <c r="AC48" s="73" t="s">
        <v>103</v>
      </c>
      <c r="AD48" s="72">
        <v>45981.600335648145</v>
      </c>
      <c r="AE48" t="s">
        <v>87</v>
      </c>
      <c r="AF48" t="s">
        <v>462</v>
      </c>
      <c r="AG48">
        <v>1</v>
      </c>
      <c r="AL48">
        <v>2</v>
      </c>
      <c r="AM48">
        <v>2</v>
      </c>
      <c r="AO48" t="s">
        <v>100</v>
      </c>
      <c r="AP48" t="s">
        <v>463</v>
      </c>
      <c r="AQ48" t="s">
        <v>146</v>
      </c>
    </row>
    <row r="49" spans="2:43" x14ac:dyDescent="0.3">
      <c r="B49" t="s">
        <v>185</v>
      </c>
      <c r="C49" t="s">
        <v>186</v>
      </c>
      <c r="D49" t="s">
        <v>143</v>
      </c>
      <c r="E49" t="s">
        <v>319</v>
      </c>
      <c r="F49">
        <v>1</v>
      </c>
      <c r="I49">
        <v>3</v>
      </c>
      <c r="J49" t="s">
        <v>184</v>
      </c>
      <c r="K49" t="s">
        <v>86</v>
      </c>
      <c r="L49" t="s">
        <v>461</v>
      </c>
      <c r="M49" t="s">
        <v>79</v>
      </c>
      <c r="N49" t="s">
        <v>95</v>
      </c>
      <c r="O49" t="s">
        <v>340</v>
      </c>
      <c r="P49" t="s">
        <v>341</v>
      </c>
      <c r="Q49" t="s">
        <v>155</v>
      </c>
      <c r="R49">
        <v>1</v>
      </c>
      <c r="S49" t="s">
        <v>351</v>
      </c>
      <c r="AA49" s="73" t="s">
        <v>101</v>
      </c>
      <c r="AB49" s="73" t="s">
        <v>102</v>
      </c>
      <c r="AC49" s="73" t="s">
        <v>103</v>
      </c>
      <c r="AD49" s="72">
        <v>45988.918425925927</v>
      </c>
      <c r="AE49" t="s">
        <v>87</v>
      </c>
      <c r="AF49" t="s">
        <v>462</v>
      </c>
      <c r="AG49">
        <v>1</v>
      </c>
      <c r="AH49">
        <v>382284</v>
      </c>
      <c r="AI49">
        <v>0</v>
      </c>
      <c r="AJ49">
        <v>382284</v>
      </c>
      <c r="AK49" t="s">
        <v>96</v>
      </c>
      <c r="AL49">
        <v>2</v>
      </c>
      <c r="AM49">
        <v>2</v>
      </c>
      <c r="AO49" t="s">
        <v>100</v>
      </c>
      <c r="AP49" t="s">
        <v>479</v>
      </c>
      <c r="AQ49" t="s">
        <v>323</v>
      </c>
    </row>
    <row r="50" spans="2:43" x14ac:dyDescent="0.3">
      <c r="B50" t="s">
        <v>260</v>
      </c>
      <c r="C50" t="s">
        <v>470</v>
      </c>
      <c r="D50" t="s">
        <v>143</v>
      </c>
      <c r="E50" t="s">
        <v>319</v>
      </c>
      <c r="F50">
        <v>1</v>
      </c>
      <c r="I50">
        <v>3</v>
      </c>
      <c r="J50" t="s">
        <v>259</v>
      </c>
      <c r="K50" t="s">
        <v>86</v>
      </c>
      <c r="L50" t="s">
        <v>461</v>
      </c>
      <c r="M50" t="s">
        <v>79</v>
      </c>
      <c r="N50" t="s">
        <v>95</v>
      </c>
      <c r="O50" t="s">
        <v>340</v>
      </c>
      <c r="P50" t="s">
        <v>341</v>
      </c>
      <c r="Q50" t="s">
        <v>155</v>
      </c>
      <c r="R50">
        <v>3</v>
      </c>
      <c r="S50" t="s">
        <v>342</v>
      </c>
      <c r="AA50" s="73" t="s">
        <v>101</v>
      </c>
      <c r="AB50" s="73" t="s">
        <v>102</v>
      </c>
      <c r="AC50" s="73" t="s">
        <v>103</v>
      </c>
      <c r="AD50" s="72">
        <v>45981.600335648145</v>
      </c>
      <c r="AE50" t="s">
        <v>87</v>
      </c>
      <c r="AF50" t="s">
        <v>462</v>
      </c>
      <c r="AG50">
        <v>1</v>
      </c>
      <c r="AL50">
        <v>2</v>
      </c>
      <c r="AM50">
        <v>2</v>
      </c>
      <c r="AO50" t="s">
        <v>100</v>
      </c>
      <c r="AP50" t="s">
        <v>463</v>
      </c>
      <c r="AQ50" t="s">
        <v>146</v>
      </c>
    </row>
    <row r="51" spans="2:43" x14ac:dyDescent="0.3">
      <c r="B51" t="s">
        <v>260</v>
      </c>
      <c r="C51" t="s">
        <v>470</v>
      </c>
      <c r="D51" t="s">
        <v>143</v>
      </c>
      <c r="E51" t="s">
        <v>319</v>
      </c>
      <c r="F51">
        <v>1</v>
      </c>
      <c r="I51">
        <v>3</v>
      </c>
      <c r="J51" t="s">
        <v>259</v>
      </c>
      <c r="K51" t="s">
        <v>86</v>
      </c>
      <c r="L51" t="s">
        <v>461</v>
      </c>
      <c r="M51" t="s">
        <v>79</v>
      </c>
      <c r="N51" t="s">
        <v>95</v>
      </c>
      <c r="O51" t="s">
        <v>340</v>
      </c>
      <c r="P51" t="s">
        <v>341</v>
      </c>
      <c r="Q51" t="s">
        <v>155</v>
      </c>
      <c r="R51">
        <v>3</v>
      </c>
      <c r="S51" t="s">
        <v>342</v>
      </c>
      <c r="AA51" s="73" t="s">
        <v>101</v>
      </c>
      <c r="AB51" s="73" t="s">
        <v>102</v>
      </c>
      <c r="AC51" s="73" t="s">
        <v>103</v>
      </c>
      <c r="AD51" s="72">
        <v>45988.918425925927</v>
      </c>
      <c r="AE51" t="s">
        <v>87</v>
      </c>
      <c r="AF51" t="s">
        <v>462</v>
      </c>
      <c r="AG51">
        <v>1</v>
      </c>
      <c r="AH51">
        <v>382284</v>
      </c>
      <c r="AI51">
        <v>0</v>
      </c>
      <c r="AJ51">
        <v>382284</v>
      </c>
      <c r="AK51" t="s">
        <v>96</v>
      </c>
      <c r="AL51">
        <v>2</v>
      </c>
      <c r="AM51">
        <v>2</v>
      </c>
      <c r="AO51" t="s">
        <v>100</v>
      </c>
      <c r="AP51" t="s">
        <v>479</v>
      </c>
      <c r="AQ51" t="s">
        <v>323</v>
      </c>
    </row>
    <row r="52" spans="2:43" x14ac:dyDescent="0.3">
      <c r="B52" t="s">
        <v>165</v>
      </c>
      <c r="C52" t="s">
        <v>166</v>
      </c>
      <c r="D52" t="s">
        <v>143</v>
      </c>
      <c r="E52" t="s">
        <v>324</v>
      </c>
      <c r="F52">
        <v>1</v>
      </c>
      <c r="I52">
        <v>3</v>
      </c>
      <c r="J52" t="s">
        <v>164</v>
      </c>
      <c r="K52" t="s">
        <v>86</v>
      </c>
      <c r="L52" t="s">
        <v>461</v>
      </c>
      <c r="M52" t="s">
        <v>79</v>
      </c>
      <c r="N52" t="s">
        <v>95</v>
      </c>
      <c r="O52" t="s">
        <v>414</v>
      </c>
      <c r="R52">
        <v>4</v>
      </c>
      <c r="S52" t="s">
        <v>415</v>
      </c>
      <c r="AA52" s="73" t="s">
        <v>99</v>
      </c>
      <c r="AB52" s="73" t="s">
        <v>94</v>
      </c>
      <c r="AC52" s="73" t="s">
        <v>88</v>
      </c>
      <c r="AD52" s="72">
        <v>45981.600335648145</v>
      </c>
      <c r="AE52" t="s">
        <v>87</v>
      </c>
      <c r="AF52" t="s">
        <v>462</v>
      </c>
      <c r="AG52">
        <v>1</v>
      </c>
      <c r="AL52">
        <v>2</v>
      </c>
      <c r="AM52">
        <v>2</v>
      </c>
      <c r="AO52" t="s">
        <v>98</v>
      </c>
      <c r="AP52" t="s">
        <v>463</v>
      </c>
      <c r="AQ52" t="s">
        <v>146</v>
      </c>
    </row>
    <row r="53" spans="2:43" x14ac:dyDescent="0.3">
      <c r="B53" t="s">
        <v>165</v>
      </c>
      <c r="C53" t="s">
        <v>166</v>
      </c>
      <c r="D53" t="s">
        <v>143</v>
      </c>
      <c r="E53" t="s">
        <v>324</v>
      </c>
      <c r="F53">
        <v>1</v>
      </c>
      <c r="I53">
        <v>3</v>
      </c>
      <c r="J53" t="s">
        <v>164</v>
      </c>
      <c r="K53" t="s">
        <v>86</v>
      </c>
      <c r="L53" t="s">
        <v>461</v>
      </c>
      <c r="M53" t="s">
        <v>79</v>
      </c>
      <c r="N53" t="s">
        <v>95</v>
      </c>
      <c r="O53" t="s">
        <v>414</v>
      </c>
      <c r="R53">
        <v>4</v>
      </c>
      <c r="S53" t="s">
        <v>415</v>
      </c>
      <c r="AA53" s="73" t="s">
        <v>99</v>
      </c>
      <c r="AB53" s="73" t="s">
        <v>94</v>
      </c>
      <c r="AC53" s="73" t="s">
        <v>88</v>
      </c>
      <c r="AD53" s="72">
        <v>45988.918425925927</v>
      </c>
      <c r="AE53" t="s">
        <v>87</v>
      </c>
      <c r="AF53" t="s">
        <v>462</v>
      </c>
      <c r="AG53">
        <v>1</v>
      </c>
      <c r="AH53">
        <v>275537</v>
      </c>
      <c r="AI53">
        <v>0</v>
      </c>
      <c r="AJ53">
        <v>275537</v>
      </c>
      <c r="AK53" t="s">
        <v>96</v>
      </c>
      <c r="AL53">
        <v>2</v>
      </c>
      <c r="AM53">
        <v>2</v>
      </c>
      <c r="AO53" t="s">
        <v>98</v>
      </c>
      <c r="AP53" t="s">
        <v>479</v>
      </c>
      <c r="AQ53" t="s">
        <v>323</v>
      </c>
    </row>
    <row r="54" spans="2:43" x14ac:dyDescent="0.3">
      <c r="B54" t="s">
        <v>231</v>
      </c>
      <c r="C54" t="s">
        <v>232</v>
      </c>
      <c r="D54" t="s">
        <v>143</v>
      </c>
      <c r="E54" t="s">
        <v>360</v>
      </c>
      <c r="F54">
        <v>1</v>
      </c>
      <c r="I54">
        <v>3</v>
      </c>
      <c r="J54" t="s">
        <v>230</v>
      </c>
      <c r="K54" t="s">
        <v>86</v>
      </c>
      <c r="L54" t="s">
        <v>461</v>
      </c>
      <c r="M54" t="s">
        <v>79</v>
      </c>
      <c r="N54" t="s">
        <v>95</v>
      </c>
      <c r="O54" t="s">
        <v>340</v>
      </c>
      <c r="P54" t="s">
        <v>232</v>
      </c>
      <c r="Q54" t="s">
        <v>155</v>
      </c>
      <c r="R54">
        <v>5</v>
      </c>
      <c r="X54" t="s">
        <v>430</v>
      </c>
      <c r="Y54" t="s">
        <v>363</v>
      </c>
      <c r="AA54" s="73" t="s">
        <v>335</v>
      </c>
      <c r="AB54" s="73" t="s">
        <v>335</v>
      </c>
      <c r="AC54" s="73" t="s">
        <v>335</v>
      </c>
      <c r="AD54" s="72">
        <v>45981.600335648145</v>
      </c>
      <c r="AE54" t="s">
        <v>87</v>
      </c>
      <c r="AF54" t="s">
        <v>462</v>
      </c>
      <c r="AG54">
        <v>1</v>
      </c>
      <c r="AL54">
        <v>2</v>
      </c>
      <c r="AM54">
        <v>1</v>
      </c>
      <c r="AO54" t="s">
        <v>334</v>
      </c>
      <c r="AP54" t="s">
        <v>463</v>
      </c>
      <c r="AQ54" t="s">
        <v>146</v>
      </c>
    </row>
    <row r="55" spans="2:43" x14ac:dyDescent="0.3">
      <c r="B55" t="s">
        <v>231</v>
      </c>
      <c r="C55" t="s">
        <v>232</v>
      </c>
      <c r="D55" t="s">
        <v>143</v>
      </c>
      <c r="E55" t="s">
        <v>360</v>
      </c>
      <c r="F55">
        <v>1</v>
      </c>
      <c r="I55">
        <v>3</v>
      </c>
      <c r="J55" t="s">
        <v>230</v>
      </c>
      <c r="K55" t="s">
        <v>86</v>
      </c>
      <c r="L55" t="s">
        <v>461</v>
      </c>
      <c r="M55" t="s">
        <v>79</v>
      </c>
      <c r="N55" t="s">
        <v>95</v>
      </c>
      <c r="O55" t="s">
        <v>340</v>
      </c>
      <c r="P55" t="s">
        <v>232</v>
      </c>
      <c r="Q55" t="s">
        <v>155</v>
      </c>
      <c r="R55">
        <v>5</v>
      </c>
      <c r="X55" t="s">
        <v>430</v>
      </c>
      <c r="Y55" t="s">
        <v>363</v>
      </c>
      <c r="AA55" s="73" t="s">
        <v>335</v>
      </c>
      <c r="AB55" s="73" t="s">
        <v>335</v>
      </c>
      <c r="AC55" s="73" t="s">
        <v>335</v>
      </c>
      <c r="AD55" s="72">
        <v>45988.918425925927</v>
      </c>
      <c r="AE55" t="s">
        <v>87</v>
      </c>
      <c r="AF55" t="s">
        <v>462</v>
      </c>
      <c r="AG55">
        <v>1</v>
      </c>
      <c r="AH55">
        <v>382284</v>
      </c>
      <c r="AI55">
        <v>0</v>
      </c>
      <c r="AJ55">
        <v>382284</v>
      </c>
      <c r="AK55" t="s">
        <v>96</v>
      </c>
      <c r="AL55">
        <v>2</v>
      </c>
      <c r="AM55">
        <v>1</v>
      </c>
      <c r="AO55" t="s">
        <v>334</v>
      </c>
      <c r="AP55" t="s">
        <v>479</v>
      </c>
      <c r="AQ55" t="s">
        <v>323</v>
      </c>
    </row>
    <row r="56" spans="2:43" x14ac:dyDescent="0.3">
      <c r="B56" t="s">
        <v>180</v>
      </c>
      <c r="C56" t="s">
        <v>471</v>
      </c>
      <c r="D56" t="s">
        <v>143</v>
      </c>
      <c r="E56" t="s">
        <v>324</v>
      </c>
      <c r="F56">
        <v>1</v>
      </c>
      <c r="I56">
        <v>3</v>
      </c>
      <c r="J56" t="s">
        <v>179</v>
      </c>
      <c r="K56" t="s">
        <v>86</v>
      </c>
      <c r="L56" t="s">
        <v>461</v>
      </c>
      <c r="M56" t="s">
        <v>79</v>
      </c>
      <c r="N56" t="s">
        <v>95</v>
      </c>
      <c r="O56" t="s">
        <v>460</v>
      </c>
      <c r="R56">
        <v>1</v>
      </c>
      <c r="S56" t="s">
        <v>383</v>
      </c>
      <c r="AA56" s="73" t="s">
        <v>101</v>
      </c>
      <c r="AB56" s="73" t="s">
        <v>108</v>
      </c>
      <c r="AC56" s="73" t="s">
        <v>109</v>
      </c>
      <c r="AD56" s="72">
        <v>45981.600335648145</v>
      </c>
      <c r="AE56" t="s">
        <v>87</v>
      </c>
      <c r="AF56" t="s">
        <v>462</v>
      </c>
      <c r="AG56">
        <v>1</v>
      </c>
      <c r="AL56">
        <v>2</v>
      </c>
      <c r="AM56">
        <v>2</v>
      </c>
      <c r="AO56" t="s">
        <v>107</v>
      </c>
      <c r="AP56" t="s">
        <v>463</v>
      </c>
      <c r="AQ56" t="s">
        <v>146</v>
      </c>
    </row>
    <row r="57" spans="2:43" x14ac:dyDescent="0.3">
      <c r="B57" t="s">
        <v>180</v>
      </c>
      <c r="C57" t="s">
        <v>471</v>
      </c>
      <c r="D57" t="s">
        <v>143</v>
      </c>
      <c r="E57" t="s">
        <v>324</v>
      </c>
      <c r="F57">
        <v>1</v>
      </c>
      <c r="I57">
        <v>3</v>
      </c>
      <c r="J57" t="s">
        <v>179</v>
      </c>
      <c r="K57" t="s">
        <v>86</v>
      </c>
      <c r="L57" t="s">
        <v>461</v>
      </c>
      <c r="M57" t="s">
        <v>79</v>
      </c>
      <c r="N57" t="s">
        <v>95</v>
      </c>
      <c r="O57" t="s">
        <v>460</v>
      </c>
      <c r="R57">
        <v>1</v>
      </c>
      <c r="S57" t="s">
        <v>383</v>
      </c>
      <c r="AA57" s="73" t="s">
        <v>101</v>
      </c>
      <c r="AB57" s="73" t="s">
        <v>108</v>
      </c>
      <c r="AC57" s="73" t="s">
        <v>109</v>
      </c>
      <c r="AD57" s="72">
        <v>45988.918425925927</v>
      </c>
      <c r="AE57" t="s">
        <v>87</v>
      </c>
      <c r="AF57" t="s">
        <v>462</v>
      </c>
      <c r="AG57">
        <v>1</v>
      </c>
      <c r="AH57">
        <v>13143</v>
      </c>
      <c r="AI57">
        <v>0</v>
      </c>
      <c r="AJ57">
        <v>13143</v>
      </c>
      <c r="AK57" t="s">
        <v>96</v>
      </c>
      <c r="AL57">
        <v>2</v>
      </c>
      <c r="AM57">
        <v>2</v>
      </c>
      <c r="AO57" t="s">
        <v>107</v>
      </c>
      <c r="AP57" t="s">
        <v>479</v>
      </c>
      <c r="AQ57" t="s">
        <v>323</v>
      </c>
    </row>
    <row r="58" spans="2:43" x14ac:dyDescent="0.3">
      <c r="B58" t="s">
        <v>234</v>
      </c>
      <c r="C58" t="s">
        <v>235</v>
      </c>
      <c r="D58" t="s">
        <v>143</v>
      </c>
      <c r="E58" t="s">
        <v>324</v>
      </c>
      <c r="F58">
        <v>1</v>
      </c>
      <c r="I58">
        <v>3</v>
      </c>
      <c r="J58" t="s">
        <v>233</v>
      </c>
      <c r="K58" t="s">
        <v>86</v>
      </c>
      <c r="L58" t="s">
        <v>461</v>
      </c>
      <c r="M58" t="s">
        <v>79</v>
      </c>
      <c r="N58" t="s">
        <v>95</v>
      </c>
      <c r="O58" t="s">
        <v>382</v>
      </c>
      <c r="R58">
        <v>1</v>
      </c>
      <c r="S58" t="s">
        <v>384</v>
      </c>
      <c r="AA58" s="73" t="s">
        <v>101</v>
      </c>
      <c r="AB58" s="73" t="s">
        <v>108</v>
      </c>
      <c r="AC58" s="73" t="s">
        <v>109</v>
      </c>
      <c r="AD58" s="72">
        <v>45981.600335648145</v>
      </c>
      <c r="AE58" t="s">
        <v>87</v>
      </c>
      <c r="AF58" t="s">
        <v>462</v>
      </c>
      <c r="AG58">
        <v>1</v>
      </c>
      <c r="AL58">
        <v>2</v>
      </c>
      <c r="AM58">
        <v>2</v>
      </c>
      <c r="AO58" t="s">
        <v>107</v>
      </c>
      <c r="AP58" t="s">
        <v>463</v>
      </c>
      <c r="AQ58" t="s">
        <v>146</v>
      </c>
    </row>
    <row r="59" spans="2:43" x14ac:dyDescent="0.3">
      <c r="B59" t="s">
        <v>234</v>
      </c>
      <c r="C59" t="s">
        <v>235</v>
      </c>
      <c r="D59" t="s">
        <v>143</v>
      </c>
      <c r="E59" t="s">
        <v>324</v>
      </c>
      <c r="F59">
        <v>1</v>
      </c>
      <c r="I59">
        <v>3</v>
      </c>
      <c r="J59" t="s">
        <v>233</v>
      </c>
      <c r="K59" t="s">
        <v>86</v>
      </c>
      <c r="L59" t="s">
        <v>461</v>
      </c>
      <c r="M59" t="s">
        <v>79</v>
      </c>
      <c r="N59" t="s">
        <v>95</v>
      </c>
      <c r="O59" t="s">
        <v>382</v>
      </c>
      <c r="R59">
        <v>1</v>
      </c>
      <c r="S59" t="s">
        <v>384</v>
      </c>
      <c r="AA59" s="73" t="s">
        <v>101</v>
      </c>
      <c r="AB59" s="73" t="s">
        <v>108</v>
      </c>
      <c r="AC59" s="73" t="s">
        <v>109</v>
      </c>
      <c r="AD59" s="72">
        <v>45988.918425925927</v>
      </c>
      <c r="AE59" t="s">
        <v>87</v>
      </c>
      <c r="AF59" t="s">
        <v>462</v>
      </c>
      <c r="AG59">
        <v>1</v>
      </c>
      <c r="AH59">
        <v>151454</v>
      </c>
      <c r="AI59">
        <v>0</v>
      </c>
      <c r="AJ59">
        <v>151454</v>
      </c>
      <c r="AK59" t="s">
        <v>96</v>
      </c>
      <c r="AL59">
        <v>2</v>
      </c>
      <c r="AM59">
        <v>2</v>
      </c>
      <c r="AO59" t="s">
        <v>107</v>
      </c>
      <c r="AP59" t="s">
        <v>479</v>
      </c>
      <c r="AQ59" t="s">
        <v>323</v>
      </c>
    </row>
    <row r="60" spans="2:43" x14ac:dyDescent="0.3">
      <c r="B60" t="s">
        <v>188</v>
      </c>
      <c r="C60" t="s">
        <v>189</v>
      </c>
      <c r="D60" t="s">
        <v>143</v>
      </c>
      <c r="E60" t="s">
        <v>324</v>
      </c>
      <c r="F60">
        <v>1</v>
      </c>
      <c r="I60">
        <v>3</v>
      </c>
      <c r="J60" t="s">
        <v>187</v>
      </c>
      <c r="K60" t="s">
        <v>86</v>
      </c>
      <c r="L60" t="s">
        <v>461</v>
      </c>
      <c r="M60" t="s">
        <v>79</v>
      </c>
      <c r="N60" t="s">
        <v>95</v>
      </c>
      <c r="O60" t="s">
        <v>352</v>
      </c>
      <c r="R60">
        <v>1</v>
      </c>
      <c r="S60" t="s">
        <v>353</v>
      </c>
      <c r="AA60" s="73" t="s">
        <v>101</v>
      </c>
      <c r="AB60" s="73" t="s">
        <v>108</v>
      </c>
      <c r="AC60" s="73" t="s">
        <v>109</v>
      </c>
      <c r="AD60" s="72">
        <v>45981.600335648145</v>
      </c>
      <c r="AE60" t="s">
        <v>87</v>
      </c>
      <c r="AF60" t="s">
        <v>462</v>
      </c>
      <c r="AG60">
        <v>1</v>
      </c>
      <c r="AL60">
        <v>2</v>
      </c>
      <c r="AM60">
        <v>2</v>
      </c>
      <c r="AO60" t="s">
        <v>107</v>
      </c>
      <c r="AP60" t="s">
        <v>463</v>
      </c>
      <c r="AQ60" t="s">
        <v>146</v>
      </c>
    </row>
    <row r="61" spans="2:43" x14ac:dyDescent="0.3">
      <c r="B61" t="s">
        <v>188</v>
      </c>
      <c r="C61" t="s">
        <v>189</v>
      </c>
      <c r="D61" t="s">
        <v>143</v>
      </c>
      <c r="E61" t="s">
        <v>324</v>
      </c>
      <c r="F61">
        <v>1</v>
      </c>
      <c r="I61">
        <v>3</v>
      </c>
      <c r="J61" t="s">
        <v>187</v>
      </c>
      <c r="K61" t="s">
        <v>86</v>
      </c>
      <c r="L61" t="s">
        <v>461</v>
      </c>
      <c r="M61" t="s">
        <v>79</v>
      </c>
      <c r="N61" t="s">
        <v>95</v>
      </c>
      <c r="O61" t="s">
        <v>352</v>
      </c>
      <c r="R61">
        <v>1</v>
      </c>
      <c r="S61" t="s">
        <v>353</v>
      </c>
      <c r="AA61" s="73" t="s">
        <v>101</v>
      </c>
      <c r="AB61" s="73" t="s">
        <v>108</v>
      </c>
      <c r="AC61" s="73" t="s">
        <v>109</v>
      </c>
      <c r="AD61" s="72">
        <v>45988.918425925927</v>
      </c>
      <c r="AE61" t="s">
        <v>87</v>
      </c>
      <c r="AF61" t="s">
        <v>462</v>
      </c>
      <c r="AG61">
        <v>1</v>
      </c>
      <c r="AH61">
        <v>377681</v>
      </c>
      <c r="AI61">
        <v>0</v>
      </c>
      <c r="AJ61">
        <v>377681</v>
      </c>
      <c r="AK61" t="s">
        <v>96</v>
      </c>
      <c r="AL61">
        <v>2</v>
      </c>
      <c r="AM61">
        <v>2</v>
      </c>
      <c r="AO61" t="s">
        <v>107</v>
      </c>
      <c r="AP61" t="s">
        <v>479</v>
      </c>
      <c r="AQ61" t="s">
        <v>323</v>
      </c>
    </row>
    <row r="62" spans="2:43" x14ac:dyDescent="0.3">
      <c r="B62" t="s">
        <v>182</v>
      </c>
      <c r="C62" t="s">
        <v>183</v>
      </c>
      <c r="D62" t="s">
        <v>143</v>
      </c>
      <c r="E62" t="s">
        <v>324</v>
      </c>
      <c r="F62">
        <v>1</v>
      </c>
      <c r="I62">
        <v>3</v>
      </c>
      <c r="J62" t="s">
        <v>181</v>
      </c>
      <c r="K62" t="s">
        <v>86</v>
      </c>
      <c r="L62" t="s">
        <v>461</v>
      </c>
      <c r="M62" t="s">
        <v>79</v>
      </c>
      <c r="N62" t="s">
        <v>95</v>
      </c>
      <c r="O62" t="s">
        <v>354</v>
      </c>
      <c r="R62">
        <v>1</v>
      </c>
      <c r="S62" t="s">
        <v>353</v>
      </c>
      <c r="AA62" s="73" t="s">
        <v>101</v>
      </c>
      <c r="AB62" s="73" t="s">
        <v>108</v>
      </c>
      <c r="AC62" s="73" t="s">
        <v>109</v>
      </c>
      <c r="AD62" s="72">
        <v>45981.600335648145</v>
      </c>
      <c r="AE62" t="s">
        <v>87</v>
      </c>
      <c r="AF62" t="s">
        <v>462</v>
      </c>
      <c r="AG62">
        <v>1</v>
      </c>
      <c r="AL62">
        <v>2</v>
      </c>
      <c r="AM62">
        <v>2</v>
      </c>
      <c r="AO62" t="s">
        <v>107</v>
      </c>
      <c r="AP62" t="s">
        <v>463</v>
      </c>
      <c r="AQ62" t="s">
        <v>146</v>
      </c>
    </row>
    <row r="63" spans="2:43" x14ac:dyDescent="0.3">
      <c r="B63" t="s">
        <v>182</v>
      </c>
      <c r="C63" t="s">
        <v>183</v>
      </c>
      <c r="D63" t="s">
        <v>143</v>
      </c>
      <c r="E63" t="s">
        <v>324</v>
      </c>
      <c r="F63">
        <v>1</v>
      </c>
      <c r="I63">
        <v>3</v>
      </c>
      <c r="J63" t="s">
        <v>181</v>
      </c>
      <c r="K63" t="s">
        <v>86</v>
      </c>
      <c r="L63" t="s">
        <v>461</v>
      </c>
      <c r="M63" t="s">
        <v>79</v>
      </c>
      <c r="N63" t="s">
        <v>95</v>
      </c>
      <c r="O63" t="s">
        <v>354</v>
      </c>
      <c r="R63">
        <v>1</v>
      </c>
      <c r="S63" t="s">
        <v>353</v>
      </c>
      <c r="AA63" s="73" t="s">
        <v>101</v>
      </c>
      <c r="AB63" s="73" t="s">
        <v>108</v>
      </c>
      <c r="AC63" s="73" t="s">
        <v>109</v>
      </c>
      <c r="AD63" s="72">
        <v>45988.918425925927</v>
      </c>
      <c r="AE63" t="s">
        <v>87</v>
      </c>
      <c r="AF63" t="s">
        <v>462</v>
      </c>
      <c r="AG63">
        <v>1</v>
      </c>
      <c r="AH63">
        <v>377681</v>
      </c>
      <c r="AI63">
        <v>0</v>
      </c>
      <c r="AJ63">
        <v>377681</v>
      </c>
      <c r="AK63" t="s">
        <v>96</v>
      </c>
      <c r="AL63">
        <v>2</v>
      </c>
      <c r="AM63">
        <v>2</v>
      </c>
      <c r="AO63" t="s">
        <v>107</v>
      </c>
      <c r="AP63" t="s">
        <v>479</v>
      </c>
      <c r="AQ63" t="s">
        <v>323</v>
      </c>
    </row>
    <row r="64" spans="2:43" x14ac:dyDescent="0.3">
      <c r="B64" t="s">
        <v>207</v>
      </c>
      <c r="C64" t="s">
        <v>208</v>
      </c>
      <c r="D64" t="s">
        <v>143</v>
      </c>
      <c r="E64" t="s">
        <v>324</v>
      </c>
      <c r="F64">
        <v>1</v>
      </c>
      <c r="I64">
        <v>3</v>
      </c>
      <c r="J64" t="s">
        <v>206</v>
      </c>
      <c r="K64" t="s">
        <v>86</v>
      </c>
      <c r="L64" t="s">
        <v>461</v>
      </c>
      <c r="M64" t="s">
        <v>79</v>
      </c>
      <c r="N64" t="s">
        <v>95</v>
      </c>
      <c r="O64" t="s">
        <v>355</v>
      </c>
      <c r="P64" t="s">
        <v>356</v>
      </c>
      <c r="Q64" t="s">
        <v>155</v>
      </c>
      <c r="R64">
        <v>1</v>
      </c>
      <c r="S64" t="s">
        <v>357</v>
      </c>
      <c r="AA64" s="73" t="s">
        <v>99</v>
      </c>
      <c r="AB64" s="73" t="s">
        <v>94</v>
      </c>
      <c r="AC64" s="73" t="s">
        <v>88</v>
      </c>
      <c r="AD64" s="72">
        <v>45981.600335648145</v>
      </c>
      <c r="AE64" t="s">
        <v>87</v>
      </c>
      <c r="AF64" t="s">
        <v>462</v>
      </c>
      <c r="AG64">
        <v>1</v>
      </c>
      <c r="AL64">
        <v>2</v>
      </c>
      <c r="AM64">
        <v>2</v>
      </c>
      <c r="AO64" t="s">
        <v>98</v>
      </c>
      <c r="AP64" t="s">
        <v>463</v>
      </c>
      <c r="AQ64" t="s">
        <v>146</v>
      </c>
    </row>
    <row r="65" spans="2:43" x14ac:dyDescent="0.3">
      <c r="B65" t="s">
        <v>207</v>
      </c>
      <c r="C65" t="s">
        <v>208</v>
      </c>
      <c r="D65" t="s">
        <v>143</v>
      </c>
      <c r="E65" t="s">
        <v>324</v>
      </c>
      <c r="F65">
        <v>1</v>
      </c>
      <c r="I65">
        <v>3</v>
      </c>
      <c r="J65" t="s">
        <v>206</v>
      </c>
      <c r="K65" t="s">
        <v>86</v>
      </c>
      <c r="L65" t="s">
        <v>461</v>
      </c>
      <c r="M65" t="s">
        <v>79</v>
      </c>
      <c r="N65" t="s">
        <v>95</v>
      </c>
      <c r="O65" t="s">
        <v>355</v>
      </c>
      <c r="P65" t="s">
        <v>356</v>
      </c>
      <c r="Q65" t="s">
        <v>155</v>
      </c>
      <c r="R65">
        <v>1</v>
      </c>
      <c r="S65" t="s">
        <v>357</v>
      </c>
      <c r="AA65" s="73" t="s">
        <v>99</v>
      </c>
      <c r="AB65" s="73" t="s">
        <v>94</v>
      </c>
      <c r="AC65" s="73" t="s">
        <v>88</v>
      </c>
      <c r="AD65" s="72">
        <v>45988.918425925927</v>
      </c>
      <c r="AE65" t="s">
        <v>87</v>
      </c>
      <c r="AF65" t="s">
        <v>462</v>
      </c>
      <c r="AG65">
        <v>1</v>
      </c>
      <c r="AH65">
        <v>377680</v>
      </c>
      <c r="AI65">
        <v>1</v>
      </c>
      <c r="AJ65">
        <v>377681</v>
      </c>
      <c r="AK65" t="s">
        <v>96</v>
      </c>
      <c r="AL65">
        <v>2</v>
      </c>
      <c r="AM65">
        <v>2</v>
      </c>
      <c r="AO65" t="s">
        <v>98</v>
      </c>
      <c r="AP65" t="s">
        <v>479</v>
      </c>
      <c r="AQ65" t="s">
        <v>323</v>
      </c>
    </row>
    <row r="66" spans="2:43" x14ac:dyDescent="0.3">
      <c r="B66" t="s">
        <v>201</v>
      </c>
      <c r="C66" t="s">
        <v>202</v>
      </c>
      <c r="D66" t="s">
        <v>143</v>
      </c>
      <c r="E66" t="s">
        <v>324</v>
      </c>
      <c r="F66">
        <v>1</v>
      </c>
      <c r="I66">
        <v>3</v>
      </c>
      <c r="J66" t="s">
        <v>200</v>
      </c>
      <c r="K66" t="s">
        <v>86</v>
      </c>
      <c r="L66" t="s">
        <v>461</v>
      </c>
      <c r="M66" t="s">
        <v>79</v>
      </c>
      <c r="N66" t="s">
        <v>95</v>
      </c>
      <c r="O66" t="s">
        <v>431</v>
      </c>
      <c r="R66">
        <v>1</v>
      </c>
      <c r="S66" t="s">
        <v>432</v>
      </c>
      <c r="AA66" s="73" t="s">
        <v>101</v>
      </c>
      <c r="AB66" s="73" t="s">
        <v>108</v>
      </c>
      <c r="AC66" s="73" t="s">
        <v>109</v>
      </c>
      <c r="AD66" s="72">
        <v>45981.600335648145</v>
      </c>
      <c r="AE66" t="s">
        <v>87</v>
      </c>
      <c r="AF66" t="s">
        <v>462</v>
      </c>
      <c r="AG66">
        <v>1</v>
      </c>
      <c r="AL66">
        <v>2</v>
      </c>
      <c r="AM66">
        <v>2</v>
      </c>
      <c r="AO66" t="s">
        <v>107</v>
      </c>
      <c r="AP66" t="s">
        <v>463</v>
      </c>
      <c r="AQ66" t="s">
        <v>146</v>
      </c>
    </row>
    <row r="67" spans="2:43" x14ac:dyDescent="0.3">
      <c r="B67" t="s">
        <v>201</v>
      </c>
      <c r="C67" t="s">
        <v>202</v>
      </c>
      <c r="D67" t="s">
        <v>143</v>
      </c>
      <c r="E67" t="s">
        <v>324</v>
      </c>
      <c r="F67">
        <v>1</v>
      </c>
      <c r="I67">
        <v>3</v>
      </c>
      <c r="J67" t="s">
        <v>200</v>
      </c>
      <c r="K67" t="s">
        <v>86</v>
      </c>
      <c r="L67" t="s">
        <v>461</v>
      </c>
      <c r="M67" t="s">
        <v>79</v>
      </c>
      <c r="N67" t="s">
        <v>95</v>
      </c>
      <c r="O67" t="s">
        <v>431</v>
      </c>
      <c r="R67">
        <v>1</v>
      </c>
      <c r="S67" t="s">
        <v>432</v>
      </c>
      <c r="AA67" s="73" t="s">
        <v>101</v>
      </c>
      <c r="AB67" s="73" t="s">
        <v>108</v>
      </c>
      <c r="AC67" s="73" t="s">
        <v>109</v>
      </c>
      <c r="AD67" s="72">
        <v>45988.918425925927</v>
      </c>
      <c r="AE67" t="s">
        <v>87</v>
      </c>
      <c r="AF67" t="s">
        <v>462</v>
      </c>
      <c r="AG67">
        <v>1</v>
      </c>
      <c r="AH67">
        <v>14142</v>
      </c>
      <c r="AI67">
        <v>0</v>
      </c>
      <c r="AJ67">
        <v>14142</v>
      </c>
      <c r="AK67" t="s">
        <v>96</v>
      </c>
      <c r="AL67">
        <v>2</v>
      </c>
      <c r="AM67">
        <v>2</v>
      </c>
      <c r="AO67" t="s">
        <v>107</v>
      </c>
      <c r="AP67" t="s">
        <v>479</v>
      </c>
      <c r="AQ67" t="s">
        <v>323</v>
      </c>
    </row>
    <row r="68" spans="2:43" x14ac:dyDescent="0.3">
      <c r="B68" t="s">
        <v>289</v>
      </c>
      <c r="C68" t="s">
        <v>290</v>
      </c>
      <c r="D68" t="s">
        <v>143</v>
      </c>
      <c r="E68" t="s">
        <v>319</v>
      </c>
      <c r="F68">
        <v>1</v>
      </c>
      <c r="I68">
        <v>3</v>
      </c>
      <c r="J68" t="s">
        <v>288</v>
      </c>
      <c r="K68" t="s">
        <v>86</v>
      </c>
      <c r="L68" t="s">
        <v>461</v>
      </c>
      <c r="M68" t="s">
        <v>79</v>
      </c>
      <c r="N68" t="s">
        <v>95</v>
      </c>
      <c r="O68" t="s">
        <v>329</v>
      </c>
      <c r="R68">
        <v>4</v>
      </c>
      <c r="S68" t="s">
        <v>330</v>
      </c>
      <c r="AA68" s="73" t="s">
        <v>101</v>
      </c>
      <c r="AB68" s="73" t="s">
        <v>102</v>
      </c>
      <c r="AC68" s="73" t="s">
        <v>103</v>
      </c>
      <c r="AD68" s="72">
        <v>45981.600335648145</v>
      </c>
      <c r="AE68" t="s">
        <v>87</v>
      </c>
      <c r="AF68" t="s">
        <v>462</v>
      </c>
      <c r="AG68">
        <v>1</v>
      </c>
      <c r="AL68">
        <v>2</v>
      </c>
      <c r="AM68">
        <v>2</v>
      </c>
      <c r="AO68" t="s">
        <v>100</v>
      </c>
      <c r="AP68" t="s">
        <v>463</v>
      </c>
      <c r="AQ68" t="s">
        <v>146</v>
      </c>
    </row>
    <row r="69" spans="2:43" x14ac:dyDescent="0.3">
      <c r="B69" t="s">
        <v>289</v>
      </c>
      <c r="C69" t="s">
        <v>290</v>
      </c>
      <c r="D69" t="s">
        <v>143</v>
      </c>
      <c r="E69" t="s">
        <v>319</v>
      </c>
      <c r="F69">
        <v>1</v>
      </c>
      <c r="I69">
        <v>3</v>
      </c>
      <c r="J69" t="s">
        <v>288</v>
      </c>
      <c r="K69" t="s">
        <v>86</v>
      </c>
      <c r="L69" t="s">
        <v>461</v>
      </c>
      <c r="M69" t="s">
        <v>79</v>
      </c>
      <c r="N69" t="s">
        <v>95</v>
      </c>
      <c r="O69" t="s">
        <v>329</v>
      </c>
      <c r="R69">
        <v>4</v>
      </c>
      <c r="S69" t="s">
        <v>330</v>
      </c>
      <c r="AA69" s="73" t="s">
        <v>101</v>
      </c>
      <c r="AB69" s="73" t="s">
        <v>102</v>
      </c>
      <c r="AC69" s="73" t="s">
        <v>103</v>
      </c>
      <c r="AD69" s="72">
        <v>45988.918425925927</v>
      </c>
      <c r="AE69" t="s">
        <v>87</v>
      </c>
      <c r="AF69" t="s">
        <v>462</v>
      </c>
      <c r="AG69">
        <v>1</v>
      </c>
      <c r="AH69">
        <v>14142</v>
      </c>
      <c r="AI69">
        <v>0</v>
      </c>
      <c r="AJ69">
        <v>14142</v>
      </c>
      <c r="AK69" t="s">
        <v>96</v>
      </c>
      <c r="AL69">
        <v>2</v>
      </c>
      <c r="AM69">
        <v>2</v>
      </c>
      <c r="AO69" t="s">
        <v>100</v>
      </c>
      <c r="AP69" t="s">
        <v>479</v>
      </c>
      <c r="AQ69" t="s">
        <v>323</v>
      </c>
    </row>
    <row r="70" spans="2:43" x14ac:dyDescent="0.3">
      <c r="B70" t="s">
        <v>204</v>
      </c>
      <c r="C70" t="s">
        <v>205</v>
      </c>
      <c r="D70" t="s">
        <v>143</v>
      </c>
      <c r="E70" t="s">
        <v>324</v>
      </c>
      <c r="F70">
        <v>1</v>
      </c>
      <c r="I70">
        <v>3</v>
      </c>
      <c r="J70" t="s">
        <v>203</v>
      </c>
      <c r="K70" t="s">
        <v>86</v>
      </c>
      <c r="L70" t="s">
        <v>461</v>
      </c>
      <c r="M70" t="s">
        <v>79</v>
      </c>
      <c r="N70" t="s">
        <v>95</v>
      </c>
      <c r="O70" t="s">
        <v>340</v>
      </c>
      <c r="P70" t="s">
        <v>341</v>
      </c>
      <c r="Q70" t="s">
        <v>358</v>
      </c>
      <c r="R70">
        <v>1</v>
      </c>
      <c r="S70" t="s">
        <v>359</v>
      </c>
      <c r="AA70" s="73" t="s">
        <v>99</v>
      </c>
      <c r="AB70" s="73" t="s">
        <v>94</v>
      </c>
      <c r="AC70" s="73" t="s">
        <v>88</v>
      </c>
      <c r="AD70" s="72">
        <v>45981.600335648145</v>
      </c>
      <c r="AE70" t="s">
        <v>87</v>
      </c>
      <c r="AF70" t="s">
        <v>462</v>
      </c>
      <c r="AG70">
        <v>1</v>
      </c>
      <c r="AL70">
        <v>2</v>
      </c>
      <c r="AM70">
        <v>2</v>
      </c>
      <c r="AO70" t="s">
        <v>98</v>
      </c>
      <c r="AP70" t="s">
        <v>463</v>
      </c>
      <c r="AQ70" t="s">
        <v>146</v>
      </c>
    </row>
    <row r="71" spans="2:43" x14ac:dyDescent="0.3">
      <c r="B71" t="s">
        <v>204</v>
      </c>
      <c r="C71" t="s">
        <v>205</v>
      </c>
      <c r="D71" t="s">
        <v>143</v>
      </c>
      <c r="E71" t="s">
        <v>324</v>
      </c>
      <c r="F71">
        <v>1</v>
      </c>
      <c r="I71">
        <v>3</v>
      </c>
      <c r="J71" t="s">
        <v>203</v>
      </c>
      <c r="K71" t="s">
        <v>86</v>
      </c>
      <c r="L71" t="s">
        <v>461</v>
      </c>
      <c r="M71" t="s">
        <v>79</v>
      </c>
      <c r="N71" t="s">
        <v>95</v>
      </c>
      <c r="O71" t="s">
        <v>340</v>
      </c>
      <c r="P71" t="s">
        <v>341</v>
      </c>
      <c r="Q71" t="s">
        <v>358</v>
      </c>
      <c r="R71">
        <v>1</v>
      </c>
      <c r="S71" t="s">
        <v>359</v>
      </c>
      <c r="AA71" s="73" t="s">
        <v>99</v>
      </c>
      <c r="AB71" s="73" t="s">
        <v>94</v>
      </c>
      <c r="AC71" s="73" t="s">
        <v>88</v>
      </c>
      <c r="AD71" s="72">
        <v>45988.918425925927</v>
      </c>
      <c r="AE71" t="s">
        <v>87</v>
      </c>
      <c r="AF71" t="s">
        <v>462</v>
      </c>
      <c r="AG71">
        <v>1</v>
      </c>
      <c r="AH71">
        <v>0</v>
      </c>
      <c r="AI71">
        <v>0</v>
      </c>
      <c r="AJ71">
        <v>0</v>
      </c>
      <c r="AK71" t="s">
        <v>480</v>
      </c>
      <c r="AL71">
        <v>2</v>
      </c>
      <c r="AM71">
        <v>2</v>
      </c>
      <c r="AO71" t="s">
        <v>98</v>
      </c>
      <c r="AP71" t="s">
        <v>479</v>
      </c>
      <c r="AQ71" t="s">
        <v>323</v>
      </c>
    </row>
    <row r="72" spans="2:43" x14ac:dyDescent="0.3">
      <c r="B72" t="s">
        <v>163</v>
      </c>
      <c r="C72" t="s">
        <v>472</v>
      </c>
      <c r="D72" t="s">
        <v>143</v>
      </c>
      <c r="E72" t="s">
        <v>324</v>
      </c>
      <c r="F72">
        <v>1</v>
      </c>
      <c r="I72">
        <v>3</v>
      </c>
      <c r="J72" t="s">
        <v>162</v>
      </c>
      <c r="K72" t="s">
        <v>86</v>
      </c>
      <c r="L72" t="s">
        <v>461</v>
      </c>
      <c r="M72" t="s">
        <v>79</v>
      </c>
      <c r="N72" t="s">
        <v>95</v>
      </c>
      <c r="O72" t="s">
        <v>458</v>
      </c>
      <c r="R72">
        <v>1</v>
      </c>
      <c r="S72" t="s">
        <v>344</v>
      </c>
      <c r="AA72" s="73" t="s">
        <v>99</v>
      </c>
      <c r="AB72" s="73" t="s">
        <v>94</v>
      </c>
      <c r="AC72" s="73" t="s">
        <v>88</v>
      </c>
      <c r="AD72" s="72">
        <v>45981.600335648145</v>
      </c>
      <c r="AE72" t="s">
        <v>87</v>
      </c>
      <c r="AF72" t="s">
        <v>462</v>
      </c>
      <c r="AG72">
        <v>1</v>
      </c>
      <c r="AL72">
        <v>2</v>
      </c>
      <c r="AM72">
        <v>2</v>
      </c>
      <c r="AO72" t="s">
        <v>98</v>
      </c>
      <c r="AP72" t="s">
        <v>463</v>
      </c>
      <c r="AQ72" t="s">
        <v>146</v>
      </c>
    </row>
    <row r="73" spans="2:43" x14ac:dyDescent="0.3">
      <c r="B73" t="s">
        <v>163</v>
      </c>
      <c r="C73" t="s">
        <v>472</v>
      </c>
      <c r="D73" t="s">
        <v>143</v>
      </c>
      <c r="E73" t="s">
        <v>324</v>
      </c>
      <c r="F73">
        <v>1</v>
      </c>
      <c r="I73">
        <v>3</v>
      </c>
      <c r="J73" t="s">
        <v>162</v>
      </c>
      <c r="K73" t="s">
        <v>86</v>
      </c>
      <c r="L73" t="s">
        <v>461</v>
      </c>
      <c r="M73" t="s">
        <v>79</v>
      </c>
      <c r="N73" t="s">
        <v>95</v>
      </c>
      <c r="O73" t="s">
        <v>458</v>
      </c>
      <c r="R73">
        <v>1</v>
      </c>
      <c r="S73" t="s">
        <v>344</v>
      </c>
      <c r="AA73" s="73" t="s">
        <v>99</v>
      </c>
      <c r="AB73" s="73" t="s">
        <v>94</v>
      </c>
      <c r="AC73" s="73" t="s">
        <v>88</v>
      </c>
      <c r="AD73" s="72">
        <v>45988.918425925927</v>
      </c>
      <c r="AE73" t="s">
        <v>87</v>
      </c>
      <c r="AF73" t="s">
        <v>462</v>
      </c>
      <c r="AG73">
        <v>1</v>
      </c>
      <c r="AH73">
        <v>14668</v>
      </c>
      <c r="AI73">
        <v>2</v>
      </c>
      <c r="AJ73">
        <v>14670</v>
      </c>
      <c r="AK73" t="s">
        <v>96</v>
      </c>
      <c r="AL73">
        <v>2</v>
      </c>
      <c r="AM73">
        <v>2</v>
      </c>
      <c r="AO73" t="s">
        <v>98</v>
      </c>
      <c r="AP73" t="s">
        <v>479</v>
      </c>
      <c r="AQ73" t="s">
        <v>323</v>
      </c>
    </row>
    <row r="74" spans="2:43" x14ac:dyDescent="0.3">
      <c r="B74" t="s">
        <v>242</v>
      </c>
      <c r="C74" t="s">
        <v>243</v>
      </c>
      <c r="D74" t="s">
        <v>143</v>
      </c>
      <c r="E74" t="s">
        <v>360</v>
      </c>
      <c r="F74">
        <v>1</v>
      </c>
      <c r="I74">
        <v>3</v>
      </c>
      <c r="J74" t="s">
        <v>241</v>
      </c>
      <c r="K74" t="s">
        <v>86</v>
      </c>
      <c r="L74" t="s">
        <v>461</v>
      </c>
      <c r="M74" t="s">
        <v>79</v>
      </c>
      <c r="N74" t="s">
        <v>95</v>
      </c>
      <c r="O74" t="s">
        <v>345</v>
      </c>
      <c r="P74" t="s">
        <v>361</v>
      </c>
      <c r="Q74" t="s">
        <v>155</v>
      </c>
      <c r="R74">
        <v>5</v>
      </c>
      <c r="X74" t="s">
        <v>362</v>
      </c>
      <c r="Y74" t="s">
        <v>363</v>
      </c>
      <c r="AA74" s="73" t="s">
        <v>335</v>
      </c>
      <c r="AB74" s="73" t="s">
        <v>335</v>
      </c>
      <c r="AC74" s="73" t="s">
        <v>335</v>
      </c>
      <c r="AD74" s="72">
        <v>45981.600335648145</v>
      </c>
      <c r="AE74" t="s">
        <v>87</v>
      </c>
      <c r="AF74" t="s">
        <v>462</v>
      </c>
      <c r="AG74">
        <v>1</v>
      </c>
      <c r="AL74">
        <v>2</v>
      </c>
      <c r="AM74">
        <v>2</v>
      </c>
      <c r="AO74" t="s">
        <v>334</v>
      </c>
      <c r="AP74" t="s">
        <v>463</v>
      </c>
      <c r="AQ74" t="s">
        <v>146</v>
      </c>
    </row>
    <row r="75" spans="2:43" x14ac:dyDescent="0.3">
      <c r="B75" t="s">
        <v>242</v>
      </c>
      <c r="C75" t="s">
        <v>243</v>
      </c>
      <c r="D75" t="s">
        <v>143</v>
      </c>
      <c r="E75" t="s">
        <v>360</v>
      </c>
      <c r="F75">
        <v>1</v>
      </c>
      <c r="I75">
        <v>3</v>
      </c>
      <c r="J75" t="s">
        <v>241</v>
      </c>
      <c r="K75" t="s">
        <v>86</v>
      </c>
      <c r="L75" t="s">
        <v>461</v>
      </c>
      <c r="M75" t="s">
        <v>79</v>
      </c>
      <c r="N75" t="s">
        <v>95</v>
      </c>
      <c r="O75" t="s">
        <v>345</v>
      </c>
      <c r="P75" t="s">
        <v>361</v>
      </c>
      <c r="Q75" t="s">
        <v>155</v>
      </c>
      <c r="R75">
        <v>5</v>
      </c>
      <c r="X75" t="s">
        <v>362</v>
      </c>
      <c r="Y75" t="s">
        <v>363</v>
      </c>
      <c r="AA75" s="73" t="s">
        <v>335</v>
      </c>
      <c r="AB75" s="73" t="s">
        <v>335</v>
      </c>
      <c r="AC75" s="73" t="s">
        <v>335</v>
      </c>
      <c r="AD75" s="72">
        <v>45988.918425925927</v>
      </c>
      <c r="AE75" t="s">
        <v>87</v>
      </c>
      <c r="AF75" t="s">
        <v>462</v>
      </c>
      <c r="AG75">
        <v>1</v>
      </c>
      <c r="AH75">
        <v>275537</v>
      </c>
      <c r="AI75">
        <v>0</v>
      </c>
      <c r="AJ75">
        <v>275537</v>
      </c>
      <c r="AK75" t="s">
        <v>96</v>
      </c>
      <c r="AL75">
        <v>2</v>
      </c>
      <c r="AM75">
        <v>2</v>
      </c>
      <c r="AO75" t="s">
        <v>334</v>
      </c>
      <c r="AP75" t="s">
        <v>479</v>
      </c>
      <c r="AQ75" t="s">
        <v>323</v>
      </c>
    </row>
    <row r="76" spans="2:43" x14ac:dyDescent="0.3">
      <c r="B76" t="s">
        <v>213</v>
      </c>
      <c r="C76" t="s">
        <v>214</v>
      </c>
      <c r="D76" t="s">
        <v>143</v>
      </c>
      <c r="E76" t="s">
        <v>324</v>
      </c>
      <c r="F76">
        <v>1</v>
      </c>
      <c r="I76">
        <v>3</v>
      </c>
      <c r="J76" t="s">
        <v>212</v>
      </c>
      <c r="K76" t="s">
        <v>86</v>
      </c>
      <c r="L76" t="s">
        <v>461</v>
      </c>
      <c r="M76" t="s">
        <v>79</v>
      </c>
      <c r="N76" t="s">
        <v>95</v>
      </c>
      <c r="O76" t="s">
        <v>459</v>
      </c>
      <c r="R76">
        <v>1</v>
      </c>
      <c r="S76" t="s">
        <v>346</v>
      </c>
      <c r="AA76" s="73" t="s">
        <v>99</v>
      </c>
      <c r="AB76" s="73" t="s">
        <v>94</v>
      </c>
      <c r="AC76" s="73" t="s">
        <v>88</v>
      </c>
      <c r="AD76" s="72">
        <v>45981.600335648145</v>
      </c>
      <c r="AE76" t="s">
        <v>87</v>
      </c>
      <c r="AF76" t="s">
        <v>462</v>
      </c>
      <c r="AG76">
        <v>1</v>
      </c>
      <c r="AL76">
        <v>2</v>
      </c>
      <c r="AM76">
        <v>2</v>
      </c>
      <c r="AO76" t="s">
        <v>98</v>
      </c>
      <c r="AP76" t="s">
        <v>463</v>
      </c>
      <c r="AQ76" t="s">
        <v>146</v>
      </c>
    </row>
    <row r="77" spans="2:43" x14ac:dyDescent="0.3">
      <c r="B77" t="s">
        <v>213</v>
      </c>
      <c r="C77" t="s">
        <v>214</v>
      </c>
      <c r="D77" t="s">
        <v>143</v>
      </c>
      <c r="E77" t="s">
        <v>324</v>
      </c>
      <c r="F77">
        <v>1</v>
      </c>
      <c r="I77">
        <v>3</v>
      </c>
      <c r="J77" t="s">
        <v>212</v>
      </c>
      <c r="K77" t="s">
        <v>86</v>
      </c>
      <c r="L77" t="s">
        <v>461</v>
      </c>
      <c r="M77" t="s">
        <v>79</v>
      </c>
      <c r="N77" t="s">
        <v>95</v>
      </c>
      <c r="O77" t="s">
        <v>459</v>
      </c>
      <c r="R77">
        <v>1</v>
      </c>
      <c r="S77" t="s">
        <v>346</v>
      </c>
      <c r="AA77" s="73" t="s">
        <v>99</v>
      </c>
      <c r="AB77" s="73" t="s">
        <v>94</v>
      </c>
      <c r="AC77" s="73" t="s">
        <v>88</v>
      </c>
      <c r="AD77" s="72">
        <v>45988.918425925927</v>
      </c>
      <c r="AE77" t="s">
        <v>87</v>
      </c>
      <c r="AF77" t="s">
        <v>462</v>
      </c>
      <c r="AG77">
        <v>1</v>
      </c>
      <c r="AH77">
        <v>275528</v>
      </c>
      <c r="AI77">
        <v>9</v>
      </c>
      <c r="AJ77">
        <v>275537</v>
      </c>
      <c r="AK77" t="s">
        <v>96</v>
      </c>
      <c r="AL77">
        <v>2</v>
      </c>
      <c r="AM77">
        <v>2</v>
      </c>
      <c r="AO77" t="s">
        <v>98</v>
      </c>
      <c r="AP77" t="s">
        <v>479</v>
      </c>
      <c r="AQ77" t="s">
        <v>323</v>
      </c>
    </row>
    <row r="78" spans="2:43" x14ac:dyDescent="0.3">
      <c r="B78" t="s">
        <v>239</v>
      </c>
      <c r="C78" t="s">
        <v>240</v>
      </c>
      <c r="D78" t="s">
        <v>143</v>
      </c>
      <c r="E78" t="s">
        <v>319</v>
      </c>
      <c r="F78">
        <v>1</v>
      </c>
      <c r="I78">
        <v>3</v>
      </c>
      <c r="J78" t="s">
        <v>238</v>
      </c>
      <c r="K78" t="s">
        <v>86</v>
      </c>
      <c r="L78" t="s">
        <v>461</v>
      </c>
      <c r="M78" t="s">
        <v>106</v>
      </c>
      <c r="N78" t="s">
        <v>95</v>
      </c>
      <c r="O78" t="s">
        <v>433</v>
      </c>
      <c r="R78">
        <v>3</v>
      </c>
      <c r="T78" t="s">
        <v>238</v>
      </c>
      <c r="U78" t="s">
        <v>110</v>
      </c>
      <c r="V78" t="s">
        <v>411</v>
      </c>
      <c r="W78" t="s">
        <v>434</v>
      </c>
      <c r="AA78" s="73" t="s">
        <v>101</v>
      </c>
      <c r="AB78" s="73" t="s">
        <v>102</v>
      </c>
      <c r="AC78" s="73" t="s">
        <v>103</v>
      </c>
      <c r="AD78" s="72">
        <v>45981.600335648145</v>
      </c>
      <c r="AE78" t="s">
        <v>87</v>
      </c>
      <c r="AF78" t="s">
        <v>462</v>
      </c>
      <c r="AG78">
        <v>1</v>
      </c>
      <c r="AL78">
        <v>2</v>
      </c>
      <c r="AM78">
        <v>2</v>
      </c>
      <c r="AO78" t="s">
        <v>100</v>
      </c>
      <c r="AP78" t="s">
        <v>463</v>
      </c>
      <c r="AQ78" t="s">
        <v>146</v>
      </c>
    </row>
    <row r="79" spans="2:43" x14ac:dyDescent="0.3">
      <c r="B79" t="s">
        <v>239</v>
      </c>
      <c r="C79" t="s">
        <v>240</v>
      </c>
      <c r="D79" t="s">
        <v>143</v>
      </c>
      <c r="E79" t="s">
        <v>319</v>
      </c>
      <c r="F79">
        <v>1</v>
      </c>
      <c r="I79">
        <v>3</v>
      </c>
      <c r="J79" t="s">
        <v>238</v>
      </c>
      <c r="K79" t="s">
        <v>86</v>
      </c>
      <c r="L79" t="s">
        <v>461</v>
      </c>
      <c r="M79" t="s">
        <v>106</v>
      </c>
      <c r="N79" t="s">
        <v>95</v>
      </c>
      <c r="O79" t="s">
        <v>433</v>
      </c>
      <c r="R79">
        <v>3</v>
      </c>
      <c r="T79" t="s">
        <v>238</v>
      </c>
      <c r="U79" t="s">
        <v>110</v>
      </c>
      <c r="V79" t="s">
        <v>411</v>
      </c>
      <c r="W79" t="s">
        <v>434</v>
      </c>
      <c r="AA79" s="73" t="s">
        <v>101</v>
      </c>
      <c r="AB79" s="73" t="s">
        <v>102</v>
      </c>
      <c r="AC79" s="73" t="s">
        <v>103</v>
      </c>
      <c r="AD79" s="72">
        <v>45988.918425925927</v>
      </c>
      <c r="AE79" t="s">
        <v>87</v>
      </c>
      <c r="AF79" t="s">
        <v>462</v>
      </c>
      <c r="AG79">
        <v>1</v>
      </c>
      <c r="AH79">
        <v>13736</v>
      </c>
      <c r="AI79">
        <v>0</v>
      </c>
      <c r="AJ79">
        <v>13736</v>
      </c>
      <c r="AK79" t="s">
        <v>96</v>
      </c>
      <c r="AL79">
        <v>2</v>
      </c>
      <c r="AM79">
        <v>2</v>
      </c>
      <c r="AO79" t="s">
        <v>100</v>
      </c>
      <c r="AP79" t="s">
        <v>479</v>
      </c>
      <c r="AQ79" t="s">
        <v>323</v>
      </c>
    </row>
    <row r="80" spans="2:43" x14ac:dyDescent="0.3">
      <c r="B80" t="s">
        <v>276</v>
      </c>
      <c r="C80" t="s">
        <v>277</v>
      </c>
      <c r="D80" t="s">
        <v>143</v>
      </c>
      <c r="E80" t="s">
        <v>324</v>
      </c>
      <c r="F80">
        <v>1</v>
      </c>
      <c r="I80">
        <v>3</v>
      </c>
      <c r="J80" t="s">
        <v>173</v>
      </c>
      <c r="K80" t="s">
        <v>86</v>
      </c>
      <c r="L80" t="s">
        <v>461</v>
      </c>
      <c r="M80" t="s">
        <v>79</v>
      </c>
      <c r="N80" t="s">
        <v>95</v>
      </c>
      <c r="O80" t="s">
        <v>343</v>
      </c>
      <c r="R80">
        <v>1</v>
      </c>
      <c r="S80" t="s">
        <v>410</v>
      </c>
      <c r="AA80" s="73" t="s">
        <v>99</v>
      </c>
      <c r="AB80" s="73" t="s">
        <v>94</v>
      </c>
      <c r="AC80" s="73" t="s">
        <v>88</v>
      </c>
      <c r="AD80" s="72">
        <v>45981.600335648145</v>
      </c>
      <c r="AE80" t="s">
        <v>87</v>
      </c>
      <c r="AF80" t="s">
        <v>462</v>
      </c>
      <c r="AG80">
        <v>1</v>
      </c>
      <c r="AL80">
        <v>2</v>
      </c>
      <c r="AM80">
        <v>2</v>
      </c>
      <c r="AO80" t="s">
        <v>98</v>
      </c>
      <c r="AP80" t="s">
        <v>463</v>
      </c>
      <c r="AQ80" t="s">
        <v>146</v>
      </c>
    </row>
    <row r="81" spans="2:43" x14ac:dyDescent="0.3">
      <c r="B81" t="s">
        <v>276</v>
      </c>
      <c r="C81" t="s">
        <v>277</v>
      </c>
      <c r="D81" t="s">
        <v>143</v>
      </c>
      <c r="E81" t="s">
        <v>324</v>
      </c>
      <c r="F81">
        <v>1</v>
      </c>
      <c r="I81">
        <v>3</v>
      </c>
      <c r="J81" t="s">
        <v>173</v>
      </c>
      <c r="K81" t="s">
        <v>86</v>
      </c>
      <c r="L81" t="s">
        <v>461</v>
      </c>
      <c r="M81" t="s">
        <v>79</v>
      </c>
      <c r="N81" t="s">
        <v>95</v>
      </c>
      <c r="O81" t="s">
        <v>343</v>
      </c>
      <c r="R81">
        <v>1</v>
      </c>
      <c r="S81" t="s">
        <v>410</v>
      </c>
      <c r="AA81" s="73" t="s">
        <v>99</v>
      </c>
      <c r="AB81" s="73" t="s">
        <v>94</v>
      </c>
      <c r="AC81" s="73" t="s">
        <v>88</v>
      </c>
      <c r="AD81" s="72">
        <v>45988.918425925927</v>
      </c>
      <c r="AE81" t="s">
        <v>87</v>
      </c>
      <c r="AF81" t="s">
        <v>462</v>
      </c>
      <c r="AG81">
        <v>1</v>
      </c>
      <c r="AH81">
        <v>14670</v>
      </c>
      <c r="AI81">
        <v>0</v>
      </c>
      <c r="AJ81">
        <v>14670</v>
      </c>
      <c r="AK81" t="s">
        <v>96</v>
      </c>
      <c r="AL81">
        <v>2</v>
      </c>
      <c r="AM81">
        <v>2</v>
      </c>
      <c r="AO81" t="s">
        <v>98</v>
      </c>
      <c r="AP81" t="s">
        <v>479</v>
      </c>
      <c r="AQ81" t="s">
        <v>323</v>
      </c>
    </row>
    <row r="82" spans="2:43" x14ac:dyDescent="0.3">
      <c r="B82" t="s">
        <v>192</v>
      </c>
      <c r="C82" t="s">
        <v>193</v>
      </c>
      <c r="D82" t="s">
        <v>143</v>
      </c>
      <c r="E82" t="s">
        <v>364</v>
      </c>
      <c r="F82">
        <v>1</v>
      </c>
      <c r="I82">
        <v>3</v>
      </c>
      <c r="J82" t="s">
        <v>191</v>
      </c>
      <c r="K82" t="s">
        <v>86</v>
      </c>
      <c r="L82" t="s">
        <v>461</v>
      </c>
      <c r="M82" t="s">
        <v>79</v>
      </c>
      <c r="N82" t="s">
        <v>95</v>
      </c>
      <c r="O82" t="s">
        <v>435</v>
      </c>
      <c r="R82">
        <v>4</v>
      </c>
      <c r="S82" t="s">
        <v>436</v>
      </c>
      <c r="AA82" s="73" t="s">
        <v>99</v>
      </c>
      <c r="AB82" s="73" t="s">
        <v>94</v>
      </c>
      <c r="AC82" s="73" t="s">
        <v>88</v>
      </c>
      <c r="AD82" s="72">
        <v>45981.600335648145</v>
      </c>
      <c r="AE82" t="s">
        <v>87</v>
      </c>
      <c r="AF82" t="s">
        <v>462</v>
      </c>
      <c r="AG82">
        <v>1</v>
      </c>
      <c r="AL82">
        <v>2</v>
      </c>
      <c r="AM82">
        <v>2</v>
      </c>
      <c r="AO82" t="s">
        <v>98</v>
      </c>
      <c r="AP82" t="s">
        <v>463</v>
      </c>
      <c r="AQ82" t="s">
        <v>146</v>
      </c>
    </row>
    <row r="83" spans="2:43" x14ac:dyDescent="0.3">
      <c r="B83" t="s">
        <v>192</v>
      </c>
      <c r="C83" t="s">
        <v>193</v>
      </c>
      <c r="D83" t="s">
        <v>143</v>
      </c>
      <c r="E83" t="s">
        <v>364</v>
      </c>
      <c r="F83">
        <v>1</v>
      </c>
      <c r="I83">
        <v>3</v>
      </c>
      <c r="J83" t="s">
        <v>191</v>
      </c>
      <c r="K83" t="s">
        <v>86</v>
      </c>
      <c r="L83" t="s">
        <v>461</v>
      </c>
      <c r="M83" t="s">
        <v>79</v>
      </c>
      <c r="N83" t="s">
        <v>95</v>
      </c>
      <c r="O83" t="s">
        <v>435</v>
      </c>
      <c r="R83">
        <v>4</v>
      </c>
      <c r="S83" t="s">
        <v>436</v>
      </c>
      <c r="AA83" s="73" t="s">
        <v>99</v>
      </c>
      <c r="AB83" s="73" t="s">
        <v>94</v>
      </c>
      <c r="AC83" s="73" t="s">
        <v>88</v>
      </c>
      <c r="AD83" s="72">
        <v>45988.918425925927</v>
      </c>
      <c r="AE83" t="s">
        <v>87</v>
      </c>
      <c r="AF83" t="s">
        <v>462</v>
      </c>
      <c r="AG83">
        <v>1</v>
      </c>
      <c r="AH83">
        <v>275537</v>
      </c>
      <c r="AI83">
        <v>0</v>
      </c>
      <c r="AJ83">
        <v>275537</v>
      </c>
      <c r="AK83" t="s">
        <v>96</v>
      </c>
      <c r="AL83">
        <v>2</v>
      </c>
      <c r="AM83">
        <v>2</v>
      </c>
      <c r="AO83" t="s">
        <v>98</v>
      </c>
      <c r="AP83" t="s">
        <v>479</v>
      </c>
      <c r="AQ83" t="s">
        <v>323</v>
      </c>
    </row>
    <row r="84" spans="2:43" x14ac:dyDescent="0.3">
      <c r="B84" t="s">
        <v>255</v>
      </c>
      <c r="C84" t="s">
        <v>256</v>
      </c>
      <c r="D84" t="s">
        <v>143</v>
      </c>
      <c r="E84" t="s">
        <v>324</v>
      </c>
      <c r="F84">
        <v>1</v>
      </c>
      <c r="I84">
        <v>3</v>
      </c>
      <c r="J84" t="s">
        <v>254</v>
      </c>
      <c r="K84" t="s">
        <v>86</v>
      </c>
      <c r="L84" t="s">
        <v>461</v>
      </c>
      <c r="M84" t="s">
        <v>79</v>
      </c>
      <c r="N84" t="s">
        <v>95</v>
      </c>
      <c r="O84" t="s">
        <v>385</v>
      </c>
      <c r="R84">
        <v>1</v>
      </c>
      <c r="S84" t="s">
        <v>353</v>
      </c>
      <c r="AA84" s="73" t="s">
        <v>101</v>
      </c>
      <c r="AB84" s="73" t="s">
        <v>108</v>
      </c>
      <c r="AC84" s="73" t="s">
        <v>109</v>
      </c>
      <c r="AD84" s="72">
        <v>45981.600335648145</v>
      </c>
      <c r="AE84" t="s">
        <v>87</v>
      </c>
      <c r="AF84" t="s">
        <v>462</v>
      </c>
      <c r="AG84">
        <v>1</v>
      </c>
      <c r="AL84">
        <v>2</v>
      </c>
      <c r="AM84">
        <v>2</v>
      </c>
      <c r="AO84" t="s">
        <v>107</v>
      </c>
      <c r="AP84" t="s">
        <v>463</v>
      </c>
      <c r="AQ84" t="s">
        <v>146</v>
      </c>
    </row>
    <row r="85" spans="2:43" x14ac:dyDescent="0.3">
      <c r="B85" t="s">
        <v>255</v>
      </c>
      <c r="C85" t="s">
        <v>256</v>
      </c>
      <c r="D85" t="s">
        <v>143</v>
      </c>
      <c r="E85" t="s">
        <v>324</v>
      </c>
      <c r="F85">
        <v>1</v>
      </c>
      <c r="I85">
        <v>3</v>
      </c>
      <c r="J85" t="s">
        <v>254</v>
      </c>
      <c r="K85" t="s">
        <v>86</v>
      </c>
      <c r="L85" t="s">
        <v>461</v>
      </c>
      <c r="M85" t="s">
        <v>79</v>
      </c>
      <c r="N85" t="s">
        <v>95</v>
      </c>
      <c r="O85" t="s">
        <v>385</v>
      </c>
      <c r="R85">
        <v>1</v>
      </c>
      <c r="S85" t="s">
        <v>353</v>
      </c>
      <c r="AA85" s="73" t="s">
        <v>101</v>
      </c>
      <c r="AB85" s="73" t="s">
        <v>108</v>
      </c>
      <c r="AC85" s="73" t="s">
        <v>109</v>
      </c>
      <c r="AD85" s="72">
        <v>45988.918425925927</v>
      </c>
      <c r="AE85" t="s">
        <v>87</v>
      </c>
      <c r="AF85" t="s">
        <v>462</v>
      </c>
      <c r="AG85">
        <v>1</v>
      </c>
      <c r="AH85">
        <v>275454</v>
      </c>
      <c r="AI85">
        <v>83</v>
      </c>
      <c r="AJ85">
        <v>275537</v>
      </c>
      <c r="AK85" t="s">
        <v>105</v>
      </c>
      <c r="AL85">
        <v>2</v>
      </c>
      <c r="AM85">
        <v>2</v>
      </c>
      <c r="AO85" t="s">
        <v>107</v>
      </c>
      <c r="AP85" t="s">
        <v>479</v>
      </c>
      <c r="AQ85" t="s">
        <v>323</v>
      </c>
    </row>
    <row r="86" spans="2:43" x14ac:dyDescent="0.3">
      <c r="B86" t="s">
        <v>299</v>
      </c>
      <c r="C86" t="s">
        <v>300</v>
      </c>
      <c r="D86" t="s">
        <v>143</v>
      </c>
      <c r="E86" t="s">
        <v>319</v>
      </c>
      <c r="F86">
        <v>1</v>
      </c>
      <c r="I86">
        <v>3</v>
      </c>
      <c r="J86" t="s">
        <v>298</v>
      </c>
      <c r="K86" t="s">
        <v>86</v>
      </c>
      <c r="L86" t="s">
        <v>461</v>
      </c>
      <c r="M86" t="s">
        <v>79</v>
      </c>
      <c r="N86" t="s">
        <v>95</v>
      </c>
      <c r="O86" t="s">
        <v>389</v>
      </c>
      <c r="R86">
        <v>2</v>
      </c>
      <c r="S86" t="s">
        <v>390</v>
      </c>
      <c r="AA86" s="73" t="s">
        <v>101</v>
      </c>
      <c r="AB86" s="73" t="s">
        <v>102</v>
      </c>
      <c r="AC86" s="73" t="s">
        <v>103</v>
      </c>
      <c r="AD86" s="72">
        <v>45981.600335648145</v>
      </c>
      <c r="AE86" t="s">
        <v>87</v>
      </c>
      <c r="AF86" t="s">
        <v>462</v>
      </c>
      <c r="AG86">
        <v>1</v>
      </c>
      <c r="AL86">
        <v>2</v>
      </c>
      <c r="AM86">
        <v>1</v>
      </c>
      <c r="AO86" t="s">
        <v>100</v>
      </c>
      <c r="AP86" t="s">
        <v>463</v>
      </c>
      <c r="AQ86" t="s">
        <v>146</v>
      </c>
    </row>
    <row r="87" spans="2:43" x14ac:dyDescent="0.3">
      <c r="B87" t="s">
        <v>299</v>
      </c>
      <c r="C87" t="s">
        <v>300</v>
      </c>
      <c r="D87" t="s">
        <v>143</v>
      </c>
      <c r="E87" t="s">
        <v>319</v>
      </c>
      <c r="F87">
        <v>1</v>
      </c>
      <c r="I87">
        <v>3</v>
      </c>
      <c r="J87" t="s">
        <v>298</v>
      </c>
      <c r="K87" t="s">
        <v>86</v>
      </c>
      <c r="L87" t="s">
        <v>461</v>
      </c>
      <c r="M87" t="s">
        <v>79</v>
      </c>
      <c r="N87" t="s">
        <v>95</v>
      </c>
      <c r="O87" t="s">
        <v>389</v>
      </c>
      <c r="R87">
        <v>2</v>
      </c>
      <c r="S87" t="s">
        <v>390</v>
      </c>
      <c r="AA87" s="73" t="s">
        <v>101</v>
      </c>
      <c r="AB87" s="73" t="s">
        <v>102</v>
      </c>
      <c r="AC87" s="73" t="s">
        <v>103</v>
      </c>
      <c r="AD87" s="72">
        <v>45988.918425925927</v>
      </c>
      <c r="AE87" t="s">
        <v>87</v>
      </c>
      <c r="AF87" t="s">
        <v>462</v>
      </c>
      <c r="AG87">
        <v>1</v>
      </c>
      <c r="AH87">
        <v>14666</v>
      </c>
      <c r="AI87">
        <v>4</v>
      </c>
      <c r="AJ87">
        <v>14670</v>
      </c>
      <c r="AK87" t="s">
        <v>105</v>
      </c>
      <c r="AL87">
        <v>2</v>
      </c>
      <c r="AM87">
        <v>1</v>
      </c>
      <c r="AO87" t="s">
        <v>100</v>
      </c>
      <c r="AP87" t="s">
        <v>479</v>
      </c>
      <c r="AQ87" t="s">
        <v>323</v>
      </c>
    </row>
    <row r="88" spans="2:43" x14ac:dyDescent="0.3">
      <c r="B88" t="s">
        <v>274</v>
      </c>
      <c r="C88" t="s">
        <v>275</v>
      </c>
      <c r="D88" t="s">
        <v>143</v>
      </c>
      <c r="E88" t="s">
        <v>324</v>
      </c>
      <c r="F88">
        <v>1</v>
      </c>
      <c r="I88">
        <v>3</v>
      </c>
      <c r="J88" t="s">
        <v>273</v>
      </c>
      <c r="K88" t="s">
        <v>86</v>
      </c>
      <c r="L88" t="s">
        <v>461</v>
      </c>
      <c r="M88" t="s">
        <v>79</v>
      </c>
      <c r="N88" t="s">
        <v>95</v>
      </c>
      <c r="O88" t="s">
        <v>365</v>
      </c>
      <c r="R88">
        <v>4</v>
      </c>
      <c r="S88" t="s">
        <v>366</v>
      </c>
      <c r="AA88" s="73" t="s">
        <v>99</v>
      </c>
      <c r="AB88" s="73" t="s">
        <v>94</v>
      </c>
      <c r="AC88" s="73" t="s">
        <v>88</v>
      </c>
      <c r="AD88" s="72">
        <v>45981.600335648145</v>
      </c>
      <c r="AE88" t="s">
        <v>87</v>
      </c>
      <c r="AF88" t="s">
        <v>462</v>
      </c>
      <c r="AG88">
        <v>1</v>
      </c>
      <c r="AL88">
        <v>2</v>
      </c>
      <c r="AM88">
        <v>2</v>
      </c>
      <c r="AO88" t="s">
        <v>98</v>
      </c>
      <c r="AP88" t="s">
        <v>463</v>
      </c>
      <c r="AQ88" t="s">
        <v>146</v>
      </c>
    </row>
    <row r="89" spans="2:43" x14ac:dyDescent="0.3">
      <c r="B89" t="s">
        <v>274</v>
      </c>
      <c r="C89" t="s">
        <v>275</v>
      </c>
      <c r="D89" t="s">
        <v>143</v>
      </c>
      <c r="E89" t="s">
        <v>324</v>
      </c>
      <c r="F89">
        <v>1</v>
      </c>
      <c r="I89">
        <v>3</v>
      </c>
      <c r="J89" t="s">
        <v>273</v>
      </c>
      <c r="K89" t="s">
        <v>86</v>
      </c>
      <c r="L89" t="s">
        <v>461</v>
      </c>
      <c r="M89" t="s">
        <v>79</v>
      </c>
      <c r="N89" t="s">
        <v>95</v>
      </c>
      <c r="O89" t="s">
        <v>365</v>
      </c>
      <c r="R89">
        <v>4</v>
      </c>
      <c r="S89" t="s">
        <v>366</v>
      </c>
      <c r="AA89" s="73" t="s">
        <v>99</v>
      </c>
      <c r="AB89" s="73" t="s">
        <v>94</v>
      </c>
      <c r="AC89" s="73" t="s">
        <v>88</v>
      </c>
      <c r="AD89" s="72">
        <v>45988.918425925927</v>
      </c>
      <c r="AE89" t="s">
        <v>87</v>
      </c>
      <c r="AF89" t="s">
        <v>462</v>
      </c>
      <c r="AG89">
        <v>1</v>
      </c>
      <c r="AH89">
        <v>277593</v>
      </c>
      <c r="AI89">
        <v>36</v>
      </c>
      <c r="AJ89">
        <v>277629</v>
      </c>
      <c r="AK89" t="s">
        <v>96</v>
      </c>
      <c r="AL89">
        <v>2</v>
      </c>
      <c r="AM89">
        <v>2</v>
      </c>
      <c r="AO89" t="s">
        <v>98</v>
      </c>
      <c r="AP89" t="s">
        <v>479</v>
      </c>
      <c r="AQ89" t="s">
        <v>323</v>
      </c>
    </row>
    <row r="90" spans="2:43" x14ac:dyDescent="0.3">
      <c r="B90" t="s">
        <v>302</v>
      </c>
      <c r="C90" t="s">
        <v>303</v>
      </c>
      <c r="D90" t="s">
        <v>143</v>
      </c>
      <c r="E90" t="s">
        <v>360</v>
      </c>
      <c r="F90">
        <v>1</v>
      </c>
      <c r="I90">
        <v>3</v>
      </c>
      <c r="J90" t="s">
        <v>301</v>
      </c>
      <c r="K90" t="s">
        <v>86</v>
      </c>
      <c r="L90" t="s">
        <v>461</v>
      </c>
      <c r="M90" t="s">
        <v>79</v>
      </c>
      <c r="N90" t="s">
        <v>95</v>
      </c>
      <c r="O90" t="s">
        <v>367</v>
      </c>
      <c r="P90" t="s">
        <v>368</v>
      </c>
      <c r="Q90" t="s">
        <v>155</v>
      </c>
      <c r="R90">
        <v>5</v>
      </c>
      <c r="X90" t="s">
        <v>362</v>
      </c>
      <c r="Y90" t="s">
        <v>363</v>
      </c>
      <c r="AA90" s="73" t="s">
        <v>335</v>
      </c>
      <c r="AB90" s="73" t="s">
        <v>335</v>
      </c>
      <c r="AC90" s="73" t="s">
        <v>335</v>
      </c>
      <c r="AD90" s="72">
        <v>45981.600335648145</v>
      </c>
      <c r="AE90" t="s">
        <v>87</v>
      </c>
      <c r="AF90" t="s">
        <v>462</v>
      </c>
      <c r="AG90">
        <v>1</v>
      </c>
      <c r="AL90">
        <v>2</v>
      </c>
      <c r="AM90">
        <v>2</v>
      </c>
      <c r="AO90" t="s">
        <v>334</v>
      </c>
      <c r="AP90" t="s">
        <v>463</v>
      </c>
      <c r="AQ90" t="s">
        <v>146</v>
      </c>
    </row>
    <row r="91" spans="2:43" x14ac:dyDescent="0.3">
      <c r="B91" t="s">
        <v>302</v>
      </c>
      <c r="C91" t="s">
        <v>303</v>
      </c>
      <c r="D91" t="s">
        <v>143</v>
      </c>
      <c r="E91" t="s">
        <v>360</v>
      </c>
      <c r="F91">
        <v>1</v>
      </c>
      <c r="I91">
        <v>3</v>
      </c>
      <c r="J91" t="s">
        <v>301</v>
      </c>
      <c r="K91" t="s">
        <v>86</v>
      </c>
      <c r="L91" t="s">
        <v>461</v>
      </c>
      <c r="M91" t="s">
        <v>79</v>
      </c>
      <c r="N91" t="s">
        <v>95</v>
      </c>
      <c r="O91" t="s">
        <v>367</v>
      </c>
      <c r="P91" t="s">
        <v>368</v>
      </c>
      <c r="Q91" t="s">
        <v>155</v>
      </c>
      <c r="R91">
        <v>5</v>
      </c>
      <c r="X91" t="s">
        <v>362</v>
      </c>
      <c r="Y91" t="s">
        <v>363</v>
      </c>
      <c r="AA91" s="73" t="s">
        <v>335</v>
      </c>
      <c r="AB91" s="73" t="s">
        <v>335</v>
      </c>
      <c r="AC91" s="73" t="s">
        <v>335</v>
      </c>
      <c r="AD91" s="72">
        <v>45988.918425925927</v>
      </c>
      <c r="AE91" t="s">
        <v>87</v>
      </c>
      <c r="AF91" t="s">
        <v>462</v>
      </c>
      <c r="AG91">
        <v>1</v>
      </c>
      <c r="AH91">
        <v>275537</v>
      </c>
      <c r="AI91">
        <v>0</v>
      </c>
      <c r="AJ91">
        <v>275537</v>
      </c>
      <c r="AK91" t="s">
        <v>96</v>
      </c>
      <c r="AL91">
        <v>2</v>
      </c>
      <c r="AM91">
        <v>2</v>
      </c>
      <c r="AO91" t="s">
        <v>334</v>
      </c>
      <c r="AP91" t="s">
        <v>479</v>
      </c>
      <c r="AQ91" t="s">
        <v>323</v>
      </c>
    </row>
    <row r="92" spans="2:43" x14ac:dyDescent="0.3">
      <c r="B92" t="s">
        <v>286</v>
      </c>
      <c r="C92" t="s">
        <v>287</v>
      </c>
      <c r="D92" t="s">
        <v>143</v>
      </c>
      <c r="E92" t="s">
        <v>324</v>
      </c>
      <c r="F92">
        <v>1</v>
      </c>
      <c r="I92">
        <v>3</v>
      </c>
      <c r="J92" t="s">
        <v>285</v>
      </c>
      <c r="K92" t="s">
        <v>86</v>
      </c>
      <c r="L92" t="s">
        <v>461</v>
      </c>
      <c r="M92" t="s">
        <v>79</v>
      </c>
      <c r="N92" t="s">
        <v>95</v>
      </c>
      <c r="O92" t="s">
        <v>391</v>
      </c>
      <c r="R92">
        <v>4</v>
      </c>
      <c r="S92" t="s">
        <v>392</v>
      </c>
      <c r="AA92" s="73" t="s">
        <v>99</v>
      </c>
      <c r="AB92" s="73" t="s">
        <v>94</v>
      </c>
      <c r="AC92" s="73" t="s">
        <v>88</v>
      </c>
      <c r="AD92" s="72">
        <v>45981.600335648145</v>
      </c>
      <c r="AE92" t="s">
        <v>87</v>
      </c>
      <c r="AF92" t="s">
        <v>462</v>
      </c>
      <c r="AG92">
        <v>1</v>
      </c>
      <c r="AL92">
        <v>2</v>
      </c>
      <c r="AM92">
        <v>2</v>
      </c>
      <c r="AO92" t="s">
        <v>98</v>
      </c>
      <c r="AP92" t="s">
        <v>463</v>
      </c>
      <c r="AQ92" t="s">
        <v>146</v>
      </c>
    </row>
    <row r="93" spans="2:43" x14ac:dyDescent="0.3">
      <c r="B93" t="s">
        <v>286</v>
      </c>
      <c r="C93" t="s">
        <v>287</v>
      </c>
      <c r="D93" t="s">
        <v>143</v>
      </c>
      <c r="E93" t="s">
        <v>324</v>
      </c>
      <c r="F93">
        <v>1</v>
      </c>
      <c r="I93">
        <v>3</v>
      </c>
      <c r="J93" t="s">
        <v>285</v>
      </c>
      <c r="K93" t="s">
        <v>86</v>
      </c>
      <c r="L93" t="s">
        <v>461</v>
      </c>
      <c r="M93" t="s">
        <v>79</v>
      </c>
      <c r="N93" t="s">
        <v>95</v>
      </c>
      <c r="O93" t="s">
        <v>391</v>
      </c>
      <c r="R93">
        <v>4</v>
      </c>
      <c r="S93" t="s">
        <v>392</v>
      </c>
      <c r="AA93" s="73" t="s">
        <v>99</v>
      </c>
      <c r="AB93" s="73" t="s">
        <v>94</v>
      </c>
      <c r="AC93" s="73" t="s">
        <v>88</v>
      </c>
      <c r="AD93" s="72">
        <v>45988.918425925927</v>
      </c>
      <c r="AE93" t="s">
        <v>87</v>
      </c>
      <c r="AF93" t="s">
        <v>462</v>
      </c>
      <c r="AG93">
        <v>1</v>
      </c>
      <c r="AH93">
        <v>275537</v>
      </c>
      <c r="AI93">
        <v>0</v>
      </c>
      <c r="AJ93">
        <v>275537</v>
      </c>
      <c r="AK93" t="s">
        <v>96</v>
      </c>
      <c r="AL93">
        <v>2</v>
      </c>
      <c r="AM93">
        <v>2</v>
      </c>
      <c r="AO93" t="s">
        <v>98</v>
      </c>
      <c r="AP93" t="s">
        <v>479</v>
      </c>
      <c r="AQ93" t="s">
        <v>323</v>
      </c>
    </row>
    <row r="94" spans="2:43" x14ac:dyDescent="0.3">
      <c r="B94" t="s">
        <v>292</v>
      </c>
      <c r="C94" t="s">
        <v>473</v>
      </c>
      <c r="D94" t="s">
        <v>143</v>
      </c>
      <c r="E94" t="s">
        <v>324</v>
      </c>
      <c r="F94">
        <v>1</v>
      </c>
      <c r="I94">
        <v>3</v>
      </c>
      <c r="J94" t="s">
        <v>291</v>
      </c>
      <c r="K94" t="s">
        <v>86</v>
      </c>
      <c r="L94" t="s">
        <v>461</v>
      </c>
      <c r="M94" t="s">
        <v>79</v>
      </c>
      <c r="N94" t="s">
        <v>95</v>
      </c>
      <c r="O94" t="s">
        <v>458</v>
      </c>
      <c r="R94">
        <v>1</v>
      </c>
      <c r="S94" t="s">
        <v>393</v>
      </c>
      <c r="AA94" s="73" t="s">
        <v>99</v>
      </c>
      <c r="AB94" s="73" t="s">
        <v>94</v>
      </c>
      <c r="AC94" s="73" t="s">
        <v>88</v>
      </c>
      <c r="AD94" s="72">
        <v>45981.600335648145</v>
      </c>
      <c r="AE94" t="s">
        <v>87</v>
      </c>
      <c r="AF94" t="s">
        <v>462</v>
      </c>
      <c r="AG94">
        <v>1</v>
      </c>
      <c r="AL94">
        <v>2</v>
      </c>
      <c r="AM94">
        <v>2</v>
      </c>
      <c r="AO94" t="s">
        <v>98</v>
      </c>
      <c r="AP94" t="s">
        <v>463</v>
      </c>
      <c r="AQ94" t="s">
        <v>146</v>
      </c>
    </row>
    <row r="95" spans="2:43" x14ac:dyDescent="0.3">
      <c r="B95" t="s">
        <v>292</v>
      </c>
      <c r="C95" t="s">
        <v>473</v>
      </c>
      <c r="D95" t="s">
        <v>143</v>
      </c>
      <c r="E95" t="s">
        <v>324</v>
      </c>
      <c r="F95">
        <v>1</v>
      </c>
      <c r="I95">
        <v>3</v>
      </c>
      <c r="J95" t="s">
        <v>291</v>
      </c>
      <c r="K95" t="s">
        <v>86</v>
      </c>
      <c r="L95" t="s">
        <v>461</v>
      </c>
      <c r="M95" t="s">
        <v>79</v>
      </c>
      <c r="N95" t="s">
        <v>95</v>
      </c>
      <c r="O95" t="s">
        <v>458</v>
      </c>
      <c r="R95">
        <v>1</v>
      </c>
      <c r="S95" t="s">
        <v>393</v>
      </c>
      <c r="AA95" s="73" t="s">
        <v>99</v>
      </c>
      <c r="AB95" s="73" t="s">
        <v>94</v>
      </c>
      <c r="AC95" s="73" t="s">
        <v>88</v>
      </c>
      <c r="AD95" s="72">
        <v>45988.918425925927</v>
      </c>
      <c r="AE95" t="s">
        <v>87</v>
      </c>
      <c r="AF95" t="s">
        <v>462</v>
      </c>
      <c r="AG95">
        <v>1</v>
      </c>
      <c r="AH95">
        <v>14668</v>
      </c>
      <c r="AI95">
        <v>2</v>
      </c>
      <c r="AJ95">
        <v>14670</v>
      </c>
      <c r="AK95" t="s">
        <v>96</v>
      </c>
      <c r="AL95">
        <v>2</v>
      </c>
      <c r="AM95">
        <v>2</v>
      </c>
      <c r="AO95" t="s">
        <v>98</v>
      </c>
      <c r="AP95" t="s">
        <v>479</v>
      </c>
      <c r="AQ95" t="s">
        <v>323</v>
      </c>
    </row>
    <row r="96" spans="2:43" x14ac:dyDescent="0.3">
      <c r="B96" t="s">
        <v>264</v>
      </c>
      <c r="C96" t="s">
        <v>450</v>
      </c>
      <c r="D96" t="s">
        <v>143</v>
      </c>
      <c r="E96" t="s">
        <v>324</v>
      </c>
      <c r="F96">
        <v>1</v>
      </c>
      <c r="I96">
        <v>3</v>
      </c>
      <c r="J96" t="s">
        <v>263</v>
      </c>
      <c r="K96" t="s">
        <v>86</v>
      </c>
      <c r="L96" t="s">
        <v>461</v>
      </c>
      <c r="M96" t="s">
        <v>79</v>
      </c>
      <c r="N96" t="s">
        <v>95</v>
      </c>
      <c r="O96" t="s">
        <v>458</v>
      </c>
      <c r="R96">
        <v>1</v>
      </c>
      <c r="S96" t="s">
        <v>394</v>
      </c>
      <c r="AA96" s="73" t="s">
        <v>101</v>
      </c>
      <c r="AB96" s="73" t="s">
        <v>108</v>
      </c>
      <c r="AC96" s="73" t="s">
        <v>109</v>
      </c>
      <c r="AD96" s="72">
        <v>45981.600335648145</v>
      </c>
      <c r="AE96" t="s">
        <v>87</v>
      </c>
      <c r="AF96" t="s">
        <v>462</v>
      </c>
      <c r="AG96">
        <v>1</v>
      </c>
      <c r="AL96">
        <v>2</v>
      </c>
      <c r="AM96">
        <v>2</v>
      </c>
      <c r="AO96" t="s">
        <v>107</v>
      </c>
      <c r="AP96" t="s">
        <v>463</v>
      </c>
      <c r="AQ96" t="s">
        <v>146</v>
      </c>
    </row>
    <row r="97" spans="2:43" x14ac:dyDescent="0.3">
      <c r="B97" t="s">
        <v>264</v>
      </c>
      <c r="C97" t="s">
        <v>450</v>
      </c>
      <c r="D97" t="s">
        <v>143</v>
      </c>
      <c r="E97" t="s">
        <v>324</v>
      </c>
      <c r="F97">
        <v>1</v>
      </c>
      <c r="I97">
        <v>3</v>
      </c>
      <c r="J97" t="s">
        <v>263</v>
      </c>
      <c r="K97" t="s">
        <v>86</v>
      </c>
      <c r="L97" t="s">
        <v>461</v>
      </c>
      <c r="M97" t="s">
        <v>79</v>
      </c>
      <c r="N97" t="s">
        <v>95</v>
      </c>
      <c r="O97" t="s">
        <v>458</v>
      </c>
      <c r="R97">
        <v>1</v>
      </c>
      <c r="S97" t="s">
        <v>394</v>
      </c>
      <c r="AA97" s="73" t="s">
        <v>101</v>
      </c>
      <c r="AB97" s="73" t="s">
        <v>108</v>
      </c>
      <c r="AC97" s="73" t="s">
        <v>109</v>
      </c>
      <c r="AD97" s="72">
        <v>45988.918425925927</v>
      </c>
      <c r="AE97" t="s">
        <v>87</v>
      </c>
      <c r="AF97" t="s">
        <v>462</v>
      </c>
      <c r="AG97">
        <v>1</v>
      </c>
      <c r="AH97">
        <v>14670</v>
      </c>
      <c r="AI97">
        <v>0</v>
      </c>
      <c r="AJ97">
        <v>14670</v>
      </c>
      <c r="AK97" t="s">
        <v>96</v>
      </c>
      <c r="AL97">
        <v>2</v>
      </c>
      <c r="AM97">
        <v>2</v>
      </c>
      <c r="AO97" t="s">
        <v>107</v>
      </c>
      <c r="AP97" t="s">
        <v>479</v>
      </c>
      <c r="AQ97" t="s">
        <v>323</v>
      </c>
    </row>
    <row r="98" spans="2:43" x14ac:dyDescent="0.3">
      <c r="B98" t="s">
        <v>245</v>
      </c>
      <c r="C98" t="s">
        <v>246</v>
      </c>
      <c r="D98" t="s">
        <v>143</v>
      </c>
      <c r="E98" t="s">
        <v>331</v>
      </c>
      <c r="F98">
        <v>1</v>
      </c>
      <c r="I98">
        <v>3</v>
      </c>
      <c r="J98" t="s">
        <v>244</v>
      </c>
      <c r="K98" t="s">
        <v>86</v>
      </c>
      <c r="L98" t="s">
        <v>461</v>
      </c>
      <c r="M98" t="s">
        <v>79</v>
      </c>
      <c r="N98" t="s">
        <v>95</v>
      </c>
      <c r="O98" t="s">
        <v>395</v>
      </c>
      <c r="R98">
        <v>4</v>
      </c>
      <c r="S98" t="s">
        <v>396</v>
      </c>
      <c r="AA98" s="73" t="s">
        <v>335</v>
      </c>
      <c r="AB98" s="73" t="s">
        <v>335</v>
      </c>
      <c r="AC98" s="73" t="s">
        <v>335</v>
      </c>
      <c r="AD98" s="72">
        <v>45981.600335648145</v>
      </c>
      <c r="AE98" t="s">
        <v>87</v>
      </c>
      <c r="AF98" t="s">
        <v>462</v>
      </c>
      <c r="AG98">
        <v>1</v>
      </c>
      <c r="AL98">
        <v>2</v>
      </c>
      <c r="AM98">
        <v>2</v>
      </c>
      <c r="AO98" t="s">
        <v>334</v>
      </c>
      <c r="AP98" t="s">
        <v>463</v>
      </c>
      <c r="AQ98" t="s">
        <v>146</v>
      </c>
    </row>
    <row r="99" spans="2:43" x14ac:dyDescent="0.3">
      <c r="B99" t="s">
        <v>245</v>
      </c>
      <c r="C99" t="s">
        <v>246</v>
      </c>
      <c r="D99" t="s">
        <v>143</v>
      </c>
      <c r="E99" t="s">
        <v>331</v>
      </c>
      <c r="F99">
        <v>1</v>
      </c>
      <c r="I99">
        <v>3</v>
      </c>
      <c r="J99" t="s">
        <v>244</v>
      </c>
      <c r="K99" t="s">
        <v>86</v>
      </c>
      <c r="L99" t="s">
        <v>461</v>
      </c>
      <c r="M99" t="s">
        <v>79</v>
      </c>
      <c r="N99" t="s">
        <v>95</v>
      </c>
      <c r="O99" t="s">
        <v>395</v>
      </c>
      <c r="R99">
        <v>4</v>
      </c>
      <c r="S99" t="s">
        <v>396</v>
      </c>
      <c r="AA99" s="73" t="s">
        <v>335</v>
      </c>
      <c r="AB99" s="73" t="s">
        <v>335</v>
      </c>
      <c r="AC99" s="73" t="s">
        <v>335</v>
      </c>
      <c r="AD99" s="72">
        <v>45988.918425925927</v>
      </c>
      <c r="AE99" t="s">
        <v>87</v>
      </c>
      <c r="AF99" t="s">
        <v>462</v>
      </c>
      <c r="AG99">
        <v>1</v>
      </c>
      <c r="AH99">
        <v>377681</v>
      </c>
      <c r="AI99">
        <v>0</v>
      </c>
      <c r="AJ99">
        <v>377681</v>
      </c>
      <c r="AK99" t="s">
        <v>96</v>
      </c>
      <c r="AL99">
        <v>2</v>
      </c>
      <c r="AM99">
        <v>2</v>
      </c>
      <c r="AO99" t="s">
        <v>334</v>
      </c>
      <c r="AP99" t="s">
        <v>479</v>
      </c>
      <c r="AQ99" t="s">
        <v>323</v>
      </c>
    </row>
    <row r="100" spans="2:43" x14ac:dyDescent="0.3">
      <c r="B100" t="s">
        <v>252</v>
      </c>
      <c r="C100" t="s">
        <v>253</v>
      </c>
      <c r="D100" t="s">
        <v>143</v>
      </c>
      <c r="E100" t="s">
        <v>331</v>
      </c>
      <c r="F100">
        <v>1</v>
      </c>
      <c r="I100">
        <v>3</v>
      </c>
      <c r="J100" t="s">
        <v>251</v>
      </c>
      <c r="K100" t="s">
        <v>86</v>
      </c>
      <c r="L100" t="s">
        <v>461</v>
      </c>
      <c r="M100" t="s">
        <v>79</v>
      </c>
      <c r="N100" t="s">
        <v>95</v>
      </c>
      <c r="O100" t="s">
        <v>397</v>
      </c>
      <c r="R100">
        <v>4</v>
      </c>
      <c r="S100" t="s">
        <v>398</v>
      </c>
      <c r="AA100" s="73" t="s">
        <v>335</v>
      </c>
      <c r="AB100" s="73" t="s">
        <v>335</v>
      </c>
      <c r="AC100" s="73" t="s">
        <v>335</v>
      </c>
      <c r="AD100" s="72">
        <v>45981.600335648145</v>
      </c>
      <c r="AE100" t="s">
        <v>87</v>
      </c>
      <c r="AF100" t="s">
        <v>462</v>
      </c>
      <c r="AG100">
        <v>1</v>
      </c>
      <c r="AL100">
        <v>2</v>
      </c>
      <c r="AM100">
        <v>2</v>
      </c>
      <c r="AO100" t="s">
        <v>334</v>
      </c>
      <c r="AP100" t="s">
        <v>463</v>
      </c>
      <c r="AQ100" t="s">
        <v>146</v>
      </c>
    </row>
    <row r="101" spans="2:43" x14ac:dyDescent="0.3">
      <c r="B101" t="s">
        <v>252</v>
      </c>
      <c r="C101" t="s">
        <v>253</v>
      </c>
      <c r="D101" t="s">
        <v>143</v>
      </c>
      <c r="E101" t="s">
        <v>331</v>
      </c>
      <c r="F101">
        <v>1</v>
      </c>
      <c r="I101">
        <v>3</v>
      </c>
      <c r="J101" t="s">
        <v>251</v>
      </c>
      <c r="K101" t="s">
        <v>86</v>
      </c>
      <c r="L101" t="s">
        <v>461</v>
      </c>
      <c r="M101" t="s">
        <v>79</v>
      </c>
      <c r="N101" t="s">
        <v>95</v>
      </c>
      <c r="O101" t="s">
        <v>397</v>
      </c>
      <c r="R101">
        <v>4</v>
      </c>
      <c r="S101" t="s">
        <v>398</v>
      </c>
      <c r="AA101" s="73" t="s">
        <v>335</v>
      </c>
      <c r="AB101" s="73" t="s">
        <v>335</v>
      </c>
      <c r="AC101" s="73" t="s">
        <v>335</v>
      </c>
      <c r="AD101" s="72">
        <v>45988.918425925927</v>
      </c>
      <c r="AE101" t="s">
        <v>87</v>
      </c>
      <c r="AF101" t="s">
        <v>462</v>
      </c>
      <c r="AG101">
        <v>1</v>
      </c>
      <c r="AH101">
        <v>377681</v>
      </c>
      <c r="AI101">
        <v>0</v>
      </c>
      <c r="AJ101">
        <v>377681</v>
      </c>
      <c r="AK101" t="s">
        <v>96</v>
      </c>
      <c r="AL101">
        <v>2</v>
      </c>
      <c r="AM101">
        <v>2</v>
      </c>
      <c r="AO101" t="s">
        <v>334</v>
      </c>
      <c r="AP101" t="s">
        <v>479</v>
      </c>
      <c r="AQ101" t="s">
        <v>323</v>
      </c>
    </row>
    <row r="102" spans="2:43" x14ac:dyDescent="0.3">
      <c r="B102" t="s">
        <v>236</v>
      </c>
      <c r="C102" t="s">
        <v>237</v>
      </c>
      <c r="D102" t="s">
        <v>143</v>
      </c>
      <c r="E102" t="s">
        <v>331</v>
      </c>
      <c r="F102">
        <v>1</v>
      </c>
      <c r="I102">
        <v>3</v>
      </c>
      <c r="J102" t="s">
        <v>474</v>
      </c>
      <c r="K102" t="s">
        <v>86</v>
      </c>
      <c r="L102" t="s">
        <v>461</v>
      </c>
      <c r="M102" t="s">
        <v>79</v>
      </c>
      <c r="N102" t="s">
        <v>95</v>
      </c>
      <c r="O102" t="s">
        <v>369</v>
      </c>
      <c r="R102">
        <v>4</v>
      </c>
      <c r="S102" t="s">
        <v>353</v>
      </c>
      <c r="AA102" s="73" t="s">
        <v>335</v>
      </c>
      <c r="AB102" s="73" t="s">
        <v>335</v>
      </c>
      <c r="AC102" s="73" t="s">
        <v>335</v>
      </c>
      <c r="AD102" s="72">
        <v>45981.600335648145</v>
      </c>
      <c r="AE102" t="s">
        <v>87</v>
      </c>
      <c r="AF102" t="s">
        <v>462</v>
      </c>
      <c r="AG102">
        <v>1</v>
      </c>
      <c r="AL102">
        <v>2</v>
      </c>
      <c r="AM102">
        <v>2</v>
      </c>
      <c r="AO102" t="s">
        <v>334</v>
      </c>
      <c r="AP102" t="s">
        <v>463</v>
      </c>
      <c r="AQ102" t="s">
        <v>146</v>
      </c>
    </row>
    <row r="103" spans="2:43" x14ac:dyDescent="0.3">
      <c r="B103" t="s">
        <v>236</v>
      </c>
      <c r="C103" t="s">
        <v>237</v>
      </c>
      <c r="D103" t="s">
        <v>143</v>
      </c>
      <c r="E103" t="s">
        <v>331</v>
      </c>
      <c r="F103">
        <v>1</v>
      </c>
      <c r="I103">
        <v>3</v>
      </c>
      <c r="J103" t="s">
        <v>474</v>
      </c>
      <c r="K103" t="s">
        <v>86</v>
      </c>
      <c r="L103" t="s">
        <v>461</v>
      </c>
      <c r="M103" t="s">
        <v>79</v>
      </c>
      <c r="N103" t="s">
        <v>95</v>
      </c>
      <c r="O103" t="s">
        <v>369</v>
      </c>
      <c r="R103">
        <v>4</v>
      </c>
      <c r="S103" t="s">
        <v>353</v>
      </c>
      <c r="AA103" s="73" t="s">
        <v>335</v>
      </c>
      <c r="AB103" s="73" t="s">
        <v>335</v>
      </c>
      <c r="AC103" s="73" t="s">
        <v>335</v>
      </c>
      <c r="AD103" s="72">
        <v>45988.918425925927</v>
      </c>
      <c r="AE103" t="s">
        <v>87</v>
      </c>
      <c r="AF103" t="s">
        <v>462</v>
      </c>
      <c r="AG103">
        <v>1</v>
      </c>
      <c r="AH103">
        <v>382284</v>
      </c>
      <c r="AI103">
        <v>0</v>
      </c>
      <c r="AJ103">
        <v>382284</v>
      </c>
      <c r="AK103" t="s">
        <v>96</v>
      </c>
      <c r="AL103">
        <v>2</v>
      </c>
      <c r="AM103">
        <v>2</v>
      </c>
      <c r="AO103" t="s">
        <v>334</v>
      </c>
      <c r="AP103" t="s">
        <v>479</v>
      </c>
      <c r="AQ103" t="s">
        <v>323</v>
      </c>
    </row>
    <row r="104" spans="2:43" x14ac:dyDescent="0.3">
      <c r="B104" t="s">
        <v>294</v>
      </c>
      <c r="C104" t="s">
        <v>295</v>
      </c>
      <c r="D104" t="s">
        <v>143</v>
      </c>
      <c r="E104" t="s">
        <v>331</v>
      </c>
      <c r="F104">
        <v>1</v>
      </c>
      <c r="I104">
        <v>3</v>
      </c>
      <c r="J104" t="s">
        <v>293</v>
      </c>
      <c r="K104" t="s">
        <v>86</v>
      </c>
      <c r="L104" t="s">
        <v>461</v>
      </c>
      <c r="M104" t="s">
        <v>79</v>
      </c>
      <c r="N104" t="s">
        <v>95</v>
      </c>
      <c r="O104" t="s">
        <v>370</v>
      </c>
      <c r="R104">
        <v>4</v>
      </c>
      <c r="S104" t="s">
        <v>371</v>
      </c>
      <c r="AA104" s="73" t="s">
        <v>335</v>
      </c>
      <c r="AB104" s="73" t="s">
        <v>335</v>
      </c>
      <c r="AC104" s="73" t="s">
        <v>335</v>
      </c>
      <c r="AD104" s="72">
        <v>45981.600335648145</v>
      </c>
      <c r="AE104" t="s">
        <v>87</v>
      </c>
      <c r="AF104" t="s">
        <v>462</v>
      </c>
      <c r="AG104">
        <v>1</v>
      </c>
      <c r="AL104">
        <v>2</v>
      </c>
      <c r="AM104">
        <v>2</v>
      </c>
      <c r="AO104" t="s">
        <v>334</v>
      </c>
      <c r="AP104" t="s">
        <v>463</v>
      </c>
      <c r="AQ104" t="s">
        <v>146</v>
      </c>
    </row>
    <row r="105" spans="2:43" x14ac:dyDescent="0.3">
      <c r="B105" t="s">
        <v>294</v>
      </c>
      <c r="C105" t="s">
        <v>295</v>
      </c>
      <c r="D105" t="s">
        <v>143</v>
      </c>
      <c r="E105" t="s">
        <v>331</v>
      </c>
      <c r="F105">
        <v>1</v>
      </c>
      <c r="I105">
        <v>3</v>
      </c>
      <c r="J105" t="s">
        <v>293</v>
      </c>
      <c r="K105" t="s">
        <v>86</v>
      </c>
      <c r="L105" t="s">
        <v>461</v>
      </c>
      <c r="M105" t="s">
        <v>79</v>
      </c>
      <c r="N105" t="s">
        <v>95</v>
      </c>
      <c r="O105" t="s">
        <v>370</v>
      </c>
      <c r="R105">
        <v>4</v>
      </c>
      <c r="S105" t="s">
        <v>371</v>
      </c>
      <c r="AA105" s="73" t="s">
        <v>335</v>
      </c>
      <c r="AB105" s="73" t="s">
        <v>335</v>
      </c>
      <c r="AC105" s="73" t="s">
        <v>335</v>
      </c>
      <c r="AD105" s="72">
        <v>45988.918425925927</v>
      </c>
      <c r="AE105" t="s">
        <v>87</v>
      </c>
      <c r="AF105" t="s">
        <v>462</v>
      </c>
      <c r="AG105">
        <v>1</v>
      </c>
      <c r="AH105">
        <v>275537</v>
      </c>
      <c r="AI105">
        <v>0</v>
      </c>
      <c r="AJ105">
        <v>275537</v>
      </c>
      <c r="AK105" t="s">
        <v>96</v>
      </c>
      <c r="AL105">
        <v>2</v>
      </c>
      <c r="AM105">
        <v>2</v>
      </c>
      <c r="AO105" t="s">
        <v>334</v>
      </c>
      <c r="AP105" t="s">
        <v>479</v>
      </c>
      <c r="AQ105" t="s">
        <v>323</v>
      </c>
    </row>
    <row r="106" spans="2:43" x14ac:dyDescent="0.3">
      <c r="B106" t="s">
        <v>310</v>
      </c>
      <c r="C106" t="s">
        <v>311</v>
      </c>
      <c r="D106" t="s">
        <v>143</v>
      </c>
      <c r="E106" t="s">
        <v>360</v>
      </c>
      <c r="F106">
        <v>1</v>
      </c>
      <c r="I106">
        <v>3</v>
      </c>
      <c r="J106" t="s">
        <v>309</v>
      </c>
      <c r="K106" t="s">
        <v>86</v>
      </c>
      <c r="L106" t="s">
        <v>461</v>
      </c>
      <c r="M106" t="s">
        <v>106</v>
      </c>
      <c r="N106" t="s">
        <v>95</v>
      </c>
      <c r="O106" t="s">
        <v>386</v>
      </c>
      <c r="R106">
        <v>5</v>
      </c>
      <c r="X106" t="s">
        <v>179</v>
      </c>
      <c r="Y106" t="s">
        <v>363</v>
      </c>
      <c r="AA106" s="73" t="s">
        <v>335</v>
      </c>
      <c r="AB106" s="73" t="s">
        <v>335</v>
      </c>
      <c r="AC106" s="73" t="s">
        <v>335</v>
      </c>
      <c r="AD106" s="72">
        <v>45981.600335648145</v>
      </c>
      <c r="AE106" t="s">
        <v>87</v>
      </c>
      <c r="AF106" t="s">
        <v>462</v>
      </c>
      <c r="AG106">
        <v>1</v>
      </c>
      <c r="AL106">
        <v>2</v>
      </c>
      <c r="AM106">
        <v>2</v>
      </c>
      <c r="AO106" t="s">
        <v>334</v>
      </c>
      <c r="AP106" t="s">
        <v>463</v>
      </c>
      <c r="AQ106" t="s">
        <v>146</v>
      </c>
    </row>
    <row r="107" spans="2:43" x14ac:dyDescent="0.3">
      <c r="B107" t="s">
        <v>310</v>
      </c>
      <c r="C107" t="s">
        <v>311</v>
      </c>
      <c r="D107" t="s">
        <v>143</v>
      </c>
      <c r="E107" t="s">
        <v>360</v>
      </c>
      <c r="F107">
        <v>1</v>
      </c>
      <c r="I107">
        <v>3</v>
      </c>
      <c r="J107" t="s">
        <v>309</v>
      </c>
      <c r="K107" t="s">
        <v>86</v>
      </c>
      <c r="L107" t="s">
        <v>461</v>
      </c>
      <c r="M107" t="s">
        <v>106</v>
      </c>
      <c r="N107" t="s">
        <v>95</v>
      </c>
      <c r="O107" t="s">
        <v>386</v>
      </c>
      <c r="R107">
        <v>5</v>
      </c>
      <c r="X107" t="s">
        <v>179</v>
      </c>
      <c r="Y107" t="s">
        <v>363</v>
      </c>
      <c r="AA107" s="73" t="s">
        <v>335</v>
      </c>
      <c r="AB107" s="73" t="s">
        <v>335</v>
      </c>
      <c r="AC107" s="73" t="s">
        <v>335</v>
      </c>
      <c r="AD107" s="72">
        <v>45988.918425925927</v>
      </c>
      <c r="AE107" t="s">
        <v>87</v>
      </c>
      <c r="AF107" t="s">
        <v>462</v>
      </c>
      <c r="AG107">
        <v>1</v>
      </c>
      <c r="AH107">
        <v>151454</v>
      </c>
      <c r="AI107">
        <v>0</v>
      </c>
      <c r="AJ107">
        <v>151454</v>
      </c>
      <c r="AK107" t="s">
        <v>96</v>
      </c>
      <c r="AL107">
        <v>2</v>
      </c>
      <c r="AM107">
        <v>2</v>
      </c>
      <c r="AO107" t="s">
        <v>334</v>
      </c>
      <c r="AP107" t="s">
        <v>479</v>
      </c>
      <c r="AQ107" t="s">
        <v>323</v>
      </c>
    </row>
    <row r="108" spans="2:43" x14ac:dyDescent="0.3">
      <c r="B108" t="s">
        <v>195</v>
      </c>
      <c r="C108" t="s">
        <v>196</v>
      </c>
      <c r="D108" t="s">
        <v>143</v>
      </c>
      <c r="E108" t="s">
        <v>324</v>
      </c>
      <c r="F108">
        <v>1</v>
      </c>
      <c r="I108">
        <v>3</v>
      </c>
      <c r="J108" t="s">
        <v>194</v>
      </c>
      <c r="K108" t="s">
        <v>86</v>
      </c>
      <c r="L108" t="s">
        <v>461</v>
      </c>
      <c r="M108" t="s">
        <v>79</v>
      </c>
      <c r="N108" t="s">
        <v>95</v>
      </c>
      <c r="O108" t="s">
        <v>347</v>
      </c>
      <c r="P108" t="s">
        <v>372</v>
      </c>
      <c r="Q108" t="s">
        <v>155</v>
      </c>
      <c r="R108">
        <v>1</v>
      </c>
      <c r="S108" t="s">
        <v>373</v>
      </c>
      <c r="AA108" s="73" t="s">
        <v>99</v>
      </c>
      <c r="AB108" s="73" t="s">
        <v>94</v>
      </c>
      <c r="AC108" s="73" t="s">
        <v>88</v>
      </c>
      <c r="AD108" s="72">
        <v>45981.600335648145</v>
      </c>
      <c r="AE108" t="s">
        <v>87</v>
      </c>
      <c r="AF108" t="s">
        <v>462</v>
      </c>
      <c r="AG108">
        <v>1</v>
      </c>
      <c r="AL108">
        <v>2</v>
      </c>
      <c r="AM108">
        <v>2</v>
      </c>
      <c r="AO108" t="s">
        <v>98</v>
      </c>
      <c r="AP108" t="s">
        <v>463</v>
      </c>
      <c r="AQ108" t="s">
        <v>146</v>
      </c>
    </row>
    <row r="109" spans="2:43" x14ac:dyDescent="0.3">
      <c r="B109" t="s">
        <v>195</v>
      </c>
      <c r="C109" t="s">
        <v>196</v>
      </c>
      <c r="D109" t="s">
        <v>143</v>
      </c>
      <c r="E109" t="s">
        <v>324</v>
      </c>
      <c r="F109">
        <v>1</v>
      </c>
      <c r="I109">
        <v>3</v>
      </c>
      <c r="J109" t="s">
        <v>194</v>
      </c>
      <c r="K109" t="s">
        <v>86</v>
      </c>
      <c r="L109" t="s">
        <v>461</v>
      </c>
      <c r="M109" t="s">
        <v>79</v>
      </c>
      <c r="N109" t="s">
        <v>95</v>
      </c>
      <c r="O109" t="s">
        <v>347</v>
      </c>
      <c r="P109" t="s">
        <v>372</v>
      </c>
      <c r="Q109" t="s">
        <v>155</v>
      </c>
      <c r="R109">
        <v>1</v>
      </c>
      <c r="S109" t="s">
        <v>373</v>
      </c>
      <c r="AA109" s="73" t="s">
        <v>99</v>
      </c>
      <c r="AB109" s="73" t="s">
        <v>94</v>
      </c>
      <c r="AC109" s="73" t="s">
        <v>88</v>
      </c>
      <c r="AD109" s="72">
        <v>45988.918425925927</v>
      </c>
      <c r="AE109" t="s">
        <v>87</v>
      </c>
      <c r="AF109" t="s">
        <v>462</v>
      </c>
      <c r="AG109">
        <v>1</v>
      </c>
      <c r="AH109">
        <v>377376</v>
      </c>
      <c r="AI109">
        <v>0</v>
      </c>
      <c r="AJ109">
        <v>377376</v>
      </c>
      <c r="AK109" t="s">
        <v>96</v>
      </c>
      <c r="AL109">
        <v>2</v>
      </c>
      <c r="AM109">
        <v>2</v>
      </c>
      <c r="AO109" t="s">
        <v>98</v>
      </c>
      <c r="AP109" t="s">
        <v>479</v>
      </c>
      <c r="AQ109" t="s">
        <v>323</v>
      </c>
    </row>
    <row r="110" spans="2:43" x14ac:dyDescent="0.3">
      <c r="B110" t="s">
        <v>284</v>
      </c>
      <c r="C110" t="s">
        <v>475</v>
      </c>
      <c r="D110" t="s">
        <v>143</v>
      </c>
      <c r="E110" t="s">
        <v>331</v>
      </c>
      <c r="F110">
        <v>1</v>
      </c>
      <c r="I110">
        <v>3</v>
      </c>
      <c r="J110" t="s">
        <v>283</v>
      </c>
      <c r="K110" t="s">
        <v>86</v>
      </c>
      <c r="L110" t="s">
        <v>461</v>
      </c>
      <c r="M110" t="s">
        <v>79</v>
      </c>
      <c r="N110" t="s">
        <v>95</v>
      </c>
      <c r="O110" t="s">
        <v>374</v>
      </c>
      <c r="R110">
        <v>4</v>
      </c>
      <c r="S110" t="s">
        <v>375</v>
      </c>
      <c r="AA110" s="73" t="s">
        <v>335</v>
      </c>
      <c r="AB110" s="73" t="s">
        <v>335</v>
      </c>
      <c r="AC110" s="73" t="s">
        <v>335</v>
      </c>
      <c r="AD110" s="72">
        <v>45981.600335648145</v>
      </c>
      <c r="AE110" t="s">
        <v>87</v>
      </c>
      <c r="AF110" t="s">
        <v>462</v>
      </c>
      <c r="AG110">
        <v>1</v>
      </c>
      <c r="AL110">
        <v>2</v>
      </c>
      <c r="AM110">
        <v>2</v>
      </c>
      <c r="AO110" t="s">
        <v>334</v>
      </c>
      <c r="AP110" t="s">
        <v>463</v>
      </c>
      <c r="AQ110" t="s">
        <v>146</v>
      </c>
    </row>
    <row r="111" spans="2:43" x14ac:dyDescent="0.3">
      <c r="B111" t="s">
        <v>284</v>
      </c>
      <c r="C111" t="s">
        <v>475</v>
      </c>
      <c r="D111" t="s">
        <v>143</v>
      </c>
      <c r="E111" t="s">
        <v>331</v>
      </c>
      <c r="F111">
        <v>1</v>
      </c>
      <c r="I111">
        <v>3</v>
      </c>
      <c r="J111" t="s">
        <v>283</v>
      </c>
      <c r="K111" t="s">
        <v>86</v>
      </c>
      <c r="L111" t="s">
        <v>461</v>
      </c>
      <c r="M111" t="s">
        <v>79</v>
      </c>
      <c r="N111" t="s">
        <v>95</v>
      </c>
      <c r="O111" t="s">
        <v>374</v>
      </c>
      <c r="R111">
        <v>4</v>
      </c>
      <c r="S111" t="s">
        <v>375</v>
      </c>
      <c r="AA111" s="73" t="s">
        <v>335</v>
      </c>
      <c r="AB111" s="73" t="s">
        <v>335</v>
      </c>
      <c r="AC111" s="73" t="s">
        <v>335</v>
      </c>
      <c r="AD111" s="72">
        <v>45988.918425925927</v>
      </c>
      <c r="AE111" t="s">
        <v>87</v>
      </c>
      <c r="AF111" t="s">
        <v>462</v>
      </c>
      <c r="AG111">
        <v>1</v>
      </c>
      <c r="AH111">
        <v>377376</v>
      </c>
      <c r="AI111">
        <v>0</v>
      </c>
      <c r="AJ111">
        <v>377376</v>
      </c>
      <c r="AK111" t="s">
        <v>96</v>
      </c>
      <c r="AL111">
        <v>2</v>
      </c>
      <c r="AM111">
        <v>2</v>
      </c>
      <c r="AO111" t="s">
        <v>334</v>
      </c>
      <c r="AP111" t="s">
        <v>479</v>
      </c>
      <c r="AQ111" t="s">
        <v>323</v>
      </c>
    </row>
    <row r="112" spans="2:43" x14ac:dyDescent="0.3">
      <c r="B112" t="s">
        <v>308</v>
      </c>
      <c r="C112" t="s">
        <v>476</v>
      </c>
      <c r="D112" t="s">
        <v>143</v>
      </c>
      <c r="E112" t="s">
        <v>324</v>
      </c>
      <c r="F112">
        <v>1</v>
      </c>
      <c r="I112">
        <v>3</v>
      </c>
      <c r="J112" t="s">
        <v>307</v>
      </c>
      <c r="K112" t="s">
        <v>86</v>
      </c>
      <c r="L112" t="s">
        <v>461</v>
      </c>
      <c r="M112" t="s">
        <v>79</v>
      </c>
      <c r="N112" t="s">
        <v>95</v>
      </c>
      <c r="O112" t="s">
        <v>340</v>
      </c>
      <c r="P112" t="s">
        <v>376</v>
      </c>
      <c r="Q112" t="s">
        <v>416</v>
      </c>
      <c r="R112">
        <v>1</v>
      </c>
      <c r="S112" t="s">
        <v>377</v>
      </c>
      <c r="AA112" s="73" t="s">
        <v>101</v>
      </c>
      <c r="AB112" s="73" t="s">
        <v>108</v>
      </c>
      <c r="AC112" s="73" t="s">
        <v>109</v>
      </c>
      <c r="AD112" s="72">
        <v>45981.600335648145</v>
      </c>
      <c r="AE112" t="s">
        <v>87</v>
      </c>
      <c r="AF112" t="s">
        <v>462</v>
      </c>
      <c r="AG112">
        <v>1</v>
      </c>
      <c r="AL112">
        <v>2</v>
      </c>
      <c r="AM112">
        <v>2</v>
      </c>
      <c r="AO112" t="s">
        <v>107</v>
      </c>
      <c r="AP112" t="s">
        <v>463</v>
      </c>
      <c r="AQ112" t="s">
        <v>146</v>
      </c>
    </row>
    <row r="113" spans="2:43" x14ac:dyDescent="0.3">
      <c r="B113" t="s">
        <v>308</v>
      </c>
      <c r="C113" t="s">
        <v>476</v>
      </c>
      <c r="D113" t="s">
        <v>143</v>
      </c>
      <c r="E113" t="s">
        <v>324</v>
      </c>
      <c r="F113">
        <v>1</v>
      </c>
      <c r="I113">
        <v>3</v>
      </c>
      <c r="J113" t="s">
        <v>307</v>
      </c>
      <c r="K113" t="s">
        <v>86</v>
      </c>
      <c r="L113" t="s">
        <v>461</v>
      </c>
      <c r="M113" t="s">
        <v>79</v>
      </c>
      <c r="N113" t="s">
        <v>95</v>
      </c>
      <c r="O113" t="s">
        <v>340</v>
      </c>
      <c r="P113" t="s">
        <v>376</v>
      </c>
      <c r="Q113" t="s">
        <v>416</v>
      </c>
      <c r="R113">
        <v>1</v>
      </c>
      <c r="S113" t="s">
        <v>377</v>
      </c>
      <c r="AA113" s="73" t="s">
        <v>101</v>
      </c>
      <c r="AB113" s="73" t="s">
        <v>108</v>
      </c>
      <c r="AC113" s="73" t="s">
        <v>109</v>
      </c>
      <c r="AD113" s="72">
        <v>45988.918425925927</v>
      </c>
      <c r="AE113" t="s">
        <v>87</v>
      </c>
      <c r="AF113" t="s">
        <v>462</v>
      </c>
      <c r="AG113">
        <v>1</v>
      </c>
      <c r="AH113">
        <v>15864</v>
      </c>
      <c r="AI113">
        <v>0</v>
      </c>
      <c r="AJ113">
        <v>15864</v>
      </c>
      <c r="AK113" t="s">
        <v>96</v>
      </c>
      <c r="AL113">
        <v>2</v>
      </c>
      <c r="AM113">
        <v>2</v>
      </c>
      <c r="AO113" t="s">
        <v>107</v>
      </c>
      <c r="AP113" t="s">
        <v>479</v>
      </c>
      <c r="AQ113" t="s">
        <v>323</v>
      </c>
    </row>
    <row r="114" spans="2:43" x14ac:dyDescent="0.3">
      <c r="B114" t="s">
        <v>175</v>
      </c>
      <c r="C114" t="s">
        <v>449</v>
      </c>
      <c r="D114" t="s">
        <v>143</v>
      </c>
      <c r="E114" t="s">
        <v>324</v>
      </c>
      <c r="F114">
        <v>1</v>
      </c>
      <c r="I114">
        <v>3</v>
      </c>
      <c r="J114" t="s">
        <v>174</v>
      </c>
      <c r="K114" t="s">
        <v>86</v>
      </c>
      <c r="L114" t="s">
        <v>461</v>
      </c>
      <c r="M114" t="s">
        <v>79</v>
      </c>
      <c r="N114" t="s">
        <v>95</v>
      </c>
      <c r="O114" t="s">
        <v>387</v>
      </c>
      <c r="R114">
        <v>1</v>
      </c>
      <c r="S114" t="s">
        <v>399</v>
      </c>
      <c r="AA114" s="73" t="s">
        <v>101</v>
      </c>
      <c r="AB114" s="73" t="s">
        <v>108</v>
      </c>
      <c r="AC114" s="73" t="s">
        <v>109</v>
      </c>
      <c r="AD114" s="72">
        <v>45981.600335648145</v>
      </c>
      <c r="AE114" t="s">
        <v>87</v>
      </c>
      <c r="AF114" t="s">
        <v>462</v>
      </c>
      <c r="AG114">
        <v>1</v>
      </c>
      <c r="AL114">
        <v>2</v>
      </c>
      <c r="AM114">
        <v>2</v>
      </c>
      <c r="AO114" t="s">
        <v>107</v>
      </c>
      <c r="AP114" t="s">
        <v>463</v>
      </c>
      <c r="AQ114" t="s">
        <v>146</v>
      </c>
    </row>
    <row r="115" spans="2:43" x14ac:dyDescent="0.3">
      <c r="B115" t="s">
        <v>175</v>
      </c>
      <c r="C115" t="s">
        <v>449</v>
      </c>
      <c r="D115" t="s">
        <v>143</v>
      </c>
      <c r="E115" t="s">
        <v>324</v>
      </c>
      <c r="F115">
        <v>1</v>
      </c>
      <c r="I115">
        <v>3</v>
      </c>
      <c r="J115" t="s">
        <v>174</v>
      </c>
      <c r="K115" t="s">
        <v>86</v>
      </c>
      <c r="L115" t="s">
        <v>461</v>
      </c>
      <c r="M115" t="s">
        <v>79</v>
      </c>
      <c r="N115" t="s">
        <v>95</v>
      </c>
      <c r="O115" t="s">
        <v>387</v>
      </c>
      <c r="R115">
        <v>1</v>
      </c>
      <c r="S115" t="s">
        <v>399</v>
      </c>
      <c r="AA115" s="73" t="s">
        <v>101</v>
      </c>
      <c r="AB115" s="73" t="s">
        <v>108</v>
      </c>
      <c r="AC115" s="73" t="s">
        <v>109</v>
      </c>
      <c r="AD115" s="72">
        <v>45988.918425925927</v>
      </c>
      <c r="AE115" t="s">
        <v>87</v>
      </c>
      <c r="AF115" t="s">
        <v>462</v>
      </c>
      <c r="AG115">
        <v>1</v>
      </c>
      <c r="AH115">
        <v>151167</v>
      </c>
      <c r="AI115">
        <v>0</v>
      </c>
      <c r="AJ115">
        <v>151167</v>
      </c>
      <c r="AK115" t="s">
        <v>96</v>
      </c>
      <c r="AL115">
        <v>2</v>
      </c>
      <c r="AM115">
        <v>2</v>
      </c>
      <c r="AO115" t="s">
        <v>107</v>
      </c>
      <c r="AP115" t="s">
        <v>479</v>
      </c>
      <c r="AQ115" t="s">
        <v>323</v>
      </c>
    </row>
    <row r="116" spans="2:43" x14ac:dyDescent="0.3">
      <c r="B116" t="s">
        <v>219</v>
      </c>
      <c r="C116" t="s">
        <v>220</v>
      </c>
      <c r="D116" t="s">
        <v>143</v>
      </c>
      <c r="E116" t="s">
        <v>324</v>
      </c>
      <c r="F116">
        <v>1</v>
      </c>
      <c r="I116">
        <v>3</v>
      </c>
      <c r="J116" t="s">
        <v>218</v>
      </c>
      <c r="K116" t="s">
        <v>86</v>
      </c>
      <c r="L116" t="s">
        <v>461</v>
      </c>
      <c r="M116" t="s">
        <v>79</v>
      </c>
      <c r="N116" t="s">
        <v>95</v>
      </c>
      <c r="O116" t="s">
        <v>387</v>
      </c>
      <c r="R116">
        <v>1</v>
      </c>
      <c r="S116" t="s">
        <v>388</v>
      </c>
      <c r="AA116" s="73" t="s">
        <v>101</v>
      </c>
      <c r="AB116" s="73" t="s">
        <v>108</v>
      </c>
      <c r="AC116" s="73" t="s">
        <v>109</v>
      </c>
      <c r="AD116" s="72">
        <v>45981.600335648145</v>
      </c>
      <c r="AE116" t="s">
        <v>87</v>
      </c>
      <c r="AF116" t="s">
        <v>462</v>
      </c>
      <c r="AG116">
        <v>1</v>
      </c>
      <c r="AL116">
        <v>2</v>
      </c>
      <c r="AM116">
        <v>2</v>
      </c>
      <c r="AO116" t="s">
        <v>107</v>
      </c>
      <c r="AP116" t="s">
        <v>463</v>
      </c>
      <c r="AQ116" t="s">
        <v>146</v>
      </c>
    </row>
    <row r="117" spans="2:43" x14ac:dyDescent="0.3">
      <c r="B117" t="s">
        <v>219</v>
      </c>
      <c r="C117" t="s">
        <v>220</v>
      </c>
      <c r="D117" t="s">
        <v>143</v>
      </c>
      <c r="E117" t="s">
        <v>324</v>
      </c>
      <c r="F117">
        <v>1</v>
      </c>
      <c r="I117">
        <v>3</v>
      </c>
      <c r="J117" t="s">
        <v>218</v>
      </c>
      <c r="K117" t="s">
        <v>86</v>
      </c>
      <c r="L117" t="s">
        <v>461</v>
      </c>
      <c r="M117" t="s">
        <v>79</v>
      </c>
      <c r="N117" t="s">
        <v>95</v>
      </c>
      <c r="O117" t="s">
        <v>387</v>
      </c>
      <c r="R117">
        <v>1</v>
      </c>
      <c r="S117" t="s">
        <v>388</v>
      </c>
      <c r="AA117" s="73" t="s">
        <v>101</v>
      </c>
      <c r="AB117" s="73" t="s">
        <v>108</v>
      </c>
      <c r="AC117" s="73" t="s">
        <v>109</v>
      </c>
      <c r="AD117" s="72">
        <v>45988.918425925927</v>
      </c>
      <c r="AE117" t="s">
        <v>87</v>
      </c>
      <c r="AF117" t="s">
        <v>462</v>
      </c>
      <c r="AG117">
        <v>1</v>
      </c>
      <c r="AH117">
        <v>151167</v>
      </c>
      <c r="AI117">
        <v>0</v>
      </c>
      <c r="AJ117">
        <v>151167</v>
      </c>
      <c r="AK117" t="s">
        <v>96</v>
      </c>
      <c r="AL117">
        <v>2</v>
      </c>
      <c r="AM117">
        <v>2</v>
      </c>
      <c r="AO117" t="s">
        <v>107</v>
      </c>
      <c r="AP117" t="s">
        <v>479</v>
      </c>
      <c r="AQ117" t="s">
        <v>323</v>
      </c>
    </row>
    <row r="118" spans="2:43" x14ac:dyDescent="0.3">
      <c r="B118" t="s">
        <v>315</v>
      </c>
      <c r="C118" t="s">
        <v>316</v>
      </c>
      <c r="D118" t="s">
        <v>143</v>
      </c>
      <c r="E118" t="s">
        <v>319</v>
      </c>
      <c r="F118">
        <v>1</v>
      </c>
      <c r="I118">
        <v>3</v>
      </c>
      <c r="J118" t="s">
        <v>121</v>
      </c>
      <c r="K118" t="s">
        <v>86</v>
      </c>
      <c r="L118" t="s">
        <v>461</v>
      </c>
      <c r="M118" t="s">
        <v>79</v>
      </c>
      <c r="N118" t="s">
        <v>95</v>
      </c>
      <c r="O118" t="s">
        <v>144</v>
      </c>
      <c r="P118" t="s">
        <v>320</v>
      </c>
      <c r="Q118" t="s">
        <v>321</v>
      </c>
      <c r="R118">
        <v>1</v>
      </c>
      <c r="S118" t="s">
        <v>322</v>
      </c>
      <c r="AA118" s="73" t="s">
        <v>101</v>
      </c>
      <c r="AB118" s="73" t="s">
        <v>102</v>
      </c>
      <c r="AC118" s="73" t="s">
        <v>103</v>
      </c>
      <c r="AD118" s="72">
        <v>45981.600335648145</v>
      </c>
      <c r="AE118" t="s">
        <v>87</v>
      </c>
      <c r="AF118" t="s">
        <v>462</v>
      </c>
      <c r="AG118">
        <v>1</v>
      </c>
      <c r="AL118">
        <v>2</v>
      </c>
      <c r="AM118">
        <v>2</v>
      </c>
      <c r="AO118" t="s">
        <v>100</v>
      </c>
      <c r="AP118" t="s">
        <v>463</v>
      </c>
      <c r="AQ118" t="s">
        <v>146</v>
      </c>
    </row>
    <row r="119" spans="2:43" x14ac:dyDescent="0.3">
      <c r="B119" t="s">
        <v>315</v>
      </c>
      <c r="C119" t="s">
        <v>316</v>
      </c>
      <c r="D119" t="s">
        <v>143</v>
      </c>
      <c r="E119" t="s">
        <v>319</v>
      </c>
      <c r="F119">
        <v>1</v>
      </c>
      <c r="I119">
        <v>3</v>
      </c>
      <c r="J119" t="s">
        <v>121</v>
      </c>
      <c r="K119" t="s">
        <v>86</v>
      </c>
      <c r="L119" t="s">
        <v>461</v>
      </c>
      <c r="M119" t="s">
        <v>79</v>
      </c>
      <c r="N119" t="s">
        <v>95</v>
      </c>
      <c r="O119" t="s">
        <v>144</v>
      </c>
      <c r="P119" t="s">
        <v>320</v>
      </c>
      <c r="Q119" t="s">
        <v>321</v>
      </c>
      <c r="R119">
        <v>1</v>
      </c>
      <c r="S119" t="s">
        <v>322</v>
      </c>
      <c r="AA119" s="73" t="s">
        <v>101</v>
      </c>
      <c r="AB119" s="73" t="s">
        <v>102</v>
      </c>
      <c r="AC119" s="73" t="s">
        <v>103</v>
      </c>
      <c r="AD119" s="72">
        <v>45988.918425925927</v>
      </c>
      <c r="AE119" t="s">
        <v>87</v>
      </c>
      <c r="AF119" t="s">
        <v>462</v>
      </c>
      <c r="AG119">
        <v>1</v>
      </c>
      <c r="AH119">
        <v>272986</v>
      </c>
      <c r="AI119">
        <v>0</v>
      </c>
      <c r="AJ119">
        <v>272986</v>
      </c>
      <c r="AK119" t="s">
        <v>96</v>
      </c>
      <c r="AL119">
        <v>2</v>
      </c>
      <c r="AM119">
        <v>2</v>
      </c>
      <c r="AO119" t="s">
        <v>100</v>
      </c>
      <c r="AP119" t="s">
        <v>479</v>
      </c>
      <c r="AQ119" t="s">
        <v>323</v>
      </c>
    </row>
    <row r="120" spans="2:43" x14ac:dyDescent="0.3">
      <c r="B120" t="s">
        <v>269</v>
      </c>
      <c r="C120" t="s">
        <v>270</v>
      </c>
      <c r="D120" t="s">
        <v>143</v>
      </c>
      <c r="E120" t="s">
        <v>324</v>
      </c>
      <c r="F120">
        <v>1</v>
      </c>
      <c r="I120">
        <v>3</v>
      </c>
      <c r="J120" t="s">
        <v>268</v>
      </c>
      <c r="K120" t="s">
        <v>86</v>
      </c>
      <c r="L120" t="s">
        <v>461</v>
      </c>
      <c r="M120" t="s">
        <v>79</v>
      </c>
      <c r="N120" t="s">
        <v>95</v>
      </c>
      <c r="O120" t="s">
        <v>144</v>
      </c>
      <c r="P120" t="s">
        <v>400</v>
      </c>
      <c r="Q120" t="s">
        <v>417</v>
      </c>
      <c r="R120">
        <v>1</v>
      </c>
      <c r="S120" t="s">
        <v>401</v>
      </c>
      <c r="AA120" s="73" t="s">
        <v>99</v>
      </c>
      <c r="AB120" s="73" t="s">
        <v>94</v>
      </c>
      <c r="AC120" s="73" t="s">
        <v>88</v>
      </c>
      <c r="AD120" s="72">
        <v>45981.600335648145</v>
      </c>
      <c r="AE120" t="s">
        <v>87</v>
      </c>
      <c r="AF120" t="s">
        <v>462</v>
      </c>
      <c r="AG120">
        <v>1</v>
      </c>
      <c r="AL120">
        <v>2</v>
      </c>
      <c r="AM120">
        <v>2</v>
      </c>
      <c r="AO120" t="s">
        <v>98</v>
      </c>
      <c r="AP120" t="s">
        <v>463</v>
      </c>
      <c r="AQ120" t="s">
        <v>146</v>
      </c>
    </row>
    <row r="121" spans="2:43" x14ac:dyDescent="0.3">
      <c r="B121" t="s">
        <v>269</v>
      </c>
      <c r="C121" t="s">
        <v>270</v>
      </c>
      <c r="D121" t="s">
        <v>143</v>
      </c>
      <c r="E121" t="s">
        <v>324</v>
      </c>
      <c r="F121">
        <v>1</v>
      </c>
      <c r="I121">
        <v>3</v>
      </c>
      <c r="J121" t="s">
        <v>268</v>
      </c>
      <c r="K121" t="s">
        <v>86</v>
      </c>
      <c r="L121" t="s">
        <v>461</v>
      </c>
      <c r="M121" t="s">
        <v>79</v>
      </c>
      <c r="N121" t="s">
        <v>95</v>
      </c>
      <c r="O121" t="s">
        <v>144</v>
      </c>
      <c r="P121" t="s">
        <v>400</v>
      </c>
      <c r="Q121" t="s">
        <v>417</v>
      </c>
      <c r="R121">
        <v>1</v>
      </c>
      <c r="S121" t="s">
        <v>401</v>
      </c>
      <c r="AA121" s="73" t="s">
        <v>99</v>
      </c>
      <c r="AB121" s="73" t="s">
        <v>94</v>
      </c>
      <c r="AC121" s="73" t="s">
        <v>88</v>
      </c>
      <c r="AD121" s="72">
        <v>45988.918425925927</v>
      </c>
      <c r="AE121" t="s">
        <v>87</v>
      </c>
      <c r="AF121" t="s">
        <v>462</v>
      </c>
      <c r="AG121">
        <v>1</v>
      </c>
      <c r="AH121">
        <v>185705</v>
      </c>
      <c r="AI121">
        <v>0</v>
      </c>
      <c r="AJ121">
        <v>185705</v>
      </c>
      <c r="AK121" t="s">
        <v>96</v>
      </c>
      <c r="AL121">
        <v>2</v>
      </c>
      <c r="AM121">
        <v>2</v>
      </c>
      <c r="AO121" t="s">
        <v>98</v>
      </c>
      <c r="AP121" t="s">
        <v>479</v>
      </c>
      <c r="AQ121" t="s">
        <v>323</v>
      </c>
    </row>
    <row r="122" spans="2:43" x14ac:dyDescent="0.3">
      <c r="B122" t="s">
        <v>190</v>
      </c>
      <c r="C122" t="s">
        <v>451</v>
      </c>
      <c r="D122" t="s">
        <v>143</v>
      </c>
      <c r="E122" t="s">
        <v>90</v>
      </c>
      <c r="F122">
        <v>1</v>
      </c>
      <c r="I122">
        <v>3</v>
      </c>
      <c r="J122" t="s">
        <v>448</v>
      </c>
      <c r="K122" t="s">
        <v>86</v>
      </c>
      <c r="L122" t="s">
        <v>461</v>
      </c>
      <c r="M122" t="s">
        <v>79</v>
      </c>
      <c r="N122" t="s">
        <v>95</v>
      </c>
      <c r="O122" t="s">
        <v>144</v>
      </c>
      <c r="P122" t="s">
        <v>325</v>
      </c>
      <c r="Q122" t="s">
        <v>326</v>
      </c>
      <c r="R122">
        <v>6</v>
      </c>
      <c r="Y122" t="s">
        <v>91</v>
      </c>
      <c r="Z122">
        <v>1</v>
      </c>
      <c r="AA122" s="73" t="s">
        <v>92</v>
      </c>
      <c r="AB122" s="73" t="s">
        <v>93</v>
      </c>
      <c r="AC122" s="73" t="s">
        <v>89</v>
      </c>
      <c r="AD122" s="72">
        <v>45981.600335648145</v>
      </c>
      <c r="AE122" t="s">
        <v>87</v>
      </c>
      <c r="AF122" t="s">
        <v>462</v>
      </c>
      <c r="AG122">
        <v>1</v>
      </c>
      <c r="AL122">
        <v>3</v>
      </c>
      <c r="AM122">
        <v>2</v>
      </c>
      <c r="AO122" t="s">
        <v>97</v>
      </c>
      <c r="AP122" t="s">
        <v>463</v>
      </c>
      <c r="AQ122" t="s">
        <v>146</v>
      </c>
    </row>
    <row r="123" spans="2:43" x14ac:dyDescent="0.3">
      <c r="B123" t="s">
        <v>190</v>
      </c>
      <c r="C123" t="s">
        <v>451</v>
      </c>
      <c r="D123" t="s">
        <v>143</v>
      </c>
      <c r="E123" t="s">
        <v>90</v>
      </c>
      <c r="F123">
        <v>1</v>
      </c>
      <c r="I123">
        <v>3</v>
      </c>
      <c r="J123" t="s">
        <v>448</v>
      </c>
      <c r="K123" t="s">
        <v>86</v>
      </c>
      <c r="L123" t="s">
        <v>461</v>
      </c>
      <c r="M123" t="s">
        <v>79</v>
      </c>
      <c r="N123" t="s">
        <v>95</v>
      </c>
      <c r="O123" t="s">
        <v>144</v>
      </c>
      <c r="P123" t="s">
        <v>325</v>
      </c>
      <c r="Q123" t="s">
        <v>326</v>
      </c>
      <c r="R123">
        <v>6</v>
      </c>
      <c r="Y123" t="s">
        <v>91</v>
      </c>
      <c r="Z123">
        <v>1</v>
      </c>
      <c r="AA123" s="73" t="s">
        <v>92</v>
      </c>
      <c r="AB123" s="73" t="s">
        <v>93</v>
      </c>
      <c r="AC123" s="73" t="s">
        <v>89</v>
      </c>
      <c r="AD123" s="72">
        <v>45988.918425925927</v>
      </c>
      <c r="AE123" t="s">
        <v>87</v>
      </c>
      <c r="AF123" t="s">
        <v>462</v>
      </c>
      <c r="AG123">
        <v>1</v>
      </c>
      <c r="AH123">
        <v>1</v>
      </c>
      <c r="AI123">
        <v>0</v>
      </c>
      <c r="AJ123">
        <v>1</v>
      </c>
      <c r="AK123" t="s">
        <v>96</v>
      </c>
      <c r="AL123">
        <v>3</v>
      </c>
      <c r="AM123">
        <v>2</v>
      </c>
      <c r="AO123" t="s">
        <v>97</v>
      </c>
      <c r="AP123" t="s">
        <v>479</v>
      </c>
      <c r="AQ123" t="s">
        <v>323</v>
      </c>
    </row>
    <row r="124" spans="2:43" x14ac:dyDescent="0.3">
      <c r="B124" t="s">
        <v>258</v>
      </c>
      <c r="C124" t="s">
        <v>477</v>
      </c>
      <c r="D124" t="s">
        <v>143</v>
      </c>
      <c r="E124" t="s">
        <v>331</v>
      </c>
      <c r="F124">
        <v>1</v>
      </c>
      <c r="I124">
        <v>3</v>
      </c>
      <c r="J124" t="s">
        <v>257</v>
      </c>
      <c r="K124" t="s">
        <v>86</v>
      </c>
      <c r="L124" t="s">
        <v>461</v>
      </c>
      <c r="M124" t="s">
        <v>79</v>
      </c>
      <c r="N124" t="s">
        <v>95</v>
      </c>
      <c r="O124" t="s">
        <v>402</v>
      </c>
      <c r="R124">
        <v>4</v>
      </c>
      <c r="S124" t="s">
        <v>403</v>
      </c>
      <c r="AA124" s="73" t="s">
        <v>335</v>
      </c>
      <c r="AB124" s="73" t="s">
        <v>335</v>
      </c>
      <c r="AC124" s="73" t="s">
        <v>335</v>
      </c>
      <c r="AD124" s="72">
        <v>45981.600335648145</v>
      </c>
      <c r="AE124" t="s">
        <v>87</v>
      </c>
      <c r="AF124" t="s">
        <v>462</v>
      </c>
      <c r="AG124">
        <v>1</v>
      </c>
      <c r="AL124">
        <v>2</v>
      </c>
      <c r="AM124">
        <v>2</v>
      </c>
      <c r="AO124" t="s">
        <v>334</v>
      </c>
      <c r="AP124" t="s">
        <v>463</v>
      </c>
      <c r="AQ124" t="s">
        <v>146</v>
      </c>
    </row>
    <row r="125" spans="2:43" x14ac:dyDescent="0.3">
      <c r="B125" t="s">
        <v>258</v>
      </c>
      <c r="C125" t="s">
        <v>477</v>
      </c>
      <c r="D125" t="s">
        <v>143</v>
      </c>
      <c r="E125" t="s">
        <v>331</v>
      </c>
      <c r="F125">
        <v>1</v>
      </c>
      <c r="I125">
        <v>3</v>
      </c>
      <c r="J125" t="s">
        <v>257</v>
      </c>
      <c r="K125" t="s">
        <v>86</v>
      </c>
      <c r="L125" t="s">
        <v>461</v>
      </c>
      <c r="M125" t="s">
        <v>79</v>
      </c>
      <c r="N125" t="s">
        <v>95</v>
      </c>
      <c r="O125" t="s">
        <v>402</v>
      </c>
      <c r="R125">
        <v>4</v>
      </c>
      <c r="S125" t="s">
        <v>403</v>
      </c>
      <c r="AA125" s="73" t="s">
        <v>335</v>
      </c>
      <c r="AB125" s="73" t="s">
        <v>335</v>
      </c>
      <c r="AC125" s="73" t="s">
        <v>335</v>
      </c>
      <c r="AD125" s="72">
        <v>45988.918425925927</v>
      </c>
      <c r="AE125" t="s">
        <v>87</v>
      </c>
      <c r="AF125" t="s">
        <v>462</v>
      </c>
      <c r="AG125">
        <v>1</v>
      </c>
      <c r="AH125">
        <v>377681</v>
      </c>
      <c r="AI125">
        <v>0</v>
      </c>
      <c r="AJ125">
        <v>377681</v>
      </c>
      <c r="AK125" t="s">
        <v>96</v>
      </c>
      <c r="AL125">
        <v>2</v>
      </c>
      <c r="AM125">
        <v>2</v>
      </c>
      <c r="AO125" t="s">
        <v>334</v>
      </c>
      <c r="AP125" t="s">
        <v>479</v>
      </c>
      <c r="AQ125" t="s">
        <v>323</v>
      </c>
    </row>
    <row r="126" spans="2:43" x14ac:dyDescent="0.3">
      <c r="B126" t="s">
        <v>141</v>
      </c>
      <c r="C126" t="s">
        <v>142</v>
      </c>
      <c r="D126" t="s">
        <v>143</v>
      </c>
      <c r="E126" t="s">
        <v>90</v>
      </c>
      <c r="F126">
        <v>1</v>
      </c>
      <c r="I126">
        <v>3</v>
      </c>
      <c r="J126" t="s">
        <v>121</v>
      </c>
      <c r="K126" t="s">
        <v>86</v>
      </c>
      <c r="L126" t="s">
        <v>461</v>
      </c>
      <c r="M126" t="s">
        <v>79</v>
      </c>
      <c r="N126" t="s">
        <v>95</v>
      </c>
      <c r="O126" t="s">
        <v>144</v>
      </c>
      <c r="P126" t="s">
        <v>325</v>
      </c>
      <c r="Q126" t="s">
        <v>145</v>
      </c>
      <c r="R126">
        <v>6</v>
      </c>
      <c r="Y126" t="s">
        <v>91</v>
      </c>
      <c r="Z126">
        <v>1</v>
      </c>
      <c r="AA126" s="73" t="s">
        <v>92</v>
      </c>
      <c r="AB126" s="73" t="s">
        <v>93</v>
      </c>
      <c r="AC126" s="73" t="s">
        <v>89</v>
      </c>
      <c r="AD126" s="72">
        <v>45981.600335648145</v>
      </c>
      <c r="AE126" t="s">
        <v>87</v>
      </c>
      <c r="AF126" t="s">
        <v>462</v>
      </c>
      <c r="AG126">
        <v>1</v>
      </c>
      <c r="AL126">
        <v>3</v>
      </c>
      <c r="AM126">
        <v>2</v>
      </c>
      <c r="AO126" t="s">
        <v>97</v>
      </c>
      <c r="AP126" t="s">
        <v>463</v>
      </c>
      <c r="AQ126" t="s">
        <v>146</v>
      </c>
    </row>
    <row r="127" spans="2:43" x14ac:dyDescent="0.3">
      <c r="B127" t="s">
        <v>141</v>
      </c>
      <c r="C127" t="s">
        <v>142</v>
      </c>
      <c r="D127" t="s">
        <v>143</v>
      </c>
      <c r="E127" t="s">
        <v>90</v>
      </c>
      <c r="F127">
        <v>1</v>
      </c>
      <c r="I127">
        <v>3</v>
      </c>
      <c r="J127" t="s">
        <v>121</v>
      </c>
      <c r="K127" t="s">
        <v>86</v>
      </c>
      <c r="L127" t="s">
        <v>461</v>
      </c>
      <c r="M127" t="s">
        <v>79</v>
      </c>
      <c r="N127" t="s">
        <v>95</v>
      </c>
      <c r="O127" t="s">
        <v>144</v>
      </c>
      <c r="P127" t="s">
        <v>325</v>
      </c>
      <c r="Q127" t="s">
        <v>145</v>
      </c>
      <c r="R127">
        <v>6</v>
      </c>
      <c r="Y127" t="s">
        <v>91</v>
      </c>
      <c r="Z127">
        <v>1</v>
      </c>
      <c r="AA127" s="73" t="s">
        <v>92</v>
      </c>
      <c r="AB127" s="73" t="s">
        <v>93</v>
      </c>
      <c r="AC127" s="73" t="s">
        <v>89</v>
      </c>
      <c r="AD127" s="72">
        <v>45988.918425925927</v>
      </c>
      <c r="AE127" t="s">
        <v>87</v>
      </c>
      <c r="AF127" t="s">
        <v>462</v>
      </c>
      <c r="AG127">
        <v>1</v>
      </c>
      <c r="AH127">
        <v>1</v>
      </c>
      <c r="AI127">
        <v>0</v>
      </c>
      <c r="AJ127">
        <v>1</v>
      </c>
      <c r="AK127" t="s">
        <v>96</v>
      </c>
      <c r="AL127">
        <v>3</v>
      </c>
      <c r="AM127">
        <v>2</v>
      </c>
      <c r="AO127" t="s">
        <v>97</v>
      </c>
      <c r="AP127" t="s">
        <v>479</v>
      </c>
      <c r="AQ127" t="s">
        <v>323</v>
      </c>
    </row>
    <row r="128" spans="2:43" x14ac:dyDescent="0.3">
      <c r="B128" t="s">
        <v>135</v>
      </c>
      <c r="C128" t="s">
        <v>136</v>
      </c>
      <c r="D128" t="s">
        <v>143</v>
      </c>
      <c r="E128" t="s">
        <v>90</v>
      </c>
      <c r="F128">
        <v>1</v>
      </c>
      <c r="I128">
        <v>3</v>
      </c>
      <c r="J128" t="s">
        <v>121</v>
      </c>
      <c r="K128" t="s">
        <v>86</v>
      </c>
      <c r="L128" t="s">
        <v>461</v>
      </c>
      <c r="M128" t="s">
        <v>79</v>
      </c>
      <c r="N128" t="s">
        <v>95</v>
      </c>
      <c r="O128" t="s">
        <v>144</v>
      </c>
      <c r="P128" t="s">
        <v>325</v>
      </c>
      <c r="Q128" t="s">
        <v>147</v>
      </c>
      <c r="R128">
        <v>6</v>
      </c>
      <c r="Y128" t="s">
        <v>91</v>
      </c>
      <c r="Z128">
        <v>1</v>
      </c>
      <c r="AA128" s="73" t="s">
        <v>92</v>
      </c>
      <c r="AB128" s="73" t="s">
        <v>93</v>
      </c>
      <c r="AC128" s="73" t="s">
        <v>89</v>
      </c>
      <c r="AD128" s="72">
        <v>45981.600335648145</v>
      </c>
      <c r="AE128" t="s">
        <v>87</v>
      </c>
      <c r="AF128" t="s">
        <v>462</v>
      </c>
      <c r="AG128">
        <v>1</v>
      </c>
      <c r="AL128">
        <v>3</v>
      </c>
      <c r="AM128">
        <v>2</v>
      </c>
      <c r="AO128" t="s">
        <v>97</v>
      </c>
      <c r="AP128" t="s">
        <v>463</v>
      </c>
      <c r="AQ128" t="s">
        <v>146</v>
      </c>
    </row>
    <row r="129" spans="2:43" x14ac:dyDescent="0.3">
      <c r="B129" t="s">
        <v>135</v>
      </c>
      <c r="C129" t="s">
        <v>136</v>
      </c>
      <c r="D129" t="s">
        <v>143</v>
      </c>
      <c r="E129" t="s">
        <v>90</v>
      </c>
      <c r="F129">
        <v>1</v>
      </c>
      <c r="I129">
        <v>3</v>
      </c>
      <c r="J129" t="s">
        <v>121</v>
      </c>
      <c r="K129" t="s">
        <v>86</v>
      </c>
      <c r="L129" t="s">
        <v>461</v>
      </c>
      <c r="M129" t="s">
        <v>79</v>
      </c>
      <c r="N129" t="s">
        <v>95</v>
      </c>
      <c r="O129" t="s">
        <v>144</v>
      </c>
      <c r="P129" t="s">
        <v>325</v>
      </c>
      <c r="Q129" t="s">
        <v>147</v>
      </c>
      <c r="R129">
        <v>6</v>
      </c>
      <c r="Y129" t="s">
        <v>91</v>
      </c>
      <c r="Z129">
        <v>1</v>
      </c>
      <c r="AA129" s="73" t="s">
        <v>92</v>
      </c>
      <c r="AB129" s="73" t="s">
        <v>93</v>
      </c>
      <c r="AC129" s="73" t="s">
        <v>89</v>
      </c>
      <c r="AD129" s="72">
        <v>45988.918425925927</v>
      </c>
      <c r="AE129" t="s">
        <v>87</v>
      </c>
      <c r="AF129" t="s">
        <v>462</v>
      </c>
      <c r="AG129">
        <v>1</v>
      </c>
      <c r="AH129">
        <v>1</v>
      </c>
      <c r="AI129">
        <v>0</v>
      </c>
      <c r="AJ129">
        <v>1</v>
      </c>
      <c r="AK129" t="s">
        <v>96</v>
      </c>
      <c r="AL129">
        <v>3</v>
      </c>
      <c r="AM129">
        <v>2</v>
      </c>
      <c r="AO129" t="s">
        <v>97</v>
      </c>
      <c r="AP129" t="s">
        <v>479</v>
      </c>
      <c r="AQ129" t="s">
        <v>323</v>
      </c>
    </row>
    <row r="130" spans="2:43" x14ac:dyDescent="0.3">
      <c r="B130" t="s">
        <v>122</v>
      </c>
      <c r="C130" t="s">
        <v>123</v>
      </c>
      <c r="D130" t="s">
        <v>143</v>
      </c>
      <c r="E130" t="s">
        <v>90</v>
      </c>
      <c r="F130">
        <v>1</v>
      </c>
      <c r="I130">
        <v>3</v>
      </c>
      <c r="J130" t="s">
        <v>121</v>
      </c>
      <c r="K130" t="s">
        <v>86</v>
      </c>
      <c r="L130" t="s">
        <v>461</v>
      </c>
      <c r="M130" t="s">
        <v>79</v>
      </c>
      <c r="N130" t="s">
        <v>95</v>
      </c>
      <c r="O130" t="s">
        <v>144</v>
      </c>
      <c r="P130" t="s">
        <v>325</v>
      </c>
      <c r="Q130" t="s">
        <v>148</v>
      </c>
      <c r="R130">
        <v>6</v>
      </c>
      <c r="Y130" t="s">
        <v>91</v>
      </c>
      <c r="Z130">
        <v>1</v>
      </c>
      <c r="AA130" s="73" t="s">
        <v>92</v>
      </c>
      <c r="AB130" s="73" t="s">
        <v>93</v>
      </c>
      <c r="AC130" s="73" t="s">
        <v>89</v>
      </c>
      <c r="AD130" s="72">
        <v>45981.600335648145</v>
      </c>
      <c r="AE130" t="s">
        <v>87</v>
      </c>
      <c r="AF130" t="s">
        <v>462</v>
      </c>
      <c r="AG130">
        <v>1</v>
      </c>
      <c r="AL130">
        <v>3</v>
      </c>
      <c r="AM130">
        <v>2</v>
      </c>
      <c r="AO130" t="s">
        <v>97</v>
      </c>
      <c r="AP130" t="s">
        <v>463</v>
      </c>
      <c r="AQ130" t="s">
        <v>146</v>
      </c>
    </row>
    <row r="131" spans="2:43" x14ac:dyDescent="0.3">
      <c r="B131" t="s">
        <v>122</v>
      </c>
      <c r="C131" t="s">
        <v>123</v>
      </c>
      <c r="D131" t="s">
        <v>143</v>
      </c>
      <c r="E131" t="s">
        <v>90</v>
      </c>
      <c r="F131">
        <v>1</v>
      </c>
      <c r="I131">
        <v>3</v>
      </c>
      <c r="J131" t="s">
        <v>121</v>
      </c>
      <c r="K131" t="s">
        <v>86</v>
      </c>
      <c r="L131" t="s">
        <v>461</v>
      </c>
      <c r="M131" t="s">
        <v>79</v>
      </c>
      <c r="N131" t="s">
        <v>95</v>
      </c>
      <c r="O131" t="s">
        <v>144</v>
      </c>
      <c r="P131" t="s">
        <v>325</v>
      </c>
      <c r="Q131" t="s">
        <v>148</v>
      </c>
      <c r="R131">
        <v>6</v>
      </c>
      <c r="Y131" t="s">
        <v>91</v>
      </c>
      <c r="Z131">
        <v>1</v>
      </c>
      <c r="AA131" s="73" t="s">
        <v>92</v>
      </c>
      <c r="AB131" s="73" t="s">
        <v>93</v>
      </c>
      <c r="AC131" s="73" t="s">
        <v>89</v>
      </c>
      <c r="AD131" s="72">
        <v>45988.918425925927</v>
      </c>
      <c r="AE131" t="s">
        <v>87</v>
      </c>
      <c r="AF131" t="s">
        <v>462</v>
      </c>
      <c r="AG131">
        <v>1</v>
      </c>
      <c r="AH131">
        <v>1</v>
      </c>
      <c r="AI131">
        <v>0</v>
      </c>
      <c r="AJ131">
        <v>1</v>
      </c>
      <c r="AK131" t="s">
        <v>96</v>
      </c>
      <c r="AL131">
        <v>3</v>
      </c>
      <c r="AM131">
        <v>2</v>
      </c>
      <c r="AO131" t="s">
        <v>97</v>
      </c>
      <c r="AP131" t="s">
        <v>479</v>
      </c>
      <c r="AQ131" t="s">
        <v>323</v>
      </c>
    </row>
    <row r="132" spans="2:43" x14ac:dyDescent="0.3">
      <c r="B132" t="s">
        <v>126</v>
      </c>
      <c r="C132" t="s">
        <v>127</v>
      </c>
      <c r="D132" t="s">
        <v>143</v>
      </c>
      <c r="E132" t="s">
        <v>90</v>
      </c>
      <c r="F132">
        <v>1</v>
      </c>
      <c r="I132">
        <v>3</v>
      </c>
      <c r="J132" t="s">
        <v>121</v>
      </c>
      <c r="K132" t="s">
        <v>86</v>
      </c>
      <c r="L132" t="s">
        <v>461</v>
      </c>
      <c r="M132" t="s">
        <v>79</v>
      </c>
      <c r="N132" t="s">
        <v>95</v>
      </c>
      <c r="O132" t="s">
        <v>144</v>
      </c>
      <c r="P132" t="s">
        <v>325</v>
      </c>
      <c r="Q132" t="s">
        <v>149</v>
      </c>
      <c r="R132">
        <v>6</v>
      </c>
      <c r="Y132" t="s">
        <v>91</v>
      </c>
      <c r="Z132">
        <v>1</v>
      </c>
      <c r="AA132" s="73" t="s">
        <v>92</v>
      </c>
      <c r="AB132" s="73" t="s">
        <v>93</v>
      </c>
      <c r="AC132" s="73" t="s">
        <v>89</v>
      </c>
      <c r="AD132" s="72">
        <v>45981.600335648145</v>
      </c>
      <c r="AE132" t="s">
        <v>87</v>
      </c>
      <c r="AF132" t="s">
        <v>462</v>
      </c>
      <c r="AG132">
        <v>1</v>
      </c>
      <c r="AL132">
        <v>3</v>
      </c>
      <c r="AM132">
        <v>2</v>
      </c>
      <c r="AO132" t="s">
        <v>97</v>
      </c>
      <c r="AP132" t="s">
        <v>463</v>
      </c>
      <c r="AQ132" t="s">
        <v>146</v>
      </c>
    </row>
    <row r="133" spans="2:43" x14ac:dyDescent="0.3">
      <c r="B133" t="s">
        <v>126</v>
      </c>
      <c r="C133" t="s">
        <v>127</v>
      </c>
      <c r="D133" t="s">
        <v>143</v>
      </c>
      <c r="E133" t="s">
        <v>90</v>
      </c>
      <c r="F133">
        <v>1</v>
      </c>
      <c r="I133">
        <v>3</v>
      </c>
      <c r="J133" t="s">
        <v>121</v>
      </c>
      <c r="K133" t="s">
        <v>86</v>
      </c>
      <c r="L133" t="s">
        <v>461</v>
      </c>
      <c r="M133" t="s">
        <v>79</v>
      </c>
      <c r="N133" t="s">
        <v>95</v>
      </c>
      <c r="O133" t="s">
        <v>144</v>
      </c>
      <c r="P133" t="s">
        <v>325</v>
      </c>
      <c r="Q133" t="s">
        <v>149</v>
      </c>
      <c r="R133">
        <v>6</v>
      </c>
      <c r="Y133" t="s">
        <v>91</v>
      </c>
      <c r="Z133">
        <v>1</v>
      </c>
      <c r="AA133" s="73" t="s">
        <v>92</v>
      </c>
      <c r="AB133" s="73" t="s">
        <v>93</v>
      </c>
      <c r="AC133" s="73" t="s">
        <v>89</v>
      </c>
      <c r="AD133" s="72">
        <v>45988.918425925927</v>
      </c>
      <c r="AE133" t="s">
        <v>87</v>
      </c>
      <c r="AF133" t="s">
        <v>462</v>
      </c>
      <c r="AG133">
        <v>1</v>
      </c>
      <c r="AH133">
        <v>1</v>
      </c>
      <c r="AI133">
        <v>0</v>
      </c>
      <c r="AJ133">
        <v>1</v>
      </c>
      <c r="AK133" t="s">
        <v>96</v>
      </c>
      <c r="AL133">
        <v>3</v>
      </c>
      <c r="AM133">
        <v>2</v>
      </c>
      <c r="AO133" t="s">
        <v>97</v>
      </c>
      <c r="AP133" t="s">
        <v>479</v>
      </c>
      <c r="AQ133" t="s">
        <v>323</v>
      </c>
    </row>
    <row r="134" spans="2:43" x14ac:dyDescent="0.3">
      <c r="B134" t="s">
        <v>139</v>
      </c>
      <c r="C134" t="s">
        <v>140</v>
      </c>
      <c r="D134" t="s">
        <v>143</v>
      </c>
      <c r="E134" t="s">
        <v>90</v>
      </c>
      <c r="F134">
        <v>1</v>
      </c>
      <c r="I134">
        <v>3</v>
      </c>
      <c r="J134" t="s">
        <v>115</v>
      </c>
      <c r="K134" t="s">
        <v>86</v>
      </c>
      <c r="L134" t="s">
        <v>461</v>
      </c>
      <c r="M134" t="s">
        <v>79</v>
      </c>
      <c r="N134" t="s">
        <v>95</v>
      </c>
      <c r="O134" t="s">
        <v>144</v>
      </c>
      <c r="P134" t="s">
        <v>325</v>
      </c>
      <c r="Q134" t="s">
        <v>150</v>
      </c>
      <c r="R134">
        <v>6</v>
      </c>
      <c r="Y134" t="s">
        <v>91</v>
      </c>
      <c r="Z134">
        <v>1</v>
      </c>
      <c r="AA134" s="73" t="s">
        <v>92</v>
      </c>
      <c r="AB134" s="73" t="s">
        <v>93</v>
      </c>
      <c r="AC134" s="73" t="s">
        <v>89</v>
      </c>
      <c r="AD134" s="72">
        <v>45981.600335648145</v>
      </c>
      <c r="AE134" t="s">
        <v>87</v>
      </c>
      <c r="AF134" t="s">
        <v>462</v>
      </c>
      <c r="AG134">
        <v>1</v>
      </c>
      <c r="AL134">
        <v>3</v>
      </c>
      <c r="AM134">
        <v>2</v>
      </c>
      <c r="AO134" t="s">
        <v>97</v>
      </c>
      <c r="AP134" t="s">
        <v>463</v>
      </c>
      <c r="AQ134" t="s">
        <v>146</v>
      </c>
    </row>
    <row r="135" spans="2:43" x14ac:dyDescent="0.3">
      <c r="B135" t="s">
        <v>139</v>
      </c>
      <c r="C135" t="s">
        <v>140</v>
      </c>
      <c r="D135" t="s">
        <v>143</v>
      </c>
      <c r="E135" t="s">
        <v>90</v>
      </c>
      <c r="F135">
        <v>1</v>
      </c>
      <c r="I135">
        <v>3</v>
      </c>
      <c r="J135" t="s">
        <v>115</v>
      </c>
      <c r="K135" t="s">
        <v>86</v>
      </c>
      <c r="L135" t="s">
        <v>461</v>
      </c>
      <c r="M135" t="s">
        <v>79</v>
      </c>
      <c r="N135" t="s">
        <v>95</v>
      </c>
      <c r="O135" t="s">
        <v>144</v>
      </c>
      <c r="P135" t="s">
        <v>325</v>
      </c>
      <c r="Q135" t="s">
        <v>150</v>
      </c>
      <c r="R135">
        <v>6</v>
      </c>
      <c r="Y135" t="s">
        <v>91</v>
      </c>
      <c r="Z135">
        <v>1</v>
      </c>
      <c r="AA135" s="73" t="s">
        <v>92</v>
      </c>
      <c r="AB135" s="73" t="s">
        <v>93</v>
      </c>
      <c r="AC135" s="73" t="s">
        <v>89</v>
      </c>
      <c r="AD135" s="72">
        <v>45988.918425925927</v>
      </c>
      <c r="AE135" t="s">
        <v>87</v>
      </c>
      <c r="AF135" t="s">
        <v>462</v>
      </c>
      <c r="AG135">
        <v>1</v>
      </c>
      <c r="AH135">
        <v>1</v>
      </c>
      <c r="AI135">
        <v>0</v>
      </c>
      <c r="AJ135">
        <v>1</v>
      </c>
      <c r="AK135" t="s">
        <v>96</v>
      </c>
      <c r="AL135">
        <v>3</v>
      </c>
      <c r="AM135">
        <v>2</v>
      </c>
      <c r="AO135" t="s">
        <v>97</v>
      </c>
      <c r="AP135" t="s">
        <v>479</v>
      </c>
      <c r="AQ135" t="s">
        <v>323</v>
      </c>
    </row>
    <row r="136" spans="2:43" x14ac:dyDescent="0.3">
      <c r="B136" t="s">
        <v>116</v>
      </c>
      <c r="C136" t="s">
        <v>117</v>
      </c>
      <c r="D136" t="s">
        <v>143</v>
      </c>
      <c r="E136" t="s">
        <v>90</v>
      </c>
      <c r="F136">
        <v>1</v>
      </c>
      <c r="I136">
        <v>3</v>
      </c>
      <c r="J136" t="s">
        <v>115</v>
      </c>
      <c r="K136" t="s">
        <v>86</v>
      </c>
      <c r="L136" t="s">
        <v>461</v>
      </c>
      <c r="M136" t="s">
        <v>79</v>
      </c>
      <c r="N136" t="s">
        <v>95</v>
      </c>
      <c r="O136" t="s">
        <v>144</v>
      </c>
      <c r="P136" t="s">
        <v>325</v>
      </c>
      <c r="Q136" t="s">
        <v>151</v>
      </c>
      <c r="R136">
        <v>6</v>
      </c>
      <c r="Y136" t="s">
        <v>91</v>
      </c>
      <c r="Z136">
        <v>1</v>
      </c>
      <c r="AA136" s="73" t="s">
        <v>92</v>
      </c>
      <c r="AB136" s="73" t="s">
        <v>93</v>
      </c>
      <c r="AC136" s="73" t="s">
        <v>89</v>
      </c>
      <c r="AD136" s="72">
        <v>45981.600335648145</v>
      </c>
      <c r="AE136" t="s">
        <v>87</v>
      </c>
      <c r="AF136" t="s">
        <v>462</v>
      </c>
      <c r="AG136">
        <v>1</v>
      </c>
      <c r="AL136">
        <v>3</v>
      </c>
      <c r="AM136">
        <v>2</v>
      </c>
      <c r="AO136" t="s">
        <v>97</v>
      </c>
      <c r="AP136" t="s">
        <v>463</v>
      </c>
      <c r="AQ136" t="s">
        <v>146</v>
      </c>
    </row>
    <row r="137" spans="2:43" x14ac:dyDescent="0.3">
      <c r="B137" t="s">
        <v>116</v>
      </c>
      <c r="C137" t="s">
        <v>117</v>
      </c>
      <c r="D137" t="s">
        <v>143</v>
      </c>
      <c r="E137" t="s">
        <v>90</v>
      </c>
      <c r="F137">
        <v>1</v>
      </c>
      <c r="I137">
        <v>3</v>
      </c>
      <c r="J137" t="s">
        <v>115</v>
      </c>
      <c r="K137" t="s">
        <v>86</v>
      </c>
      <c r="L137" t="s">
        <v>461</v>
      </c>
      <c r="M137" t="s">
        <v>79</v>
      </c>
      <c r="N137" t="s">
        <v>95</v>
      </c>
      <c r="O137" t="s">
        <v>144</v>
      </c>
      <c r="P137" t="s">
        <v>325</v>
      </c>
      <c r="Q137" t="s">
        <v>151</v>
      </c>
      <c r="R137">
        <v>6</v>
      </c>
      <c r="Y137" t="s">
        <v>91</v>
      </c>
      <c r="Z137">
        <v>1</v>
      </c>
      <c r="AA137" s="73" t="s">
        <v>92</v>
      </c>
      <c r="AB137" s="73" t="s">
        <v>93</v>
      </c>
      <c r="AC137" s="73" t="s">
        <v>89</v>
      </c>
      <c r="AD137" s="72">
        <v>45988.918425925927</v>
      </c>
      <c r="AE137" t="s">
        <v>87</v>
      </c>
      <c r="AF137" t="s">
        <v>462</v>
      </c>
      <c r="AG137">
        <v>1</v>
      </c>
      <c r="AH137">
        <v>1</v>
      </c>
      <c r="AI137">
        <v>0</v>
      </c>
      <c r="AJ137">
        <v>1</v>
      </c>
      <c r="AK137" t="s">
        <v>96</v>
      </c>
      <c r="AL137">
        <v>3</v>
      </c>
      <c r="AM137">
        <v>2</v>
      </c>
      <c r="AO137" t="s">
        <v>97</v>
      </c>
      <c r="AP137" t="s">
        <v>479</v>
      </c>
      <c r="AQ137" t="s">
        <v>323</v>
      </c>
    </row>
    <row r="138" spans="2:43" x14ac:dyDescent="0.3">
      <c r="B138" t="s">
        <v>131</v>
      </c>
      <c r="C138" t="s">
        <v>132</v>
      </c>
      <c r="D138" t="s">
        <v>143</v>
      </c>
      <c r="E138" t="s">
        <v>90</v>
      </c>
      <c r="F138">
        <v>1</v>
      </c>
      <c r="I138">
        <v>3</v>
      </c>
      <c r="J138" t="s">
        <v>130</v>
      </c>
      <c r="K138" t="s">
        <v>86</v>
      </c>
      <c r="L138" t="s">
        <v>461</v>
      </c>
      <c r="M138" t="s">
        <v>79</v>
      </c>
      <c r="N138" t="s">
        <v>95</v>
      </c>
      <c r="O138" t="s">
        <v>144</v>
      </c>
      <c r="P138" t="s">
        <v>325</v>
      </c>
      <c r="Q138" t="s">
        <v>152</v>
      </c>
      <c r="R138">
        <v>6</v>
      </c>
      <c r="Y138" t="s">
        <v>91</v>
      </c>
      <c r="Z138">
        <v>1</v>
      </c>
      <c r="AA138" s="73" t="s">
        <v>92</v>
      </c>
      <c r="AB138" s="73" t="s">
        <v>93</v>
      </c>
      <c r="AC138" s="73" t="s">
        <v>89</v>
      </c>
      <c r="AD138" s="72">
        <v>45981.600335648145</v>
      </c>
      <c r="AE138" t="s">
        <v>87</v>
      </c>
      <c r="AF138" t="s">
        <v>462</v>
      </c>
      <c r="AG138">
        <v>1</v>
      </c>
      <c r="AL138">
        <v>3</v>
      </c>
      <c r="AM138">
        <v>2</v>
      </c>
      <c r="AO138" t="s">
        <v>97</v>
      </c>
      <c r="AP138" t="s">
        <v>463</v>
      </c>
      <c r="AQ138" t="s">
        <v>146</v>
      </c>
    </row>
    <row r="139" spans="2:43" x14ac:dyDescent="0.3">
      <c r="B139" t="s">
        <v>131</v>
      </c>
      <c r="C139" t="s">
        <v>132</v>
      </c>
      <c r="D139" t="s">
        <v>143</v>
      </c>
      <c r="E139" t="s">
        <v>90</v>
      </c>
      <c r="F139">
        <v>1</v>
      </c>
      <c r="I139">
        <v>3</v>
      </c>
      <c r="J139" t="s">
        <v>130</v>
      </c>
      <c r="K139" t="s">
        <v>86</v>
      </c>
      <c r="L139" t="s">
        <v>461</v>
      </c>
      <c r="M139" t="s">
        <v>79</v>
      </c>
      <c r="N139" t="s">
        <v>95</v>
      </c>
      <c r="O139" t="s">
        <v>144</v>
      </c>
      <c r="P139" t="s">
        <v>325</v>
      </c>
      <c r="Q139" t="s">
        <v>152</v>
      </c>
      <c r="R139">
        <v>6</v>
      </c>
      <c r="Y139" t="s">
        <v>91</v>
      </c>
      <c r="Z139">
        <v>1</v>
      </c>
      <c r="AA139" s="73" t="s">
        <v>92</v>
      </c>
      <c r="AB139" s="73" t="s">
        <v>93</v>
      </c>
      <c r="AC139" s="73" t="s">
        <v>89</v>
      </c>
      <c r="AD139" s="72">
        <v>45988.918425925927</v>
      </c>
      <c r="AE139" t="s">
        <v>87</v>
      </c>
      <c r="AF139" t="s">
        <v>462</v>
      </c>
      <c r="AG139">
        <v>1</v>
      </c>
      <c r="AH139">
        <v>0</v>
      </c>
      <c r="AI139">
        <v>1</v>
      </c>
      <c r="AJ139">
        <v>1</v>
      </c>
      <c r="AK139" t="s">
        <v>104</v>
      </c>
      <c r="AL139">
        <v>3</v>
      </c>
      <c r="AM139">
        <v>2</v>
      </c>
      <c r="AO139" t="s">
        <v>97</v>
      </c>
      <c r="AP139" t="s">
        <v>479</v>
      </c>
      <c r="AQ139" t="s">
        <v>323</v>
      </c>
    </row>
    <row r="140" spans="2:43" x14ac:dyDescent="0.3">
      <c r="B140" t="s">
        <v>124</v>
      </c>
      <c r="C140" t="s">
        <v>125</v>
      </c>
      <c r="D140" t="s">
        <v>143</v>
      </c>
      <c r="E140" t="s">
        <v>90</v>
      </c>
      <c r="F140">
        <v>1</v>
      </c>
      <c r="I140">
        <v>3</v>
      </c>
      <c r="J140" t="s">
        <v>118</v>
      </c>
      <c r="K140" t="s">
        <v>86</v>
      </c>
      <c r="L140" t="s">
        <v>461</v>
      </c>
      <c r="M140" t="s">
        <v>79</v>
      </c>
      <c r="N140" t="s">
        <v>95</v>
      </c>
      <c r="O140" t="s">
        <v>153</v>
      </c>
      <c r="P140" t="s">
        <v>154</v>
      </c>
      <c r="Q140" t="s">
        <v>155</v>
      </c>
      <c r="R140">
        <v>6</v>
      </c>
      <c r="Y140" t="s">
        <v>91</v>
      </c>
      <c r="Z140">
        <v>1</v>
      </c>
      <c r="AA140" s="73" t="s">
        <v>92</v>
      </c>
      <c r="AB140" s="73" t="s">
        <v>93</v>
      </c>
      <c r="AC140" s="73" t="s">
        <v>89</v>
      </c>
      <c r="AD140" s="72">
        <v>45981.600335648145</v>
      </c>
      <c r="AE140" t="s">
        <v>87</v>
      </c>
      <c r="AF140" t="s">
        <v>462</v>
      </c>
      <c r="AG140">
        <v>1</v>
      </c>
      <c r="AL140">
        <v>3</v>
      </c>
      <c r="AM140">
        <v>2</v>
      </c>
      <c r="AO140" t="s">
        <v>97</v>
      </c>
      <c r="AP140" t="s">
        <v>463</v>
      </c>
      <c r="AQ140" t="s">
        <v>146</v>
      </c>
    </row>
    <row r="141" spans="2:43" x14ac:dyDescent="0.3">
      <c r="B141" t="s">
        <v>124</v>
      </c>
      <c r="C141" t="s">
        <v>125</v>
      </c>
      <c r="D141" t="s">
        <v>143</v>
      </c>
      <c r="E141" t="s">
        <v>90</v>
      </c>
      <c r="F141">
        <v>1</v>
      </c>
      <c r="I141">
        <v>3</v>
      </c>
      <c r="J141" t="s">
        <v>118</v>
      </c>
      <c r="K141" t="s">
        <v>86</v>
      </c>
      <c r="L141" t="s">
        <v>461</v>
      </c>
      <c r="M141" t="s">
        <v>79</v>
      </c>
      <c r="N141" t="s">
        <v>95</v>
      </c>
      <c r="O141" t="s">
        <v>153</v>
      </c>
      <c r="P141" t="s">
        <v>154</v>
      </c>
      <c r="Q141" t="s">
        <v>155</v>
      </c>
      <c r="R141">
        <v>6</v>
      </c>
      <c r="Y141" t="s">
        <v>91</v>
      </c>
      <c r="Z141">
        <v>1</v>
      </c>
      <c r="AA141" s="73" t="s">
        <v>92</v>
      </c>
      <c r="AB141" s="73" t="s">
        <v>93</v>
      </c>
      <c r="AC141" s="73" t="s">
        <v>89</v>
      </c>
      <c r="AD141" s="72">
        <v>45988.918425925927</v>
      </c>
      <c r="AE141" t="s">
        <v>87</v>
      </c>
      <c r="AF141" t="s">
        <v>462</v>
      </c>
      <c r="AG141">
        <v>1</v>
      </c>
      <c r="AH141">
        <v>1</v>
      </c>
      <c r="AI141">
        <v>0</v>
      </c>
      <c r="AJ141">
        <v>1</v>
      </c>
      <c r="AK141" t="s">
        <v>96</v>
      </c>
      <c r="AL141">
        <v>3</v>
      </c>
      <c r="AM141">
        <v>2</v>
      </c>
      <c r="AO141" t="s">
        <v>97</v>
      </c>
      <c r="AP141" t="s">
        <v>479</v>
      </c>
      <c r="AQ141" t="s">
        <v>323</v>
      </c>
    </row>
    <row r="142" spans="2:43" x14ac:dyDescent="0.3">
      <c r="B142" t="s">
        <v>137</v>
      </c>
      <c r="C142" t="s">
        <v>138</v>
      </c>
      <c r="D142" t="s">
        <v>143</v>
      </c>
      <c r="E142" t="s">
        <v>90</v>
      </c>
      <c r="F142">
        <v>1</v>
      </c>
      <c r="I142">
        <v>3</v>
      </c>
      <c r="J142" t="s">
        <v>118</v>
      </c>
      <c r="K142" t="s">
        <v>86</v>
      </c>
      <c r="L142" t="s">
        <v>461</v>
      </c>
      <c r="M142" t="s">
        <v>79</v>
      </c>
      <c r="N142" t="s">
        <v>95</v>
      </c>
      <c r="O142" t="s">
        <v>156</v>
      </c>
      <c r="P142" t="s">
        <v>157</v>
      </c>
      <c r="Q142" t="s">
        <v>155</v>
      </c>
      <c r="R142">
        <v>6</v>
      </c>
      <c r="Y142" t="s">
        <v>91</v>
      </c>
      <c r="Z142">
        <v>1</v>
      </c>
      <c r="AA142" s="73" t="s">
        <v>92</v>
      </c>
      <c r="AB142" s="73" t="s">
        <v>93</v>
      </c>
      <c r="AC142" s="73" t="s">
        <v>89</v>
      </c>
      <c r="AD142" s="72">
        <v>45981.600335648145</v>
      </c>
      <c r="AE142" t="s">
        <v>87</v>
      </c>
      <c r="AF142" t="s">
        <v>462</v>
      </c>
      <c r="AG142">
        <v>1</v>
      </c>
      <c r="AL142">
        <v>3</v>
      </c>
      <c r="AM142">
        <v>2</v>
      </c>
      <c r="AO142" t="s">
        <v>97</v>
      </c>
      <c r="AP142" t="s">
        <v>463</v>
      </c>
      <c r="AQ142" t="s">
        <v>146</v>
      </c>
    </row>
    <row r="143" spans="2:43" x14ac:dyDescent="0.3">
      <c r="B143" t="s">
        <v>137</v>
      </c>
      <c r="C143" t="s">
        <v>138</v>
      </c>
      <c r="D143" t="s">
        <v>143</v>
      </c>
      <c r="E143" t="s">
        <v>90</v>
      </c>
      <c r="F143">
        <v>1</v>
      </c>
      <c r="I143">
        <v>3</v>
      </c>
      <c r="J143" t="s">
        <v>118</v>
      </c>
      <c r="K143" t="s">
        <v>86</v>
      </c>
      <c r="L143" t="s">
        <v>461</v>
      </c>
      <c r="M143" t="s">
        <v>79</v>
      </c>
      <c r="N143" t="s">
        <v>95</v>
      </c>
      <c r="O143" t="s">
        <v>156</v>
      </c>
      <c r="P143" t="s">
        <v>157</v>
      </c>
      <c r="Q143" t="s">
        <v>155</v>
      </c>
      <c r="R143">
        <v>6</v>
      </c>
      <c r="Y143" t="s">
        <v>91</v>
      </c>
      <c r="Z143">
        <v>1</v>
      </c>
      <c r="AA143" s="73" t="s">
        <v>92</v>
      </c>
      <c r="AB143" s="73" t="s">
        <v>93</v>
      </c>
      <c r="AC143" s="73" t="s">
        <v>89</v>
      </c>
      <c r="AD143" s="72">
        <v>45988.918425925927</v>
      </c>
      <c r="AE143" t="s">
        <v>87</v>
      </c>
      <c r="AF143" t="s">
        <v>462</v>
      </c>
      <c r="AG143">
        <v>1</v>
      </c>
      <c r="AH143">
        <v>1</v>
      </c>
      <c r="AI143">
        <v>0</v>
      </c>
      <c r="AJ143">
        <v>1</v>
      </c>
      <c r="AK143" t="s">
        <v>96</v>
      </c>
      <c r="AL143">
        <v>3</v>
      </c>
      <c r="AM143">
        <v>2</v>
      </c>
      <c r="AO143" t="s">
        <v>97</v>
      </c>
      <c r="AP143" t="s">
        <v>479</v>
      </c>
      <c r="AQ143" t="s">
        <v>323</v>
      </c>
    </row>
    <row r="144" spans="2:43" x14ac:dyDescent="0.3">
      <c r="B144" t="s">
        <v>297</v>
      </c>
      <c r="C144" t="s">
        <v>464</v>
      </c>
      <c r="D144" t="s">
        <v>143</v>
      </c>
      <c r="E144" t="s">
        <v>331</v>
      </c>
      <c r="F144">
        <v>1</v>
      </c>
      <c r="I144">
        <v>3</v>
      </c>
      <c r="J144" t="s">
        <v>296</v>
      </c>
      <c r="K144" t="s">
        <v>86</v>
      </c>
      <c r="L144" t="s">
        <v>461</v>
      </c>
      <c r="M144" t="s">
        <v>106</v>
      </c>
      <c r="N144" t="s">
        <v>95</v>
      </c>
      <c r="O144" t="s">
        <v>404</v>
      </c>
      <c r="R144">
        <v>4</v>
      </c>
      <c r="S144" t="s">
        <v>405</v>
      </c>
      <c r="AA144" s="73" t="s">
        <v>335</v>
      </c>
      <c r="AB144" s="73" t="s">
        <v>335</v>
      </c>
      <c r="AC144" s="73" t="s">
        <v>335</v>
      </c>
      <c r="AD144" s="72">
        <v>45981.600335648145</v>
      </c>
      <c r="AE144" t="s">
        <v>87</v>
      </c>
      <c r="AF144" t="s">
        <v>462</v>
      </c>
      <c r="AG144">
        <v>1</v>
      </c>
      <c r="AL144">
        <v>2</v>
      </c>
      <c r="AM144">
        <v>2</v>
      </c>
      <c r="AO144" t="s">
        <v>334</v>
      </c>
      <c r="AP144" t="s">
        <v>463</v>
      </c>
      <c r="AQ144" t="s">
        <v>146</v>
      </c>
    </row>
    <row r="145" spans="2:43" x14ac:dyDescent="0.3">
      <c r="B145" t="s">
        <v>297</v>
      </c>
      <c r="C145" t="s">
        <v>464</v>
      </c>
      <c r="D145" t="s">
        <v>143</v>
      </c>
      <c r="E145" t="s">
        <v>331</v>
      </c>
      <c r="F145">
        <v>1</v>
      </c>
      <c r="I145">
        <v>3</v>
      </c>
      <c r="J145" t="s">
        <v>296</v>
      </c>
      <c r="K145" t="s">
        <v>86</v>
      </c>
      <c r="L145" t="s">
        <v>461</v>
      </c>
      <c r="M145" t="s">
        <v>106</v>
      </c>
      <c r="N145" t="s">
        <v>95</v>
      </c>
      <c r="O145" t="s">
        <v>404</v>
      </c>
      <c r="R145">
        <v>4</v>
      </c>
      <c r="S145" t="s">
        <v>405</v>
      </c>
      <c r="AA145" s="73" t="s">
        <v>335</v>
      </c>
      <c r="AB145" s="73" t="s">
        <v>335</v>
      </c>
      <c r="AC145" s="73" t="s">
        <v>335</v>
      </c>
      <c r="AD145" s="72">
        <v>45988.918425925927</v>
      </c>
      <c r="AE145" t="s">
        <v>87</v>
      </c>
      <c r="AF145" t="s">
        <v>462</v>
      </c>
      <c r="AG145">
        <v>1</v>
      </c>
      <c r="AH145">
        <v>377681</v>
      </c>
      <c r="AI145">
        <v>0</v>
      </c>
      <c r="AJ145">
        <v>377681</v>
      </c>
      <c r="AK145" t="s">
        <v>96</v>
      </c>
      <c r="AL145">
        <v>2</v>
      </c>
      <c r="AM145">
        <v>2</v>
      </c>
      <c r="AO145" t="s">
        <v>334</v>
      </c>
      <c r="AP145" t="s">
        <v>479</v>
      </c>
      <c r="AQ145" t="s">
        <v>323</v>
      </c>
    </row>
    <row r="146" spans="2:43" x14ac:dyDescent="0.3">
      <c r="B146" t="s">
        <v>119</v>
      </c>
      <c r="C146" t="s">
        <v>120</v>
      </c>
      <c r="D146" t="s">
        <v>143</v>
      </c>
      <c r="E146" t="s">
        <v>90</v>
      </c>
      <c r="F146">
        <v>1</v>
      </c>
      <c r="I146">
        <v>3</v>
      </c>
      <c r="J146" t="s">
        <v>118</v>
      </c>
      <c r="K146" t="s">
        <v>86</v>
      </c>
      <c r="L146" t="s">
        <v>461</v>
      </c>
      <c r="M146" t="s">
        <v>79</v>
      </c>
      <c r="N146" t="s">
        <v>95</v>
      </c>
      <c r="O146" t="s">
        <v>158</v>
      </c>
      <c r="P146" t="s">
        <v>159</v>
      </c>
      <c r="Q146" t="s">
        <v>155</v>
      </c>
      <c r="R146">
        <v>6</v>
      </c>
      <c r="Y146" t="s">
        <v>91</v>
      </c>
      <c r="Z146">
        <v>1</v>
      </c>
      <c r="AA146" s="73" t="s">
        <v>92</v>
      </c>
      <c r="AB146" s="73" t="s">
        <v>93</v>
      </c>
      <c r="AC146" s="73" t="s">
        <v>89</v>
      </c>
      <c r="AD146" s="72">
        <v>45981.600335648145</v>
      </c>
      <c r="AE146" t="s">
        <v>87</v>
      </c>
      <c r="AF146" t="s">
        <v>462</v>
      </c>
      <c r="AG146">
        <v>1</v>
      </c>
      <c r="AL146">
        <v>3</v>
      </c>
      <c r="AM146">
        <v>2</v>
      </c>
      <c r="AO146" t="s">
        <v>97</v>
      </c>
      <c r="AP146" t="s">
        <v>463</v>
      </c>
      <c r="AQ146" t="s">
        <v>146</v>
      </c>
    </row>
    <row r="147" spans="2:43" x14ac:dyDescent="0.3">
      <c r="B147" t="s">
        <v>119</v>
      </c>
      <c r="C147" t="s">
        <v>120</v>
      </c>
      <c r="D147" t="s">
        <v>143</v>
      </c>
      <c r="E147" t="s">
        <v>90</v>
      </c>
      <c r="F147">
        <v>1</v>
      </c>
      <c r="I147">
        <v>3</v>
      </c>
      <c r="J147" t="s">
        <v>118</v>
      </c>
      <c r="K147" t="s">
        <v>86</v>
      </c>
      <c r="L147" t="s">
        <v>461</v>
      </c>
      <c r="M147" t="s">
        <v>79</v>
      </c>
      <c r="N147" t="s">
        <v>95</v>
      </c>
      <c r="O147" t="s">
        <v>158</v>
      </c>
      <c r="P147" t="s">
        <v>159</v>
      </c>
      <c r="Q147" t="s">
        <v>155</v>
      </c>
      <c r="R147">
        <v>6</v>
      </c>
      <c r="Y147" t="s">
        <v>91</v>
      </c>
      <c r="Z147">
        <v>1</v>
      </c>
      <c r="AA147" s="73" t="s">
        <v>92</v>
      </c>
      <c r="AB147" s="73" t="s">
        <v>93</v>
      </c>
      <c r="AC147" s="73" t="s">
        <v>89</v>
      </c>
      <c r="AD147" s="72">
        <v>45988.918425925927</v>
      </c>
      <c r="AE147" t="s">
        <v>87</v>
      </c>
      <c r="AF147" t="s">
        <v>462</v>
      </c>
      <c r="AG147">
        <v>1</v>
      </c>
      <c r="AH147">
        <v>1</v>
      </c>
      <c r="AI147">
        <v>0</v>
      </c>
      <c r="AJ147">
        <v>1</v>
      </c>
      <c r="AK147" t="s">
        <v>96</v>
      </c>
      <c r="AL147">
        <v>3</v>
      </c>
      <c r="AM147">
        <v>2</v>
      </c>
      <c r="AO147" t="s">
        <v>97</v>
      </c>
      <c r="AP147" t="s">
        <v>479</v>
      </c>
      <c r="AQ147" t="s">
        <v>323</v>
      </c>
    </row>
    <row r="148" spans="2:43" x14ac:dyDescent="0.3">
      <c r="B148" t="s">
        <v>128</v>
      </c>
      <c r="C148" t="s">
        <v>129</v>
      </c>
      <c r="D148" t="s">
        <v>143</v>
      </c>
      <c r="E148" t="s">
        <v>90</v>
      </c>
      <c r="F148">
        <v>1</v>
      </c>
      <c r="I148">
        <v>3</v>
      </c>
      <c r="J148" t="s">
        <v>118</v>
      </c>
      <c r="K148" t="s">
        <v>86</v>
      </c>
      <c r="L148" t="s">
        <v>461</v>
      </c>
      <c r="M148" t="s">
        <v>79</v>
      </c>
      <c r="N148" t="s">
        <v>95</v>
      </c>
      <c r="O148" t="s">
        <v>160</v>
      </c>
      <c r="P148" t="s">
        <v>161</v>
      </c>
      <c r="Q148" t="s">
        <v>155</v>
      </c>
      <c r="R148">
        <v>6</v>
      </c>
      <c r="Y148" t="s">
        <v>91</v>
      </c>
      <c r="Z148">
        <v>1</v>
      </c>
      <c r="AA148" s="73" t="s">
        <v>92</v>
      </c>
      <c r="AB148" s="73" t="s">
        <v>93</v>
      </c>
      <c r="AC148" s="73" t="s">
        <v>89</v>
      </c>
      <c r="AD148" s="72">
        <v>45981.600335648145</v>
      </c>
      <c r="AE148" t="s">
        <v>87</v>
      </c>
      <c r="AF148" t="s">
        <v>462</v>
      </c>
      <c r="AG148">
        <v>1</v>
      </c>
      <c r="AL148">
        <v>3</v>
      </c>
      <c r="AM148">
        <v>2</v>
      </c>
      <c r="AO148" t="s">
        <v>97</v>
      </c>
      <c r="AP148" t="s">
        <v>463</v>
      </c>
      <c r="AQ148" t="s">
        <v>146</v>
      </c>
    </row>
    <row r="149" spans="2:43" x14ac:dyDescent="0.3">
      <c r="B149" t="s">
        <v>128</v>
      </c>
      <c r="C149" t="s">
        <v>129</v>
      </c>
      <c r="D149" t="s">
        <v>143</v>
      </c>
      <c r="E149" t="s">
        <v>90</v>
      </c>
      <c r="F149">
        <v>1</v>
      </c>
      <c r="I149">
        <v>3</v>
      </c>
      <c r="J149" t="s">
        <v>118</v>
      </c>
      <c r="K149" t="s">
        <v>86</v>
      </c>
      <c r="L149" t="s">
        <v>461</v>
      </c>
      <c r="M149" t="s">
        <v>79</v>
      </c>
      <c r="N149" t="s">
        <v>95</v>
      </c>
      <c r="O149" t="s">
        <v>160</v>
      </c>
      <c r="P149" t="s">
        <v>161</v>
      </c>
      <c r="Q149" t="s">
        <v>155</v>
      </c>
      <c r="R149">
        <v>6</v>
      </c>
      <c r="Y149" t="s">
        <v>91</v>
      </c>
      <c r="Z149">
        <v>1</v>
      </c>
      <c r="AA149" s="73" t="s">
        <v>92</v>
      </c>
      <c r="AB149" s="73" t="s">
        <v>93</v>
      </c>
      <c r="AC149" s="73" t="s">
        <v>89</v>
      </c>
      <c r="AD149" s="72">
        <v>45980.41202546296</v>
      </c>
      <c r="AE149" t="s">
        <v>87</v>
      </c>
      <c r="AF149" t="s">
        <v>462</v>
      </c>
      <c r="AG149">
        <v>1</v>
      </c>
      <c r="AL149">
        <v>3</v>
      </c>
      <c r="AM149">
        <v>2</v>
      </c>
      <c r="AO149" t="s">
        <v>97</v>
      </c>
      <c r="AP149" t="s">
        <v>478</v>
      </c>
      <c r="AQ149" t="s">
        <v>146</v>
      </c>
    </row>
    <row r="150" spans="2:43" x14ac:dyDescent="0.3">
      <c r="B150" t="s">
        <v>128</v>
      </c>
      <c r="C150" t="s">
        <v>129</v>
      </c>
      <c r="D150" t="s">
        <v>143</v>
      </c>
      <c r="E150" t="s">
        <v>90</v>
      </c>
      <c r="F150">
        <v>1</v>
      </c>
      <c r="I150">
        <v>3</v>
      </c>
      <c r="J150" t="s">
        <v>118</v>
      </c>
      <c r="K150" t="s">
        <v>86</v>
      </c>
      <c r="L150" t="s">
        <v>461</v>
      </c>
      <c r="M150" t="s">
        <v>79</v>
      </c>
      <c r="N150" t="s">
        <v>95</v>
      </c>
      <c r="O150" t="s">
        <v>160</v>
      </c>
      <c r="P150" t="s">
        <v>161</v>
      </c>
      <c r="Q150" t="s">
        <v>155</v>
      </c>
      <c r="R150">
        <v>6</v>
      </c>
      <c r="Y150" t="s">
        <v>91</v>
      </c>
      <c r="Z150">
        <v>1</v>
      </c>
      <c r="AA150" s="73" t="s">
        <v>92</v>
      </c>
      <c r="AB150" s="73" t="s">
        <v>93</v>
      </c>
      <c r="AC150" s="73" t="s">
        <v>89</v>
      </c>
      <c r="AD150" s="72">
        <v>45988.918425925927</v>
      </c>
      <c r="AE150" t="s">
        <v>87</v>
      </c>
      <c r="AF150" t="s">
        <v>462</v>
      </c>
      <c r="AG150">
        <v>1</v>
      </c>
      <c r="AH150">
        <v>1</v>
      </c>
      <c r="AI150">
        <v>0</v>
      </c>
      <c r="AJ150">
        <v>1</v>
      </c>
      <c r="AK150" t="s">
        <v>96</v>
      </c>
      <c r="AL150">
        <v>3</v>
      </c>
      <c r="AM150">
        <v>2</v>
      </c>
      <c r="AO150" t="s">
        <v>97</v>
      </c>
      <c r="AP150" t="s">
        <v>479</v>
      </c>
      <c r="AQ150" t="s">
        <v>323</v>
      </c>
    </row>
    <row r="151" spans="2:43" x14ac:dyDescent="0.3">
      <c r="B151" t="s">
        <v>133</v>
      </c>
      <c r="C151" t="s">
        <v>134</v>
      </c>
      <c r="D151" t="s">
        <v>143</v>
      </c>
      <c r="E151" t="s">
        <v>90</v>
      </c>
      <c r="F151">
        <v>1</v>
      </c>
      <c r="I151">
        <v>3</v>
      </c>
      <c r="J151" t="s">
        <v>118</v>
      </c>
      <c r="K151" t="s">
        <v>86</v>
      </c>
      <c r="L151" t="s">
        <v>461</v>
      </c>
      <c r="M151" t="s">
        <v>79</v>
      </c>
      <c r="N151" t="s">
        <v>95</v>
      </c>
      <c r="O151" t="s">
        <v>144</v>
      </c>
      <c r="P151" t="s">
        <v>325</v>
      </c>
      <c r="Q151" t="s">
        <v>155</v>
      </c>
      <c r="R151">
        <v>6</v>
      </c>
      <c r="Y151" t="s">
        <v>91</v>
      </c>
      <c r="Z151">
        <v>1</v>
      </c>
      <c r="AA151" s="73" t="s">
        <v>92</v>
      </c>
      <c r="AB151" s="73" t="s">
        <v>93</v>
      </c>
      <c r="AC151" s="73" t="s">
        <v>89</v>
      </c>
      <c r="AD151" s="72">
        <v>45981.600335648145</v>
      </c>
      <c r="AE151" t="s">
        <v>87</v>
      </c>
      <c r="AF151" t="s">
        <v>462</v>
      </c>
      <c r="AG151">
        <v>1</v>
      </c>
      <c r="AL151">
        <v>3</v>
      </c>
      <c r="AM151">
        <v>2</v>
      </c>
      <c r="AO151" t="s">
        <v>97</v>
      </c>
      <c r="AP151" t="s">
        <v>463</v>
      </c>
      <c r="AQ151" t="s">
        <v>146</v>
      </c>
    </row>
    <row r="152" spans="2:43" x14ac:dyDescent="0.3">
      <c r="B152" t="s">
        <v>133</v>
      </c>
      <c r="C152" t="s">
        <v>134</v>
      </c>
      <c r="D152" t="s">
        <v>143</v>
      </c>
      <c r="E152" t="s">
        <v>90</v>
      </c>
      <c r="F152">
        <v>1</v>
      </c>
      <c r="I152">
        <v>3</v>
      </c>
      <c r="J152" t="s">
        <v>118</v>
      </c>
      <c r="K152" t="s">
        <v>86</v>
      </c>
      <c r="L152" t="s">
        <v>461</v>
      </c>
      <c r="M152" t="s">
        <v>79</v>
      </c>
      <c r="N152" t="s">
        <v>95</v>
      </c>
      <c r="O152" t="s">
        <v>144</v>
      </c>
      <c r="P152" t="s">
        <v>325</v>
      </c>
      <c r="Q152" t="s">
        <v>155</v>
      </c>
      <c r="R152">
        <v>6</v>
      </c>
      <c r="Y152" t="s">
        <v>91</v>
      </c>
      <c r="Z152">
        <v>1</v>
      </c>
      <c r="AA152" s="73" t="s">
        <v>92</v>
      </c>
      <c r="AB152" s="73" t="s">
        <v>93</v>
      </c>
      <c r="AC152" s="73" t="s">
        <v>89</v>
      </c>
      <c r="AD152" s="72">
        <v>45980.41202546296</v>
      </c>
      <c r="AE152" t="s">
        <v>87</v>
      </c>
      <c r="AF152" t="s">
        <v>462</v>
      </c>
      <c r="AG152">
        <v>1</v>
      </c>
      <c r="AL152">
        <v>3</v>
      </c>
      <c r="AM152">
        <v>2</v>
      </c>
      <c r="AO152" t="s">
        <v>97</v>
      </c>
      <c r="AP152" t="s">
        <v>478</v>
      </c>
      <c r="AQ152" t="s">
        <v>146</v>
      </c>
    </row>
    <row r="153" spans="2:43" x14ac:dyDescent="0.3">
      <c r="B153" t="s">
        <v>133</v>
      </c>
      <c r="C153" t="s">
        <v>134</v>
      </c>
      <c r="D153" t="s">
        <v>143</v>
      </c>
      <c r="E153" t="s">
        <v>90</v>
      </c>
      <c r="F153">
        <v>1</v>
      </c>
      <c r="I153">
        <v>3</v>
      </c>
      <c r="J153" t="s">
        <v>118</v>
      </c>
      <c r="K153" t="s">
        <v>86</v>
      </c>
      <c r="L153" t="s">
        <v>461</v>
      </c>
      <c r="M153" t="s">
        <v>79</v>
      </c>
      <c r="N153" t="s">
        <v>95</v>
      </c>
      <c r="O153" t="s">
        <v>144</v>
      </c>
      <c r="P153" t="s">
        <v>325</v>
      </c>
      <c r="Q153" t="s">
        <v>155</v>
      </c>
      <c r="R153">
        <v>6</v>
      </c>
      <c r="Y153" t="s">
        <v>91</v>
      </c>
      <c r="Z153">
        <v>1</v>
      </c>
      <c r="AA153" s="73" t="s">
        <v>92</v>
      </c>
      <c r="AB153" s="73" t="s">
        <v>93</v>
      </c>
      <c r="AC153" s="73" t="s">
        <v>89</v>
      </c>
      <c r="AD153" s="72">
        <v>45988.918425925927</v>
      </c>
      <c r="AE153" t="s">
        <v>87</v>
      </c>
      <c r="AF153" t="s">
        <v>462</v>
      </c>
      <c r="AG153">
        <v>1</v>
      </c>
      <c r="AH153">
        <v>1</v>
      </c>
      <c r="AI153">
        <v>0</v>
      </c>
      <c r="AJ153">
        <v>1</v>
      </c>
      <c r="AK153" t="s">
        <v>96</v>
      </c>
      <c r="AL153">
        <v>3</v>
      </c>
      <c r="AM153">
        <v>2</v>
      </c>
      <c r="AO153" t="s">
        <v>97</v>
      </c>
      <c r="AP153" t="s">
        <v>479</v>
      </c>
      <c r="AQ153" t="s">
        <v>323</v>
      </c>
    </row>
    <row r="154" spans="2:43" x14ac:dyDescent="0.3">
      <c r="B154" t="s">
        <v>317</v>
      </c>
      <c r="C154" t="s">
        <v>318</v>
      </c>
      <c r="D154" t="s">
        <v>143</v>
      </c>
      <c r="E154" t="s">
        <v>324</v>
      </c>
      <c r="F154">
        <v>1</v>
      </c>
      <c r="I154">
        <v>3</v>
      </c>
      <c r="J154" t="s">
        <v>215</v>
      </c>
      <c r="K154" t="s">
        <v>86</v>
      </c>
      <c r="L154" t="s">
        <v>461</v>
      </c>
      <c r="M154" t="s">
        <v>79</v>
      </c>
      <c r="N154" t="s">
        <v>95</v>
      </c>
      <c r="O154" t="s">
        <v>144</v>
      </c>
      <c r="P154" t="s">
        <v>325</v>
      </c>
      <c r="Q154" t="s">
        <v>406</v>
      </c>
      <c r="R154">
        <v>1</v>
      </c>
      <c r="S154" t="s">
        <v>407</v>
      </c>
      <c r="AA154" s="73" t="s">
        <v>99</v>
      </c>
      <c r="AB154" s="73" t="s">
        <v>94</v>
      </c>
      <c r="AC154" s="73" t="s">
        <v>88</v>
      </c>
      <c r="AD154" s="72">
        <v>45981.600335648145</v>
      </c>
      <c r="AE154" t="s">
        <v>87</v>
      </c>
      <c r="AF154" t="s">
        <v>462</v>
      </c>
      <c r="AG154">
        <v>1</v>
      </c>
      <c r="AL154">
        <v>2</v>
      </c>
      <c r="AM154">
        <v>2</v>
      </c>
      <c r="AO154" t="s">
        <v>98</v>
      </c>
      <c r="AP154" t="s">
        <v>463</v>
      </c>
      <c r="AQ154" t="s">
        <v>146</v>
      </c>
    </row>
    <row r="155" spans="2:43" x14ac:dyDescent="0.3">
      <c r="B155" t="s">
        <v>317</v>
      </c>
      <c r="C155" t="s">
        <v>318</v>
      </c>
      <c r="D155" t="s">
        <v>143</v>
      </c>
      <c r="E155" t="s">
        <v>324</v>
      </c>
      <c r="F155">
        <v>1</v>
      </c>
      <c r="I155">
        <v>3</v>
      </c>
      <c r="J155" t="s">
        <v>215</v>
      </c>
      <c r="K155" t="s">
        <v>86</v>
      </c>
      <c r="L155" t="s">
        <v>461</v>
      </c>
      <c r="M155" t="s">
        <v>79</v>
      </c>
      <c r="N155" t="s">
        <v>95</v>
      </c>
      <c r="O155" t="s">
        <v>144</v>
      </c>
      <c r="P155" t="s">
        <v>325</v>
      </c>
      <c r="Q155" t="s">
        <v>406</v>
      </c>
      <c r="R155">
        <v>1</v>
      </c>
      <c r="S155" t="s">
        <v>407</v>
      </c>
      <c r="AA155" s="73" t="s">
        <v>99</v>
      </c>
      <c r="AB155" s="73" t="s">
        <v>94</v>
      </c>
      <c r="AC155" s="73" t="s">
        <v>88</v>
      </c>
      <c r="AD155" s="72">
        <v>45988.918425925927</v>
      </c>
      <c r="AE155" t="s">
        <v>87</v>
      </c>
      <c r="AF155" t="s">
        <v>462</v>
      </c>
      <c r="AG155">
        <v>1</v>
      </c>
      <c r="AH155">
        <v>273192</v>
      </c>
      <c r="AI155">
        <v>0</v>
      </c>
      <c r="AJ155">
        <v>273192</v>
      </c>
      <c r="AK155" t="s">
        <v>96</v>
      </c>
      <c r="AL155">
        <v>2</v>
      </c>
      <c r="AM155">
        <v>2</v>
      </c>
      <c r="AO155" t="s">
        <v>98</v>
      </c>
      <c r="AP155" t="s">
        <v>479</v>
      </c>
      <c r="AQ155" t="s">
        <v>323</v>
      </c>
    </row>
    <row r="156" spans="2:43" x14ac:dyDescent="0.3">
      <c r="B156" t="s">
        <v>216</v>
      </c>
      <c r="C156" t="s">
        <v>217</v>
      </c>
      <c r="D156" t="s">
        <v>143</v>
      </c>
      <c r="E156" t="s">
        <v>324</v>
      </c>
      <c r="F156">
        <v>1</v>
      </c>
      <c r="I156">
        <v>3</v>
      </c>
      <c r="J156" t="s">
        <v>215</v>
      </c>
      <c r="K156" t="s">
        <v>86</v>
      </c>
      <c r="L156" t="s">
        <v>461</v>
      </c>
      <c r="M156" t="s">
        <v>79</v>
      </c>
      <c r="N156" t="s">
        <v>95</v>
      </c>
      <c r="O156" t="s">
        <v>408</v>
      </c>
      <c r="R156">
        <v>1</v>
      </c>
      <c r="S156" t="s">
        <v>409</v>
      </c>
      <c r="AA156" s="73" t="s">
        <v>99</v>
      </c>
      <c r="AB156" s="73" t="s">
        <v>94</v>
      </c>
      <c r="AC156" s="73" t="s">
        <v>88</v>
      </c>
      <c r="AD156" s="72">
        <v>45981.600335648145</v>
      </c>
      <c r="AE156" t="s">
        <v>87</v>
      </c>
      <c r="AF156" t="s">
        <v>462</v>
      </c>
      <c r="AG156">
        <v>1</v>
      </c>
      <c r="AL156">
        <v>2</v>
      </c>
      <c r="AM156">
        <v>2</v>
      </c>
      <c r="AO156" t="s">
        <v>98</v>
      </c>
      <c r="AP156" t="s">
        <v>463</v>
      </c>
      <c r="AQ156" t="s">
        <v>146</v>
      </c>
    </row>
    <row r="157" spans="2:43" x14ac:dyDescent="0.3">
      <c r="B157" t="s">
        <v>216</v>
      </c>
      <c r="C157" t="s">
        <v>217</v>
      </c>
      <c r="D157" t="s">
        <v>143</v>
      </c>
      <c r="E157" t="s">
        <v>324</v>
      </c>
      <c r="F157">
        <v>1</v>
      </c>
      <c r="I157">
        <v>3</v>
      </c>
      <c r="J157" t="s">
        <v>215</v>
      </c>
      <c r="K157" t="s">
        <v>86</v>
      </c>
      <c r="L157" t="s">
        <v>461</v>
      </c>
      <c r="M157" t="s">
        <v>79</v>
      </c>
      <c r="N157" t="s">
        <v>95</v>
      </c>
      <c r="O157" t="s">
        <v>408</v>
      </c>
      <c r="R157">
        <v>1</v>
      </c>
      <c r="S157" t="s">
        <v>409</v>
      </c>
      <c r="AA157" s="73" t="s">
        <v>99</v>
      </c>
      <c r="AB157" s="73" t="s">
        <v>94</v>
      </c>
      <c r="AC157" s="73" t="s">
        <v>88</v>
      </c>
      <c r="AD157" s="72">
        <v>45988.918425925927</v>
      </c>
      <c r="AE157" t="s">
        <v>87</v>
      </c>
      <c r="AF157" t="s">
        <v>462</v>
      </c>
      <c r="AG157">
        <v>1</v>
      </c>
      <c r="AH157">
        <v>126387</v>
      </c>
      <c r="AI157">
        <v>0</v>
      </c>
      <c r="AJ157">
        <v>126387</v>
      </c>
      <c r="AK157" t="s">
        <v>96</v>
      </c>
      <c r="AL157">
        <v>2</v>
      </c>
      <c r="AM157">
        <v>2</v>
      </c>
      <c r="AO157" t="s">
        <v>98</v>
      </c>
      <c r="AP157" t="s">
        <v>479</v>
      </c>
      <c r="AQ157" t="s">
        <v>323</v>
      </c>
    </row>
  </sheetData>
  <pageMargins left="0.7" right="0.7" top="0.75" bottom="0.75" header="0.3" footer="0.3"/>
  <pageSetup paperSize="9" orientation="portrait" verticalDpi="599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D2849-02BA-4F94-A344-1D6B52C74556}">
  <sheetPr codeName="Sheet7"/>
  <dimension ref="B1:CE17"/>
  <sheetViews>
    <sheetView showGridLines="0" zoomScale="85" zoomScaleNormal="85" workbookViewId="0">
      <pane ySplit="4" topLeftCell="A5" activePane="bottomLeft" state="frozen"/>
      <selection activeCell="J36" sqref="J36"/>
      <selection pane="bottomLeft"/>
    </sheetView>
  </sheetViews>
  <sheetFormatPr defaultColWidth="9.109375" defaultRowHeight="13.8" x14ac:dyDescent="0.3"/>
  <cols>
    <col min="1" max="1" width="2.5546875" style="34" customWidth="1"/>
    <col min="2" max="10" width="25.5546875" style="83" customWidth="1"/>
    <col min="11" max="83" width="25.5546875" style="69" customWidth="1"/>
    <col min="84" max="456" width="9.109375" style="34" customWidth="1"/>
    <col min="457" max="16384" width="9.109375" style="34"/>
  </cols>
  <sheetData>
    <row r="1" spans="2:83" customFormat="1" ht="14.4" x14ac:dyDescent="0.3">
      <c r="B1" s="75"/>
      <c r="C1" s="75"/>
      <c r="D1" s="75"/>
      <c r="E1" s="75"/>
      <c r="F1" s="75"/>
      <c r="G1" s="75"/>
      <c r="H1" s="75"/>
      <c r="I1" s="75"/>
      <c r="J1" s="75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</row>
    <row r="2" spans="2:83" customFormat="1" ht="14.4" x14ac:dyDescent="0.3">
      <c r="B2" s="75"/>
      <c r="C2" s="75"/>
      <c r="D2" s="75"/>
      <c r="E2" s="75"/>
      <c r="F2" s="75"/>
      <c r="G2" s="75"/>
      <c r="H2" s="75"/>
      <c r="I2" s="75"/>
      <c r="J2" s="75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</row>
    <row r="3" spans="2:83" s="1" customFormat="1" x14ac:dyDescent="0.25">
      <c r="B3" s="76" t="s">
        <v>114</v>
      </c>
      <c r="C3" s="77"/>
      <c r="D3" s="77"/>
      <c r="E3" s="77"/>
      <c r="F3" s="77"/>
      <c r="G3" s="77"/>
      <c r="H3" s="77"/>
      <c r="I3" s="77"/>
      <c r="J3" s="77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</row>
    <row r="4" spans="2:83" s="1" customFormat="1" ht="5.25" customHeight="1" thickBot="1" x14ac:dyDescent="0.25">
      <c r="B4" s="78"/>
      <c r="C4" s="78"/>
      <c r="D4" s="78"/>
      <c r="E4" s="78"/>
      <c r="F4" s="78"/>
      <c r="G4" s="78"/>
      <c r="H4" s="78"/>
      <c r="I4" s="78"/>
      <c r="J4" s="78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</row>
    <row r="5" spans="2:83" s="1" customFormat="1" ht="15" customHeight="1" thickTop="1" x14ac:dyDescent="0.2">
      <c r="B5" s="79"/>
      <c r="C5" s="79"/>
      <c r="D5" s="79"/>
      <c r="E5" s="79"/>
      <c r="F5" s="79"/>
      <c r="G5" s="79"/>
      <c r="H5" s="79"/>
      <c r="I5" s="79"/>
      <c r="J5" s="79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</row>
    <row r="6" spans="2:83" customFormat="1" ht="15" customHeight="1" thickBot="1" x14ac:dyDescent="0.35">
      <c r="B6" s="80" t="s">
        <v>58</v>
      </c>
      <c r="C6" s="81"/>
      <c r="D6" s="81"/>
      <c r="E6" s="81"/>
      <c r="F6" s="81"/>
      <c r="G6" s="81"/>
      <c r="H6" s="81"/>
      <c r="I6" s="81"/>
      <c r="J6" s="81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</row>
    <row r="7" spans="2:83" customFormat="1" ht="14.4" x14ac:dyDescent="0.3">
      <c r="B7" s="82" t="s">
        <v>59</v>
      </c>
      <c r="C7" s="75"/>
      <c r="D7" s="75"/>
      <c r="E7" s="75"/>
      <c r="F7" s="75"/>
      <c r="G7" s="75"/>
      <c r="H7" s="75"/>
      <c r="I7" s="75"/>
      <c r="J7" s="75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</row>
    <row r="8" spans="2:83" customFormat="1" ht="5.25" customHeight="1" x14ac:dyDescent="0.3">
      <c r="B8" s="83"/>
      <c r="C8" s="75"/>
      <c r="D8" s="75"/>
      <c r="E8" s="75"/>
      <c r="F8" s="75"/>
      <c r="G8" s="75"/>
      <c r="H8" s="75"/>
      <c r="I8" s="75"/>
      <c r="J8" s="75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</row>
    <row r="9" spans="2:83" s="9" customFormat="1" ht="14.4" x14ac:dyDescent="0.3">
      <c r="B9" s="84" t="s">
        <v>0</v>
      </c>
      <c r="C9" s="84" t="s">
        <v>55</v>
      </c>
      <c r="D9" s="84" t="s">
        <v>437</v>
      </c>
      <c r="E9" s="84" t="s">
        <v>438</v>
      </c>
      <c r="F9" s="84" t="s">
        <v>440</v>
      </c>
      <c r="G9" s="84" t="s">
        <v>441</v>
      </c>
      <c r="H9" s="84" t="s">
        <v>442</v>
      </c>
      <c r="I9" s="84" t="s">
        <v>443</v>
      </c>
      <c r="J9" s="84" t="s">
        <v>437</v>
      </c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71"/>
      <c r="BV9" s="71"/>
      <c r="BW9" s="71"/>
      <c r="BX9" s="71"/>
      <c r="BY9" s="71"/>
      <c r="BZ9" s="71"/>
      <c r="CA9" s="71"/>
      <c r="CB9" s="71"/>
      <c r="CC9" s="71"/>
      <c r="CD9" s="71"/>
      <c r="CE9" s="71"/>
    </row>
    <row r="10" spans="2:83" x14ac:dyDescent="0.3">
      <c r="B10" s="83" t="s">
        <v>299</v>
      </c>
      <c r="C10" s="83">
        <v>1</v>
      </c>
      <c r="D10" s="83" t="s">
        <v>113</v>
      </c>
      <c r="E10" s="83" t="s">
        <v>439</v>
      </c>
      <c r="F10" s="83" t="s">
        <v>111</v>
      </c>
      <c r="G10" s="83" t="s">
        <v>112</v>
      </c>
      <c r="H10" s="83" t="s">
        <v>481</v>
      </c>
      <c r="I10" s="83">
        <v>0</v>
      </c>
      <c r="J10" s="83" t="s">
        <v>113</v>
      </c>
    </row>
    <row r="11" spans="2:83" x14ac:dyDescent="0.3">
      <c r="B11" s="83" t="s">
        <v>299</v>
      </c>
      <c r="C11" s="83">
        <v>2</v>
      </c>
      <c r="D11" s="83" t="s">
        <v>113</v>
      </c>
      <c r="E11" s="83" t="s">
        <v>439</v>
      </c>
      <c r="F11" s="83" t="s">
        <v>111</v>
      </c>
      <c r="G11" s="83" t="s">
        <v>112</v>
      </c>
      <c r="H11" s="83" t="s">
        <v>444</v>
      </c>
      <c r="I11" s="83">
        <v>0</v>
      </c>
      <c r="J11" s="83" t="s">
        <v>113</v>
      </c>
    </row>
    <row r="12" spans="2:83" x14ac:dyDescent="0.3">
      <c r="B12" s="83" t="s">
        <v>299</v>
      </c>
      <c r="C12" s="83">
        <v>3</v>
      </c>
      <c r="D12" s="83" t="s">
        <v>113</v>
      </c>
      <c r="E12" s="83" t="s">
        <v>439</v>
      </c>
      <c r="F12" s="83" t="s">
        <v>111</v>
      </c>
      <c r="G12" s="83" t="s">
        <v>112</v>
      </c>
      <c r="H12" s="83" t="s">
        <v>482</v>
      </c>
      <c r="I12" s="83">
        <v>0</v>
      </c>
      <c r="J12" s="83" t="s">
        <v>113</v>
      </c>
    </row>
    <row r="13" spans="2:83" x14ac:dyDescent="0.3">
      <c r="B13" s="83" t="s">
        <v>299</v>
      </c>
      <c r="C13" s="83">
        <v>4</v>
      </c>
      <c r="D13" s="83" t="s">
        <v>113</v>
      </c>
      <c r="E13" s="83" t="s">
        <v>445</v>
      </c>
      <c r="F13" s="83" t="s">
        <v>111</v>
      </c>
      <c r="G13" s="83" t="s">
        <v>446</v>
      </c>
      <c r="H13" s="83" t="s">
        <v>447</v>
      </c>
      <c r="I13" s="83">
        <v>0</v>
      </c>
      <c r="J13" s="83" t="s">
        <v>113</v>
      </c>
    </row>
    <row r="14" spans="2:83" x14ac:dyDescent="0.3">
      <c r="B14" s="83" t="s">
        <v>299</v>
      </c>
      <c r="C14" s="83">
        <v>1</v>
      </c>
      <c r="D14" s="83" t="s">
        <v>113</v>
      </c>
      <c r="E14" s="83" t="s">
        <v>445</v>
      </c>
      <c r="F14" s="83" t="s">
        <v>111</v>
      </c>
      <c r="G14" s="83" t="s">
        <v>446</v>
      </c>
      <c r="H14" s="83" t="s">
        <v>447</v>
      </c>
      <c r="I14" s="83">
        <v>0</v>
      </c>
      <c r="J14" s="83" t="s">
        <v>113</v>
      </c>
    </row>
    <row r="15" spans="2:83" x14ac:dyDescent="0.3">
      <c r="B15" s="83" t="s">
        <v>299</v>
      </c>
      <c r="C15" s="83">
        <v>2</v>
      </c>
      <c r="D15" s="83" t="s">
        <v>113</v>
      </c>
      <c r="E15" s="83" t="s">
        <v>439</v>
      </c>
      <c r="F15" s="83" t="s">
        <v>111</v>
      </c>
      <c r="G15" s="83" t="s">
        <v>112</v>
      </c>
      <c r="H15" s="83" t="s">
        <v>444</v>
      </c>
      <c r="I15" s="83">
        <v>0</v>
      </c>
      <c r="J15" s="83" t="s">
        <v>113</v>
      </c>
    </row>
    <row r="16" spans="2:83" x14ac:dyDescent="0.3">
      <c r="B16" s="83" t="s">
        <v>299</v>
      </c>
      <c r="C16" s="83">
        <v>3</v>
      </c>
      <c r="D16" s="83" t="s">
        <v>113</v>
      </c>
      <c r="E16" s="83" t="s">
        <v>439</v>
      </c>
      <c r="F16" s="83" t="s">
        <v>111</v>
      </c>
      <c r="G16" s="83" t="s">
        <v>112</v>
      </c>
      <c r="H16" s="83" t="s">
        <v>481</v>
      </c>
      <c r="I16" s="83">
        <v>0</v>
      </c>
      <c r="J16" s="83" t="s">
        <v>113</v>
      </c>
    </row>
    <row r="17" spans="2:10" x14ac:dyDescent="0.3">
      <c r="B17" s="83" t="s">
        <v>299</v>
      </c>
      <c r="C17" s="83">
        <v>4</v>
      </c>
      <c r="D17" s="83" t="s">
        <v>113</v>
      </c>
      <c r="E17" s="83" t="s">
        <v>439</v>
      </c>
      <c r="F17" s="83" t="s">
        <v>111</v>
      </c>
      <c r="G17" s="83" t="s">
        <v>112</v>
      </c>
      <c r="H17" s="83" t="s">
        <v>482</v>
      </c>
      <c r="I17" s="83">
        <v>0</v>
      </c>
      <c r="J17" s="83" t="s">
        <v>113</v>
      </c>
    </row>
  </sheetData>
  <hyperlinks>
    <hyperlink ref="B7" location="Resumo!A1" display="Resumo" xr:uid="{28588DA3-5E38-4A33-8156-6B20D09EB611}"/>
  </hyperlinks>
  <pageMargins left="0.7" right="0.7" top="0.75" bottom="0.75" header="0.3" footer="0.3"/>
  <pageSetup paperSize="9" orientation="portrait" verticalDpi="599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51051659CE89468EBDA2519EAB1C2D" ma:contentTypeVersion="3" ma:contentTypeDescription="Criar um novo documento." ma:contentTypeScope="" ma:versionID="738d30ba8cfdfff76e4918fb31cdd826">
  <xsd:schema xmlns:xsd="http://www.w3.org/2001/XMLSchema" xmlns:xs="http://www.w3.org/2001/XMLSchema" xmlns:p="http://schemas.microsoft.com/office/2006/metadata/properties" xmlns:ns2="4fb83d86-dfc0-458d-abeb-e3887179c5dc" targetNamespace="http://schemas.microsoft.com/office/2006/metadata/properties" ma:root="true" ma:fieldsID="78c6ac00b88353c2650dbc2a6d88071f" ns2:_="">
    <xsd:import namespace="4fb83d86-dfc0-458d-abeb-e3887179c5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b83d86-dfc0-458d-abeb-e3887179c5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8ABA9E-66E1-4616-93FD-B0CD57727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9AF241-55BB-417D-A56E-D87CB96FBF6C}">
  <ds:schemaRefs>
    <ds:schemaRef ds:uri="http://purl.org/dc/terms/"/>
    <ds:schemaRef ds:uri="http://schemas.microsoft.com/office/2006/documentManagement/types"/>
    <ds:schemaRef ds:uri="e1f58ce8-c405-43f9-bee4-0f901dda00d3"/>
    <ds:schemaRef ds:uri="http://schemas.microsoft.com/office/2006/metadata/properties"/>
    <ds:schemaRef ds:uri="07a4d86f-9e5e-4cf4-bf5c-11fd242bc091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05B0072-581D-452D-8188-E68C0141AA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Instrucoes</vt:lpstr>
      <vt:lpstr>Resumo</vt:lpstr>
      <vt:lpstr>Caracteristicas_Controlos</vt:lpstr>
      <vt:lpstr>MBI_KPI_48</vt:lpstr>
    </vt:vector>
  </TitlesOfParts>
  <Company>Grupo 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Marharyta Synchak</dc:creator>
  <cp:lastModifiedBy>João Guilherme Beno Jardim</cp:lastModifiedBy>
  <dcterms:created xsi:type="dcterms:W3CDTF">2021-04-19T22:52:41Z</dcterms:created>
  <dcterms:modified xsi:type="dcterms:W3CDTF">2025-12-11T10:16:00Z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0x0101001951051659CE89468EBDA2519EAB1C2D</vt:lpwstr>
  </property>
  <property fmtid="{D5CDD505-2E9C-101B-9397-08002B2CF9AE}" pid="5" name="MSIP_Label_0c2abd79-57a9-4473-8700-c843f76a1e37_Enabled">
    <vt:lpwstr>true</vt:lpwstr>
  </property>
  <property fmtid="{D5CDD505-2E9C-101B-9397-08002B2CF9AE}" pid="6" name="MSIP_Label_0c2abd79-57a9-4473-8700-c843f76a1e37_SetDate">
    <vt:lpwstr>2022-11-04T10:06:14Z</vt:lpwstr>
  </property>
  <property fmtid="{D5CDD505-2E9C-101B-9397-08002B2CF9AE}" pid="7" name="MSIP_Label_0c2abd79-57a9-4473-8700-c843f76a1e37_Method">
    <vt:lpwstr>Privileged</vt:lpwstr>
  </property>
  <property fmtid="{D5CDD505-2E9C-101B-9397-08002B2CF9AE}" pid="8" name="MSIP_Label_0c2abd79-57a9-4473-8700-c843f76a1e37_Name">
    <vt:lpwstr>Internal</vt:lpwstr>
  </property>
  <property fmtid="{D5CDD505-2E9C-101B-9397-08002B2CF9AE}" pid="9" name="MSIP_Label_0c2abd79-57a9-4473-8700-c843f76a1e37_SiteId">
    <vt:lpwstr>35595a02-4d6d-44ac-99e1-f9ab4cd872db</vt:lpwstr>
  </property>
  <property fmtid="{D5CDD505-2E9C-101B-9397-08002B2CF9AE}" pid="10" name="MSIP_Label_0c2abd79-57a9-4473-8700-c843f76a1e37_ActionId">
    <vt:lpwstr>a4a49195-b259-4fcd-9418-73c1e9ae30d8</vt:lpwstr>
  </property>
  <property fmtid="{D5CDD505-2E9C-101B-9397-08002B2CF9AE}" pid="11" name="MSIP_Label_0c2abd79-57a9-4473-8700-c843f76a1e37_ContentBits">
    <vt:lpwstr>0</vt:lpwstr>
  </property>
  <property fmtid="{D5CDD505-2E9C-101B-9397-08002B2CF9AE}" pid="12" name="MediaServiceImageTags">
    <vt:lpwstr/>
  </property>
</Properties>
</file>