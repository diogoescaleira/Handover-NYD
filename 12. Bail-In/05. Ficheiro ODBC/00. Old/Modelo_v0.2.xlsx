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namedSheetViews/namedSheetView1.xml" ContentType="application/vnd.ms-excel.namedsheetviews+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https://santandernet.sharepoint.com/sites/BSTestesBail-In/Shared Documents/Geral/05. Ficheiro ODBC/"/>
    </mc:Choice>
  </mc:AlternateContent>
  <xr:revisionPtr revIDLastSave="1693" documentId="8_{8BFF9511-3CF7-4B11-8EAE-92BDE0872291}" xr6:coauthVersionLast="47" xr6:coauthVersionMax="47" xr10:uidLastSave="{1DD1ACCE-82E1-428B-BD22-1436011832E4}"/>
  <bookViews>
    <workbookView xWindow="-108" yWindow="-108" windowWidth="23256" windowHeight="12456" tabRatio="841" firstSheet="1" activeTab="4" xr2:uid="{DED8A1EF-114B-416A-A2FD-746D90C253E2}"/>
  </bookViews>
  <sheets>
    <sheet name="Instruções" sheetId="10" r:id="rId1"/>
    <sheet name="Param_RefDate" sheetId="13" r:id="rId2"/>
    <sheet name="1. Dashboard" sheetId="1" r:id="rId3"/>
    <sheet name="2. Inputs --&gt;" sheetId="3" r:id="rId4"/>
    <sheet name="2.1. Regulamentares" sheetId="2" r:id="rId5"/>
    <sheet name="2.2. Outros" sheetId="5" r:id="rId6"/>
    <sheet name="Query1" sheetId="12" r:id="rId7"/>
    <sheet name="2.2. Outros - TESTE" sheetId="11" r:id="rId8"/>
    <sheet name="2.3. Processo" sheetId="7" r:id="rId9"/>
  </sheets>
  <definedNames>
    <definedName name="_xlnm._FilterDatabase" localSheetId="4" hidden="1">'2.1. Regulamentares'!$B$8:$I$198</definedName>
    <definedName name="_xlnm._FilterDatabase" localSheetId="5" hidden="1">'2.2. Outros'!$B$8:$H$154</definedName>
    <definedName name="_xlnm._FilterDatabase" localSheetId="7" hidden="1">'2.2. Outros - TESTE'!$B$8:$H$154</definedName>
    <definedName name="ExternalData_1" localSheetId="1" hidden="1">Param_RefDate!$A$1:$A$2</definedName>
    <definedName name="ExternalData_1" localSheetId="6" hidden="1">Query1!$A$2:$I$5</definedName>
    <definedName name="RefDateCell">'1. Dashboard'!$D$12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7" i="1" l="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H50" i="1"/>
  <c r="H51" i="1"/>
  <c r="H52" i="1"/>
  <c r="H53" i="1"/>
  <c r="H54" i="1"/>
  <c r="H55" i="1"/>
  <c r="H56" i="1"/>
  <c r="H57" i="1"/>
  <c r="H58" i="1"/>
  <c r="H59" i="1"/>
  <c r="H60" i="1"/>
  <c r="H61" i="1"/>
  <c r="H62" i="1"/>
  <c r="H63" i="1"/>
  <c r="H64" i="1"/>
  <c r="H65" i="1"/>
  <c r="H66" i="1"/>
  <c r="H67" i="1"/>
  <c r="H37" i="1"/>
  <c r="H38" i="1"/>
  <c r="H39" i="1"/>
  <c r="H40" i="1"/>
  <c r="H41" i="1"/>
  <c r="H42" i="1"/>
  <c r="H43" i="1"/>
  <c r="H44" i="1"/>
  <c r="H45" i="1"/>
  <c r="H46" i="1"/>
  <c r="H47" i="1"/>
  <c r="H48"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H157" i="5"/>
  <c r="H156" i="5"/>
  <c r="H155" i="5"/>
  <c r="H158" i="5"/>
  <c r="H154" i="5" l="1"/>
  <c r="H153" i="5"/>
  <c r="H152" i="5"/>
  <c r="H151" i="5"/>
  <c r="H150" i="5"/>
  <c r="H149" i="5"/>
  <c r="H148" i="5"/>
  <c r="H147" i="5"/>
  <c r="H146" i="5"/>
  <c r="H145" i="5"/>
  <c r="H144" i="5"/>
  <c r="H143" i="5"/>
  <c r="H142" i="5"/>
  <c r="H141" i="5"/>
  <c r="H140" i="5"/>
  <c r="H139" i="5"/>
  <c r="H138" i="5"/>
  <c r="H137" i="5"/>
  <c r="H136" i="5"/>
  <c r="H135" i="5"/>
  <c r="H134" i="5"/>
  <c r="H133" i="5"/>
  <c r="H132" i="5"/>
  <c r="H131" i="5"/>
  <c r="H130" i="5"/>
  <c r="H129" i="5"/>
  <c r="H128" i="5"/>
  <c r="H127" i="5"/>
  <c r="H126" i="5"/>
  <c r="H125" i="5"/>
  <c r="H124" i="5"/>
  <c r="H123" i="5"/>
  <c r="H122" i="5"/>
  <c r="H121" i="5"/>
  <c r="H120"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I66" i="1" l="1"/>
  <c r="I56" i="1"/>
  <c r="I46" i="1"/>
  <c r="I64" i="1"/>
  <c r="G66" i="1"/>
  <c r="G56" i="1"/>
  <c r="G46" i="1"/>
  <c r="I54" i="1"/>
  <c r="I65" i="1"/>
  <c r="I55" i="1"/>
  <c r="I45" i="1"/>
  <c r="I44" i="1"/>
  <c r="G65" i="1"/>
  <c r="G55" i="1"/>
  <c r="G45" i="1"/>
  <c r="G53" i="1"/>
  <c r="G64" i="1"/>
  <c r="G54" i="1"/>
  <c r="G44" i="1"/>
  <c r="I63" i="1"/>
  <c r="I53" i="1"/>
  <c r="I43" i="1"/>
  <c r="G63" i="1"/>
  <c r="G43" i="1"/>
  <c r="D55" i="1"/>
  <c r="D65" i="1"/>
  <c r="D56" i="1"/>
  <c r="D66" i="1"/>
  <c r="D54" i="1"/>
  <c r="E54" i="1"/>
  <c r="E64" i="1"/>
  <c r="D64" i="1"/>
  <c r="E63" i="1"/>
  <c r="E55" i="1"/>
  <c r="E65" i="1"/>
  <c r="E53" i="1"/>
  <c r="E56" i="1"/>
  <c r="E66" i="1"/>
  <c r="D53" i="1"/>
  <c r="D63" i="1"/>
  <c r="G62" i="1"/>
  <c r="D46" i="1"/>
  <c r="D44" i="1"/>
  <c r="E43" i="1"/>
  <c r="D45" i="1"/>
  <c r="E44" i="1"/>
  <c r="E46" i="1"/>
  <c r="E45" i="1"/>
  <c r="D43" i="1"/>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9" i="2"/>
  <c r="E10" i="2"/>
  <c r="H10" i="2" s="1"/>
  <c r="E11" i="2"/>
  <c r="H11" i="2" s="1"/>
  <c r="E12" i="2"/>
  <c r="H12" i="2" s="1"/>
  <c r="E13" i="2"/>
  <c r="H13" i="2" s="1"/>
  <c r="E14" i="2"/>
  <c r="F14" i="2" s="1"/>
  <c r="E15" i="2"/>
  <c r="F15" i="2" s="1"/>
  <c r="E16" i="2"/>
  <c r="F16" i="2" s="1"/>
  <c r="E17" i="2"/>
  <c r="F17" i="2" s="1"/>
  <c r="E18" i="2"/>
  <c r="H18" i="2" s="1"/>
  <c r="E19" i="2"/>
  <c r="H19" i="2" s="1"/>
  <c r="E20" i="2"/>
  <c r="H20" i="2" s="1"/>
  <c r="E21" i="2"/>
  <c r="H21" i="2" s="1"/>
  <c r="E22" i="2"/>
  <c r="F22" i="2" s="1"/>
  <c r="E23" i="2"/>
  <c r="F23" i="2" s="1"/>
  <c r="E24" i="2"/>
  <c r="F24" i="2" s="1"/>
  <c r="E25" i="2"/>
  <c r="F25" i="2" s="1"/>
  <c r="E26" i="2"/>
  <c r="H26" i="2" s="1"/>
  <c r="E27" i="2"/>
  <c r="H27" i="2" s="1"/>
  <c r="E28" i="2"/>
  <c r="H28" i="2" s="1"/>
  <c r="E29" i="2"/>
  <c r="H29" i="2" s="1"/>
  <c r="E30" i="2"/>
  <c r="F30" i="2" s="1"/>
  <c r="E31" i="2"/>
  <c r="F31" i="2" s="1"/>
  <c r="E32" i="2"/>
  <c r="F32" i="2" s="1"/>
  <c r="E33" i="2"/>
  <c r="F33" i="2" s="1"/>
  <c r="E34" i="2"/>
  <c r="H34" i="2" s="1"/>
  <c r="E35" i="2"/>
  <c r="H35" i="2" s="1"/>
  <c r="E36" i="2"/>
  <c r="H36" i="2" s="1"/>
  <c r="E37" i="2"/>
  <c r="H37" i="2" s="1"/>
  <c r="E38" i="2"/>
  <c r="F38" i="2" s="1"/>
  <c r="E39" i="2"/>
  <c r="F39" i="2" s="1"/>
  <c r="E40" i="2"/>
  <c r="F40" i="2" s="1"/>
  <c r="E41" i="2"/>
  <c r="F41" i="2" s="1"/>
  <c r="E42" i="2"/>
  <c r="H42" i="2" s="1"/>
  <c r="E43" i="2"/>
  <c r="H43" i="2" s="1"/>
  <c r="E44" i="2"/>
  <c r="H44" i="2" s="1"/>
  <c r="E45" i="2"/>
  <c r="H45" i="2" s="1"/>
  <c r="E46" i="2"/>
  <c r="F46" i="2" s="1"/>
  <c r="E47" i="2"/>
  <c r="F47" i="2" s="1"/>
  <c r="E48" i="2"/>
  <c r="F48" i="2" s="1"/>
  <c r="E49" i="2"/>
  <c r="F49" i="2" s="1"/>
  <c r="E50" i="2"/>
  <c r="H50" i="2" s="1"/>
  <c r="E51" i="2"/>
  <c r="H51" i="2" s="1"/>
  <c r="E52" i="2"/>
  <c r="H52" i="2" s="1"/>
  <c r="E53" i="2"/>
  <c r="H53" i="2" s="1"/>
  <c r="E54" i="2"/>
  <c r="F54" i="2" s="1"/>
  <c r="E55" i="2"/>
  <c r="F55" i="2" s="1"/>
  <c r="E56" i="2"/>
  <c r="F56" i="2" s="1"/>
  <c r="E57" i="2"/>
  <c r="F57" i="2" s="1"/>
  <c r="E58" i="2"/>
  <c r="H58" i="2" s="1"/>
  <c r="E59" i="2"/>
  <c r="H59" i="2" s="1"/>
  <c r="E60" i="2"/>
  <c r="H60" i="2" s="1"/>
  <c r="E61" i="2"/>
  <c r="H61" i="2" s="1"/>
  <c r="E62" i="2"/>
  <c r="F62" i="2" s="1"/>
  <c r="E63" i="2"/>
  <c r="F63" i="2" s="1"/>
  <c r="E64" i="2"/>
  <c r="F64" i="2" s="1"/>
  <c r="E65" i="2"/>
  <c r="F65" i="2" s="1"/>
  <c r="E66" i="2"/>
  <c r="H66" i="2" s="1"/>
  <c r="E67" i="2"/>
  <c r="H67" i="2" s="1"/>
  <c r="E68" i="2"/>
  <c r="H68" i="2" s="1"/>
  <c r="E69" i="2"/>
  <c r="H69" i="2" s="1"/>
  <c r="E70" i="2"/>
  <c r="F70" i="2" s="1"/>
  <c r="E71" i="2"/>
  <c r="F71" i="2" s="1"/>
  <c r="E72" i="2"/>
  <c r="F72" i="2" s="1"/>
  <c r="E73" i="2"/>
  <c r="F73" i="2" s="1"/>
  <c r="E74" i="2"/>
  <c r="H74" i="2" s="1"/>
  <c r="E75" i="2"/>
  <c r="H75" i="2" s="1"/>
  <c r="E76" i="2"/>
  <c r="H76" i="2" s="1"/>
  <c r="E77" i="2"/>
  <c r="H77" i="2" s="1"/>
  <c r="E78" i="2"/>
  <c r="F78" i="2" s="1"/>
  <c r="E79" i="2"/>
  <c r="F79" i="2" s="1"/>
  <c r="E80" i="2"/>
  <c r="F80" i="2" s="1"/>
  <c r="E81" i="2"/>
  <c r="F81" i="2" s="1"/>
  <c r="E82" i="2"/>
  <c r="H82" i="2" s="1"/>
  <c r="E83" i="2"/>
  <c r="H83" i="2" s="1"/>
  <c r="E84" i="2"/>
  <c r="H84" i="2" s="1"/>
  <c r="E85" i="2"/>
  <c r="H85" i="2" s="1"/>
  <c r="E86" i="2"/>
  <c r="F86" i="2" s="1"/>
  <c r="E87" i="2"/>
  <c r="F87" i="2" s="1"/>
  <c r="E88" i="2"/>
  <c r="F88" i="2" s="1"/>
  <c r="E89" i="2"/>
  <c r="F89" i="2" s="1"/>
  <c r="E90" i="2"/>
  <c r="H90" i="2" s="1"/>
  <c r="E91" i="2"/>
  <c r="H91" i="2" s="1"/>
  <c r="E92" i="2"/>
  <c r="H92" i="2" s="1"/>
  <c r="E93" i="2"/>
  <c r="H93" i="2" s="1"/>
  <c r="E94" i="2"/>
  <c r="F94" i="2" s="1"/>
  <c r="E95" i="2"/>
  <c r="F95" i="2" s="1"/>
  <c r="E96" i="2"/>
  <c r="F96" i="2" s="1"/>
  <c r="E97" i="2"/>
  <c r="F97" i="2" s="1"/>
  <c r="E98" i="2"/>
  <c r="H98" i="2" s="1"/>
  <c r="E99" i="2"/>
  <c r="H99" i="2" s="1"/>
  <c r="E100" i="2"/>
  <c r="H100" i="2" s="1"/>
  <c r="E101" i="2"/>
  <c r="H101" i="2" s="1"/>
  <c r="E102" i="2"/>
  <c r="F102" i="2" s="1"/>
  <c r="E103" i="2"/>
  <c r="F103" i="2" s="1"/>
  <c r="E104" i="2"/>
  <c r="F104" i="2" s="1"/>
  <c r="E105" i="2"/>
  <c r="F105" i="2" s="1"/>
  <c r="E106" i="2"/>
  <c r="H106" i="2" s="1"/>
  <c r="E107" i="2"/>
  <c r="H107" i="2" s="1"/>
  <c r="E108" i="2"/>
  <c r="H108" i="2" s="1"/>
  <c r="E109" i="2"/>
  <c r="H109" i="2" s="1"/>
  <c r="E110" i="2"/>
  <c r="F110" i="2" s="1"/>
  <c r="E111" i="2"/>
  <c r="F111" i="2" s="1"/>
  <c r="E112" i="2"/>
  <c r="F112" i="2" s="1"/>
  <c r="E113" i="2"/>
  <c r="F113" i="2" s="1"/>
  <c r="E114" i="2"/>
  <c r="H114" i="2" s="1"/>
  <c r="E115" i="2"/>
  <c r="H115" i="2" s="1"/>
  <c r="E116" i="2"/>
  <c r="H116" i="2" s="1"/>
  <c r="E117" i="2"/>
  <c r="H117" i="2" s="1"/>
  <c r="E118" i="2"/>
  <c r="F118" i="2" s="1"/>
  <c r="E119" i="2"/>
  <c r="F119" i="2" s="1"/>
  <c r="E120" i="2"/>
  <c r="F120" i="2" s="1"/>
  <c r="E121" i="2"/>
  <c r="F121" i="2" s="1"/>
  <c r="E122" i="2"/>
  <c r="H122" i="2" s="1"/>
  <c r="E123" i="2"/>
  <c r="H123" i="2" s="1"/>
  <c r="E124" i="2"/>
  <c r="H124" i="2" s="1"/>
  <c r="E125" i="2"/>
  <c r="H125" i="2" s="1"/>
  <c r="E126" i="2"/>
  <c r="F126" i="2" s="1"/>
  <c r="E127" i="2"/>
  <c r="F127" i="2" s="1"/>
  <c r="E128" i="2"/>
  <c r="F128" i="2" s="1"/>
  <c r="E129" i="2"/>
  <c r="F129" i="2" s="1"/>
  <c r="E130" i="2"/>
  <c r="H130" i="2" s="1"/>
  <c r="E131" i="2"/>
  <c r="H131" i="2" s="1"/>
  <c r="E132" i="2"/>
  <c r="H132" i="2" s="1"/>
  <c r="E133" i="2"/>
  <c r="H133" i="2" s="1"/>
  <c r="E134" i="2"/>
  <c r="F134" i="2" s="1"/>
  <c r="E135" i="2"/>
  <c r="F135" i="2" s="1"/>
  <c r="E136" i="2"/>
  <c r="F136" i="2" s="1"/>
  <c r="E137" i="2"/>
  <c r="F137" i="2" s="1"/>
  <c r="E138" i="2"/>
  <c r="H138" i="2" s="1"/>
  <c r="E139" i="2"/>
  <c r="H139" i="2" s="1"/>
  <c r="E140" i="2"/>
  <c r="H140" i="2" s="1"/>
  <c r="E141" i="2"/>
  <c r="H141" i="2" s="1"/>
  <c r="E142" i="2"/>
  <c r="F142" i="2" s="1"/>
  <c r="E143" i="2"/>
  <c r="F143" i="2" s="1"/>
  <c r="E144" i="2"/>
  <c r="F144" i="2" s="1"/>
  <c r="E145" i="2"/>
  <c r="F145" i="2" s="1"/>
  <c r="E146" i="2"/>
  <c r="H146" i="2" s="1"/>
  <c r="E147" i="2"/>
  <c r="H147" i="2" s="1"/>
  <c r="E148" i="2"/>
  <c r="H148" i="2" s="1"/>
  <c r="E149" i="2"/>
  <c r="H149" i="2" s="1"/>
  <c r="E150" i="2"/>
  <c r="F150" i="2" s="1"/>
  <c r="E151" i="2"/>
  <c r="F151" i="2" s="1"/>
  <c r="E152" i="2"/>
  <c r="F152" i="2" s="1"/>
  <c r="E153" i="2"/>
  <c r="F153" i="2" s="1"/>
  <c r="E154" i="2"/>
  <c r="H154" i="2" s="1"/>
  <c r="E155" i="2"/>
  <c r="H155" i="2" s="1"/>
  <c r="E156" i="2"/>
  <c r="H156" i="2" s="1"/>
  <c r="E157" i="2"/>
  <c r="H157" i="2" s="1"/>
  <c r="E158" i="2"/>
  <c r="F158" i="2" s="1"/>
  <c r="E159" i="2"/>
  <c r="F159" i="2" s="1"/>
  <c r="E160" i="2"/>
  <c r="F160" i="2" s="1"/>
  <c r="E161" i="2"/>
  <c r="F161" i="2" s="1"/>
  <c r="E162" i="2"/>
  <c r="H162" i="2" s="1"/>
  <c r="E163" i="2"/>
  <c r="H163" i="2" s="1"/>
  <c r="E164" i="2"/>
  <c r="H164" i="2" s="1"/>
  <c r="E165" i="2"/>
  <c r="H165" i="2" s="1"/>
  <c r="E166" i="2"/>
  <c r="F166" i="2" s="1"/>
  <c r="E167" i="2"/>
  <c r="F167" i="2" s="1"/>
  <c r="E168" i="2"/>
  <c r="F168" i="2" s="1"/>
  <c r="E169" i="2"/>
  <c r="F169" i="2" s="1"/>
  <c r="E170" i="2"/>
  <c r="H170" i="2" s="1"/>
  <c r="E171" i="2"/>
  <c r="H171" i="2" s="1"/>
  <c r="E172" i="2"/>
  <c r="H172" i="2" s="1"/>
  <c r="E173" i="2"/>
  <c r="H173" i="2" s="1"/>
  <c r="E174" i="2"/>
  <c r="F174" i="2" s="1"/>
  <c r="E175" i="2"/>
  <c r="F175" i="2" s="1"/>
  <c r="E176" i="2"/>
  <c r="F176" i="2" s="1"/>
  <c r="E177" i="2"/>
  <c r="F177" i="2" s="1"/>
  <c r="E178" i="2"/>
  <c r="H178" i="2" s="1"/>
  <c r="E179" i="2"/>
  <c r="H179" i="2" s="1"/>
  <c r="E180" i="2"/>
  <c r="H180" i="2" s="1"/>
  <c r="E181" i="2"/>
  <c r="H181" i="2" s="1"/>
  <c r="E182" i="2"/>
  <c r="F182" i="2" s="1"/>
  <c r="E183" i="2"/>
  <c r="F183" i="2" s="1"/>
  <c r="E184" i="2"/>
  <c r="F184" i="2" s="1"/>
  <c r="E185" i="2"/>
  <c r="F185" i="2" s="1"/>
  <c r="E186" i="2"/>
  <c r="H186" i="2" s="1"/>
  <c r="E187" i="2"/>
  <c r="H187" i="2" s="1"/>
  <c r="E188" i="2"/>
  <c r="H188" i="2" s="1"/>
  <c r="E189" i="2"/>
  <c r="H189" i="2" s="1"/>
  <c r="E190" i="2"/>
  <c r="F190" i="2" s="1"/>
  <c r="E191" i="2"/>
  <c r="F191" i="2" s="1"/>
  <c r="E192" i="2"/>
  <c r="F192" i="2" s="1"/>
  <c r="E193" i="2"/>
  <c r="F193" i="2" s="1"/>
  <c r="E194" i="2"/>
  <c r="H194" i="2" s="1"/>
  <c r="E195" i="2"/>
  <c r="H195" i="2" s="1"/>
  <c r="E196" i="2"/>
  <c r="H196" i="2" s="1"/>
  <c r="E197" i="2"/>
  <c r="H197" i="2" s="1"/>
  <c r="E198" i="2"/>
  <c r="F198" i="2" s="1"/>
  <c r="E9" i="2"/>
  <c r="F9" i="2" s="1"/>
  <c r="G52" i="1" l="1"/>
  <c r="I52" i="1"/>
  <c r="E62" i="1"/>
  <c r="I42" i="1"/>
  <c r="I62" i="1"/>
  <c r="E52" i="1"/>
  <c r="D62" i="1"/>
  <c r="D52" i="1"/>
  <c r="G42" i="1"/>
  <c r="E42" i="1"/>
  <c r="D42" i="1"/>
  <c r="F82" i="2"/>
  <c r="F101" i="2"/>
  <c r="F37" i="2"/>
  <c r="F18" i="2"/>
  <c r="H169" i="2"/>
  <c r="F10" i="2"/>
  <c r="H137" i="2"/>
  <c r="H105" i="2"/>
  <c r="F165" i="2"/>
  <c r="H73" i="2"/>
  <c r="F146" i="2"/>
  <c r="H41" i="2"/>
  <c r="F186" i="2"/>
  <c r="G61" i="1" s="1"/>
  <c r="F164" i="2"/>
  <c r="F141" i="2"/>
  <c r="F122" i="2"/>
  <c r="F100" i="2"/>
  <c r="F77" i="2"/>
  <c r="F58" i="2"/>
  <c r="F36" i="2"/>
  <c r="F13" i="2"/>
  <c r="H168" i="2"/>
  <c r="H136" i="2"/>
  <c r="H104" i="2"/>
  <c r="H72" i="2"/>
  <c r="H40" i="2"/>
  <c r="F124" i="2"/>
  <c r="F60" i="2"/>
  <c r="F181" i="2"/>
  <c r="F162" i="2"/>
  <c r="F140" i="2"/>
  <c r="F117" i="2"/>
  <c r="F98" i="2"/>
  <c r="F76" i="2"/>
  <c r="F53" i="2"/>
  <c r="F34" i="2"/>
  <c r="F12" i="2"/>
  <c r="H193" i="2"/>
  <c r="H161" i="2"/>
  <c r="H129" i="2"/>
  <c r="H97" i="2"/>
  <c r="H65" i="2"/>
  <c r="H33" i="2"/>
  <c r="F180" i="2"/>
  <c r="F157" i="2"/>
  <c r="F138" i="2"/>
  <c r="F116" i="2"/>
  <c r="F93" i="2"/>
  <c r="F74" i="2"/>
  <c r="F52" i="2"/>
  <c r="F29" i="2"/>
  <c r="H192" i="2"/>
  <c r="H160" i="2"/>
  <c r="H128" i="2"/>
  <c r="H96" i="2"/>
  <c r="H64" i="2"/>
  <c r="H32" i="2"/>
  <c r="F197" i="2"/>
  <c r="F178" i="2"/>
  <c r="F156" i="2"/>
  <c r="F133" i="2"/>
  <c r="F114" i="2"/>
  <c r="F92" i="2"/>
  <c r="F69" i="2"/>
  <c r="F50" i="2"/>
  <c r="F28" i="2"/>
  <c r="H185" i="2"/>
  <c r="H153" i="2"/>
  <c r="H121" i="2"/>
  <c r="H89" i="2"/>
  <c r="H57" i="2"/>
  <c r="H25" i="2"/>
  <c r="F188" i="2"/>
  <c r="F196" i="2"/>
  <c r="F173" i="2"/>
  <c r="F154" i="2"/>
  <c r="F132" i="2"/>
  <c r="F109" i="2"/>
  <c r="F90" i="2"/>
  <c r="F68" i="2"/>
  <c r="F45" i="2"/>
  <c r="F26" i="2"/>
  <c r="H184" i="2"/>
  <c r="H152" i="2"/>
  <c r="H120" i="2"/>
  <c r="H88" i="2"/>
  <c r="H56" i="2"/>
  <c r="H24" i="2"/>
  <c r="F194" i="2"/>
  <c r="F172" i="2"/>
  <c r="F149" i="2"/>
  <c r="F130" i="2"/>
  <c r="F108" i="2"/>
  <c r="F85" i="2"/>
  <c r="F66" i="2"/>
  <c r="F44" i="2"/>
  <c r="F21" i="2"/>
  <c r="H177" i="2"/>
  <c r="H145" i="2"/>
  <c r="H113" i="2"/>
  <c r="H81" i="2"/>
  <c r="H49" i="2"/>
  <c r="H17" i="2"/>
  <c r="F189" i="2"/>
  <c r="F170" i="2"/>
  <c r="F148" i="2"/>
  <c r="F125" i="2"/>
  <c r="F106" i="2"/>
  <c r="F84" i="2"/>
  <c r="F61" i="2"/>
  <c r="F42" i="2"/>
  <c r="F20" i="2"/>
  <c r="H176" i="2"/>
  <c r="H144" i="2"/>
  <c r="H112" i="2"/>
  <c r="H80" i="2"/>
  <c r="H48" i="2"/>
  <c r="H16" i="2"/>
  <c r="F195" i="2"/>
  <c r="F187" i="2"/>
  <c r="F179" i="2"/>
  <c r="F171" i="2"/>
  <c r="F163" i="2"/>
  <c r="F155" i="2"/>
  <c r="F147" i="2"/>
  <c r="F139" i="2"/>
  <c r="F131" i="2"/>
  <c r="F123" i="2"/>
  <c r="F115" i="2"/>
  <c r="F107" i="2"/>
  <c r="F99" i="2"/>
  <c r="F91" i="2"/>
  <c r="F83" i="2"/>
  <c r="F75" i="2"/>
  <c r="F67" i="2"/>
  <c r="F59" i="2"/>
  <c r="F51" i="2"/>
  <c r="F43" i="2"/>
  <c r="F35" i="2"/>
  <c r="F27" i="2"/>
  <c r="F19" i="2"/>
  <c r="F11" i="2"/>
  <c r="H9" i="2"/>
  <c r="H191" i="2"/>
  <c r="H183" i="2"/>
  <c r="H175" i="2"/>
  <c r="H167" i="2"/>
  <c r="H159" i="2"/>
  <c r="H151" i="2"/>
  <c r="H143" i="2"/>
  <c r="H135" i="2"/>
  <c r="H127" i="2"/>
  <c r="H119" i="2"/>
  <c r="H111" i="2"/>
  <c r="H103" i="2"/>
  <c r="H95" i="2"/>
  <c r="H87" i="2"/>
  <c r="H79" i="2"/>
  <c r="H71" i="2"/>
  <c r="H63" i="2"/>
  <c r="H55" i="2"/>
  <c r="H47" i="2"/>
  <c r="H39" i="2"/>
  <c r="H31" i="2"/>
  <c r="H23" i="2"/>
  <c r="H15" i="2"/>
  <c r="H198" i="2"/>
  <c r="H190" i="2"/>
  <c r="H182" i="2"/>
  <c r="H174" i="2"/>
  <c r="H166" i="2"/>
  <c r="H158" i="2"/>
  <c r="H150" i="2"/>
  <c r="H142" i="2"/>
  <c r="H134" i="2"/>
  <c r="H126" i="2"/>
  <c r="H118" i="2"/>
  <c r="H110" i="2"/>
  <c r="H102" i="2"/>
  <c r="H94" i="2"/>
  <c r="H86" i="2"/>
  <c r="H78" i="2"/>
  <c r="H70" i="2"/>
  <c r="H62" i="2"/>
  <c r="H54" i="2"/>
  <c r="H46" i="2"/>
  <c r="H38" i="2"/>
  <c r="H30" i="2"/>
  <c r="H22" i="2"/>
  <c r="H14" i="2"/>
  <c r="D51" i="1" l="1"/>
  <c r="E41" i="1"/>
  <c r="D41" i="1"/>
  <c r="G50" i="1"/>
  <c r="I50" i="1"/>
  <c r="E50" i="1"/>
  <c r="G49" i="1"/>
  <c r="E59" i="1"/>
  <c r="G59" i="1"/>
  <c r="G40" i="1"/>
  <c r="D39" i="1"/>
  <c r="D49" i="1"/>
  <c r="I39" i="1"/>
  <c r="E51" i="1"/>
  <c r="G51" i="1"/>
  <c r="I40" i="1"/>
  <c r="E49" i="1"/>
  <c r="D60" i="1"/>
  <c r="E60" i="1"/>
  <c r="D50" i="1"/>
  <c r="I51" i="1"/>
  <c r="I59" i="1"/>
  <c r="E61" i="1"/>
  <c r="E40" i="1"/>
  <c r="I49" i="1"/>
  <c r="G60" i="1"/>
  <c r="I60" i="1"/>
  <c r="D40" i="1"/>
  <c r="G41" i="1"/>
  <c r="I41" i="1"/>
  <c r="D59" i="1"/>
  <c r="D58" i="1" s="1"/>
  <c r="D57" i="1" s="1"/>
  <c r="I61" i="1"/>
  <c r="E39" i="1"/>
  <c r="D61" i="1"/>
  <c r="G39" i="1"/>
  <c r="D48" i="1" l="1"/>
  <c r="D47" i="1" s="1"/>
  <c r="I38" i="1"/>
  <c r="H49" i="1"/>
  <c r="G48" i="1"/>
  <c r="I48" i="1"/>
  <c r="E48" i="1"/>
  <c r="D38" i="1"/>
  <c r="I58" i="1"/>
  <c r="G58" i="1"/>
  <c r="E38" i="1"/>
  <c r="F39" i="1"/>
  <c r="E58" i="1"/>
  <c r="E57" i="1" s="1"/>
  <c r="G38" i="1"/>
  <c r="G37" i="1" s="1"/>
  <c r="D37" i="1" l="1"/>
  <c r="G57" i="1"/>
  <c r="E47" i="1"/>
  <c r="I57" i="1"/>
  <c r="I37" i="1"/>
  <c r="I47" i="1"/>
  <c r="F38" i="1"/>
  <c r="E37" i="1"/>
  <c r="F37" i="1" s="1"/>
  <c r="G47" i="1"/>
  <c r="H77" i="1"/>
  <c r="J75" i="1"/>
  <c r="H75" i="1"/>
  <c r="F75" i="1"/>
  <c r="H73" i="1"/>
  <c r="I67" i="1" l="1"/>
  <c r="E67" i="1"/>
  <c r="D67" i="1"/>
  <c r="J77" i="1"/>
  <c r="F77" i="1"/>
  <c r="J73" i="1"/>
  <c r="F73" i="1"/>
  <c r="G6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80F8BF-804C-4EA7-A037-C2586C095BBC}" keepAlive="1" name="Query - Param_RefDate" description="Connection to the 'Param_RefDate' query in the workbook." type="5" refreshedVersion="8" background="1" saveData="1">
    <dbPr connection="Provider=Microsoft.Mashup.OleDb.1;Data Source=$Workbook$;Location=Param_RefDate;Extended Properties=&quot;&quot;" command="SELECT * FROM [Param_RefDate]"/>
  </connection>
  <connection id="2" xr16:uid="{C5B8C644-B71E-43A5-AE7C-9959DFB7D4A2}"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3" xr16:uid="{51249958-DEDA-4AA8-915B-BC84173CB9A2}" keepAlive="1" name="Query - RefDate" description="Connection to the 'RefDate' query in the workbook." type="5" refreshedVersion="0" background="1">
    <dbPr connection="Provider=Microsoft.Mashup.OleDb.1;Data Source=$Workbook$;Location=RefDate;Extended Properties=&quot;&quot;" command="SELECT * FROM [RefDate]"/>
  </connection>
</connections>
</file>

<file path=xl/sharedStrings.xml><?xml version="1.0" encoding="utf-8"?>
<sst xmlns="http://schemas.openxmlformats.org/spreadsheetml/2006/main" count="803" uniqueCount="353">
  <si>
    <t>Controlos Reporte Bail-in</t>
  </si>
  <si>
    <t>[BOTÃO]</t>
  </si>
  <si>
    <t>DASHBOARD</t>
  </si>
  <si>
    <t>OK (#)</t>
  </si>
  <si>
    <t>NOK (#)</t>
  </si>
  <si>
    <t>OK (%)</t>
  </si>
  <si>
    <t>NOK (%)</t>
  </si>
  <si>
    <t>MENU 1</t>
  </si>
  <si>
    <t>MENU 2</t>
  </si>
  <si>
    <t>TABELAS OUTPUT</t>
  </si>
  <si>
    <t>2. Gerar Controlos</t>
  </si>
  <si>
    <t>3. Extração dos resultados</t>
  </si>
  <si>
    <t>B02.00</t>
  </si>
  <si>
    <t>B05.00</t>
  </si>
  <si>
    <t>B90.00</t>
  </si>
  <si>
    <t>Mapa</t>
  </si>
  <si>
    <t>Regulamentares (SRB)</t>
  </si>
  <si>
    <t>Outros</t>
  </si>
  <si>
    <t>Warnings</t>
  </si>
  <si>
    <t>High severity</t>
  </si>
  <si>
    <t>Duplicados</t>
  </si>
  <si>
    <t>Integridade entre tabelas</t>
  </si>
  <si>
    <t>Validade (Missings/NULLS)</t>
  </si>
  <si>
    <t>Not applicables</t>
  </si>
  <si>
    <t xml:space="preserve">Data de referência </t>
  </si>
  <si>
    <t>Coerência(Mapa vs. CSV)</t>
  </si>
  <si>
    <t>Total</t>
  </si>
  <si>
    <t>NOK Justificados(#)</t>
  </si>
  <si>
    <t>NOK Justificados (%)</t>
  </si>
  <si>
    <t>Processo (HUE vs CSV)</t>
  </si>
  <si>
    <t>NAVEGADOR</t>
  </si>
  <si>
    <t>1 Dashboard</t>
  </si>
  <si>
    <t>[LINK]</t>
  </si>
  <si>
    <t>1. WIP</t>
  </si>
  <si>
    <t>TABELA</t>
  </si>
  <si>
    <t>TIPOLOGIA_TESTE</t>
  </si>
  <si>
    <t>CAMPO</t>
  </si>
  <si>
    <t>NUM_REG</t>
  </si>
  <si>
    <t>NUM_REG_DIF</t>
  </si>
  <si>
    <t>VALIDADE</t>
  </si>
  <si>
    <t>BU_LOANTAPE_WORK.OUT_B0200_MAIN_LIABILITIES</t>
  </si>
  <si>
    <t>0010_ROW_NMBR</t>
  </si>
  <si>
    <t>NOT APPLICABLE</t>
  </si>
  <si>
    <t>0020_UNIQ_ID</t>
  </si>
  <si>
    <t>0030_UNIQ_ID_KNWN_CNTRPRTY</t>
  </si>
  <si>
    <t>0040_TYP_UNIQ_ID_KNWN_CNTRPRTY</t>
  </si>
  <si>
    <t>0050_ORGNL_AMNT_EUR</t>
  </si>
  <si>
    <t>0060_ORGNL_AMNT_FX</t>
  </si>
  <si>
    <t>0070_CNTRCT_CRRNCY</t>
  </si>
  <si>
    <t>0100_ACCRD_INTRST_INSTRMNT</t>
  </si>
  <si>
    <t>0110_APPLCBL_FEES_CHARGES</t>
  </si>
  <si>
    <t>0140_NTR_LBLTY</t>
  </si>
  <si>
    <t>0141_NTR_LBLTY_OTHR</t>
  </si>
  <si>
    <t>0150_FLG_STRCTRLLY_SBRDNTD</t>
  </si>
  <si>
    <t>0160_RANK_INSOLV</t>
  </si>
  <si>
    <t>0161_CNTRCTL_SBRDNTN</t>
  </si>
  <si>
    <t>0162_BAIL_IN_CASCADE</t>
  </si>
  <si>
    <t>0170_DT_INCPTN</t>
  </si>
  <si>
    <t>0180_DT_NXT_INTRST_PYMNT</t>
  </si>
  <si>
    <t>0190_DT_NXT_RDMPTN_PYMNT</t>
  </si>
  <si>
    <t>0200_DT_ERLST_RDMPTN</t>
  </si>
  <si>
    <t>0210_DT_LGL_FNL_MTRTY</t>
  </si>
  <si>
    <t>0220_GOVERNING_LAW</t>
  </si>
  <si>
    <t>0230_BAIL_IN_RCGNTN_CLS</t>
  </si>
  <si>
    <t>0240_ZERO_COUPON</t>
  </si>
  <si>
    <t>0250_STRCTRD_PRDCT</t>
  </si>
  <si>
    <t>0260_GRNTD_MIN_AMNT_STRCTRD_PRDCT</t>
  </si>
  <si>
    <t>0270_FV_AMNT_STRCTRD_PRDCT</t>
  </si>
  <si>
    <t>0280_FLG_NCNP_DPSTS</t>
  </si>
  <si>
    <t>0290_FLG_NCBP_DPSTS</t>
  </si>
  <si>
    <t>0300_AMNT_CVRD_ELGBL_DPSTS</t>
  </si>
  <si>
    <t>0310_FLG_CLLTRL_AGRMNTS</t>
  </si>
  <si>
    <t>0320_AMNT_CLLTRL</t>
  </si>
  <si>
    <t>0330_AMNT_UNCLLTRLZD</t>
  </si>
  <si>
    <t>0340_ID_CLLTRL</t>
  </si>
  <si>
    <t>0350_TYP_CLLTRL</t>
  </si>
  <si>
    <t>0351_TYP_CLLTRL_OTHR</t>
  </si>
  <si>
    <t>0370_AMNT_SCRTY_EUR</t>
  </si>
  <si>
    <t>0380_AMNT_SCRTY_FX</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</si>
  <si>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</si>
  <si>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</si>
  <si>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</si>
  <si>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</si>
  <si>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</si>
  <si>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</si>
  <si>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</si>
  <si>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</si>
  <si>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</si>
  <si>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</si>
  <si>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</si>
  <si>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</si>
  <si>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</si>
  <si>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0490_RGSTRR</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</si>
  <si>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</si>
  <si>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</si>
  <si>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</si>
  <si>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</si>
  <si>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</si>
  <si>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</si>
  <si>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</si>
  <si>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</si>
  <si>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</si>
  <si>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</si>
  <si>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</si>
  <si>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</si>
  <si>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</si>
  <si>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</si>
  <si>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</si>
  <si>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</si>
  <si>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</si>
  <si>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</si>
  <si>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</si>
  <si>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</si>
  <si>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</si>
  <si>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</si>
  <si>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1. Tabelas Output</t>
  </si>
  <si>
    <t>2. Processo (HUE vs CSV)</t>
  </si>
  <si>
    <t>Controlo</t>
  </si>
  <si>
    <t>Issues</t>
  </si>
  <si>
    <t>Tipo</t>
  </si>
  <si>
    <t>High Severity (H)/ Warning (W)</t>
  </si>
  <si>
    <t>Table</t>
  </si>
  <si>
    <t>Field</t>
  </si>
  <si>
    <t>Justificação</t>
  </si>
  <si>
    <t>b0200_lvl1_h_0010_row_nmbr</t>
  </si>
  <si>
    <t>b0200_lvl1_h_0030_uniq_id_knwn_cntrprty</t>
  </si>
  <si>
    <t>b0200_lvl1_h_0040_typ_uniq_id_knwn_cntrprty</t>
  </si>
  <si>
    <t>b0200_lvl1_h_0070_cntrct_crrncy</t>
  </si>
  <si>
    <t>b0200_lvl1_h_0080_otstndng_prncpl_amnt</t>
  </si>
  <si>
    <t>b0200_lvl1_w_0080_otstndng_prncpl_amnt</t>
  </si>
  <si>
    <t>b0200_lvl1_h_0090_prtn_amnt_rprtng_entty</t>
  </si>
  <si>
    <t>b0200_lvl1_h_0100_accrd_intrst_instrmnt</t>
  </si>
  <si>
    <t>b0200_lvl1_w_0100_accrd_intrst_instrmnt</t>
  </si>
  <si>
    <t>b0200_lvl1_h_0120_otstndng_amnt</t>
  </si>
  <si>
    <t>b0200_lvl1_w_0120_otstndng_amnt</t>
  </si>
  <si>
    <t>b0200_lvl1_h_0130_rlvnt_amnt_wdc</t>
  </si>
  <si>
    <t>b0200_lvl1_h_0140_ntr_lblty</t>
  </si>
  <si>
    <t>b0200_lvl1_h_0141_ntr_lblty_othr</t>
  </si>
  <si>
    <t>b0200_lvl1_h_0160_rank_insolv</t>
  </si>
  <si>
    <t>b0200_lvl1_h_0162_bail_in_cascade</t>
  </si>
  <si>
    <t>b0200_lvl1_h_0180_dt_nxt_intrst_pymnt</t>
  </si>
  <si>
    <t>b0200_lvl1_w_0180_dt_nxt_intrst_pymnt</t>
  </si>
  <si>
    <t>b0200_lvl1_w_0200_dt_erlst_rdmptn</t>
  </si>
  <si>
    <t>b0200_lvl1_h_0210_dt_lgl_fnl_mtrty</t>
  </si>
  <si>
    <t>b0200_lvl1_h_0220_governing_law</t>
  </si>
  <si>
    <t>b0200_lvl1_h_0250_strctrd_prdct</t>
  </si>
  <si>
    <t>b0200_lvl1_w_0260_grntd_min_amnt_strctrd_prdct</t>
  </si>
  <si>
    <t>b0200_lvl1_h_0270_fv_amnt_strctrd_prdct</t>
  </si>
  <si>
    <t>b0200_lvl1_h_0300_amnt_cvrd_elgbl_dpsts</t>
  </si>
  <si>
    <t>b0200_lvl1_h_0310_flg_clltrl_agrmnts</t>
  </si>
  <si>
    <t>b0200_lvl1_h_0320_amnt_clltrl</t>
  </si>
  <si>
    <t>b0200_lvl1_h_0330_amnt_unclltrlzd</t>
  </si>
  <si>
    <t>b0200_lvl1_h_0350_typ_clltrl</t>
  </si>
  <si>
    <t>b0200_lvl1_h_0351_typ_clltrl_othr</t>
  </si>
  <si>
    <t>b0200_lvl1_h_0370_amnt_scrty_eur</t>
  </si>
  <si>
    <t>b0200_lvl1_w_0370_amnt_scrty_eur</t>
  </si>
  <si>
    <t>b0200_lvl1_h_0390_nmbr_scrts_not_rprtng_entty</t>
  </si>
  <si>
    <t>b0200_lvl1_h_0391_nmbr_scrts_rprtng_entty</t>
  </si>
  <si>
    <t>b0200_lvl1_h_0400_accrd_intrst_scrty</t>
  </si>
  <si>
    <t>b0200_lvl1_w_0400_accrd_intrst_scrty</t>
  </si>
  <si>
    <t>b0200_lvl1_w_0610_crryng_amnt_ifrs</t>
  </si>
  <si>
    <t>b0200_lvl1_h_5000_flg_shrhldr_not_rsltn_grp</t>
  </si>
  <si>
    <t>b0200_lvl1_h_5010_flg_art21_7a_srmr</t>
  </si>
  <si>
    <t>b0200_lvl2_h_0030_uniq_id_knwn_cntrprty</t>
  </si>
  <si>
    <t>b0200_lvl2_h_0070_cntrct_crrncy</t>
  </si>
  <si>
    <t>b0200_lvl2_w_0080_otstndng_prncpl_amnt</t>
  </si>
  <si>
    <t>b0200_lvl2_h_0090_prtn_amnt_rprtng_entty</t>
  </si>
  <si>
    <t>b0200_lvl2_w_0100_accrd_intrst_instrmnt</t>
  </si>
  <si>
    <t>b0200_lvl2_w_0110_applcbl_fees_charges</t>
  </si>
  <si>
    <t>b0200_lvl2_h_0120_otstndng_amnt_1</t>
  </si>
  <si>
    <t>b0200_lvl2_h_0120_otstndng_amnt_2</t>
  </si>
  <si>
    <t>b0200_lvl2_h_0130_rlvnt_amnt_wdc_1</t>
  </si>
  <si>
    <t>b0200_lvl2_h_0130_rlvnt_amnt_wdc_2</t>
  </si>
  <si>
    <t>b0200_lvl2_h_0140_ntr_lblty</t>
  </si>
  <si>
    <t>b0200_lvl2_h_0160_rank_insolv</t>
  </si>
  <si>
    <t>b0200_lvl2_h_0170_dt_incptn_1</t>
  </si>
  <si>
    <t>b0200_lvl2_h_0170_dt_incptn_2</t>
  </si>
  <si>
    <t>b0200_lvl2_h_0180_dt_nxt_intrst_pymnt_1</t>
  </si>
  <si>
    <t>b0200_lvl2_h_0180_dt_nxt_intrst_pymnt_2</t>
  </si>
  <si>
    <t>b0200_lvl2_h_0200_dt_erlst_rdmptn_1</t>
  </si>
  <si>
    <t>b0200_lvl2_h_0200_dt_erlst_rdmptn_2</t>
  </si>
  <si>
    <t>b0200_lvl2_h_0210_dt_lgl_fnl_mtrty_1</t>
  </si>
  <si>
    <t>b0200_lvl2_h_0210_dt_lgl_fnl_mtrty_2</t>
  </si>
  <si>
    <t>b0200_lvl2_h_0220_governing_law</t>
  </si>
  <si>
    <t>b0200_lvl2_h_0230_bail_in_rcgntn_cls</t>
  </si>
  <si>
    <t>b0200_lvl2_h_0250_strctrd_prdct</t>
  </si>
  <si>
    <t>b0200_lvl2_h_0310_flg_clltrl_agrmnts</t>
  </si>
  <si>
    <t>b0200_lvl2_h_0330_amnt_unclltrlzd_1</t>
  </si>
  <si>
    <t>b0200_lvl2_h_0330_amnt_unclltrlzd_2</t>
  </si>
  <si>
    <t>b0200_lvl2_h_0350_typ_clltrl_1</t>
  </si>
  <si>
    <t>b0200_lvl2_h_0350_typ_clltrl_2</t>
  </si>
  <si>
    <t>b0200_lvl2_h_0440_ntr_glbl_nt</t>
  </si>
  <si>
    <t>b0200_lvl2_h_0530_typ_own_fnds_ind_lvl</t>
  </si>
  <si>
    <t>b0200_lvl2_h_0540_elgbl_amnt_own_fnds_ind_lvl</t>
  </si>
  <si>
    <t>b0200_lvl2_h_0550_typ_own_fnds_cnsldtd_lvl</t>
  </si>
  <si>
    <t>b0200_lvl2_h_0560_elgbl_amnt_own_fnds_cnsldtd_lvl</t>
  </si>
  <si>
    <t>b0200_lvl2_h_0590_typ_scrty_intrst_prvdd</t>
  </si>
  <si>
    <t>b0200_lvl2_h_0610_crryng_amnt_ifrs</t>
  </si>
  <si>
    <t>b0200_lvl2_h_0620_blnc_sht_ifrs</t>
  </si>
  <si>
    <t>b0200_frmt_0010_row_nmbr</t>
  </si>
  <si>
    <t>b0200_frmt_0020_uniq_id</t>
  </si>
  <si>
    <t>b0200_frmt_0030_uniq_id_knwn_cntrprty</t>
  </si>
  <si>
    <t>b0200_frmt_0040_typ_uniq_id_knwn_cntrprty</t>
  </si>
  <si>
    <t>b0200_frmt_0050_orgnl_amnt_eur</t>
  </si>
  <si>
    <t>b0200_frmt_0060_orgnl_amnt_fx</t>
  </si>
  <si>
    <t>b0200_frmt_0070_cntrct_crrncy</t>
  </si>
  <si>
    <t>b0200_frmt_0080_otstndng_prncpl_amnt</t>
  </si>
  <si>
    <t>b0200_frmt_0090_prtn_amnt_rprtng_entty</t>
  </si>
  <si>
    <t>b0200_frmt_0100_accrd_intrst_instrmnt</t>
  </si>
  <si>
    <t>b0200_frmt_0110_applcbl_fees_charges</t>
  </si>
  <si>
    <t>b0200_frmt_0120_otstndng_amnt</t>
  </si>
  <si>
    <t>b0200_frmt_0130_rlvnt_amnt_wdc</t>
  </si>
  <si>
    <t>b0200_frmt_0140_ntr_lblty</t>
  </si>
  <si>
    <t>b0200_frmt_0141_ntr_lblty_othr</t>
  </si>
  <si>
    <t>Valor fixo 'Not applicable' no campo Nature of the liability (if other), uma vez que todos os registos são considerados no campo Nature of the liability como "Title of ownership" ou "Registered Bond", não existinto "other".</t>
  </si>
  <si>
    <t>b0200_frmt_0150_flg_strctrlly_sbrdntd</t>
  </si>
  <si>
    <t>Valor fixo 'Not applicable' de acordo com o Anexo III - considerado não aplicável para non-resolution entities.</t>
  </si>
  <si>
    <t>b0200_frmt_0160_rank_insolv</t>
  </si>
  <si>
    <t>b0200_frmt_0161_cntrctl_sbrdntn</t>
  </si>
  <si>
    <t>b0200_frmt_0162_bail_in_cascade</t>
  </si>
  <si>
    <t>b0200_frmt_0170_dt_incptn</t>
  </si>
  <si>
    <t>b0200_frmt_0180_dt_nxt_intrst_pymnt</t>
  </si>
  <si>
    <t>b0200_frmt_0190_dt_nxt_rdmptn_pymnt</t>
  </si>
  <si>
    <t>b0200_frmt_0200_dt_erlst_rdmptn</t>
  </si>
  <si>
    <t>b0200_frmt_0210_dt_lgl_fnl_mtrty</t>
  </si>
  <si>
    <t>b0200_frmt_0220_governing_law</t>
  </si>
  <si>
    <t>b0200_frmt_0230_bail_in_rcgntn_cls</t>
  </si>
  <si>
    <t>b0200_frmt_0240_zero_coupon</t>
  </si>
  <si>
    <t>b0200_frmt_0250_strctrd_prdct</t>
  </si>
  <si>
    <t>b0200_frmt_0260_grntd_min_amnt_strctrd_prdct</t>
  </si>
  <si>
    <t>b0200_frmt_0270_fv_amnt_strctrd_prdct</t>
  </si>
  <si>
    <t>b0200_frmt_0280_flg_ncnp_dpsts</t>
  </si>
  <si>
    <t>b0200_frmt_0290_flg_ncbp_dpsts</t>
  </si>
  <si>
    <t>b0200_frmt_0300_amnt_cvrd_elgbl_dpsts</t>
  </si>
  <si>
    <t>b0200_frmt_0310_flg_clltrl_agrmnts</t>
  </si>
  <si>
    <t>b0200_frmt_0320_amnt_clltrl</t>
  </si>
  <si>
    <t>b0200_frmt_0330_amnt_unclltrlzd</t>
  </si>
  <si>
    <t>b0200_frmt_0340_id_clltrl</t>
  </si>
  <si>
    <t>b0200_frmt_0350_typ_clltrl</t>
  </si>
  <si>
    <t>b0200_frmt_0351_typ_clltrl_othr</t>
  </si>
  <si>
    <t>b0200_frmt_0360_trdng_mthd</t>
  </si>
  <si>
    <t>b0200_frmt_0370_amnt_scrty_eur</t>
  </si>
  <si>
    <t>b0200_frmt_0380_amnt_scrty_fx</t>
  </si>
  <si>
    <t>b0200_frmt_0390_nmbr_scrts_not_rprtng_entty</t>
  </si>
  <si>
    <t>b0200_frmt_0391_nmbr_scrts_rprtng_entty</t>
  </si>
  <si>
    <t>b0200_frmt_0400_accrd_intrst_scrty</t>
  </si>
  <si>
    <t>b0200_frmt_0410_fees_charges_scrty</t>
  </si>
  <si>
    <t>b0200_frmt_0420_fv_amnt_scrty</t>
  </si>
  <si>
    <t>b0200_frmt_0430_prncpl_amnt_glbl_nt_eur</t>
  </si>
  <si>
    <t>b0200_frmt_0431_prncpl_amnt_glbl_nt_fx</t>
  </si>
  <si>
    <t>b0200_frmt_0440_ntr_glbl_nt</t>
  </si>
  <si>
    <t>b0200_frmt_0450_crrnt_pool_fctr</t>
  </si>
  <si>
    <t>b0200_frmt_0460_csd</t>
  </si>
  <si>
    <t>b0200_frmt_0461_csd_lei</t>
  </si>
  <si>
    <t>b0200_frmt_0462_csd_othr</t>
  </si>
  <si>
    <t>Valor fixo 'Not applicable' no campo Central securities depository name (if other), uma vez que todos os registos são considerados no campo Central securities depository name como "INTERBOLSA_PT", não existinto "other".</t>
  </si>
  <si>
    <t>b0200_frmt_0470_pyng_agnt</t>
  </si>
  <si>
    <t>b0200_frmt_0471_pyng_agnt_lei</t>
  </si>
  <si>
    <t>b0200_frmt_0480_trdng_vn</t>
  </si>
  <si>
    <t>b0200_frmt_0481_trdng_vn_lei</t>
  </si>
  <si>
    <t>b0200_frmt_0490_rgstrr</t>
  </si>
  <si>
    <t>b0200_frmt_0491_rgstrr_lei</t>
  </si>
  <si>
    <t>b0200_frmt_0500_nna</t>
  </si>
  <si>
    <t>b0200_frmt_0501_nna_lei</t>
  </si>
  <si>
    <t>b0200_frmt_0510_cmmn_dpstry</t>
  </si>
  <si>
    <t>b0200_frmt_0511_cmmn_dpstry_lei</t>
  </si>
  <si>
    <t>b0200_frmt_0520_cmmn_srvc_prvdr</t>
  </si>
  <si>
    <t>b0200_frmt_0521_cmmn_srvc_prvdr_lei</t>
  </si>
  <si>
    <t>b0200_frmt_0530_typ_own_fnds_ind_lvl</t>
  </si>
  <si>
    <t>b0200_frmt_0540_elgbl_amnt_own_fnds_ind_lvl</t>
  </si>
  <si>
    <t>b0200_frmt_0550_typ_own_fnds_cnsldtd_lvl</t>
  </si>
  <si>
    <t>b0200_frmt_0560_elgbl_amnt_own_fnds_cnsldtd_lvl</t>
  </si>
  <si>
    <t>b0200_frmt_0570_amnt_scrty_intrst_prvdd</t>
  </si>
  <si>
    <t>b0200_frmt_0580_scrty_intrst_prvdr</t>
  </si>
  <si>
    <t>b0200_frmt_0581_scrty_intrst_prvdr_lei</t>
  </si>
  <si>
    <t>b0200_frmt_0590_typ_scrty_intrst_prvdd</t>
  </si>
  <si>
    <t>b0200_frmt_0600_flg_clltrl_asst_pstn</t>
  </si>
  <si>
    <t>b0200_frmt_0610_crryng_amnt_ifrs</t>
  </si>
  <si>
    <t>b0200_frmt_0620_blnc_sht_ifrs</t>
  </si>
  <si>
    <t>b0200_frmt_0630_crrying_amnt_ngaap</t>
  </si>
  <si>
    <t>b0200_frmt_0640_blnc_sht_ngaap</t>
  </si>
  <si>
    <t>Valor fixo 'Not applicable' no campo Balance sheet item at Resolution entity level according to national GAAP, uma vez que o BST é uma non-resolution entity e no caso de Portugal, usa-se o IFRS e não o national GAAP.</t>
  </si>
  <si>
    <t>b0200_frmt_5000_flg_shrhldr_not_rsltn_grp</t>
  </si>
  <si>
    <t>b0200_frmt_5010_flg_art21_7a_srmr</t>
  </si>
  <si>
    <t>b0500_lvl2_h_0030_governing_law</t>
  </si>
  <si>
    <t>b0500_lvl2_h_0050_typ_guarantee</t>
  </si>
  <si>
    <t>b0500_lvl2_h_0060_max_amnt_guarantee</t>
  </si>
  <si>
    <t>b0500_lvl2_h_0070_flg_scrd</t>
  </si>
  <si>
    <t>b0500_lvl2_h_0080_amnt_clltrl</t>
  </si>
  <si>
    <t>b0500_frmt_0010_row_nmbr</t>
  </si>
  <si>
    <t>b0500_frmt_0020_uniq_id_guarantee</t>
  </si>
  <si>
    <t>b0500_frmt_0030_governing_law</t>
  </si>
  <si>
    <t>b0500_frmt_0040_flg_art12g_3_srmr</t>
  </si>
  <si>
    <t>b0500_frmt_0050_typ_guarantee</t>
  </si>
  <si>
    <t>b0500_frmt_0060_max_amnt_guarantee</t>
  </si>
  <si>
    <t>b0500_frmt_0070_flg_scrd</t>
  </si>
  <si>
    <t>b0500_frmt_0080_amnt_clltrl</t>
  </si>
  <si>
    <t>b0500_frmt_0090_guarantee_trggr</t>
  </si>
  <si>
    <t>b0500_frmt_0100_dt_mtrty_clltrl</t>
  </si>
  <si>
    <t>b0500_frmt_0110_scrts_clltrl_id</t>
  </si>
  <si>
    <t>b0500_frmt_0120_typ_clltrlztn</t>
  </si>
  <si>
    <t>b0500_frmt_0130_typ_prtctn_vl</t>
  </si>
  <si>
    <t>Valor fixo 'Not applicable' no campo Type of protection value, uma vez que para o BST só existem garantias pessoais recebidas de clientes intragrupo Santander,ou seja, não existem garantias reais, onde se aplica o conceito de colateral.</t>
  </si>
  <si>
    <t>b0500_frmt_0150_prtctn_vltn_apprch</t>
  </si>
  <si>
    <t>b9000_lvl1_h_0030_cntrprty_rsltn_grp</t>
  </si>
  <si>
    <t>b9000_lvl2_h_0030_cntrprty_rsltn_grp</t>
  </si>
  <si>
    <t>b9000_lvl2_h_0080_cntrprty_typ</t>
  </si>
  <si>
    <t>b9000_lvl2_h_0090_cntry_cntrprty</t>
  </si>
  <si>
    <t xml:space="preserve">Valor '99' de não aplicável no campo Country of the counterparty, segundo email da Corporação (email Pedro Mendes 2025-05-14), no caso do zcliente = '0000000000', reportar valor fixo '99'. </t>
  </si>
  <si>
    <t>b9000_frmt_0010_row_nmbr</t>
  </si>
  <si>
    <t>b9000_frmt_0011_tab_origin</t>
  </si>
  <si>
    <t>b9000_frmt_0020_uniq_id_knwn_cntrprty</t>
  </si>
  <si>
    <t>b9000_frmt_0030_cntrprty_rsltn_grp</t>
  </si>
  <si>
    <t>b9000_frmt_0040_cntrprty_nm</t>
  </si>
  <si>
    <t>b9000_frmt_0050_cntrprty_lei</t>
  </si>
  <si>
    <t>b9000_frmt_0060_typ_cntrprty_id</t>
  </si>
  <si>
    <t>b9000_frmt_0070_cntrprty_id</t>
  </si>
  <si>
    <t>b9000_frmt_0080_cntrprty_typ</t>
  </si>
  <si>
    <t>b9000_frmt_0090_cntry_cntrprty</t>
  </si>
  <si>
    <t>b9000_frmt_0100_rlvnt_amnt_wdc</t>
  </si>
  <si>
    <t>2.3. Controlos de Processo (HUE vs CSV)</t>
  </si>
  <si>
    <t>2.2. Outros Controlos</t>
  </si>
  <si>
    <t>2.1. Controlos Regulamentares</t>
  </si>
  <si>
    <t>Total (#)</t>
  </si>
  <si>
    <t>Formatos</t>
  </si>
  <si>
    <t>TESTE</t>
  </si>
  <si>
    <t>INTEGRIDADE</t>
  </si>
  <si>
    <t>DUPLICADOS</t>
  </si>
  <si>
    <t>Instruções</t>
  </si>
  <si>
    <t>tabela</t>
  </si>
  <si>
    <t>campo</t>
  </si>
  <si>
    <t>tipologia_teste</t>
  </si>
  <si>
    <t>num_reg</t>
  </si>
  <si>
    <t>num_reg_dif</t>
  </si>
  <si>
    <t>BU_LOANTAPE_WORK.OUT_B0500_GUARANTEES</t>
  </si>
  <si>
    <t>0020_UNIQ_ID_GUARANTEE</t>
  </si>
  <si>
    <t>BU_LOANTAPE_WORK.OUT_B9000_COUNTERPARTIES</t>
  </si>
  <si>
    <t>0020_UNIQ_ID_KNWN_CNTRPRTY</t>
  </si>
  <si>
    <t>DETALHE</t>
  </si>
  <si>
    <t>Detalhe</t>
  </si>
  <si>
    <t>NULL</t>
  </si>
  <si>
    <t>detalhe</t>
  </si>
  <si>
    <t>0020_UNIQ_ID_KNWN_CNTRPRTY, 0070_CNTRPRTY_ID</t>
  </si>
  <si>
    <t>Param_RefDate</t>
  </si>
  <si>
    <t>2025-10-31</t>
  </si>
  <si>
    <t>ref_date</t>
  </si>
  <si>
    <t>sem erro'; 'sem erro'; 'sem erro';'sem erro'</t>
  </si>
  <si>
    <t>cod_kpi</t>
  </si>
  <si>
    <t>descrição</t>
  </si>
  <si>
    <t>DUP_B0200_C0020</t>
  </si>
  <si>
    <t>Validar a inexistência de registos duplicados</t>
  </si>
  <si>
    <t>DUP_B0500_C0020</t>
  </si>
  <si>
    <t>DUP_B9000_C0020_C0070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</si>
</sst>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22"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b/>
      <sz val="11"/>
      <color theme="1"/>
      <name val="Arial"/>
      <family val="2"/>
    </font>
    <font>
      <sz val="9"/>
      <color theme="1"/>
      <name val="Arial"/>
      <family val="2"/>
    </font>
    <font>
      <b/>
      <i/>
      <sz val="9"/>
      <color theme="1"/>
      <name val="Arial"/>
      <family val="2"/>
    </font>
    <font>
      <sz val="10"/>
      <color theme="1"/>
      <name val="Aptos Narrow"/>
      <family val="2"/>
      <scheme val="minor"/>
    </font>
    <font>
      <b/>
      <sz val="10"/>
      <color theme="1"/>
      <name val="Aptos Narrow"/>
      <family val="2"/>
      <scheme val="minor"/>
    </font>
    <font>
      <b/>
      <sz val="9"/>
      <color theme="1"/>
      <name val="Arial"/>
      <family val="2"/>
    </font>
    <font>
      <b/>
      <sz val="12"/>
      <color theme="1"/>
      <name val="Arial"/>
      <family val="2"/>
    </font>
    <font>
      <sz val="9"/>
      <color theme="1"/>
      <name val="Aptos Narrow"/>
      <family val="2"/>
      <scheme val="minor"/>
    </font>
    <font>
      <b/>
      <i/>
      <sz val="9"/>
      <color theme="1"/>
      <name val="Aptos Narrow"/>
      <family val="2"/>
      <scheme val="minor"/>
    </font>
    <font>
      <b/>
      <sz val="12"/>
      <color theme="1"/>
      <name val="Aptos Narrow"/>
      <family val="2"/>
      <scheme val="minor"/>
    </font>
    <font>
      <b/>
      <sz val="11"/>
      <color theme="0"/>
      <name val="Aptos Narrow"/>
      <family val="2"/>
      <scheme val="minor"/>
    </font>
    <font>
      <sz val="11"/>
      <color theme="1"/>
      <name val="Arial"/>
      <family val="2"/>
    </font>
    <font>
      <b/>
      <sz val="11"/>
      <color rgb="FFFF0000"/>
      <name val="Arial"/>
      <family val="2"/>
    </font>
    <font>
      <b/>
      <sz val="10"/>
      <color theme="0"/>
      <name val="Arial"/>
      <family val="2"/>
    </font>
    <font>
      <sz val="10"/>
      <color theme="1"/>
      <name val="Arial"/>
      <family val="2"/>
    </font>
    <font>
      <sz val="10"/>
      <color theme="1"/>
      <name val="Arial"/>
    </font>
    <font>
      <sz val="8"/>
      <name val="Aptos Narrow"/>
      <family val="2"/>
      <scheme val="minor"/>
    </font>
  </fonts>
  <fills count="9">
    <fill>
      <patternFill patternType="none"/>
    </fill>
    <fill>
      <patternFill patternType="gray125"/>
    </fill>
    <fill>
      <patternFill patternType="solid">
        <fgColor theme="0" tint="-4.9989318521683403E-2"/>
        <bgColor indexed="64"/>
      </patternFill>
    </fill>
    <fill>
      <patternFill patternType="solid">
        <fgColor rgb="FFFF0000"/>
        <bgColor indexed="64"/>
      </patternFill>
    </fill>
    <fill>
      <patternFill patternType="solid">
        <fgColor theme="0"/>
        <bgColor indexed="64"/>
      </patternFill>
    </fill>
    <fill>
      <patternFill patternType="solid">
        <fgColor theme="2"/>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1" tint="0.499984740745262"/>
        <bgColor indexed="64"/>
      </patternFill>
    </fill>
  </fills>
  <borders count="19">
    <border>
      <left/>
      <right/>
      <top/>
      <bottom/>
      <diagonal/>
    </border>
    <border>
      <left/>
      <right/>
      <top/>
      <bottom style="thick">
        <color rgb="FFFF0000"/>
      </bottom>
      <diagonal/>
    </border>
    <border>
      <left/>
      <right/>
      <top/>
      <bottom style="medium">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top/>
      <bottom style="medium">
        <color rgb="FFFF0000"/>
      </bottom>
      <diagonal/>
    </border>
    <border>
      <left style="thin">
        <color theme="0"/>
      </left>
      <right style="thin">
        <color theme="0"/>
      </right>
      <top style="thin">
        <color theme="0"/>
      </top>
      <bottom style="thin">
        <color theme="0"/>
      </bottom>
      <diagonal/>
    </border>
    <border>
      <left/>
      <right/>
      <top style="thin">
        <color indexed="64"/>
      </top>
      <bottom style="thin">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2">
    <xf numFmtId="0" fontId="0" fillId="0" borderId="0"/>
    <xf numFmtId="9" fontId="1" fillId="0" borderId="0" applyFont="0" applyFill="0" applyBorder="0" applyAlignment="0" applyProtection="0"/>
  </cellStyleXfs>
  <cellXfs count="107">
    <xf numFmtId="0" fontId="0" fillId="0" borderId="0" xfId="0"/>
    <xf numFmtId="0" fontId="0" fillId="0" borderId="0" xfId="0" applyAlignment="1">
      <alignment horizontal="center"/>
    </xf>
    <xf numFmtId="0" fontId="6" fillId="0" borderId="0" xfId="0" applyFont="1"/>
    <xf numFmtId="0" fontId="7" fillId="0" borderId="0" xfId="0" applyFont="1"/>
    <xf numFmtId="0" fontId="6" fillId="0" borderId="1" xfId="0" applyFont="1" applyBorder="1"/>
    <xf numFmtId="0" fontId="6" fillId="2" borderId="0" xfId="0" applyFont="1" applyFill="1"/>
    <xf numFmtId="0" fontId="2" fillId="2" borderId="2" xfId="0" applyFont="1" applyFill="1" applyBorder="1"/>
    <xf numFmtId="0" fontId="0" fillId="2" borderId="2" xfId="0" applyFill="1" applyBorder="1"/>
    <xf numFmtId="0" fontId="4" fillId="3" borderId="3" xfId="0" applyFont="1" applyFill="1" applyBorder="1"/>
    <xf numFmtId="0" fontId="9" fillId="0" borderId="0" xfId="0" applyFont="1"/>
    <xf numFmtId="164" fontId="0" fillId="0" borderId="0" xfId="0" applyNumberFormat="1" applyAlignment="1">
      <alignment horizontal="right"/>
    </xf>
    <xf numFmtId="0" fontId="0" fillId="0" borderId="0" xfId="0" applyAlignment="1">
      <alignment horizontal="left"/>
    </xf>
    <xf numFmtId="0" fontId="5" fillId="2" borderId="0" xfId="0" applyFont="1" applyFill="1"/>
    <xf numFmtId="0" fontId="0" fillId="2" borderId="0" xfId="0" applyFill="1"/>
    <xf numFmtId="0" fontId="6" fillId="2" borderId="0" xfId="0" applyFont="1" applyFill="1" applyAlignment="1">
      <alignment horizontal="centerContinuous"/>
    </xf>
    <xf numFmtId="0" fontId="3" fillId="2" borderId="0" xfId="0" applyFont="1" applyFill="1"/>
    <xf numFmtId="164" fontId="0" fillId="2" borderId="0" xfId="0" applyNumberFormat="1" applyFill="1"/>
    <xf numFmtId="0" fontId="0" fillId="2" borderId="0" xfId="0" applyFill="1" applyAlignment="1">
      <alignment horizontal="center"/>
    </xf>
    <xf numFmtId="0" fontId="8" fillId="4" borderId="0" xfId="0" applyFont="1" applyFill="1"/>
    <xf numFmtId="0" fontId="8" fillId="2" borderId="0" xfId="0" applyFont="1" applyFill="1" applyAlignment="1">
      <alignment horizontal="center"/>
    </xf>
    <xf numFmtId="0" fontId="6" fillId="4" borderId="6" xfId="0" applyFont="1" applyFill="1" applyBorder="1"/>
    <xf numFmtId="0" fontId="6" fillId="4" borderId="7" xfId="0" applyFont="1" applyFill="1" applyBorder="1"/>
    <xf numFmtId="1" fontId="0" fillId="0" borderId="3" xfId="0" applyNumberFormat="1" applyBorder="1" applyAlignment="1">
      <alignment horizontal="center" vertical="center"/>
    </xf>
    <xf numFmtId="165" fontId="0" fillId="0" borderId="3" xfId="1" applyNumberFormat="1" applyFont="1" applyBorder="1" applyAlignment="1">
      <alignment horizontal="center" vertical="center"/>
    </xf>
    <xf numFmtId="0" fontId="1" fillId="0" borderId="3" xfId="1" applyNumberFormat="1" applyFont="1" applyFill="1" applyBorder="1" applyAlignment="1">
      <alignment horizontal="center" vertical="center"/>
    </xf>
    <xf numFmtId="1" fontId="1" fillId="0" borderId="3" xfId="1" applyNumberFormat="1" applyFont="1" applyFill="1" applyBorder="1" applyAlignment="1">
      <alignment horizontal="center" vertical="center"/>
    </xf>
    <xf numFmtId="0" fontId="5" fillId="4" borderId="0" xfId="0" applyFont="1" applyFill="1" applyAlignment="1">
      <alignment horizontal="centerContinuous"/>
    </xf>
    <xf numFmtId="0" fontId="3" fillId="4" borderId="0" xfId="0" applyFont="1" applyFill="1" applyAlignment="1">
      <alignment horizontal="centerContinuous"/>
    </xf>
    <xf numFmtId="0" fontId="10" fillId="4" borderId="9" xfId="0" applyFont="1" applyFill="1" applyBorder="1" applyAlignment="1">
      <alignment horizontal="centerContinuous"/>
    </xf>
    <xf numFmtId="0" fontId="0" fillId="4" borderId="12" xfId="0" applyFill="1" applyBorder="1"/>
    <xf numFmtId="0" fontId="5" fillId="4" borderId="12" xfId="0" applyFont="1" applyFill="1" applyBorder="1"/>
    <xf numFmtId="0" fontId="6" fillId="4" borderId="10" xfId="0" applyFont="1" applyFill="1" applyBorder="1"/>
    <xf numFmtId="0" fontId="0" fillId="4" borderId="13" xfId="0" applyFill="1" applyBorder="1"/>
    <xf numFmtId="0" fontId="5" fillId="4" borderId="13" xfId="0" applyFont="1" applyFill="1" applyBorder="1"/>
    <xf numFmtId="0" fontId="6" fillId="4" borderId="11" xfId="0" applyFont="1" applyFill="1" applyBorder="1"/>
    <xf numFmtId="0" fontId="11" fillId="4" borderId="8" xfId="0" applyFont="1" applyFill="1" applyBorder="1" applyAlignment="1">
      <alignment horizontal="centerContinuous"/>
    </xf>
    <xf numFmtId="1" fontId="0" fillId="0" borderId="3" xfId="0" applyNumberFormat="1" applyBorder="1" applyAlignment="1">
      <alignment horizontal="left" vertical="center" indent="1"/>
    </xf>
    <xf numFmtId="1" fontId="0" fillId="0" borderId="3" xfId="0" applyNumberFormat="1" applyBorder="1" applyAlignment="1">
      <alignment horizontal="left" vertical="center" indent="2"/>
    </xf>
    <xf numFmtId="0" fontId="0" fillId="0" borderId="3" xfId="0" applyBorder="1" applyAlignment="1">
      <alignment horizontal="left" vertical="center" indent="2"/>
    </xf>
    <xf numFmtId="1" fontId="3" fillId="5" borderId="3" xfId="0" applyNumberFormat="1" applyFont="1" applyFill="1" applyBorder="1" applyAlignment="1">
      <alignment horizontal="left" vertical="center"/>
    </xf>
    <xf numFmtId="1" fontId="0" fillId="5" borderId="3" xfId="0" applyNumberFormat="1" applyFill="1" applyBorder="1" applyAlignment="1">
      <alignment horizontal="center" vertical="center"/>
    </xf>
    <xf numFmtId="0" fontId="1" fillId="5" borderId="3" xfId="1" applyNumberFormat="1" applyFont="1" applyFill="1" applyBorder="1" applyAlignment="1">
      <alignment horizontal="center" vertical="center"/>
    </xf>
    <xf numFmtId="165" fontId="0" fillId="5" borderId="3" xfId="1" applyNumberFormat="1" applyFont="1" applyFill="1" applyBorder="1" applyAlignment="1">
      <alignment horizontal="center" vertical="center"/>
    </xf>
    <xf numFmtId="1" fontId="1" fillId="5" borderId="3" xfId="1" applyNumberFormat="1" applyFont="1" applyFill="1" applyBorder="1" applyAlignment="1">
      <alignment horizontal="center" vertical="center"/>
    </xf>
    <xf numFmtId="0" fontId="6" fillId="4" borderId="12" xfId="0" applyFont="1" applyFill="1" applyBorder="1"/>
    <xf numFmtId="0" fontId="11" fillId="4" borderId="0" xfId="0" applyFont="1" applyFill="1" applyAlignment="1">
      <alignment horizontal="centerContinuous"/>
    </xf>
    <xf numFmtId="0" fontId="6" fillId="4" borderId="13" xfId="0" applyFont="1" applyFill="1" applyBorder="1"/>
    <xf numFmtId="0" fontId="0" fillId="0" borderId="3" xfId="1" applyNumberFormat="1" applyFont="1" applyBorder="1" applyAlignment="1">
      <alignment horizontal="center" vertical="center"/>
    </xf>
    <xf numFmtId="0" fontId="0" fillId="5" borderId="3" xfId="1" applyNumberFormat="1" applyFont="1" applyFill="1" applyBorder="1" applyAlignment="1">
      <alignment horizontal="center" vertical="center"/>
    </xf>
    <xf numFmtId="0" fontId="3" fillId="0" borderId="0" xfId="0" applyFont="1"/>
    <xf numFmtId="0" fontId="12" fillId="0" borderId="0" xfId="0" applyFont="1"/>
    <xf numFmtId="0" fontId="13" fillId="0" borderId="0" xfId="0" applyFont="1"/>
    <xf numFmtId="0" fontId="12" fillId="0" borderId="1" xfId="0" applyFont="1" applyBorder="1"/>
    <xf numFmtId="0" fontId="12" fillId="2" borderId="0" xfId="0" applyFont="1" applyFill="1"/>
    <xf numFmtId="14" fontId="0" fillId="2" borderId="3" xfId="0" applyNumberFormat="1" applyFill="1" applyBorder="1" applyAlignment="1">
      <alignment horizontal="center"/>
    </xf>
    <xf numFmtId="0" fontId="12" fillId="2" borderId="0" xfId="0" applyFont="1" applyFill="1" applyAlignment="1">
      <alignment horizontal="centerContinuous"/>
    </xf>
    <xf numFmtId="0" fontId="3" fillId="2" borderId="0" xfId="0" applyFont="1" applyFill="1" applyAlignment="1">
      <alignment horizontal="centerContinuous"/>
    </xf>
    <xf numFmtId="0" fontId="12" fillId="4" borderId="6" xfId="0" applyFont="1" applyFill="1" applyBorder="1"/>
    <xf numFmtId="0" fontId="12" fillId="4" borderId="7" xfId="0" applyFont="1" applyFill="1" applyBorder="1"/>
    <xf numFmtId="0" fontId="3" fillId="0" borderId="8" xfId="0" applyFont="1" applyBorder="1" applyAlignment="1">
      <alignment horizontal="centerContinuous" vertical="top"/>
    </xf>
    <xf numFmtId="0" fontId="3" fillId="0" borderId="9" xfId="0" applyFont="1" applyBorder="1" applyAlignment="1">
      <alignment horizontal="centerContinuous" vertical="top"/>
    </xf>
    <xf numFmtId="0" fontId="12" fillId="4" borderId="10" xfId="0" applyFont="1" applyFill="1" applyBorder="1" applyAlignment="1">
      <alignment horizontal="center"/>
    </xf>
    <xf numFmtId="0" fontId="12" fillId="4" borderId="11" xfId="0" applyFont="1" applyFill="1" applyBorder="1" applyAlignment="1">
      <alignment horizontal="center"/>
    </xf>
    <xf numFmtId="0" fontId="12" fillId="2" borderId="0" xfId="0" applyFont="1" applyFill="1" applyAlignment="1">
      <alignment horizontal="center"/>
    </xf>
    <xf numFmtId="0" fontId="0" fillId="4" borderId="0" xfId="0" applyFill="1"/>
    <xf numFmtId="49" fontId="0" fillId="2" borderId="3" xfId="0" applyNumberFormat="1" applyFill="1" applyBorder="1" applyAlignment="1">
      <alignment horizontal="center"/>
    </xf>
    <xf numFmtId="49" fontId="0" fillId="2" borderId="0" xfId="0" applyNumberFormat="1" applyFill="1" applyAlignment="1">
      <alignment horizontal="center"/>
    </xf>
    <xf numFmtId="0" fontId="14" fillId="4" borderId="0" xfId="0" applyFont="1" applyFill="1" applyAlignment="1">
      <alignment horizontal="centerContinuous"/>
    </xf>
    <xf numFmtId="0" fontId="16" fillId="2" borderId="0" xfId="0" applyFont="1" applyFill="1"/>
    <xf numFmtId="0" fontId="16" fillId="3" borderId="0" xfId="0" applyFont="1" applyFill="1"/>
    <xf numFmtId="0" fontId="16" fillId="0" borderId="0" xfId="0" applyFont="1"/>
    <xf numFmtId="0" fontId="17" fillId="0" borderId="14" xfId="0" applyFont="1" applyBorder="1"/>
    <xf numFmtId="0" fontId="16" fillId="0" borderId="14" xfId="0" applyFont="1" applyBorder="1"/>
    <xf numFmtId="0" fontId="15" fillId="6" borderId="3" xfId="0" applyFont="1" applyFill="1" applyBorder="1" applyAlignment="1">
      <alignment vertical="center"/>
    </xf>
    <xf numFmtId="1" fontId="4" fillId="6" borderId="3" xfId="0" applyNumberFormat="1" applyFont="1" applyFill="1" applyBorder="1" applyAlignment="1">
      <alignment horizontal="center" vertical="center"/>
    </xf>
    <xf numFmtId="0" fontId="4" fillId="6" borderId="3" xfId="1" applyNumberFormat="1" applyFont="1" applyFill="1" applyBorder="1" applyAlignment="1">
      <alignment horizontal="center" vertical="center"/>
    </xf>
    <xf numFmtId="165" fontId="4" fillId="6" borderId="3" xfId="1" applyNumberFormat="1" applyFont="1" applyFill="1" applyBorder="1" applyAlignment="1">
      <alignment horizontal="center" vertical="center"/>
    </xf>
    <xf numFmtId="1" fontId="4" fillId="6" borderId="3" xfId="1" applyNumberFormat="1" applyFont="1" applyFill="1" applyBorder="1" applyAlignment="1">
      <alignment horizontal="center" vertical="center"/>
    </xf>
    <xf numFmtId="0" fontId="15" fillId="6" borderId="3" xfId="0" applyFont="1" applyFill="1" applyBorder="1" applyAlignment="1">
      <alignment horizontal="left" vertical="center"/>
    </xf>
    <xf numFmtId="0" fontId="15" fillId="3" borderId="3" xfId="0" applyFont="1" applyFill="1" applyBorder="1" applyAlignment="1">
      <alignment horizontal="center" vertical="center"/>
    </xf>
    <xf numFmtId="1" fontId="0" fillId="7" borderId="3" xfId="0" applyNumberFormat="1" applyFill="1" applyBorder="1" applyAlignment="1">
      <alignment horizontal="left" vertical="center" indent="1"/>
    </xf>
    <xf numFmtId="1" fontId="0" fillId="7" borderId="3" xfId="0" applyNumberFormat="1" applyFill="1" applyBorder="1" applyAlignment="1">
      <alignment horizontal="center" vertical="center"/>
    </xf>
    <xf numFmtId="0" fontId="1" fillId="7" borderId="3" xfId="1" applyNumberFormat="1" applyFont="1" applyFill="1" applyBorder="1" applyAlignment="1">
      <alignment horizontal="center" vertical="center"/>
    </xf>
    <xf numFmtId="165" fontId="0" fillId="7" borderId="3" xfId="1" applyNumberFormat="1" applyFont="1" applyFill="1" applyBorder="1" applyAlignment="1">
      <alignment horizontal="center" vertical="center"/>
    </xf>
    <xf numFmtId="1" fontId="1" fillId="7" borderId="3" xfId="1" applyNumberFormat="1" applyFont="1" applyFill="1" applyBorder="1" applyAlignment="1">
      <alignment horizontal="center" vertical="center"/>
    </xf>
    <xf numFmtId="0" fontId="0" fillId="7" borderId="3" xfId="1" applyNumberFormat="1" applyFont="1" applyFill="1" applyBorder="1" applyAlignment="1">
      <alignment horizontal="center" vertical="center"/>
    </xf>
    <xf numFmtId="0" fontId="18" fillId="8" borderId="15" xfId="0" applyFont="1" applyFill="1" applyBorder="1" applyAlignment="1">
      <alignment horizontal="center"/>
    </xf>
    <xf numFmtId="0" fontId="19" fillId="2" borderId="15" xfId="0" applyFont="1" applyFill="1" applyBorder="1"/>
    <xf numFmtId="0" fontId="19" fillId="2" borderId="15" xfId="0" applyFont="1" applyFill="1" applyBorder="1" applyAlignment="1">
      <alignment horizontal="center"/>
    </xf>
    <xf numFmtId="0" fontId="17" fillId="2" borderId="14" xfId="0" applyFont="1" applyFill="1" applyBorder="1"/>
    <xf numFmtId="0" fontId="16" fillId="2" borderId="14" xfId="0" applyFont="1" applyFill="1" applyBorder="1"/>
    <xf numFmtId="0" fontId="19" fillId="2" borderId="15" xfId="0" applyFont="1" applyFill="1" applyBorder="1" applyAlignment="1">
      <alignment horizontal="left" vertical="top"/>
    </xf>
    <xf numFmtId="0" fontId="19" fillId="2" borderId="15" xfId="0" applyFont="1" applyFill="1" applyBorder="1" applyAlignment="1">
      <alignment horizontal="left"/>
    </xf>
    <xf numFmtId="0" fontId="18" fillId="3" borderId="15" xfId="0" applyFont="1" applyFill="1" applyBorder="1" applyAlignment="1">
      <alignment horizontal="center" vertical="center"/>
    </xf>
    <xf numFmtId="0" fontId="0" fillId="0" borderId="12" xfId="0" applyBorder="1"/>
    <xf numFmtId="0" fontId="0" fillId="0" borderId="13" xfId="0" applyBorder="1"/>
    <xf numFmtId="0" fontId="0" fillId="0" borderId="0" xfId="0" applyAlignment="1">
      <alignment horizontal="centerContinuous"/>
    </xf>
    <xf numFmtId="0" fontId="4" fillId="3" borderId="17" xfId="0" applyFont="1" applyFill="1" applyBorder="1"/>
    <xf numFmtId="0" fontId="4" fillId="3" borderId="18" xfId="0" applyFont="1" applyFill="1" applyBorder="1"/>
    <xf numFmtId="0" fontId="16" fillId="2" borderId="0" xfId="0" applyFont="1" applyFill="1" applyAlignment="1">
      <alignment wrapText="1"/>
    </xf>
    <xf numFmtId="0" fontId="20" fillId="2" borderId="15" xfId="0" applyFont="1" applyFill="1" applyBorder="1"/>
    <xf numFmtId="0" fontId="20" fillId="2" borderId="15" xfId="0" applyFont="1" applyFill="1" applyBorder="1" applyAlignment="1">
      <alignment horizontal="center"/>
    </xf>
    <xf numFmtId="0" fontId="0" fillId="0" borderId="0" xfId="0" quotePrefix="1"/>
    <xf numFmtId="0" fontId="19" fillId="2" borderId="15" xfId="0" quotePrefix="1" applyFont="1" applyFill="1" applyBorder="1" applyAlignment="1">
      <alignment horizontal="center"/>
    </xf>
    <xf numFmtId="0" fontId="9" fillId="4" borderId="4" xfId="0" applyFont="1" applyFill="1" applyBorder="1" applyAlignment="1">
      <alignment horizontal="center" vertical="top"/>
    </xf>
    <xf numFmtId="0" fontId="9" fillId="4" borderId="5" xfId="0" applyFont="1" applyFill="1" applyBorder="1" applyAlignment="1">
      <alignment horizontal="center" vertical="top"/>
    </xf>
    <xf numFmtId="0" fontId="9" fillId="4" borderId="16" xfId="0" applyFont="1" applyFill="1" applyBorder="1" applyAlignment="1">
      <alignment horizontal="center" vertical="top"/>
    </xf>
  </cellXfs>
  <cellStyles count="2">
    <cellStyle name="Normal" xfId="0" builtinId="0"/>
    <cellStyle name="Percent" xfId="1" builtinId="5"/>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F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r>
              <a:rPr lang="pt-PT" b="1"/>
              <a:t>Número de Controlos - Tabelas Output</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endParaRPr lang="pt-PT"/>
        </a:p>
      </c:txPr>
    </c:title>
    <c:autoTitleDeleted val="0"/>
    <c:plotArea>
      <c:layout/>
      <c:barChart>
        <c:barDir val="bar"/>
        <c:grouping val="clustered"/>
        <c:varyColors val="0"/>
        <c:ser>
          <c:idx val="5"/>
          <c:order val="1"/>
          <c:tx>
            <c:strRef>
              <c:f>'1. Dashboard'!$I$36</c:f>
              <c:strCache>
                <c:ptCount val="1"/>
                <c:pt idx="0">
                  <c:v>NOK (#)</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Dashboard'!$C$37:$C$66</c15:sqref>
                  </c15:fullRef>
                </c:ext>
              </c:extLst>
              <c:f>('1. Dashboard'!$C$37,'1. Dashboard'!$C$47,'1. Dashboard'!$C$57)</c:f>
              <c:strCache>
                <c:ptCount val="3"/>
                <c:pt idx="0">
                  <c:v>B02.00</c:v>
                </c:pt>
                <c:pt idx="1">
                  <c:v>B05.00</c:v>
                </c:pt>
                <c:pt idx="2">
                  <c:v>B90.00</c:v>
                </c:pt>
              </c:strCache>
            </c:strRef>
          </c:cat>
          <c:val>
            <c:numRef>
              <c:extLst>
                <c:ext xmlns:c15="http://schemas.microsoft.com/office/drawing/2012/chart" uri="{02D57815-91ED-43cb-92C2-25804820EDAC}">
                  <c15:fullRef>
                    <c15:sqref>'1. Dashboard'!$I$37:$I$66</c15:sqref>
                  </c15:fullRef>
                </c:ext>
              </c:extLst>
              <c:f>('1. Dashboard'!$I$37,'1. Dashboard'!$I$47,'1. Dashboard'!$I$57)</c:f>
              <c:numCache>
                <c:formatCode>General</c:formatCode>
                <c:ptCount val="3"/>
                <c:pt idx="0">
                  <c:v>33</c:v>
                </c:pt>
                <c:pt idx="1">
                  <c:v>1</c:v>
                </c:pt>
                <c:pt idx="2">
                  <c:v>1</c:v>
                </c:pt>
              </c:numCache>
            </c:numRef>
          </c:val>
          <c:extLst>
            <c:ext xmlns:c16="http://schemas.microsoft.com/office/drawing/2014/chart" uri="{C3380CC4-5D6E-409C-BE32-E72D297353CC}">
              <c16:uniqueId val="{00000000-7FAB-47A0-9185-F969C5F12A7A}"/>
            </c:ext>
          </c:extLst>
        </c:ser>
        <c:ser>
          <c:idx val="3"/>
          <c:order val="2"/>
          <c:tx>
            <c:strRef>
              <c:f>'1. Dashboard'!$G$36</c:f>
              <c:strCache>
                <c:ptCount val="1"/>
                <c:pt idx="0">
                  <c:v>NOK Justificados(#)</c:v>
                </c:pt>
              </c:strCache>
            </c:strRef>
          </c:tx>
          <c:spPr>
            <a:solidFill>
              <a:srgbClr val="FFFFC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Dashboard'!$C$37:$C$66</c15:sqref>
                  </c15:fullRef>
                </c:ext>
              </c:extLst>
              <c:f>('1. Dashboard'!$C$37,'1. Dashboard'!$C$47,'1. Dashboard'!$C$57)</c:f>
              <c:strCache>
                <c:ptCount val="3"/>
                <c:pt idx="0">
                  <c:v>B02.00</c:v>
                </c:pt>
                <c:pt idx="1">
                  <c:v>B05.00</c:v>
                </c:pt>
                <c:pt idx="2">
                  <c:v>B90.00</c:v>
                </c:pt>
              </c:strCache>
            </c:strRef>
          </c:cat>
          <c:val>
            <c:numRef>
              <c:extLst>
                <c:ext xmlns:c15="http://schemas.microsoft.com/office/drawing/2012/chart" uri="{02D57815-91ED-43cb-92C2-25804820EDAC}">
                  <c15:fullRef>
                    <c15:sqref>'1. Dashboard'!$G$37:$G$66</c15:sqref>
                  </c15:fullRef>
                </c:ext>
              </c:extLst>
              <c:f>('1. Dashboard'!$G$37,'1. Dashboard'!$G$47,'1. Dashboard'!$G$57)</c:f>
              <c:numCache>
                <c:formatCode>0</c:formatCode>
                <c:ptCount val="3"/>
                <c:pt idx="0">
                  <c:v>8</c:v>
                </c:pt>
                <c:pt idx="1">
                  <c:v>2</c:v>
                </c:pt>
                <c:pt idx="2">
                  <c:v>2</c:v>
                </c:pt>
              </c:numCache>
            </c:numRef>
          </c:val>
          <c:extLst>
            <c:ext xmlns:c16="http://schemas.microsoft.com/office/drawing/2014/chart" uri="{C3380CC4-5D6E-409C-BE32-E72D297353CC}">
              <c16:uniqueId val="{00000003-0830-49D1-BBCB-B860BF64F30C}"/>
            </c:ext>
          </c:extLst>
        </c:ser>
        <c:ser>
          <c:idx val="1"/>
          <c:order val="3"/>
          <c:tx>
            <c:strRef>
              <c:f>'1. Dashboard'!$E$36</c:f>
              <c:strCache>
                <c:ptCount val="1"/>
                <c:pt idx="0">
                  <c:v>OK (#)</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Dashboard'!$C$37:$C$66</c15:sqref>
                  </c15:fullRef>
                </c:ext>
              </c:extLst>
              <c:f>('1. Dashboard'!$C$37,'1. Dashboard'!$C$47,'1. Dashboard'!$C$57)</c:f>
              <c:strCache>
                <c:ptCount val="3"/>
                <c:pt idx="0">
                  <c:v>B02.00</c:v>
                </c:pt>
                <c:pt idx="1">
                  <c:v>B05.00</c:v>
                </c:pt>
                <c:pt idx="2">
                  <c:v>B90.00</c:v>
                </c:pt>
              </c:strCache>
            </c:strRef>
          </c:cat>
          <c:val>
            <c:numRef>
              <c:extLst>
                <c:ext xmlns:c15="http://schemas.microsoft.com/office/drawing/2012/chart" uri="{02D57815-91ED-43cb-92C2-25804820EDAC}">
                  <c15:fullRef>
                    <c15:sqref>'1. Dashboard'!$E$37:$E$66</c15:sqref>
                  </c15:fullRef>
                </c:ext>
              </c:extLst>
              <c:f>('1. Dashboard'!$E$37,'1. Dashboard'!$E$47,'1. Dashboard'!$E$57)</c:f>
              <c:numCache>
                <c:formatCode>0</c:formatCode>
                <c:ptCount val="3"/>
                <c:pt idx="0" formatCode="General">
                  <c:v>258</c:v>
                </c:pt>
                <c:pt idx="1" formatCode="General">
                  <c:v>17</c:v>
                </c:pt>
                <c:pt idx="2" formatCode="General">
                  <c:v>13</c:v>
                </c:pt>
              </c:numCache>
            </c:numRef>
          </c:val>
          <c:extLst>
            <c:ext xmlns:c16="http://schemas.microsoft.com/office/drawing/2014/chart" uri="{C3380CC4-5D6E-409C-BE32-E72D297353CC}">
              <c16:uniqueId val="{00000001-0830-49D1-BBCB-B860BF64F30C}"/>
            </c:ext>
          </c:extLst>
        </c:ser>
        <c:dLbls>
          <c:dLblPos val="outEnd"/>
          <c:showLegendKey val="0"/>
          <c:showVal val="1"/>
          <c:showCatName val="0"/>
          <c:showSerName val="0"/>
          <c:showPercent val="0"/>
          <c:showBubbleSize val="0"/>
        </c:dLbls>
        <c:gapWidth val="182"/>
        <c:axId val="906315535"/>
        <c:axId val="906305455"/>
        <c:extLst>
          <c:ext xmlns:c15="http://schemas.microsoft.com/office/drawing/2012/chart" uri="{02D57815-91ED-43cb-92C2-25804820EDAC}">
            <c15:filteredBarSeries>
              <c15:ser>
                <c:idx val="0"/>
                <c:order val="0"/>
                <c:tx>
                  <c:strRef>
                    <c:extLst>
                      <c:ext uri="{02D57815-91ED-43cb-92C2-25804820EDAC}">
                        <c15:formulaRef>
                          <c15:sqref>'1. Dashboard'!$D$36</c15:sqref>
                        </c15:formulaRef>
                      </c:ext>
                    </c:extLst>
                    <c:strCache>
                      <c:ptCount val="1"/>
                      <c:pt idx="0">
                        <c:v>Total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'1. Dashboard'!$C$37:$C$66</c15:sqref>
                        </c15:fullRef>
                        <c15:formulaRef>
                          <c15:sqref>('1. Dashboard'!$C$37,'1. Dashboard'!$C$47,'1. Dashboard'!$C$57)</c15:sqref>
                        </c15:formulaRef>
                      </c:ext>
                    </c:extLst>
                    <c:strCache>
                      <c:ptCount val="3"/>
                      <c:pt idx="0">
                        <c:v>B02.00</c:v>
                      </c:pt>
                      <c:pt idx="1">
                        <c:v>B05.00</c:v>
                      </c:pt>
                      <c:pt idx="2">
                        <c:v>B90.00</c:v>
                      </c:pt>
                    </c:strCache>
                  </c:strRef>
                </c:cat>
                <c:val>
                  <c:numRef>
                    <c:extLst>
                      <c:ext uri="{02D57815-91ED-43cb-92C2-25804820EDAC}">
                        <c15:fullRef>
                          <c15:sqref>'1. Dashboard'!$D$37:$D$66</c15:sqref>
                        </c15:fullRef>
                        <c15:formulaRef>
                          <c15:sqref>('1. Dashboard'!$D$37,'1. Dashboard'!$D$47,'1. Dashboard'!$D$57)</c15:sqref>
                        </c15:formulaRef>
                      </c:ext>
                    </c:extLst>
                    <c:numCache>
                      <c:formatCode>0</c:formatCode>
                      <c:ptCount val="3"/>
                      <c:pt idx="0">
                        <c:v>304</c:v>
                      </c:pt>
                      <c:pt idx="1">
                        <c:v>20</c:v>
                      </c:pt>
                      <c:pt idx="2">
                        <c:v>16</c:v>
                      </c:pt>
                    </c:numCache>
                  </c:numRef>
                </c:val>
                <c:extLst>
                  <c:ext xmlns:c16="http://schemas.microsoft.com/office/drawing/2014/chart" uri="{C3380CC4-5D6E-409C-BE32-E72D297353CC}">
                    <c16:uniqueId val="{00000000-0830-49D1-BBCB-B860BF64F30C}"/>
                  </c:ext>
                </c:extLst>
              </c15:ser>
            </c15:filteredBarSeries>
            <c15:filteredBarSeries>
              <c15:ser>
                <c:idx val="2"/>
                <c:order val="4"/>
                <c:tx>
                  <c:strRef>
                    <c:extLst xmlns:c15="http://schemas.microsoft.com/office/drawing/2012/chart">
                      <c:ext xmlns:c15="http://schemas.microsoft.com/office/drawing/2012/chart" uri="{02D57815-91ED-43cb-92C2-25804820EDAC}">
                        <c15:formulaRef>
                          <c15:sqref>'1. Dashboard'!$F$36</c15:sqref>
                        </c15:formulaRef>
                      </c:ext>
                    </c:extLst>
                    <c:strCache>
                      <c:ptCount val="1"/>
                      <c:pt idx="0">
                        <c:v>OK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Dashboard'!$C$37:$C$66</c15:sqref>
                        </c15:fullRef>
                        <c15:formulaRef>
                          <c15:sqref>('1. Dashboard'!$C$37,'1. Dashboard'!$C$47,'1. Dashboard'!$C$57)</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Dashboard'!$F$37:$F$66</c15:sqref>
                        </c15:fullRef>
                        <c15:formulaRef>
                          <c15:sqref>('1. Dashboard'!$F$37,'1. Dashboard'!$F$47,'1. Dashboard'!$F$57)</c15:sqref>
                        </c15:formulaRef>
                      </c:ext>
                    </c:extLst>
                    <c:numCache>
                      <c:formatCode>0.0%</c:formatCode>
                      <c:ptCount val="3"/>
                      <c:pt idx="0">
                        <c:v>0.84868421052631582</c:v>
                      </c:pt>
                      <c:pt idx="1">
                        <c:v>0.85</c:v>
                      </c:pt>
                      <c:pt idx="2">
                        <c:v>0.8125</c:v>
                      </c:pt>
                    </c:numCache>
                  </c:numRef>
                </c:val>
                <c:extLst xmlns:c15="http://schemas.microsoft.com/office/drawing/2012/chart">
                  <c:ext xmlns:c16="http://schemas.microsoft.com/office/drawing/2014/chart" uri="{C3380CC4-5D6E-409C-BE32-E72D297353CC}">
                    <c16:uniqueId val="{00000002-0830-49D1-BBCB-B860BF64F30C}"/>
                  </c:ext>
                </c:extLst>
              </c15:ser>
            </c15:filteredBarSeries>
            <c15:filteredBarSeries>
              <c15:ser>
                <c:idx val="4"/>
                <c:order val="5"/>
                <c:tx>
                  <c:strRef>
                    <c:extLst xmlns:c15="http://schemas.microsoft.com/office/drawing/2012/chart">
                      <c:ext xmlns:c15="http://schemas.microsoft.com/office/drawing/2012/chart" uri="{02D57815-91ED-43cb-92C2-25804820EDAC}">
                        <c15:formulaRef>
                          <c15:sqref>'1. Dashboard'!$H$36</c15:sqref>
                        </c15:formulaRef>
                      </c:ext>
                    </c:extLst>
                    <c:strCache>
                      <c:ptCount val="1"/>
                      <c:pt idx="0">
                        <c:v>NOK Justificados (%)</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Dashboard'!$C$37:$C$66</c15:sqref>
                        </c15:fullRef>
                        <c15:formulaRef>
                          <c15:sqref>('1. Dashboard'!$C$37,'1. Dashboard'!$C$47,'1. Dashboard'!$C$57)</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Dashboard'!$H$37:$H$66</c15:sqref>
                        </c15:fullRef>
                        <c15:formulaRef>
                          <c15:sqref>('1. Dashboard'!$H$37,'1. Dashboard'!$H$47,'1. Dashboard'!$H$57)</c15:sqref>
                        </c15:formulaRef>
                      </c:ext>
                    </c:extLst>
                    <c:numCache>
                      <c:formatCode>0.0%</c:formatCode>
                      <c:ptCount val="3"/>
                      <c:pt idx="0">
                        <c:v>2.6315789473684209E-2</c:v>
                      </c:pt>
                      <c:pt idx="1">
                        <c:v>0.1</c:v>
                      </c:pt>
                      <c:pt idx="2">
                        <c:v>0.125</c:v>
                      </c:pt>
                    </c:numCache>
                  </c:numRef>
                </c:val>
                <c:extLst xmlns:c15="http://schemas.microsoft.com/office/drawing/2012/chart">
                  <c:ext xmlns:c16="http://schemas.microsoft.com/office/drawing/2014/chart" uri="{C3380CC4-5D6E-409C-BE32-E72D297353CC}">
                    <c16:uniqueId val="{00000004-0830-49D1-BBCB-B860BF64F30C}"/>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'1. Dashboard'!$J$36</c15:sqref>
                        </c15:formulaRef>
                      </c:ext>
                    </c:extLst>
                    <c:strCache>
                      <c:ptCount val="1"/>
                      <c:pt idx="0">
                        <c:v>NOK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Dashboard'!$C$37:$C$66</c15:sqref>
                        </c15:fullRef>
                        <c15:formulaRef>
                          <c15:sqref>('1. Dashboard'!$C$37,'1. Dashboard'!$C$47,'1. Dashboard'!$C$57)</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Dashboard'!$J$37:$J$66</c15:sqref>
                        </c15:fullRef>
                        <c15:formulaRef>
                          <c15:sqref>('1. Dashboard'!$J$37,'1. Dashboard'!$J$47,'1. Dashboard'!$J$57)</c15:sqref>
                        </c15:formulaRef>
                      </c:ext>
                    </c:extLst>
                    <c:numCache>
                      <c:formatCode>0.0%</c:formatCode>
                      <c:ptCount val="3"/>
                      <c:pt idx="0">
                        <c:v>0.10855263157894737</c:v>
                      </c:pt>
                      <c:pt idx="1">
                        <c:v>0.05</c:v>
                      </c:pt>
                      <c:pt idx="2">
                        <c:v>6.25E-2</c:v>
                      </c:pt>
                    </c:numCache>
                  </c:numRef>
                </c:val>
                <c:extLst xmlns:c15="http://schemas.microsoft.com/office/drawing/2012/chart">
                  <c:ext xmlns:c16="http://schemas.microsoft.com/office/drawing/2014/chart" uri="{C3380CC4-5D6E-409C-BE32-E72D297353CC}">
                    <c16:uniqueId val="{00000001-7FAB-47A0-9185-F969C5F12A7A}"/>
                  </c:ext>
                </c:extLst>
              </c15:ser>
            </c15:filteredBarSeries>
          </c:ext>
        </c:extLst>
      </c:barChart>
      <c:catAx>
        <c:axId val="90631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PT"/>
          </a:p>
        </c:txPr>
        <c:crossAx val="906305455"/>
        <c:crosses val="autoZero"/>
        <c:auto val="1"/>
        <c:lblAlgn val="ctr"/>
        <c:lblOffset val="100"/>
        <c:noMultiLvlLbl val="0"/>
      </c:catAx>
      <c:valAx>
        <c:axId val="906305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pt-PT"/>
          </a:p>
        </c:txPr>
        <c:crossAx val="906315535"/>
        <c:crosses val="autoZero"/>
        <c:crossBetween val="between"/>
      </c:valAx>
      <c:spPr>
        <a:noFill/>
        <a:ln>
          <a:noFill/>
        </a:ln>
        <a:effectLst/>
      </c:spPr>
    </c:plotArea>
    <c:legend>
      <c:legendPos val="b"/>
      <c:layout>
        <c:manualLayout>
          <c:xMode val="edge"/>
          <c:yMode val="edge"/>
          <c:x val="0.28558475719626097"/>
          <c:y val="0.93226304340701416"/>
          <c:w val="0.43547473072016385"/>
          <c:h val="5.049694479453455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pt-PT" sz="1400" b="1" i="0" u="none" strike="noStrike" kern="1200" spc="0" baseline="0">
                <a:solidFill>
                  <a:sysClr val="windowText" lastClr="000000"/>
                </a:solidFill>
              </a:rPr>
              <a:t>Número de Controlos - Processo (HUE vs CSV)</a:t>
            </a:r>
            <a:endParaRPr lang="pt-PT"/>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pt-PT"/>
        </a:p>
      </c:txPr>
    </c:title>
    <c:autoTitleDeleted val="0"/>
    <c:plotArea>
      <c:layout/>
      <c:barChart>
        <c:barDir val="col"/>
        <c:grouping val="percentStacked"/>
        <c:varyColors val="0"/>
        <c:ser>
          <c:idx val="2"/>
          <c:order val="2"/>
          <c:tx>
            <c:strRef>
              <c:f>'1. Dashboard'!$F$72</c:f>
              <c:strCache>
                <c:ptCount val="1"/>
                <c:pt idx="0">
                  <c:v>OK (%)</c:v>
                </c:pt>
              </c:strCache>
            </c:strRef>
          </c:tx>
          <c:spPr>
            <a:solidFill>
              <a:srgbClr val="92D05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Dashboard'!$C$73:$C$78</c15:sqref>
                  </c15:fullRef>
                </c:ext>
              </c:extLst>
              <c:f>('1. Dashboard'!$C$73,'1. Dashboard'!$C$75,'1. Dashboard'!$C$77)</c:f>
              <c:strCache>
                <c:ptCount val="3"/>
                <c:pt idx="0">
                  <c:v>B02.00</c:v>
                </c:pt>
                <c:pt idx="1">
                  <c:v>B05.00</c:v>
                </c:pt>
                <c:pt idx="2">
                  <c:v>B90.00</c:v>
                </c:pt>
              </c:strCache>
            </c:strRef>
          </c:cat>
          <c:val>
            <c:numRef>
              <c:extLst>
                <c:ext xmlns:c15="http://schemas.microsoft.com/office/drawing/2012/chart" uri="{02D57815-91ED-43cb-92C2-25804820EDAC}">
                  <c15:fullRef>
                    <c15:sqref>'1. Dashboard'!$F$73:$F$78</c15:sqref>
                  </c15:fullRef>
                </c:ext>
              </c:extLst>
              <c:f>('1. Dashboard'!$F$73,'1. Dashboard'!$F$75,'1. Dashboard'!$F$77)</c:f>
              <c:numCache>
                <c:formatCode>0.0%</c:formatCode>
                <c:ptCount val="3"/>
                <c:pt idx="0">
                  <c:v>0.8</c:v>
                </c:pt>
                <c:pt idx="1">
                  <c:v>0.15</c:v>
                </c:pt>
                <c:pt idx="2">
                  <c:v>0.8</c:v>
                </c:pt>
              </c:numCache>
            </c:numRef>
          </c:val>
          <c:extLst>
            <c:ext xmlns:c16="http://schemas.microsoft.com/office/drawing/2014/chart" uri="{C3380CC4-5D6E-409C-BE32-E72D297353CC}">
              <c16:uniqueId val="{00000002-5CDA-40EA-8310-8F36F1C00F74}"/>
            </c:ext>
          </c:extLst>
        </c:ser>
        <c:ser>
          <c:idx val="4"/>
          <c:order val="4"/>
          <c:tx>
            <c:strRef>
              <c:f>'1. Dashboard'!$H$72</c:f>
              <c:strCache>
                <c:ptCount val="1"/>
                <c:pt idx="0">
                  <c:v>NOK Justificados (%)</c:v>
                </c:pt>
              </c:strCache>
            </c:strRef>
          </c:tx>
          <c:spPr>
            <a:solidFill>
              <a:srgbClr val="FFFFCD"/>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Dashboard'!$C$73:$C$78</c15:sqref>
                  </c15:fullRef>
                </c:ext>
              </c:extLst>
              <c:f>('1. Dashboard'!$C$73,'1. Dashboard'!$C$75,'1. Dashboard'!$C$77)</c:f>
              <c:strCache>
                <c:ptCount val="3"/>
                <c:pt idx="0">
                  <c:v>B02.00</c:v>
                </c:pt>
                <c:pt idx="1">
                  <c:v>B05.00</c:v>
                </c:pt>
                <c:pt idx="2">
                  <c:v>B90.00</c:v>
                </c:pt>
              </c:strCache>
            </c:strRef>
          </c:cat>
          <c:val>
            <c:numRef>
              <c:extLst>
                <c:ext xmlns:c15="http://schemas.microsoft.com/office/drawing/2012/chart" uri="{02D57815-91ED-43cb-92C2-25804820EDAC}">
                  <c15:fullRef>
                    <c15:sqref>'1. Dashboard'!$H$73:$H$78</c15:sqref>
                  </c15:fullRef>
                </c:ext>
              </c:extLst>
              <c:f>('1. Dashboard'!$H$73,'1. Dashboard'!$H$75,'1. Dashboard'!$H$77)</c:f>
              <c:numCache>
                <c:formatCode>0.0%</c:formatCode>
                <c:ptCount val="3"/>
                <c:pt idx="0">
                  <c:v>0.15</c:v>
                </c:pt>
                <c:pt idx="1">
                  <c:v>0.1</c:v>
                </c:pt>
                <c:pt idx="2">
                  <c:v>0.1</c:v>
                </c:pt>
              </c:numCache>
            </c:numRef>
          </c:val>
          <c:extLst>
            <c:ext xmlns:c16="http://schemas.microsoft.com/office/drawing/2014/chart" uri="{C3380CC4-5D6E-409C-BE32-E72D297353CC}">
              <c16:uniqueId val="{00000004-5CDA-40EA-8310-8F36F1C00F74}"/>
            </c:ext>
          </c:extLst>
        </c:ser>
        <c:ser>
          <c:idx val="6"/>
          <c:order val="6"/>
          <c:tx>
            <c:strRef>
              <c:f>'1. Dashboard'!$J$72</c:f>
              <c:strCache>
                <c:ptCount val="1"/>
                <c:pt idx="0">
                  <c:v>NOK (%)</c:v>
                </c:pt>
              </c:strCache>
            </c:strRef>
          </c:tx>
          <c:spPr>
            <a:solidFill>
              <a:srgbClr val="FF00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Dashboard'!$C$73:$C$78</c15:sqref>
                  </c15:fullRef>
                </c:ext>
              </c:extLst>
              <c:f>('1. Dashboard'!$C$73,'1. Dashboard'!$C$75,'1. Dashboard'!$C$77)</c:f>
              <c:strCache>
                <c:ptCount val="3"/>
                <c:pt idx="0">
                  <c:v>B02.00</c:v>
                </c:pt>
                <c:pt idx="1">
                  <c:v>B05.00</c:v>
                </c:pt>
                <c:pt idx="2">
                  <c:v>B90.00</c:v>
                </c:pt>
              </c:strCache>
            </c:strRef>
          </c:cat>
          <c:val>
            <c:numRef>
              <c:extLst>
                <c:ext xmlns:c15="http://schemas.microsoft.com/office/drawing/2012/chart" uri="{02D57815-91ED-43cb-92C2-25804820EDAC}">
                  <c15:fullRef>
                    <c15:sqref>'1. Dashboard'!$J$73:$J$78</c15:sqref>
                  </c15:fullRef>
                </c:ext>
              </c:extLst>
              <c:f>('1. Dashboard'!$J$73,'1. Dashboard'!$J$75,'1. Dashboard'!$J$77)</c:f>
              <c:numCache>
                <c:formatCode>0.0%</c:formatCode>
                <c:ptCount val="3"/>
                <c:pt idx="0">
                  <c:v>0.05</c:v>
                </c:pt>
                <c:pt idx="1">
                  <c:v>0.75</c:v>
                </c:pt>
                <c:pt idx="2">
                  <c:v>0.1</c:v>
                </c:pt>
              </c:numCache>
            </c:numRef>
          </c:val>
          <c:extLst>
            <c:ext xmlns:c16="http://schemas.microsoft.com/office/drawing/2014/chart" uri="{C3380CC4-5D6E-409C-BE32-E72D297353CC}">
              <c16:uniqueId val="{00000006-5CDA-40EA-8310-8F36F1C00F74}"/>
            </c:ext>
          </c:extLst>
        </c:ser>
        <c:dLbls>
          <c:dLblPos val="ctr"/>
          <c:showLegendKey val="0"/>
          <c:showVal val="1"/>
          <c:showCatName val="0"/>
          <c:showSerName val="0"/>
          <c:showPercent val="0"/>
          <c:showBubbleSize val="0"/>
        </c:dLbls>
        <c:gapWidth val="150"/>
        <c:overlap val="100"/>
        <c:axId val="1859720559"/>
        <c:axId val="1859721999"/>
        <c:extLst>
          <c:ext xmlns:c15="http://schemas.microsoft.com/office/drawing/2012/chart" uri="{02D57815-91ED-43cb-92C2-25804820EDAC}">
            <c15:filteredBarSeries>
              <c15:ser>
                <c:idx val="0"/>
                <c:order val="0"/>
                <c:tx>
                  <c:strRef>
                    <c:extLst>
                      <c:ext uri="{02D57815-91ED-43cb-92C2-25804820EDAC}">
                        <c15:formulaRef>
                          <c15:sqref>'1. Dashboard'!$D$72</c15:sqref>
                        </c15:formulaRef>
                      </c:ext>
                    </c:extLst>
                    <c:strCache>
                      <c:ptCount val="1"/>
                      <c:pt idx="0">
                        <c:v>Total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'1. Dashboard'!$C$73:$C$78</c15:sqref>
                        </c15:fullRef>
                        <c15:formulaRef>
                          <c15:sqref>('1. Dashboard'!$C$73,'1. Dashboard'!$C$75,'1. Dashboard'!$C$77)</c15:sqref>
                        </c15:formulaRef>
                      </c:ext>
                    </c:extLst>
                    <c:strCache>
                      <c:ptCount val="3"/>
                      <c:pt idx="0">
                        <c:v>B02.00</c:v>
                      </c:pt>
                      <c:pt idx="1">
                        <c:v>B05.00</c:v>
                      </c:pt>
                      <c:pt idx="2">
                        <c:v>B90.00</c:v>
                      </c:pt>
                    </c:strCache>
                  </c:strRef>
                </c:cat>
                <c:val>
                  <c:numRef>
                    <c:extLst>
                      <c:ext uri="{02D57815-91ED-43cb-92C2-25804820EDAC}">
                        <c15:fullRef>
                          <c15:sqref>'1. Dashboard'!$D$73:$D$78</c15:sqref>
                        </c15:fullRef>
                        <c15:formulaRef>
                          <c15:sqref>('1. Dashboard'!$D$73,'1. Dashboard'!$D$75,'1. Dashboard'!$D$77)</c15:sqref>
                        </c15:formulaRef>
                      </c:ext>
                    </c:extLst>
                    <c:numCache>
                      <c:formatCode>0</c:formatCode>
                      <c:ptCount val="3"/>
                      <c:pt idx="0">
                        <c:v>20</c:v>
                      </c:pt>
                      <c:pt idx="1">
                        <c:v>20</c:v>
                      </c:pt>
                      <c:pt idx="2">
                        <c:v>10</c:v>
                      </c:pt>
                    </c:numCache>
                  </c:numRef>
                </c:val>
                <c:extLst>
                  <c:ext xmlns:c16="http://schemas.microsoft.com/office/drawing/2014/chart" uri="{C3380CC4-5D6E-409C-BE32-E72D297353CC}">
                    <c16:uniqueId val="{00000000-5CDA-40EA-8310-8F36F1C00F74}"/>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'1. Dashboard'!$E$72</c15:sqref>
                        </c15:formulaRef>
                      </c:ext>
                    </c:extLst>
                    <c:strCache>
                      <c:ptCount val="1"/>
                      <c:pt idx="0">
                        <c:v>OK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Dashboard'!$C$73:$C$78</c15:sqref>
                        </c15:fullRef>
                        <c15:formulaRef>
                          <c15:sqref>('1. Dashboard'!$C$73,'1. Dashboard'!$C$75,'1. Dashboard'!$C$77)</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Dashboard'!$E$73:$E$78</c15:sqref>
                        </c15:fullRef>
                        <c15:formulaRef>
                          <c15:sqref>('1. Dashboard'!$E$73,'1. Dashboard'!$E$75,'1. Dashboard'!$E$77)</c15:sqref>
                        </c15:formulaRef>
                      </c:ext>
                    </c:extLst>
                    <c:numCache>
                      <c:formatCode>General</c:formatCode>
                      <c:ptCount val="3"/>
                      <c:pt idx="0">
                        <c:v>16</c:v>
                      </c:pt>
                      <c:pt idx="1">
                        <c:v>3</c:v>
                      </c:pt>
                      <c:pt idx="2">
                        <c:v>8</c:v>
                      </c:pt>
                    </c:numCache>
                  </c:numRef>
                </c:val>
                <c:extLst xmlns:c15="http://schemas.microsoft.com/office/drawing/2012/chart">
                  <c:ext xmlns:c16="http://schemas.microsoft.com/office/drawing/2014/chart" uri="{C3380CC4-5D6E-409C-BE32-E72D297353CC}">
                    <c16:uniqueId val="{00000001-5CDA-40EA-8310-8F36F1C00F74}"/>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'1. Dashboard'!$G$72</c15:sqref>
                        </c15:formulaRef>
                      </c:ext>
                    </c:extLst>
                    <c:strCache>
                      <c:ptCount val="1"/>
                      <c:pt idx="0">
                        <c:v>NOK Justificados(#)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Dashboard'!$C$73:$C$78</c15:sqref>
                        </c15:fullRef>
                        <c15:formulaRef>
                          <c15:sqref>('1. Dashboard'!$C$73,'1. Dashboard'!$C$75,'1. Dashboard'!$C$77)</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Dashboard'!$G$73:$G$78</c15:sqref>
                        </c15:fullRef>
                        <c15:formulaRef>
                          <c15:sqref>('1. Dashboard'!$G$73,'1. Dashboard'!$G$75,'1. Dashboard'!$G$77)</c15:sqref>
                        </c15:formulaRef>
                      </c:ext>
                    </c:extLst>
                    <c:numCache>
                      <c:formatCode>0</c:formatCode>
                      <c:ptCount val="3"/>
                      <c:pt idx="0">
                        <c:v>3</c:v>
                      </c:pt>
                      <c:pt idx="1">
                        <c:v>2</c:v>
                      </c:pt>
                      <c:pt idx="2">
                        <c:v>1</c:v>
                      </c:pt>
                    </c:numCache>
                  </c:numRef>
                </c:val>
                <c:extLst xmlns:c15="http://schemas.microsoft.com/office/drawing/2012/chart">
                  <c:ext xmlns:c16="http://schemas.microsoft.com/office/drawing/2014/chart" uri="{C3380CC4-5D6E-409C-BE32-E72D297353CC}">
                    <c16:uniqueId val="{00000003-5CDA-40EA-8310-8F36F1C00F74}"/>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'1. Dashboard'!$I$72</c15:sqref>
                        </c15:formulaRef>
                      </c:ext>
                    </c:extLst>
                    <c:strCache>
                      <c:ptCount val="1"/>
                      <c:pt idx="0">
                        <c:v>NOK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Dashboard'!$C$73:$C$78</c15:sqref>
                        </c15:fullRef>
                        <c15:formulaRef>
                          <c15:sqref>('1. Dashboard'!$C$73,'1. Dashboard'!$C$75,'1. Dashboard'!$C$77)</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Dashboard'!$I$73:$I$78</c15:sqref>
                        </c15:fullRef>
                        <c15:formulaRef>
                          <c15:sqref>('1. Dashboard'!$I$73,'1. Dashboard'!$I$75,'1. Dashboard'!$I$77)</c15:sqref>
                        </c15:formulaRef>
                      </c:ext>
                    </c:extLst>
                    <c:numCache>
                      <c:formatCode>0</c:formatCode>
                      <c:ptCount val="3"/>
                      <c:pt idx="0">
                        <c:v>1</c:v>
                      </c:pt>
                      <c:pt idx="1">
                        <c:v>15</c:v>
                      </c:pt>
                      <c:pt idx="2">
                        <c:v>1</c:v>
                      </c:pt>
                    </c:numCache>
                  </c:numRef>
                </c:val>
                <c:extLst xmlns:c15="http://schemas.microsoft.com/office/drawing/2012/chart">
                  <c:ext xmlns:c16="http://schemas.microsoft.com/office/drawing/2014/chart" uri="{C3380CC4-5D6E-409C-BE32-E72D297353CC}">
                    <c16:uniqueId val="{00000005-5CDA-40EA-8310-8F36F1C00F74}"/>
                  </c:ext>
                </c:extLst>
              </c15:ser>
            </c15:filteredBarSeries>
          </c:ext>
        </c:extLst>
      </c:barChart>
      <c:catAx>
        <c:axId val="185972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PT"/>
          </a:p>
        </c:txPr>
        <c:crossAx val="1859721999"/>
        <c:crosses val="autoZero"/>
        <c:auto val="1"/>
        <c:lblAlgn val="ctr"/>
        <c:lblOffset val="100"/>
        <c:noMultiLvlLbl val="0"/>
      </c:catAx>
      <c:valAx>
        <c:axId val="18597219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pt-PT"/>
          </a:p>
        </c:txPr>
        <c:crossAx val="1859720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Dashboard'!$C$37</c:f>
              <c:strCache>
                <c:ptCount val="1"/>
                <c:pt idx="0">
                  <c:v>B02.00</c:v>
                </c:pt>
              </c:strCache>
            </c:strRef>
          </c:tx>
          <c:dPt>
            <c:idx val="0"/>
            <c:bubble3D val="0"/>
            <c:spPr>
              <a:solidFill>
                <a:srgbClr val="92D050"/>
              </a:solidFill>
              <a:ln>
                <a:noFill/>
              </a:ln>
              <a:effectLst/>
            </c:spPr>
            <c:extLst>
              <c:ext xmlns:c16="http://schemas.microsoft.com/office/drawing/2014/chart" uri="{C3380CC4-5D6E-409C-BE32-E72D297353CC}">
                <c16:uniqueId val="{00000014-28D2-4CE4-9E8B-F44DAE75BF29}"/>
              </c:ext>
            </c:extLst>
          </c:dPt>
          <c:dPt>
            <c:idx val="1"/>
            <c:bubble3D val="0"/>
            <c:spPr>
              <a:solidFill>
                <a:srgbClr val="FFFFCD"/>
              </a:solidFill>
              <a:ln>
                <a:noFill/>
              </a:ln>
              <a:effectLst/>
            </c:spPr>
            <c:extLst>
              <c:ext xmlns:c16="http://schemas.microsoft.com/office/drawing/2014/chart" uri="{C3380CC4-5D6E-409C-BE32-E72D297353CC}">
                <c16:uniqueId val="{00000016-28D2-4CE4-9E8B-F44DAE75BF29}"/>
              </c:ext>
            </c:extLst>
          </c:dPt>
          <c:dPt>
            <c:idx val="2"/>
            <c:bubble3D val="0"/>
            <c:spPr>
              <a:solidFill>
                <a:srgbClr val="FF0000"/>
              </a:solidFill>
              <a:ln>
                <a:noFill/>
              </a:ln>
              <a:effectLst/>
            </c:spPr>
            <c:extLst>
              <c:ext xmlns:c16="http://schemas.microsoft.com/office/drawing/2014/chart" uri="{C3380CC4-5D6E-409C-BE32-E72D297353CC}">
                <c16:uniqueId val="{00000015-28D2-4CE4-9E8B-F44DAE75BF29}"/>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ext>
              </c:extLst>
              <c:f>('1. Dashboard'!$F$36,'1. Dashboard'!$H$36,'1. Dashboard'!$J$36)</c:f>
              <c:strCache>
                <c:ptCount val="3"/>
                <c:pt idx="0">
                  <c:v>OK (%)</c:v>
                </c:pt>
                <c:pt idx="1">
                  <c:v>NOK Justificados (%)</c:v>
                </c:pt>
                <c:pt idx="2">
                  <c:v>NOK (%)</c:v>
                </c:pt>
              </c:strCache>
            </c:strRef>
          </c:cat>
          <c:val>
            <c:numRef>
              <c:extLst>
                <c:ext xmlns:c15="http://schemas.microsoft.com/office/drawing/2012/chart" uri="{02D57815-91ED-43cb-92C2-25804820EDAC}">
                  <c15:fullRef>
                    <c15:sqref>'1. Dashboard'!$D$37:$J$37</c15:sqref>
                  </c15:fullRef>
                </c:ext>
              </c:extLst>
              <c:f>('1. Dashboard'!$F$37,'1. Dashboard'!$H$37,'1. Dashboard'!$J$37)</c:f>
              <c:numCache>
                <c:formatCode>General</c:formatCode>
                <c:ptCount val="3"/>
                <c:pt idx="0" formatCode="0.0%">
                  <c:v>0.84868421052631582</c:v>
                </c:pt>
                <c:pt idx="1" formatCode="0.0%">
                  <c:v>2.6315789473684209E-2</c:v>
                </c:pt>
                <c:pt idx="2" formatCode="0.0%">
                  <c:v>0.10855263157894737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0830-49D1-BBCB-B860BF64F30C}"/>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1"/>
                <c:order val="1"/>
                <c:tx>
                  <c:strRef>
                    <c:extLst>
                      <c:ext uri="{02D57815-91ED-43cb-92C2-25804820EDAC}">
                        <c15:formulaRef>
                          <c15:sqref>'1. Dashboard'!$C$38</c15:sqref>
                        </c15:formulaRef>
                      </c:ext>
                    </c:extLst>
                    <c:strCache>
                      <c:ptCount val="1"/>
                      <c:pt idx="0">
                        <c:v>Regulamentares (SRB)</c:v>
                      </c:pt>
                    </c:strCache>
                  </c:strRef>
                </c:tx>
                <c:dPt>
                  <c:idx val="0"/>
                  <c:bubble3D val="0"/>
                  <c:spPr>
                    <a:solidFill>
                      <a:schemeClr val="accent1"/>
                    </a:solidFill>
                    <a:ln>
                      <a:noFill/>
                    </a:ln>
                    <a:effectLst/>
                  </c:spPr>
                  <c:extLst>
                    <c:ext xmlns:c16="http://schemas.microsoft.com/office/drawing/2014/chart" uri="{C3380CC4-5D6E-409C-BE32-E72D297353CC}">
                      <c16:uniqueId val="{0000000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0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0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uri="{02D57815-91ED-43cb-92C2-25804820EDAC}">
                        <c15:fullRef>
                          <c15:sqref>'1. Dashboard'!$D$38:$J$38</c15:sqref>
                        </c15:fullRef>
                        <c15:formulaRef>
                          <c15:sqref>('1. Dashboard'!$F$38,'1. Dashboard'!$H$38,'1. Dashboard'!$J$38)</c15:sqref>
                        </c15:formulaRef>
                      </c:ext>
                    </c:extLst>
                    <c:numCache>
                      <c:formatCode>0</c:formatCode>
                      <c:ptCount val="3"/>
                      <c:pt idx="0" formatCode="0.0%">
                        <c:v>0.85897435897435892</c:v>
                      </c:pt>
                      <c:pt idx="1" formatCode="0.0%">
                        <c:v>3.8461538461538464E-2</c:v>
                      </c:pt>
                      <c:pt idx="2" formatCode="0.0%">
                        <c:v>7.0512820512820512E-2</c:v>
                      </c:pt>
                    </c:numCache>
                  </c:numRef>
                </c:val>
                <c:extLst>
                  <c:ext uri="{02D57815-91ED-43cb-92C2-25804820EDAC}">
                    <c15:categoryFilterExceptions/>
                  </c:ext>
                  <c:ext xmlns:c16="http://schemas.microsoft.com/office/drawing/2014/chart" uri="{C3380CC4-5D6E-409C-BE32-E72D297353CC}">
                    <c16:uniqueId val="{00000001-0830-49D1-BBCB-B860BF64F30C}"/>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'1. Dashboard'!$C$39</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0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1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Dashboard'!$D$39:$J$39</c15:sqref>
                        </c15:fullRef>
                        <c15:formulaRef>
                          <c15:sqref>('1. Dashboard'!$F$39,'1. Dashboard'!$H$39,'1. Dashboard'!$J$39)</c15:sqref>
                        </c15:formulaRef>
                      </c:ext>
                    </c:extLst>
                    <c:numCache>
                      <c:formatCode>General</c:formatCode>
                      <c:ptCount val="3"/>
                      <c:pt idx="0" formatCode="0.0%">
                        <c:v>0.84126984126984128</c:v>
                      </c:pt>
                      <c:pt idx="1" formatCode="0.0%">
                        <c:v>0</c:v>
                      </c:pt>
                      <c:pt idx="2" formatCode="0.0%">
                        <c:v>7.9365079365079361E-2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0830-49D1-BBCB-B860BF64F30C}"/>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'1. Dashboard'!$C$40</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3-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15-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17-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Dashboard'!$D$40:$J$40</c15:sqref>
                        </c15:fullRef>
                        <c15:formulaRef>
                          <c15:sqref>('1. Dashboard'!$F$40,'1. Dashboard'!$H$40,'1. Dashboard'!$J$40)</c15:sqref>
                        </c15:formulaRef>
                      </c:ext>
                    </c:extLst>
                    <c:numCache>
                      <c:formatCode>General</c:formatCode>
                      <c:ptCount val="3"/>
                      <c:pt idx="0" formatCode="0.0%">
                        <c:v>0.91666666666666663</c:v>
                      </c:pt>
                      <c:pt idx="1" formatCode="0.0%">
                        <c:v>0</c:v>
                      </c:pt>
                      <c:pt idx="2" formatCode="0.0%">
                        <c:v>8.3333333333333329E-2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0830-49D1-BBCB-B860BF64F30C}"/>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'1. Dashboard'!$C$42</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9-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1B-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1D-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Dashboard'!$D$42:$J$42</c15:sqref>
                        </c15:fullRef>
                        <c15:formulaRef>
                          <c15:sqref>('1. Dashboard'!$F$42,'1. Dashboard'!$H$42,'1. Dashboard'!$J$42)</c15:sqref>
                        </c15:formulaRef>
                      </c:ext>
                    </c:extLst>
                    <c:numCache>
                      <c:formatCode>General</c:formatCode>
                      <c:ptCount val="3"/>
                      <c:pt idx="0" formatCode="0.0%">
                        <c:v>0.83783783783783783</c:v>
                      </c:pt>
                      <c:pt idx="1" formatCode="0.0%">
                        <c:v>1.3513513513513514E-2</c:v>
                      </c:pt>
                      <c:pt idx="2" formatCode="0.0%">
                        <c:v>0.14864864864864866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0830-49D1-BBCB-B860BF64F30C}"/>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'1. Dashboard'!$C$43</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21-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23-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Dashboard'!$D$43:$J$43</c15:sqref>
                        </c15:fullRef>
                        <c15:formulaRef>
                          <c15:sqref>('1. Dashboard'!$F$43,'1. Dashboard'!$H$43,'1. Dashboard'!$J$43)</c15:sqref>
                        </c15:formulaRef>
                      </c:ext>
                    </c:extLst>
                    <c:numCache>
                      <c:formatCode>General</c:formatCode>
                      <c:ptCount val="3"/>
                      <c:pt idx="0" formatCode="0.0%">
                        <c:v>0.95890410958904104</c:v>
                      </c:pt>
                      <c:pt idx="1" formatCode="0.0%">
                        <c:v>1.3698630136986301E-2</c:v>
                      </c:pt>
                      <c:pt idx="2" formatCode="0.0%">
                        <c:v>2.7397260273972601E-2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7FAB-47A0-9185-F969C5F12A7A}"/>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'1. Dashboard'!$C$44</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5-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27-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29-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Dashboard'!$D$44:$J$44</c15:sqref>
                        </c15:fullRef>
                        <c15:formulaRef>
                          <c15:sqref>('1. Dashboard'!$F$44,'1. Dashboard'!$H$44,'1. Dashboard'!$J$44)</c15:sqref>
                        </c15:formulaRef>
                      </c:ext>
                    </c:extLst>
                    <c:numCache>
                      <c:formatCode>General</c:formatCode>
                      <c:ptCount val="3"/>
                      <c:pt idx="0" formatCode="0.0%">
                        <c:v>0.71232876712328763</c:v>
                      </c:pt>
                      <c:pt idx="1" formatCode="0.0%">
                        <c:v>1.3698630136986301E-2</c:v>
                      </c:pt>
                      <c:pt idx="2" formatCode="0.0%">
                        <c:v>0.27397260273972601</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7FAB-47A0-9185-F969C5F12A7A}"/>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'1. Dashboard'!$C$45</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B-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2D-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2F-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Dashboard'!$D$45:$J$45</c15:sqref>
                        </c15:fullRef>
                        <c15:formulaRef>
                          <c15:sqref>('1. Dashboard'!$F$45,'1. Dashboard'!$H$45,'1. Dashboard'!$J$45)</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28D2-4CE4-9E8B-F44DAE75BF2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'1. Dashboard'!$C$46</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1-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33-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35-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Dashboard'!$D$46:$J$46</c15:sqref>
                        </c15:fullRef>
                        <c15:formulaRef>
                          <c15:sqref>('1. Dashboard'!$F$46,'1. Dashboard'!$H$46,'1. Dashboard'!$J$46)</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28D2-4CE4-9E8B-F44DAE75BF29}"/>
                  </c:ext>
                </c:extLst>
              </c15:ser>
            </c15:filteredPieSeries>
            <c15:filteredPieSeries>
              <c15:ser>
                <c:idx val="9"/>
                <c:order val="9"/>
                <c:tx>
                  <c:strRef>
                    <c:extLst xmlns:c15="http://schemas.microsoft.com/office/drawing/2012/chart">
                      <c:ext xmlns:c15="http://schemas.microsoft.com/office/drawing/2012/chart" uri="{02D57815-91ED-43cb-92C2-25804820EDAC}">
                        <c15:formulaRef>
                          <c15:sqref>'1. Dashboard'!$C$47</c15:sqref>
                        </c15:formulaRef>
                      </c:ext>
                    </c:extLst>
                    <c:strCache>
                      <c:ptCount val="1"/>
                      <c:pt idx="0">
                        <c:v>B05.00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3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3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Dashboard'!$D$47:$J$47</c15:sqref>
                        </c15:fullRef>
                        <c15:formulaRef>
                          <c15:sqref>('1. Dashboard'!$F$47,'1. Dashboard'!$H$47,'1. Dashboard'!$J$47)</c15:sqref>
                        </c15:formulaRef>
                      </c:ext>
                    </c:extLst>
                    <c:numCache>
                      <c:formatCode>General</c:formatCode>
                      <c:ptCount val="3"/>
                      <c:pt idx="0" formatCode="0.0%">
                        <c:v>0.85</c:v>
                      </c:pt>
                      <c:pt idx="1" formatCode="0.0%">
                        <c:v>0.1</c:v>
                      </c:pt>
                      <c:pt idx="2" formatCode="0.0%">
                        <c:v>0.05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28D2-4CE4-9E8B-F44DAE75BF29}"/>
                  </c:ext>
                </c:extLst>
              </c15:ser>
            </c15:filteredPieSeries>
            <c15:filteredPieSeries>
              <c15:ser>
                <c:idx val="10"/>
                <c:order val="10"/>
                <c:tx>
                  <c:strRef>
                    <c:extLst xmlns:c15="http://schemas.microsoft.com/office/drawing/2012/chart">
                      <c:ext xmlns:c15="http://schemas.microsoft.com/office/drawing/2012/chart" uri="{02D57815-91ED-43cb-92C2-25804820EDAC}">
                        <c15:formulaRef>
                          <c15:sqref>'1. Dashboard'!$C$48</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3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4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Dashboard'!$D$48:$J$48</c15:sqref>
                        </c15:fullRef>
                        <c15:formulaRef>
                          <c15:sqref>('1. Dashboard'!$F$48,'1. Dashboard'!$H$48,'1. Dashboard'!$J$48)</c15:sqref>
                        </c15:formulaRef>
                      </c:ext>
                    </c:extLst>
                    <c:numCache>
                      <c:formatCode>0</c:formatCode>
                      <c:ptCount val="3"/>
                      <c:pt idx="0" formatCode="0.0%">
                        <c:v>0.84210526315789469</c:v>
                      </c:pt>
                      <c:pt idx="1" formatCode="0.0%">
                        <c:v>0.10526315789473684</c:v>
                      </c:pt>
                      <c:pt idx="2" formatCode="0.0%">
                        <c:v>5.2631578947368418E-2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28D2-4CE4-9E8B-F44DAE75BF29}"/>
                  </c:ext>
                </c:extLst>
              </c15:ser>
            </c15:filteredPieSeries>
            <c15:filteredPieSeries>
              <c15:ser>
                <c:idx val="11"/>
                <c:order val="11"/>
                <c:tx>
                  <c:strRef>
                    <c:extLst xmlns:c15="http://schemas.microsoft.com/office/drawing/2012/chart">
                      <c:ext xmlns:c15="http://schemas.microsoft.com/office/drawing/2012/chart" uri="{02D57815-91ED-43cb-92C2-25804820EDAC}">
                        <c15:formulaRef>
                          <c15:sqref>'1. Dashboard'!$C$49</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45-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47-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Dashboard'!$D$49:$J$49</c15:sqref>
                        </c15:fullRef>
                        <c15:formulaRef>
                          <c15:sqref>('1. Dashboard'!$F$49,'1. Dashboard'!$H$49,'1. Dashboard'!$J$49)</c15:sqref>
                        </c15:formulaRef>
                      </c:ext>
                    </c:extLst>
                    <c:numCache>
                      <c:formatCode>General</c:formatCode>
                      <c:ptCount val="3"/>
                      <c:pt idx="0" formatCode="0.0%">
                        <c:v>0.8</c:v>
                      </c:pt>
                      <c:pt idx="1" formatCode="0.0%">
                        <c:v>0</c:v>
                      </c:pt>
                      <c:pt idx="2" formatCode="0.0%">
                        <c:v>0.2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28D2-4CE4-9E8B-F44DAE75BF29}"/>
                  </c:ext>
                </c:extLst>
              </c15:ser>
            </c15:filteredPieSeries>
            <c15:filteredPieSeries>
              <c15:ser>
                <c:idx val="12"/>
                <c:order val="12"/>
                <c:tx>
                  <c:strRef>
                    <c:extLst xmlns:c15="http://schemas.microsoft.com/office/drawing/2012/chart">
                      <c:ext xmlns:c15="http://schemas.microsoft.com/office/drawing/2012/chart" uri="{02D57815-91ED-43cb-92C2-25804820EDAC}">
                        <c15:formulaRef>
                          <c15:sqref>'1. Dashboard'!$C$50</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9-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4B-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4D-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Dashboard'!$D$50:$J$50</c15:sqref>
                        </c15:fullRef>
                        <c15:formulaRef>
                          <c15:sqref>('1. Dashboard'!$F$50,'1. Dashboard'!$H$50,'1. Dashboard'!$J$50)</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5-28D2-4CE4-9E8B-F44DAE75BF29}"/>
                  </c:ext>
                </c:extLst>
              </c15:ser>
            </c15:filteredPieSeries>
            <c15:filteredPieSeries>
              <c15:ser>
                <c:idx val="13"/>
                <c:order val="13"/>
                <c:tx>
                  <c:strRef>
                    <c:extLst xmlns:c15="http://schemas.microsoft.com/office/drawing/2012/chart">
                      <c:ext xmlns:c15="http://schemas.microsoft.com/office/drawing/2012/chart" uri="{02D57815-91ED-43cb-92C2-25804820EDAC}">
                        <c15:formulaRef>
                          <c15:sqref>'1. Dashboard'!$C$52</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F-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51-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53-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Dashboard'!$D$52:$J$52</c15:sqref>
                        </c15:fullRef>
                        <c15:formulaRef>
                          <c15:sqref>('1. Dashboard'!$F$52,'1. Dashboard'!$H$52,'1. Dashboard'!$J$52)</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6-28D2-4CE4-9E8B-F44DAE75BF29}"/>
                  </c:ext>
                </c:extLst>
              </c15:ser>
            </c15:filteredPieSeries>
            <c15:filteredPieSeries>
              <c15:ser>
                <c:idx val="14"/>
                <c:order val="14"/>
                <c:tx>
                  <c:strRef>
                    <c:extLst xmlns:c15="http://schemas.microsoft.com/office/drawing/2012/chart">
                      <c:ext xmlns:c15="http://schemas.microsoft.com/office/drawing/2012/chart" uri="{02D57815-91ED-43cb-92C2-25804820EDAC}">
                        <c15:formulaRef>
                          <c15:sqref>'1. Dashboard'!$C$53</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5-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57-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59-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Dashboard'!$D$53:$J$53</c15:sqref>
                        </c15:fullRef>
                        <c15:formulaRef>
                          <c15:sqref>('1. Dashboard'!$F$53,'1. Dashboard'!$H$53,'1. Dashboard'!$J$53)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7-28D2-4CE4-9E8B-F44DAE75BF29}"/>
                  </c:ext>
                </c:extLst>
              </c15:ser>
            </c15:filteredPieSeries>
            <c15:filteredPieSeries>
              <c15:ser>
                <c:idx val="15"/>
                <c:order val="15"/>
                <c:tx>
                  <c:strRef>
                    <c:extLst xmlns:c15="http://schemas.microsoft.com/office/drawing/2012/chart">
                      <c:ext xmlns:c15="http://schemas.microsoft.com/office/drawing/2012/chart" uri="{02D57815-91ED-43cb-92C2-25804820EDAC}">
                        <c15:formulaRef>
                          <c15:sqref>'1. Dashboard'!$C$54</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B-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5D-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5F-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Dashboard'!$D$54:$J$54</c15:sqref>
                        </c15:fullRef>
                        <c15:formulaRef>
                          <c15:sqref>('1. Dashboard'!$F$54,'1. Dashboard'!$H$54,'1. Dashboard'!$J$54)</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8-28D2-4CE4-9E8B-F44DAE75BF29}"/>
                  </c:ext>
                </c:extLst>
              </c15:ser>
            </c15:filteredPieSeries>
            <c15:filteredPieSeries>
              <c15:ser>
                <c:idx val="16"/>
                <c:order val="16"/>
                <c:tx>
                  <c:strRef>
                    <c:extLst xmlns:c15="http://schemas.microsoft.com/office/drawing/2012/chart">
                      <c:ext xmlns:c15="http://schemas.microsoft.com/office/drawing/2012/chart" uri="{02D57815-91ED-43cb-92C2-25804820EDAC}">
                        <c15:formulaRef>
                          <c15:sqref>'1. Dashboard'!$C$55</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1-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63-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65-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Dashboard'!$D$55:$J$55</c15:sqref>
                        </c15:fullRef>
                        <c15:formulaRef>
                          <c15:sqref>('1. Dashboard'!$F$55,'1. Dashboard'!$H$55,'1. Dashboard'!$J$55)</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9-28D2-4CE4-9E8B-F44DAE75BF29}"/>
                  </c:ext>
                </c:extLst>
              </c15:ser>
            </c15:filteredPieSeries>
            <c15:filteredPieSeries>
              <c15:ser>
                <c:idx val="17"/>
                <c:order val="17"/>
                <c:tx>
                  <c:strRef>
                    <c:extLst xmlns:c15="http://schemas.microsoft.com/office/drawing/2012/chart">
                      <c:ext xmlns:c15="http://schemas.microsoft.com/office/drawing/2012/chart" uri="{02D57815-91ED-43cb-92C2-25804820EDAC}">
                        <c15:formulaRef>
                          <c15:sqref>'1. Dashboard'!$C$56</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6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6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Dashboard'!$D$56:$J$56</c15:sqref>
                        </c15:fullRef>
                        <c15:formulaRef>
                          <c15:sqref>('1. Dashboard'!$F$56,'1. Dashboard'!$H$56,'1. Dashboard'!$J$56)</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28D2-4CE4-9E8B-F44DAE75BF29}"/>
                  </c:ext>
                </c:extLst>
              </c15:ser>
            </c15:filteredPieSeries>
            <c15:filteredPieSeries>
              <c15:ser>
                <c:idx val="18"/>
                <c:order val="18"/>
                <c:tx>
                  <c:strRef>
                    <c:extLst xmlns:c15="http://schemas.microsoft.com/office/drawing/2012/chart">
                      <c:ext xmlns:c15="http://schemas.microsoft.com/office/drawing/2012/chart" uri="{02D57815-91ED-43cb-92C2-25804820EDAC}">
                        <c15:formulaRef>
                          <c15:sqref>'1. Dashboard'!$C$57</c15:sqref>
                        </c15:formulaRef>
                      </c:ext>
                    </c:extLst>
                    <c:strCache>
                      <c:ptCount val="1"/>
                      <c:pt idx="0">
                        <c:v>B90.00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6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7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Dashboard'!$D$57:$J$57</c15:sqref>
                        </c15:fullRef>
                        <c15:formulaRef>
                          <c15:sqref>('1. Dashboard'!$F$57,'1. Dashboard'!$H$57,'1. Dashboard'!$J$57)</c15:sqref>
                        </c15:formulaRef>
                      </c:ext>
                    </c:extLst>
                    <c:numCache>
                      <c:formatCode>General</c:formatCode>
                      <c:ptCount val="3"/>
                      <c:pt idx="0" formatCode="0.0%">
                        <c:v>0.8125</c:v>
                      </c:pt>
                      <c:pt idx="1" formatCode="0.0%">
                        <c:v>0.125</c:v>
                      </c:pt>
                      <c:pt idx="2" formatCode="0.0%">
                        <c:v>6.25E-2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B-28D2-4CE4-9E8B-F44DAE75BF29}"/>
                  </c:ext>
                </c:extLst>
              </c15:ser>
            </c15:filteredPieSeries>
            <c15:filteredPieSeries>
              <c15:ser>
                <c:idx val="19"/>
                <c:order val="19"/>
                <c:tx>
                  <c:strRef>
                    <c:extLst xmlns:c15="http://schemas.microsoft.com/office/drawing/2012/chart">
                      <c:ext xmlns:c15="http://schemas.microsoft.com/office/drawing/2012/chart" uri="{02D57815-91ED-43cb-92C2-25804820EDAC}">
                        <c15:formulaRef>
                          <c15:sqref>'1. Dashboard'!$C$58</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3-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75-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77-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Dashboard'!$D$58:$J$58</c15:sqref>
                        </c15:fullRef>
                        <c15:formulaRef>
                          <c15:sqref>('1. Dashboard'!$F$58,'1. Dashboard'!$H$58,'1. Dashboard'!$J$58)</c15:sqref>
                        </c15:formulaRef>
                      </c:ext>
                    </c:extLst>
                    <c:numCache>
                      <c:formatCode>General</c:formatCode>
                      <c:ptCount val="3"/>
                      <c:pt idx="0" formatCode="0.0%">
                        <c:v>0.8</c:v>
                      </c:pt>
                      <c:pt idx="1" formatCode="0.0%">
                        <c:v>0.13333333333333333</c:v>
                      </c:pt>
                      <c:pt idx="2" formatCode="0.0%">
                        <c:v>6.6666666666666666E-2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C-28D2-4CE4-9E8B-F44DAE75BF29}"/>
                  </c:ext>
                </c:extLst>
              </c15:ser>
            </c15:filteredPieSeries>
            <c15:filteredPieSeries>
              <c15:ser>
                <c:idx val="20"/>
                <c:order val="20"/>
                <c:tx>
                  <c:strRef>
                    <c:extLst xmlns:c15="http://schemas.microsoft.com/office/drawing/2012/chart">
                      <c:ext xmlns:c15="http://schemas.microsoft.com/office/drawing/2012/chart" uri="{02D57815-91ED-43cb-92C2-25804820EDAC}">
                        <c15:formulaRef>
                          <c15:sqref>'1. Dashboard'!$C$59</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9-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7B-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7D-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Dashboard'!$D$59:$J$59</c15:sqref>
                        </c15:fullRef>
                        <c15:formulaRef>
                          <c15:sqref>('1. Dashboard'!$F$59,'1. Dashboard'!$H$59,'1. Dashboard'!$J$59)</c15:sqref>
                        </c15:formulaRef>
                      </c:ext>
                    </c:extLst>
                    <c:numCache>
                      <c:formatCode>General</c:formatCode>
                      <c:ptCount val="3"/>
                      <c:pt idx="0" formatCode="0.0%">
                        <c:v>0.5</c:v>
                      </c:pt>
                      <c:pt idx="1" formatCode="0.0%">
                        <c:v>0.25</c:v>
                      </c:pt>
                      <c:pt idx="2" formatCode="0.0%">
                        <c:v>0.25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D-28D2-4CE4-9E8B-F44DAE75BF29}"/>
                  </c:ext>
                </c:extLst>
              </c15:ser>
            </c15:filteredPieSeries>
            <c15:filteredPieSeries>
              <c15:ser>
                <c:idx val="21"/>
                <c:order val="21"/>
                <c:tx>
                  <c:strRef>
                    <c:extLst xmlns:c15="http://schemas.microsoft.com/office/drawing/2012/chart">
                      <c:ext xmlns:c15="http://schemas.microsoft.com/office/drawing/2012/chart" uri="{02D57815-91ED-43cb-92C2-25804820EDAC}">
                        <c15:formulaRef>
                          <c15:sqref>'1. Dashboard'!$C$60</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F-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81-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83-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Dashboard'!$D$60:$J$60</c15:sqref>
                        </c15:fullRef>
                        <c15:formulaRef>
                          <c15:sqref>('1. Dashboard'!$F$60,'1. Dashboard'!$H$60,'1. Dashboard'!$J$60)</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E-28D2-4CE4-9E8B-F44DAE75BF29}"/>
                  </c:ext>
                </c:extLst>
              </c15:ser>
            </c15:filteredPieSeries>
            <c15:filteredPieSeries>
              <c15:ser>
                <c:idx val="22"/>
                <c:order val="22"/>
                <c:tx>
                  <c:strRef>
                    <c:extLst xmlns:c15="http://schemas.microsoft.com/office/drawing/2012/chart">
                      <c:ext xmlns:c15="http://schemas.microsoft.com/office/drawing/2012/chart" uri="{02D57815-91ED-43cb-92C2-25804820EDAC}">
                        <c15:formulaRef>
                          <c15:sqref>'1. Dashboard'!$C$62</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5-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87-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89-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Dashboard'!$D$62:$J$62</c15:sqref>
                        </c15:fullRef>
                        <c15:formulaRef>
                          <c15:sqref>('1. Dashboard'!$F$62,'1. Dashboard'!$H$62,'1. Dashboard'!$J$62)</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F-28D2-4CE4-9E8B-F44DAE75BF29}"/>
                  </c:ext>
                </c:extLst>
              </c15:ser>
            </c15:filteredPieSeries>
            <c15:filteredPieSeries>
              <c15:ser>
                <c:idx val="23"/>
                <c:order val="23"/>
                <c:tx>
                  <c:strRef>
                    <c:extLst xmlns:c15="http://schemas.microsoft.com/office/drawing/2012/chart">
                      <c:ext xmlns:c15="http://schemas.microsoft.com/office/drawing/2012/chart" uri="{02D57815-91ED-43cb-92C2-25804820EDAC}">
                        <c15:formulaRef>
                          <c15:sqref>'1. Dashboard'!$C$63</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B-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8D-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8F-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Dashboard'!$D$63:$J$63</c15:sqref>
                        </c15:fullRef>
                        <c15:formulaRef>
                          <c15:sqref>('1. Dashboard'!$F$63,'1. Dashboard'!$H$63,'1. Dashboard'!$J$63)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0-28D2-4CE4-9E8B-F44DAE75BF29}"/>
                  </c:ext>
                </c:extLst>
              </c15:ser>
            </c15:filteredPieSeries>
            <c15:filteredPieSeries>
              <c15:ser>
                <c:idx val="24"/>
                <c:order val="24"/>
                <c:tx>
                  <c:strRef>
                    <c:extLst xmlns:c15="http://schemas.microsoft.com/office/drawing/2012/chart">
                      <c:ext xmlns:c15="http://schemas.microsoft.com/office/drawing/2012/chart" uri="{02D57815-91ED-43cb-92C2-25804820EDAC}">
                        <c15:formulaRef>
                          <c15:sqref>'1. Dashboard'!$C$64</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1-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93-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95-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Dashboard'!$D$64:$J$64</c15:sqref>
                        </c15:fullRef>
                        <c15:formulaRef>
                          <c15:sqref>('1. Dashboard'!$F$64,'1. Dashboard'!$H$64,'1. Dashboard'!$J$64)</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1-28D2-4CE4-9E8B-F44DAE75BF29}"/>
                  </c:ext>
                </c:extLst>
              </c15:ser>
            </c15:filteredPieSeries>
            <c15:filteredPieSeries>
              <c15:ser>
                <c:idx val="25"/>
                <c:order val="25"/>
                <c:tx>
                  <c:strRef>
                    <c:extLst xmlns:c15="http://schemas.microsoft.com/office/drawing/2012/chart">
                      <c:ext xmlns:c15="http://schemas.microsoft.com/office/drawing/2012/chart" uri="{02D57815-91ED-43cb-92C2-25804820EDAC}">
                        <c15:formulaRef>
                          <c15:sqref>'1. Dashboard'!$C$65</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9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9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Dashboard'!$D$65:$J$65</c15:sqref>
                        </c15:fullRef>
                        <c15:formulaRef>
                          <c15:sqref>('1. Dashboard'!$F$65,'1. Dashboard'!$H$65,'1. Dashboard'!$J$65)</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2-28D2-4CE4-9E8B-F44DAE75BF29}"/>
                  </c:ext>
                </c:extLst>
              </c15:ser>
            </c15:filteredPieSeries>
            <c15:filteredPieSeries>
              <c15:ser>
                <c:idx val="26"/>
                <c:order val="26"/>
                <c:tx>
                  <c:strRef>
                    <c:extLst xmlns:c15="http://schemas.microsoft.com/office/drawing/2012/chart">
                      <c:ext xmlns:c15="http://schemas.microsoft.com/office/drawing/2012/chart" uri="{02D57815-91ED-43cb-92C2-25804820EDAC}">
                        <c15:formulaRef>
                          <c15:sqref>'1. Dashboard'!$C$66</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9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A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Dashboard'!$D$66:$J$66</c15:sqref>
                        </c15:fullRef>
                        <c15:formulaRef>
                          <c15:sqref>('1. Dashboard'!$F$66,'1. Dashboard'!$H$66,'1. Dashboard'!$J$66)</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3-28D2-4CE4-9E8B-F44DAE75BF2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9"/>
          <c:order val="9"/>
          <c:tx>
            <c:strRef>
              <c:f>'1. Dashboard'!$C$47</c:f>
              <c:strCache>
                <c:ptCount val="1"/>
                <c:pt idx="0">
                  <c:v>B05.00</c:v>
                </c:pt>
              </c:strCache>
              <c:extLst xmlns:c15="http://schemas.microsoft.com/office/drawing/2012/chart"/>
            </c:strRef>
          </c:tx>
          <c:spPr>
            <a:solidFill>
              <a:srgbClr val="92D050"/>
            </a:solidFill>
          </c:spPr>
          <c:dPt>
            <c:idx val="0"/>
            <c:bubble3D val="0"/>
            <c:spPr>
              <a:solidFill>
                <a:srgbClr val="92D050"/>
              </a:solidFill>
              <a:ln>
                <a:noFill/>
              </a:ln>
              <a:effectLst/>
            </c:spPr>
            <c:extLst>
              <c:ext xmlns:c16="http://schemas.microsoft.com/office/drawing/2014/chart" uri="{C3380CC4-5D6E-409C-BE32-E72D297353CC}">
                <c16:uniqueId val="{00000037-ACB4-4CCD-9C63-9D4907CFD14D}"/>
              </c:ext>
            </c:extLst>
          </c:dPt>
          <c:dPt>
            <c:idx val="1"/>
            <c:bubble3D val="0"/>
            <c:spPr>
              <a:solidFill>
                <a:srgbClr val="FFFFCD"/>
              </a:solidFill>
              <a:ln>
                <a:noFill/>
              </a:ln>
              <a:effectLst/>
            </c:spPr>
            <c:extLst>
              <c:ext xmlns:c16="http://schemas.microsoft.com/office/drawing/2014/chart" uri="{C3380CC4-5D6E-409C-BE32-E72D297353CC}">
                <c16:uniqueId val="{00000039-ACB4-4CCD-9C63-9D4907CFD14D}"/>
              </c:ext>
            </c:extLst>
          </c:dPt>
          <c:dPt>
            <c:idx val="2"/>
            <c:bubble3D val="0"/>
            <c:spPr>
              <a:solidFill>
                <a:srgbClr val="FF0000"/>
              </a:solidFill>
              <a:ln>
                <a:noFill/>
              </a:ln>
              <a:effectLst/>
            </c:spPr>
            <c:extLst>
              <c:ext xmlns:c16="http://schemas.microsoft.com/office/drawing/2014/chart" uri="{C3380CC4-5D6E-409C-BE32-E72D297353CC}">
                <c16:uniqueId val="{0000003B-ACB4-4CCD-9C63-9D4907CFD14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ext>
              </c:extLst>
              <c:f>('1. Dashboard'!$F$36,'1. Dashboard'!$H$36,'1. Dashboard'!$J$36)</c:f>
              <c:strCache>
                <c:ptCount val="3"/>
                <c:pt idx="0">
                  <c:v>OK (%)</c:v>
                </c:pt>
                <c:pt idx="1">
                  <c:v>NOK Justificados (%)</c:v>
                </c:pt>
                <c:pt idx="2">
                  <c:v>NOK (%)</c:v>
                </c:pt>
              </c:strCache>
            </c:strRef>
          </c:cat>
          <c:val>
            <c:numRef>
              <c:extLst>
                <c:ext xmlns:c15="http://schemas.microsoft.com/office/drawing/2012/chart" uri="{02D57815-91ED-43cb-92C2-25804820EDAC}">
                  <c15:fullRef>
                    <c15:sqref>'1. Dashboard'!$D$47:$J$47</c15:sqref>
                  </c15:fullRef>
                </c:ext>
              </c:extLst>
              <c:f>('1. Dashboard'!$F$47,'1. Dashboard'!$H$47,'1. Dashboard'!$J$47)</c:f>
              <c:numCache>
                <c:formatCode>General</c:formatCode>
                <c:ptCount val="3"/>
                <c:pt idx="0" formatCode="0.0%">
                  <c:v>0.85</c:v>
                </c:pt>
                <c:pt idx="1" formatCode="0.0%">
                  <c:v>0.1</c:v>
                </c:pt>
                <c:pt idx="2" formatCode="0.0%">
                  <c:v>0.05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28D2-4CE4-9E8B-F44DAE75BF29}"/>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'1. Dashboard'!$C$37</c15:sqref>
                        </c15:formulaRef>
                      </c:ext>
                    </c:extLst>
                    <c:strCache>
                      <c:ptCount val="1"/>
                      <c:pt idx="0">
                        <c:v>B02.00</c:v>
                      </c:pt>
                    </c:strCache>
                  </c:strRef>
                </c:tx>
                <c:dPt>
                  <c:idx val="0"/>
                  <c:bubble3D val="0"/>
                  <c:spPr>
                    <a:solidFill>
                      <a:srgbClr val="92D050"/>
                    </a:solidFill>
                    <a:ln>
                      <a:noFill/>
                    </a:ln>
                    <a:effectLst/>
                  </c:spPr>
                  <c:extLst>
                    <c:ext xmlns:c16="http://schemas.microsoft.com/office/drawing/2014/chart" uri="{C3380CC4-5D6E-409C-BE32-E72D297353CC}">
                      <c16:uniqueId val="{00000014-28D2-4CE4-9E8B-F44DAE75BF29}"/>
                    </c:ext>
                  </c:extLst>
                </c:dPt>
                <c:dPt>
                  <c:idx val="1"/>
                  <c:bubble3D val="0"/>
                  <c:spPr>
                    <a:solidFill>
                      <a:srgbClr val="FFFFCD"/>
                    </a:solidFill>
                    <a:ln>
                      <a:noFill/>
                    </a:ln>
                    <a:effectLst/>
                  </c:spPr>
                  <c:extLst>
                    <c:ext xmlns:c16="http://schemas.microsoft.com/office/drawing/2014/chart" uri="{C3380CC4-5D6E-409C-BE32-E72D297353CC}">
                      <c16:uniqueId val="{00000016-28D2-4CE4-9E8B-F44DAE75BF29}"/>
                    </c:ext>
                  </c:extLst>
                </c:dPt>
                <c:dPt>
                  <c:idx val="2"/>
                  <c:bubble3D val="0"/>
                  <c:spPr>
                    <a:solidFill>
                      <a:srgbClr val="FF0000"/>
                    </a:solidFill>
                    <a:ln>
                      <a:noFill/>
                    </a:ln>
                    <a:effectLst/>
                  </c:spPr>
                  <c:extLst>
                    <c:ext xmlns:c16="http://schemas.microsoft.com/office/drawing/2014/chart" uri="{C3380CC4-5D6E-409C-BE32-E72D297353CC}">
                      <c16:uniqueId val="{00000015-28D2-4CE4-9E8B-F44DAE75BF29}"/>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uri="{02D57815-91ED-43cb-92C2-25804820EDAC}">
                        <c15:fullRef>
                          <c15:sqref>'1. Dashboard'!$D$37:$J$37</c15:sqref>
                        </c15:fullRef>
                        <c15:formulaRef>
                          <c15:sqref>('1. Dashboard'!$F$37,'1. Dashboard'!$H$37,'1. Dashboard'!$J$37)</c15:sqref>
                        </c15:formulaRef>
                      </c:ext>
                    </c:extLst>
                    <c:numCache>
                      <c:formatCode>General</c:formatCode>
                      <c:ptCount val="3"/>
                      <c:pt idx="0" formatCode="0.0%">
                        <c:v>0.84868421052631582</c:v>
                      </c:pt>
                      <c:pt idx="1" formatCode="0.0%">
                        <c:v>2.6315789473684209E-2</c:v>
                      </c:pt>
                      <c:pt idx="2" formatCode="0.0%">
                        <c:v>0.10855263157894737</c:v>
                      </c:pt>
                    </c:numCache>
                  </c:numRef>
                </c:val>
                <c:extLst>
                  <c:ext uri="{02D57815-91ED-43cb-92C2-25804820EDAC}">
                    <c15:categoryFilterExceptions/>
                  </c:ext>
                  <c:ext xmlns:c16="http://schemas.microsoft.com/office/drawing/2014/chart" uri="{C3380CC4-5D6E-409C-BE32-E72D297353CC}">
                    <c16:uniqueId val="{00000000-0830-49D1-BBCB-B860BF64F30C}"/>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'1. Dashboard'!$C$38</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0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Dashboard'!$D$38:$J$38</c15:sqref>
                        </c15:fullRef>
                        <c15:formulaRef>
                          <c15:sqref>('1. Dashboard'!$F$38,'1. Dashboard'!$H$38,'1. Dashboard'!$J$38)</c15:sqref>
                        </c15:formulaRef>
                      </c:ext>
                    </c:extLst>
                    <c:numCache>
                      <c:formatCode>0</c:formatCode>
                      <c:ptCount val="3"/>
                      <c:pt idx="0" formatCode="0.0%">
                        <c:v>0.85897435897435892</c:v>
                      </c:pt>
                      <c:pt idx="1" formatCode="0.0%">
                        <c:v>3.8461538461538464E-2</c:v>
                      </c:pt>
                      <c:pt idx="2" formatCode="0.0%">
                        <c:v>7.0512820512820512E-2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0830-49D1-BBCB-B860BF64F30C}"/>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'1. Dashboard'!$C$39</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Dashboard'!$D$39:$J$39</c15:sqref>
                        </c15:fullRef>
                        <c15:formulaRef>
                          <c15:sqref>('1. Dashboard'!$F$39,'1. Dashboard'!$H$39,'1. Dashboard'!$J$39)</c15:sqref>
                        </c15:formulaRef>
                      </c:ext>
                    </c:extLst>
                    <c:numCache>
                      <c:formatCode>General</c:formatCode>
                      <c:ptCount val="3"/>
                      <c:pt idx="0" formatCode="0.0%">
                        <c:v>0.84126984126984128</c:v>
                      </c:pt>
                      <c:pt idx="1" formatCode="0.0%">
                        <c:v>0</c:v>
                      </c:pt>
                      <c:pt idx="2" formatCode="0.0%">
                        <c:v>7.9365079365079361E-2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0830-49D1-BBCB-B860BF64F30C}"/>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'1. Dashboard'!$C$40</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Dashboard'!$D$40:$J$40</c15:sqref>
                        </c15:fullRef>
                        <c15:formulaRef>
                          <c15:sqref>('1. Dashboard'!$F$40,'1. Dashboard'!$H$40,'1. Dashboard'!$J$40)</c15:sqref>
                        </c15:formulaRef>
                      </c:ext>
                    </c:extLst>
                    <c:numCache>
                      <c:formatCode>General</c:formatCode>
                      <c:ptCount val="3"/>
                      <c:pt idx="0" formatCode="0.0%">
                        <c:v>0.91666666666666663</c:v>
                      </c:pt>
                      <c:pt idx="1" formatCode="0.0%">
                        <c:v>0</c:v>
                      </c:pt>
                      <c:pt idx="2" formatCode="0.0%">
                        <c:v>8.3333333333333329E-2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0830-49D1-BBCB-B860BF64F30C}"/>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'1. Dashboard'!$C$42</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Dashboard'!$D$42:$J$42</c15:sqref>
                        </c15:fullRef>
                        <c15:formulaRef>
                          <c15:sqref>('1. Dashboard'!$F$42,'1. Dashboard'!$H$42,'1. Dashboard'!$J$42)</c15:sqref>
                        </c15:formulaRef>
                      </c:ext>
                    </c:extLst>
                    <c:numCache>
                      <c:formatCode>General</c:formatCode>
                      <c:ptCount val="3"/>
                      <c:pt idx="0" formatCode="0.0%">
                        <c:v>0.83783783783783783</c:v>
                      </c:pt>
                      <c:pt idx="1" formatCode="0.0%">
                        <c:v>1.3513513513513514E-2</c:v>
                      </c:pt>
                      <c:pt idx="2" formatCode="0.0%">
                        <c:v>0.14864864864864866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0830-49D1-BBCB-B860BF64F30C}"/>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'1. Dashboard'!$C$43</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Dashboard'!$D$43:$J$43</c15:sqref>
                        </c15:fullRef>
                        <c15:formulaRef>
                          <c15:sqref>('1. Dashboard'!$F$43,'1. Dashboard'!$H$43,'1. Dashboard'!$J$43)</c15:sqref>
                        </c15:formulaRef>
                      </c:ext>
                    </c:extLst>
                    <c:numCache>
                      <c:formatCode>General</c:formatCode>
                      <c:ptCount val="3"/>
                      <c:pt idx="0" formatCode="0.0%">
                        <c:v>0.95890410958904104</c:v>
                      </c:pt>
                      <c:pt idx="1" formatCode="0.0%">
                        <c:v>1.3698630136986301E-2</c:v>
                      </c:pt>
                      <c:pt idx="2" formatCode="0.0%">
                        <c:v>2.7397260273972601E-2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7FAB-47A0-9185-F969C5F12A7A}"/>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'1. Dashboard'!$C$44</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Dashboard'!$D$44:$J$44</c15:sqref>
                        </c15:fullRef>
                        <c15:formulaRef>
                          <c15:sqref>('1. Dashboard'!$F$44,'1. Dashboard'!$H$44,'1. Dashboard'!$J$44)</c15:sqref>
                        </c15:formulaRef>
                      </c:ext>
                    </c:extLst>
                    <c:numCache>
                      <c:formatCode>General</c:formatCode>
                      <c:ptCount val="3"/>
                      <c:pt idx="0" formatCode="0.0%">
                        <c:v>0.71232876712328763</c:v>
                      </c:pt>
                      <c:pt idx="1" formatCode="0.0%">
                        <c:v>1.3698630136986301E-2</c:v>
                      </c:pt>
                      <c:pt idx="2" formatCode="0.0%">
                        <c:v>0.27397260273972601</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7FAB-47A0-9185-F969C5F12A7A}"/>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'1. Dashboard'!$C$45</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Dashboard'!$D$45:$J$45</c15:sqref>
                        </c15:fullRef>
                        <c15:formulaRef>
                          <c15:sqref>('1. Dashboard'!$F$45,'1. Dashboard'!$H$45,'1. Dashboard'!$J$45)</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28D2-4CE4-9E8B-F44DAE75BF2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'1. Dashboard'!$C$46</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3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Dashboard'!$D$46:$J$46</c15:sqref>
                        </c15:fullRef>
                        <c15:formulaRef>
                          <c15:sqref>('1. Dashboard'!$F$46,'1. Dashboard'!$H$46,'1. Dashboard'!$J$46)</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28D2-4CE4-9E8B-F44DAE75BF29}"/>
                  </c:ext>
                </c:extLst>
              </c15:ser>
            </c15:filteredPieSeries>
            <c15:filteredPieSeries>
              <c15:ser>
                <c:idx val="10"/>
                <c:order val="10"/>
                <c:tx>
                  <c:strRef>
                    <c:extLst xmlns:c15="http://schemas.microsoft.com/office/drawing/2012/chart">
                      <c:ext xmlns:c15="http://schemas.microsoft.com/office/drawing/2012/chart" uri="{02D57815-91ED-43cb-92C2-25804820EDAC}">
                        <c15:formulaRef>
                          <c15:sqref>'1. Dashboard'!$C$48</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Dashboard'!$D$48:$J$48</c15:sqref>
                        </c15:fullRef>
                        <c15:formulaRef>
                          <c15:sqref>('1. Dashboard'!$F$48,'1. Dashboard'!$H$48,'1. Dashboard'!$J$48)</c15:sqref>
                        </c15:formulaRef>
                      </c:ext>
                    </c:extLst>
                    <c:numCache>
                      <c:formatCode>0</c:formatCode>
                      <c:ptCount val="3"/>
                      <c:pt idx="0" formatCode="0.0%">
                        <c:v>0.84210526315789469</c:v>
                      </c:pt>
                      <c:pt idx="1" formatCode="0.0%">
                        <c:v>0.10526315789473684</c:v>
                      </c:pt>
                      <c:pt idx="2" formatCode="0.0%">
                        <c:v>5.2631578947368418E-2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28D2-4CE4-9E8B-F44DAE75BF29}"/>
                  </c:ext>
                </c:extLst>
              </c15:ser>
            </c15:filteredPieSeries>
            <c15:filteredPieSeries>
              <c15:ser>
                <c:idx val="11"/>
                <c:order val="11"/>
                <c:tx>
                  <c:strRef>
                    <c:extLst xmlns:c15="http://schemas.microsoft.com/office/drawing/2012/chart">
                      <c:ext xmlns:c15="http://schemas.microsoft.com/office/drawing/2012/chart" uri="{02D57815-91ED-43cb-92C2-25804820EDAC}">
                        <c15:formulaRef>
                          <c15:sqref>'1. Dashboard'!$C$49</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Dashboard'!$D$49:$J$49</c15:sqref>
                        </c15:fullRef>
                        <c15:formulaRef>
                          <c15:sqref>('1. Dashboard'!$F$49,'1. Dashboard'!$H$49,'1. Dashboard'!$J$49)</c15:sqref>
                        </c15:formulaRef>
                      </c:ext>
                    </c:extLst>
                    <c:numCache>
                      <c:formatCode>General</c:formatCode>
                      <c:ptCount val="3"/>
                      <c:pt idx="0" formatCode="0.0%">
                        <c:v>0.8</c:v>
                      </c:pt>
                      <c:pt idx="1" formatCode="0.0%">
                        <c:v>0</c:v>
                      </c:pt>
                      <c:pt idx="2" formatCode="0.0%">
                        <c:v>0.2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28D2-4CE4-9E8B-F44DAE75BF29}"/>
                  </c:ext>
                </c:extLst>
              </c15:ser>
            </c15:filteredPieSeries>
            <c15:filteredPieSeries>
              <c15:ser>
                <c:idx val="12"/>
                <c:order val="12"/>
                <c:tx>
                  <c:strRef>
                    <c:extLst xmlns:c15="http://schemas.microsoft.com/office/drawing/2012/chart">
                      <c:ext xmlns:c15="http://schemas.microsoft.com/office/drawing/2012/chart" uri="{02D57815-91ED-43cb-92C2-25804820EDAC}">
                        <c15:formulaRef>
                          <c15:sqref>'1. Dashboard'!$C$50</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Dashboard'!$D$50:$J$50</c15:sqref>
                        </c15:fullRef>
                        <c15:formulaRef>
                          <c15:sqref>('1. Dashboard'!$F$50,'1. Dashboard'!$H$50,'1. Dashboard'!$J$50)</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5-28D2-4CE4-9E8B-F44DAE75BF29}"/>
                  </c:ext>
                </c:extLst>
              </c15:ser>
            </c15:filteredPieSeries>
            <c15:filteredPieSeries>
              <c15:ser>
                <c:idx val="13"/>
                <c:order val="13"/>
                <c:tx>
                  <c:strRef>
                    <c:extLst xmlns:c15="http://schemas.microsoft.com/office/drawing/2012/chart">
                      <c:ext xmlns:c15="http://schemas.microsoft.com/office/drawing/2012/chart" uri="{02D57815-91ED-43cb-92C2-25804820EDAC}">
                        <c15:formulaRef>
                          <c15:sqref>'1. Dashboard'!$C$52</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Dashboard'!$D$52:$J$52</c15:sqref>
                        </c15:fullRef>
                        <c15:formulaRef>
                          <c15:sqref>('1. Dashboard'!$F$52,'1. Dashboard'!$H$52,'1. Dashboard'!$J$52)</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6-28D2-4CE4-9E8B-F44DAE75BF29}"/>
                  </c:ext>
                </c:extLst>
              </c15:ser>
            </c15:filteredPieSeries>
            <c15:filteredPieSeries>
              <c15:ser>
                <c:idx val="14"/>
                <c:order val="14"/>
                <c:tx>
                  <c:strRef>
                    <c:extLst xmlns:c15="http://schemas.microsoft.com/office/drawing/2012/chart">
                      <c:ext xmlns:c15="http://schemas.microsoft.com/office/drawing/2012/chart" uri="{02D57815-91ED-43cb-92C2-25804820EDAC}">
                        <c15:formulaRef>
                          <c15:sqref>'1. Dashboard'!$C$53</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Dashboard'!$D$53:$J$53</c15:sqref>
                        </c15:fullRef>
                        <c15:formulaRef>
                          <c15:sqref>('1. Dashboard'!$F$53,'1. Dashboard'!$H$53,'1. Dashboard'!$J$53)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7-28D2-4CE4-9E8B-F44DAE75BF29}"/>
                  </c:ext>
                </c:extLst>
              </c15:ser>
            </c15:filteredPieSeries>
            <c15:filteredPieSeries>
              <c15:ser>
                <c:idx val="15"/>
                <c:order val="15"/>
                <c:tx>
                  <c:strRef>
                    <c:extLst xmlns:c15="http://schemas.microsoft.com/office/drawing/2012/chart">
                      <c:ext xmlns:c15="http://schemas.microsoft.com/office/drawing/2012/chart" uri="{02D57815-91ED-43cb-92C2-25804820EDAC}">
                        <c15:formulaRef>
                          <c15:sqref>'1. Dashboard'!$C$54</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Dashboard'!$D$54:$J$54</c15:sqref>
                        </c15:fullRef>
                        <c15:formulaRef>
                          <c15:sqref>('1. Dashboard'!$F$54,'1. Dashboard'!$H$54,'1. Dashboard'!$J$54)</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8-28D2-4CE4-9E8B-F44DAE75BF29}"/>
                  </c:ext>
                </c:extLst>
              </c15:ser>
            </c15:filteredPieSeries>
            <c15:filteredPieSeries>
              <c15:ser>
                <c:idx val="16"/>
                <c:order val="16"/>
                <c:tx>
                  <c:strRef>
                    <c:extLst xmlns:c15="http://schemas.microsoft.com/office/drawing/2012/chart">
                      <c:ext xmlns:c15="http://schemas.microsoft.com/office/drawing/2012/chart" uri="{02D57815-91ED-43cb-92C2-25804820EDAC}">
                        <c15:formulaRef>
                          <c15:sqref>'1. Dashboard'!$C$55</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Dashboard'!$D$55:$J$55</c15:sqref>
                        </c15:fullRef>
                        <c15:formulaRef>
                          <c15:sqref>('1. Dashboard'!$F$55,'1. Dashboard'!$H$55,'1. Dashboard'!$J$55)</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9-28D2-4CE4-9E8B-F44DAE75BF29}"/>
                  </c:ext>
                </c:extLst>
              </c15:ser>
            </c15:filteredPieSeries>
            <c15:filteredPieSeries>
              <c15:ser>
                <c:idx val="17"/>
                <c:order val="17"/>
                <c:tx>
                  <c:strRef>
                    <c:extLst xmlns:c15="http://schemas.microsoft.com/office/drawing/2012/chart">
                      <c:ext xmlns:c15="http://schemas.microsoft.com/office/drawing/2012/chart" uri="{02D57815-91ED-43cb-92C2-25804820EDAC}">
                        <c15:formulaRef>
                          <c15:sqref>'1. Dashboard'!$C$56</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Dashboard'!$D$56:$J$56</c15:sqref>
                        </c15:fullRef>
                        <c15:formulaRef>
                          <c15:sqref>('1. Dashboard'!$F$56,'1. Dashboard'!$H$56,'1. Dashboard'!$J$56)</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28D2-4CE4-9E8B-F44DAE75BF29}"/>
                  </c:ext>
                </c:extLst>
              </c15:ser>
            </c15:filteredPieSeries>
            <c15:filteredPieSeries>
              <c15:ser>
                <c:idx val="18"/>
                <c:order val="18"/>
                <c:tx>
                  <c:strRef>
                    <c:extLst xmlns:c15="http://schemas.microsoft.com/office/drawing/2012/chart">
                      <c:ext xmlns:c15="http://schemas.microsoft.com/office/drawing/2012/chart" uri="{02D57815-91ED-43cb-92C2-25804820EDAC}">
                        <c15:formulaRef>
                          <c15:sqref>'1. Dashboard'!$C$57</c15:sqref>
                        </c15:formulaRef>
                      </c:ext>
                    </c:extLst>
                    <c:strCache>
                      <c:ptCount val="1"/>
                      <c:pt idx="0">
                        <c:v>B90.00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Dashboard'!$D$57:$J$57</c15:sqref>
                        </c15:fullRef>
                        <c15:formulaRef>
                          <c15:sqref>('1. Dashboard'!$F$57,'1. Dashboard'!$H$57,'1. Dashboard'!$J$57)</c15:sqref>
                        </c15:formulaRef>
                      </c:ext>
                    </c:extLst>
                    <c:numCache>
                      <c:formatCode>General</c:formatCode>
                      <c:ptCount val="3"/>
                      <c:pt idx="0" formatCode="0.0%">
                        <c:v>0.8125</c:v>
                      </c:pt>
                      <c:pt idx="1" formatCode="0.0%">
                        <c:v>0.125</c:v>
                      </c:pt>
                      <c:pt idx="2" formatCode="0.0%">
                        <c:v>6.25E-2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B-28D2-4CE4-9E8B-F44DAE75BF29}"/>
                  </c:ext>
                </c:extLst>
              </c15:ser>
            </c15:filteredPieSeries>
            <c15:filteredPieSeries>
              <c15:ser>
                <c:idx val="19"/>
                <c:order val="19"/>
                <c:tx>
                  <c:strRef>
                    <c:extLst xmlns:c15="http://schemas.microsoft.com/office/drawing/2012/chart">
                      <c:ext xmlns:c15="http://schemas.microsoft.com/office/drawing/2012/chart" uri="{02D57815-91ED-43cb-92C2-25804820EDAC}">
                        <c15:formulaRef>
                          <c15:sqref>'1. Dashboard'!$C$58</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Dashboard'!$D$58:$J$58</c15:sqref>
                        </c15:fullRef>
                        <c15:formulaRef>
                          <c15:sqref>('1. Dashboard'!$F$58,'1. Dashboard'!$H$58,'1. Dashboard'!$J$58)</c15:sqref>
                        </c15:formulaRef>
                      </c:ext>
                    </c:extLst>
                    <c:numCache>
                      <c:formatCode>General</c:formatCode>
                      <c:ptCount val="3"/>
                      <c:pt idx="0" formatCode="0.0%">
                        <c:v>0.8</c:v>
                      </c:pt>
                      <c:pt idx="1" formatCode="0.0%">
                        <c:v>0.13333333333333333</c:v>
                      </c:pt>
                      <c:pt idx="2" formatCode="0.0%">
                        <c:v>6.6666666666666666E-2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C-28D2-4CE4-9E8B-F44DAE75BF29}"/>
                  </c:ext>
                </c:extLst>
              </c15:ser>
            </c15:filteredPieSeries>
            <c15:filteredPieSeries>
              <c15:ser>
                <c:idx val="20"/>
                <c:order val="20"/>
                <c:tx>
                  <c:strRef>
                    <c:extLst xmlns:c15="http://schemas.microsoft.com/office/drawing/2012/chart">
                      <c:ext xmlns:c15="http://schemas.microsoft.com/office/drawing/2012/chart" uri="{02D57815-91ED-43cb-92C2-25804820EDAC}">
                        <c15:formulaRef>
                          <c15:sqref>'1. Dashboard'!$C$59</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Dashboard'!$D$59:$J$59</c15:sqref>
                        </c15:fullRef>
                        <c15:formulaRef>
                          <c15:sqref>('1. Dashboard'!$F$59,'1. Dashboard'!$H$59,'1. Dashboard'!$J$59)</c15:sqref>
                        </c15:formulaRef>
                      </c:ext>
                    </c:extLst>
                    <c:numCache>
                      <c:formatCode>General</c:formatCode>
                      <c:ptCount val="3"/>
                      <c:pt idx="0" formatCode="0.0%">
                        <c:v>0.5</c:v>
                      </c:pt>
                      <c:pt idx="1" formatCode="0.0%">
                        <c:v>0.25</c:v>
                      </c:pt>
                      <c:pt idx="2" formatCode="0.0%">
                        <c:v>0.25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D-28D2-4CE4-9E8B-F44DAE75BF29}"/>
                  </c:ext>
                </c:extLst>
              </c15:ser>
            </c15:filteredPieSeries>
            <c15:filteredPieSeries>
              <c15:ser>
                <c:idx val="21"/>
                <c:order val="21"/>
                <c:tx>
                  <c:strRef>
                    <c:extLst xmlns:c15="http://schemas.microsoft.com/office/drawing/2012/chart">
                      <c:ext xmlns:c15="http://schemas.microsoft.com/office/drawing/2012/chart" uri="{02D57815-91ED-43cb-92C2-25804820EDAC}">
                        <c15:formulaRef>
                          <c15:sqref>'1. Dashboard'!$C$60</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Dashboard'!$D$60:$J$60</c15:sqref>
                        </c15:fullRef>
                        <c15:formulaRef>
                          <c15:sqref>('1. Dashboard'!$F$60,'1. Dashboard'!$H$60,'1. Dashboard'!$J$60)</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E-28D2-4CE4-9E8B-F44DAE75BF29}"/>
                  </c:ext>
                </c:extLst>
              </c15:ser>
            </c15:filteredPieSeries>
            <c15:filteredPieSeries>
              <c15:ser>
                <c:idx val="22"/>
                <c:order val="22"/>
                <c:tx>
                  <c:strRef>
                    <c:extLst xmlns:c15="http://schemas.microsoft.com/office/drawing/2012/chart">
                      <c:ext xmlns:c15="http://schemas.microsoft.com/office/drawing/2012/chart" uri="{02D57815-91ED-43cb-92C2-25804820EDAC}">
                        <c15:formulaRef>
                          <c15:sqref>'1. Dashboard'!$C$62</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Dashboard'!$D$62:$J$62</c15:sqref>
                        </c15:fullRef>
                        <c15:formulaRef>
                          <c15:sqref>('1. Dashboard'!$F$62,'1. Dashboard'!$H$62,'1. Dashboard'!$J$62)</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F-28D2-4CE4-9E8B-F44DAE75BF29}"/>
                  </c:ext>
                </c:extLst>
              </c15:ser>
            </c15:filteredPieSeries>
            <c15:filteredPieSeries>
              <c15:ser>
                <c:idx val="23"/>
                <c:order val="23"/>
                <c:tx>
                  <c:strRef>
                    <c:extLst xmlns:c15="http://schemas.microsoft.com/office/drawing/2012/chart">
                      <c:ext xmlns:c15="http://schemas.microsoft.com/office/drawing/2012/chart" uri="{02D57815-91ED-43cb-92C2-25804820EDAC}">
                        <c15:formulaRef>
                          <c15:sqref>'1. Dashboard'!$C$63</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Dashboard'!$D$63:$J$63</c15:sqref>
                        </c15:fullRef>
                        <c15:formulaRef>
                          <c15:sqref>('1. Dashboard'!$F$63,'1. Dashboard'!$H$63,'1. Dashboard'!$J$63)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0-28D2-4CE4-9E8B-F44DAE75BF29}"/>
                  </c:ext>
                </c:extLst>
              </c15:ser>
            </c15:filteredPieSeries>
            <c15:filteredPieSeries>
              <c15:ser>
                <c:idx val="24"/>
                <c:order val="24"/>
                <c:tx>
                  <c:strRef>
                    <c:extLst xmlns:c15="http://schemas.microsoft.com/office/drawing/2012/chart">
                      <c:ext xmlns:c15="http://schemas.microsoft.com/office/drawing/2012/chart" uri="{02D57815-91ED-43cb-92C2-25804820EDAC}">
                        <c15:formulaRef>
                          <c15:sqref>'1. Dashboard'!$C$64</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Dashboard'!$D$64:$J$64</c15:sqref>
                        </c15:fullRef>
                        <c15:formulaRef>
                          <c15:sqref>('1. Dashboard'!$F$64,'1. Dashboard'!$H$64,'1. Dashboard'!$J$64)</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1-28D2-4CE4-9E8B-F44DAE75BF29}"/>
                  </c:ext>
                </c:extLst>
              </c15:ser>
            </c15:filteredPieSeries>
            <c15:filteredPieSeries>
              <c15:ser>
                <c:idx val="25"/>
                <c:order val="25"/>
                <c:tx>
                  <c:strRef>
                    <c:extLst xmlns:c15="http://schemas.microsoft.com/office/drawing/2012/chart">
                      <c:ext xmlns:c15="http://schemas.microsoft.com/office/drawing/2012/chart" uri="{02D57815-91ED-43cb-92C2-25804820EDAC}">
                        <c15:formulaRef>
                          <c15:sqref>'1. Dashboard'!$C$65</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Dashboard'!$D$65:$J$65</c15:sqref>
                        </c15:fullRef>
                        <c15:formulaRef>
                          <c15:sqref>('1. Dashboard'!$F$65,'1. Dashboard'!$H$65,'1. Dashboard'!$J$65)</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2-28D2-4CE4-9E8B-F44DAE75BF29}"/>
                  </c:ext>
                </c:extLst>
              </c15:ser>
            </c15:filteredPieSeries>
            <c15:filteredPieSeries>
              <c15:ser>
                <c:idx val="26"/>
                <c:order val="26"/>
                <c:tx>
                  <c:strRef>
                    <c:extLst xmlns:c15="http://schemas.microsoft.com/office/drawing/2012/chart">
                      <c:ext xmlns:c15="http://schemas.microsoft.com/office/drawing/2012/chart" uri="{02D57815-91ED-43cb-92C2-25804820EDAC}">
                        <c15:formulaRef>
                          <c15:sqref>'1. Dashboard'!$C$66</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A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Dashboard'!$D$66:$J$66</c15:sqref>
                        </c15:fullRef>
                        <c15:formulaRef>
                          <c15:sqref>('1. Dashboard'!$F$66,'1. Dashboard'!$H$66,'1. Dashboard'!$J$66)</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3-28D2-4CE4-9E8B-F44DAE75BF2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8"/>
          <c:order val="18"/>
          <c:tx>
            <c:strRef>
              <c:f>'1. Dashboard'!$C$57</c:f>
              <c:strCache>
                <c:ptCount val="1"/>
                <c:pt idx="0">
                  <c:v>B90.00</c:v>
                </c:pt>
              </c:strCache>
              <c:extLst xmlns:c15="http://schemas.microsoft.com/office/drawing/2012/chart"/>
            </c:strRef>
          </c:tx>
          <c:dPt>
            <c:idx val="0"/>
            <c:bubble3D val="0"/>
            <c:spPr>
              <a:solidFill>
                <a:srgbClr val="92D050"/>
              </a:solidFill>
              <a:ln>
                <a:noFill/>
              </a:ln>
              <a:effectLst/>
            </c:spPr>
            <c:extLst>
              <c:ext xmlns:c16="http://schemas.microsoft.com/office/drawing/2014/chart" uri="{C3380CC4-5D6E-409C-BE32-E72D297353CC}">
                <c16:uniqueId val="{0000006D-ACB4-4CCD-9C63-9D4907CFD14D}"/>
              </c:ext>
            </c:extLst>
          </c:dPt>
          <c:dPt>
            <c:idx val="1"/>
            <c:bubble3D val="0"/>
            <c:spPr>
              <a:solidFill>
                <a:srgbClr val="FFFFCD"/>
              </a:solidFill>
              <a:ln>
                <a:noFill/>
              </a:ln>
              <a:effectLst/>
            </c:spPr>
            <c:extLst>
              <c:ext xmlns:c16="http://schemas.microsoft.com/office/drawing/2014/chart" uri="{C3380CC4-5D6E-409C-BE32-E72D297353CC}">
                <c16:uniqueId val="{0000006F-ACB4-4CCD-9C63-9D4907CFD14D}"/>
              </c:ext>
            </c:extLst>
          </c:dPt>
          <c:dPt>
            <c:idx val="2"/>
            <c:bubble3D val="0"/>
            <c:spPr>
              <a:solidFill>
                <a:srgbClr val="FF0000"/>
              </a:solidFill>
              <a:ln>
                <a:noFill/>
              </a:ln>
              <a:effectLst/>
            </c:spPr>
            <c:extLst>
              <c:ext xmlns:c16="http://schemas.microsoft.com/office/drawing/2014/chart" uri="{C3380CC4-5D6E-409C-BE32-E72D297353CC}">
                <c16:uniqueId val="{00000071-ACB4-4CCD-9C63-9D4907CFD14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ext>
              </c:extLst>
              <c:f>('1. Dashboard'!$F$36,'1. Dashboard'!$H$36,'1. Dashboard'!$J$36)</c:f>
              <c:strCache>
                <c:ptCount val="3"/>
                <c:pt idx="0">
                  <c:v>OK (%)</c:v>
                </c:pt>
                <c:pt idx="1">
                  <c:v>NOK Justificados (%)</c:v>
                </c:pt>
                <c:pt idx="2">
                  <c:v>NOK (%)</c:v>
                </c:pt>
              </c:strCache>
            </c:strRef>
          </c:cat>
          <c:val>
            <c:numRef>
              <c:extLst>
                <c:ext xmlns:c15="http://schemas.microsoft.com/office/drawing/2012/chart" uri="{02D57815-91ED-43cb-92C2-25804820EDAC}">
                  <c15:fullRef>
                    <c15:sqref>'1. Dashboard'!$D$57:$J$57</c15:sqref>
                  </c15:fullRef>
                </c:ext>
              </c:extLst>
              <c:f>('1. Dashboard'!$F$57,'1. Dashboard'!$H$57,'1. Dashboard'!$J$57)</c:f>
              <c:numCache>
                <c:formatCode>General</c:formatCode>
                <c:ptCount val="3"/>
                <c:pt idx="0" formatCode="0.0%">
                  <c:v>0.8125</c:v>
                </c:pt>
                <c:pt idx="1" formatCode="0.0%">
                  <c:v>0.125</c:v>
                </c:pt>
                <c:pt idx="2" formatCode="0.0%">
                  <c:v>6.25E-2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B-28D2-4CE4-9E8B-F44DAE75BF29}"/>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'1. Dashboard'!$C$37</c15:sqref>
                        </c15:formulaRef>
                      </c:ext>
                    </c:extLst>
                    <c:strCache>
                      <c:ptCount val="1"/>
                      <c:pt idx="0">
                        <c:v>B02.00</c:v>
                      </c:pt>
                    </c:strCache>
                  </c:strRef>
                </c:tx>
                <c:dPt>
                  <c:idx val="0"/>
                  <c:bubble3D val="0"/>
                  <c:spPr>
                    <a:solidFill>
                      <a:srgbClr val="92D050"/>
                    </a:solidFill>
                    <a:ln>
                      <a:noFill/>
                    </a:ln>
                    <a:effectLst/>
                  </c:spPr>
                  <c:extLst>
                    <c:ext xmlns:c16="http://schemas.microsoft.com/office/drawing/2014/chart" uri="{C3380CC4-5D6E-409C-BE32-E72D297353CC}">
                      <c16:uniqueId val="{00000014-28D2-4CE4-9E8B-F44DAE75BF29}"/>
                    </c:ext>
                  </c:extLst>
                </c:dPt>
                <c:dPt>
                  <c:idx val="1"/>
                  <c:bubble3D val="0"/>
                  <c:spPr>
                    <a:solidFill>
                      <a:srgbClr val="FFFFCD"/>
                    </a:solidFill>
                    <a:ln>
                      <a:noFill/>
                    </a:ln>
                    <a:effectLst/>
                  </c:spPr>
                  <c:extLst>
                    <c:ext xmlns:c16="http://schemas.microsoft.com/office/drawing/2014/chart" uri="{C3380CC4-5D6E-409C-BE32-E72D297353CC}">
                      <c16:uniqueId val="{00000016-28D2-4CE4-9E8B-F44DAE75BF29}"/>
                    </c:ext>
                  </c:extLst>
                </c:dPt>
                <c:dPt>
                  <c:idx val="2"/>
                  <c:bubble3D val="0"/>
                  <c:spPr>
                    <a:solidFill>
                      <a:srgbClr val="FF0000"/>
                    </a:solidFill>
                    <a:ln>
                      <a:noFill/>
                    </a:ln>
                    <a:effectLst/>
                  </c:spPr>
                  <c:extLst>
                    <c:ext xmlns:c16="http://schemas.microsoft.com/office/drawing/2014/chart" uri="{C3380CC4-5D6E-409C-BE32-E72D297353CC}">
                      <c16:uniqueId val="{00000015-28D2-4CE4-9E8B-F44DAE75BF29}"/>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uri="{02D57815-91ED-43cb-92C2-25804820EDAC}">
                        <c15:fullRef>
                          <c15:sqref>'1. Dashboard'!$D$37:$J$37</c15:sqref>
                        </c15:fullRef>
                        <c15:formulaRef>
                          <c15:sqref>('1. Dashboard'!$F$37,'1. Dashboard'!$H$37,'1. Dashboard'!$J$37)</c15:sqref>
                        </c15:formulaRef>
                      </c:ext>
                    </c:extLst>
                    <c:numCache>
                      <c:formatCode>General</c:formatCode>
                      <c:ptCount val="3"/>
                      <c:pt idx="0" formatCode="0.0%">
                        <c:v>0.84868421052631582</c:v>
                      </c:pt>
                      <c:pt idx="1" formatCode="0.0%">
                        <c:v>2.6315789473684209E-2</c:v>
                      </c:pt>
                      <c:pt idx="2" formatCode="0.0%">
                        <c:v>0.10855263157894737</c:v>
                      </c:pt>
                    </c:numCache>
                  </c:numRef>
                </c:val>
                <c:extLst>
                  <c:ext uri="{02D57815-91ED-43cb-92C2-25804820EDAC}">
                    <c15:categoryFilterExceptions/>
                  </c:ext>
                  <c:ext xmlns:c16="http://schemas.microsoft.com/office/drawing/2014/chart" uri="{C3380CC4-5D6E-409C-BE32-E72D297353CC}">
                    <c16:uniqueId val="{00000000-0830-49D1-BBCB-B860BF64F30C}"/>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'1. Dashboard'!$C$38</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0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Dashboard'!$D$38:$J$38</c15:sqref>
                        </c15:fullRef>
                        <c15:formulaRef>
                          <c15:sqref>('1. Dashboard'!$F$38,'1. Dashboard'!$H$38,'1. Dashboard'!$J$38)</c15:sqref>
                        </c15:formulaRef>
                      </c:ext>
                    </c:extLst>
                    <c:numCache>
                      <c:formatCode>0</c:formatCode>
                      <c:ptCount val="3"/>
                      <c:pt idx="0" formatCode="0.0%">
                        <c:v>0.85897435897435892</c:v>
                      </c:pt>
                      <c:pt idx="1" formatCode="0.0%">
                        <c:v>3.8461538461538464E-2</c:v>
                      </c:pt>
                      <c:pt idx="2" formatCode="0.0%">
                        <c:v>7.0512820512820512E-2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0830-49D1-BBCB-B860BF64F30C}"/>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'1. Dashboard'!$C$39</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Dashboard'!$D$39:$J$39</c15:sqref>
                        </c15:fullRef>
                        <c15:formulaRef>
                          <c15:sqref>('1. Dashboard'!$F$39,'1. Dashboard'!$H$39,'1. Dashboard'!$J$39)</c15:sqref>
                        </c15:formulaRef>
                      </c:ext>
                    </c:extLst>
                    <c:numCache>
                      <c:formatCode>General</c:formatCode>
                      <c:ptCount val="3"/>
                      <c:pt idx="0" formatCode="0.0%">
                        <c:v>0.84126984126984128</c:v>
                      </c:pt>
                      <c:pt idx="1" formatCode="0.0%">
                        <c:v>0</c:v>
                      </c:pt>
                      <c:pt idx="2" formatCode="0.0%">
                        <c:v>7.9365079365079361E-2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0830-49D1-BBCB-B860BF64F30C}"/>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'1. Dashboard'!$C$40</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Dashboard'!$D$40:$J$40</c15:sqref>
                        </c15:fullRef>
                        <c15:formulaRef>
                          <c15:sqref>('1. Dashboard'!$F$40,'1. Dashboard'!$H$40,'1. Dashboard'!$J$40)</c15:sqref>
                        </c15:formulaRef>
                      </c:ext>
                    </c:extLst>
                    <c:numCache>
                      <c:formatCode>General</c:formatCode>
                      <c:ptCount val="3"/>
                      <c:pt idx="0" formatCode="0.0%">
                        <c:v>0.91666666666666663</c:v>
                      </c:pt>
                      <c:pt idx="1" formatCode="0.0%">
                        <c:v>0</c:v>
                      </c:pt>
                      <c:pt idx="2" formatCode="0.0%">
                        <c:v>8.3333333333333329E-2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0830-49D1-BBCB-B860BF64F30C}"/>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'1. Dashboard'!$C$42</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Dashboard'!$D$42:$J$42</c15:sqref>
                        </c15:fullRef>
                        <c15:formulaRef>
                          <c15:sqref>('1. Dashboard'!$F$42,'1. Dashboard'!$H$42,'1. Dashboard'!$J$42)</c15:sqref>
                        </c15:formulaRef>
                      </c:ext>
                    </c:extLst>
                    <c:numCache>
                      <c:formatCode>General</c:formatCode>
                      <c:ptCount val="3"/>
                      <c:pt idx="0" formatCode="0.0%">
                        <c:v>0.83783783783783783</c:v>
                      </c:pt>
                      <c:pt idx="1" formatCode="0.0%">
                        <c:v>1.3513513513513514E-2</c:v>
                      </c:pt>
                      <c:pt idx="2" formatCode="0.0%">
                        <c:v>0.14864864864864866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0830-49D1-BBCB-B860BF64F30C}"/>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'1. Dashboard'!$C$43</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Dashboard'!$D$43:$J$43</c15:sqref>
                        </c15:fullRef>
                        <c15:formulaRef>
                          <c15:sqref>('1. Dashboard'!$F$43,'1. Dashboard'!$H$43,'1. Dashboard'!$J$43)</c15:sqref>
                        </c15:formulaRef>
                      </c:ext>
                    </c:extLst>
                    <c:numCache>
                      <c:formatCode>General</c:formatCode>
                      <c:ptCount val="3"/>
                      <c:pt idx="0" formatCode="0.0%">
                        <c:v>0.95890410958904104</c:v>
                      </c:pt>
                      <c:pt idx="1" formatCode="0.0%">
                        <c:v>1.3698630136986301E-2</c:v>
                      </c:pt>
                      <c:pt idx="2" formatCode="0.0%">
                        <c:v>2.7397260273972601E-2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7FAB-47A0-9185-F969C5F12A7A}"/>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'1. Dashboard'!$C$44</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Dashboard'!$D$44:$J$44</c15:sqref>
                        </c15:fullRef>
                        <c15:formulaRef>
                          <c15:sqref>('1. Dashboard'!$F$44,'1. Dashboard'!$H$44,'1. Dashboard'!$J$44)</c15:sqref>
                        </c15:formulaRef>
                      </c:ext>
                    </c:extLst>
                    <c:numCache>
                      <c:formatCode>General</c:formatCode>
                      <c:ptCount val="3"/>
                      <c:pt idx="0" formatCode="0.0%">
                        <c:v>0.71232876712328763</c:v>
                      </c:pt>
                      <c:pt idx="1" formatCode="0.0%">
                        <c:v>1.3698630136986301E-2</c:v>
                      </c:pt>
                      <c:pt idx="2" formatCode="0.0%">
                        <c:v>0.27397260273972601</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7FAB-47A0-9185-F969C5F12A7A}"/>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'1. Dashboard'!$C$45</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Dashboard'!$D$45:$J$45</c15:sqref>
                        </c15:fullRef>
                        <c15:formulaRef>
                          <c15:sqref>('1. Dashboard'!$F$45,'1. Dashboard'!$H$45,'1. Dashboard'!$J$45)</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28D2-4CE4-9E8B-F44DAE75BF2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'1. Dashboard'!$C$46</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3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Dashboard'!$D$46:$J$46</c15:sqref>
                        </c15:fullRef>
                        <c15:formulaRef>
                          <c15:sqref>('1. Dashboard'!$F$46,'1. Dashboard'!$H$46,'1. Dashboard'!$J$46)</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28D2-4CE4-9E8B-F44DAE75BF29}"/>
                  </c:ext>
                </c:extLst>
              </c15:ser>
            </c15:filteredPieSeries>
            <c15:filteredPieSeries>
              <c15:ser>
                <c:idx val="9"/>
                <c:order val="9"/>
                <c:tx>
                  <c:strRef>
                    <c:extLst xmlns:c15="http://schemas.microsoft.com/office/drawing/2012/chart">
                      <c:ext xmlns:c15="http://schemas.microsoft.com/office/drawing/2012/chart" uri="{02D57815-91ED-43cb-92C2-25804820EDAC}">
                        <c15:formulaRef>
                          <c15:sqref>'1. Dashboard'!$C$47</c15:sqref>
                        </c15:formulaRef>
                      </c:ext>
                    </c:extLst>
                    <c:strCache>
                      <c:ptCount val="1"/>
                      <c:pt idx="0">
                        <c:v>B05.00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3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Dashboard'!$D$47:$J$47</c15:sqref>
                        </c15:fullRef>
                        <c15:formulaRef>
                          <c15:sqref>('1. Dashboard'!$F$47,'1. Dashboard'!$H$47,'1. Dashboard'!$J$47)</c15:sqref>
                        </c15:formulaRef>
                      </c:ext>
                    </c:extLst>
                    <c:numCache>
                      <c:formatCode>General</c:formatCode>
                      <c:ptCount val="3"/>
                      <c:pt idx="0" formatCode="0.0%">
                        <c:v>0.85</c:v>
                      </c:pt>
                      <c:pt idx="1" formatCode="0.0%">
                        <c:v>0.1</c:v>
                      </c:pt>
                      <c:pt idx="2" formatCode="0.0%">
                        <c:v>0.05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28D2-4CE4-9E8B-F44DAE75BF29}"/>
                  </c:ext>
                </c:extLst>
              </c15:ser>
            </c15:filteredPieSeries>
            <c15:filteredPieSeries>
              <c15:ser>
                <c:idx val="10"/>
                <c:order val="10"/>
                <c:tx>
                  <c:strRef>
                    <c:extLst xmlns:c15="http://schemas.microsoft.com/office/drawing/2012/chart">
                      <c:ext xmlns:c15="http://schemas.microsoft.com/office/drawing/2012/chart" uri="{02D57815-91ED-43cb-92C2-25804820EDAC}">
                        <c15:formulaRef>
                          <c15:sqref>'1. Dashboard'!$C$48</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Dashboard'!$D$48:$J$48</c15:sqref>
                        </c15:fullRef>
                        <c15:formulaRef>
                          <c15:sqref>('1. Dashboard'!$F$48,'1. Dashboard'!$H$48,'1. Dashboard'!$J$48)</c15:sqref>
                        </c15:formulaRef>
                      </c:ext>
                    </c:extLst>
                    <c:numCache>
                      <c:formatCode>0</c:formatCode>
                      <c:ptCount val="3"/>
                      <c:pt idx="0" formatCode="0.0%">
                        <c:v>0.84210526315789469</c:v>
                      </c:pt>
                      <c:pt idx="1" formatCode="0.0%">
                        <c:v>0.10526315789473684</c:v>
                      </c:pt>
                      <c:pt idx="2" formatCode="0.0%">
                        <c:v>5.2631578947368418E-2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28D2-4CE4-9E8B-F44DAE75BF29}"/>
                  </c:ext>
                </c:extLst>
              </c15:ser>
            </c15:filteredPieSeries>
            <c15:filteredPieSeries>
              <c15:ser>
                <c:idx val="11"/>
                <c:order val="11"/>
                <c:tx>
                  <c:strRef>
                    <c:extLst xmlns:c15="http://schemas.microsoft.com/office/drawing/2012/chart">
                      <c:ext xmlns:c15="http://schemas.microsoft.com/office/drawing/2012/chart" uri="{02D57815-91ED-43cb-92C2-25804820EDAC}">
                        <c15:formulaRef>
                          <c15:sqref>'1. Dashboard'!$C$49</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Dashboard'!$D$49:$J$49</c15:sqref>
                        </c15:fullRef>
                        <c15:formulaRef>
                          <c15:sqref>('1. Dashboard'!$F$49,'1. Dashboard'!$H$49,'1. Dashboard'!$J$49)</c15:sqref>
                        </c15:formulaRef>
                      </c:ext>
                    </c:extLst>
                    <c:numCache>
                      <c:formatCode>General</c:formatCode>
                      <c:ptCount val="3"/>
                      <c:pt idx="0" formatCode="0.0%">
                        <c:v>0.8</c:v>
                      </c:pt>
                      <c:pt idx="1" formatCode="0.0%">
                        <c:v>0</c:v>
                      </c:pt>
                      <c:pt idx="2" formatCode="0.0%">
                        <c:v>0.2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28D2-4CE4-9E8B-F44DAE75BF29}"/>
                  </c:ext>
                </c:extLst>
              </c15:ser>
            </c15:filteredPieSeries>
            <c15:filteredPieSeries>
              <c15:ser>
                <c:idx val="12"/>
                <c:order val="12"/>
                <c:tx>
                  <c:strRef>
                    <c:extLst xmlns:c15="http://schemas.microsoft.com/office/drawing/2012/chart">
                      <c:ext xmlns:c15="http://schemas.microsoft.com/office/drawing/2012/chart" uri="{02D57815-91ED-43cb-92C2-25804820EDAC}">
                        <c15:formulaRef>
                          <c15:sqref>'1. Dashboard'!$C$50</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Dashboard'!$D$50:$J$50</c15:sqref>
                        </c15:fullRef>
                        <c15:formulaRef>
                          <c15:sqref>('1. Dashboard'!$F$50,'1. Dashboard'!$H$50,'1. Dashboard'!$J$50)</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5-28D2-4CE4-9E8B-F44DAE75BF29}"/>
                  </c:ext>
                </c:extLst>
              </c15:ser>
            </c15:filteredPieSeries>
            <c15:filteredPieSeries>
              <c15:ser>
                <c:idx val="13"/>
                <c:order val="13"/>
                <c:tx>
                  <c:strRef>
                    <c:extLst xmlns:c15="http://schemas.microsoft.com/office/drawing/2012/chart">
                      <c:ext xmlns:c15="http://schemas.microsoft.com/office/drawing/2012/chart" uri="{02D57815-91ED-43cb-92C2-25804820EDAC}">
                        <c15:formulaRef>
                          <c15:sqref>'1. Dashboard'!$C$52</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Dashboard'!$D$52:$J$52</c15:sqref>
                        </c15:fullRef>
                        <c15:formulaRef>
                          <c15:sqref>('1. Dashboard'!$F$52,'1. Dashboard'!$H$52,'1. Dashboard'!$J$52)</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6-28D2-4CE4-9E8B-F44DAE75BF29}"/>
                  </c:ext>
                </c:extLst>
              </c15:ser>
            </c15:filteredPieSeries>
            <c15:filteredPieSeries>
              <c15:ser>
                <c:idx val="14"/>
                <c:order val="14"/>
                <c:tx>
                  <c:strRef>
                    <c:extLst xmlns:c15="http://schemas.microsoft.com/office/drawing/2012/chart">
                      <c:ext xmlns:c15="http://schemas.microsoft.com/office/drawing/2012/chart" uri="{02D57815-91ED-43cb-92C2-25804820EDAC}">
                        <c15:formulaRef>
                          <c15:sqref>'1. Dashboard'!$C$53</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Dashboard'!$D$53:$J$53</c15:sqref>
                        </c15:fullRef>
                        <c15:formulaRef>
                          <c15:sqref>('1. Dashboard'!$F$53,'1. Dashboard'!$H$53,'1. Dashboard'!$J$53)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7-28D2-4CE4-9E8B-F44DAE75BF29}"/>
                  </c:ext>
                </c:extLst>
              </c15:ser>
            </c15:filteredPieSeries>
            <c15:filteredPieSeries>
              <c15:ser>
                <c:idx val="15"/>
                <c:order val="15"/>
                <c:tx>
                  <c:strRef>
                    <c:extLst xmlns:c15="http://schemas.microsoft.com/office/drawing/2012/chart">
                      <c:ext xmlns:c15="http://schemas.microsoft.com/office/drawing/2012/chart" uri="{02D57815-91ED-43cb-92C2-25804820EDAC}">
                        <c15:formulaRef>
                          <c15:sqref>'1. Dashboard'!$C$54</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Dashboard'!$D$54:$J$54</c15:sqref>
                        </c15:fullRef>
                        <c15:formulaRef>
                          <c15:sqref>('1. Dashboard'!$F$54,'1. Dashboard'!$H$54,'1. Dashboard'!$J$54)</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8-28D2-4CE4-9E8B-F44DAE75BF29}"/>
                  </c:ext>
                </c:extLst>
              </c15:ser>
            </c15:filteredPieSeries>
            <c15:filteredPieSeries>
              <c15:ser>
                <c:idx val="16"/>
                <c:order val="16"/>
                <c:tx>
                  <c:strRef>
                    <c:extLst xmlns:c15="http://schemas.microsoft.com/office/drawing/2012/chart">
                      <c:ext xmlns:c15="http://schemas.microsoft.com/office/drawing/2012/chart" uri="{02D57815-91ED-43cb-92C2-25804820EDAC}">
                        <c15:formulaRef>
                          <c15:sqref>'1. Dashboard'!$C$55</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Dashboard'!$D$55:$J$55</c15:sqref>
                        </c15:fullRef>
                        <c15:formulaRef>
                          <c15:sqref>('1. Dashboard'!$F$55,'1. Dashboard'!$H$55,'1. Dashboard'!$J$55)</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9-28D2-4CE4-9E8B-F44DAE75BF29}"/>
                  </c:ext>
                </c:extLst>
              </c15:ser>
            </c15:filteredPieSeries>
            <c15:filteredPieSeries>
              <c15:ser>
                <c:idx val="17"/>
                <c:order val="17"/>
                <c:tx>
                  <c:strRef>
                    <c:extLst xmlns:c15="http://schemas.microsoft.com/office/drawing/2012/chart">
                      <c:ext xmlns:c15="http://schemas.microsoft.com/office/drawing/2012/chart" uri="{02D57815-91ED-43cb-92C2-25804820EDAC}">
                        <c15:formulaRef>
                          <c15:sqref>'1. Dashboard'!$C$56</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Dashboard'!$D$56:$J$56</c15:sqref>
                        </c15:fullRef>
                        <c15:formulaRef>
                          <c15:sqref>('1. Dashboard'!$F$56,'1. Dashboard'!$H$56,'1. Dashboard'!$J$56)</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28D2-4CE4-9E8B-F44DAE75BF29}"/>
                  </c:ext>
                </c:extLst>
              </c15:ser>
            </c15:filteredPieSeries>
            <c15:filteredPieSeries>
              <c15:ser>
                <c:idx val="19"/>
                <c:order val="19"/>
                <c:tx>
                  <c:strRef>
                    <c:extLst xmlns:c15="http://schemas.microsoft.com/office/drawing/2012/chart">
                      <c:ext xmlns:c15="http://schemas.microsoft.com/office/drawing/2012/chart" uri="{02D57815-91ED-43cb-92C2-25804820EDAC}">
                        <c15:formulaRef>
                          <c15:sqref>'1. Dashboard'!$C$58</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Dashboard'!$D$58:$J$58</c15:sqref>
                        </c15:fullRef>
                        <c15:formulaRef>
                          <c15:sqref>('1. Dashboard'!$F$58,'1. Dashboard'!$H$58,'1. Dashboard'!$J$58)</c15:sqref>
                        </c15:formulaRef>
                      </c:ext>
                    </c:extLst>
                    <c:numCache>
                      <c:formatCode>General</c:formatCode>
                      <c:ptCount val="3"/>
                      <c:pt idx="0" formatCode="0.0%">
                        <c:v>0.8</c:v>
                      </c:pt>
                      <c:pt idx="1" formatCode="0.0%">
                        <c:v>0.13333333333333333</c:v>
                      </c:pt>
                      <c:pt idx="2" formatCode="0.0%">
                        <c:v>6.6666666666666666E-2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C-28D2-4CE4-9E8B-F44DAE75BF29}"/>
                  </c:ext>
                </c:extLst>
              </c15:ser>
            </c15:filteredPieSeries>
            <c15:filteredPieSeries>
              <c15:ser>
                <c:idx val="20"/>
                <c:order val="20"/>
                <c:tx>
                  <c:strRef>
                    <c:extLst xmlns:c15="http://schemas.microsoft.com/office/drawing/2012/chart">
                      <c:ext xmlns:c15="http://schemas.microsoft.com/office/drawing/2012/chart" uri="{02D57815-91ED-43cb-92C2-25804820EDAC}">
                        <c15:formulaRef>
                          <c15:sqref>'1. Dashboard'!$C$59</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Dashboard'!$D$59:$J$59</c15:sqref>
                        </c15:fullRef>
                        <c15:formulaRef>
                          <c15:sqref>('1. Dashboard'!$F$59,'1. Dashboard'!$H$59,'1. Dashboard'!$J$59)</c15:sqref>
                        </c15:formulaRef>
                      </c:ext>
                    </c:extLst>
                    <c:numCache>
                      <c:formatCode>General</c:formatCode>
                      <c:ptCount val="3"/>
                      <c:pt idx="0" formatCode="0.0%">
                        <c:v>0.5</c:v>
                      </c:pt>
                      <c:pt idx="1" formatCode="0.0%">
                        <c:v>0.25</c:v>
                      </c:pt>
                      <c:pt idx="2" formatCode="0.0%">
                        <c:v>0.25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D-28D2-4CE4-9E8B-F44DAE75BF29}"/>
                  </c:ext>
                </c:extLst>
              </c15:ser>
            </c15:filteredPieSeries>
            <c15:filteredPieSeries>
              <c15:ser>
                <c:idx val="21"/>
                <c:order val="21"/>
                <c:tx>
                  <c:strRef>
                    <c:extLst xmlns:c15="http://schemas.microsoft.com/office/drawing/2012/chart">
                      <c:ext xmlns:c15="http://schemas.microsoft.com/office/drawing/2012/chart" uri="{02D57815-91ED-43cb-92C2-25804820EDAC}">
                        <c15:formulaRef>
                          <c15:sqref>'1. Dashboard'!$C$60</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Dashboard'!$D$60:$J$60</c15:sqref>
                        </c15:fullRef>
                        <c15:formulaRef>
                          <c15:sqref>('1. Dashboard'!$F$60,'1. Dashboard'!$H$60,'1. Dashboard'!$J$60)</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E-28D2-4CE4-9E8B-F44DAE75BF29}"/>
                  </c:ext>
                </c:extLst>
              </c15:ser>
            </c15:filteredPieSeries>
            <c15:filteredPieSeries>
              <c15:ser>
                <c:idx val="22"/>
                <c:order val="22"/>
                <c:tx>
                  <c:strRef>
                    <c:extLst xmlns:c15="http://schemas.microsoft.com/office/drawing/2012/chart">
                      <c:ext xmlns:c15="http://schemas.microsoft.com/office/drawing/2012/chart" uri="{02D57815-91ED-43cb-92C2-25804820EDAC}">
                        <c15:formulaRef>
                          <c15:sqref>'1. Dashboard'!$C$62</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Dashboard'!$D$62:$J$62</c15:sqref>
                        </c15:fullRef>
                        <c15:formulaRef>
                          <c15:sqref>('1. Dashboard'!$F$62,'1. Dashboard'!$H$62,'1. Dashboard'!$J$62)</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F-28D2-4CE4-9E8B-F44DAE75BF29}"/>
                  </c:ext>
                </c:extLst>
              </c15:ser>
            </c15:filteredPieSeries>
            <c15:filteredPieSeries>
              <c15:ser>
                <c:idx val="23"/>
                <c:order val="23"/>
                <c:tx>
                  <c:strRef>
                    <c:extLst xmlns:c15="http://schemas.microsoft.com/office/drawing/2012/chart">
                      <c:ext xmlns:c15="http://schemas.microsoft.com/office/drawing/2012/chart" uri="{02D57815-91ED-43cb-92C2-25804820EDAC}">
                        <c15:formulaRef>
                          <c15:sqref>'1. Dashboard'!$C$63</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Dashboard'!$D$63:$J$63</c15:sqref>
                        </c15:fullRef>
                        <c15:formulaRef>
                          <c15:sqref>('1. Dashboard'!$F$63,'1. Dashboard'!$H$63,'1. Dashboard'!$J$63)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0-28D2-4CE4-9E8B-F44DAE75BF29}"/>
                  </c:ext>
                </c:extLst>
              </c15:ser>
            </c15:filteredPieSeries>
            <c15:filteredPieSeries>
              <c15:ser>
                <c:idx val="24"/>
                <c:order val="24"/>
                <c:tx>
                  <c:strRef>
                    <c:extLst xmlns:c15="http://schemas.microsoft.com/office/drawing/2012/chart">
                      <c:ext xmlns:c15="http://schemas.microsoft.com/office/drawing/2012/chart" uri="{02D57815-91ED-43cb-92C2-25804820EDAC}">
                        <c15:formulaRef>
                          <c15:sqref>'1. Dashboard'!$C$64</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Dashboard'!$D$64:$J$64</c15:sqref>
                        </c15:fullRef>
                        <c15:formulaRef>
                          <c15:sqref>('1. Dashboard'!$F$64,'1. Dashboard'!$H$64,'1. Dashboard'!$J$64)</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1-28D2-4CE4-9E8B-F44DAE75BF29}"/>
                  </c:ext>
                </c:extLst>
              </c15:ser>
            </c15:filteredPieSeries>
            <c15:filteredPieSeries>
              <c15:ser>
                <c:idx val="25"/>
                <c:order val="25"/>
                <c:tx>
                  <c:strRef>
                    <c:extLst xmlns:c15="http://schemas.microsoft.com/office/drawing/2012/chart">
                      <c:ext xmlns:c15="http://schemas.microsoft.com/office/drawing/2012/chart" uri="{02D57815-91ED-43cb-92C2-25804820EDAC}">
                        <c15:formulaRef>
                          <c15:sqref>'1. Dashboard'!$C$65</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Dashboard'!$D$65:$J$65</c15:sqref>
                        </c15:fullRef>
                        <c15:formulaRef>
                          <c15:sqref>('1. Dashboard'!$F$65,'1. Dashboard'!$H$65,'1. Dashboard'!$J$65)</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2-28D2-4CE4-9E8B-F44DAE75BF29}"/>
                  </c:ext>
                </c:extLst>
              </c15:ser>
            </c15:filteredPieSeries>
            <c15:filteredPieSeries>
              <c15:ser>
                <c:idx val="26"/>
                <c:order val="26"/>
                <c:tx>
                  <c:strRef>
                    <c:extLst xmlns:c15="http://schemas.microsoft.com/office/drawing/2012/chart">
                      <c:ext xmlns:c15="http://schemas.microsoft.com/office/drawing/2012/chart" uri="{02D57815-91ED-43cb-92C2-25804820EDAC}">
                        <c15:formulaRef>
                          <c15:sqref>'1. Dashboard'!$C$66</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A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Dashboard'!$D$36:$J$36</c15:sqref>
                        </c15:fullRef>
                        <c15:formulaRef>
                          <c15:sqref>('1. Dashboard'!$F$36,'1. Dashboard'!$H$36,'1. Dashboard'!$J$36)</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Dashboard'!$D$66:$J$66</c15:sqref>
                        </c15:fullRef>
                        <c15:formulaRef>
                          <c15:sqref>('1. Dashboard'!$F$66,'1. Dashboard'!$H$66,'1. Dashboard'!$J$66)</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3-28D2-4CE4-9E8B-F44DAE75BF2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9</xdr:col>
      <xdr:colOff>1305279</xdr:colOff>
      <xdr:row>34</xdr:row>
      <xdr:rowOff>154983</xdr:rowOff>
    </xdr:from>
    <xdr:to>
      <xdr:col>16</xdr:col>
      <xdr:colOff>647972</xdr:colOff>
      <xdr:row>67</xdr:row>
      <xdr:rowOff>104775</xdr:rowOff>
    </xdr:to>
    <xdr:graphicFrame macro="">
      <xdr:nvGraphicFramePr>
        <xdr:cNvPr id="10" name="Chart 8">
          <a:extLst>
            <a:ext uri="{FF2B5EF4-FFF2-40B4-BE49-F238E27FC236}">
              <a16:creationId xmlns:a16="http://schemas.microsoft.com/office/drawing/2014/main" id="{B078DBC2-F717-FAB4-FEF5-E8ECA80D9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1305279</xdr:colOff>
      <xdr:row>71</xdr:row>
      <xdr:rowOff>117199</xdr:rowOff>
    </xdr:from>
    <xdr:to>
      <xdr:col>18</xdr:col>
      <xdr:colOff>410301</xdr:colOff>
      <xdr:row>86</xdr:row>
      <xdr:rowOff>124365</xdr:rowOff>
    </xdr:to>
    <xdr:graphicFrame macro="">
      <xdr:nvGraphicFramePr>
        <xdr:cNvPr id="13" name="Chart 10">
          <a:extLst>
            <a:ext uri="{FF2B5EF4-FFF2-40B4-BE49-F238E27FC236}">
              <a16:creationId xmlns:a16="http://schemas.microsoft.com/office/drawing/2014/main" id="{0A03B187-408D-D9BB-E70F-629EDA522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17</xdr:col>
      <xdr:colOff>92416</xdr:colOff>
      <xdr:row>55</xdr:row>
      <xdr:rowOff>140175</xdr:rowOff>
    </xdr:from>
    <xdr:to>
      <xdr:col>18</xdr:col>
      <xdr:colOff>970510</xdr:colOff>
      <xdr:row>66</xdr:row>
      <xdr:rowOff>173083</xdr:rowOff>
    </xdr:to>
    <xdr:graphicFrame macro="">
      <xdr:nvGraphicFramePr>
        <xdr:cNvPr id="3" name="Chart 2">
          <a:extLst>
            <a:ext uri="{FF2B5EF4-FFF2-40B4-BE49-F238E27FC236}">
              <a16:creationId xmlns:a16="http://schemas.microsoft.com/office/drawing/2014/main" id="{1AA7E072-B03A-90B0-A05B-2FAB79B84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17</xdr:col>
      <xdr:colOff>629042</xdr:colOff>
      <xdr:row>60</xdr:row>
      <xdr:rowOff>21509</xdr:rowOff>
    </xdr:from>
    <xdr:to>
      <xdr:col>18</xdr:col>
      <xdr:colOff>412301</xdr:colOff>
      <xdr:row>62</xdr:row>
      <xdr:rowOff>136446</xdr:rowOff>
    </xdr:to>
    <xdr:sp macro="" textlink="">
      <xdr:nvSpPr>
        <xdr:cNvPr id="2" name="TextBox 1">
          <a:extLst>
            <a:ext uri="{FF2B5EF4-FFF2-40B4-BE49-F238E27FC236}">
              <a16:creationId xmlns:a16="http://schemas.microsoft.com/office/drawing/2014/main" id="{4766A0CA-FE9D-8DE6-53D4-5B0D1796F277}"/>
            </a:ext>
          </a:extLst>
        </xdr:cNvPr>
        <xdr:cNvSpPr txBox="1"/>
      </xdr:nvSpPr>
      <xdr:spPr>
        <a:xfrm>
          <a:off x="21560638" y="9991735"/>
          <a:ext cx="870560" cy="468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1600" b="1"/>
            <a:t>B02.00</a:t>
          </a:r>
        </a:p>
      </xdr:txBody>
    </xdr:sp>
    <xdr:clientData/>
  </xdr:twoCellAnchor>
  <xdr:twoCellAnchor editAs="absolute">
    <xdr:from>
      <xdr:col>17</xdr:col>
      <xdr:colOff>83526</xdr:colOff>
      <xdr:row>45</xdr:row>
      <xdr:rowOff>39493</xdr:rowOff>
    </xdr:from>
    <xdr:to>
      <xdr:col>18</xdr:col>
      <xdr:colOff>970510</xdr:colOff>
      <xdr:row>56</xdr:row>
      <xdr:rowOff>54622</xdr:rowOff>
    </xdr:to>
    <xdr:graphicFrame macro="">
      <xdr:nvGraphicFramePr>
        <xdr:cNvPr id="7" name="Chart 6">
          <a:extLst>
            <a:ext uri="{FF2B5EF4-FFF2-40B4-BE49-F238E27FC236}">
              <a16:creationId xmlns:a16="http://schemas.microsoft.com/office/drawing/2014/main" id="{1BC66F60-DADE-F093-3B42-3161632F94B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17</xdr:col>
      <xdr:colOff>617823</xdr:colOff>
      <xdr:row>49</xdr:row>
      <xdr:rowOff>59691</xdr:rowOff>
    </xdr:from>
    <xdr:to>
      <xdr:col>18</xdr:col>
      <xdr:colOff>438119</xdr:colOff>
      <xdr:row>52</xdr:row>
      <xdr:rowOff>21090</xdr:rowOff>
    </xdr:to>
    <xdr:sp macro="" textlink="">
      <xdr:nvSpPr>
        <xdr:cNvPr id="5" name="TextBox 4">
          <a:extLst>
            <a:ext uri="{FF2B5EF4-FFF2-40B4-BE49-F238E27FC236}">
              <a16:creationId xmlns:a16="http://schemas.microsoft.com/office/drawing/2014/main" id="{9EDCA54E-1942-4BB8-8651-FBBC04767572}"/>
            </a:ext>
          </a:extLst>
        </xdr:cNvPr>
        <xdr:cNvSpPr txBox="1"/>
      </xdr:nvSpPr>
      <xdr:spPr>
        <a:xfrm>
          <a:off x="21543069" y="8084095"/>
          <a:ext cx="915217" cy="492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1600" b="1"/>
            <a:t>B05.00</a:t>
          </a:r>
        </a:p>
      </xdr:txBody>
    </xdr:sp>
    <xdr:clientData/>
  </xdr:twoCellAnchor>
  <xdr:twoCellAnchor editAs="absolute">
    <xdr:from>
      <xdr:col>17</xdr:col>
      <xdr:colOff>92416</xdr:colOff>
      <xdr:row>34</xdr:row>
      <xdr:rowOff>92209</xdr:rowOff>
    </xdr:from>
    <xdr:to>
      <xdr:col>18</xdr:col>
      <xdr:colOff>970510</xdr:colOff>
      <xdr:row>45</xdr:row>
      <xdr:rowOff>116862</xdr:rowOff>
    </xdr:to>
    <xdr:graphicFrame macro="">
      <xdr:nvGraphicFramePr>
        <xdr:cNvPr id="8" name="Chart 7">
          <a:extLst>
            <a:ext uri="{FF2B5EF4-FFF2-40B4-BE49-F238E27FC236}">
              <a16:creationId xmlns:a16="http://schemas.microsoft.com/office/drawing/2014/main" id="{8E469DD9-8F22-B5CC-38F4-5F71731A144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17</xdr:col>
      <xdr:colOff>629772</xdr:colOff>
      <xdr:row>38</xdr:row>
      <xdr:rowOff>130938</xdr:rowOff>
    </xdr:from>
    <xdr:to>
      <xdr:col>18</xdr:col>
      <xdr:colOff>411556</xdr:colOff>
      <xdr:row>41</xdr:row>
      <xdr:rowOff>88316</xdr:rowOff>
    </xdr:to>
    <xdr:sp macro="" textlink="">
      <xdr:nvSpPr>
        <xdr:cNvPr id="6" name="TextBox 5">
          <a:extLst>
            <a:ext uri="{FF2B5EF4-FFF2-40B4-BE49-F238E27FC236}">
              <a16:creationId xmlns:a16="http://schemas.microsoft.com/office/drawing/2014/main" id="{12BBE811-D720-48B4-AE57-D24F22DD7462}"/>
            </a:ext>
          </a:extLst>
        </xdr:cNvPr>
        <xdr:cNvSpPr txBox="1"/>
      </xdr:nvSpPr>
      <xdr:spPr>
        <a:xfrm>
          <a:off x="21548033" y="6217141"/>
          <a:ext cx="882420" cy="491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1600" b="1"/>
            <a:t>B90.00</a:t>
          </a:r>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2B1D139-C834-4902-B4D8-EE4EC30C38B8}" autoFormatId="16" applyNumberFormats="0" applyBorderFormats="0" applyFontFormats="0" applyPatternFormats="0" applyAlignmentFormats="0" applyWidthHeightFormats="0">
  <queryTableRefresh nextId="2">
    <queryTableFields count="1">
      <queryTableField id="1" name="Param_RefDate"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74F230D-CCAA-44B3-972E-C38F763B513D}" autoFormatId="16" applyNumberFormats="0" applyBorderFormats="0" applyFontFormats="0" applyPatternFormats="0" applyAlignmentFormats="0" applyWidthHeightFormats="0">
  <queryTableRefresh nextId="14">
    <queryTableFields count="9">
      <queryTableField id="7" name="ref_date" tableColumnId="7"/>
      <queryTableField id="9" name="cod_kpi" tableColumnId="8"/>
      <queryTableField id="3" name="tipologia_teste" tableColumnId="3"/>
      <queryTableField id="10" name="descrição" tableColumnId="9"/>
      <queryTableField id="1" name="tabela" tableColumnId="1"/>
      <queryTableField id="2" name="campo" tableColumnId="2"/>
      <queryTableField id="4" name="num_reg" tableColumnId="4"/>
      <queryTableField id="5" name="num_reg_dif" tableColumnId="5"/>
      <queryTableField id="6" name="detalhe"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F4CE97-BD95-4991-9ED5-F85CDC54E986}" name="Param_RefDate" displayName="Param_RefDate" ref="A1:A2" tableType="queryTable" totalsRowShown="0">
  <autoFilter ref="A1:A2" xr:uid="{43F4CE97-BD95-4991-9ED5-F85CDC54E986}"/>
  <tableColumns count="1">
    <tableColumn id="1" xr3:uid="{A75E97C1-328F-452E-89AA-3E1F74746CC4}" uniqueName="1" name="Param_RefDate" queryTableFieldId="1"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0715A1-AABC-40CB-AFAC-E6A4491CB880}" name="Query1" displayName="Query1" ref="A2:I5" tableType="queryTable" totalsRowShown="0">
  <autoFilter ref="A2:I5" xr:uid="{1C0715A1-AABC-40CB-AFAC-E6A4491CB880}"/>
  <tableColumns count="9">
    <tableColumn id="7" xr3:uid="{D4F9D360-26D0-459F-B069-A23B2ACEC847}" uniqueName="7" name="ref_date" queryTableFieldId="7" dataDxfId="6"/>
    <tableColumn id="8" xr3:uid="{EC194072-ED3B-4437-9454-90CA47C6C6D7}" uniqueName="8" name="cod_kpi" queryTableFieldId="9" dataDxfId="5"/>
    <tableColumn id="3" xr3:uid="{C806F35C-EC01-4658-B622-B37B143E32BF}" uniqueName="3" name="tipologia_teste" queryTableFieldId="3" dataDxfId="4"/>
    <tableColumn id="9" xr3:uid="{BB2CE20C-3970-4B21-AA6A-2DE9F556085F}" uniqueName="9" name="descrição" queryTableFieldId="10" dataDxfId="3"/>
    <tableColumn id="1" xr3:uid="{8E03818A-FE6E-407A-8308-9158A7C4FCEB}" uniqueName="1" name="tabela" queryTableFieldId="1" dataDxfId="2"/>
    <tableColumn id="2" xr3:uid="{FBF429CB-F460-483B-BF3E-3994F6A15B00}" uniqueName="2" name="campo" queryTableFieldId="2" dataDxfId="1"/>
    <tableColumn id="4" xr3:uid="{9D19877A-BCA2-4066-9E04-5905CBE652CA}" uniqueName="4" name="num_reg" queryTableFieldId="4"/>
    <tableColumn id="5" xr3:uid="{EB5A00E6-37B8-495C-A715-D00CFC979B9F}" uniqueName="5" name="num_reg_dif" queryTableFieldId="5"/>
    <tableColumn id="6" xr3:uid="{092EE4AF-4B78-429D-9E88-913A5B72BBA9}" uniqueName="6" name="detalhe"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A6140-CF92-4BDC-BFEC-952F8AAB021C}">
  <sheetPr>
    <tabColor rgb="FFFF0000"/>
  </sheetPr>
  <dimension ref="A1:U7"/>
  <sheetViews>
    <sheetView showGridLines="0" zoomScale="80" zoomScaleNormal="80" workbookViewId="0">
      <selection activeCell="G17" sqref="G17"/>
    </sheetView>
  </sheetViews>
  <sheetFormatPr defaultRowHeight="14.4" x14ac:dyDescent="0.3"/>
  <cols>
    <col min="1" max="1" width="3.77734375" customWidth="1"/>
    <col min="2" max="11" width="8.88671875" customWidth="1"/>
    <col min="21" max="21" width="3.77734375" customWidth="1"/>
  </cols>
  <sheetData>
    <row r="1" spans="1:21" x14ac:dyDescent="0.3">
      <c r="A1" s="68"/>
      <c r="B1" s="68"/>
      <c r="C1" s="68"/>
      <c r="D1" s="68"/>
      <c r="E1" s="68"/>
      <c r="F1" s="68"/>
      <c r="G1" s="68"/>
      <c r="H1" s="68"/>
      <c r="I1" s="68"/>
      <c r="J1" s="68"/>
      <c r="K1" s="68"/>
      <c r="L1" s="68"/>
      <c r="M1" s="68"/>
      <c r="N1" s="68"/>
      <c r="O1" s="68"/>
      <c r="P1" s="68"/>
      <c r="Q1" s="68"/>
      <c r="R1" s="68"/>
      <c r="S1" s="68"/>
      <c r="T1" s="68"/>
      <c r="U1" s="68"/>
    </row>
    <row r="2" spans="1:21" x14ac:dyDescent="0.3">
      <c r="A2" s="68"/>
      <c r="B2" s="68"/>
      <c r="C2" s="68"/>
      <c r="D2" s="68"/>
      <c r="E2" s="68"/>
      <c r="F2" s="68"/>
      <c r="G2" s="68"/>
      <c r="H2" s="68"/>
      <c r="I2" s="68"/>
      <c r="J2" s="68"/>
      <c r="K2" s="68"/>
      <c r="L2" s="68"/>
      <c r="M2" s="68"/>
      <c r="N2" s="68"/>
      <c r="O2" s="68"/>
      <c r="P2" s="68"/>
      <c r="Q2" s="68"/>
      <c r="R2" s="99"/>
      <c r="S2" s="68"/>
      <c r="T2" s="68"/>
      <c r="U2" s="68"/>
    </row>
    <row r="3" spans="1:21" x14ac:dyDescent="0.3">
      <c r="A3" s="68"/>
      <c r="B3" s="68"/>
      <c r="C3" s="68"/>
      <c r="D3" s="68"/>
      <c r="E3" s="68"/>
      <c r="F3" s="68"/>
      <c r="G3" s="68"/>
      <c r="H3" s="68"/>
      <c r="I3" s="68"/>
      <c r="J3" s="68"/>
      <c r="K3" s="68"/>
      <c r="L3" s="68"/>
      <c r="M3" s="68"/>
      <c r="N3" s="68"/>
      <c r="O3" s="68"/>
      <c r="P3" s="68"/>
      <c r="Q3" s="68"/>
      <c r="R3" s="68"/>
      <c r="S3" s="68"/>
      <c r="T3" s="68"/>
      <c r="U3" s="68"/>
    </row>
    <row r="4" spans="1:21" ht="3" customHeight="1" x14ac:dyDescent="0.3">
      <c r="A4" s="69"/>
      <c r="B4" s="69"/>
      <c r="C4" s="69"/>
      <c r="D4" s="69"/>
      <c r="E4" s="69"/>
      <c r="F4" s="69"/>
      <c r="G4" s="69"/>
      <c r="H4" s="69"/>
      <c r="I4" s="69"/>
      <c r="J4" s="69"/>
      <c r="K4" s="69"/>
      <c r="L4" s="69"/>
      <c r="M4" s="69"/>
      <c r="N4" s="69"/>
      <c r="O4" s="69"/>
      <c r="P4" s="69"/>
      <c r="Q4" s="69"/>
      <c r="R4" s="69"/>
      <c r="S4" s="69"/>
      <c r="T4" s="69"/>
      <c r="U4" s="69"/>
    </row>
    <row r="5" spans="1:21" x14ac:dyDescent="0.3">
      <c r="A5" s="70"/>
      <c r="B5" s="70"/>
      <c r="C5" s="70"/>
      <c r="D5" s="70"/>
      <c r="E5" s="70"/>
      <c r="F5" s="70"/>
      <c r="G5" s="70"/>
      <c r="H5" s="70"/>
      <c r="I5" s="70"/>
      <c r="J5" s="70"/>
      <c r="K5" s="70"/>
      <c r="L5" s="70"/>
      <c r="M5" s="70"/>
      <c r="N5" s="70"/>
      <c r="O5" s="70"/>
      <c r="P5" s="70"/>
      <c r="Q5" s="70"/>
      <c r="R5" s="70"/>
      <c r="S5" s="70"/>
      <c r="T5" s="70"/>
      <c r="U5" s="70"/>
    </row>
    <row r="6" spans="1:21" ht="15" thickBot="1" x14ac:dyDescent="0.35">
      <c r="A6" s="70"/>
      <c r="B6" s="71" t="s">
        <v>328</v>
      </c>
      <c r="C6" s="72"/>
      <c r="D6" s="72"/>
      <c r="E6" s="72"/>
      <c r="F6" s="72"/>
      <c r="G6" s="72"/>
      <c r="H6" s="72"/>
      <c r="I6" s="72"/>
      <c r="J6" s="72"/>
      <c r="K6" s="72"/>
      <c r="L6" s="72"/>
      <c r="M6" s="72"/>
      <c r="N6" s="72"/>
      <c r="O6" s="72"/>
      <c r="P6" s="72"/>
      <c r="Q6" s="72"/>
      <c r="R6" s="72"/>
      <c r="S6" s="72"/>
      <c r="T6" s="72"/>
      <c r="U6" s="70"/>
    </row>
    <row r="7" spans="1:21" x14ac:dyDescent="0.3">
      <c r="A7" s="70"/>
      <c r="B7" s="70"/>
      <c r="C7" s="70"/>
      <c r="D7" s="70"/>
      <c r="E7" s="70"/>
      <c r="F7" s="70"/>
      <c r="G7" s="70"/>
      <c r="H7" s="70"/>
      <c r="I7" s="70"/>
      <c r="J7" s="70"/>
      <c r="K7" s="70"/>
      <c r="L7" s="70"/>
      <c r="M7" s="70"/>
      <c r="N7" s="70"/>
      <c r="O7" s="70"/>
      <c r="P7" s="70"/>
      <c r="Q7" s="70"/>
      <c r="R7" s="70"/>
      <c r="S7" s="70"/>
      <c r="T7" s="70"/>
      <c r="U7" s="7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B0A33-9BC8-4EFB-974A-3471069DE44F}">
  <sheetPr>
    <tabColor rgb="FFFF0000"/>
  </sheetPr>
  <dimension ref="A1:A2"/>
  <sheetViews>
    <sheetView workbookViewId="0">
      <selection activeCell="B4" sqref="B4"/>
    </sheetView>
  </sheetViews>
  <sheetFormatPr defaultRowHeight="14.4" x14ac:dyDescent="0.3"/>
  <cols>
    <col min="1" max="1" width="16.6640625" bestFit="1" customWidth="1"/>
  </cols>
  <sheetData>
    <row r="1" spans="1:1" x14ac:dyDescent="0.3">
      <c r="A1" t="s">
        <v>343</v>
      </c>
    </row>
    <row r="2" spans="1:1" x14ac:dyDescent="0.3">
      <c r="A2" t="s">
        <v>344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15E0-0E32-409E-A5D0-70BA3A4AC0F1}">
  <sheetPr codeName="Sheet1">
    <tabColor rgb="FFFF0000"/>
  </sheetPr>
  <dimension ref="A1:U97"/>
  <sheetViews>
    <sheetView showGridLines="0" topLeftCell="A16" zoomScale="70" zoomScaleNormal="70" workbookViewId="0">
      <selection activeCell="D12" sqref="D12"/>
    </sheetView>
  </sheetViews>
  <sheetFormatPr defaultRowHeight="14.4" outlineLevelRow="1" x14ac:dyDescent="0.3"/>
  <cols>
    <col min="1" max="2" width="3.77734375" customWidth="1"/>
    <col min="3" max="3" width="28.88671875" bestFit="1" customWidth="1"/>
    <col min="4" max="6" width="19.77734375" customWidth="1"/>
    <col min="7" max="7" width="26.5546875" bestFit="1" customWidth="1"/>
    <col min="8" max="8" width="25.109375" bestFit="1" customWidth="1"/>
    <col min="9" max="12" width="19.77734375" customWidth="1"/>
    <col min="13" max="19" width="15.77734375" customWidth="1"/>
    <col min="20" max="21" width="3.77734375" customWidth="1"/>
  </cols>
  <sheetData>
    <row r="1" spans="1:21" x14ac:dyDescent="0.3">
      <c r="A1" s="68"/>
      <c r="B1" s="68"/>
      <c r="C1" s="68"/>
      <c r="D1" s="68"/>
      <c r="E1" s="68"/>
      <c r="F1" s="68"/>
      <c r="G1" s="68"/>
      <c r="H1" s="68"/>
      <c r="I1" s="68"/>
      <c r="J1" s="68"/>
      <c r="K1" s="68"/>
      <c r="L1" s="68"/>
      <c r="M1" s="68"/>
      <c r="N1" s="68"/>
      <c r="O1" s="68"/>
      <c r="P1" s="68"/>
      <c r="Q1" s="68"/>
      <c r="R1" s="68"/>
      <c r="S1" s="68"/>
      <c r="T1" s="68"/>
      <c r="U1" s="68"/>
    </row>
    <row r="2" spans="1:21" x14ac:dyDescent="0.3">
      <c r="A2" s="68"/>
      <c r="B2" s="68"/>
      <c r="C2" s="68"/>
      <c r="D2" s="68"/>
      <c r="E2" s="68"/>
      <c r="F2" s="68"/>
      <c r="G2" s="68"/>
      <c r="H2" s="68"/>
      <c r="I2" s="68"/>
      <c r="J2" s="68"/>
      <c r="K2" s="68"/>
      <c r="L2" s="68"/>
      <c r="M2" s="68"/>
      <c r="N2" s="68"/>
      <c r="O2" s="68"/>
      <c r="P2" s="68"/>
      <c r="Q2" s="68"/>
      <c r="R2" s="68"/>
      <c r="S2" s="68"/>
      <c r="T2" s="68"/>
      <c r="U2" s="68"/>
    </row>
    <row r="3" spans="1:21" x14ac:dyDescent="0.3">
      <c r="A3" s="68"/>
      <c r="B3" s="68"/>
      <c r="C3" s="68"/>
      <c r="D3" s="68"/>
      <c r="E3" s="68"/>
      <c r="F3" s="68"/>
      <c r="G3" s="68"/>
      <c r="H3" s="68"/>
      <c r="I3" s="68"/>
      <c r="J3" s="68"/>
      <c r="K3" s="68"/>
      <c r="L3" s="68"/>
      <c r="M3" s="68"/>
      <c r="N3" s="68"/>
      <c r="O3" s="68"/>
      <c r="P3" s="68"/>
      <c r="Q3" s="68"/>
      <c r="R3" s="68"/>
      <c r="S3" s="68"/>
      <c r="T3" s="68"/>
      <c r="U3" s="68"/>
    </row>
    <row r="4" spans="1:21" ht="3" customHeight="1" x14ac:dyDescent="0.3">
      <c r="A4" s="69"/>
      <c r="B4" s="69"/>
      <c r="C4" s="69"/>
      <c r="D4" s="69"/>
      <c r="E4" s="69"/>
      <c r="F4" s="69"/>
      <c r="G4" s="69"/>
      <c r="H4" s="69"/>
      <c r="I4" s="69"/>
      <c r="J4" s="69"/>
      <c r="K4" s="69"/>
      <c r="L4" s="69"/>
      <c r="M4" s="69"/>
      <c r="N4" s="69"/>
      <c r="O4" s="69"/>
      <c r="P4" s="69"/>
      <c r="Q4" s="69"/>
      <c r="R4" s="69"/>
      <c r="S4" s="69"/>
      <c r="T4" s="69"/>
      <c r="U4" s="69"/>
    </row>
    <row r="5" spans="1:21" x14ac:dyDescent="0.3">
      <c r="A5" s="70"/>
      <c r="B5" s="70"/>
      <c r="C5" s="70"/>
      <c r="D5" s="70"/>
      <c r="E5" s="70"/>
      <c r="F5" s="70"/>
      <c r="G5" s="70"/>
      <c r="H5" s="70"/>
      <c r="I5" s="70"/>
      <c r="J5" s="70"/>
      <c r="K5" s="70"/>
      <c r="L5" s="70"/>
      <c r="M5" s="70"/>
      <c r="N5" s="70"/>
      <c r="O5" s="70"/>
      <c r="P5" s="70"/>
      <c r="Q5" s="70"/>
      <c r="R5" s="70"/>
      <c r="S5" s="70"/>
      <c r="T5" s="70"/>
      <c r="U5" s="70"/>
    </row>
    <row r="6" spans="1:21" ht="15" thickBot="1" x14ac:dyDescent="0.35">
      <c r="A6" s="70"/>
      <c r="B6" s="71" t="s">
        <v>31</v>
      </c>
      <c r="C6" s="72"/>
      <c r="D6" s="72"/>
      <c r="E6" s="72"/>
      <c r="F6" s="72"/>
      <c r="G6" s="72"/>
      <c r="H6" s="72"/>
      <c r="I6" s="72"/>
      <c r="J6" s="72"/>
      <c r="K6" s="72"/>
      <c r="L6" s="72"/>
      <c r="M6" s="72"/>
      <c r="N6" s="72"/>
      <c r="O6" s="72"/>
      <c r="P6" s="72"/>
      <c r="Q6" s="72"/>
      <c r="R6" s="72"/>
      <c r="S6" s="72"/>
      <c r="T6" s="72"/>
      <c r="U6" s="70"/>
    </row>
    <row r="7" spans="1:21" x14ac:dyDescent="0.3">
      <c r="A7" s="70"/>
      <c r="B7" s="70"/>
      <c r="C7" s="70"/>
      <c r="D7" s="70"/>
      <c r="E7" s="70"/>
      <c r="F7" s="70"/>
      <c r="G7" s="70"/>
      <c r="H7" s="70"/>
      <c r="I7" s="70"/>
      <c r="J7" s="70"/>
      <c r="K7" s="70"/>
      <c r="L7" s="70"/>
      <c r="M7" s="70"/>
      <c r="N7" s="70"/>
      <c r="O7" s="70"/>
      <c r="P7" s="70"/>
      <c r="Q7" s="70"/>
      <c r="R7" s="70"/>
      <c r="S7" s="70"/>
      <c r="T7" s="70"/>
      <c r="U7" s="70"/>
    </row>
    <row r="9" spans="1:21" x14ac:dyDescent="0.3">
      <c r="B9" s="49" t="s">
        <v>0</v>
      </c>
      <c r="C9" s="50"/>
      <c r="D9" s="50"/>
      <c r="E9" s="51"/>
      <c r="F9" s="50"/>
      <c r="G9" s="50"/>
      <c r="H9" s="50"/>
      <c r="I9" s="50"/>
      <c r="J9" s="50"/>
      <c r="K9" s="50"/>
      <c r="L9" s="49"/>
      <c r="M9" s="2"/>
      <c r="N9" s="2"/>
      <c r="O9" s="3"/>
      <c r="P9" s="2"/>
      <c r="Q9" s="2"/>
      <c r="R9" s="2"/>
      <c r="S9" s="2"/>
      <c r="T9" s="2"/>
    </row>
    <row r="10" spans="1:21" ht="5.25" customHeight="1" thickBot="1" x14ac:dyDescent="0.35">
      <c r="B10" s="52"/>
      <c r="C10" s="52"/>
      <c r="D10" s="52"/>
      <c r="E10" s="52"/>
      <c r="F10" s="52"/>
      <c r="G10" s="52"/>
      <c r="H10" s="52"/>
      <c r="I10" s="52"/>
      <c r="J10" s="52"/>
      <c r="K10" s="52"/>
      <c r="L10" s="52"/>
      <c r="M10" s="4"/>
      <c r="N10" s="4"/>
      <c r="O10" s="4"/>
      <c r="P10" s="4"/>
      <c r="Q10" s="4"/>
      <c r="R10" s="4"/>
      <c r="S10" s="4"/>
      <c r="T10" s="4"/>
    </row>
    <row r="11" spans="1:21" ht="15" thickTop="1" x14ac:dyDescent="0.3">
      <c r="B11" s="15"/>
      <c r="C11" s="53"/>
      <c r="D11" s="53"/>
      <c r="E11" s="53"/>
      <c r="F11" s="53"/>
      <c r="G11" s="53"/>
      <c r="H11" s="53"/>
      <c r="I11" s="53"/>
      <c r="J11" s="53"/>
      <c r="K11" s="53"/>
      <c r="L11" s="15"/>
      <c r="M11" s="5"/>
      <c r="N11" s="5"/>
      <c r="O11" s="5"/>
      <c r="P11" s="5"/>
      <c r="Q11" s="5"/>
      <c r="R11" s="5"/>
      <c r="S11" s="5"/>
      <c r="T11" s="5"/>
    </row>
    <row r="12" spans="1:21" x14ac:dyDescent="0.3">
      <c r="B12" s="15"/>
      <c r="C12" s="8" t="s">
        <v>24</v>
      </c>
      <c r="D12" s="65" t="s">
        <v>344</v>
      </c>
      <c r="E12" s="55"/>
      <c r="F12" s="55"/>
      <c r="G12" s="53"/>
      <c r="H12" s="53"/>
      <c r="I12" s="53"/>
      <c r="J12" s="53"/>
      <c r="K12" s="53"/>
      <c r="L12" s="15"/>
      <c r="M12" s="5"/>
      <c r="N12" s="5"/>
      <c r="O12" s="5"/>
      <c r="P12" s="5"/>
      <c r="Q12" s="5"/>
      <c r="R12" s="5"/>
      <c r="S12" s="5"/>
      <c r="T12" s="5"/>
    </row>
    <row r="13" spans="1:21" x14ac:dyDescent="0.3">
      <c r="B13" s="56"/>
      <c r="C13" s="55"/>
      <c r="D13" s="55"/>
      <c r="E13" s="55"/>
      <c r="F13" s="55"/>
      <c r="G13" s="55"/>
      <c r="H13" s="55"/>
      <c r="I13" s="55"/>
      <c r="J13" s="55"/>
      <c r="K13" s="55"/>
      <c r="L13" s="56"/>
      <c r="M13" s="14"/>
      <c r="N13" s="5"/>
      <c r="O13" s="5"/>
      <c r="P13" s="5"/>
      <c r="Q13" s="5"/>
      <c r="R13" s="14"/>
      <c r="S13" s="14"/>
      <c r="T13" s="14"/>
    </row>
    <row r="14" spans="1:21" x14ac:dyDescent="0.3">
      <c r="B14" s="56"/>
      <c r="C14" s="13"/>
      <c r="D14" s="57"/>
      <c r="E14" s="58"/>
      <c r="F14" s="13"/>
      <c r="G14" s="57"/>
      <c r="H14" s="58"/>
      <c r="I14" s="55"/>
      <c r="J14" s="57"/>
      <c r="K14" s="94"/>
      <c r="L14" s="58"/>
      <c r="M14" s="14"/>
      <c r="N14" s="5"/>
      <c r="O14" s="5"/>
      <c r="P14" s="5"/>
      <c r="Q14" s="5"/>
      <c r="R14" s="14"/>
      <c r="S14" s="14"/>
      <c r="T14" s="14"/>
    </row>
    <row r="15" spans="1:21" x14ac:dyDescent="0.3">
      <c r="B15" s="15"/>
      <c r="C15" s="13"/>
      <c r="D15" s="59" t="s">
        <v>7</v>
      </c>
      <c r="E15" s="60"/>
      <c r="F15" s="13"/>
      <c r="G15" s="59" t="s">
        <v>8</v>
      </c>
      <c r="H15" s="60"/>
      <c r="I15" s="13"/>
      <c r="J15" s="59" t="s">
        <v>30</v>
      </c>
      <c r="K15" s="96"/>
      <c r="L15" s="60"/>
      <c r="M15" s="13"/>
      <c r="N15" s="13"/>
      <c r="O15" s="13"/>
      <c r="P15" s="13"/>
      <c r="Q15" s="13"/>
      <c r="R15" s="13"/>
      <c r="S15" s="13"/>
      <c r="T15" s="13"/>
    </row>
    <row r="16" spans="1:21" x14ac:dyDescent="0.3">
      <c r="B16" s="56"/>
      <c r="C16" s="13"/>
      <c r="D16" s="61"/>
      <c r="E16" s="62"/>
      <c r="F16" s="13"/>
      <c r="G16" s="61"/>
      <c r="H16" s="62"/>
      <c r="I16" s="55"/>
      <c r="J16" s="61"/>
      <c r="K16" s="95"/>
      <c r="L16" s="62"/>
      <c r="M16" s="14"/>
      <c r="N16" s="5"/>
      <c r="O16" s="5"/>
      <c r="P16" s="5"/>
      <c r="Q16" s="5"/>
      <c r="R16" s="13"/>
      <c r="S16" s="13"/>
      <c r="T16" s="13"/>
    </row>
    <row r="17" spans="2:20" ht="4.95" customHeight="1" x14ac:dyDescent="0.3">
      <c r="B17" s="56"/>
      <c r="C17" s="13"/>
      <c r="D17" s="63"/>
      <c r="E17" s="63"/>
      <c r="F17" s="13"/>
      <c r="G17" s="63"/>
      <c r="H17" s="63"/>
      <c r="I17" s="55"/>
      <c r="J17" s="63"/>
      <c r="K17" s="63"/>
      <c r="L17" s="56"/>
      <c r="M17" s="14"/>
      <c r="N17" s="5"/>
      <c r="O17" s="5"/>
      <c r="P17" s="5"/>
      <c r="Q17" s="5"/>
      <c r="R17" s="13"/>
      <c r="S17" s="13"/>
      <c r="T17" s="13"/>
    </row>
    <row r="18" spans="2:20" x14ac:dyDescent="0.3">
      <c r="B18" s="56"/>
      <c r="C18" s="13"/>
      <c r="D18" s="104" t="s">
        <v>9</v>
      </c>
      <c r="E18" s="105"/>
      <c r="F18" s="13"/>
      <c r="G18" s="104" t="s">
        <v>29</v>
      </c>
      <c r="H18" s="105"/>
      <c r="I18" s="55"/>
      <c r="J18" s="104" t="s">
        <v>29</v>
      </c>
      <c r="K18" s="106"/>
      <c r="L18" s="105"/>
      <c r="M18" s="14"/>
      <c r="N18" s="5"/>
      <c r="O18" s="5"/>
      <c r="P18" s="5"/>
      <c r="Q18" s="5"/>
      <c r="R18" s="13"/>
      <c r="S18" s="13"/>
      <c r="T18" s="13"/>
    </row>
    <row r="19" spans="2:20" ht="4.95" customHeight="1" x14ac:dyDescent="0.3">
      <c r="B19" s="56"/>
      <c r="C19" s="13"/>
      <c r="D19" s="18"/>
      <c r="E19" s="18"/>
      <c r="F19" s="13"/>
      <c r="G19" s="18"/>
      <c r="H19" s="64"/>
      <c r="I19" s="55"/>
      <c r="J19" s="18"/>
      <c r="K19" s="18"/>
      <c r="L19" s="55"/>
      <c r="M19" s="14"/>
      <c r="N19" s="5"/>
      <c r="O19" s="5"/>
      <c r="P19" s="5"/>
      <c r="Q19" s="5"/>
      <c r="R19" s="13"/>
      <c r="S19" s="13"/>
      <c r="T19" s="13"/>
    </row>
    <row r="20" spans="2:20" x14ac:dyDescent="0.3">
      <c r="B20" s="56"/>
      <c r="C20" s="13"/>
      <c r="D20" s="8" t="s">
        <v>10</v>
      </c>
      <c r="E20" s="65" t="s">
        <v>1</v>
      </c>
      <c r="F20" s="13"/>
      <c r="G20" s="8" t="s">
        <v>10</v>
      </c>
      <c r="H20" s="65" t="s">
        <v>1</v>
      </c>
      <c r="I20" s="55"/>
      <c r="J20" s="97" t="s">
        <v>33</v>
      </c>
      <c r="K20" s="98"/>
      <c r="L20" s="54" t="s">
        <v>32</v>
      </c>
      <c r="M20" s="14"/>
      <c r="N20" s="5"/>
      <c r="O20" s="5"/>
      <c r="P20" s="5"/>
      <c r="Q20" s="5"/>
      <c r="R20" s="13"/>
      <c r="S20" s="13"/>
      <c r="T20" s="13"/>
    </row>
    <row r="21" spans="2:20" ht="4.95" customHeight="1" x14ac:dyDescent="0.3">
      <c r="B21" s="56"/>
      <c r="C21" s="13"/>
      <c r="D21" s="13"/>
      <c r="E21" s="13"/>
      <c r="F21" s="13"/>
      <c r="G21" s="13"/>
      <c r="H21" s="13"/>
      <c r="I21" s="55"/>
      <c r="J21" s="63"/>
      <c r="K21" s="63"/>
      <c r="L21" s="63"/>
      <c r="M21" s="14"/>
      <c r="N21" s="5"/>
      <c r="O21" s="5"/>
      <c r="P21" s="5"/>
      <c r="Q21" s="5"/>
      <c r="R21" s="13"/>
      <c r="S21" s="13"/>
      <c r="T21" s="13"/>
    </row>
    <row r="22" spans="2:20" x14ac:dyDescent="0.3">
      <c r="B22" s="56"/>
      <c r="C22" s="13"/>
      <c r="D22" s="8" t="s">
        <v>11</v>
      </c>
      <c r="E22" s="65" t="s">
        <v>1</v>
      </c>
      <c r="F22" s="13"/>
      <c r="G22" s="8" t="s">
        <v>11</v>
      </c>
      <c r="H22" s="65" t="s">
        <v>1</v>
      </c>
      <c r="I22" s="55"/>
      <c r="J22" s="97" t="s">
        <v>33</v>
      </c>
      <c r="K22" s="98"/>
      <c r="L22" s="54" t="s">
        <v>32</v>
      </c>
      <c r="M22" s="14"/>
      <c r="N22" s="5"/>
      <c r="O22" s="5"/>
      <c r="P22" s="5"/>
      <c r="Q22" s="5"/>
      <c r="R22" s="13"/>
      <c r="S22" s="13"/>
      <c r="T22" s="13"/>
    </row>
    <row r="23" spans="2:20" ht="4.95" customHeight="1" x14ac:dyDescent="0.3">
      <c r="B23" s="56"/>
      <c r="C23" s="13"/>
      <c r="D23" s="13"/>
      <c r="E23" s="13"/>
      <c r="F23" s="13"/>
      <c r="G23" s="13"/>
      <c r="H23" s="13"/>
      <c r="I23" s="55"/>
      <c r="J23" s="13"/>
      <c r="K23" s="13"/>
      <c r="L23" s="13"/>
      <c r="M23" s="14"/>
      <c r="N23" s="5"/>
      <c r="O23" s="5"/>
      <c r="P23" s="5"/>
      <c r="Q23" s="5"/>
      <c r="R23" s="13"/>
      <c r="S23" s="13"/>
      <c r="T23" s="13"/>
    </row>
    <row r="24" spans="2:20" ht="14.55" customHeight="1" x14ac:dyDescent="0.3">
      <c r="B24" s="56"/>
      <c r="C24" s="13"/>
      <c r="D24" s="13"/>
      <c r="E24" s="13"/>
      <c r="F24" s="13"/>
      <c r="G24" s="13"/>
      <c r="H24" s="13"/>
      <c r="I24" s="55"/>
      <c r="J24" s="97" t="s">
        <v>33</v>
      </c>
      <c r="K24" s="98"/>
      <c r="L24" s="54" t="s">
        <v>32</v>
      </c>
      <c r="M24" s="14"/>
      <c r="N24" s="5"/>
      <c r="O24" s="5"/>
      <c r="P24" s="5"/>
      <c r="Q24" s="5"/>
      <c r="R24" s="13"/>
      <c r="S24" s="13"/>
      <c r="T24" s="13"/>
    </row>
    <row r="25" spans="2:20" ht="14.55" customHeight="1" x14ac:dyDescent="0.3">
      <c r="B25" s="56"/>
      <c r="C25" s="55"/>
      <c r="D25" s="55"/>
      <c r="E25" s="55"/>
      <c r="F25" s="55"/>
      <c r="G25" s="55"/>
      <c r="H25" s="55"/>
      <c r="I25" s="55"/>
      <c r="J25" s="66"/>
      <c r="K25" s="19"/>
      <c r="L25" s="56"/>
      <c r="M25" s="14"/>
      <c r="N25" s="5"/>
      <c r="O25" s="5"/>
      <c r="P25" s="5"/>
      <c r="Q25" s="5"/>
      <c r="R25" s="13"/>
      <c r="S25" s="13"/>
      <c r="T25" s="13"/>
    </row>
    <row r="26" spans="2:20" ht="15" thickBot="1" x14ac:dyDescent="0.35">
      <c r="B26" s="6"/>
      <c r="C26" s="7"/>
      <c r="D26" s="7"/>
      <c r="E26" s="7"/>
      <c r="F26" s="7"/>
      <c r="G26" s="7"/>
      <c r="H26" s="7"/>
      <c r="I26" s="7"/>
      <c r="J26" s="7"/>
      <c r="K26" s="7"/>
      <c r="L26" s="6"/>
      <c r="M26" s="7"/>
      <c r="N26" s="7"/>
      <c r="O26" s="7"/>
      <c r="P26" s="7"/>
      <c r="Q26" s="7"/>
      <c r="R26" s="7"/>
      <c r="S26" s="7"/>
      <c r="T26" s="7"/>
    </row>
    <row r="27" spans="2:20" x14ac:dyDescent="0.3">
      <c r="B27" s="9"/>
      <c r="C27" s="10"/>
      <c r="D27" s="1"/>
      <c r="E27" s="1"/>
      <c r="F27" s="1"/>
      <c r="G27" s="1"/>
      <c r="H27" s="1"/>
      <c r="I27" s="1"/>
      <c r="J27" s="1"/>
      <c r="K27" s="1"/>
      <c r="L27" s="9"/>
      <c r="M27" s="10"/>
      <c r="N27" s="1"/>
      <c r="O27" s="1"/>
      <c r="P27" s="1"/>
      <c r="Q27" s="1"/>
      <c r="R27" s="1"/>
      <c r="S27" s="1"/>
      <c r="T27" s="1"/>
    </row>
    <row r="28" spans="2:20" ht="15" thickBot="1" x14ac:dyDescent="0.35">
      <c r="B28" s="4"/>
      <c r="C28" s="4"/>
      <c r="D28" s="4"/>
      <c r="E28" s="4"/>
      <c r="F28" s="4"/>
      <c r="G28" s="4"/>
      <c r="H28" s="4"/>
      <c r="I28" s="4"/>
      <c r="J28" s="4"/>
      <c r="K28" s="4"/>
      <c r="L28" s="4"/>
      <c r="M28" s="4"/>
      <c r="N28" s="4"/>
      <c r="O28" s="4"/>
      <c r="P28" s="4"/>
      <c r="Q28" s="4"/>
      <c r="R28" s="4"/>
      <c r="S28" s="4"/>
      <c r="T28" s="4"/>
    </row>
    <row r="29" spans="2:20" ht="15" thickTop="1" x14ac:dyDescent="0.3">
      <c r="B29" s="12"/>
      <c r="C29" s="5"/>
      <c r="D29" s="5"/>
      <c r="E29" s="5"/>
      <c r="F29" s="5"/>
      <c r="G29" s="5"/>
      <c r="H29" s="5"/>
      <c r="I29" s="5"/>
      <c r="J29" s="5"/>
      <c r="K29" s="5"/>
      <c r="L29" s="12"/>
      <c r="M29" s="5"/>
      <c r="N29" s="5"/>
      <c r="O29" s="5"/>
      <c r="P29" s="5"/>
      <c r="Q29" s="5"/>
      <c r="R29" s="5"/>
      <c r="S29" s="5"/>
      <c r="T29" s="5"/>
    </row>
    <row r="30" spans="2:20" x14ac:dyDescent="0.3">
      <c r="B30" s="12"/>
      <c r="C30" s="5"/>
      <c r="D30" s="5"/>
      <c r="E30" s="5"/>
      <c r="F30" s="5"/>
      <c r="G30" s="5"/>
      <c r="H30" s="20"/>
      <c r="I30" s="44"/>
      <c r="J30" s="44"/>
      <c r="K30" s="29"/>
      <c r="L30" s="30"/>
      <c r="M30" s="21"/>
      <c r="N30" s="5"/>
      <c r="O30" s="5"/>
      <c r="P30" s="5"/>
      <c r="Q30" s="5"/>
      <c r="R30" s="5"/>
      <c r="S30" s="5"/>
      <c r="T30" s="5"/>
    </row>
    <row r="31" spans="2:20" ht="15.6" x14ac:dyDescent="0.3">
      <c r="B31" s="12"/>
      <c r="C31" s="5"/>
      <c r="D31" s="5"/>
      <c r="E31" s="5"/>
      <c r="F31" s="5"/>
      <c r="G31" s="5"/>
      <c r="H31" s="35" t="s">
        <v>2</v>
      </c>
      <c r="I31" s="45"/>
      <c r="J31" s="67"/>
      <c r="K31" s="27"/>
      <c r="L31" s="26"/>
      <c r="M31" s="28"/>
      <c r="N31" s="5"/>
      <c r="O31" s="5"/>
      <c r="P31" s="5"/>
      <c r="Q31" s="5"/>
      <c r="R31" s="5"/>
      <c r="S31" s="5"/>
      <c r="T31" s="5"/>
    </row>
    <row r="32" spans="2:20" x14ac:dyDescent="0.3">
      <c r="B32" s="12"/>
      <c r="C32" s="5"/>
      <c r="D32" s="5"/>
      <c r="E32" s="5"/>
      <c r="F32" s="5"/>
      <c r="G32" s="5"/>
      <c r="H32" s="31"/>
      <c r="I32" s="46"/>
      <c r="J32" s="46"/>
      <c r="K32" s="32"/>
      <c r="L32" s="33"/>
      <c r="M32" s="34"/>
      <c r="N32" s="5"/>
      <c r="O32" s="5"/>
      <c r="P32" s="5"/>
      <c r="Q32" s="5"/>
      <c r="R32" s="5"/>
      <c r="S32" s="5"/>
      <c r="T32" s="5"/>
    </row>
    <row r="33" spans="2:20" x14ac:dyDescent="0.3">
      <c r="B33" s="12"/>
      <c r="C33" s="5"/>
      <c r="D33" s="5"/>
      <c r="E33" s="5"/>
      <c r="F33" s="5"/>
      <c r="G33" s="5"/>
      <c r="H33" s="5"/>
      <c r="I33" s="5"/>
      <c r="J33" s="5"/>
      <c r="K33" s="5"/>
      <c r="L33" s="5"/>
      <c r="M33" s="5"/>
      <c r="N33" s="5"/>
      <c r="O33" s="5"/>
      <c r="P33" s="5"/>
      <c r="Q33" s="5"/>
      <c r="R33" s="5"/>
      <c r="S33" s="5"/>
      <c r="T33" s="5"/>
    </row>
    <row r="34" spans="2:20" ht="15" thickBot="1" x14ac:dyDescent="0.35">
      <c r="B34" s="13"/>
      <c r="C34" s="89" t="s">
        <v>115</v>
      </c>
      <c r="D34" s="90"/>
      <c r="E34" s="90"/>
      <c r="F34" s="90"/>
      <c r="G34" s="90"/>
      <c r="H34" s="90"/>
      <c r="I34" s="90"/>
      <c r="J34" s="90"/>
      <c r="K34" s="90"/>
      <c r="L34" s="90"/>
      <c r="M34" s="90"/>
      <c r="N34" s="90"/>
      <c r="O34" s="90"/>
      <c r="P34" s="90"/>
      <c r="Q34" s="90"/>
      <c r="R34" s="90"/>
      <c r="S34" s="90"/>
      <c r="T34" s="13"/>
    </row>
    <row r="35" spans="2:20" x14ac:dyDescent="0.3">
      <c r="B35" s="13"/>
      <c r="C35" s="13"/>
      <c r="D35" s="13"/>
      <c r="E35" s="13"/>
      <c r="F35" s="13"/>
      <c r="G35" s="13"/>
      <c r="H35" s="13"/>
      <c r="I35" s="13"/>
      <c r="J35" s="13"/>
      <c r="K35" s="13"/>
      <c r="L35" s="13"/>
      <c r="M35" s="13"/>
      <c r="N35" s="13"/>
      <c r="O35" s="13"/>
      <c r="P35" s="13"/>
      <c r="Q35" s="13"/>
      <c r="R35" s="13"/>
      <c r="S35" s="13"/>
      <c r="T35" s="13"/>
    </row>
    <row r="36" spans="2:20" x14ac:dyDescent="0.3">
      <c r="B36" s="13"/>
      <c r="C36" s="79" t="s">
        <v>15</v>
      </c>
      <c r="D36" s="79" t="s">
        <v>323</v>
      </c>
      <c r="E36" s="79" t="s">
        <v>3</v>
      </c>
      <c r="F36" s="79" t="s">
        <v>5</v>
      </c>
      <c r="G36" s="79" t="s">
        <v>27</v>
      </c>
      <c r="H36" s="79" t="s">
        <v>28</v>
      </c>
      <c r="I36" s="79" t="s">
        <v>4</v>
      </c>
      <c r="J36" s="79" t="s">
        <v>6</v>
      </c>
      <c r="K36" s="13"/>
      <c r="L36" s="13"/>
      <c r="M36" s="13"/>
      <c r="N36" s="13"/>
      <c r="O36" s="13"/>
      <c r="P36" s="13"/>
      <c r="Q36" s="13"/>
      <c r="R36" s="13"/>
      <c r="S36" s="13"/>
      <c r="T36" s="13"/>
    </row>
    <row r="37" spans="2:20" x14ac:dyDescent="0.3">
      <c r="B37" s="13"/>
      <c r="C37" s="73" t="s">
        <v>12</v>
      </c>
      <c r="D37" s="74">
        <f>+SUM(D38,D42)</f>
        <v>304</v>
      </c>
      <c r="E37" s="75">
        <f>+SUM(E38,E42)</f>
        <v>258</v>
      </c>
      <c r="F37" s="76">
        <f>IFERROR(E37/D37,0)</f>
        <v>0.84868421052631582</v>
      </c>
      <c r="G37" s="77">
        <f>+SUM(G38,G42)</f>
        <v>8</v>
      </c>
      <c r="H37" s="76">
        <f t="shared" ref="H37:H48" si="0">IFERROR(G37/D37,0)</f>
        <v>2.6315789473684209E-2</v>
      </c>
      <c r="I37" s="75">
        <f>+SUM(I38,I42)</f>
        <v>33</v>
      </c>
      <c r="J37" s="76">
        <f t="shared" ref="J37:J67" si="1">IFERROR(I37/D37,0)</f>
        <v>0.10855263157894737</v>
      </c>
      <c r="K37" s="13"/>
      <c r="L37" s="13"/>
      <c r="M37" s="13"/>
      <c r="N37" s="13"/>
      <c r="O37" s="13"/>
      <c r="P37" s="13"/>
      <c r="Q37" s="13"/>
      <c r="R37" s="13"/>
      <c r="S37" s="13"/>
      <c r="T37" s="13"/>
    </row>
    <row r="38" spans="2:20" x14ac:dyDescent="0.3">
      <c r="B38" s="13"/>
      <c r="C38" s="80" t="s">
        <v>16</v>
      </c>
      <c r="D38" s="81">
        <f>+SUM(D39:D41)</f>
        <v>156</v>
      </c>
      <c r="E38" s="81">
        <f>+SUM(E39:E41)</f>
        <v>134</v>
      </c>
      <c r="F38" s="83">
        <f t="shared" ref="F38:F39" si="2">IFERROR(E38/D38,0)</f>
        <v>0.85897435897435892</v>
      </c>
      <c r="G38" s="84">
        <f>+SUM(G39:G41)</f>
        <v>6</v>
      </c>
      <c r="H38" s="83">
        <f t="shared" si="0"/>
        <v>3.8461538461538464E-2</v>
      </c>
      <c r="I38" s="85">
        <f>+SUM(I39:I41)</f>
        <v>11</v>
      </c>
      <c r="J38" s="83">
        <f t="shared" si="1"/>
        <v>7.0512820512820512E-2</v>
      </c>
      <c r="K38" s="13"/>
      <c r="L38" s="13"/>
      <c r="M38" s="13"/>
      <c r="N38" s="13"/>
      <c r="O38" s="13"/>
      <c r="P38" s="13"/>
      <c r="Q38" s="13"/>
      <c r="R38" s="13"/>
      <c r="S38" s="13"/>
      <c r="T38" s="13"/>
    </row>
    <row r="39" spans="2:20" outlineLevel="1" x14ac:dyDescent="0.3">
      <c r="B39" s="13"/>
      <c r="C39" s="37" t="s">
        <v>19</v>
      </c>
      <c r="D39" s="22">
        <f>+COUNTIFS('2.1. Regulamentares'!G:G,'1. Dashboard'!$C$37,'2.1. Regulamentares'!F:F,"h")</f>
        <v>63</v>
      </c>
      <c r="E39" s="24">
        <f>+COUNTIFS('2.1. Regulamentares'!G:G,'1. Dashboard'!$C$37,'2.1. Regulamentares'!F:F,"h",'2.1. Regulamentares'!C:C,"=0")</f>
        <v>53</v>
      </c>
      <c r="F39" s="23">
        <f t="shared" si="2"/>
        <v>0.84126984126984128</v>
      </c>
      <c r="G39" s="25">
        <f>+COUNTIFS('2.1. Regulamentares'!G:G,'1. Dashboard'!$C$37,'2.1. Regulamentares'!F:F,"h",'2.1. Regulamentares'!C:C,"&gt;0",'2.1. Regulamentares'!I:I,"&lt;&gt;")</f>
        <v>0</v>
      </c>
      <c r="H39" s="23">
        <f t="shared" si="0"/>
        <v>0</v>
      </c>
      <c r="I39" s="47">
        <f>+COUNTIFS('2.1. Regulamentares'!G:G,'1. Dashboard'!$C$37,'2.1. Regulamentares'!F:F,"h",'2.1. Regulamentares'!C:C,"&gt;0",'2.1. Regulamentares'!I:I,"")</f>
        <v>5</v>
      </c>
      <c r="J39" s="23">
        <f t="shared" si="1"/>
        <v>7.9365079365079361E-2</v>
      </c>
      <c r="K39" s="13"/>
      <c r="L39" s="13"/>
      <c r="M39" s="13"/>
      <c r="N39" s="13"/>
      <c r="O39" s="13"/>
      <c r="P39" s="13"/>
      <c r="Q39" s="13"/>
      <c r="R39" s="13"/>
      <c r="S39" s="13"/>
      <c r="T39" s="13"/>
    </row>
    <row r="40" spans="2:20" outlineLevel="1" x14ac:dyDescent="0.3">
      <c r="B40" s="13"/>
      <c r="C40" s="37" t="s">
        <v>18</v>
      </c>
      <c r="D40" s="22">
        <f>+COUNTIFS('2.1. Regulamentares'!G:G,'1. Dashboard'!$C$37,'2.1. Regulamentares'!F:F,"w")</f>
        <v>12</v>
      </c>
      <c r="E40" s="24">
        <f>+COUNTIFS('2.1. Regulamentares'!G:G,'1. Dashboard'!$C$37,'2.1. Regulamentares'!F:F,"w",'2.1. Regulamentares'!C:C,"=0")</f>
        <v>11</v>
      </c>
      <c r="F40" s="23">
        <f t="shared" ref="F40:F67" si="3">IFERROR(E40/D40,0)</f>
        <v>0.91666666666666663</v>
      </c>
      <c r="G40" s="25">
        <f>+COUNTIFS('2.1. Regulamentares'!G:G,'1. Dashboard'!$C$37,'2.1. Regulamentares'!F:F,"w",'2.1. Regulamentares'!C:C,"&gt;0",'2.1. Regulamentares'!I:I,"&lt;&gt;")</f>
        <v>0</v>
      </c>
      <c r="H40" s="23">
        <f t="shared" si="0"/>
        <v>0</v>
      </c>
      <c r="I40" s="47">
        <f>+COUNTIFS('2.1. Regulamentares'!G:G,'1. Dashboard'!$C$37,'2.1. Regulamentares'!F:F,"w",'2.1. Regulamentares'!C:C,"&gt;0",'2.1. Regulamentares'!I:I,"")</f>
        <v>1</v>
      </c>
      <c r="J40" s="23">
        <f t="shared" si="1"/>
        <v>8.3333333333333329E-2</v>
      </c>
      <c r="K40" s="13"/>
      <c r="L40" s="13"/>
      <c r="M40" s="13"/>
      <c r="N40" s="13"/>
      <c r="O40" s="13"/>
      <c r="P40" s="13"/>
      <c r="Q40" s="13"/>
      <c r="R40" s="13"/>
      <c r="S40" s="13"/>
      <c r="T40" s="13"/>
    </row>
    <row r="41" spans="2:20" outlineLevel="1" x14ac:dyDescent="0.3">
      <c r="B41" s="13"/>
      <c r="C41" s="37" t="s">
        <v>324</v>
      </c>
      <c r="D41" s="22">
        <f>+COUNTIFS('2.1. Regulamentares'!G:G,'1. Dashboard'!$C$37,'2.1. Regulamentares'!F:F,"f")</f>
        <v>81</v>
      </c>
      <c r="E41" s="24">
        <f>+COUNTIFS('2.1. Regulamentares'!G:G,'1. Dashboard'!$C$37,'2.1. Regulamentares'!F:F,"f",'2.1. Regulamentares'!C:C,"=0")</f>
        <v>70</v>
      </c>
      <c r="F41" s="23">
        <f t="shared" si="3"/>
        <v>0.86419753086419748</v>
      </c>
      <c r="G41" s="25">
        <f>+COUNTIFS('2.1. Regulamentares'!G:G,'1. Dashboard'!$C$37,'2.1. Regulamentares'!F:F,"f",'2.1. Regulamentares'!C:C,"&gt;0",'2.1. Regulamentares'!I:I,"&lt;&gt;")</f>
        <v>6</v>
      </c>
      <c r="H41" s="23">
        <f t="shared" si="0"/>
        <v>7.407407407407407E-2</v>
      </c>
      <c r="I41" s="47">
        <f>+COUNTIFS('2.1. Regulamentares'!G:G,'1. Dashboard'!$C$37,'2.1. Regulamentares'!F:F,"f",'2.1. Regulamentares'!C:C,"&gt;0",'2.1. Regulamentares'!I:I,"")</f>
        <v>5</v>
      </c>
      <c r="J41" s="23">
        <f t="shared" si="1"/>
        <v>6.1728395061728392E-2</v>
      </c>
      <c r="K41" s="13"/>
      <c r="L41" s="13"/>
      <c r="M41" s="13"/>
      <c r="N41" s="13"/>
      <c r="O41" s="13"/>
      <c r="P41" s="13"/>
      <c r="Q41" s="13"/>
      <c r="R41" s="13"/>
      <c r="S41" s="13"/>
      <c r="T41" s="13"/>
    </row>
    <row r="42" spans="2:20" x14ac:dyDescent="0.3">
      <c r="B42" s="13"/>
      <c r="C42" s="80" t="s">
        <v>17</v>
      </c>
      <c r="D42" s="81">
        <f>+SUM(D43:D46)</f>
        <v>148</v>
      </c>
      <c r="E42" s="82">
        <f t="shared" ref="E42:I42" si="4">+SUM(E43:E46)</f>
        <v>124</v>
      </c>
      <c r="F42" s="83">
        <f t="shared" si="3"/>
        <v>0.83783783783783783</v>
      </c>
      <c r="G42" s="84">
        <f t="shared" si="4"/>
        <v>2</v>
      </c>
      <c r="H42" s="83">
        <f t="shared" si="0"/>
        <v>1.3513513513513514E-2</v>
      </c>
      <c r="I42" s="85">
        <f t="shared" si="4"/>
        <v>22</v>
      </c>
      <c r="J42" s="83">
        <f t="shared" si="1"/>
        <v>0.14864864864864866</v>
      </c>
      <c r="K42" s="13"/>
      <c r="L42" s="13"/>
      <c r="M42" s="13"/>
      <c r="N42" s="13"/>
      <c r="O42" s="13"/>
      <c r="P42" s="13"/>
      <c r="Q42" s="13"/>
      <c r="R42" s="13"/>
      <c r="S42" s="13"/>
      <c r="T42" s="13"/>
    </row>
    <row r="43" spans="2:20" outlineLevel="1" x14ac:dyDescent="0.3">
      <c r="B43" s="13"/>
      <c r="C43" s="37" t="s">
        <v>22</v>
      </c>
      <c r="D43" s="22">
        <f>+COUNTIFS('2.2. Outros'!H:H,'1. Dashboard'!$C$37,'2.2. Outros'!D:D,"Validade")</f>
        <v>73</v>
      </c>
      <c r="E43" s="24">
        <f>+COUNTIFS('2.2. Outros'!H:H,'1. Dashboard'!$C$37,'2.2. Outros'!D:D,"Validade",'2.2. Outros'!F:F,"0")</f>
        <v>70</v>
      </c>
      <c r="F43" s="23">
        <f t="shared" si="3"/>
        <v>0.95890410958904104</v>
      </c>
      <c r="G43" s="25">
        <f>+COUNTIFS('2.2. Outros'!H:H,'1. Dashboard'!$C$37,'2.2. Outros'!D:D,"Validade",'2.2. Outros'!F:F,"&lt;&gt;0",'2.2. Outros'!I:I,"&lt;&gt;")</f>
        <v>1</v>
      </c>
      <c r="H43" s="23">
        <f t="shared" si="0"/>
        <v>1.3698630136986301E-2</v>
      </c>
      <c r="I43" s="47">
        <f>+COUNTIFS('2.2. Outros'!H:H,'1. Dashboard'!$C$37,'2.2. Outros'!D:D,"Validade",'2.2. Outros'!F:F,"&lt;&gt;0",'2.2. Outros'!I:I,"")</f>
        <v>2</v>
      </c>
      <c r="J43" s="23">
        <f t="shared" si="1"/>
        <v>2.7397260273972601E-2</v>
      </c>
      <c r="K43" s="13"/>
      <c r="L43" s="13"/>
      <c r="M43" s="13"/>
      <c r="N43" s="13"/>
      <c r="O43" s="13"/>
      <c r="P43" s="13"/>
      <c r="Q43" s="13"/>
      <c r="R43" s="13"/>
      <c r="S43" s="13"/>
      <c r="T43" s="13"/>
    </row>
    <row r="44" spans="2:20" outlineLevel="1" x14ac:dyDescent="0.3">
      <c r="B44" s="13"/>
      <c r="C44" s="37" t="s">
        <v>23</v>
      </c>
      <c r="D44" s="22">
        <f>+COUNTIFS('2.2. Outros'!H:H,'1. Dashboard'!$C$37,'2.2. Outros'!D:D,"Not applicable")</f>
        <v>73</v>
      </c>
      <c r="E44" s="24">
        <f>+COUNTIFS('2.2. Outros'!H:H,'1. Dashboard'!$C$37,'2.2. Outros'!D:D,"Not applicable",'2.2. Outros'!F:F,"0")</f>
        <v>52</v>
      </c>
      <c r="F44" s="23">
        <f t="shared" si="3"/>
        <v>0.71232876712328763</v>
      </c>
      <c r="G44" s="25">
        <f>+COUNTIFS('2.2. Outros'!H:H,'1. Dashboard'!$C$37,'2.2. Outros'!D:D,"Not applicable",'2.2. Outros'!F:F,"&lt;&gt;0",'2.2. Outros'!I:I,"&lt;&gt;")</f>
        <v>1</v>
      </c>
      <c r="H44" s="23">
        <f t="shared" si="0"/>
        <v>1.3698630136986301E-2</v>
      </c>
      <c r="I44" s="47">
        <f>+COUNTIFS('2.2. Outros'!H:H,'1. Dashboard'!$C$37,'2.2. Outros'!D:D,"Not applicable",'2.2. Outros'!F:F,"&lt;&gt;0",'2.2. Outros'!I:I,"")</f>
        <v>20</v>
      </c>
      <c r="J44" s="23">
        <f t="shared" si="1"/>
        <v>0.27397260273972601</v>
      </c>
      <c r="K44" s="13"/>
      <c r="L44" s="13"/>
      <c r="M44" s="13"/>
      <c r="N44" s="13"/>
      <c r="O44" s="13"/>
      <c r="P44" s="13"/>
      <c r="Q44" s="13"/>
      <c r="R44" s="13"/>
      <c r="S44" s="13"/>
      <c r="T44" s="13"/>
    </row>
    <row r="45" spans="2:20" outlineLevel="1" x14ac:dyDescent="0.3">
      <c r="B45" s="13"/>
      <c r="C45" s="37" t="s">
        <v>20</v>
      </c>
      <c r="D45" s="22">
        <f>+COUNTIFS('2.2. Outros'!H:H,'1. Dashboard'!$C$37,'2.2. Outros'!D:D,"Duplicados")</f>
        <v>1</v>
      </c>
      <c r="E45" s="24">
        <f>+COUNTIFS('2.2. Outros'!H:H,'1. Dashboard'!$C$37,'2.2. Outros'!D:D,"Duplicados",'2.2. Outros'!F:F,"0")</f>
        <v>1</v>
      </c>
      <c r="F45" s="23">
        <f t="shared" si="3"/>
        <v>1</v>
      </c>
      <c r="G45" s="25">
        <f>+COUNTIFS('2.2. Outros'!H:H,'1. Dashboard'!$C$37,'2.2. Outros'!D:D,"Duplicados",'2.2. Outros'!F:F,"&lt;&gt;0",'2.2. Outros'!I:I,"&lt;&gt;")</f>
        <v>0</v>
      </c>
      <c r="H45" s="23">
        <f t="shared" si="0"/>
        <v>0</v>
      </c>
      <c r="I45" s="47">
        <f>+COUNTIFS('2.2. Outros'!H:H,'1. Dashboard'!$C$37,'2.2. Outros'!D:D,"Duplicados",'2.2. Outros'!F:F,"&lt;&gt;0",'2.2. Outros'!I:I,"")</f>
        <v>0</v>
      </c>
      <c r="J45" s="23">
        <f t="shared" si="1"/>
        <v>0</v>
      </c>
      <c r="K45" s="13"/>
      <c r="L45" s="13"/>
      <c r="M45" s="13"/>
      <c r="N45" s="13"/>
      <c r="O45" s="13"/>
      <c r="P45" s="13"/>
      <c r="Q45" s="13"/>
      <c r="R45" s="13"/>
      <c r="S45" s="13"/>
      <c r="T45" s="13"/>
    </row>
    <row r="46" spans="2:20" outlineLevel="1" x14ac:dyDescent="0.3">
      <c r="B46" s="13"/>
      <c r="C46" s="37" t="s">
        <v>21</v>
      </c>
      <c r="D46" s="22">
        <f>+COUNTIFS('2.2. Outros'!H:H,'1. Dashboard'!$C$37,'2.2. Outros'!D:D,"Integridade")</f>
        <v>1</v>
      </c>
      <c r="E46" s="24">
        <f>+COUNTIFS('2.2. Outros'!H:H,'1. Dashboard'!$C$37,'2.2. Outros'!D:D,"Integridade",'2.2. Outros'!F:F,"0")</f>
        <v>1</v>
      </c>
      <c r="F46" s="23">
        <f t="shared" si="3"/>
        <v>1</v>
      </c>
      <c r="G46" s="25">
        <f>+COUNTIFS('2.2. Outros'!H:H,'1. Dashboard'!$C$37,'2.2. Outros'!D:D,"Integridade",'2.2. Outros'!F:F,"&lt;&gt;0",'2.2. Outros'!I:I,"&lt;&gt;")</f>
        <v>0</v>
      </c>
      <c r="H46" s="23">
        <f t="shared" si="0"/>
        <v>0</v>
      </c>
      <c r="I46" s="47">
        <f>+COUNTIFS('2.2. Outros'!H:H,'1. Dashboard'!$C$37,'2.2. Outros'!D:D,"Integridade",'2.2. Outros'!F:F,"&lt;&gt;0",'2.2. Outros'!I:I,"")</f>
        <v>0</v>
      </c>
      <c r="J46" s="23">
        <f t="shared" si="1"/>
        <v>0</v>
      </c>
      <c r="K46" s="13"/>
      <c r="L46" s="13"/>
      <c r="M46" s="13"/>
      <c r="N46" s="13"/>
      <c r="O46" s="13"/>
      <c r="P46" s="13"/>
      <c r="Q46" s="13"/>
      <c r="R46" s="13"/>
      <c r="S46" s="13"/>
      <c r="T46" s="13"/>
    </row>
    <row r="47" spans="2:20" x14ac:dyDescent="0.3">
      <c r="B47" s="13"/>
      <c r="C47" s="73" t="s">
        <v>13</v>
      </c>
      <c r="D47" s="74">
        <f>+SUM(D48,D52)</f>
        <v>20</v>
      </c>
      <c r="E47" s="75">
        <f>+SUM(E48,E52)</f>
        <v>17</v>
      </c>
      <c r="F47" s="76">
        <f t="shared" si="3"/>
        <v>0.85</v>
      </c>
      <c r="G47" s="77">
        <f>+SUM(G48,G52)</f>
        <v>2</v>
      </c>
      <c r="H47" s="76">
        <f t="shared" si="0"/>
        <v>0.1</v>
      </c>
      <c r="I47" s="75">
        <f>+SUM(I48,I52)</f>
        <v>1</v>
      </c>
      <c r="J47" s="76">
        <f t="shared" si="1"/>
        <v>0.05</v>
      </c>
      <c r="K47" s="13"/>
      <c r="L47" s="13"/>
      <c r="M47" s="13"/>
      <c r="N47" s="13"/>
      <c r="O47" s="13"/>
      <c r="P47" s="13"/>
      <c r="Q47" s="13"/>
      <c r="R47" s="13"/>
      <c r="S47" s="13"/>
      <c r="T47" s="13"/>
    </row>
    <row r="48" spans="2:20" x14ac:dyDescent="0.3">
      <c r="B48" s="13"/>
      <c r="C48" s="80" t="s">
        <v>16</v>
      </c>
      <c r="D48" s="81">
        <f>+SUM(D49:D51)</f>
        <v>19</v>
      </c>
      <c r="E48" s="81">
        <f>+SUM(E49:E51)</f>
        <v>16</v>
      </c>
      <c r="F48" s="83">
        <f t="shared" si="3"/>
        <v>0.84210526315789469</v>
      </c>
      <c r="G48" s="84">
        <f>+SUM(G49:G51)</f>
        <v>2</v>
      </c>
      <c r="H48" s="83">
        <f t="shared" si="0"/>
        <v>0.10526315789473684</v>
      </c>
      <c r="I48" s="85">
        <f>+SUM(I49:I51)</f>
        <v>1</v>
      </c>
      <c r="J48" s="83">
        <f t="shared" si="1"/>
        <v>5.2631578947368418E-2</v>
      </c>
      <c r="K48" s="13"/>
      <c r="L48" s="13"/>
      <c r="M48" s="13"/>
      <c r="N48" s="13"/>
      <c r="O48" s="13"/>
      <c r="P48" s="13"/>
      <c r="Q48" s="13"/>
      <c r="R48" s="13"/>
      <c r="S48" s="13"/>
      <c r="T48" s="13"/>
    </row>
    <row r="49" spans="2:20" outlineLevel="1" x14ac:dyDescent="0.3">
      <c r="B49" s="13"/>
      <c r="C49" s="37" t="s">
        <v>19</v>
      </c>
      <c r="D49" s="22">
        <f>+COUNTIFS('2.1. Regulamentares'!G:G,$C$47,'2.1. Regulamentares'!F:F,"h")</f>
        <v>5</v>
      </c>
      <c r="E49" s="24">
        <f>+COUNTIFS('2.1. Regulamentares'!G:G,$C$47,'2.1. Regulamentares'!F:F,"h",'2.1. Regulamentares'!C:C,"=0")</f>
        <v>4</v>
      </c>
      <c r="F49" s="23">
        <f t="shared" si="3"/>
        <v>0.8</v>
      </c>
      <c r="G49" s="25">
        <f>+COUNTIFS('2.1. Regulamentares'!G:G,$C$47,'2.1. Regulamentares'!F:F,"h",'2.1. Regulamentares'!C:C,"&gt;0",'2.1. Regulamentares'!I:I,"&lt;&gt;")</f>
        <v>0</v>
      </c>
      <c r="H49" s="23">
        <f t="shared" ref="H49" si="5">IFERROR(G49/D49,0)</f>
        <v>0</v>
      </c>
      <c r="I49" s="47">
        <f>+COUNTIFS('2.1. Regulamentares'!G:G,$C$47,'2.1. Regulamentares'!F:F,"h",'2.1. Regulamentares'!C:C,"&gt;0",'2.1. Regulamentares'!I:I,"")</f>
        <v>1</v>
      </c>
      <c r="J49" s="23">
        <f t="shared" si="1"/>
        <v>0.2</v>
      </c>
      <c r="K49" s="13"/>
      <c r="L49" s="13"/>
      <c r="M49" s="13"/>
      <c r="N49" s="13"/>
      <c r="O49" s="13"/>
      <c r="P49" s="13"/>
      <c r="Q49" s="13"/>
      <c r="R49" s="13"/>
      <c r="S49" s="13"/>
      <c r="T49" s="13"/>
    </row>
    <row r="50" spans="2:20" outlineLevel="1" x14ac:dyDescent="0.3">
      <c r="B50" s="13"/>
      <c r="C50" s="38" t="s">
        <v>18</v>
      </c>
      <c r="D50" s="22">
        <f>+COUNTIFS('2.1. Regulamentares'!G:G,$C$47,'2.1. Regulamentares'!F:F,"w")</f>
        <v>0</v>
      </c>
      <c r="E50" s="24">
        <f>+COUNTIFS('2.1. Regulamentares'!G:G,$C$47,'2.1. Regulamentares'!F:F,"w",'2.1. Regulamentares'!C:C,"=0")</f>
        <v>0</v>
      </c>
      <c r="F50" s="23">
        <f t="shared" si="3"/>
        <v>0</v>
      </c>
      <c r="G50" s="25">
        <f>+COUNTIFS('2.1. Regulamentares'!G:G,$C$47,'2.1. Regulamentares'!F:F,"w",'2.1. Regulamentares'!C:C,"&gt;0",'2.1. Regulamentares'!I:I,"&lt;&gt;")</f>
        <v>0</v>
      </c>
      <c r="H50" s="23">
        <f t="shared" ref="H50:H67" si="6">IFERROR(G50/D50,0)</f>
        <v>0</v>
      </c>
      <c r="I50" s="47">
        <f>+COUNTIFS('2.1. Regulamentares'!G:G,$C$47,'2.1. Regulamentares'!F:F,"w",'2.1. Regulamentares'!C:C,"&gt;0",'2.1. Regulamentares'!I:I,"")</f>
        <v>0</v>
      </c>
      <c r="J50" s="23">
        <f t="shared" si="1"/>
        <v>0</v>
      </c>
      <c r="K50" s="13"/>
      <c r="L50" s="13"/>
      <c r="M50" s="16"/>
      <c r="N50" s="17"/>
      <c r="O50" s="17"/>
      <c r="P50" s="17"/>
      <c r="Q50" s="17"/>
      <c r="R50" s="17"/>
      <c r="S50" s="17"/>
      <c r="T50" s="17"/>
    </row>
    <row r="51" spans="2:20" outlineLevel="1" x14ac:dyDescent="0.3">
      <c r="B51" s="13"/>
      <c r="C51" s="38" t="s">
        <v>324</v>
      </c>
      <c r="D51" s="22">
        <f>+COUNTIFS('2.1. Regulamentares'!G:G,$C$47,'2.1. Regulamentares'!F:F,"f")</f>
        <v>14</v>
      </c>
      <c r="E51" s="24">
        <f>+COUNTIFS('2.1. Regulamentares'!G:G,$C$47,'2.1. Regulamentares'!F:F,"f",'2.1. Regulamentares'!C:C,"=0")</f>
        <v>12</v>
      </c>
      <c r="F51" s="23">
        <f t="shared" si="3"/>
        <v>0.8571428571428571</v>
      </c>
      <c r="G51" s="25">
        <f>+COUNTIFS('2.1. Regulamentares'!G:G,$C$47,'2.1. Regulamentares'!F:F,"f",'2.1. Regulamentares'!C:C,"&gt;0",'2.1. Regulamentares'!I:I,"&lt;&gt;")</f>
        <v>2</v>
      </c>
      <c r="H51" s="23">
        <f t="shared" si="6"/>
        <v>0.14285714285714285</v>
      </c>
      <c r="I51" s="47">
        <f>+COUNTIFS('2.1. Regulamentares'!G:G,$C$47,'2.1. Regulamentares'!F:F,"f",'2.1. Regulamentares'!C:C,"&gt;0",'2.1. Regulamentares'!I:I,"")</f>
        <v>0</v>
      </c>
      <c r="J51" s="23">
        <f t="shared" si="1"/>
        <v>0</v>
      </c>
      <c r="K51" s="13"/>
      <c r="L51" s="13"/>
      <c r="M51" s="16"/>
      <c r="N51" s="17"/>
      <c r="O51" s="17"/>
      <c r="P51" s="17"/>
      <c r="Q51" s="17"/>
      <c r="R51" s="17"/>
      <c r="S51" s="17"/>
      <c r="T51" s="17"/>
    </row>
    <row r="52" spans="2:20" x14ac:dyDescent="0.3">
      <c r="B52" s="13"/>
      <c r="C52" s="80" t="s">
        <v>17</v>
      </c>
      <c r="D52" s="81">
        <f t="shared" ref="D52:I52" si="7">+SUM(D53:D56)</f>
        <v>1</v>
      </c>
      <c r="E52" s="82">
        <f t="shared" si="7"/>
        <v>1</v>
      </c>
      <c r="F52" s="83">
        <f t="shared" si="3"/>
        <v>1</v>
      </c>
      <c r="G52" s="84">
        <f t="shared" si="7"/>
        <v>0</v>
      </c>
      <c r="H52" s="83">
        <f t="shared" si="6"/>
        <v>0</v>
      </c>
      <c r="I52" s="85">
        <f t="shared" si="7"/>
        <v>0</v>
      </c>
      <c r="J52" s="83">
        <f t="shared" si="1"/>
        <v>0</v>
      </c>
      <c r="K52" s="13"/>
      <c r="L52" s="13"/>
      <c r="M52" s="16"/>
      <c r="N52" s="17"/>
      <c r="O52" s="17"/>
      <c r="P52" s="17"/>
      <c r="Q52" s="17"/>
      <c r="R52" s="17"/>
      <c r="S52" s="17"/>
      <c r="T52" s="17"/>
    </row>
    <row r="53" spans="2:20" outlineLevel="1" x14ac:dyDescent="0.3">
      <c r="B53" s="13"/>
      <c r="C53" s="37" t="s">
        <v>22</v>
      </c>
      <c r="D53" s="22">
        <f>+COUNTIFS('2.2. Outros'!H:H,$C$47,'2.2. Outros'!D:D,"Validade")</f>
        <v>0</v>
      </c>
      <c r="E53" s="24">
        <f>+COUNTIFS('2.2. Outros'!H:H,$C$47,'2.2. Outros'!D:D,"Validade",'2.2. Outros'!F:F,"0")</f>
        <v>0</v>
      </c>
      <c r="F53" s="23">
        <f t="shared" si="3"/>
        <v>0</v>
      </c>
      <c r="G53" s="25">
        <f>+COUNTIFS('2.2. Outros'!H:H,$C$47,'2.2. Outros'!D:D,"Validade",'2.2. Outros'!F:F,"&lt;&gt;0",'2.2. Outros'!I:I,"&lt;&gt;")</f>
        <v>0</v>
      </c>
      <c r="H53" s="23">
        <f t="shared" si="6"/>
        <v>0</v>
      </c>
      <c r="I53" s="47">
        <f>+COUNTIFS('2.2. Outros'!H:H,$C$47,'2.2. Outros'!D:D,"Validade",'2.2. Outros'!F:F,"&lt;&gt;0",'2.2. Outros'!I:I,"")</f>
        <v>0</v>
      </c>
      <c r="J53" s="23">
        <f t="shared" si="1"/>
        <v>0</v>
      </c>
      <c r="K53" s="13"/>
      <c r="L53" s="13"/>
      <c r="M53" s="16"/>
      <c r="N53" s="17"/>
      <c r="O53" s="17"/>
      <c r="P53" s="17"/>
      <c r="Q53" s="17"/>
      <c r="R53" s="17"/>
      <c r="S53" s="17"/>
      <c r="T53" s="17"/>
    </row>
    <row r="54" spans="2:20" outlineLevel="1" x14ac:dyDescent="0.3">
      <c r="B54" s="13"/>
      <c r="C54" s="37" t="s">
        <v>23</v>
      </c>
      <c r="D54" s="22">
        <f>+COUNTIFS('2.2. Outros'!H:H,$C$47,'2.2. Outros'!D:D,"Not applicable")</f>
        <v>0</v>
      </c>
      <c r="E54" s="24">
        <f>+COUNTIFS('2.2. Outros'!H:H,$C$47,'2.2. Outros'!D:D,"Not applicable",'2.2. Outros'!F:F,"0")</f>
        <v>0</v>
      </c>
      <c r="F54" s="23">
        <f t="shared" si="3"/>
        <v>0</v>
      </c>
      <c r="G54" s="25">
        <f>+COUNTIFS('2.2. Outros'!H:H,$C$47,'2.2. Outros'!D:D,"Not applicable",'2.2. Outros'!F:F,"&lt;&gt;0",'2.2. Outros'!I:I,"&lt;&gt;")</f>
        <v>0</v>
      </c>
      <c r="H54" s="23">
        <f t="shared" si="6"/>
        <v>0</v>
      </c>
      <c r="I54" s="47">
        <f>+COUNTIFS('2.2. Outros'!H:H,$C$47,'2.2. Outros'!D:D,"Not applicable",'2.2. Outros'!F:F,"&lt;&gt;0",'2.2. Outros'!I:I,"")</f>
        <v>0</v>
      </c>
      <c r="J54" s="23">
        <f t="shared" si="1"/>
        <v>0</v>
      </c>
      <c r="K54" s="13"/>
      <c r="L54" s="13"/>
      <c r="M54" s="16"/>
      <c r="N54" s="17"/>
      <c r="O54" s="17"/>
      <c r="P54" s="17"/>
      <c r="Q54" s="17"/>
      <c r="R54" s="17"/>
      <c r="S54" s="17"/>
      <c r="T54" s="17"/>
    </row>
    <row r="55" spans="2:20" outlineLevel="1" x14ac:dyDescent="0.3">
      <c r="B55" s="13"/>
      <c r="C55" s="37" t="s">
        <v>20</v>
      </c>
      <c r="D55" s="22">
        <f>+COUNTIFS('2.2. Outros'!H:H,$C$47,'2.2. Outros'!D:D,"Duplicados")</f>
        <v>0</v>
      </c>
      <c r="E55" s="24">
        <f>+COUNTIFS('2.2. Outros'!H:H,$C$47,'2.2. Outros'!D:D,"Duplicados",'2.2. Outros'!F:F,"0")</f>
        <v>0</v>
      </c>
      <c r="F55" s="23">
        <f t="shared" si="3"/>
        <v>0</v>
      </c>
      <c r="G55" s="25">
        <f>+COUNTIFS('2.2. Outros'!H:H,$C$47,'2.2. Outros'!D:D,"Duplicados",'2.2. Outros'!F:F,"&lt;&gt;0",'2.2. Outros'!I:I,"&lt;&gt;")</f>
        <v>0</v>
      </c>
      <c r="H55" s="23">
        <f t="shared" si="6"/>
        <v>0</v>
      </c>
      <c r="I55" s="47">
        <f>+COUNTIFS('2.2. Outros'!H:H,$C$47,'2.2. Outros'!D:D,"Duplicados",'2.2. Outros'!F:F,"&lt;&gt;0",'2.2. Outros'!I:I,"")</f>
        <v>0</v>
      </c>
      <c r="J55" s="23">
        <f t="shared" si="1"/>
        <v>0</v>
      </c>
      <c r="K55" s="13"/>
      <c r="L55" s="13"/>
      <c r="M55" s="16"/>
      <c r="N55" s="17"/>
      <c r="O55" s="17"/>
      <c r="P55" s="17"/>
      <c r="Q55" s="17"/>
      <c r="R55" s="17"/>
      <c r="S55" s="17"/>
      <c r="T55" s="17"/>
    </row>
    <row r="56" spans="2:20" outlineLevel="1" x14ac:dyDescent="0.3">
      <c r="B56" s="13"/>
      <c r="C56" s="37" t="s">
        <v>21</v>
      </c>
      <c r="D56" s="22">
        <f>+COUNTIFS('2.2. Outros'!H:H,$C$47,'2.2. Outros'!D:D,"Integridade")</f>
        <v>1</v>
      </c>
      <c r="E56" s="24">
        <f>+COUNTIFS('2.2. Outros'!H:H,$C$47,'2.2. Outros'!D:D,"Integridade",'2.2. Outros'!F:F,"0")</f>
        <v>1</v>
      </c>
      <c r="F56" s="23">
        <f t="shared" si="3"/>
        <v>1</v>
      </c>
      <c r="G56" s="25">
        <f>+COUNTIFS('2.2. Outros'!H:H,$C$47,'2.2. Outros'!D:D,"Integridade",'2.2. Outros'!F:F,"&lt;&gt;0",'2.2. Outros'!I:I,"&lt;&gt;")</f>
        <v>0</v>
      </c>
      <c r="H56" s="23">
        <f t="shared" si="6"/>
        <v>0</v>
      </c>
      <c r="I56" s="47">
        <f>+COUNTIFS('2.2. Outros'!H:H,$C$47,'2.2. Outros'!D:D,"Integridade",'2.2. Outros'!F:F,"&lt;&gt;0",'2.2. Outros'!I:I,"")</f>
        <v>0</v>
      </c>
      <c r="J56" s="23">
        <f t="shared" si="1"/>
        <v>0</v>
      </c>
      <c r="K56" s="13"/>
      <c r="L56" s="13"/>
      <c r="M56" s="16"/>
      <c r="N56" s="17"/>
      <c r="O56" s="17"/>
      <c r="P56" s="17"/>
      <c r="Q56" s="17"/>
      <c r="R56" s="17"/>
      <c r="S56" s="17"/>
      <c r="T56" s="17"/>
    </row>
    <row r="57" spans="2:20" x14ac:dyDescent="0.3">
      <c r="B57" s="13"/>
      <c r="C57" s="78" t="s">
        <v>14</v>
      </c>
      <c r="D57" s="74">
        <f>+SUM(D58,D62)</f>
        <v>16</v>
      </c>
      <c r="E57" s="75">
        <f>+SUM(E58,E62)</f>
        <v>13</v>
      </c>
      <c r="F57" s="76">
        <f t="shared" si="3"/>
        <v>0.8125</v>
      </c>
      <c r="G57" s="77">
        <f>+SUM(G58,G62)</f>
        <v>2</v>
      </c>
      <c r="H57" s="76">
        <f t="shared" si="6"/>
        <v>0.125</v>
      </c>
      <c r="I57" s="75">
        <f>+SUM(I58,I62)</f>
        <v>1</v>
      </c>
      <c r="J57" s="76">
        <f t="shared" si="1"/>
        <v>6.25E-2</v>
      </c>
      <c r="K57" s="13"/>
      <c r="L57" s="13"/>
      <c r="M57" s="16"/>
      <c r="N57" s="17"/>
      <c r="O57" s="17"/>
      <c r="P57" s="17"/>
      <c r="Q57" s="17"/>
      <c r="R57" s="17"/>
      <c r="S57" s="17"/>
      <c r="T57" s="17"/>
    </row>
    <row r="58" spans="2:20" x14ac:dyDescent="0.3">
      <c r="B58" s="13"/>
      <c r="C58" s="80" t="s">
        <v>16</v>
      </c>
      <c r="D58" s="81">
        <f>+SUM(D59:D61)</f>
        <v>15</v>
      </c>
      <c r="E58" s="82">
        <f>+SUM(E59:E61)</f>
        <v>12</v>
      </c>
      <c r="F58" s="83">
        <f t="shared" si="3"/>
        <v>0.8</v>
      </c>
      <c r="G58" s="84">
        <f>+SUM(G59:G61)</f>
        <v>2</v>
      </c>
      <c r="H58" s="83">
        <f t="shared" si="6"/>
        <v>0.13333333333333333</v>
      </c>
      <c r="I58" s="85">
        <f>+SUM(I59:I61)</f>
        <v>1</v>
      </c>
      <c r="J58" s="83">
        <f t="shared" si="1"/>
        <v>6.6666666666666666E-2</v>
      </c>
      <c r="K58" s="13"/>
      <c r="L58" s="13"/>
      <c r="M58" s="16"/>
      <c r="N58" s="17"/>
      <c r="O58" s="17"/>
      <c r="P58" s="17"/>
      <c r="Q58" s="17"/>
      <c r="R58" s="17"/>
      <c r="S58" s="17"/>
      <c r="T58" s="17"/>
    </row>
    <row r="59" spans="2:20" outlineLevel="1" x14ac:dyDescent="0.3">
      <c r="B59" s="13"/>
      <c r="C59" s="37" t="s">
        <v>19</v>
      </c>
      <c r="D59" s="22">
        <f>+COUNTIFS('2.1. Regulamentares'!G:G,$C$57,'2.1. Regulamentares'!F:F,"h")</f>
        <v>4</v>
      </c>
      <c r="E59" s="24">
        <f>+COUNTIFS('2.1. Regulamentares'!G:G,$C$57,'2.1. Regulamentares'!F:F,"h",'2.1. Regulamentares'!C:C,"=0")</f>
        <v>2</v>
      </c>
      <c r="F59" s="23">
        <f t="shared" si="3"/>
        <v>0.5</v>
      </c>
      <c r="G59" s="25">
        <f>+COUNTIFS('2.1. Regulamentares'!G:G,$C$57,'2.1. Regulamentares'!F:F,"h",'2.1. Regulamentares'!C:C,"&gt;0",'2.1. Regulamentares'!I:I,"&lt;&gt;")</f>
        <v>1</v>
      </c>
      <c r="H59" s="23">
        <f t="shared" si="6"/>
        <v>0.25</v>
      </c>
      <c r="I59" s="47">
        <f>+COUNTIFS('2.1. Regulamentares'!G:G,$C$57,'2.1. Regulamentares'!F:F,"h",'2.1. Regulamentares'!C:C,"&gt;0",'2.1. Regulamentares'!I:I,"")</f>
        <v>1</v>
      </c>
      <c r="J59" s="23">
        <f t="shared" si="1"/>
        <v>0.25</v>
      </c>
      <c r="K59" s="13"/>
      <c r="L59" s="13"/>
      <c r="M59" s="16"/>
      <c r="N59" s="17"/>
      <c r="O59" s="17"/>
      <c r="P59" s="17"/>
      <c r="Q59" s="17"/>
      <c r="R59" s="17"/>
      <c r="S59" s="17"/>
      <c r="T59" s="17"/>
    </row>
    <row r="60" spans="2:20" outlineLevel="1" x14ac:dyDescent="0.3">
      <c r="B60" s="13"/>
      <c r="C60" s="38" t="s">
        <v>18</v>
      </c>
      <c r="D60" s="22">
        <f>+COUNTIFS('2.1. Regulamentares'!G:G,$C$57,'2.1. Regulamentares'!F:F,"w")</f>
        <v>0</v>
      </c>
      <c r="E60" s="24">
        <f>+COUNTIFS('2.1. Regulamentares'!G:G,$C$57,'2.1. Regulamentares'!F:F,"w",'2.1. Regulamentares'!C:C,"=0")</f>
        <v>0</v>
      </c>
      <c r="F60" s="23">
        <f t="shared" si="3"/>
        <v>0</v>
      </c>
      <c r="G60" s="25">
        <f>+COUNTIFS('2.1. Regulamentares'!G:G,$C$57,'2.1. Regulamentares'!F:F,"w",'2.1. Regulamentares'!C:C,"&gt;0",'2.1. Regulamentares'!I:I,"&lt;&gt;")</f>
        <v>0</v>
      </c>
      <c r="H60" s="23">
        <f t="shared" si="6"/>
        <v>0</v>
      </c>
      <c r="I60" s="47">
        <f>+COUNTIFS('2.1. Regulamentares'!G:G,$C$57,'2.1. Regulamentares'!F:F,"w",'2.1. Regulamentares'!C:C,"&gt;0",'2.1. Regulamentares'!I:I,"")</f>
        <v>0</v>
      </c>
      <c r="J60" s="23">
        <f t="shared" si="1"/>
        <v>0</v>
      </c>
      <c r="K60" s="13"/>
      <c r="L60" s="13"/>
      <c r="M60" s="16"/>
      <c r="N60" s="17"/>
      <c r="O60" s="17"/>
      <c r="P60" s="17"/>
      <c r="Q60" s="17"/>
      <c r="R60" s="17"/>
      <c r="S60" s="17"/>
      <c r="T60" s="17"/>
    </row>
    <row r="61" spans="2:20" outlineLevel="1" x14ac:dyDescent="0.3">
      <c r="B61" s="13"/>
      <c r="C61" s="38" t="s">
        <v>324</v>
      </c>
      <c r="D61" s="22">
        <f>+COUNTIFS('2.1. Regulamentares'!G:G,$C$57,'2.1. Regulamentares'!F:F,"f")</f>
        <v>11</v>
      </c>
      <c r="E61" s="24">
        <f>+COUNTIFS('2.1. Regulamentares'!G:G,$C$57,'2.1. Regulamentares'!F:F,"f",'2.1. Regulamentares'!C:C,"=0")</f>
        <v>10</v>
      </c>
      <c r="F61" s="23">
        <f t="shared" si="3"/>
        <v>0.90909090909090906</v>
      </c>
      <c r="G61" s="25">
        <f>+COUNTIFS('2.1. Regulamentares'!G:G,$C$57,'2.1. Regulamentares'!F:F,"f",'2.1. Regulamentares'!C:C,"&gt;0",'2.1. Regulamentares'!I:I,"&lt;&gt;")</f>
        <v>1</v>
      </c>
      <c r="H61" s="23">
        <f t="shared" si="6"/>
        <v>9.0909090909090912E-2</v>
      </c>
      <c r="I61" s="47">
        <f>+COUNTIFS('2.1. Regulamentares'!G:G,$C$57,'2.1. Regulamentares'!F:F,"f",'2.1. Regulamentares'!C:C,"&gt;0",'2.1. Regulamentares'!I:I,"")</f>
        <v>0</v>
      </c>
      <c r="J61" s="23">
        <f t="shared" si="1"/>
        <v>0</v>
      </c>
      <c r="K61" s="13"/>
      <c r="L61" s="13"/>
      <c r="M61" s="16"/>
      <c r="N61" s="17"/>
      <c r="O61" s="17"/>
      <c r="P61" s="17"/>
      <c r="Q61" s="17"/>
      <c r="R61" s="17"/>
      <c r="S61" s="17"/>
      <c r="T61" s="17"/>
    </row>
    <row r="62" spans="2:20" x14ac:dyDescent="0.3">
      <c r="B62" s="13"/>
      <c r="C62" s="80" t="s">
        <v>17</v>
      </c>
      <c r="D62" s="81">
        <f t="shared" ref="D62:I62" si="8">+SUM(D63:D66)</f>
        <v>1</v>
      </c>
      <c r="E62" s="82">
        <f t="shared" si="8"/>
        <v>1</v>
      </c>
      <c r="F62" s="83">
        <f t="shared" si="3"/>
        <v>1</v>
      </c>
      <c r="G62" s="84">
        <f t="shared" si="8"/>
        <v>0</v>
      </c>
      <c r="H62" s="83">
        <f t="shared" si="6"/>
        <v>0</v>
      </c>
      <c r="I62" s="85">
        <f t="shared" si="8"/>
        <v>0</v>
      </c>
      <c r="J62" s="83">
        <f t="shared" si="1"/>
        <v>0</v>
      </c>
      <c r="K62" s="13"/>
      <c r="L62" s="13"/>
      <c r="M62" s="16"/>
      <c r="N62" s="17"/>
      <c r="O62" s="17"/>
      <c r="P62" s="17"/>
      <c r="Q62" s="17"/>
      <c r="R62" s="17"/>
      <c r="S62" s="17"/>
      <c r="T62" s="17"/>
    </row>
    <row r="63" spans="2:20" outlineLevel="1" x14ac:dyDescent="0.3">
      <c r="B63" s="13"/>
      <c r="C63" s="37" t="s">
        <v>22</v>
      </c>
      <c r="D63" s="22">
        <f>+COUNTIFS('2.2. Outros'!H:H,$C$57,'2.2. Outros'!D:D,"Validade")</f>
        <v>0</v>
      </c>
      <c r="E63" s="24">
        <f>+COUNTIFS('2.2. Outros'!H:H,$C$57,'2.2. Outros'!D:D,"Validade",'2.2. Outros'!F:F,"0")</f>
        <v>0</v>
      </c>
      <c r="F63" s="23">
        <f t="shared" si="3"/>
        <v>0</v>
      </c>
      <c r="G63" s="25">
        <f>+COUNTIFS('2.2. Outros'!H:H,$C$57,'2.2. Outros'!D:D,"Validade",'2.2. Outros'!F:F,"&lt;&gt;0",'2.2. Outros'!I:I,"&lt;&gt;")</f>
        <v>0</v>
      </c>
      <c r="H63" s="23">
        <f t="shared" si="6"/>
        <v>0</v>
      </c>
      <c r="I63" s="47">
        <f>+COUNTIFS('2.2. Outros'!H:H,$C$57,'2.2. Outros'!D:D,"Validade",'2.2. Outros'!F:F,"&lt;&gt;0",'2.2. Outros'!I:I,"")</f>
        <v>0</v>
      </c>
      <c r="J63" s="23">
        <f t="shared" si="1"/>
        <v>0</v>
      </c>
      <c r="K63" s="13"/>
      <c r="L63" s="13"/>
      <c r="M63" s="16"/>
      <c r="N63" s="17"/>
      <c r="O63" s="17"/>
      <c r="P63" s="17"/>
      <c r="Q63" s="17"/>
      <c r="R63" s="17"/>
      <c r="S63" s="17"/>
      <c r="T63" s="17"/>
    </row>
    <row r="64" spans="2:20" outlineLevel="1" x14ac:dyDescent="0.3">
      <c r="B64" s="13"/>
      <c r="C64" s="37" t="s">
        <v>23</v>
      </c>
      <c r="D64" s="22">
        <f>+COUNTIFS('2.2. Outros'!H:H,$C$57,'2.2. Outros'!D:D,"Not applicable")</f>
        <v>0</v>
      </c>
      <c r="E64" s="24">
        <f>+COUNTIFS('2.2. Outros'!H:H,$C$57,'2.2. Outros'!D:D,"Not applicable",'2.2. Outros'!F:F,"0")</f>
        <v>0</v>
      </c>
      <c r="F64" s="23">
        <f t="shared" si="3"/>
        <v>0</v>
      </c>
      <c r="G64" s="25">
        <f>+COUNTIFS('2.2. Outros'!H:H,$C$57,'2.2. Outros'!D:D,"Not applicable",'2.2. Outros'!F:F,"&lt;&gt;0",'2.2. Outros'!I:I,"&lt;&gt;")</f>
        <v>0</v>
      </c>
      <c r="H64" s="23">
        <f t="shared" si="6"/>
        <v>0</v>
      </c>
      <c r="I64" s="47">
        <f>+COUNTIFS('2.2. Outros'!H:H,$C$57,'2.2. Outros'!D:D,"Not applicable",'2.2. Outros'!F:F,"&lt;&gt;0",'2.2. Outros'!I:I,"")</f>
        <v>0</v>
      </c>
      <c r="J64" s="23">
        <f t="shared" si="1"/>
        <v>0</v>
      </c>
      <c r="K64" s="13"/>
      <c r="L64" s="13"/>
      <c r="M64" s="16"/>
      <c r="N64" s="17"/>
      <c r="O64" s="17"/>
      <c r="P64" s="17"/>
      <c r="Q64" s="17"/>
      <c r="R64" s="17"/>
      <c r="S64" s="17"/>
      <c r="T64" s="17"/>
    </row>
    <row r="65" spans="2:20" outlineLevel="1" x14ac:dyDescent="0.3">
      <c r="B65" s="13"/>
      <c r="C65" s="37" t="s">
        <v>20</v>
      </c>
      <c r="D65" s="22">
        <f>+COUNTIFS('2.2. Outros'!H:H,$C$57,'2.2. Outros'!D:D,"Duplicados")</f>
        <v>0</v>
      </c>
      <c r="E65" s="24">
        <f>+COUNTIFS('2.2. Outros'!H:H,$C$57,'2.2. Outros'!D:D,"Duplicados",'2.2. Outros'!F:F,"0")</f>
        <v>0</v>
      </c>
      <c r="F65" s="23">
        <f t="shared" si="3"/>
        <v>0</v>
      </c>
      <c r="G65" s="25">
        <f>+COUNTIFS('2.2. Outros'!H:H,$C$57,'2.2. Outros'!D:D,"Duplicados",'2.2. Outros'!F:F,"&lt;&gt;0",'2.2. Outros'!I:I,"&lt;&gt;")</f>
        <v>0</v>
      </c>
      <c r="H65" s="23">
        <f t="shared" si="6"/>
        <v>0</v>
      </c>
      <c r="I65" s="47">
        <f>+COUNTIFS('2.2. Outros'!H:H,$C$57,'2.2. Outros'!D:D,"Duplicados",'2.2. Outros'!F:F,"&lt;&gt;0",'2.2. Outros'!I:I,"")</f>
        <v>0</v>
      </c>
      <c r="J65" s="23">
        <f t="shared" si="1"/>
        <v>0</v>
      </c>
      <c r="K65" s="13"/>
      <c r="L65" s="13"/>
      <c r="M65" s="16"/>
      <c r="N65" s="17"/>
      <c r="O65" s="17"/>
      <c r="P65" s="17"/>
      <c r="Q65" s="17"/>
      <c r="R65" s="17"/>
      <c r="S65" s="17"/>
      <c r="T65" s="17"/>
    </row>
    <row r="66" spans="2:20" outlineLevel="1" x14ac:dyDescent="0.3">
      <c r="B66" s="13"/>
      <c r="C66" s="37" t="s">
        <v>21</v>
      </c>
      <c r="D66" s="22">
        <f>+COUNTIFS('2.2. Outros'!H:H,$C$57,'2.2. Outros'!D:D,"Integridade")</f>
        <v>1</v>
      </c>
      <c r="E66" s="24">
        <f>+COUNTIFS('2.2. Outros'!H:H,$C$57,'2.2. Outros'!D:D,"Integridade",'2.2. Outros'!F:F,"0")</f>
        <v>1</v>
      </c>
      <c r="F66" s="23">
        <f t="shared" si="3"/>
        <v>1</v>
      </c>
      <c r="G66" s="25">
        <f>+COUNTIFS('2.2. Outros'!H:H,$C$57,'2.2. Outros'!D:D,"Integridade",'2.2. Outros'!F:F,"&lt;&gt;0",'2.2. Outros'!I:I,"&lt;&gt;")</f>
        <v>0</v>
      </c>
      <c r="H66" s="23">
        <f t="shared" si="6"/>
        <v>0</v>
      </c>
      <c r="I66" s="47">
        <f>+COUNTIFS('2.2. Outros'!H:H,$C$57,'2.2. Outros'!D:D,"Integridade",'2.2. Outros'!F:F,"&lt;&gt;0",'2.2. Outros'!I:I,"")</f>
        <v>0</v>
      </c>
      <c r="J66" s="23">
        <f t="shared" si="1"/>
        <v>0</v>
      </c>
      <c r="K66" s="13"/>
      <c r="L66" s="13"/>
      <c r="M66" s="16"/>
      <c r="N66" s="17"/>
      <c r="O66" s="17"/>
      <c r="P66" s="17"/>
      <c r="Q66" s="17"/>
      <c r="R66" s="17"/>
      <c r="S66" s="17"/>
      <c r="T66" s="17"/>
    </row>
    <row r="67" spans="2:20" x14ac:dyDescent="0.3">
      <c r="B67" s="16"/>
      <c r="C67" s="39" t="s">
        <v>26</v>
      </c>
      <c r="D67" s="40">
        <f>SUM(D57,D47,D37)</f>
        <v>340</v>
      </c>
      <c r="E67" s="41">
        <f t="shared" ref="E67:G67" si="9">SUM(E57,E47,E37)</f>
        <v>288</v>
      </c>
      <c r="F67" s="42">
        <f t="shared" si="3"/>
        <v>0.84705882352941175</v>
      </c>
      <c r="G67" s="43">
        <f t="shared" si="9"/>
        <v>12</v>
      </c>
      <c r="H67" s="42">
        <f t="shared" si="6"/>
        <v>3.5294117647058823E-2</v>
      </c>
      <c r="I67" s="48">
        <f>SUM(I57,I47,I37)</f>
        <v>35</v>
      </c>
      <c r="J67" s="42">
        <f t="shared" si="1"/>
        <v>0.10294117647058823</v>
      </c>
      <c r="K67" s="13"/>
      <c r="L67" s="13"/>
      <c r="M67" s="16"/>
      <c r="N67" s="17"/>
      <c r="O67" s="17"/>
      <c r="P67" s="17"/>
      <c r="Q67" s="17"/>
      <c r="R67" s="17"/>
      <c r="S67" s="17"/>
      <c r="T67" s="17"/>
    </row>
    <row r="68" spans="2:20" x14ac:dyDescent="0.3">
      <c r="B68" s="16"/>
      <c r="C68" s="16"/>
      <c r="D68" s="17"/>
      <c r="E68" s="17"/>
      <c r="F68" s="17"/>
      <c r="G68" s="17"/>
      <c r="H68" s="17"/>
      <c r="I68" s="17"/>
      <c r="J68" s="17"/>
      <c r="K68" s="13"/>
      <c r="L68" s="13"/>
      <c r="M68" s="16"/>
      <c r="N68" s="17"/>
      <c r="O68" s="17"/>
      <c r="P68" s="17"/>
      <c r="Q68" s="17"/>
      <c r="R68" s="17"/>
      <c r="S68" s="17"/>
      <c r="T68" s="17"/>
    </row>
    <row r="69" spans="2:20" x14ac:dyDescent="0.3">
      <c r="B69" s="16"/>
      <c r="C69" s="16"/>
      <c r="D69" s="17"/>
      <c r="E69" s="17"/>
      <c r="F69" s="17"/>
      <c r="G69" s="17"/>
      <c r="H69" s="17"/>
      <c r="I69" s="17"/>
      <c r="J69" s="17"/>
      <c r="K69" s="13"/>
      <c r="L69" s="13"/>
      <c r="M69" s="16"/>
      <c r="N69" s="17"/>
      <c r="O69" s="17"/>
      <c r="P69" s="17"/>
      <c r="Q69" s="17"/>
      <c r="R69" s="17"/>
      <c r="S69" s="17"/>
      <c r="T69" s="17"/>
    </row>
    <row r="70" spans="2:20" ht="15" thickBot="1" x14ac:dyDescent="0.35">
      <c r="B70" s="16"/>
      <c r="C70" s="89" t="s">
        <v>116</v>
      </c>
      <c r="D70" s="90"/>
      <c r="E70" s="90"/>
      <c r="F70" s="90"/>
      <c r="G70" s="90"/>
      <c r="H70" s="90"/>
      <c r="I70" s="90"/>
      <c r="J70" s="90"/>
      <c r="K70" s="90"/>
      <c r="L70" s="90"/>
      <c r="M70" s="90"/>
      <c r="N70" s="90"/>
      <c r="O70" s="90"/>
      <c r="P70" s="90"/>
      <c r="Q70" s="90"/>
      <c r="R70" s="90"/>
      <c r="S70" s="90"/>
      <c r="T70" s="17"/>
    </row>
    <row r="71" spans="2:20" x14ac:dyDescent="0.3">
      <c r="B71" s="16"/>
      <c r="C71" s="16"/>
      <c r="D71" s="17"/>
      <c r="E71" s="17"/>
      <c r="F71" s="17"/>
      <c r="G71" s="17"/>
      <c r="H71" s="17"/>
      <c r="I71" s="17"/>
      <c r="J71" s="17"/>
      <c r="K71" s="13"/>
      <c r="L71" s="13"/>
      <c r="M71" s="16"/>
      <c r="N71" s="17"/>
      <c r="O71" s="17"/>
      <c r="P71" s="17"/>
      <c r="Q71" s="17"/>
      <c r="R71" s="17"/>
      <c r="S71" s="17"/>
      <c r="T71" s="17"/>
    </row>
    <row r="72" spans="2:20" x14ac:dyDescent="0.3">
      <c r="B72" s="13"/>
      <c r="C72" s="79" t="s">
        <v>15</v>
      </c>
      <c r="D72" s="79" t="s">
        <v>323</v>
      </c>
      <c r="E72" s="79" t="s">
        <v>3</v>
      </c>
      <c r="F72" s="79" t="s">
        <v>5</v>
      </c>
      <c r="G72" s="79" t="s">
        <v>27</v>
      </c>
      <c r="H72" s="79" t="s">
        <v>28</v>
      </c>
      <c r="I72" s="79" t="s">
        <v>4</v>
      </c>
      <c r="J72" s="79" t="s">
        <v>6</v>
      </c>
      <c r="K72" s="13"/>
      <c r="L72" s="13"/>
      <c r="M72" s="16"/>
      <c r="N72" s="17"/>
      <c r="O72" s="17"/>
      <c r="P72" s="17"/>
      <c r="Q72" s="17"/>
      <c r="R72" s="17"/>
      <c r="S72" s="17"/>
      <c r="T72" s="17"/>
    </row>
    <row r="73" spans="2:20" x14ac:dyDescent="0.3">
      <c r="B73" s="13"/>
      <c r="C73" s="73" t="s">
        <v>12</v>
      </c>
      <c r="D73" s="74">
        <v>20</v>
      </c>
      <c r="E73" s="75">
        <v>16</v>
      </c>
      <c r="F73" s="76">
        <f>+E73/D73</f>
        <v>0.8</v>
      </c>
      <c r="G73" s="77">
        <v>3</v>
      </c>
      <c r="H73" s="76">
        <f>+G73/D73</f>
        <v>0.15</v>
      </c>
      <c r="I73" s="77">
        <v>1</v>
      </c>
      <c r="J73" s="76">
        <f>+I73/D73</f>
        <v>0.05</v>
      </c>
      <c r="K73" s="13"/>
      <c r="L73" s="13"/>
      <c r="M73" s="16"/>
      <c r="N73" s="17"/>
      <c r="O73" s="17"/>
      <c r="P73" s="17"/>
      <c r="Q73" s="17"/>
      <c r="R73" s="17"/>
      <c r="S73" s="17"/>
      <c r="T73" s="17"/>
    </row>
    <row r="74" spans="2:20" x14ac:dyDescent="0.3">
      <c r="B74" s="15"/>
      <c r="C74" s="36" t="s">
        <v>25</v>
      </c>
      <c r="D74" s="22"/>
      <c r="E74" s="24"/>
      <c r="F74" s="23"/>
      <c r="G74" s="25"/>
      <c r="H74" s="23"/>
      <c r="I74" s="25"/>
      <c r="J74" s="23"/>
      <c r="K74" s="13"/>
      <c r="L74" s="15"/>
      <c r="M74" s="16"/>
      <c r="N74" s="17"/>
      <c r="O74" s="17"/>
      <c r="P74" s="17"/>
      <c r="Q74" s="17"/>
      <c r="R74" s="17"/>
      <c r="S74" s="17"/>
      <c r="T74" s="17"/>
    </row>
    <row r="75" spans="2:20" x14ac:dyDescent="0.3">
      <c r="B75" s="15"/>
      <c r="C75" s="73" t="s">
        <v>13</v>
      </c>
      <c r="D75" s="74">
        <v>20</v>
      </c>
      <c r="E75" s="75">
        <v>3</v>
      </c>
      <c r="F75" s="76">
        <f>+E75/D75</f>
        <v>0.15</v>
      </c>
      <c r="G75" s="77">
        <v>2</v>
      </c>
      <c r="H75" s="76">
        <f>+G75/D75</f>
        <v>0.1</v>
      </c>
      <c r="I75" s="77">
        <v>15</v>
      </c>
      <c r="J75" s="76">
        <f>+I75/D75</f>
        <v>0.75</v>
      </c>
      <c r="K75" s="13"/>
      <c r="L75" s="15"/>
      <c r="M75" s="16"/>
      <c r="N75" s="17"/>
      <c r="O75" s="17"/>
      <c r="P75" s="17"/>
      <c r="Q75" s="17"/>
      <c r="R75" s="17"/>
      <c r="S75" s="17"/>
      <c r="T75" s="17"/>
    </row>
    <row r="76" spans="2:20" x14ac:dyDescent="0.3">
      <c r="B76" s="15"/>
      <c r="C76" s="36" t="s">
        <v>25</v>
      </c>
      <c r="D76" s="22"/>
      <c r="E76" s="24"/>
      <c r="F76" s="23"/>
      <c r="G76" s="25"/>
      <c r="H76" s="23"/>
      <c r="I76" s="25"/>
      <c r="J76" s="23"/>
      <c r="K76" s="13"/>
      <c r="L76" s="15"/>
      <c r="M76" s="16"/>
      <c r="N76" s="17"/>
      <c r="O76" s="17"/>
      <c r="P76" s="17"/>
      <c r="Q76" s="17"/>
      <c r="R76" s="17"/>
      <c r="S76" s="17"/>
      <c r="T76" s="17"/>
    </row>
    <row r="77" spans="2:20" x14ac:dyDescent="0.3">
      <c r="B77" s="15"/>
      <c r="C77" s="78" t="s">
        <v>14</v>
      </c>
      <c r="D77" s="74">
        <v>10</v>
      </c>
      <c r="E77" s="75">
        <v>8</v>
      </c>
      <c r="F77" s="76">
        <f t="shared" ref="F77" si="10">+E77/D77</f>
        <v>0.8</v>
      </c>
      <c r="G77" s="77">
        <v>1</v>
      </c>
      <c r="H77" s="76">
        <f>+G77/D77</f>
        <v>0.1</v>
      </c>
      <c r="I77" s="77">
        <v>1</v>
      </c>
      <c r="J77" s="76">
        <f>+I77/D77</f>
        <v>0.1</v>
      </c>
      <c r="K77" s="13"/>
      <c r="L77" s="15"/>
      <c r="M77" s="16"/>
      <c r="N77" s="17"/>
      <c r="O77" s="17"/>
      <c r="P77" s="17"/>
      <c r="Q77" s="17"/>
      <c r="R77" s="17"/>
      <c r="S77" s="17"/>
      <c r="T77" s="17"/>
    </row>
    <row r="78" spans="2:20" x14ac:dyDescent="0.3">
      <c r="B78" s="15"/>
      <c r="C78" s="36" t="s">
        <v>25</v>
      </c>
      <c r="D78" s="22"/>
      <c r="E78" s="24"/>
      <c r="F78" s="23"/>
      <c r="G78" s="25"/>
      <c r="H78" s="23"/>
      <c r="I78" s="25"/>
      <c r="J78" s="23"/>
      <c r="K78" s="13"/>
      <c r="L78" s="15"/>
      <c r="M78" s="16"/>
      <c r="N78" s="17"/>
      <c r="O78" s="17"/>
      <c r="P78" s="17"/>
      <c r="Q78" s="17"/>
      <c r="R78" s="17"/>
      <c r="S78" s="17"/>
      <c r="T78" s="17"/>
    </row>
    <row r="79" spans="2:20" x14ac:dyDescent="0.3">
      <c r="B79" s="15"/>
      <c r="C79" s="16"/>
      <c r="D79" s="17"/>
      <c r="E79" s="17"/>
      <c r="F79" s="17"/>
      <c r="G79" s="17"/>
      <c r="H79" s="17"/>
      <c r="I79" s="17"/>
      <c r="J79" s="17"/>
      <c r="K79" s="13"/>
      <c r="L79" s="15"/>
      <c r="M79" s="16"/>
      <c r="N79" s="17"/>
      <c r="O79" s="17"/>
      <c r="P79" s="17"/>
      <c r="Q79" s="17"/>
      <c r="R79" s="17"/>
      <c r="S79" s="17"/>
      <c r="T79" s="17"/>
    </row>
    <row r="80" spans="2:20" x14ac:dyDescent="0.3">
      <c r="B80" s="15"/>
      <c r="C80" s="16"/>
      <c r="D80" s="17"/>
      <c r="E80" s="17"/>
      <c r="F80" s="17"/>
      <c r="G80" s="17"/>
      <c r="H80" s="17"/>
      <c r="I80" s="17"/>
      <c r="J80" s="17"/>
      <c r="K80" s="13"/>
      <c r="L80" s="15"/>
      <c r="M80" s="16"/>
      <c r="N80" s="17"/>
      <c r="O80" s="17"/>
      <c r="P80" s="17"/>
      <c r="Q80" s="17"/>
      <c r="R80" s="17"/>
      <c r="S80" s="17"/>
      <c r="T80" s="17"/>
    </row>
    <row r="81" spans="2:20" x14ac:dyDescent="0.3">
      <c r="B81" s="15"/>
      <c r="C81" s="16"/>
      <c r="D81" s="17"/>
      <c r="E81" s="17"/>
      <c r="F81" s="17"/>
      <c r="G81" s="17"/>
      <c r="H81" s="17"/>
      <c r="I81" s="17"/>
      <c r="J81" s="17"/>
      <c r="K81" s="13"/>
      <c r="L81" s="15"/>
      <c r="M81" s="16"/>
      <c r="N81" s="17"/>
      <c r="O81" s="17"/>
      <c r="P81" s="17"/>
      <c r="Q81" s="17"/>
      <c r="R81" s="17"/>
      <c r="S81" s="17"/>
      <c r="T81" s="17"/>
    </row>
    <row r="82" spans="2:20" x14ac:dyDescent="0.3">
      <c r="B82" s="15"/>
      <c r="C82" s="16"/>
      <c r="D82" s="17"/>
      <c r="E82" s="17"/>
      <c r="F82" s="17"/>
      <c r="G82" s="17"/>
      <c r="H82" s="17"/>
      <c r="I82" s="17"/>
      <c r="J82" s="17"/>
      <c r="K82" s="13"/>
      <c r="L82" s="15"/>
      <c r="M82" s="16"/>
      <c r="N82" s="17"/>
      <c r="O82" s="17"/>
      <c r="P82" s="17"/>
      <c r="Q82" s="17"/>
      <c r="R82" s="17"/>
      <c r="S82" s="17"/>
      <c r="T82" s="17"/>
    </row>
    <row r="83" spans="2:20" x14ac:dyDescent="0.3">
      <c r="B83" s="15"/>
      <c r="C83" s="16"/>
      <c r="D83" s="17"/>
      <c r="E83" s="17"/>
      <c r="F83" s="17"/>
      <c r="G83" s="17"/>
      <c r="H83" s="17"/>
      <c r="I83" s="17"/>
      <c r="J83" s="17"/>
      <c r="K83" s="13"/>
      <c r="L83" s="15"/>
      <c r="M83" s="16"/>
      <c r="N83" s="17"/>
      <c r="O83" s="17"/>
      <c r="P83" s="17"/>
      <c r="Q83" s="17"/>
      <c r="R83" s="17"/>
      <c r="S83" s="17"/>
      <c r="T83" s="17"/>
    </row>
    <row r="84" spans="2:20" x14ac:dyDescent="0.3">
      <c r="B84" s="15"/>
      <c r="C84" s="16"/>
      <c r="D84" s="17"/>
      <c r="E84" s="17"/>
      <c r="F84" s="17"/>
      <c r="G84" s="17"/>
      <c r="H84" s="17"/>
      <c r="I84" s="17"/>
      <c r="J84" s="17"/>
      <c r="K84" s="13"/>
      <c r="L84" s="15"/>
      <c r="M84" s="16"/>
      <c r="N84" s="17"/>
      <c r="O84" s="17"/>
      <c r="P84" s="17"/>
      <c r="Q84" s="17"/>
      <c r="R84" s="17"/>
      <c r="S84" s="17"/>
      <c r="T84" s="17"/>
    </row>
    <row r="85" spans="2:20" x14ac:dyDescent="0.3">
      <c r="B85" s="15"/>
      <c r="C85" s="16"/>
      <c r="D85" s="17"/>
      <c r="E85" s="17"/>
      <c r="F85" s="17"/>
      <c r="G85" s="17"/>
      <c r="H85" s="17"/>
      <c r="I85" s="17"/>
      <c r="J85" s="17"/>
      <c r="K85" s="13"/>
      <c r="L85" s="15"/>
      <c r="M85" s="16"/>
      <c r="N85" s="17"/>
      <c r="O85" s="17"/>
      <c r="P85" s="17"/>
      <c r="Q85" s="17"/>
      <c r="R85" s="17"/>
      <c r="S85" s="17"/>
      <c r="T85" s="17"/>
    </row>
    <row r="86" spans="2:20" x14ac:dyDescent="0.3">
      <c r="B86" s="15"/>
      <c r="C86" s="16"/>
      <c r="D86" s="17"/>
      <c r="E86" s="17"/>
      <c r="F86" s="17"/>
      <c r="G86" s="17"/>
      <c r="H86" s="17"/>
      <c r="I86" s="17"/>
      <c r="J86" s="17"/>
      <c r="K86" s="13"/>
      <c r="L86" s="15"/>
      <c r="M86" s="16"/>
      <c r="N86" s="17"/>
      <c r="O86" s="17"/>
      <c r="P86" s="17"/>
      <c r="Q86" s="17"/>
      <c r="R86" s="17"/>
      <c r="S86" s="17"/>
      <c r="T86" s="17"/>
    </row>
    <row r="87" spans="2:20" x14ac:dyDescent="0.3">
      <c r="B87" s="15"/>
      <c r="C87" s="16"/>
      <c r="D87" s="17"/>
      <c r="E87" s="17"/>
      <c r="F87" s="17"/>
      <c r="G87" s="17"/>
      <c r="H87" s="17"/>
      <c r="I87" s="17"/>
      <c r="J87" s="17"/>
      <c r="K87" s="13"/>
      <c r="L87" s="15"/>
      <c r="M87" s="16"/>
      <c r="N87" s="17"/>
      <c r="O87" s="17"/>
      <c r="P87" s="17"/>
      <c r="Q87" s="17"/>
      <c r="R87" s="17"/>
      <c r="S87" s="17"/>
      <c r="T87" s="17"/>
    </row>
    <row r="88" spans="2:20" ht="15" thickBot="1" x14ac:dyDescent="0.35">
      <c r="B88" s="6"/>
      <c r="C88" s="7"/>
      <c r="D88" s="7"/>
      <c r="E88" s="7"/>
      <c r="F88" s="7"/>
      <c r="G88" s="7"/>
      <c r="H88" s="7"/>
      <c r="I88" s="7"/>
      <c r="J88" s="7"/>
      <c r="K88" s="7"/>
      <c r="L88" s="6"/>
      <c r="M88" s="7"/>
      <c r="N88" s="7"/>
      <c r="O88" s="7"/>
      <c r="P88" s="7"/>
      <c r="Q88" s="7"/>
      <c r="R88" s="7"/>
      <c r="S88" s="7"/>
      <c r="T88" s="7"/>
    </row>
    <row r="89" spans="2:20" x14ac:dyDescent="0.3">
      <c r="D89" s="11"/>
      <c r="E89" s="1"/>
      <c r="F89" s="1"/>
      <c r="G89" s="1"/>
      <c r="H89" s="1"/>
      <c r="I89" s="1"/>
      <c r="J89" s="1"/>
      <c r="N89" s="11"/>
      <c r="O89" s="1"/>
      <c r="P89" s="1"/>
      <c r="Q89" s="1"/>
      <c r="R89" s="1"/>
      <c r="S89" s="1"/>
      <c r="T89" s="1"/>
    </row>
    <row r="90" spans="2:20" x14ac:dyDescent="0.3">
      <c r="D90" s="11"/>
      <c r="E90" s="1"/>
      <c r="F90" s="1"/>
      <c r="G90" s="1"/>
      <c r="H90" s="1"/>
      <c r="I90" s="1"/>
      <c r="J90" s="1"/>
      <c r="N90" s="11"/>
      <c r="O90" s="1"/>
      <c r="P90" s="1"/>
      <c r="Q90" s="1"/>
      <c r="R90" s="1"/>
      <c r="S90" s="1"/>
      <c r="T90" s="1"/>
    </row>
    <row r="91" spans="2:20" x14ac:dyDescent="0.3">
      <c r="D91" s="11"/>
      <c r="E91" s="1"/>
      <c r="F91" s="1"/>
      <c r="G91" s="1"/>
      <c r="H91" s="1"/>
      <c r="I91" s="1"/>
      <c r="J91" s="1"/>
      <c r="N91" s="11"/>
      <c r="O91" s="1"/>
      <c r="P91" s="1"/>
      <c r="Q91" s="1"/>
      <c r="R91" s="1"/>
      <c r="S91" s="1"/>
      <c r="T91" s="1"/>
    </row>
    <row r="92" spans="2:20" x14ac:dyDescent="0.3">
      <c r="D92" s="11"/>
      <c r="E92" s="1"/>
      <c r="F92" s="1"/>
      <c r="G92" s="1"/>
      <c r="H92" s="1"/>
      <c r="I92" s="1"/>
      <c r="J92" s="1"/>
      <c r="N92" s="11"/>
      <c r="O92" s="1"/>
      <c r="P92" s="1"/>
      <c r="Q92" s="1"/>
      <c r="R92" s="1"/>
      <c r="S92" s="1"/>
      <c r="T92" s="1"/>
    </row>
    <row r="93" spans="2:20" x14ac:dyDescent="0.3">
      <c r="D93" s="11"/>
      <c r="E93" s="1"/>
      <c r="F93" s="1"/>
      <c r="G93" s="1"/>
      <c r="H93" s="1"/>
      <c r="I93" s="1"/>
      <c r="J93" s="1"/>
      <c r="N93" s="11"/>
      <c r="O93" s="1"/>
      <c r="P93" s="1"/>
      <c r="Q93" s="1"/>
      <c r="R93" s="1"/>
      <c r="S93" s="1"/>
      <c r="T93" s="1"/>
    </row>
    <row r="94" spans="2:20" x14ac:dyDescent="0.3">
      <c r="D94" s="11"/>
      <c r="E94" s="1"/>
      <c r="F94" s="1"/>
      <c r="G94" s="1"/>
      <c r="H94" s="1"/>
      <c r="I94" s="1"/>
      <c r="J94" s="1"/>
      <c r="N94" s="11"/>
      <c r="O94" s="1"/>
      <c r="P94" s="1"/>
      <c r="Q94" s="1"/>
      <c r="R94" s="1"/>
      <c r="S94" s="1"/>
      <c r="T94" s="1"/>
    </row>
    <row r="95" spans="2:20" x14ac:dyDescent="0.3">
      <c r="D95" s="11"/>
      <c r="E95" s="1"/>
      <c r="F95" s="1"/>
      <c r="G95" s="1"/>
      <c r="H95" s="1"/>
      <c r="I95" s="1"/>
      <c r="J95" s="1"/>
      <c r="N95" s="11"/>
      <c r="O95" s="1"/>
      <c r="P95" s="1"/>
      <c r="Q95" s="1"/>
      <c r="R95" s="1"/>
      <c r="S95" s="1"/>
      <c r="T95" s="1"/>
    </row>
    <row r="96" spans="2:20" x14ac:dyDescent="0.3">
      <c r="D96" s="11"/>
      <c r="E96" s="1"/>
      <c r="F96" s="1"/>
      <c r="G96" s="1"/>
      <c r="H96" s="1"/>
      <c r="I96" s="1"/>
      <c r="J96" s="1"/>
      <c r="N96" s="11"/>
      <c r="O96" s="1"/>
      <c r="P96" s="1"/>
      <c r="Q96" s="1"/>
      <c r="R96" s="1"/>
      <c r="S96" s="1"/>
      <c r="T96" s="1"/>
    </row>
    <row r="97" spans="4:20" x14ac:dyDescent="0.3">
      <c r="D97" s="11"/>
      <c r="E97" s="1"/>
      <c r="F97" s="1"/>
      <c r="G97" s="1"/>
      <c r="H97" s="1"/>
      <c r="I97" s="1"/>
      <c r="J97" s="1"/>
      <c r="N97" s="11"/>
      <c r="O97" s="1"/>
      <c r="P97" s="1"/>
      <c r="Q97" s="1"/>
      <c r="R97" s="1"/>
      <c r="S97" s="1"/>
      <c r="T97" s="1"/>
    </row>
  </sheetData>
  <mergeCells count="3">
    <mergeCell ref="D18:E18"/>
    <mergeCell ref="G18:H18"/>
    <mergeCell ref="J18:L18"/>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09BA7-1A3F-44F8-A950-B03FB02CFAEA}">
  <sheetPr>
    <tabColor theme="0" tint="-0.499984740745262"/>
  </sheetPr>
  <dimension ref="A1"/>
  <sheetViews>
    <sheetView topLeftCell="XFD1048576" workbookViewId="0">
      <selection sqref="A1:XFD1048576"/>
    </sheetView>
  </sheetViews>
  <sheetFormatPr defaultColWidth="0" defaultRowHeight="14.4" zeroHeight="1" x14ac:dyDescent="0.3"/>
  <cols>
    <col min="1" max="16384" width="8.88671875" hidden="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D297C-90D5-43A6-AB56-481CB9A7E56A}">
  <dimension ref="A1:J198"/>
  <sheetViews>
    <sheetView showGridLines="0" tabSelected="1" zoomScale="80" zoomScaleNormal="80" workbookViewId="0">
      <selection activeCell="D29" sqref="D29"/>
    </sheetView>
  </sheetViews>
  <sheetFormatPr defaultRowHeight="14.4" x14ac:dyDescent="0.3"/>
  <cols>
    <col min="1" max="1" width="3.77734375" customWidth="1"/>
    <col min="2" max="2" width="48.5546875" customWidth="1"/>
    <col min="3" max="3" width="7.77734375" bestFit="1" customWidth="1"/>
    <col min="4" max="4" width="36" customWidth="1"/>
    <col min="5" max="5" width="5.44140625" bestFit="1" customWidth="1"/>
    <col min="6" max="6" width="30" bestFit="1" customWidth="1"/>
    <col min="7" max="7" width="6.88671875" bestFit="1" customWidth="1"/>
    <col min="8" max="8" width="36" customWidth="1"/>
    <col min="9" max="9" width="48.5546875" customWidth="1"/>
    <col min="10" max="10" width="3.77734375" customWidth="1"/>
  </cols>
  <sheetData>
    <row r="1" spans="1:10" x14ac:dyDescent="0.3">
      <c r="A1" s="68"/>
      <c r="B1" s="68"/>
      <c r="C1" s="68"/>
      <c r="D1" s="68"/>
      <c r="E1" s="68"/>
      <c r="F1" s="68"/>
      <c r="G1" s="68"/>
      <c r="H1" s="68"/>
      <c r="I1" s="68"/>
      <c r="J1" s="68"/>
    </row>
    <row r="2" spans="1:10" x14ac:dyDescent="0.3">
      <c r="A2" s="68"/>
      <c r="B2" s="68"/>
      <c r="C2" s="68"/>
      <c r="D2" s="68"/>
      <c r="E2" s="68"/>
      <c r="F2" s="68"/>
      <c r="G2" s="68"/>
      <c r="H2" s="68"/>
      <c r="I2" s="68"/>
      <c r="J2" s="68"/>
    </row>
    <row r="3" spans="1:10" x14ac:dyDescent="0.3">
      <c r="A3" s="68"/>
      <c r="B3" s="68"/>
      <c r="C3" s="68"/>
      <c r="D3" s="68"/>
      <c r="E3" s="68"/>
      <c r="F3" s="68"/>
      <c r="G3" s="68"/>
      <c r="H3" s="68"/>
      <c r="I3" s="68"/>
      <c r="J3" s="68"/>
    </row>
    <row r="4" spans="1:10" ht="3" customHeight="1" x14ac:dyDescent="0.3">
      <c r="A4" s="69"/>
      <c r="B4" s="69"/>
      <c r="C4" s="69"/>
      <c r="D4" s="69"/>
      <c r="E4" s="69"/>
      <c r="F4" s="69"/>
      <c r="G4" s="69"/>
      <c r="H4" s="69"/>
      <c r="I4" s="69"/>
      <c r="J4" s="69"/>
    </row>
    <row r="5" spans="1:10" x14ac:dyDescent="0.3">
      <c r="A5" s="70"/>
      <c r="B5" s="70"/>
      <c r="C5" s="70"/>
      <c r="D5" s="70"/>
      <c r="E5" s="70"/>
      <c r="F5" s="70"/>
      <c r="G5" s="70"/>
      <c r="H5" s="70"/>
      <c r="I5" s="70"/>
      <c r="J5" s="70"/>
    </row>
    <row r="6" spans="1:10" ht="15" thickBot="1" x14ac:dyDescent="0.35">
      <c r="A6" s="70"/>
      <c r="B6" s="71" t="s">
        <v>322</v>
      </c>
      <c r="C6" s="72"/>
      <c r="D6" s="72"/>
      <c r="E6" s="72"/>
      <c r="F6" s="72"/>
      <c r="G6" s="72"/>
      <c r="H6" s="72"/>
      <c r="I6" s="72"/>
      <c r="J6" s="70"/>
    </row>
    <row r="7" spans="1:10" ht="14.4" customHeight="1" x14ac:dyDescent="0.3">
      <c r="A7" s="70"/>
      <c r="B7" s="70"/>
      <c r="C7" s="70"/>
      <c r="D7" s="70"/>
      <c r="E7" s="70"/>
      <c r="F7" s="70"/>
      <c r="G7" s="70"/>
      <c r="H7" s="70"/>
      <c r="I7" s="70"/>
      <c r="J7" s="70"/>
    </row>
    <row r="8" spans="1:10" ht="14.4" customHeight="1" x14ac:dyDescent="0.3">
      <c r="B8" s="86" t="s">
        <v>117</v>
      </c>
      <c r="C8" s="86" t="s">
        <v>118</v>
      </c>
      <c r="D8" s="86" t="s">
        <v>339</v>
      </c>
      <c r="E8" s="93" t="s">
        <v>119</v>
      </c>
      <c r="F8" s="93" t="s">
        <v>120</v>
      </c>
      <c r="G8" s="93" t="s">
        <v>121</v>
      </c>
      <c r="H8" s="93" t="s">
        <v>122</v>
      </c>
      <c r="I8" s="86" t="s">
        <v>123</v>
      </c>
    </row>
    <row r="9" spans="1:10" x14ac:dyDescent="0.3">
      <c r="B9" s="87" t="s">
        <v>124</v>
      </c>
      <c r="C9" s="88">
        <v>0</v>
      </c>
      <c r="D9" s="88"/>
      <c r="E9" s="88" t="str">
        <f>+MID(B9,7,4)</f>
        <v>lvl1</v>
      </c>
      <c r="F9" s="88" t="str">
        <f>IF(LEFT(E9,3)="lvl",MID(B9,12,1),"f")</f>
        <v>h</v>
      </c>
      <c r="G9" s="88" t="str">
        <f>+LEFT(B9,3)&amp;"."&amp;MID(B9,4,2)</f>
        <v>b02.00</v>
      </c>
      <c r="H9" s="88" t="str">
        <f>IF(LEFT(E9,3)="lvl",IF(OR(RIGHT(B9,2)="_1",RIGHT(B9,2)="_2"),MID(B9,14,LEN(B9)-15),
MID(B9,14,LEN(B9))),MID(B9,12,LEN(B9)))</f>
        <v>0010_row_nmbr</v>
      </c>
      <c r="I9" s="88"/>
    </row>
    <row r="10" spans="1:10" x14ac:dyDescent="0.3">
      <c r="B10" s="87" t="s">
        <v>125</v>
      </c>
      <c r="C10" s="88">
        <v>0</v>
      </c>
      <c r="D10" s="88"/>
      <c r="E10" s="88" t="str">
        <f t="shared" ref="E10:E73" si="0">+MID(B10,7,4)</f>
        <v>lvl1</v>
      </c>
      <c r="F10" s="88" t="str">
        <f t="shared" ref="F10:F73" si="1">IF(LEFT(E10,3)="lvl",MID(B10,12,1),"f")</f>
        <v>h</v>
      </c>
      <c r="G10" s="88" t="str">
        <f t="shared" ref="G10:G73" si="2">+LEFT(B10,3)&amp;"."&amp;MID(B10,4,2)</f>
        <v>b02.00</v>
      </c>
      <c r="H10" s="88" t="str">
        <f t="shared" ref="H10:H73" si="3">IF(LEFT(E10,3)="lvl",IF(OR(RIGHT(B10,2)="_1",RIGHT(B10,2)="_2"),MID(B10,14,LEN(B10)-15),
MID(B10,14,LEN(B10))),MID(B10,12,LEN(B10)))</f>
        <v>0030_uniq_id_knwn_cntrprty</v>
      </c>
      <c r="I10" s="88"/>
    </row>
    <row r="11" spans="1:10" x14ac:dyDescent="0.3">
      <c r="B11" s="87" t="s">
        <v>126</v>
      </c>
      <c r="C11" s="88">
        <v>0</v>
      </c>
      <c r="D11" s="88"/>
      <c r="E11" s="88" t="str">
        <f t="shared" si="0"/>
        <v>lvl1</v>
      </c>
      <c r="F11" s="88" t="str">
        <f t="shared" si="1"/>
        <v>h</v>
      </c>
      <c r="G11" s="88" t="str">
        <f t="shared" si="2"/>
        <v>b02.00</v>
      </c>
      <c r="H11" s="88" t="str">
        <f t="shared" si="3"/>
        <v>0040_typ_uniq_id_knwn_cntrprty</v>
      </c>
      <c r="I11" s="88"/>
    </row>
    <row r="12" spans="1:10" x14ac:dyDescent="0.3">
      <c r="B12" s="87" t="s">
        <v>127</v>
      </c>
      <c r="C12" s="88">
        <v>0</v>
      </c>
      <c r="D12" s="88"/>
      <c r="E12" s="88" t="str">
        <f t="shared" si="0"/>
        <v>lvl1</v>
      </c>
      <c r="F12" s="88" t="str">
        <f t="shared" si="1"/>
        <v>h</v>
      </c>
      <c r="G12" s="88" t="str">
        <f t="shared" si="2"/>
        <v>b02.00</v>
      </c>
      <c r="H12" s="88" t="str">
        <f t="shared" si="3"/>
        <v>0070_cntrct_crrncy</v>
      </c>
      <c r="I12" s="88"/>
    </row>
    <row r="13" spans="1:10" x14ac:dyDescent="0.3">
      <c r="B13" s="87" t="s">
        <v>128</v>
      </c>
      <c r="C13" s="88">
        <v>0</v>
      </c>
      <c r="D13" s="88"/>
      <c r="E13" s="88" t="str">
        <f t="shared" si="0"/>
        <v>lvl1</v>
      </c>
      <c r="F13" s="88" t="str">
        <f t="shared" si="1"/>
        <v>h</v>
      </c>
      <c r="G13" s="88" t="str">
        <f t="shared" si="2"/>
        <v>b02.00</v>
      </c>
      <c r="H13" s="88" t="str">
        <f t="shared" si="3"/>
        <v>0080_otstndng_prncpl_amnt</v>
      </c>
      <c r="I13" s="88"/>
    </row>
    <row r="14" spans="1:10" x14ac:dyDescent="0.3">
      <c r="B14" s="87" t="s">
        <v>129</v>
      </c>
      <c r="C14" s="88">
        <v>0</v>
      </c>
      <c r="D14" s="88"/>
      <c r="E14" s="88" t="str">
        <f t="shared" si="0"/>
        <v>lvl1</v>
      </c>
      <c r="F14" s="88" t="str">
        <f t="shared" si="1"/>
        <v>w</v>
      </c>
      <c r="G14" s="88" t="str">
        <f t="shared" si="2"/>
        <v>b02.00</v>
      </c>
      <c r="H14" s="88" t="str">
        <f t="shared" si="3"/>
        <v>0080_otstndng_prncpl_amnt</v>
      </c>
      <c r="I14" s="88"/>
    </row>
    <row r="15" spans="1:10" x14ac:dyDescent="0.3">
      <c r="B15" s="87" t="s">
        <v>130</v>
      </c>
      <c r="C15" s="88">
        <v>0</v>
      </c>
      <c r="D15" s="88"/>
      <c r="E15" s="88" t="str">
        <f t="shared" si="0"/>
        <v>lvl1</v>
      </c>
      <c r="F15" s="88" t="str">
        <f t="shared" si="1"/>
        <v>h</v>
      </c>
      <c r="G15" s="88" t="str">
        <f t="shared" si="2"/>
        <v>b02.00</v>
      </c>
      <c r="H15" s="88" t="str">
        <f t="shared" si="3"/>
        <v>0090_prtn_amnt_rprtng_entty</v>
      </c>
      <c r="I15" s="88"/>
    </row>
    <row r="16" spans="1:10" x14ac:dyDescent="0.3">
      <c r="B16" s="87" t="s">
        <v>131</v>
      </c>
      <c r="C16" s="88">
        <v>0</v>
      </c>
      <c r="D16" s="88"/>
      <c r="E16" s="88" t="str">
        <f t="shared" si="0"/>
        <v>lvl1</v>
      </c>
      <c r="F16" s="88" t="str">
        <f t="shared" si="1"/>
        <v>h</v>
      </c>
      <c r="G16" s="88" t="str">
        <f t="shared" si="2"/>
        <v>b02.00</v>
      </c>
      <c r="H16" s="88" t="str">
        <f t="shared" si="3"/>
        <v>0100_accrd_intrst_instrmnt</v>
      </c>
      <c r="I16" s="88"/>
    </row>
    <row r="17" spans="2:9" x14ac:dyDescent="0.3">
      <c r="B17" s="87" t="s">
        <v>132</v>
      </c>
      <c r="C17" s="88">
        <v>0</v>
      </c>
      <c r="D17" s="88"/>
      <c r="E17" s="88" t="str">
        <f t="shared" si="0"/>
        <v>lvl1</v>
      </c>
      <c r="F17" s="88" t="str">
        <f t="shared" si="1"/>
        <v>w</v>
      </c>
      <c r="G17" s="88" t="str">
        <f t="shared" si="2"/>
        <v>b02.00</v>
      </c>
      <c r="H17" s="88" t="str">
        <f t="shared" si="3"/>
        <v>0100_accrd_intrst_instrmnt</v>
      </c>
      <c r="I17" s="88"/>
    </row>
    <row r="18" spans="2:9" x14ac:dyDescent="0.3">
      <c r="B18" s="87" t="s">
        <v>133</v>
      </c>
      <c r="C18" s="88">
        <v>0</v>
      </c>
      <c r="D18" s="88"/>
      <c r="E18" s="88" t="str">
        <f t="shared" si="0"/>
        <v>lvl1</v>
      </c>
      <c r="F18" s="88" t="str">
        <f t="shared" si="1"/>
        <v>h</v>
      </c>
      <c r="G18" s="88" t="str">
        <f t="shared" si="2"/>
        <v>b02.00</v>
      </c>
      <c r="H18" s="88" t="str">
        <f t="shared" si="3"/>
        <v>0120_otstndng_amnt</v>
      </c>
      <c r="I18" s="88"/>
    </row>
    <row r="19" spans="2:9" x14ac:dyDescent="0.3">
      <c r="B19" s="87" t="s">
        <v>134</v>
      </c>
      <c r="C19" s="88">
        <v>8</v>
      </c>
      <c r="D19" s="88"/>
      <c r="E19" s="88" t="str">
        <f t="shared" si="0"/>
        <v>lvl1</v>
      </c>
      <c r="F19" s="88" t="str">
        <f t="shared" si="1"/>
        <v>w</v>
      </c>
      <c r="G19" s="88" t="str">
        <f t="shared" si="2"/>
        <v>b02.00</v>
      </c>
      <c r="H19" s="88" t="str">
        <f t="shared" si="3"/>
        <v>0120_otstndng_amnt</v>
      </c>
      <c r="I19" s="88"/>
    </row>
    <row r="20" spans="2:9" x14ac:dyDescent="0.3">
      <c r="B20" s="87" t="s">
        <v>135</v>
      </c>
      <c r="C20" s="88">
        <v>8</v>
      </c>
      <c r="D20" s="88"/>
      <c r="E20" s="88" t="str">
        <f t="shared" si="0"/>
        <v>lvl1</v>
      </c>
      <c r="F20" s="88" t="str">
        <f t="shared" si="1"/>
        <v>h</v>
      </c>
      <c r="G20" s="88" t="str">
        <f t="shared" si="2"/>
        <v>b02.00</v>
      </c>
      <c r="H20" s="88" t="str">
        <f t="shared" si="3"/>
        <v>0130_rlvnt_amnt_wdc</v>
      </c>
      <c r="I20" s="88"/>
    </row>
    <row r="21" spans="2:9" x14ac:dyDescent="0.3">
      <c r="B21" s="87" t="s">
        <v>136</v>
      </c>
      <c r="C21" s="88">
        <v>0</v>
      </c>
      <c r="D21" s="88"/>
      <c r="E21" s="88" t="str">
        <f t="shared" si="0"/>
        <v>lvl1</v>
      </c>
      <c r="F21" s="88" t="str">
        <f t="shared" si="1"/>
        <v>h</v>
      </c>
      <c r="G21" s="88" t="str">
        <f t="shared" si="2"/>
        <v>b02.00</v>
      </c>
      <c r="H21" s="88" t="str">
        <f t="shared" si="3"/>
        <v>0140_ntr_lblty</v>
      </c>
      <c r="I21" s="88"/>
    </row>
    <row r="22" spans="2:9" x14ac:dyDescent="0.3">
      <c r="B22" s="87" t="s">
        <v>137</v>
      </c>
      <c r="C22" s="88">
        <v>0</v>
      </c>
      <c r="D22" s="88"/>
      <c r="E22" s="88" t="str">
        <f t="shared" si="0"/>
        <v>lvl1</v>
      </c>
      <c r="F22" s="88" t="str">
        <f t="shared" si="1"/>
        <v>h</v>
      </c>
      <c r="G22" s="88" t="str">
        <f t="shared" si="2"/>
        <v>b02.00</v>
      </c>
      <c r="H22" s="88" t="str">
        <f t="shared" si="3"/>
        <v>0141_ntr_lblty_othr</v>
      </c>
      <c r="I22" s="88"/>
    </row>
    <row r="23" spans="2:9" x14ac:dyDescent="0.3">
      <c r="B23" s="87" t="s">
        <v>138</v>
      </c>
      <c r="C23" s="88">
        <v>0</v>
      </c>
      <c r="D23" s="88"/>
      <c r="E23" s="88" t="str">
        <f t="shared" si="0"/>
        <v>lvl1</v>
      </c>
      <c r="F23" s="88" t="str">
        <f t="shared" si="1"/>
        <v>h</v>
      </c>
      <c r="G23" s="88" t="str">
        <f t="shared" si="2"/>
        <v>b02.00</v>
      </c>
      <c r="H23" s="88" t="str">
        <f t="shared" si="3"/>
        <v>0160_rank_insolv</v>
      </c>
      <c r="I23" s="88"/>
    </row>
    <row r="24" spans="2:9" x14ac:dyDescent="0.3">
      <c r="B24" s="87" t="s">
        <v>139</v>
      </c>
      <c r="C24" s="88">
        <v>0</v>
      </c>
      <c r="D24" s="88"/>
      <c r="E24" s="88" t="str">
        <f t="shared" si="0"/>
        <v>lvl1</v>
      </c>
      <c r="F24" s="88" t="str">
        <f t="shared" si="1"/>
        <v>h</v>
      </c>
      <c r="G24" s="88" t="str">
        <f t="shared" si="2"/>
        <v>b02.00</v>
      </c>
      <c r="H24" s="88" t="str">
        <f t="shared" si="3"/>
        <v>0162_bail_in_cascade</v>
      </c>
      <c r="I24" s="88"/>
    </row>
    <row r="25" spans="2:9" x14ac:dyDescent="0.3">
      <c r="B25" s="87" t="s">
        <v>140</v>
      </c>
      <c r="C25" s="88">
        <v>0</v>
      </c>
      <c r="D25" s="88"/>
      <c r="E25" s="88" t="str">
        <f t="shared" si="0"/>
        <v>lvl1</v>
      </c>
      <c r="F25" s="88" t="str">
        <f t="shared" si="1"/>
        <v>h</v>
      </c>
      <c r="G25" s="88" t="str">
        <f t="shared" si="2"/>
        <v>b02.00</v>
      </c>
      <c r="H25" s="88" t="str">
        <f t="shared" si="3"/>
        <v>0180_dt_nxt_intrst_pymnt</v>
      </c>
      <c r="I25" s="88"/>
    </row>
    <row r="26" spans="2:9" x14ac:dyDescent="0.3">
      <c r="B26" s="87" t="s">
        <v>141</v>
      </c>
      <c r="C26" s="88">
        <v>0</v>
      </c>
      <c r="D26" s="88"/>
      <c r="E26" s="88" t="str">
        <f t="shared" si="0"/>
        <v>lvl1</v>
      </c>
      <c r="F26" s="88" t="str">
        <f t="shared" si="1"/>
        <v>w</v>
      </c>
      <c r="G26" s="88" t="str">
        <f t="shared" si="2"/>
        <v>b02.00</v>
      </c>
      <c r="H26" s="88" t="str">
        <f t="shared" si="3"/>
        <v>0180_dt_nxt_intrst_pymnt</v>
      </c>
      <c r="I26" s="88"/>
    </row>
    <row r="27" spans="2:9" x14ac:dyDescent="0.3">
      <c r="B27" s="87" t="s">
        <v>142</v>
      </c>
      <c r="C27" s="88">
        <v>0</v>
      </c>
      <c r="D27" s="88"/>
      <c r="E27" s="88" t="str">
        <f t="shared" si="0"/>
        <v>lvl1</v>
      </c>
      <c r="F27" s="88" t="str">
        <f t="shared" si="1"/>
        <v>w</v>
      </c>
      <c r="G27" s="88" t="str">
        <f t="shared" si="2"/>
        <v>b02.00</v>
      </c>
      <c r="H27" s="88" t="str">
        <f t="shared" si="3"/>
        <v>0200_dt_erlst_rdmptn</v>
      </c>
      <c r="I27" s="88"/>
    </row>
    <row r="28" spans="2:9" x14ac:dyDescent="0.3">
      <c r="B28" s="87" t="s">
        <v>143</v>
      </c>
      <c r="C28" s="88">
        <v>0</v>
      </c>
      <c r="D28" s="88"/>
      <c r="E28" s="88" t="str">
        <f t="shared" si="0"/>
        <v>lvl1</v>
      </c>
      <c r="F28" s="88" t="str">
        <f t="shared" si="1"/>
        <v>h</v>
      </c>
      <c r="G28" s="88" t="str">
        <f t="shared" si="2"/>
        <v>b02.00</v>
      </c>
      <c r="H28" s="88" t="str">
        <f t="shared" si="3"/>
        <v>0210_dt_lgl_fnl_mtrty</v>
      </c>
      <c r="I28" s="88"/>
    </row>
    <row r="29" spans="2:9" x14ac:dyDescent="0.3">
      <c r="B29" s="87" t="s">
        <v>144</v>
      </c>
      <c r="C29" s="88">
        <v>0</v>
      </c>
      <c r="D29" s="103" t="s">
        <v>346</v>
      </c>
      <c r="E29" s="88" t="str">
        <f t="shared" si="0"/>
        <v>lvl1</v>
      </c>
      <c r="F29" s="88" t="str">
        <f t="shared" si="1"/>
        <v>h</v>
      </c>
      <c r="G29" s="88" t="str">
        <f t="shared" si="2"/>
        <v>b02.00</v>
      </c>
      <c r="H29" s="88" t="str">
        <f t="shared" si="3"/>
        <v>0220_governing_law</v>
      </c>
      <c r="I29" s="88"/>
    </row>
    <row r="30" spans="2:9" x14ac:dyDescent="0.3">
      <c r="B30" s="87" t="s">
        <v>145</v>
      </c>
      <c r="C30" s="88">
        <v>0</v>
      </c>
      <c r="D30" s="88"/>
      <c r="E30" s="88" t="str">
        <f t="shared" si="0"/>
        <v>lvl1</v>
      </c>
      <c r="F30" s="88" t="str">
        <f t="shared" si="1"/>
        <v>h</v>
      </c>
      <c r="G30" s="88" t="str">
        <f t="shared" si="2"/>
        <v>b02.00</v>
      </c>
      <c r="H30" s="88" t="str">
        <f t="shared" si="3"/>
        <v>0250_strctrd_prdct</v>
      </c>
      <c r="I30" s="88"/>
    </row>
    <row r="31" spans="2:9" x14ac:dyDescent="0.3">
      <c r="B31" s="87" t="s">
        <v>146</v>
      </c>
      <c r="C31" s="88">
        <v>0</v>
      </c>
      <c r="D31" s="88"/>
      <c r="E31" s="88" t="str">
        <f t="shared" si="0"/>
        <v>lvl1</v>
      </c>
      <c r="F31" s="88" t="str">
        <f t="shared" si="1"/>
        <v>w</v>
      </c>
      <c r="G31" s="88" t="str">
        <f t="shared" si="2"/>
        <v>b02.00</v>
      </c>
      <c r="H31" s="88" t="str">
        <f t="shared" si="3"/>
        <v>0260_grntd_min_amnt_strctrd_prdct</v>
      </c>
      <c r="I31" s="88"/>
    </row>
    <row r="32" spans="2:9" x14ac:dyDescent="0.3">
      <c r="B32" s="87" t="s">
        <v>147</v>
      </c>
      <c r="C32" s="88">
        <v>0</v>
      </c>
      <c r="D32" s="88"/>
      <c r="E32" s="88" t="str">
        <f t="shared" si="0"/>
        <v>lvl1</v>
      </c>
      <c r="F32" s="88" t="str">
        <f t="shared" si="1"/>
        <v>h</v>
      </c>
      <c r="G32" s="88" t="str">
        <f t="shared" si="2"/>
        <v>b02.00</v>
      </c>
      <c r="H32" s="88" t="str">
        <f t="shared" si="3"/>
        <v>0270_fv_amnt_strctrd_prdct</v>
      </c>
      <c r="I32" s="88"/>
    </row>
    <row r="33" spans="2:9" x14ac:dyDescent="0.3">
      <c r="B33" s="87" t="s">
        <v>148</v>
      </c>
      <c r="C33" s="88">
        <v>0</v>
      </c>
      <c r="D33" s="88"/>
      <c r="E33" s="88" t="str">
        <f t="shared" si="0"/>
        <v>lvl1</v>
      </c>
      <c r="F33" s="88" t="str">
        <f t="shared" si="1"/>
        <v>h</v>
      </c>
      <c r="G33" s="88" t="str">
        <f t="shared" si="2"/>
        <v>b02.00</v>
      </c>
      <c r="H33" s="88" t="str">
        <f t="shared" si="3"/>
        <v>0300_amnt_cvrd_elgbl_dpsts</v>
      </c>
      <c r="I33" s="88"/>
    </row>
    <row r="34" spans="2:9" x14ac:dyDescent="0.3">
      <c r="B34" s="87" t="s">
        <v>149</v>
      </c>
      <c r="C34" s="88">
        <v>0</v>
      </c>
      <c r="D34" s="88"/>
      <c r="E34" s="88" t="str">
        <f t="shared" si="0"/>
        <v>lvl1</v>
      </c>
      <c r="F34" s="88" t="str">
        <f t="shared" si="1"/>
        <v>h</v>
      </c>
      <c r="G34" s="88" t="str">
        <f t="shared" si="2"/>
        <v>b02.00</v>
      </c>
      <c r="H34" s="88" t="str">
        <f t="shared" si="3"/>
        <v>0310_flg_clltrl_agrmnts</v>
      </c>
      <c r="I34" s="88"/>
    </row>
    <row r="35" spans="2:9" x14ac:dyDescent="0.3">
      <c r="B35" s="87" t="s">
        <v>150</v>
      </c>
      <c r="C35" s="88">
        <v>0</v>
      </c>
      <c r="D35" s="88"/>
      <c r="E35" s="88" t="str">
        <f t="shared" si="0"/>
        <v>lvl1</v>
      </c>
      <c r="F35" s="88" t="str">
        <f t="shared" si="1"/>
        <v>h</v>
      </c>
      <c r="G35" s="88" t="str">
        <f t="shared" si="2"/>
        <v>b02.00</v>
      </c>
      <c r="H35" s="88" t="str">
        <f t="shared" si="3"/>
        <v>0320_amnt_clltrl</v>
      </c>
      <c r="I35" s="88"/>
    </row>
    <row r="36" spans="2:9" x14ac:dyDescent="0.3">
      <c r="B36" s="87" t="s">
        <v>151</v>
      </c>
      <c r="C36" s="88">
        <v>0</v>
      </c>
      <c r="D36" s="88"/>
      <c r="E36" s="88" t="str">
        <f t="shared" si="0"/>
        <v>lvl1</v>
      </c>
      <c r="F36" s="88" t="str">
        <f t="shared" si="1"/>
        <v>h</v>
      </c>
      <c r="G36" s="88" t="str">
        <f t="shared" si="2"/>
        <v>b02.00</v>
      </c>
      <c r="H36" s="88" t="str">
        <f t="shared" si="3"/>
        <v>0330_amnt_unclltrlzd</v>
      </c>
      <c r="I36" s="88"/>
    </row>
    <row r="37" spans="2:9" x14ac:dyDescent="0.3">
      <c r="B37" s="87" t="s">
        <v>152</v>
      </c>
      <c r="C37" s="88">
        <v>0</v>
      </c>
      <c r="D37" s="88"/>
      <c r="E37" s="88" t="str">
        <f t="shared" si="0"/>
        <v>lvl1</v>
      </c>
      <c r="F37" s="88" t="str">
        <f t="shared" si="1"/>
        <v>h</v>
      </c>
      <c r="G37" s="88" t="str">
        <f t="shared" si="2"/>
        <v>b02.00</v>
      </c>
      <c r="H37" s="88" t="str">
        <f t="shared" si="3"/>
        <v>0350_typ_clltrl</v>
      </c>
      <c r="I37" s="88"/>
    </row>
    <row r="38" spans="2:9" x14ac:dyDescent="0.3">
      <c r="B38" s="87" t="s">
        <v>153</v>
      </c>
      <c r="C38" s="88">
        <v>0</v>
      </c>
      <c r="D38" s="88"/>
      <c r="E38" s="88" t="str">
        <f t="shared" si="0"/>
        <v>lvl1</v>
      </c>
      <c r="F38" s="88" t="str">
        <f t="shared" si="1"/>
        <v>h</v>
      </c>
      <c r="G38" s="88" t="str">
        <f t="shared" si="2"/>
        <v>b02.00</v>
      </c>
      <c r="H38" s="88" t="str">
        <f t="shared" si="3"/>
        <v>0351_typ_clltrl_othr</v>
      </c>
      <c r="I38" s="88"/>
    </row>
    <row r="39" spans="2:9" x14ac:dyDescent="0.3">
      <c r="B39" s="87" t="s">
        <v>154</v>
      </c>
      <c r="C39" s="88">
        <v>0</v>
      </c>
      <c r="D39" s="88"/>
      <c r="E39" s="88" t="str">
        <f t="shared" si="0"/>
        <v>lvl1</v>
      </c>
      <c r="F39" s="88" t="str">
        <f t="shared" si="1"/>
        <v>h</v>
      </c>
      <c r="G39" s="88" t="str">
        <f t="shared" si="2"/>
        <v>b02.00</v>
      </c>
      <c r="H39" s="88" t="str">
        <f t="shared" si="3"/>
        <v>0370_amnt_scrty_eur</v>
      </c>
      <c r="I39" s="88"/>
    </row>
    <row r="40" spans="2:9" x14ac:dyDescent="0.3">
      <c r="B40" s="87" t="s">
        <v>155</v>
      </c>
      <c r="C40" s="88">
        <v>0</v>
      </c>
      <c r="D40" s="88"/>
      <c r="E40" s="88" t="str">
        <f t="shared" si="0"/>
        <v>lvl1</v>
      </c>
      <c r="F40" s="88" t="str">
        <f t="shared" si="1"/>
        <v>w</v>
      </c>
      <c r="G40" s="88" t="str">
        <f t="shared" si="2"/>
        <v>b02.00</v>
      </c>
      <c r="H40" s="88" t="str">
        <f t="shared" si="3"/>
        <v>0370_amnt_scrty_eur</v>
      </c>
      <c r="I40" s="88"/>
    </row>
    <row r="41" spans="2:9" x14ac:dyDescent="0.3">
      <c r="B41" s="87" t="s">
        <v>156</v>
      </c>
      <c r="C41" s="88">
        <v>0</v>
      </c>
      <c r="D41" s="88"/>
      <c r="E41" s="88" t="str">
        <f t="shared" si="0"/>
        <v>lvl1</v>
      </c>
      <c r="F41" s="88" t="str">
        <f t="shared" si="1"/>
        <v>h</v>
      </c>
      <c r="G41" s="88" t="str">
        <f t="shared" si="2"/>
        <v>b02.00</v>
      </c>
      <c r="H41" s="88" t="str">
        <f t="shared" si="3"/>
        <v>0390_nmbr_scrts_not_rprtng_entty</v>
      </c>
      <c r="I41" s="88"/>
    </row>
    <row r="42" spans="2:9" x14ac:dyDescent="0.3">
      <c r="B42" s="87" t="s">
        <v>157</v>
      </c>
      <c r="C42" s="88">
        <v>8</v>
      </c>
      <c r="D42" s="88"/>
      <c r="E42" s="88" t="str">
        <f t="shared" si="0"/>
        <v>lvl1</v>
      </c>
      <c r="F42" s="88" t="str">
        <f t="shared" si="1"/>
        <v>h</v>
      </c>
      <c r="G42" s="88" t="str">
        <f t="shared" si="2"/>
        <v>b02.00</v>
      </c>
      <c r="H42" s="88" t="str">
        <f t="shared" si="3"/>
        <v>0391_nmbr_scrts_rprtng_entty</v>
      </c>
      <c r="I42" s="88"/>
    </row>
    <row r="43" spans="2:9" x14ac:dyDescent="0.3">
      <c r="B43" s="87" t="s">
        <v>158</v>
      </c>
      <c r="C43" s="88">
        <v>0</v>
      </c>
      <c r="D43" s="88"/>
      <c r="E43" s="88" t="str">
        <f t="shared" si="0"/>
        <v>lvl1</v>
      </c>
      <c r="F43" s="88" t="str">
        <f t="shared" si="1"/>
        <v>h</v>
      </c>
      <c r="G43" s="88" t="str">
        <f t="shared" si="2"/>
        <v>b02.00</v>
      </c>
      <c r="H43" s="88" t="str">
        <f t="shared" si="3"/>
        <v>0400_accrd_intrst_scrty</v>
      </c>
      <c r="I43" s="88"/>
    </row>
    <row r="44" spans="2:9" x14ac:dyDescent="0.3">
      <c r="B44" s="87" t="s">
        <v>159</v>
      </c>
      <c r="C44" s="88">
        <v>0</v>
      </c>
      <c r="D44" s="88"/>
      <c r="E44" s="88" t="str">
        <f t="shared" si="0"/>
        <v>lvl1</v>
      </c>
      <c r="F44" s="88" t="str">
        <f t="shared" si="1"/>
        <v>w</v>
      </c>
      <c r="G44" s="88" t="str">
        <f t="shared" si="2"/>
        <v>b02.00</v>
      </c>
      <c r="H44" s="88" t="str">
        <f t="shared" si="3"/>
        <v>0400_accrd_intrst_scrty</v>
      </c>
      <c r="I44" s="88"/>
    </row>
    <row r="45" spans="2:9" x14ac:dyDescent="0.3">
      <c r="B45" s="87" t="s">
        <v>160</v>
      </c>
      <c r="C45" s="88">
        <v>0</v>
      </c>
      <c r="D45" s="88"/>
      <c r="E45" s="88" t="str">
        <f t="shared" si="0"/>
        <v>lvl1</v>
      </c>
      <c r="F45" s="88" t="str">
        <f t="shared" si="1"/>
        <v>w</v>
      </c>
      <c r="G45" s="88" t="str">
        <f t="shared" si="2"/>
        <v>b02.00</v>
      </c>
      <c r="H45" s="88" t="str">
        <f t="shared" si="3"/>
        <v>0610_crryng_amnt_ifrs</v>
      </c>
      <c r="I45" s="88"/>
    </row>
    <row r="46" spans="2:9" x14ac:dyDescent="0.3">
      <c r="B46" s="87" t="s">
        <v>161</v>
      </c>
      <c r="C46" s="88">
        <v>-9999</v>
      </c>
      <c r="D46" s="88"/>
      <c r="E46" s="88" t="str">
        <f t="shared" si="0"/>
        <v>lvl1</v>
      </c>
      <c r="F46" s="88" t="str">
        <f t="shared" si="1"/>
        <v>h</v>
      </c>
      <c r="G46" s="88" t="str">
        <f t="shared" si="2"/>
        <v>b02.00</v>
      </c>
      <c r="H46" s="88" t="str">
        <f t="shared" si="3"/>
        <v>5000_flg_shrhldr_not_rsltn_grp</v>
      </c>
      <c r="I46" s="88"/>
    </row>
    <row r="47" spans="2:9" x14ac:dyDescent="0.3">
      <c r="B47" s="87" t="s">
        <v>162</v>
      </c>
      <c r="C47" s="88">
        <v>-9999</v>
      </c>
      <c r="D47" s="88"/>
      <c r="E47" s="88" t="str">
        <f t="shared" si="0"/>
        <v>lvl1</v>
      </c>
      <c r="F47" s="88" t="str">
        <f t="shared" si="1"/>
        <v>h</v>
      </c>
      <c r="G47" s="88" t="str">
        <f t="shared" si="2"/>
        <v>b02.00</v>
      </c>
      <c r="H47" s="88" t="str">
        <f t="shared" si="3"/>
        <v>5010_flg_art21_7a_srmr</v>
      </c>
      <c r="I47" s="88"/>
    </row>
    <row r="48" spans="2:9" x14ac:dyDescent="0.3">
      <c r="B48" s="87" t="s">
        <v>163</v>
      </c>
      <c r="C48" s="88">
        <v>0</v>
      </c>
      <c r="D48" s="88"/>
      <c r="E48" s="88" t="str">
        <f t="shared" si="0"/>
        <v>lvl2</v>
      </c>
      <c r="F48" s="88" t="str">
        <f t="shared" si="1"/>
        <v>h</v>
      </c>
      <c r="G48" s="88" t="str">
        <f t="shared" si="2"/>
        <v>b02.00</v>
      </c>
      <c r="H48" s="88" t="str">
        <f t="shared" si="3"/>
        <v>0030_uniq_id_knwn_cntrprty</v>
      </c>
      <c r="I48" s="88"/>
    </row>
    <row r="49" spans="2:9" x14ac:dyDescent="0.3">
      <c r="B49" s="87" t="s">
        <v>164</v>
      </c>
      <c r="C49" s="88">
        <v>0</v>
      </c>
      <c r="D49" s="88"/>
      <c r="E49" s="88" t="str">
        <f t="shared" si="0"/>
        <v>lvl2</v>
      </c>
      <c r="F49" s="88" t="str">
        <f t="shared" si="1"/>
        <v>h</v>
      </c>
      <c r="G49" s="88" t="str">
        <f t="shared" si="2"/>
        <v>b02.00</v>
      </c>
      <c r="H49" s="88" t="str">
        <f t="shared" si="3"/>
        <v>0070_cntrct_crrncy</v>
      </c>
      <c r="I49" s="88"/>
    </row>
    <row r="50" spans="2:9" x14ac:dyDescent="0.3">
      <c r="B50" s="87" t="s">
        <v>165</v>
      </c>
      <c r="C50" s="88">
        <v>0</v>
      </c>
      <c r="D50" s="88"/>
      <c r="E50" s="88" t="str">
        <f t="shared" si="0"/>
        <v>lvl2</v>
      </c>
      <c r="F50" s="88" t="str">
        <f t="shared" si="1"/>
        <v>w</v>
      </c>
      <c r="G50" s="88" t="str">
        <f t="shared" si="2"/>
        <v>b02.00</v>
      </c>
      <c r="H50" s="88" t="str">
        <f t="shared" si="3"/>
        <v>0080_otstndng_prncpl_amnt</v>
      </c>
      <c r="I50" s="88"/>
    </row>
    <row r="51" spans="2:9" x14ac:dyDescent="0.3">
      <c r="B51" s="87" t="s">
        <v>166</v>
      </c>
      <c r="C51" s="88">
        <v>0</v>
      </c>
      <c r="D51" s="88"/>
      <c r="E51" s="88" t="str">
        <f t="shared" si="0"/>
        <v>lvl2</v>
      </c>
      <c r="F51" s="88" t="str">
        <f t="shared" si="1"/>
        <v>h</v>
      </c>
      <c r="G51" s="88" t="str">
        <f t="shared" si="2"/>
        <v>b02.00</v>
      </c>
      <c r="H51" s="88" t="str">
        <f t="shared" si="3"/>
        <v>0090_prtn_amnt_rprtng_entty</v>
      </c>
      <c r="I51" s="88"/>
    </row>
    <row r="52" spans="2:9" x14ac:dyDescent="0.3">
      <c r="B52" s="87" t="s">
        <v>167</v>
      </c>
      <c r="C52" s="88">
        <v>0</v>
      </c>
      <c r="D52" s="88"/>
      <c r="E52" s="88" t="str">
        <f t="shared" si="0"/>
        <v>lvl2</v>
      </c>
      <c r="F52" s="88" t="str">
        <f t="shared" si="1"/>
        <v>w</v>
      </c>
      <c r="G52" s="88" t="str">
        <f t="shared" si="2"/>
        <v>b02.00</v>
      </c>
      <c r="H52" s="88" t="str">
        <f t="shared" si="3"/>
        <v>0100_accrd_intrst_instrmnt</v>
      </c>
      <c r="I52" s="88"/>
    </row>
    <row r="53" spans="2:9" x14ac:dyDescent="0.3">
      <c r="B53" s="87" t="s">
        <v>168</v>
      </c>
      <c r="C53" s="88">
        <v>0</v>
      </c>
      <c r="D53" s="88"/>
      <c r="E53" s="88" t="str">
        <f t="shared" si="0"/>
        <v>lvl2</v>
      </c>
      <c r="F53" s="88" t="str">
        <f t="shared" si="1"/>
        <v>w</v>
      </c>
      <c r="G53" s="88" t="str">
        <f t="shared" si="2"/>
        <v>b02.00</v>
      </c>
      <c r="H53" s="88" t="str">
        <f t="shared" si="3"/>
        <v>0110_applcbl_fees_charges</v>
      </c>
      <c r="I53" s="88"/>
    </row>
    <row r="54" spans="2:9" x14ac:dyDescent="0.3">
      <c r="B54" s="87" t="s">
        <v>169</v>
      </c>
      <c r="C54" s="88">
        <v>8</v>
      </c>
      <c r="D54" s="88"/>
      <c r="E54" s="88" t="str">
        <f t="shared" si="0"/>
        <v>lvl2</v>
      </c>
      <c r="F54" s="88" t="str">
        <f t="shared" si="1"/>
        <v>h</v>
      </c>
      <c r="G54" s="88" t="str">
        <f t="shared" si="2"/>
        <v>b02.00</v>
      </c>
      <c r="H54" s="88" t="str">
        <f t="shared" si="3"/>
        <v>0120_otstndng_amnt</v>
      </c>
      <c r="I54" s="88"/>
    </row>
    <row r="55" spans="2:9" x14ac:dyDescent="0.3">
      <c r="B55" s="87" t="s">
        <v>170</v>
      </c>
      <c r="C55" s="88">
        <v>0</v>
      </c>
      <c r="D55" s="88"/>
      <c r="E55" s="88" t="str">
        <f t="shared" si="0"/>
        <v>lvl2</v>
      </c>
      <c r="F55" s="88" t="str">
        <f t="shared" si="1"/>
        <v>h</v>
      </c>
      <c r="G55" s="88" t="str">
        <f t="shared" si="2"/>
        <v>b02.00</v>
      </c>
      <c r="H55" s="88" t="str">
        <f t="shared" si="3"/>
        <v>0120_otstndng_amnt</v>
      </c>
      <c r="I55" s="88"/>
    </row>
    <row r="56" spans="2:9" x14ac:dyDescent="0.3">
      <c r="B56" s="87" t="s">
        <v>171</v>
      </c>
      <c r="C56" s="88">
        <v>0</v>
      </c>
      <c r="D56" s="88"/>
      <c r="E56" s="88" t="str">
        <f t="shared" si="0"/>
        <v>lvl2</v>
      </c>
      <c r="F56" s="88" t="str">
        <f t="shared" si="1"/>
        <v>h</v>
      </c>
      <c r="G56" s="88" t="str">
        <f t="shared" si="2"/>
        <v>b02.00</v>
      </c>
      <c r="H56" s="88" t="str">
        <f t="shared" si="3"/>
        <v>0130_rlvnt_amnt_wdc</v>
      </c>
      <c r="I56" s="88"/>
    </row>
    <row r="57" spans="2:9" x14ac:dyDescent="0.3">
      <c r="B57" s="87" t="s">
        <v>172</v>
      </c>
      <c r="C57" s="88">
        <v>0</v>
      </c>
      <c r="D57" s="88"/>
      <c r="E57" s="88" t="str">
        <f t="shared" si="0"/>
        <v>lvl2</v>
      </c>
      <c r="F57" s="88" t="str">
        <f t="shared" si="1"/>
        <v>h</v>
      </c>
      <c r="G57" s="88" t="str">
        <f t="shared" si="2"/>
        <v>b02.00</v>
      </c>
      <c r="H57" s="88" t="str">
        <f t="shared" si="3"/>
        <v>0130_rlvnt_amnt_wdc</v>
      </c>
      <c r="I57" s="88"/>
    </row>
    <row r="58" spans="2:9" x14ac:dyDescent="0.3">
      <c r="B58" s="87" t="s">
        <v>173</v>
      </c>
      <c r="C58" s="88">
        <v>4</v>
      </c>
      <c r="D58" s="88"/>
      <c r="E58" s="88" t="str">
        <f t="shared" si="0"/>
        <v>lvl2</v>
      </c>
      <c r="F58" s="88" t="str">
        <f t="shared" si="1"/>
        <v>h</v>
      </c>
      <c r="G58" s="88" t="str">
        <f t="shared" si="2"/>
        <v>b02.00</v>
      </c>
      <c r="H58" s="88" t="str">
        <f t="shared" si="3"/>
        <v>0140_ntr_lblty</v>
      </c>
      <c r="I58" s="88"/>
    </row>
    <row r="59" spans="2:9" x14ac:dyDescent="0.3">
      <c r="B59" s="87" t="s">
        <v>174</v>
      </c>
      <c r="C59" s="88">
        <v>0</v>
      </c>
      <c r="D59" s="88"/>
      <c r="E59" s="88" t="str">
        <f t="shared" si="0"/>
        <v>lvl2</v>
      </c>
      <c r="F59" s="88" t="str">
        <f t="shared" si="1"/>
        <v>h</v>
      </c>
      <c r="G59" s="88" t="str">
        <f t="shared" si="2"/>
        <v>b02.00</v>
      </c>
      <c r="H59" s="88" t="str">
        <f t="shared" si="3"/>
        <v>0160_rank_insolv</v>
      </c>
      <c r="I59" s="88"/>
    </row>
    <row r="60" spans="2:9" x14ac:dyDescent="0.3">
      <c r="B60" s="87" t="s">
        <v>175</v>
      </c>
      <c r="C60" s="88">
        <v>0</v>
      </c>
      <c r="D60" s="88"/>
      <c r="E60" s="88" t="str">
        <f t="shared" si="0"/>
        <v>lvl2</v>
      </c>
      <c r="F60" s="88" t="str">
        <f t="shared" si="1"/>
        <v>h</v>
      </c>
      <c r="G60" s="88" t="str">
        <f t="shared" si="2"/>
        <v>b02.00</v>
      </c>
      <c r="H60" s="88" t="str">
        <f t="shared" si="3"/>
        <v>0170_dt_incptn</v>
      </c>
      <c r="I60" s="88"/>
    </row>
    <row r="61" spans="2:9" x14ac:dyDescent="0.3">
      <c r="B61" s="87" t="s">
        <v>176</v>
      </c>
      <c r="C61" s="88">
        <v>0</v>
      </c>
      <c r="D61" s="88"/>
      <c r="E61" s="88" t="str">
        <f t="shared" si="0"/>
        <v>lvl2</v>
      </c>
      <c r="F61" s="88" t="str">
        <f t="shared" si="1"/>
        <v>h</v>
      </c>
      <c r="G61" s="88" t="str">
        <f t="shared" si="2"/>
        <v>b02.00</v>
      </c>
      <c r="H61" s="88" t="str">
        <f t="shared" si="3"/>
        <v>0170_dt_incptn</v>
      </c>
      <c r="I61" s="88"/>
    </row>
    <row r="62" spans="2:9" x14ac:dyDescent="0.3">
      <c r="B62" s="87" t="s">
        <v>177</v>
      </c>
      <c r="C62" s="88">
        <v>8</v>
      </c>
      <c r="D62" s="88"/>
      <c r="E62" s="88" t="str">
        <f t="shared" si="0"/>
        <v>lvl2</v>
      </c>
      <c r="F62" s="88" t="str">
        <f t="shared" si="1"/>
        <v>h</v>
      </c>
      <c r="G62" s="88" t="str">
        <f t="shared" si="2"/>
        <v>b02.00</v>
      </c>
      <c r="H62" s="88" t="str">
        <f t="shared" si="3"/>
        <v>0180_dt_nxt_intrst_pymnt</v>
      </c>
      <c r="I62" s="88"/>
    </row>
    <row r="63" spans="2:9" x14ac:dyDescent="0.3">
      <c r="B63" s="87" t="s">
        <v>178</v>
      </c>
      <c r="C63" s="88">
        <v>-9999</v>
      </c>
      <c r="D63" s="88"/>
      <c r="E63" s="88" t="str">
        <f t="shared" si="0"/>
        <v>lvl2</v>
      </c>
      <c r="F63" s="88" t="str">
        <f t="shared" si="1"/>
        <v>h</v>
      </c>
      <c r="G63" s="88" t="str">
        <f t="shared" si="2"/>
        <v>b02.00</v>
      </c>
      <c r="H63" s="88" t="str">
        <f t="shared" si="3"/>
        <v>0180_dt_nxt_intrst_pymnt</v>
      </c>
      <c r="I63" s="88"/>
    </row>
    <row r="64" spans="2:9" x14ac:dyDescent="0.3">
      <c r="B64" s="87" t="s">
        <v>179</v>
      </c>
      <c r="C64" s="88">
        <v>0</v>
      </c>
      <c r="D64" s="88"/>
      <c r="E64" s="88" t="str">
        <f t="shared" si="0"/>
        <v>lvl2</v>
      </c>
      <c r="F64" s="88" t="str">
        <f t="shared" si="1"/>
        <v>h</v>
      </c>
      <c r="G64" s="88" t="str">
        <f t="shared" si="2"/>
        <v>b02.00</v>
      </c>
      <c r="H64" s="88" t="str">
        <f t="shared" si="3"/>
        <v>0200_dt_erlst_rdmptn</v>
      </c>
      <c r="I64" s="88"/>
    </row>
    <row r="65" spans="2:9" x14ac:dyDescent="0.3">
      <c r="B65" s="87" t="s">
        <v>180</v>
      </c>
      <c r="C65" s="88">
        <v>-9999</v>
      </c>
      <c r="D65" s="88"/>
      <c r="E65" s="88" t="str">
        <f t="shared" si="0"/>
        <v>lvl2</v>
      </c>
      <c r="F65" s="88" t="str">
        <f t="shared" si="1"/>
        <v>h</v>
      </c>
      <c r="G65" s="88" t="str">
        <f t="shared" si="2"/>
        <v>b02.00</v>
      </c>
      <c r="H65" s="88" t="str">
        <f t="shared" si="3"/>
        <v>0200_dt_erlst_rdmptn</v>
      </c>
      <c r="I65" s="88"/>
    </row>
    <row r="66" spans="2:9" x14ac:dyDescent="0.3">
      <c r="B66" s="87" t="s">
        <v>181</v>
      </c>
      <c r="C66" s="88">
        <v>0</v>
      </c>
      <c r="D66" s="88"/>
      <c r="E66" s="88" t="str">
        <f t="shared" si="0"/>
        <v>lvl2</v>
      </c>
      <c r="F66" s="88" t="str">
        <f t="shared" si="1"/>
        <v>h</v>
      </c>
      <c r="G66" s="88" t="str">
        <f t="shared" si="2"/>
        <v>b02.00</v>
      </c>
      <c r="H66" s="88" t="str">
        <f t="shared" si="3"/>
        <v>0210_dt_lgl_fnl_mtrty</v>
      </c>
      <c r="I66" s="88"/>
    </row>
    <row r="67" spans="2:9" x14ac:dyDescent="0.3">
      <c r="B67" s="87" t="s">
        <v>182</v>
      </c>
      <c r="C67" s="88">
        <v>-9999</v>
      </c>
      <c r="D67" s="88"/>
      <c r="E67" s="88" t="str">
        <f t="shared" si="0"/>
        <v>lvl2</v>
      </c>
      <c r="F67" s="88" t="str">
        <f t="shared" si="1"/>
        <v>h</v>
      </c>
      <c r="G67" s="88" t="str">
        <f t="shared" si="2"/>
        <v>b02.00</v>
      </c>
      <c r="H67" s="88" t="str">
        <f t="shared" si="3"/>
        <v>0210_dt_lgl_fnl_mtrty</v>
      </c>
      <c r="I67" s="88"/>
    </row>
    <row r="68" spans="2:9" x14ac:dyDescent="0.3">
      <c r="B68" s="87" t="s">
        <v>183</v>
      </c>
      <c r="C68" s="88">
        <v>0</v>
      </c>
      <c r="D68" s="88"/>
      <c r="E68" s="88" t="str">
        <f t="shared" si="0"/>
        <v>lvl2</v>
      </c>
      <c r="F68" s="88" t="str">
        <f t="shared" si="1"/>
        <v>h</v>
      </c>
      <c r="G68" s="88" t="str">
        <f t="shared" si="2"/>
        <v>b02.00</v>
      </c>
      <c r="H68" s="88" t="str">
        <f t="shared" si="3"/>
        <v>0220_governing_law</v>
      </c>
      <c r="I68" s="88"/>
    </row>
    <row r="69" spans="2:9" x14ac:dyDescent="0.3">
      <c r="B69" s="87" t="s">
        <v>184</v>
      </c>
      <c r="C69" s="88">
        <v>0</v>
      </c>
      <c r="D69" s="88"/>
      <c r="E69" s="88" t="str">
        <f t="shared" si="0"/>
        <v>lvl2</v>
      </c>
      <c r="F69" s="88" t="str">
        <f t="shared" si="1"/>
        <v>h</v>
      </c>
      <c r="G69" s="88" t="str">
        <f t="shared" si="2"/>
        <v>b02.00</v>
      </c>
      <c r="H69" s="88" t="str">
        <f t="shared" si="3"/>
        <v>0230_bail_in_rcgntn_cls</v>
      </c>
      <c r="I69" s="88"/>
    </row>
    <row r="70" spans="2:9" x14ac:dyDescent="0.3">
      <c r="B70" s="87" t="s">
        <v>185</v>
      </c>
      <c r="C70" s="88">
        <v>0</v>
      </c>
      <c r="D70" s="88"/>
      <c r="E70" s="88" t="str">
        <f t="shared" si="0"/>
        <v>lvl2</v>
      </c>
      <c r="F70" s="88" t="str">
        <f t="shared" si="1"/>
        <v>h</v>
      </c>
      <c r="G70" s="88" t="str">
        <f t="shared" si="2"/>
        <v>b02.00</v>
      </c>
      <c r="H70" s="88" t="str">
        <f t="shared" si="3"/>
        <v>0250_strctrd_prdct</v>
      </c>
      <c r="I70" s="88"/>
    </row>
    <row r="71" spans="2:9" x14ac:dyDescent="0.3">
      <c r="B71" s="87" t="s">
        <v>186</v>
      </c>
      <c r="C71" s="88">
        <v>0</v>
      </c>
      <c r="D71" s="88"/>
      <c r="E71" s="88" t="str">
        <f t="shared" si="0"/>
        <v>lvl2</v>
      </c>
      <c r="F71" s="88" t="str">
        <f t="shared" si="1"/>
        <v>h</v>
      </c>
      <c r="G71" s="88" t="str">
        <f t="shared" si="2"/>
        <v>b02.00</v>
      </c>
      <c r="H71" s="88" t="str">
        <f t="shared" si="3"/>
        <v>0310_flg_clltrl_agrmnts</v>
      </c>
      <c r="I71" s="88"/>
    </row>
    <row r="72" spans="2:9" x14ac:dyDescent="0.3">
      <c r="B72" s="87" t="s">
        <v>187</v>
      </c>
      <c r="C72" s="88">
        <v>0</v>
      </c>
      <c r="D72" s="88"/>
      <c r="E72" s="88" t="str">
        <f t="shared" si="0"/>
        <v>lvl2</v>
      </c>
      <c r="F72" s="88" t="str">
        <f t="shared" si="1"/>
        <v>h</v>
      </c>
      <c r="G72" s="88" t="str">
        <f t="shared" si="2"/>
        <v>b02.00</v>
      </c>
      <c r="H72" s="88" t="str">
        <f t="shared" si="3"/>
        <v>0330_amnt_unclltrlzd</v>
      </c>
      <c r="I72" s="88"/>
    </row>
    <row r="73" spans="2:9" x14ac:dyDescent="0.3">
      <c r="B73" s="87" t="s">
        <v>188</v>
      </c>
      <c r="C73" s="88">
        <v>0</v>
      </c>
      <c r="D73" s="88"/>
      <c r="E73" s="88" t="str">
        <f t="shared" si="0"/>
        <v>lvl2</v>
      </c>
      <c r="F73" s="88" t="str">
        <f t="shared" si="1"/>
        <v>h</v>
      </c>
      <c r="G73" s="88" t="str">
        <f t="shared" si="2"/>
        <v>b02.00</v>
      </c>
      <c r="H73" s="88" t="str">
        <f t="shared" si="3"/>
        <v>0330_amnt_unclltrlzd</v>
      </c>
      <c r="I73" s="88"/>
    </row>
    <row r="74" spans="2:9" x14ac:dyDescent="0.3">
      <c r="B74" s="87" t="s">
        <v>189</v>
      </c>
      <c r="C74" s="88">
        <v>0</v>
      </c>
      <c r="D74" s="88"/>
      <c r="E74" s="88" t="str">
        <f t="shared" ref="E74:E137" si="4">+MID(B74,7,4)</f>
        <v>lvl2</v>
      </c>
      <c r="F74" s="88" t="str">
        <f t="shared" ref="F74:F137" si="5">IF(LEFT(E74,3)="lvl",MID(B74,12,1),"f")</f>
        <v>h</v>
      </c>
      <c r="G74" s="88" t="str">
        <f t="shared" ref="G74:G137" si="6">+LEFT(B74,3)&amp;"."&amp;MID(B74,4,2)</f>
        <v>b02.00</v>
      </c>
      <c r="H74" s="88" t="str">
        <f t="shared" ref="H74:H137" si="7">IF(LEFT(E74,3)="lvl",IF(OR(RIGHT(B74,2)="_1",RIGHT(B74,2)="_2"),MID(B74,14,LEN(B74)-15),
MID(B74,14,LEN(B74))),MID(B74,12,LEN(B74)))</f>
        <v>0350_typ_clltrl</v>
      </c>
      <c r="I74" s="88"/>
    </row>
    <row r="75" spans="2:9" x14ac:dyDescent="0.3">
      <c r="B75" s="87" t="s">
        <v>190</v>
      </c>
      <c r="C75" s="88">
        <v>0</v>
      </c>
      <c r="D75" s="88"/>
      <c r="E75" s="88" t="str">
        <f t="shared" si="4"/>
        <v>lvl2</v>
      </c>
      <c r="F75" s="88" t="str">
        <f t="shared" si="5"/>
        <v>h</v>
      </c>
      <c r="G75" s="88" t="str">
        <f t="shared" si="6"/>
        <v>b02.00</v>
      </c>
      <c r="H75" s="88" t="str">
        <f t="shared" si="7"/>
        <v>0350_typ_clltrl</v>
      </c>
      <c r="I75" s="88"/>
    </row>
    <row r="76" spans="2:9" x14ac:dyDescent="0.3">
      <c r="B76" s="87" t="s">
        <v>191</v>
      </c>
      <c r="C76" s="88">
        <v>0</v>
      </c>
      <c r="D76" s="88"/>
      <c r="E76" s="88" t="str">
        <f t="shared" si="4"/>
        <v>lvl2</v>
      </c>
      <c r="F76" s="88" t="str">
        <f t="shared" si="5"/>
        <v>h</v>
      </c>
      <c r="G76" s="88" t="str">
        <f t="shared" si="6"/>
        <v>b02.00</v>
      </c>
      <c r="H76" s="88" t="str">
        <f t="shared" si="7"/>
        <v>0440_ntr_glbl_nt</v>
      </c>
      <c r="I76" s="88"/>
    </row>
    <row r="77" spans="2:9" x14ac:dyDescent="0.3">
      <c r="B77" s="87" t="s">
        <v>192</v>
      </c>
      <c r="C77" s="88">
        <v>0</v>
      </c>
      <c r="D77" s="88"/>
      <c r="E77" s="88" t="str">
        <f t="shared" si="4"/>
        <v>lvl2</v>
      </c>
      <c r="F77" s="88" t="str">
        <f t="shared" si="5"/>
        <v>h</v>
      </c>
      <c r="G77" s="88" t="str">
        <f t="shared" si="6"/>
        <v>b02.00</v>
      </c>
      <c r="H77" s="88" t="str">
        <f t="shared" si="7"/>
        <v>0530_typ_own_fnds_ind_lvl</v>
      </c>
      <c r="I77" s="88"/>
    </row>
    <row r="78" spans="2:9" x14ac:dyDescent="0.3">
      <c r="B78" s="87" t="s">
        <v>193</v>
      </c>
      <c r="C78" s="88">
        <v>0</v>
      </c>
      <c r="D78" s="88"/>
      <c r="E78" s="88" t="str">
        <f t="shared" si="4"/>
        <v>lvl2</v>
      </c>
      <c r="F78" s="88" t="str">
        <f t="shared" si="5"/>
        <v>h</v>
      </c>
      <c r="G78" s="88" t="str">
        <f t="shared" si="6"/>
        <v>b02.00</v>
      </c>
      <c r="H78" s="88" t="str">
        <f t="shared" si="7"/>
        <v>0540_elgbl_amnt_own_fnds_ind_lvl</v>
      </c>
      <c r="I78" s="88"/>
    </row>
    <row r="79" spans="2:9" x14ac:dyDescent="0.3">
      <c r="B79" s="87" t="s">
        <v>194</v>
      </c>
      <c r="C79" s="88">
        <v>0</v>
      </c>
      <c r="D79" s="88"/>
      <c r="E79" s="88" t="str">
        <f t="shared" si="4"/>
        <v>lvl2</v>
      </c>
      <c r="F79" s="88" t="str">
        <f t="shared" si="5"/>
        <v>h</v>
      </c>
      <c r="G79" s="88" t="str">
        <f t="shared" si="6"/>
        <v>b02.00</v>
      </c>
      <c r="H79" s="88" t="str">
        <f t="shared" si="7"/>
        <v>0550_typ_own_fnds_cnsldtd_lvl</v>
      </c>
      <c r="I79" s="88"/>
    </row>
    <row r="80" spans="2:9" x14ac:dyDescent="0.3">
      <c r="B80" s="87" t="s">
        <v>195</v>
      </c>
      <c r="C80" s="88">
        <v>0</v>
      </c>
      <c r="D80" s="88"/>
      <c r="E80" s="88" t="str">
        <f t="shared" si="4"/>
        <v>lvl2</v>
      </c>
      <c r="F80" s="88" t="str">
        <f t="shared" si="5"/>
        <v>h</v>
      </c>
      <c r="G80" s="88" t="str">
        <f t="shared" si="6"/>
        <v>b02.00</v>
      </c>
      <c r="H80" s="88" t="str">
        <f t="shared" si="7"/>
        <v>0560_elgbl_amnt_own_fnds_cnsldtd_lvl</v>
      </c>
      <c r="I80" s="88"/>
    </row>
    <row r="81" spans="2:9" x14ac:dyDescent="0.3">
      <c r="B81" s="87" t="s">
        <v>196</v>
      </c>
      <c r="C81" s="88">
        <v>0</v>
      </c>
      <c r="D81" s="88"/>
      <c r="E81" s="88" t="str">
        <f t="shared" si="4"/>
        <v>lvl2</v>
      </c>
      <c r="F81" s="88" t="str">
        <f t="shared" si="5"/>
        <v>h</v>
      </c>
      <c r="G81" s="88" t="str">
        <f t="shared" si="6"/>
        <v>b02.00</v>
      </c>
      <c r="H81" s="88" t="str">
        <f t="shared" si="7"/>
        <v>0590_typ_scrty_intrst_prvdd</v>
      </c>
      <c r="I81" s="88"/>
    </row>
    <row r="82" spans="2:9" x14ac:dyDescent="0.3">
      <c r="B82" s="87" t="s">
        <v>197</v>
      </c>
      <c r="C82" s="88">
        <v>0</v>
      </c>
      <c r="D82" s="88"/>
      <c r="E82" s="88" t="str">
        <f t="shared" si="4"/>
        <v>lvl2</v>
      </c>
      <c r="F82" s="88" t="str">
        <f t="shared" si="5"/>
        <v>h</v>
      </c>
      <c r="G82" s="88" t="str">
        <f t="shared" si="6"/>
        <v>b02.00</v>
      </c>
      <c r="H82" s="88" t="str">
        <f t="shared" si="7"/>
        <v>0610_crryng_amnt_ifrs</v>
      </c>
      <c r="I82" s="88"/>
    </row>
    <row r="83" spans="2:9" x14ac:dyDescent="0.3">
      <c r="B83" s="87" t="s">
        <v>198</v>
      </c>
      <c r="C83" s="88">
        <v>0</v>
      </c>
      <c r="D83" s="88"/>
      <c r="E83" s="88" t="str">
        <f t="shared" si="4"/>
        <v>lvl2</v>
      </c>
      <c r="F83" s="88" t="str">
        <f t="shared" si="5"/>
        <v>h</v>
      </c>
      <c r="G83" s="88" t="str">
        <f t="shared" si="6"/>
        <v>b02.00</v>
      </c>
      <c r="H83" s="88" t="str">
        <f t="shared" si="7"/>
        <v>0620_blnc_sht_ifrs</v>
      </c>
      <c r="I83" s="88"/>
    </row>
    <row r="84" spans="2:9" x14ac:dyDescent="0.3">
      <c r="B84" s="87" t="s">
        <v>199</v>
      </c>
      <c r="C84" s="88">
        <v>0</v>
      </c>
      <c r="D84" s="88"/>
      <c r="E84" s="88" t="str">
        <f t="shared" si="4"/>
        <v>frmt</v>
      </c>
      <c r="F84" s="88" t="str">
        <f t="shared" si="5"/>
        <v>f</v>
      </c>
      <c r="G84" s="88" t="str">
        <f t="shared" si="6"/>
        <v>b02.00</v>
      </c>
      <c r="H84" s="88" t="str">
        <f t="shared" si="7"/>
        <v>0010_row_nmbr</v>
      </c>
      <c r="I84" s="88"/>
    </row>
    <row r="85" spans="2:9" x14ac:dyDescent="0.3">
      <c r="B85" s="87" t="s">
        <v>200</v>
      </c>
      <c r="C85" s="88">
        <v>0</v>
      </c>
      <c r="D85" s="88"/>
      <c r="E85" s="88" t="str">
        <f t="shared" si="4"/>
        <v>frmt</v>
      </c>
      <c r="F85" s="88" t="str">
        <f t="shared" si="5"/>
        <v>f</v>
      </c>
      <c r="G85" s="88" t="str">
        <f t="shared" si="6"/>
        <v>b02.00</v>
      </c>
      <c r="H85" s="88" t="str">
        <f t="shared" si="7"/>
        <v>0020_uniq_id</v>
      </c>
      <c r="I85" s="88"/>
    </row>
    <row r="86" spans="2:9" x14ac:dyDescent="0.3">
      <c r="B86" s="87" t="s">
        <v>201</v>
      </c>
      <c r="C86" s="88">
        <v>0</v>
      </c>
      <c r="D86" s="88"/>
      <c r="E86" s="88" t="str">
        <f t="shared" si="4"/>
        <v>frmt</v>
      </c>
      <c r="F86" s="88" t="str">
        <f t="shared" si="5"/>
        <v>f</v>
      </c>
      <c r="G86" s="88" t="str">
        <f t="shared" si="6"/>
        <v>b02.00</v>
      </c>
      <c r="H86" s="88" t="str">
        <f t="shared" si="7"/>
        <v>0030_uniq_id_knwn_cntrprty</v>
      </c>
      <c r="I86" s="88"/>
    </row>
    <row r="87" spans="2:9" x14ac:dyDescent="0.3">
      <c r="B87" s="87" t="s">
        <v>202</v>
      </c>
      <c r="C87" s="88">
        <v>0</v>
      </c>
      <c r="D87" s="88"/>
      <c r="E87" s="88" t="str">
        <f t="shared" si="4"/>
        <v>frmt</v>
      </c>
      <c r="F87" s="88" t="str">
        <f t="shared" si="5"/>
        <v>f</v>
      </c>
      <c r="G87" s="88" t="str">
        <f t="shared" si="6"/>
        <v>b02.00</v>
      </c>
      <c r="H87" s="88" t="str">
        <f t="shared" si="7"/>
        <v>0040_typ_uniq_id_knwn_cntrprty</v>
      </c>
      <c r="I87" s="88"/>
    </row>
    <row r="88" spans="2:9" x14ac:dyDescent="0.3">
      <c r="B88" s="87" t="s">
        <v>203</v>
      </c>
      <c r="C88" s="88">
        <v>0</v>
      </c>
      <c r="D88" s="88"/>
      <c r="E88" s="88" t="str">
        <f t="shared" si="4"/>
        <v>frmt</v>
      </c>
      <c r="F88" s="88" t="str">
        <f t="shared" si="5"/>
        <v>f</v>
      </c>
      <c r="G88" s="88" t="str">
        <f t="shared" si="6"/>
        <v>b02.00</v>
      </c>
      <c r="H88" s="88" t="str">
        <f t="shared" si="7"/>
        <v>0050_orgnl_amnt_eur</v>
      </c>
      <c r="I88" s="88"/>
    </row>
    <row r="89" spans="2:9" x14ac:dyDescent="0.3">
      <c r="B89" s="87" t="s">
        <v>204</v>
      </c>
      <c r="C89" s="88">
        <v>0</v>
      </c>
      <c r="D89" s="88"/>
      <c r="E89" s="88" t="str">
        <f t="shared" si="4"/>
        <v>frmt</v>
      </c>
      <c r="F89" s="88" t="str">
        <f t="shared" si="5"/>
        <v>f</v>
      </c>
      <c r="G89" s="88" t="str">
        <f t="shared" si="6"/>
        <v>b02.00</v>
      </c>
      <c r="H89" s="88" t="str">
        <f t="shared" si="7"/>
        <v>0060_orgnl_amnt_fx</v>
      </c>
      <c r="I89" s="88"/>
    </row>
    <row r="90" spans="2:9" x14ac:dyDescent="0.3">
      <c r="B90" s="87" t="s">
        <v>205</v>
      </c>
      <c r="C90" s="88">
        <v>0</v>
      </c>
      <c r="D90" s="88"/>
      <c r="E90" s="88" t="str">
        <f t="shared" si="4"/>
        <v>frmt</v>
      </c>
      <c r="F90" s="88" t="str">
        <f t="shared" si="5"/>
        <v>f</v>
      </c>
      <c r="G90" s="88" t="str">
        <f t="shared" si="6"/>
        <v>b02.00</v>
      </c>
      <c r="H90" s="88" t="str">
        <f t="shared" si="7"/>
        <v>0070_cntrct_crrncy</v>
      </c>
      <c r="I90" s="88"/>
    </row>
    <row r="91" spans="2:9" x14ac:dyDescent="0.3">
      <c r="B91" s="87" t="s">
        <v>206</v>
      </c>
      <c r="C91" s="88">
        <v>0</v>
      </c>
      <c r="D91" s="88"/>
      <c r="E91" s="88" t="str">
        <f t="shared" si="4"/>
        <v>frmt</v>
      </c>
      <c r="F91" s="88" t="str">
        <f t="shared" si="5"/>
        <v>f</v>
      </c>
      <c r="G91" s="88" t="str">
        <f t="shared" si="6"/>
        <v>b02.00</v>
      </c>
      <c r="H91" s="88" t="str">
        <f t="shared" si="7"/>
        <v>0080_otstndng_prncpl_amnt</v>
      </c>
      <c r="I91" s="88"/>
    </row>
    <row r="92" spans="2:9" x14ac:dyDescent="0.3">
      <c r="B92" s="87" t="s">
        <v>207</v>
      </c>
      <c r="C92" s="88">
        <v>0</v>
      </c>
      <c r="D92" s="88"/>
      <c r="E92" s="88" t="str">
        <f t="shared" si="4"/>
        <v>frmt</v>
      </c>
      <c r="F92" s="88" t="str">
        <f t="shared" si="5"/>
        <v>f</v>
      </c>
      <c r="G92" s="88" t="str">
        <f t="shared" si="6"/>
        <v>b02.00</v>
      </c>
      <c r="H92" s="88" t="str">
        <f t="shared" si="7"/>
        <v>0090_prtn_amnt_rprtng_entty</v>
      </c>
      <c r="I92" s="88"/>
    </row>
    <row r="93" spans="2:9" x14ac:dyDescent="0.3">
      <c r="B93" s="87" t="s">
        <v>208</v>
      </c>
      <c r="C93" s="88">
        <v>0</v>
      </c>
      <c r="D93" s="88"/>
      <c r="E93" s="88" t="str">
        <f t="shared" si="4"/>
        <v>frmt</v>
      </c>
      <c r="F93" s="88" t="str">
        <f t="shared" si="5"/>
        <v>f</v>
      </c>
      <c r="G93" s="88" t="str">
        <f t="shared" si="6"/>
        <v>b02.00</v>
      </c>
      <c r="H93" s="88" t="str">
        <f t="shared" si="7"/>
        <v>0100_accrd_intrst_instrmnt</v>
      </c>
      <c r="I93" s="88"/>
    </row>
    <row r="94" spans="2:9" x14ac:dyDescent="0.3">
      <c r="B94" s="87" t="s">
        <v>209</v>
      </c>
      <c r="C94" s="88">
        <v>0</v>
      </c>
      <c r="D94" s="88"/>
      <c r="E94" s="88" t="str">
        <f t="shared" si="4"/>
        <v>frmt</v>
      </c>
      <c r="F94" s="88" t="str">
        <f t="shared" si="5"/>
        <v>f</v>
      </c>
      <c r="G94" s="88" t="str">
        <f t="shared" si="6"/>
        <v>b02.00</v>
      </c>
      <c r="H94" s="88" t="str">
        <f t="shared" si="7"/>
        <v>0110_applcbl_fees_charges</v>
      </c>
      <c r="I94" s="88"/>
    </row>
    <row r="95" spans="2:9" x14ac:dyDescent="0.3">
      <c r="B95" s="87" t="s">
        <v>210</v>
      </c>
      <c r="C95" s="88">
        <v>8</v>
      </c>
      <c r="D95" s="88"/>
      <c r="E95" s="88" t="str">
        <f t="shared" si="4"/>
        <v>frmt</v>
      </c>
      <c r="F95" s="88" t="str">
        <f t="shared" si="5"/>
        <v>f</v>
      </c>
      <c r="G95" s="88" t="str">
        <f t="shared" si="6"/>
        <v>b02.00</v>
      </c>
      <c r="H95" s="88" t="str">
        <f t="shared" si="7"/>
        <v>0120_otstndng_amnt</v>
      </c>
      <c r="I95" s="88"/>
    </row>
    <row r="96" spans="2:9" x14ac:dyDescent="0.3">
      <c r="B96" s="87" t="s">
        <v>211</v>
      </c>
      <c r="C96" s="88">
        <v>8</v>
      </c>
      <c r="D96" s="88"/>
      <c r="E96" s="88" t="str">
        <f t="shared" si="4"/>
        <v>frmt</v>
      </c>
      <c r="F96" s="88" t="str">
        <f t="shared" si="5"/>
        <v>f</v>
      </c>
      <c r="G96" s="88" t="str">
        <f t="shared" si="6"/>
        <v>b02.00</v>
      </c>
      <c r="H96" s="88" t="str">
        <f t="shared" si="7"/>
        <v>0130_rlvnt_amnt_wdc</v>
      </c>
      <c r="I96" s="88"/>
    </row>
    <row r="97" spans="2:9" x14ac:dyDescent="0.3">
      <c r="B97" s="87" t="s">
        <v>212</v>
      </c>
      <c r="C97" s="88">
        <v>4</v>
      </c>
      <c r="D97" s="88"/>
      <c r="E97" s="88" t="str">
        <f t="shared" si="4"/>
        <v>frmt</v>
      </c>
      <c r="F97" s="88" t="str">
        <f t="shared" si="5"/>
        <v>f</v>
      </c>
      <c r="G97" s="88" t="str">
        <f t="shared" si="6"/>
        <v>b02.00</v>
      </c>
      <c r="H97" s="88" t="str">
        <f t="shared" si="7"/>
        <v>0140_ntr_lblty</v>
      </c>
      <c r="I97" s="88"/>
    </row>
    <row r="98" spans="2:9" x14ac:dyDescent="0.3">
      <c r="B98" s="87" t="s">
        <v>213</v>
      </c>
      <c r="C98" s="88">
        <v>8</v>
      </c>
      <c r="D98" s="88"/>
      <c r="E98" s="88" t="str">
        <f t="shared" si="4"/>
        <v>frmt</v>
      </c>
      <c r="F98" s="88" t="str">
        <f t="shared" si="5"/>
        <v>f</v>
      </c>
      <c r="G98" s="88" t="str">
        <f t="shared" si="6"/>
        <v>b02.00</v>
      </c>
      <c r="H98" s="88" t="str">
        <f t="shared" si="7"/>
        <v>0141_ntr_lblty_othr</v>
      </c>
      <c r="I98" s="91" t="s">
        <v>214</v>
      </c>
    </row>
    <row r="99" spans="2:9" x14ac:dyDescent="0.3">
      <c r="B99" s="87" t="s">
        <v>215</v>
      </c>
      <c r="C99" s="88">
        <v>8</v>
      </c>
      <c r="D99" s="88"/>
      <c r="E99" s="88" t="str">
        <f t="shared" si="4"/>
        <v>frmt</v>
      </c>
      <c r="F99" s="88" t="str">
        <f t="shared" si="5"/>
        <v>f</v>
      </c>
      <c r="G99" s="88" t="str">
        <f t="shared" si="6"/>
        <v>b02.00</v>
      </c>
      <c r="H99" s="88" t="str">
        <f t="shared" si="7"/>
        <v>0150_flg_strctrlly_sbrdntd</v>
      </c>
      <c r="I99" s="91" t="s">
        <v>216</v>
      </c>
    </row>
    <row r="100" spans="2:9" x14ac:dyDescent="0.3">
      <c r="B100" s="87" t="s">
        <v>217</v>
      </c>
      <c r="C100" s="88">
        <v>0</v>
      </c>
      <c r="D100" s="88"/>
      <c r="E100" s="88" t="str">
        <f t="shared" si="4"/>
        <v>frmt</v>
      </c>
      <c r="F100" s="88" t="str">
        <f t="shared" si="5"/>
        <v>f</v>
      </c>
      <c r="G100" s="88" t="str">
        <f t="shared" si="6"/>
        <v>b02.00</v>
      </c>
      <c r="H100" s="88" t="str">
        <f t="shared" si="7"/>
        <v>0160_rank_insolv</v>
      </c>
      <c r="I100" s="88"/>
    </row>
    <row r="101" spans="2:9" x14ac:dyDescent="0.3">
      <c r="B101" s="87" t="s">
        <v>218</v>
      </c>
      <c r="C101" s="88">
        <v>0</v>
      </c>
      <c r="D101" s="88"/>
      <c r="E101" s="88" t="str">
        <f t="shared" si="4"/>
        <v>frmt</v>
      </c>
      <c r="F101" s="88" t="str">
        <f t="shared" si="5"/>
        <v>f</v>
      </c>
      <c r="G101" s="88" t="str">
        <f t="shared" si="6"/>
        <v>b02.00</v>
      </c>
      <c r="H101" s="88" t="str">
        <f t="shared" si="7"/>
        <v>0161_cntrctl_sbrdntn</v>
      </c>
      <c r="I101" s="88"/>
    </row>
    <row r="102" spans="2:9" x14ac:dyDescent="0.3">
      <c r="B102" s="87" t="s">
        <v>219</v>
      </c>
      <c r="C102" s="88">
        <v>0</v>
      </c>
      <c r="D102" s="88"/>
      <c r="E102" s="88" t="str">
        <f t="shared" si="4"/>
        <v>frmt</v>
      </c>
      <c r="F102" s="88" t="str">
        <f t="shared" si="5"/>
        <v>f</v>
      </c>
      <c r="G102" s="88" t="str">
        <f t="shared" si="6"/>
        <v>b02.00</v>
      </c>
      <c r="H102" s="88" t="str">
        <f t="shared" si="7"/>
        <v>0162_bail_in_cascade</v>
      </c>
      <c r="I102" s="88"/>
    </row>
    <row r="103" spans="2:9" x14ac:dyDescent="0.3">
      <c r="B103" s="87" t="s">
        <v>220</v>
      </c>
      <c r="C103" s="88">
        <v>0</v>
      </c>
      <c r="D103" s="88"/>
      <c r="E103" s="88" t="str">
        <f t="shared" si="4"/>
        <v>frmt</v>
      </c>
      <c r="F103" s="88" t="str">
        <f t="shared" si="5"/>
        <v>f</v>
      </c>
      <c r="G103" s="88" t="str">
        <f t="shared" si="6"/>
        <v>b02.00</v>
      </c>
      <c r="H103" s="88" t="str">
        <f t="shared" si="7"/>
        <v>0170_dt_incptn</v>
      </c>
      <c r="I103" s="88"/>
    </row>
    <row r="104" spans="2:9" x14ac:dyDescent="0.3">
      <c r="B104" s="87" t="s">
        <v>221</v>
      </c>
      <c r="C104" s="88">
        <v>8</v>
      </c>
      <c r="D104" s="88"/>
      <c r="E104" s="88" t="str">
        <f t="shared" si="4"/>
        <v>frmt</v>
      </c>
      <c r="F104" s="88" t="str">
        <f t="shared" si="5"/>
        <v>f</v>
      </c>
      <c r="G104" s="88" t="str">
        <f t="shared" si="6"/>
        <v>b02.00</v>
      </c>
      <c r="H104" s="88" t="str">
        <f t="shared" si="7"/>
        <v>0180_dt_nxt_intrst_pymnt</v>
      </c>
      <c r="I104" s="88"/>
    </row>
    <row r="105" spans="2:9" x14ac:dyDescent="0.3">
      <c r="B105" s="87" t="s">
        <v>222</v>
      </c>
      <c r="C105" s="88">
        <v>0</v>
      </c>
      <c r="D105" s="88"/>
      <c r="E105" s="88" t="str">
        <f t="shared" si="4"/>
        <v>frmt</v>
      </c>
      <c r="F105" s="88" t="str">
        <f t="shared" si="5"/>
        <v>f</v>
      </c>
      <c r="G105" s="88" t="str">
        <f t="shared" si="6"/>
        <v>b02.00</v>
      </c>
      <c r="H105" s="88" t="str">
        <f t="shared" si="7"/>
        <v>0190_dt_nxt_rdmptn_pymnt</v>
      </c>
      <c r="I105" s="88"/>
    </row>
    <row r="106" spans="2:9" x14ac:dyDescent="0.3">
      <c r="B106" s="87" t="s">
        <v>223</v>
      </c>
      <c r="C106" s="88">
        <v>0</v>
      </c>
      <c r="D106" s="88"/>
      <c r="E106" s="88" t="str">
        <f t="shared" si="4"/>
        <v>frmt</v>
      </c>
      <c r="F106" s="88" t="str">
        <f t="shared" si="5"/>
        <v>f</v>
      </c>
      <c r="G106" s="88" t="str">
        <f t="shared" si="6"/>
        <v>b02.00</v>
      </c>
      <c r="H106" s="88" t="str">
        <f t="shared" si="7"/>
        <v>0200_dt_erlst_rdmptn</v>
      </c>
      <c r="I106" s="88"/>
    </row>
    <row r="107" spans="2:9" x14ac:dyDescent="0.3">
      <c r="B107" s="87" t="s">
        <v>224</v>
      </c>
      <c r="C107" s="88">
        <v>0</v>
      </c>
      <c r="D107" s="88"/>
      <c r="E107" s="88" t="str">
        <f t="shared" si="4"/>
        <v>frmt</v>
      </c>
      <c r="F107" s="88" t="str">
        <f t="shared" si="5"/>
        <v>f</v>
      </c>
      <c r="G107" s="88" t="str">
        <f t="shared" si="6"/>
        <v>b02.00</v>
      </c>
      <c r="H107" s="88" t="str">
        <f t="shared" si="7"/>
        <v>0210_dt_lgl_fnl_mtrty</v>
      </c>
      <c r="I107" s="88"/>
    </row>
    <row r="108" spans="2:9" x14ac:dyDescent="0.3">
      <c r="B108" s="87" t="s">
        <v>225</v>
      </c>
      <c r="C108" s="88">
        <v>0</v>
      </c>
      <c r="D108" s="88"/>
      <c r="E108" s="88" t="str">
        <f t="shared" si="4"/>
        <v>frmt</v>
      </c>
      <c r="F108" s="88" t="str">
        <f t="shared" si="5"/>
        <v>f</v>
      </c>
      <c r="G108" s="88" t="str">
        <f t="shared" si="6"/>
        <v>b02.00</v>
      </c>
      <c r="H108" s="88" t="str">
        <f t="shared" si="7"/>
        <v>0220_governing_law</v>
      </c>
      <c r="I108" s="88"/>
    </row>
    <row r="109" spans="2:9" x14ac:dyDescent="0.3">
      <c r="B109" s="87" t="s">
        <v>226</v>
      </c>
      <c r="C109" s="88">
        <v>0</v>
      </c>
      <c r="D109" s="88"/>
      <c r="E109" s="88" t="str">
        <f t="shared" si="4"/>
        <v>frmt</v>
      </c>
      <c r="F109" s="88" t="str">
        <f t="shared" si="5"/>
        <v>f</v>
      </c>
      <c r="G109" s="88" t="str">
        <f t="shared" si="6"/>
        <v>b02.00</v>
      </c>
      <c r="H109" s="88" t="str">
        <f t="shared" si="7"/>
        <v>0230_bail_in_rcgntn_cls</v>
      </c>
      <c r="I109" s="88"/>
    </row>
    <row r="110" spans="2:9" x14ac:dyDescent="0.3">
      <c r="B110" s="87" t="s">
        <v>227</v>
      </c>
      <c r="C110" s="88">
        <v>0</v>
      </c>
      <c r="D110" s="88"/>
      <c r="E110" s="88" t="str">
        <f t="shared" si="4"/>
        <v>frmt</v>
      </c>
      <c r="F110" s="88" t="str">
        <f t="shared" si="5"/>
        <v>f</v>
      </c>
      <c r="G110" s="88" t="str">
        <f t="shared" si="6"/>
        <v>b02.00</v>
      </c>
      <c r="H110" s="88" t="str">
        <f t="shared" si="7"/>
        <v>0240_zero_coupon</v>
      </c>
      <c r="I110" s="88"/>
    </row>
    <row r="111" spans="2:9" x14ac:dyDescent="0.3">
      <c r="B111" s="87" t="s">
        <v>228</v>
      </c>
      <c r="C111" s="88">
        <v>0</v>
      </c>
      <c r="D111" s="88"/>
      <c r="E111" s="88" t="str">
        <f t="shared" si="4"/>
        <v>frmt</v>
      </c>
      <c r="F111" s="88" t="str">
        <f t="shared" si="5"/>
        <v>f</v>
      </c>
      <c r="G111" s="88" t="str">
        <f t="shared" si="6"/>
        <v>b02.00</v>
      </c>
      <c r="H111" s="88" t="str">
        <f t="shared" si="7"/>
        <v>0250_strctrd_prdct</v>
      </c>
      <c r="I111" s="88"/>
    </row>
    <row r="112" spans="2:9" x14ac:dyDescent="0.3">
      <c r="B112" s="87" t="s">
        <v>229</v>
      </c>
      <c r="C112" s="88">
        <v>0</v>
      </c>
      <c r="D112" s="88"/>
      <c r="E112" s="88" t="str">
        <f t="shared" si="4"/>
        <v>frmt</v>
      </c>
      <c r="F112" s="88" t="str">
        <f t="shared" si="5"/>
        <v>f</v>
      </c>
      <c r="G112" s="88" t="str">
        <f t="shared" si="6"/>
        <v>b02.00</v>
      </c>
      <c r="H112" s="88" t="str">
        <f t="shared" si="7"/>
        <v>0260_grntd_min_amnt_strctrd_prdct</v>
      </c>
      <c r="I112" s="88"/>
    </row>
    <row r="113" spans="2:9" x14ac:dyDescent="0.3">
      <c r="B113" s="87" t="s">
        <v>230</v>
      </c>
      <c r="C113" s="88">
        <v>0</v>
      </c>
      <c r="D113" s="88"/>
      <c r="E113" s="88" t="str">
        <f t="shared" si="4"/>
        <v>frmt</v>
      </c>
      <c r="F113" s="88" t="str">
        <f t="shared" si="5"/>
        <v>f</v>
      </c>
      <c r="G113" s="88" t="str">
        <f t="shared" si="6"/>
        <v>b02.00</v>
      </c>
      <c r="H113" s="88" t="str">
        <f t="shared" si="7"/>
        <v>0270_fv_amnt_strctrd_prdct</v>
      </c>
      <c r="I113" s="88"/>
    </row>
    <row r="114" spans="2:9" x14ac:dyDescent="0.3">
      <c r="B114" s="87" t="s">
        <v>231</v>
      </c>
      <c r="C114" s="88">
        <v>0</v>
      </c>
      <c r="D114" s="88"/>
      <c r="E114" s="88" t="str">
        <f t="shared" si="4"/>
        <v>frmt</v>
      </c>
      <c r="F114" s="88" t="str">
        <f t="shared" si="5"/>
        <v>f</v>
      </c>
      <c r="G114" s="88" t="str">
        <f t="shared" si="6"/>
        <v>b02.00</v>
      </c>
      <c r="H114" s="88" t="str">
        <f t="shared" si="7"/>
        <v>0280_flg_ncnp_dpsts</v>
      </c>
      <c r="I114" s="88"/>
    </row>
    <row r="115" spans="2:9" x14ac:dyDescent="0.3">
      <c r="B115" s="87" t="s">
        <v>232</v>
      </c>
      <c r="C115" s="88">
        <v>0</v>
      </c>
      <c r="D115" s="88"/>
      <c r="E115" s="88" t="str">
        <f t="shared" si="4"/>
        <v>frmt</v>
      </c>
      <c r="F115" s="88" t="str">
        <f t="shared" si="5"/>
        <v>f</v>
      </c>
      <c r="G115" s="88" t="str">
        <f t="shared" si="6"/>
        <v>b02.00</v>
      </c>
      <c r="H115" s="88" t="str">
        <f t="shared" si="7"/>
        <v>0290_flg_ncbp_dpsts</v>
      </c>
      <c r="I115" s="88"/>
    </row>
    <row r="116" spans="2:9" x14ac:dyDescent="0.3">
      <c r="B116" s="87" t="s">
        <v>233</v>
      </c>
      <c r="C116" s="88">
        <v>0</v>
      </c>
      <c r="D116" s="88"/>
      <c r="E116" s="88" t="str">
        <f t="shared" si="4"/>
        <v>frmt</v>
      </c>
      <c r="F116" s="88" t="str">
        <f t="shared" si="5"/>
        <v>f</v>
      </c>
      <c r="G116" s="88" t="str">
        <f t="shared" si="6"/>
        <v>b02.00</v>
      </c>
      <c r="H116" s="88" t="str">
        <f t="shared" si="7"/>
        <v>0300_amnt_cvrd_elgbl_dpsts</v>
      </c>
      <c r="I116" s="88"/>
    </row>
    <row r="117" spans="2:9" x14ac:dyDescent="0.3">
      <c r="B117" s="87" t="s">
        <v>234</v>
      </c>
      <c r="C117" s="88">
        <v>0</v>
      </c>
      <c r="D117" s="88"/>
      <c r="E117" s="88" t="str">
        <f t="shared" si="4"/>
        <v>frmt</v>
      </c>
      <c r="F117" s="88" t="str">
        <f t="shared" si="5"/>
        <v>f</v>
      </c>
      <c r="G117" s="88" t="str">
        <f t="shared" si="6"/>
        <v>b02.00</v>
      </c>
      <c r="H117" s="88" t="str">
        <f t="shared" si="7"/>
        <v>0310_flg_clltrl_agrmnts</v>
      </c>
      <c r="I117" s="88"/>
    </row>
    <row r="118" spans="2:9" x14ac:dyDescent="0.3">
      <c r="B118" s="87" t="s">
        <v>235</v>
      </c>
      <c r="C118" s="88">
        <v>0</v>
      </c>
      <c r="D118" s="88"/>
      <c r="E118" s="88" t="str">
        <f t="shared" si="4"/>
        <v>frmt</v>
      </c>
      <c r="F118" s="88" t="str">
        <f t="shared" si="5"/>
        <v>f</v>
      </c>
      <c r="G118" s="88" t="str">
        <f t="shared" si="6"/>
        <v>b02.00</v>
      </c>
      <c r="H118" s="88" t="str">
        <f t="shared" si="7"/>
        <v>0320_amnt_clltrl</v>
      </c>
      <c r="I118" s="88"/>
    </row>
    <row r="119" spans="2:9" x14ac:dyDescent="0.3">
      <c r="B119" s="87" t="s">
        <v>236</v>
      </c>
      <c r="C119" s="88">
        <v>0</v>
      </c>
      <c r="D119" s="88"/>
      <c r="E119" s="88" t="str">
        <f t="shared" si="4"/>
        <v>frmt</v>
      </c>
      <c r="F119" s="88" t="str">
        <f t="shared" si="5"/>
        <v>f</v>
      </c>
      <c r="G119" s="88" t="str">
        <f t="shared" si="6"/>
        <v>b02.00</v>
      </c>
      <c r="H119" s="88" t="str">
        <f t="shared" si="7"/>
        <v>0330_amnt_unclltrlzd</v>
      </c>
      <c r="I119" s="88"/>
    </row>
    <row r="120" spans="2:9" x14ac:dyDescent="0.3">
      <c r="B120" s="87" t="s">
        <v>237</v>
      </c>
      <c r="C120" s="88">
        <v>8</v>
      </c>
      <c r="D120" s="88"/>
      <c r="E120" s="88" t="str">
        <f t="shared" si="4"/>
        <v>frmt</v>
      </c>
      <c r="F120" s="88" t="str">
        <f t="shared" si="5"/>
        <v>f</v>
      </c>
      <c r="G120" s="88" t="str">
        <f t="shared" si="6"/>
        <v>b02.00</v>
      </c>
      <c r="H120" s="88" t="str">
        <f t="shared" si="7"/>
        <v>0340_id_clltrl</v>
      </c>
      <c r="I120" s="91" t="s">
        <v>216</v>
      </c>
    </row>
    <row r="121" spans="2:9" x14ac:dyDescent="0.3">
      <c r="B121" s="87" t="s">
        <v>238</v>
      </c>
      <c r="C121" s="88">
        <v>0</v>
      </c>
      <c r="D121" s="88"/>
      <c r="E121" s="88" t="str">
        <f t="shared" si="4"/>
        <v>frmt</v>
      </c>
      <c r="F121" s="88" t="str">
        <f t="shared" si="5"/>
        <v>f</v>
      </c>
      <c r="G121" s="88" t="str">
        <f t="shared" si="6"/>
        <v>b02.00</v>
      </c>
      <c r="H121" s="88" t="str">
        <f t="shared" si="7"/>
        <v>0350_typ_clltrl</v>
      </c>
      <c r="I121" s="88"/>
    </row>
    <row r="122" spans="2:9" x14ac:dyDescent="0.3">
      <c r="B122" s="87" t="s">
        <v>239</v>
      </c>
      <c r="C122" s="88">
        <v>8</v>
      </c>
      <c r="D122" s="88"/>
      <c r="E122" s="88" t="str">
        <f t="shared" si="4"/>
        <v>frmt</v>
      </c>
      <c r="F122" s="88" t="str">
        <f t="shared" si="5"/>
        <v>f</v>
      </c>
      <c r="G122" s="88" t="str">
        <f t="shared" si="6"/>
        <v>b02.00</v>
      </c>
      <c r="H122" s="88" t="str">
        <f t="shared" si="7"/>
        <v>0351_typ_clltrl_othr</v>
      </c>
      <c r="I122" s="91" t="s">
        <v>216</v>
      </c>
    </row>
    <row r="123" spans="2:9" x14ac:dyDescent="0.3">
      <c r="B123" s="87" t="s">
        <v>240</v>
      </c>
      <c r="C123" s="88">
        <v>0</v>
      </c>
      <c r="D123" s="88"/>
      <c r="E123" s="88" t="str">
        <f t="shared" si="4"/>
        <v>frmt</v>
      </c>
      <c r="F123" s="88" t="str">
        <f t="shared" si="5"/>
        <v>f</v>
      </c>
      <c r="G123" s="88" t="str">
        <f t="shared" si="6"/>
        <v>b02.00</v>
      </c>
      <c r="H123" s="88" t="str">
        <f t="shared" si="7"/>
        <v>0360_trdng_mthd</v>
      </c>
      <c r="I123" s="88"/>
    </row>
    <row r="124" spans="2:9" x14ac:dyDescent="0.3">
      <c r="B124" s="87" t="s">
        <v>241</v>
      </c>
      <c r="C124" s="88">
        <v>0</v>
      </c>
      <c r="D124" s="88"/>
      <c r="E124" s="88" t="str">
        <f t="shared" si="4"/>
        <v>frmt</v>
      </c>
      <c r="F124" s="88" t="str">
        <f t="shared" si="5"/>
        <v>f</v>
      </c>
      <c r="G124" s="88" t="str">
        <f t="shared" si="6"/>
        <v>b02.00</v>
      </c>
      <c r="H124" s="88" t="str">
        <f t="shared" si="7"/>
        <v>0370_amnt_scrty_eur</v>
      </c>
      <c r="I124" s="88"/>
    </row>
    <row r="125" spans="2:9" x14ac:dyDescent="0.3">
      <c r="B125" s="87" t="s">
        <v>242</v>
      </c>
      <c r="C125" s="88">
        <v>0</v>
      </c>
      <c r="D125" s="88"/>
      <c r="E125" s="88" t="str">
        <f t="shared" si="4"/>
        <v>frmt</v>
      </c>
      <c r="F125" s="88" t="str">
        <f t="shared" si="5"/>
        <v>f</v>
      </c>
      <c r="G125" s="88" t="str">
        <f t="shared" si="6"/>
        <v>b02.00</v>
      </c>
      <c r="H125" s="88" t="str">
        <f t="shared" si="7"/>
        <v>0380_amnt_scrty_fx</v>
      </c>
      <c r="I125" s="88"/>
    </row>
    <row r="126" spans="2:9" x14ac:dyDescent="0.3">
      <c r="B126" s="87" t="s">
        <v>243</v>
      </c>
      <c r="C126" s="88">
        <v>0</v>
      </c>
      <c r="D126" s="88"/>
      <c r="E126" s="88" t="str">
        <f t="shared" si="4"/>
        <v>frmt</v>
      </c>
      <c r="F126" s="88" t="str">
        <f t="shared" si="5"/>
        <v>f</v>
      </c>
      <c r="G126" s="88" t="str">
        <f t="shared" si="6"/>
        <v>b02.00</v>
      </c>
      <c r="H126" s="88" t="str">
        <f t="shared" si="7"/>
        <v>0390_nmbr_scrts_not_rprtng_entty</v>
      </c>
      <c r="I126" s="88"/>
    </row>
    <row r="127" spans="2:9" x14ac:dyDescent="0.3">
      <c r="B127" s="87" t="s">
        <v>244</v>
      </c>
      <c r="C127" s="88">
        <v>8</v>
      </c>
      <c r="D127" s="88"/>
      <c r="E127" s="88" t="str">
        <f t="shared" si="4"/>
        <v>frmt</v>
      </c>
      <c r="F127" s="88" t="str">
        <f t="shared" si="5"/>
        <v>f</v>
      </c>
      <c r="G127" s="88" t="str">
        <f t="shared" si="6"/>
        <v>b02.00</v>
      </c>
      <c r="H127" s="88" t="str">
        <f t="shared" si="7"/>
        <v>0391_nmbr_scrts_rprtng_entty</v>
      </c>
      <c r="I127" s="88"/>
    </row>
    <row r="128" spans="2:9" x14ac:dyDescent="0.3">
      <c r="B128" s="87" t="s">
        <v>245</v>
      </c>
      <c r="C128" s="88">
        <v>0</v>
      </c>
      <c r="D128" s="88"/>
      <c r="E128" s="88" t="str">
        <f t="shared" si="4"/>
        <v>frmt</v>
      </c>
      <c r="F128" s="88" t="str">
        <f t="shared" si="5"/>
        <v>f</v>
      </c>
      <c r="G128" s="88" t="str">
        <f t="shared" si="6"/>
        <v>b02.00</v>
      </c>
      <c r="H128" s="88" t="str">
        <f t="shared" si="7"/>
        <v>0400_accrd_intrst_scrty</v>
      </c>
      <c r="I128" s="88"/>
    </row>
    <row r="129" spans="2:9" x14ac:dyDescent="0.3">
      <c r="B129" s="87" t="s">
        <v>246</v>
      </c>
      <c r="C129" s="88">
        <v>0</v>
      </c>
      <c r="D129" s="88"/>
      <c r="E129" s="88" t="str">
        <f t="shared" si="4"/>
        <v>frmt</v>
      </c>
      <c r="F129" s="88" t="str">
        <f t="shared" si="5"/>
        <v>f</v>
      </c>
      <c r="G129" s="88" t="str">
        <f t="shared" si="6"/>
        <v>b02.00</v>
      </c>
      <c r="H129" s="88" t="str">
        <f t="shared" si="7"/>
        <v>0410_fees_charges_scrty</v>
      </c>
      <c r="I129" s="88"/>
    </row>
    <row r="130" spans="2:9" x14ac:dyDescent="0.3">
      <c r="B130" s="87" t="s">
        <v>247</v>
      </c>
      <c r="C130" s="88">
        <v>0</v>
      </c>
      <c r="D130" s="88"/>
      <c r="E130" s="88" t="str">
        <f t="shared" si="4"/>
        <v>frmt</v>
      </c>
      <c r="F130" s="88" t="str">
        <f t="shared" si="5"/>
        <v>f</v>
      </c>
      <c r="G130" s="88" t="str">
        <f t="shared" si="6"/>
        <v>b02.00</v>
      </c>
      <c r="H130" s="88" t="str">
        <f t="shared" si="7"/>
        <v>0420_fv_amnt_scrty</v>
      </c>
      <c r="I130" s="88"/>
    </row>
    <row r="131" spans="2:9" x14ac:dyDescent="0.3">
      <c r="B131" s="87" t="s">
        <v>248</v>
      </c>
      <c r="C131" s="88">
        <v>0</v>
      </c>
      <c r="D131" s="88"/>
      <c r="E131" s="88" t="str">
        <f t="shared" si="4"/>
        <v>frmt</v>
      </c>
      <c r="F131" s="88" t="str">
        <f t="shared" si="5"/>
        <v>f</v>
      </c>
      <c r="G131" s="88" t="str">
        <f t="shared" si="6"/>
        <v>b02.00</v>
      </c>
      <c r="H131" s="88" t="str">
        <f t="shared" si="7"/>
        <v>0430_prncpl_amnt_glbl_nt_eur</v>
      </c>
      <c r="I131" s="88"/>
    </row>
    <row r="132" spans="2:9" x14ac:dyDescent="0.3">
      <c r="B132" s="87" t="s">
        <v>249</v>
      </c>
      <c r="C132" s="88">
        <v>0</v>
      </c>
      <c r="D132" s="88"/>
      <c r="E132" s="88" t="str">
        <f t="shared" si="4"/>
        <v>frmt</v>
      </c>
      <c r="F132" s="88" t="str">
        <f t="shared" si="5"/>
        <v>f</v>
      </c>
      <c r="G132" s="88" t="str">
        <f t="shared" si="6"/>
        <v>b02.00</v>
      </c>
      <c r="H132" s="88" t="str">
        <f t="shared" si="7"/>
        <v>0431_prncpl_amnt_glbl_nt_fx</v>
      </c>
      <c r="I132" s="88"/>
    </row>
    <row r="133" spans="2:9" x14ac:dyDescent="0.3">
      <c r="B133" s="87" t="s">
        <v>250</v>
      </c>
      <c r="C133" s="88">
        <v>0</v>
      </c>
      <c r="D133" s="88"/>
      <c r="E133" s="88" t="str">
        <f t="shared" si="4"/>
        <v>frmt</v>
      </c>
      <c r="F133" s="88" t="str">
        <f t="shared" si="5"/>
        <v>f</v>
      </c>
      <c r="G133" s="88" t="str">
        <f t="shared" si="6"/>
        <v>b02.00</v>
      </c>
      <c r="H133" s="88" t="str">
        <f t="shared" si="7"/>
        <v>0440_ntr_glbl_nt</v>
      </c>
      <c r="I133" s="88"/>
    </row>
    <row r="134" spans="2:9" x14ac:dyDescent="0.3">
      <c r="B134" s="87" t="s">
        <v>251</v>
      </c>
      <c r="C134" s="88">
        <v>0</v>
      </c>
      <c r="D134" s="88"/>
      <c r="E134" s="88" t="str">
        <f t="shared" si="4"/>
        <v>frmt</v>
      </c>
      <c r="F134" s="88" t="str">
        <f t="shared" si="5"/>
        <v>f</v>
      </c>
      <c r="G134" s="88" t="str">
        <f t="shared" si="6"/>
        <v>b02.00</v>
      </c>
      <c r="H134" s="88" t="str">
        <f t="shared" si="7"/>
        <v>0450_crrnt_pool_fctr</v>
      </c>
      <c r="I134" s="88"/>
    </row>
    <row r="135" spans="2:9" x14ac:dyDescent="0.3">
      <c r="B135" s="87" t="s">
        <v>252</v>
      </c>
      <c r="C135" s="88">
        <v>0</v>
      </c>
      <c r="D135" s="88"/>
      <c r="E135" s="88" t="str">
        <f t="shared" si="4"/>
        <v>frmt</v>
      </c>
      <c r="F135" s="88" t="str">
        <f t="shared" si="5"/>
        <v>f</v>
      </c>
      <c r="G135" s="88" t="str">
        <f t="shared" si="6"/>
        <v>b02.00</v>
      </c>
      <c r="H135" s="88" t="str">
        <f t="shared" si="7"/>
        <v>0460_csd</v>
      </c>
      <c r="I135" s="88"/>
    </row>
    <row r="136" spans="2:9" x14ac:dyDescent="0.3">
      <c r="B136" s="87" t="s">
        <v>253</v>
      </c>
      <c r="C136" s="88">
        <v>0</v>
      </c>
      <c r="D136" s="88"/>
      <c r="E136" s="88" t="str">
        <f t="shared" si="4"/>
        <v>frmt</v>
      </c>
      <c r="F136" s="88" t="str">
        <f t="shared" si="5"/>
        <v>f</v>
      </c>
      <c r="G136" s="88" t="str">
        <f t="shared" si="6"/>
        <v>b02.00</v>
      </c>
      <c r="H136" s="88" t="str">
        <f t="shared" si="7"/>
        <v>0461_csd_lei</v>
      </c>
      <c r="I136" s="88"/>
    </row>
    <row r="137" spans="2:9" x14ac:dyDescent="0.3">
      <c r="B137" s="87" t="s">
        <v>254</v>
      </c>
      <c r="C137" s="88">
        <v>8</v>
      </c>
      <c r="D137" s="88"/>
      <c r="E137" s="88" t="str">
        <f t="shared" si="4"/>
        <v>frmt</v>
      </c>
      <c r="F137" s="88" t="str">
        <f t="shared" si="5"/>
        <v>f</v>
      </c>
      <c r="G137" s="88" t="str">
        <f t="shared" si="6"/>
        <v>b02.00</v>
      </c>
      <c r="H137" s="88" t="str">
        <f t="shared" si="7"/>
        <v>0462_csd_othr</v>
      </c>
      <c r="I137" s="91" t="s">
        <v>255</v>
      </c>
    </row>
    <row r="138" spans="2:9" x14ac:dyDescent="0.3">
      <c r="B138" s="87" t="s">
        <v>256</v>
      </c>
      <c r="C138" s="88">
        <v>0</v>
      </c>
      <c r="D138" s="88"/>
      <c r="E138" s="88" t="str">
        <f t="shared" ref="E138:E198" si="8">+MID(B138,7,4)</f>
        <v>frmt</v>
      </c>
      <c r="F138" s="88" t="str">
        <f t="shared" ref="F138:F198" si="9">IF(LEFT(E138,3)="lvl",MID(B138,12,1),"f")</f>
        <v>f</v>
      </c>
      <c r="G138" s="88" t="str">
        <f t="shared" ref="G138:G198" si="10">+LEFT(B138,3)&amp;"."&amp;MID(B138,4,2)</f>
        <v>b02.00</v>
      </c>
      <c r="H138" s="88" t="str">
        <f t="shared" ref="H138:H198" si="11">IF(LEFT(E138,3)="lvl",IF(OR(RIGHT(B138,2)="_1",RIGHT(B138,2)="_2"),MID(B138,14,LEN(B138)-15),
MID(B138,14,LEN(B138))),MID(B138,12,LEN(B138)))</f>
        <v>0470_pyng_agnt</v>
      </c>
      <c r="I138" s="88"/>
    </row>
    <row r="139" spans="2:9" x14ac:dyDescent="0.3">
      <c r="B139" s="87" t="s">
        <v>257</v>
      </c>
      <c r="C139" s="88">
        <v>0</v>
      </c>
      <c r="D139" s="88"/>
      <c r="E139" s="88" t="str">
        <f t="shared" si="8"/>
        <v>frmt</v>
      </c>
      <c r="F139" s="88" t="str">
        <f t="shared" si="9"/>
        <v>f</v>
      </c>
      <c r="G139" s="88" t="str">
        <f t="shared" si="10"/>
        <v>b02.00</v>
      </c>
      <c r="H139" s="88" t="str">
        <f t="shared" si="11"/>
        <v>0471_pyng_agnt_lei</v>
      </c>
      <c r="I139" s="88"/>
    </row>
    <row r="140" spans="2:9" x14ac:dyDescent="0.3">
      <c r="B140" s="87" t="s">
        <v>258</v>
      </c>
      <c r="C140" s="88">
        <v>0</v>
      </c>
      <c r="D140" s="88"/>
      <c r="E140" s="88" t="str">
        <f t="shared" si="8"/>
        <v>frmt</v>
      </c>
      <c r="F140" s="88" t="str">
        <f t="shared" si="9"/>
        <v>f</v>
      </c>
      <c r="G140" s="88" t="str">
        <f t="shared" si="10"/>
        <v>b02.00</v>
      </c>
      <c r="H140" s="88" t="str">
        <f t="shared" si="11"/>
        <v>0480_trdng_vn</v>
      </c>
      <c r="I140" s="88"/>
    </row>
    <row r="141" spans="2:9" x14ac:dyDescent="0.3">
      <c r="B141" s="87" t="s">
        <v>259</v>
      </c>
      <c r="C141" s="88">
        <v>0</v>
      </c>
      <c r="D141" s="88"/>
      <c r="E141" s="88" t="str">
        <f t="shared" si="8"/>
        <v>frmt</v>
      </c>
      <c r="F141" s="88" t="str">
        <f t="shared" si="9"/>
        <v>f</v>
      </c>
      <c r="G141" s="88" t="str">
        <f t="shared" si="10"/>
        <v>b02.00</v>
      </c>
      <c r="H141" s="88" t="str">
        <f t="shared" si="11"/>
        <v>0481_trdng_vn_lei</v>
      </c>
      <c r="I141" s="88"/>
    </row>
    <row r="142" spans="2:9" x14ac:dyDescent="0.3">
      <c r="B142" s="87" t="s">
        <v>260</v>
      </c>
      <c r="C142" s="88">
        <v>0</v>
      </c>
      <c r="D142" s="88"/>
      <c r="E142" s="88" t="str">
        <f t="shared" si="8"/>
        <v>frmt</v>
      </c>
      <c r="F142" s="88" t="str">
        <f t="shared" si="9"/>
        <v>f</v>
      </c>
      <c r="G142" s="88" t="str">
        <f t="shared" si="10"/>
        <v>b02.00</v>
      </c>
      <c r="H142" s="88" t="str">
        <f t="shared" si="11"/>
        <v>0490_rgstrr</v>
      </c>
      <c r="I142" s="88"/>
    </row>
    <row r="143" spans="2:9" x14ac:dyDescent="0.3">
      <c r="B143" s="87" t="s">
        <v>261</v>
      </c>
      <c r="C143" s="88">
        <v>0</v>
      </c>
      <c r="D143" s="88"/>
      <c r="E143" s="88" t="str">
        <f t="shared" si="8"/>
        <v>frmt</v>
      </c>
      <c r="F143" s="88" t="str">
        <f t="shared" si="9"/>
        <v>f</v>
      </c>
      <c r="G143" s="88" t="str">
        <f t="shared" si="10"/>
        <v>b02.00</v>
      </c>
      <c r="H143" s="88" t="str">
        <f t="shared" si="11"/>
        <v>0491_rgstrr_lei</v>
      </c>
      <c r="I143" s="88"/>
    </row>
    <row r="144" spans="2:9" x14ac:dyDescent="0.3">
      <c r="B144" s="87" t="s">
        <v>262</v>
      </c>
      <c r="C144" s="88">
        <v>0</v>
      </c>
      <c r="D144" s="88"/>
      <c r="E144" s="88" t="str">
        <f t="shared" si="8"/>
        <v>frmt</v>
      </c>
      <c r="F144" s="88" t="str">
        <f t="shared" si="9"/>
        <v>f</v>
      </c>
      <c r="G144" s="88" t="str">
        <f t="shared" si="10"/>
        <v>b02.00</v>
      </c>
      <c r="H144" s="88" t="str">
        <f t="shared" si="11"/>
        <v>0500_nna</v>
      </c>
      <c r="I144" s="88"/>
    </row>
    <row r="145" spans="2:9" x14ac:dyDescent="0.3">
      <c r="B145" s="87" t="s">
        <v>263</v>
      </c>
      <c r="C145" s="88">
        <v>0</v>
      </c>
      <c r="D145" s="88"/>
      <c r="E145" s="88" t="str">
        <f t="shared" si="8"/>
        <v>frmt</v>
      </c>
      <c r="F145" s="88" t="str">
        <f t="shared" si="9"/>
        <v>f</v>
      </c>
      <c r="G145" s="88" t="str">
        <f t="shared" si="10"/>
        <v>b02.00</v>
      </c>
      <c r="H145" s="88" t="str">
        <f t="shared" si="11"/>
        <v>0501_nna_lei</v>
      </c>
      <c r="I145" s="88"/>
    </row>
    <row r="146" spans="2:9" x14ac:dyDescent="0.3">
      <c r="B146" s="87" t="s">
        <v>264</v>
      </c>
      <c r="C146" s="88">
        <v>0</v>
      </c>
      <c r="D146" s="88"/>
      <c r="E146" s="88" t="str">
        <f t="shared" si="8"/>
        <v>frmt</v>
      </c>
      <c r="F146" s="88" t="str">
        <f t="shared" si="9"/>
        <v>f</v>
      </c>
      <c r="G146" s="88" t="str">
        <f t="shared" si="10"/>
        <v>b02.00</v>
      </c>
      <c r="H146" s="88" t="str">
        <f t="shared" si="11"/>
        <v>0510_cmmn_dpstry</v>
      </c>
      <c r="I146" s="88"/>
    </row>
    <row r="147" spans="2:9" x14ac:dyDescent="0.3">
      <c r="B147" s="87" t="s">
        <v>265</v>
      </c>
      <c r="C147" s="88">
        <v>0</v>
      </c>
      <c r="D147" s="88"/>
      <c r="E147" s="88" t="str">
        <f t="shared" si="8"/>
        <v>frmt</v>
      </c>
      <c r="F147" s="88" t="str">
        <f t="shared" si="9"/>
        <v>f</v>
      </c>
      <c r="G147" s="88" t="str">
        <f t="shared" si="10"/>
        <v>b02.00</v>
      </c>
      <c r="H147" s="88" t="str">
        <f t="shared" si="11"/>
        <v>0511_cmmn_dpstry_lei</v>
      </c>
      <c r="I147" s="88"/>
    </row>
    <row r="148" spans="2:9" x14ac:dyDescent="0.3">
      <c r="B148" s="87" t="s">
        <v>266</v>
      </c>
      <c r="C148" s="88">
        <v>0</v>
      </c>
      <c r="D148" s="88"/>
      <c r="E148" s="88" t="str">
        <f t="shared" si="8"/>
        <v>frmt</v>
      </c>
      <c r="F148" s="88" t="str">
        <f t="shared" si="9"/>
        <v>f</v>
      </c>
      <c r="G148" s="88" t="str">
        <f t="shared" si="10"/>
        <v>b02.00</v>
      </c>
      <c r="H148" s="88" t="str">
        <f t="shared" si="11"/>
        <v>0520_cmmn_srvc_prvdr</v>
      </c>
      <c r="I148" s="88"/>
    </row>
    <row r="149" spans="2:9" x14ac:dyDescent="0.3">
      <c r="B149" s="87" t="s">
        <v>267</v>
      </c>
      <c r="C149" s="88">
        <v>0</v>
      </c>
      <c r="D149" s="88"/>
      <c r="E149" s="88" t="str">
        <f t="shared" si="8"/>
        <v>frmt</v>
      </c>
      <c r="F149" s="88" t="str">
        <f t="shared" si="9"/>
        <v>f</v>
      </c>
      <c r="G149" s="88" t="str">
        <f t="shared" si="10"/>
        <v>b02.00</v>
      </c>
      <c r="H149" s="88" t="str">
        <f t="shared" si="11"/>
        <v>0521_cmmn_srvc_prvdr_lei</v>
      </c>
      <c r="I149" s="88"/>
    </row>
    <row r="150" spans="2:9" x14ac:dyDescent="0.3">
      <c r="B150" s="87" t="s">
        <v>268</v>
      </c>
      <c r="C150" s="88">
        <v>0</v>
      </c>
      <c r="D150" s="88"/>
      <c r="E150" s="88" t="str">
        <f t="shared" si="8"/>
        <v>frmt</v>
      </c>
      <c r="F150" s="88" t="str">
        <f t="shared" si="9"/>
        <v>f</v>
      </c>
      <c r="G150" s="88" t="str">
        <f t="shared" si="10"/>
        <v>b02.00</v>
      </c>
      <c r="H150" s="88" t="str">
        <f t="shared" si="11"/>
        <v>0530_typ_own_fnds_ind_lvl</v>
      </c>
      <c r="I150" s="88"/>
    </row>
    <row r="151" spans="2:9" x14ac:dyDescent="0.3">
      <c r="B151" s="87" t="s">
        <v>269</v>
      </c>
      <c r="C151" s="88">
        <v>0</v>
      </c>
      <c r="D151" s="88"/>
      <c r="E151" s="88" t="str">
        <f t="shared" si="8"/>
        <v>frmt</v>
      </c>
      <c r="F151" s="88" t="str">
        <f t="shared" si="9"/>
        <v>f</v>
      </c>
      <c r="G151" s="88" t="str">
        <f t="shared" si="10"/>
        <v>b02.00</v>
      </c>
      <c r="H151" s="88" t="str">
        <f t="shared" si="11"/>
        <v>0540_elgbl_amnt_own_fnds_ind_lvl</v>
      </c>
      <c r="I151" s="88"/>
    </row>
    <row r="152" spans="2:9" x14ac:dyDescent="0.3">
      <c r="B152" s="87" t="s">
        <v>270</v>
      </c>
      <c r="C152" s="88">
        <v>0</v>
      </c>
      <c r="D152" s="88"/>
      <c r="E152" s="88" t="str">
        <f t="shared" si="8"/>
        <v>frmt</v>
      </c>
      <c r="F152" s="88" t="str">
        <f t="shared" si="9"/>
        <v>f</v>
      </c>
      <c r="G152" s="88" t="str">
        <f t="shared" si="10"/>
        <v>b02.00</v>
      </c>
      <c r="H152" s="88" t="str">
        <f t="shared" si="11"/>
        <v>0550_typ_own_fnds_cnsldtd_lvl</v>
      </c>
      <c r="I152" s="88"/>
    </row>
    <row r="153" spans="2:9" x14ac:dyDescent="0.3">
      <c r="B153" s="87" t="s">
        <v>271</v>
      </c>
      <c r="C153" s="88">
        <v>0</v>
      </c>
      <c r="D153" s="88"/>
      <c r="E153" s="88" t="str">
        <f t="shared" si="8"/>
        <v>frmt</v>
      </c>
      <c r="F153" s="88" t="str">
        <f t="shared" si="9"/>
        <v>f</v>
      </c>
      <c r="G153" s="88" t="str">
        <f t="shared" si="10"/>
        <v>b02.00</v>
      </c>
      <c r="H153" s="88" t="str">
        <f t="shared" si="11"/>
        <v>0560_elgbl_amnt_own_fnds_cnsldtd_lvl</v>
      </c>
      <c r="I153" s="88"/>
    </row>
    <row r="154" spans="2:9" x14ac:dyDescent="0.3">
      <c r="B154" s="87" t="s">
        <v>272</v>
      </c>
      <c r="C154" s="88">
        <v>0</v>
      </c>
      <c r="D154" s="88"/>
      <c r="E154" s="88" t="str">
        <f t="shared" si="8"/>
        <v>frmt</v>
      </c>
      <c r="F154" s="88" t="str">
        <f t="shared" si="9"/>
        <v>f</v>
      </c>
      <c r="G154" s="88" t="str">
        <f t="shared" si="10"/>
        <v>b02.00</v>
      </c>
      <c r="H154" s="88" t="str">
        <f t="shared" si="11"/>
        <v>0570_amnt_scrty_intrst_prvdd</v>
      </c>
      <c r="I154" s="88"/>
    </row>
    <row r="155" spans="2:9" x14ac:dyDescent="0.3">
      <c r="B155" s="87" t="s">
        <v>273</v>
      </c>
      <c r="C155" s="88">
        <v>0</v>
      </c>
      <c r="D155" s="88"/>
      <c r="E155" s="88" t="str">
        <f t="shared" si="8"/>
        <v>frmt</v>
      </c>
      <c r="F155" s="88" t="str">
        <f t="shared" si="9"/>
        <v>f</v>
      </c>
      <c r="G155" s="88" t="str">
        <f t="shared" si="10"/>
        <v>b02.00</v>
      </c>
      <c r="H155" s="88" t="str">
        <f t="shared" si="11"/>
        <v>0580_scrty_intrst_prvdr</v>
      </c>
      <c r="I155" s="88"/>
    </row>
    <row r="156" spans="2:9" x14ac:dyDescent="0.3">
      <c r="B156" s="87" t="s">
        <v>274</v>
      </c>
      <c r="C156" s="88">
        <v>0</v>
      </c>
      <c r="D156" s="88"/>
      <c r="E156" s="88" t="str">
        <f t="shared" si="8"/>
        <v>frmt</v>
      </c>
      <c r="F156" s="88" t="str">
        <f t="shared" si="9"/>
        <v>f</v>
      </c>
      <c r="G156" s="88" t="str">
        <f t="shared" si="10"/>
        <v>b02.00</v>
      </c>
      <c r="H156" s="88" t="str">
        <f t="shared" si="11"/>
        <v>0581_scrty_intrst_prvdr_lei</v>
      </c>
      <c r="I156" s="88"/>
    </row>
    <row r="157" spans="2:9" x14ac:dyDescent="0.3">
      <c r="B157" s="87" t="s">
        <v>275</v>
      </c>
      <c r="C157" s="88">
        <v>0</v>
      </c>
      <c r="D157" s="88"/>
      <c r="E157" s="88" t="str">
        <f t="shared" si="8"/>
        <v>frmt</v>
      </c>
      <c r="F157" s="88" t="str">
        <f t="shared" si="9"/>
        <v>f</v>
      </c>
      <c r="G157" s="88" t="str">
        <f t="shared" si="10"/>
        <v>b02.00</v>
      </c>
      <c r="H157" s="88" t="str">
        <f t="shared" si="11"/>
        <v>0590_typ_scrty_intrst_prvdd</v>
      </c>
      <c r="I157" s="88"/>
    </row>
    <row r="158" spans="2:9" x14ac:dyDescent="0.3">
      <c r="B158" s="87" t="s">
        <v>276</v>
      </c>
      <c r="C158" s="88">
        <v>0</v>
      </c>
      <c r="D158" s="88"/>
      <c r="E158" s="88" t="str">
        <f t="shared" si="8"/>
        <v>frmt</v>
      </c>
      <c r="F158" s="88" t="str">
        <f t="shared" si="9"/>
        <v>f</v>
      </c>
      <c r="G158" s="88" t="str">
        <f t="shared" si="10"/>
        <v>b02.00</v>
      </c>
      <c r="H158" s="88" t="str">
        <f t="shared" si="11"/>
        <v>0600_flg_clltrl_asst_pstn</v>
      </c>
      <c r="I158" s="88"/>
    </row>
    <row r="159" spans="2:9" x14ac:dyDescent="0.3">
      <c r="B159" s="87" t="s">
        <v>277</v>
      </c>
      <c r="C159" s="88">
        <v>0</v>
      </c>
      <c r="D159" s="88"/>
      <c r="E159" s="88" t="str">
        <f t="shared" si="8"/>
        <v>frmt</v>
      </c>
      <c r="F159" s="88" t="str">
        <f t="shared" si="9"/>
        <v>f</v>
      </c>
      <c r="G159" s="88" t="str">
        <f t="shared" si="10"/>
        <v>b02.00</v>
      </c>
      <c r="H159" s="88" t="str">
        <f t="shared" si="11"/>
        <v>0610_crryng_amnt_ifrs</v>
      </c>
      <c r="I159" s="88"/>
    </row>
    <row r="160" spans="2:9" x14ac:dyDescent="0.3">
      <c r="B160" s="87" t="s">
        <v>278</v>
      </c>
      <c r="C160" s="88">
        <v>0</v>
      </c>
      <c r="D160" s="88"/>
      <c r="E160" s="88" t="str">
        <f t="shared" si="8"/>
        <v>frmt</v>
      </c>
      <c r="F160" s="88" t="str">
        <f t="shared" si="9"/>
        <v>f</v>
      </c>
      <c r="G160" s="88" t="str">
        <f t="shared" si="10"/>
        <v>b02.00</v>
      </c>
      <c r="H160" s="88" t="str">
        <f t="shared" si="11"/>
        <v>0620_blnc_sht_ifrs</v>
      </c>
      <c r="I160" s="88"/>
    </row>
    <row r="161" spans="2:9" x14ac:dyDescent="0.3">
      <c r="B161" s="87" t="s">
        <v>279</v>
      </c>
      <c r="C161" s="88">
        <v>0</v>
      </c>
      <c r="D161" s="88"/>
      <c r="E161" s="88" t="str">
        <f t="shared" si="8"/>
        <v>frmt</v>
      </c>
      <c r="F161" s="88" t="str">
        <f t="shared" si="9"/>
        <v>f</v>
      </c>
      <c r="G161" s="88" t="str">
        <f t="shared" si="10"/>
        <v>b02.00</v>
      </c>
      <c r="H161" s="88" t="str">
        <f t="shared" si="11"/>
        <v>0630_crrying_amnt_ngaap</v>
      </c>
      <c r="I161" s="88"/>
    </row>
    <row r="162" spans="2:9" x14ac:dyDescent="0.3">
      <c r="B162" s="87" t="s">
        <v>280</v>
      </c>
      <c r="C162" s="88">
        <v>8</v>
      </c>
      <c r="D162" s="88"/>
      <c r="E162" s="88" t="str">
        <f t="shared" si="8"/>
        <v>frmt</v>
      </c>
      <c r="F162" s="88" t="str">
        <f t="shared" si="9"/>
        <v>f</v>
      </c>
      <c r="G162" s="88" t="str">
        <f t="shared" si="10"/>
        <v>b02.00</v>
      </c>
      <c r="H162" s="88" t="str">
        <f t="shared" si="11"/>
        <v>0640_blnc_sht_ngaap</v>
      </c>
      <c r="I162" s="92" t="s">
        <v>281</v>
      </c>
    </row>
    <row r="163" spans="2:9" x14ac:dyDescent="0.3">
      <c r="B163" s="87" t="s">
        <v>282</v>
      </c>
      <c r="C163" s="88">
        <v>0</v>
      </c>
      <c r="D163" s="88"/>
      <c r="E163" s="88" t="str">
        <f t="shared" si="8"/>
        <v>frmt</v>
      </c>
      <c r="F163" s="88" t="str">
        <f t="shared" si="9"/>
        <v>f</v>
      </c>
      <c r="G163" s="88" t="str">
        <f t="shared" si="10"/>
        <v>b02.00</v>
      </c>
      <c r="H163" s="88" t="str">
        <f t="shared" si="11"/>
        <v>5000_flg_shrhldr_not_rsltn_grp</v>
      </c>
      <c r="I163" s="88"/>
    </row>
    <row r="164" spans="2:9" x14ac:dyDescent="0.3">
      <c r="B164" s="87" t="s">
        <v>283</v>
      </c>
      <c r="C164" s="88">
        <v>0</v>
      </c>
      <c r="D164" s="88"/>
      <c r="E164" s="88" t="str">
        <f t="shared" si="8"/>
        <v>frmt</v>
      </c>
      <c r="F164" s="88" t="str">
        <f t="shared" si="9"/>
        <v>f</v>
      </c>
      <c r="G164" s="88" t="str">
        <f t="shared" si="10"/>
        <v>b02.00</v>
      </c>
      <c r="H164" s="88" t="str">
        <f t="shared" si="11"/>
        <v>5010_flg_art21_7a_srmr</v>
      </c>
      <c r="I164" s="88"/>
    </row>
    <row r="165" spans="2:9" x14ac:dyDescent="0.3">
      <c r="B165" s="87" t="s">
        <v>284</v>
      </c>
      <c r="C165" s="88">
        <v>0</v>
      </c>
      <c r="D165" s="88"/>
      <c r="E165" s="88" t="str">
        <f t="shared" si="8"/>
        <v>lvl2</v>
      </c>
      <c r="F165" s="88" t="str">
        <f t="shared" si="9"/>
        <v>h</v>
      </c>
      <c r="G165" s="88" t="str">
        <f t="shared" si="10"/>
        <v>b05.00</v>
      </c>
      <c r="H165" s="88" t="str">
        <f t="shared" si="11"/>
        <v>0030_governing_law</v>
      </c>
      <c r="I165" s="88"/>
    </row>
    <row r="166" spans="2:9" x14ac:dyDescent="0.3">
      <c r="B166" s="87" t="s">
        <v>285</v>
      </c>
      <c r="C166" s="88">
        <v>0</v>
      </c>
      <c r="D166" s="88"/>
      <c r="E166" s="88" t="str">
        <f t="shared" si="8"/>
        <v>lvl2</v>
      </c>
      <c r="F166" s="88" t="str">
        <f t="shared" si="9"/>
        <v>h</v>
      </c>
      <c r="G166" s="88" t="str">
        <f t="shared" si="10"/>
        <v>b05.00</v>
      </c>
      <c r="H166" s="88" t="str">
        <f t="shared" si="11"/>
        <v>0050_typ_guarantee</v>
      </c>
      <c r="I166" s="88"/>
    </row>
    <row r="167" spans="2:9" x14ac:dyDescent="0.3">
      <c r="B167" s="87" t="s">
        <v>286</v>
      </c>
      <c r="C167" s="88">
        <v>0</v>
      </c>
      <c r="D167" s="88"/>
      <c r="E167" s="88" t="str">
        <f t="shared" si="8"/>
        <v>lvl2</v>
      </c>
      <c r="F167" s="88" t="str">
        <f t="shared" si="9"/>
        <v>h</v>
      </c>
      <c r="G167" s="88" t="str">
        <f t="shared" si="10"/>
        <v>b05.00</v>
      </c>
      <c r="H167" s="88" t="str">
        <f t="shared" si="11"/>
        <v>0060_max_amnt_guarantee</v>
      </c>
      <c r="I167" s="88"/>
    </row>
    <row r="168" spans="2:9" x14ac:dyDescent="0.3">
      <c r="B168" s="87" t="s">
        <v>287</v>
      </c>
      <c r="C168" s="88">
        <v>4730</v>
      </c>
      <c r="D168" s="88"/>
      <c r="E168" s="88" t="str">
        <f t="shared" si="8"/>
        <v>lvl2</v>
      </c>
      <c r="F168" s="88" t="str">
        <f t="shared" si="9"/>
        <v>h</v>
      </c>
      <c r="G168" s="88" t="str">
        <f t="shared" si="10"/>
        <v>b05.00</v>
      </c>
      <c r="H168" s="88" t="str">
        <f t="shared" si="11"/>
        <v>0070_flg_scrd</v>
      </c>
      <c r="I168" s="88"/>
    </row>
    <row r="169" spans="2:9" x14ac:dyDescent="0.3">
      <c r="B169" s="87" t="s">
        <v>288</v>
      </c>
      <c r="C169" s="88">
        <v>0</v>
      </c>
      <c r="D169" s="88"/>
      <c r="E169" s="88" t="str">
        <f t="shared" si="8"/>
        <v>lvl2</v>
      </c>
      <c r="F169" s="88" t="str">
        <f t="shared" si="9"/>
        <v>h</v>
      </c>
      <c r="G169" s="88" t="str">
        <f t="shared" si="10"/>
        <v>b05.00</v>
      </c>
      <c r="H169" s="88" t="str">
        <f t="shared" si="11"/>
        <v>0080_amnt_clltrl</v>
      </c>
      <c r="I169" s="88"/>
    </row>
    <row r="170" spans="2:9" x14ac:dyDescent="0.3">
      <c r="B170" s="87" t="s">
        <v>289</v>
      </c>
      <c r="C170" s="88">
        <v>0</v>
      </c>
      <c r="D170" s="88"/>
      <c r="E170" s="88" t="str">
        <f t="shared" si="8"/>
        <v>frmt</v>
      </c>
      <c r="F170" s="88" t="str">
        <f t="shared" si="9"/>
        <v>f</v>
      </c>
      <c r="G170" s="88" t="str">
        <f t="shared" si="10"/>
        <v>b05.00</v>
      </c>
      <c r="H170" s="88" t="str">
        <f t="shared" si="11"/>
        <v>0010_row_nmbr</v>
      </c>
      <c r="I170" s="88"/>
    </row>
    <row r="171" spans="2:9" x14ac:dyDescent="0.3">
      <c r="B171" s="87" t="s">
        <v>290</v>
      </c>
      <c r="C171" s="88">
        <v>0</v>
      </c>
      <c r="D171" s="88"/>
      <c r="E171" s="88" t="str">
        <f t="shared" si="8"/>
        <v>frmt</v>
      </c>
      <c r="F171" s="88" t="str">
        <f t="shared" si="9"/>
        <v>f</v>
      </c>
      <c r="G171" s="88" t="str">
        <f t="shared" si="10"/>
        <v>b05.00</v>
      </c>
      <c r="H171" s="88" t="str">
        <f t="shared" si="11"/>
        <v>0020_uniq_id_guarantee</v>
      </c>
      <c r="I171" s="88"/>
    </row>
    <row r="172" spans="2:9" x14ac:dyDescent="0.3">
      <c r="B172" s="87" t="s">
        <v>291</v>
      </c>
      <c r="C172" s="88">
        <v>0</v>
      </c>
      <c r="D172" s="88"/>
      <c r="E172" s="88" t="str">
        <f t="shared" si="8"/>
        <v>frmt</v>
      </c>
      <c r="F172" s="88" t="str">
        <f t="shared" si="9"/>
        <v>f</v>
      </c>
      <c r="G172" s="88" t="str">
        <f t="shared" si="10"/>
        <v>b05.00</v>
      </c>
      <c r="H172" s="88" t="str">
        <f t="shared" si="11"/>
        <v>0030_governing_law</v>
      </c>
      <c r="I172" s="88"/>
    </row>
    <row r="173" spans="2:9" x14ac:dyDescent="0.3">
      <c r="B173" s="87" t="s">
        <v>292</v>
      </c>
      <c r="C173" s="88">
        <v>0</v>
      </c>
      <c r="D173" s="88"/>
      <c r="E173" s="88" t="str">
        <f t="shared" si="8"/>
        <v>frmt</v>
      </c>
      <c r="F173" s="88" t="str">
        <f t="shared" si="9"/>
        <v>f</v>
      </c>
      <c r="G173" s="88" t="str">
        <f t="shared" si="10"/>
        <v>b05.00</v>
      </c>
      <c r="H173" s="88" t="str">
        <f t="shared" si="11"/>
        <v>0040_flg_art12g_3_srmr</v>
      </c>
      <c r="I173" s="88"/>
    </row>
    <row r="174" spans="2:9" x14ac:dyDescent="0.3">
      <c r="B174" s="87" t="s">
        <v>293</v>
      </c>
      <c r="C174" s="88">
        <v>0</v>
      </c>
      <c r="D174" s="88"/>
      <c r="E174" s="88" t="str">
        <f t="shared" si="8"/>
        <v>frmt</v>
      </c>
      <c r="F174" s="88" t="str">
        <f t="shared" si="9"/>
        <v>f</v>
      </c>
      <c r="G174" s="88" t="str">
        <f t="shared" si="10"/>
        <v>b05.00</v>
      </c>
      <c r="H174" s="88" t="str">
        <f t="shared" si="11"/>
        <v>0050_typ_guarantee</v>
      </c>
      <c r="I174" s="88"/>
    </row>
    <row r="175" spans="2:9" x14ac:dyDescent="0.3">
      <c r="B175" s="87" t="s">
        <v>294</v>
      </c>
      <c r="C175" s="88">
        <v>0</v>
      </c>
      <c r="D175" s="88"/>
      <c r="E175" s="88" t="str">
        <f t="shared" si="8"/>
        <v>frmt</v>
      </c>
      <c r="F175" s="88" t="str">
        <f t="shared" si="9"/>
        <v>f</v>
      </c>
      <c r="G175" s="88" t="str">
        <f t="shared" si="10"/>
        <v>b05.00</v>
      </c>
      <c r="H175" s="88" t="str">
        <f t="shared" si="11"/>
        <v>0060_max_amnt_guarantee</v>
      </c>
      <c r="I175" s="88"/>
    </row>
    <row r="176" spans="2:9" x14ac:dyDescent="0.3">
      <c r="B176" s="87" t="s">
        <v>295</v>
      </c>
      <c r="C176" s="88">
        <v>0</v>
      </c>
      <c r="D176" s="88"/>
      <c r="E176" s="88" t="str">
        <f t="shared" si="8"/>
        <v>frmt</v>
      </c>
      <c r="F176" s="88" t="str">
        <f t="shared" si="9"/>
        <v>f</v>
      </c>
      <c r="G176" s="88" t="str">
        <f t="shared" si="10"/>
        <v>b05.00</v>
      </c>
      <c r="H176" s="88" t="str">
        <f t="shared" si="11"/>
        <v>0070_flg_scrd</v>
      </c>
      <c r="I176" s="88"/>
    </row>
    <row r="177" spans="2:9" x14ac:dyDescent="0.3">
      <c r="B177" s="87" t="s">
        <v>296</v>
      </c>
      <c r="C177" s="88">
        <v>0</v>
      </c>
      <c r="D177" s="88"/>
      <c r="E177" s="88" t="str">
        <f t="shared" si="8"/>
        <v>frmt</v>
      </c>
      <c r="F177" s="88" t="str">
        <f t="shared" si="9"/>
        <v>f</v>
      </c>
      <c r="G177" s="88" t="str">
        <f t="shared" si="10"/>
        <v>b05.00</v>
      </c>
      <c r="H177" s="88" t="str">
        <f t="shared" si="11"/>
        <v>0080_amnt_clltrl</v>
      </c>
      <c r="I177" s="88"/>
    </row>
    <row r="178" spans="2:9" x14ac:dyDescent="0.3">
      <c r="B178" s="87" t="s">
        <v>297</v>
      </c>
      <c r="C178" s="88">
        <v>0</v>
      </c>
      <c r="D178" s="88"/>
      <c r="E178" s="88" t="str">
        <f t="shared" si="8"/>
        <v>frmt</v>
      </c>
      <c r="F178" s="88" t="str">
        <f t="shared" si="9"/>
        <v>f</v>
      </c>
      <c r="G178" s="88" t="str">
        <f t="shared" si="10"/>
        <v>b05.00</v>
      </c>
      <c r="H178" s="88" t="str">
        <f t="shared" si="11"/>
        <v>0090_guarantee_trggr</v>
      </c>
      <c r="I178" s="88"/>
    </row>
    <row r="179" spans="2:9" x14ac:dyDescent="0.3">
      <c r="B179" s="87" t="s">
        <v>298</v>
      </c>
      <c r="C179" s="88">
        <v>0</v>
      </c>
      <c r="D179" s="88"/>
      <c r="E179" s="88" t="str">
        <f t="shared" si="8"/>
        <v>frmt</v>
      </c>
      <c r="F179" s="88" t="str">
        <f t="shared" si="9"/>
        <v>f</v>
      </c>
      <c r="G179" s="88" t="str">
        <f t="shared" si="10"/>
        <v>b05.00</v>
      </c>
      <c r="H179" s="88" t="str">
        <f t="shared" si="11"/>
        <v>0100_dt_mtrty_clltrl</v>
      </c>
      <c r="I179" s="88"/>
    </row>
    <row r="180" spans="2:9" x14ac:dyDescent="0.3">
      <c r="B180" s="87" t="s">
        <v>299</v>
      </c>
      <c r="C180" s="88">
        <v>0</v>
      </c>
      <c r="D180" s="88"/>
      <c r="E180" s="88" t="str">
        <f t="shared" si="8"/>
        <v>frmt</v>
      </c>
      <c r="F180" s="88" t="str">
        <f t="shared" si="9"/>
        <v>f</v>
      </c>
      <c r="G180" s="88" t="str">
        <f t="shared" si="10"/>
        <v>b05.00</v>
      </c>
      <c r="H180" s="88" t="str">
        <f t="shared" si="11"/>
        <v>0110_scrts_clltrl_id</v>
      </c>
      <c r="I180" s="88"/>
    </row>
    <row r="181" spans="2:9" x14ac:dyDescent="0.3">
      <c r="B181" s="87" t="s">
        <v>300</v>
      </c>
      <c r="C181" s="88">
        <v>0</v>
      </c>
      <c r="D181" s="88"/>
      <c r="E181" s="88" t="str">
        <f t="shared" si="8"/>
        <v>frmt</v>
      </c>
      <c r="F181" s="88" t="str">
        <f t="shared" si="9"/>
        <v>f</v>
      </c>
      <c r="G181" s="88" t="str">
        <f t="shared" si="10"/>
        <v>b05.00</v>
      </c>
      <c r="H181" s="88" t="str">
        <f t="shared" si="11"/>
        <v>0120_typ_clltrlztn</v>
      </c>
      <c r="I181" s="88"/>
    </row>
    <row r="182" spans="2:9" x14ac:dyDescent="0.3">
      <c r="B182" s="87" t="s">
        <v>301</v>
      </c>
      <c r="C182" s="88">
        <v>4730</v>
      </c>
      <c r="D182" s="88"/>
      <c r="E182" s="88" t="str">
        <f t="shared" si="8"/>
        <v>frmt</v>
      </c>
      <c r="F182" s="88" t="str">
        <f t="shared" si="9"/>
        <v>f</v>
      </c>
      <c r="G182" s="88" t="str">
        <f t="shared" si="10"/>
        <v>b05.00</v>
      </c>
      <c r="H182" s="88" t="str">
        <f t="shared" si="11"/>
        <v>0130_typ_prtctn_vl</v>
      </c>
      <c r="I182" s="92" t="s">
        <v>302</v>
      </c>
    </row>
    <row r="183" spans="2:9" x14ac:dyDescent="0.3">
      <c r="B183" s="87" t="s">
        <v>303</v>
      </c>
      <c r="C183" s="88">
        <v>4730</v>
      </c>
      <c r="D183" s="88"/>
      <c r="E183" s="88" t="str">
        <f t="shared" si="8"/>
        <v>frmt</v>
      </c>
      <c r="F183" s="88" t="str">
        <f t="shared" si="9"/>
        <v>f</v>
      </c>
      <c r="G183" s="88" t="str">
        <f t="shared" si="10"/>
        <v>b05.00</v>
      </c>
      <c r="H183" s="88" t="str">
        <f t="shared" si="11"/>
        <v>0150_prtctn_vltn_apprch</v>
      </c>
      <c r="I183" s="92" t="s">
        <v>302</v>
      </c>
    </row>
    <row r="184" spans="2:9" x14ac:dyDescent="0.3">
      <c r="B184" s="87" t="s">
        <v>304</v>
      </c>
      <c r="C184" s="88">
        <v>4740</v>
      </c>
      <c r="D184" s="88"/>
      <c r="E184" s="88" t="str">
        <f t="shared" si="8"/>
        <v>lvl1</v>
      </c>
      <c r="F184" s="88" t="str">
        <f t="shared" si="9"/>
        <v>h</v>
      </c>
      <c r="G184" s="88" t="str">
        <f t="shared" si="10"/>
        <v>b90.00</v>
      </c>
      <c r="H184" s="88" t="str">
        <f t="shared" si="11"/>
        <v>0030_cntrprty_rsltn_grp</v>
      </c>
      <c r="I184" s="88"/>
    </row>
    <row r="185" spans="2:9" x14ac:dyDescent="0.3">
      <c r="B185" s="87" t="s">
        <v>305</v>
      </c>
      <c r="C185" s="88">
        <v>0</v>
      </c>
      <c r="D185" s="88"/>
      <c r="E185" s="88" t="str">
        <f t="shared" si="8"/>
        <v>lvl2</v>
      </c>
      <c r="F185" s="88" t="str">
        <f t="shared" si="9"/>
        <v>h</v>
      </c>
      <c r="G185" s="88" t="str">
        <f t="shared" si="10"/>
        <v>b90.00</v>
      </c>
      <c r="H185" s="88" t="str">
        <f t="shared" si="11"/>
        <v>0030_cntrprty_rsltn_grp</v>
      </c>
      <c r="I185" s="88"/>
    </row>
    <row r="186" spans="2:9" x14ac:dyDescent="0.3">
      <c r="B186" s="87" t="s">
        <v>306</v>
      </c>
      <c r="C186" s="88">
        <v>0</v>
      </c>
      <c r="D186" s="88"/>
      <c r="E186" s="88" t="str">
        <f t="shared" si="8"/>
        <v>lvl2</v>
      </c>
      <c r="F186" s="88" t="str">
        <f t="shared" si="9"/>
        <v>h</v>
      </c>
      <c r="G186" s="88" t="str">
        <f t="shared" si="10"/>
        <v>b90.00</v>
      </c>
      <c r="H186" s="88" t="str">
        <f t="shared" si="11"/>
        <v>0080_cntrprty_typ</v>
      </c>
      <c r="I186" s="88"/>
    </row>
    <row r="187" spans="2:9" x14ac:dyDescent="0.3">
      <c r="B187" s="87" t="s">
        <v>307</v>
      </c>
      <c r="C187" s="88">
        <v>2</v>
      </c>
      <c r="D187" s="88"/>
      <c r="E187" s="88" t="str">
        <f t="shared" si="8"/>
        <v>lvl2</v>
      </c>
      <c r="F187" s="88" t="str">
        <f t="shared" si="9"/>
        <v>h</v>
      </c>
      <c r="G187" s="88" t="str">
        <f t="shared" si="10"/>
        <v>b90.00</v>
      </c>
      <c r="H187" s="88" t="str">
        <f t="shared" si="11"/>
        <v>0090_cntry_cntrprty</v>
      </c>
      <c r="I187" s="92" t="s">
        <v>308</v>
      </c>
    </row>
    <row r="188" spans="2:9" x14ac:dyDescent="0.3">
      <c r="B188" s="87" t="s">
        <v>309</v>
      </c>
      <c r="C188" s="88">
        <v>0</v>
      </c>
      <c r="D188" s="88"/>
      <c r="E188" s="88" t="str">
        <f t="shared" si="8"/>
        <v>frmt</v>
      </c>
      <c r="F188" s="88" t="str">
        <f t="shared" si="9"/>
        <v>f</v>
      </c>
      <c r="G188" s="88" t="str">
        <f t="shared" si="10"/>
        <v>b90.00</v>
      </c>
      <c r="H188" s="88" t="str">
        <f t="shared" si="11"/>
        <v>0010_row_nmbr</v>
      </c>
      <c r="I188" s="88"/>
    </row>
    <row r="189" spans="2:9" x14ac:dyDescent="0.3">
      <c r="B189" s="87" t="s">
        <v>310</v>
      </c>
      <c r="C189" s="88">
        <v>0</v>
      </c>
      <c r="D189" s="88"/>
      <c r="E189" s="88" t="str">
        <f t="shared" si="8"/>
        <v>frmt</v>
      </c>
      <c r="F189" s="88" t="str">
        <f t="shared" si="9"/>
        <v>f</v>
      </c>
      <c r="G189" s="88" t="str">
        <f t="shared" si="10"/>
        <v>b90.00</v>
      </c>
      <c r="H189" s="88" t="str">
        <f t="shared" si="11"/>
        <v>0011_tab_origin</v>
      </c>
      <c r="I189" s="88"/>
    </row>
    <row r="190" spans="2:9" x14ac:dyDescent="0.3">
      <c r="B190" s="87" t="s">
        <v>311</v>
      </c>
      <c r="C190" s="88">
        <v>0</v>
      </c>
      <c r="D190" s="88"/>
      <c r="E190" s="88" t="str">
        <f t="shared" si="8"/>
        <v>frmt</v>
      </c>
      <c r="F190" s="88" t="str">
        <f t="shared" si="9"/>
        <v>f</v>
      </c>
      <c r="G190" s="88" t="str">
        <f t="shared" si="10"/>
        <v>b90.00</v>
      </c>
      <c r="H190" s="88" t="str">
        <f t="shared" si="11"/>
        <v>0020_uniq_id_knwn_cntrprty</v>
      </c>
      <c r="I190" s="88"/>
    </row>
    <row r="191" spans="2:9" x14ac:dyDescent="0.3">
      <c r="B191" s="87" t="s">
        <v>312</v>
      </c>
      <c r="C191" s="88">
        <v>0</v>
      </c>
      <c r="D191" s="88"/>
      <c r="E191" s="88" t="str">
        <f t="shared" si="8"/>
        <v>frmt</v>
      </c>
      <c r="F191" s="88" t="str">
        <f t="shared" si="9"/>
        <v>f</v>
      </c>
      <c r="G191" s="88" t="str">
        <f t="shared" si="10"/>
        <v>b90.00</v>
      </c>
      <c r="H191" s="88" t="str">
        <f t="shared" si="11"/>
        <v>0030_cntrprty_rsltn_grp</v>
      </c>
      <c r="I191" s="88"/>
    </row>
    <row r="192" spans="2:9" x14ac:dyDescent="0.3">
      <c r="B192" s="87" t="s">
        <v>313</v>
      </c>
      <c r="C192" s="88">
        <v>0</v>
      </c>
      <c r="D192" s="88"/>
      <c r="E192" s="88" t="str">
        <f t="shared" si="8"/>
        <v>frmt</v>
      </c>
      <c r="F192" s="88" t="str">
        <f t="shared" si="9"/>
        <v>f</v>
      </c>
      <c r="G192" s="88" t="str">
        <f t="shared" si="10"/>
        <v>b90.00</v>
      </c>
      <c r="H192" s="88" t="str">
        <f t="shared" si="11"/>
        <v>0040_cntrprty_nm</v>
      </c>
      <c r="I192" s="88"/>
    </row>
    <row r="193" spans="2:9" x14ac:dyDescent="0.3">
      <c r="B193" s="87" t="s">
        <v>314</v>
      </c>
      <c r="C193" s="88">
        <v>0</v>
      </c>
      <c r="D193" s="88"/>
      <c r="E193" s="88" t="str">
        <f t="shared" si="8"/>
        <v>frmt</v>
      </c>
      <c r="F193" s="88" t="str">
        <f t="shared" si="9"/>
        <v>f</v>
      </c>
      <c r="G193" s="88" t="str">
        <f t="shared" si="10"/>
        <v>b90.00</v>
      </c>
      <c r="H193" s="88" t="str">
        <f t="shared" si="11"/>
        <v>0050_cntrprty_lei</v>
      </c>
      <c r="I193" s="88"/>
    </row>
    <row r="194" spans="2:9" x14ac:dyDescent="0.3">
      <c r="B194" s="87" t="s">
        <v>315</v>
      </c>
      <c r="C194" s="88">
        <v>0</v>
      </c>
      <c r="D194" s="88"/>
      <c r="E194" s="88" t="str">
        <f t="shared" si="8"/>
        <v>frmt</v>
      </c>
      <c r="F194" s="88" t="str">
        <f t="shared" si="9"/>
        <v>f</v>
      </c>
      <c r="G194" s="88" t="str">
        <f t="shared" si="10"/>
        <v>b90.00</v>
      </c>
      <c r="H194" s="88" t="str">
        <f t="shared" si="11"/>
        <v>0060_typ_cntrprty_id</v>
      </c>
      <c r="I194" s="88"/>
    </row>
    <row r="195" spans="2:9" x14ac:dyDescent="0.3">
      <c r="B195" s="87" t="s">
        <v>316</v>
      </c>
      <c r="C195" s="88">
        <v>0</v>
      </c>
      <c r="D195" s="88"/>
      <c r="E195" s="88" t="str">
        <f t="shared" si="8"/>
        <v>frmt</v>
      </c>
      <c r="F195" s="88" t="str">
        <f t="shared" si="9"/>
        <v>f</v>
      </c>
      <c r="G195" s="88" t="str">
        <f t="shared" si="10"/>
        <v>b90.00</v>
      </c>
      <c r="H195" s="88" t="str">
        <f t="shared" si="11"/>
        <v>0070_cntrprty_id</v>
      </c>
      <c r="I195" s="88"/>
    </row>
    <row r="196" spans="2:9" x14ac:dyDescent="0.3">
      <c r="B196" s="87" t="s">
        <v>317</v>
      </c>
      <c r="C196" s="88">
        <v>0</v>
      </c>
      <c r="D196" s="88"/>
      <c r="E196" s="88" t="str">
        <f t="shared" si="8"/>
        <v>frmt</v>
      </c>
      <c r="F196" s="88" t="str">
        <f t="shared" si="9"/>
        <v>f</v>
      </c>
      <c r="G196" s="88" t="str">
        <f t="shared" si="10"/>
        <v>b90.00</v>
      </c>
      <c r="H196" s="88" t="str">
        <f t="shared" si="11"/>
        <v>0080_cntrprty_typ</v>
      </c>
      <c r="I196" s="88"/>
    </row>
    <row r="197" spans="2:9" x14ac:dyDescent="0.3">
      <c r="B197" s="87" t="s">
        <v>318</v>
      </c>
      <c r="C197" s="88">
        <v>2</v>
      </c>
      <c r="D197" s="88"/>
      <c r="E197" s="88" t="str">
        <f t="shared" si="8"/>
        <v>frmt</v>
      </c>
      <c r="F197" s="88" t="str">
        <f t="shared" si="9"/>
        <v>f</v>
      </c>
      <c r="G197" s="88" t="str">
        <f t="shared" si="10"/>
        <v>b90.00</v>
      </c>
      <c r="H197" s="88" t="str">
        <f t="shared" si="11"/>
        <v>0090_cntry_cntrprty</v>
      </c>
      <c r="I197" s="92" t="s">
        <v>308</v>
      </c>
    </row>
    <row r="198" spans="2:9" x14ac:dyDescent="0.3">
      <c r="B198" s="87" t="s">
        <v>319</v>
      </c>
      <c r="C198" s="88">
        <v>0</v>
      </c>
      <c r="D198" s="88"/>
      <c r="E198" s="88" t="str">
        <f t="shared" si="8"/>
        <v>frmt</v>
      </c>
      <c r="F198" s="88" t="str">
        <f t="shared" si="9"/>
        <v>f</v>
      </c>
      <c r="G198" s="88" t="str">
        <f t="shared" si="10"/>
        <v>b90.00</v>
      </c>
      <c r="H198" s="88" t="str">
        <f t="shared" si="11"/>
        <v>0100_rlvnt_amnt_wdc</v>
      </c>
      <c r="I198" s="88"/>
    </row>
  </sheetData>
  <autoFilter ref="B8:I198" xr:uid="{4DBD297C-90D5-43A6-AB56-481CB9A7E56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6CD8A-7C56-4B85-AF15-7FD4E534061F}">
  <dimension ref="A1:L158"/>
  <sheetViews>
    <sheetView showGridLines="0" zoomScale="80" zoomScaleNormal="80" workbookViewId="0">
      <selection activeCell="A9" sqref="A9"/>
    </sheetView>
  </sheetViews>
  <sheetFormatPr defaultRowHeight="14.4" x14ac:dyDescent="0.3"/>
  <cols>
    <col min="1" max="1" width="3.77734375" customWidth="1"/>
    <col min="2" max="2" width="48.77734375" bestFit="1" customWidth="1"/>
    <col min="3" max="3" width="44.44140625" bestFit="1" customWidth="1"/>
    <col min="4" max="4" width="18.5546875" bestFit="1" customWidth="1"/>
    <col min="5" max="5" width="10.109375" bestFit="1" customWidth="1"/>
    <col min="6" max="6" width="14.109375" bestFit="1" customWidth="1"/>
    <col min="7" max="8" width="14.109375" customWidth="1"/>
    <col min="9" max="9" width="48.5546875" customWidth="1"/>
    <col min="10" max="10" width="3.77734375" customWidth="1"/>
  </cols>
  <sheetData>
    <row r="1" spans="1:12" x14ac:dyDescent="0.3">
      <c r="A1" s="68"/>
      <c r="B1" s="68"/>
      <c r="C1" s="68"/>
      <c r="D1" s="68"/>
      <c r="E1" s="68"/>
      <c r="F1" s="68"/>
      <c r="G1" s="68"/>
      <c r="H1" s="68"/>
      <c r="I1" s="68"/>
      <c r="J1" s="68"/>
    </row>
    <row r="2" spans="1:12" x14ac:dyDescent="0.3">
      <c r="A2" s="68"/>
      <c r="B2" s="68"/>
      <c r="C2" s="68"/>
      <c r="D2" s="68"/>
      <c r="E2" s="68"/>
      <c r="F2" s="68"/>
      <c r="G2" s="68"/>
      <c r="H2" s="68"/>
      <c r="I2" s="68"/>
      <c r="J2" s="68"/>
      <c r="L2" s="102"/>
    </row>
    <row r="3" spans="1:12" x14ac:dyDescent="0.3">
      <c r="A3" s="68"/>
      <c r="B3" s="68"/>
      <c r="C3" s="68"/>
      <c r="D3" s="68"/>
      <c r="E3" s="68"/>
      <c r="F3" s="68"/>
      <c r="G3" s="68"/>
      <c r="H3" s="68"/>
      <c r="I3" s="68"/>
      <c r="J3" s="68"/>
      <c r="L3" s="102"/>
    </row>
    <row r="4" spans="1:12" ht="3" customHeight="1" x14ac:dyDescent="0.3">
      <c r="A4" s="69"/>
      <c r="B4" s="69"/>
      <c r="C4" s="69"/>
      <c r="D4" s="69"/>
      <c r="E4" s="69"/>
      <c r="F4" s="69"/>
      <c r="G4" s="69"/>
      <c r="H4" s="69"/>
      <c r="I4" s="69"/>
      <c r="J4" s="69"/>
    </row>
    <row r="5" spans="1:12" x14ac:dyDescent="0.3">
      <c r="A5" s="70"/>
      <c r="B5" s="70"/>
      <c r="C5" s="70"/>
      <c r="D5" s="70"/>
      <c r="E5" s="70"/>
      <c r="F5" s="70"/>
      <c r="G5" s="70"/>
      <c r="H5" s="70"/>
      <c r="I5" s="70"/>
      <c r="J5" s="70"/>
    </row>
    <row r="6" spans="1:12" ht="15" thickBot="1" x14ac:dyDescent="0.35">
      <c r="A6" s="70"/>
      <c r="B6" s="71" t="s">
        <v>321</v>
      </c>
      <c r="C6" s="72"/>
      <c r="D6" s="72"/>
      <c r="E6" s="72"/>
      <c r="F6" s="72"/>
      <c r="G6" s="72"/>
      <c r="H6" s="72"/>
      <c r="I6" s="72"/>
      <c r="J6" s="70"/>
    </row>
    <row r="7" spans="1:12" x14ac:dyDescent="0.3">
      <c r="A7" s="70"/>
      <c r="B7" s="70"/>
      <c r="C7" s="70"/>
      <c r="D7" s="70"/>
      <c r="E7" s="70"/>
      <c r="F7" s="70"/>
      <c r="G7" s="70"/>
      <c r="H7" s="70"/>
      <c r="I7" s="70"/>
      <c r="J7" s="70"/>
    </row>
    <row r="8" spans="1:12" x14ac:dyDescent="0.3">
      <c r="B8" s="86" t="s">
        <v>34</v>
      </c>
      <c r="C8" s="86" t="s">
        <v>36</v>
      </c>
      <c r="D8" s="86" t="s">
        <v>35</v>
      </c>
      <c r="E8" s="86" t="s">
        <v>37</v>
      </c>
      <c r="F8" s="86" t="s">
        <v>38</v>
      </c>
      <c r="G8" s="86" t="s">
        <v>338</v>
      </c>
      <c r="H8" s="93" t="s">
        <v>121</v>
      </c>
      <c r="I8" s="86" t="s">
        <v>123</v>
      </c>
    </row>
    <row r="9" spans="1:12" x14ac:dyDescent="0.3">
      <c r="B9" s="87" t="s">
        <v>40</v>
      </c>
      <c r="C9" s="87" t="s">
        <v>41</v>
      </c>
      <c r="D9" s="87" t="s">
        <v>39</v>
      </c>
      <c r="E9" s="88">
        <v>8</v>
      </c>
      <c r="F9" s="88">
        <v>0</v>
      </c>
      <c r="G9" s="88"/>
      <c r="H9" s="88" t="str">
        <f>MID(B9,22,3)&amp;"."&amp;MID(B9,25,2)</f>
        <v>B02.00</v>
      </c>
      <c r="I9" s="88"/>
    </row>
    <row r="10" spans="1:12" x14ac:dyDescent="0.3">
      <c r="B10" s="87" t="s">
        <v>40</v>
      </c>
      <c r="C10" s="87" t="s">
        <v>41</v>
      </c>
      <c r="D10" s="87" t="s">
        <v>42</v>
      </c>
      <c r="E10" s="88">
        <v>8</v>
      </c>
      <c r="F10" s="88">
        <v>0</v>
      </c>
      <c r="G10" s="88"/>
      <c r="H10" s="88" t="str">
        <f t="shared" ref="H10:H73" si="0">MID(B10,22,3)&amp;"."&amp;MID(B10,25,2)</f>
        <v>B02.00</v>
      </c>
      <c r="I10" s="88"/>
    </row>
    <row r="11" spans="1:12" x14ac:dyDescent="0.3">
      <c r="B11" s="87" t="s">
        <v>40</v>
      </c>
      <c r="C11" s="87" t="s">
        <v>43</v>
      </c>
      <c r="D11" s="87" t="s">
        <v>39</v>
      </c>
      <c r="E11" s="88">
        <v>8</v>
      </c>
      <c r="F11" s="88">
        <v>0</v>
      </c>
      <c r="G11" s="88"/>
      <c r="H11" s="88" t="str">
        <f t="shared" si="0"/>
        <v>B02.00</v>
      </c>
      <c r="I11" s="88"/>
    </row>
    <row r="12" spans="1:12" x14ac:dyDescent="0.3">
      <c r="B12" s="87" t="s">
        <v>40</v>
      </c>
      <c r="C12" s="87" t="s">
        <v>43</v>
      </c>
      <c r="D12" s="87" t="s">
        <v>42</v>
      </c>
      <c r="E12" s="88">
        <v>8</v>
      </c>
      <c r="F12" s="88">
        <v>0</v>
      </c>
      <c r="G12" s="88"/>
      <c r="H12" s="88" t="str">
        <f t="shared" si="0"/>
        <v>B02.00</v>
      </c>
      <c r="I12" s="88"/>
    </row>
    <row r="13" spans="1:12" x14ac:dyDescent="0.3">
      <c r="B13" s="87" t="s">
        <v>40</v>
      </c>
      <c r="C13" s="87" t="s">
        <v>44</v>
      </c>
      <c r="D13" s="87" t="s">
        <v>39</v>
      </c>
      <c r="E13" s="88">
        <v>8</v>
      </c>
      <c r="F13" s="88">
        <v>0</v>
      </c>
      <c r="G13" s="88"/>
      <c r="H13" s="88" t="str">
        <f t="shared" si="0"/>
        <v>B02.00</v>
      </c>
      <c r="I13" s="88"/>
    </row>
    <row r="14" spans="1:12" x14ac:dyDescent="0.3">
      <c r="B14" s="87" t="s">
        <v>40</v>
      </c>
      <c r="C14" s="87" t="s">
        <v>44</v>
      </c>
      <c r="D14" s="87" t="s">
        <v>42</v>
      </c>
      <c r="E14" s="88">
        <v>8</v>
      </c>
      <c r="F14" s="88">
        <v>0</v>
      </c>
      <c r="G14" s="88"/>
      <c r="H14" s="88" t="str">
        <f t="shared" si="0"/>
        <v>B02.00</v>
      </c>
      <c r="I14" s="88"/>
    </row>
    <row r="15" spans="1:12" x14ac:dyDescent="0.3">
      <c r="B15" s="87" t="s">
        <v>40</v>
      </c>
      <c r="C15" s="87" t="s">
        <v>45</v>
      </c>
      <c r="D15" s="87" t="s">
        <v>39</v>
      </c>
      <c r="E15" s="88">
        <v>8</v>
      </c>
      <c r="F15" s="88">
        <v>0</v>
      </c>
      <c r="G15" s="88"/>
      <c r="H15" s="88" t="str">
        <f t="shared" si="0"/>
        <v>B02.00</v>
      </c>
      <c r="I15" s="88"/>
    </row>
    <row r="16" spans="1:12" x14ac:dyDescent="0.3">
      <c r="B16" s="87" t="s">
        <v>40</v>
      </c>
      <c r="C16" s="87" t="s">
        <v>45</v>
      </c>
      <c r="D16" s="87" t="s">
        <v>42</v>
      </c>
      <c r="E16" s="88">
        <v>8</v>
      </c>
      <c r="F16" s="88">
        <v>0</v>
      </c>
      <c r="G16" s="88"/>
      <c r="H16" s="88" t="str">
        <f t="shared" si="0"/>
        <v>B02.00</v>
      </c>
      <c r="I16" s="88"/>
    </row>
    <row r="17" spans="2:9" x14ac:dyDescent="0.3">
      <c r="B17" s="87" t="s">
        <v>40</v>
      </c>
      <c r="C17" s="87" t="s">
        <v>46</v>
      </c>
      <c r="D17" s="87" t="s">
        <v>39</v>
      </c>
      <c r="E17" s="88">
        <v>8</v>
      </c>
      <c r="F17" s="88">
        <v>0</v>
      </c>
      <c r="G17" s="88"/>
      <c r="H17" s="88" t="str">
        <f t="shared" si="0"/>
        <v>B02.00</v>
      </c>
      <c r="I17" s="88"/>
    </row>
    <row r="18" spans="2:9" x14ac:dyDescent="0.3">
      <c r="B18" s="87" t="s">
        <v>40</v>
      </c>
      <c r="C18" s="87" t="s">
        <v>46</v>
      </c>
      <c r="D18" s="87" t="s">
        <v>42</v>
      </c>
      <c r="E18" s="88">
        <v>8</v>
      </c>
      <c r="F18" s="88">
        <v>0</v>
      </c>
      <c r="G18" s="88"/>
      <c r="H18" s="88" t="str">
        <f t="shared" si="0"/>
        <v>B02.00</v>
      </c>
      <c r="I18" s="88"/>
    </row>
    <row r="19" spans="2:9" x14ac:dyDescent="0.3">
      <c r="B19" s="87" t="s">
        <v>40</v>
      </c>
      <c r="C19" s="87" t="s">
        <v>47</v>
      </c>
      <c r="D19" s="87" t="s">
        <v>39</v>
      </c>
      <c r="E19" s="88">
        <v>8</v>
      </c>
      <c r="F19" s="88">
        <v>0</v>
      </c>
      <c r="G19" s="88"/>
      <c r="H19" s="88" t="str">
        <f t="shared" si="0"/>
        <v>B02.00</v>
      </c>
      <c r="I19" s="88" t="s">
        <v>325</v>
      </c>
    </row>
    <row r="20" spans="2:9" x14ac:dyDescent="0.3">
      <c r="B20" s="87" t="s">
        <v>40</v>
      </c>
      <c r="C20" s="87" t="s">
        <v>47</v>
      </c>
      <c r="D20" s="87" t="s">
        <v>42</v>
      </c>
      <c r="E20" s="88">
        <v>8</v>
      </c>
      <c r="F20" s="88">
        <v>0</v>
      </c>
      <c r="G20" s="88"/>
      <c r="H20" s="88" t="str">
        <f t="shared" si="0"/>
        <v>B02.00</v>
      </c>
      <c r="I20" s="88"/>
    </row>
    <row r="21" spans="2:9" x14ac:dyDescent="0.3">
      <c r="B21" s="87" t="s">
        <v>40</v>
      </c>
      <c r="C21" s="87" t="s">
        <v>48</v>
      </c>
      <c r="D21" s="87" t="s">
        <v>39</v>
      </c>
      <c r="E21" s="88">
        <v>8</v>
      </c>
      <c r="F21" s="88">
        <v>0</v>
      </c>
      <c r="G21" s="88"/>
      <c r="H21" s="88" t="str">
        <f t="shared" si="0"/>
        <v>B02.00</v>
      </c>
      <c r="I21" s="88"/>
    </row>
    <row r="22" spans="2:9" x14ac:dyDescent="0.3">
      <c r="B22" s="87" t="s">
        <v>40</v>
      </c>
      <c r="C22" s="87" t="s">
        <v>48</v>
      </c>
      <c r="D22" s="87" t="s">
        <v>42</v>
      </c>
      <c r="E22" s="88">
        <v>8</v>
      </c>
      <c r="F22" s="88">
        <v>0</v>
      </c>
      <c r="G22" s="88"/>
      <c r="H22" s="88" t="str">
        <f t="shared" si="0"/>
        <v>B02.00</v>
      </c>
      <c r="I22" s="88"/>
    </row>
    <row r="23" spans="2:9" x14ac:dyDescent="0.3">
      <c r="B23" s="87" t="s">
        <v>40</v>
      </c>
      <c r="C23" s="87" t="s">
        <v>49</v>
      </c>
      <c r="D23" s="87" t="s">
        <v>39</v>
      </c>
      <c r="E23" s="88">
        <v>8</v>
      </c>
      <c r="F23" s="88">
        <v>0</v>
      </c>
      <c r="G23" s="88"/>
      <c r="H23" s="88" t="str">
        <f t="shared" si="0"/>
        <v>B02.00</v>
      </c>
      <c r="I23" s="88"/>
    </row>
    <row r="24" spans="2:9" x14ac:dyDescent="0.3">
      <c r="B24" s="87" t="s">
        <v>40</v>
      </c>
      <c r="C24" s="87" t="s">
        <v>49</v>
      </c>
      <c r="D24" s="87" t="s">
        <v>42</v>
      </c>
      <c r="E24" s="88">
        <v>8</v>
      </c>
      <c r="F24" s="88">
        <v>0</v>
      </c>
      <c r="G24" s="88"/>
      <c r="H24" s="88" t="str">
        <f t="shared" si="0"/>
        <v>B02.00</v>
      </c>
      <c r="I24" s="88"/>
    </row>
    <row r="25" spans="2:9" x14ac:dyDescent="0.3">
      <c r="B25" s="87" t="s">
        <v>40</v>
      </c>
      <c r="C25" s="87" t="s">
        <v>50</v>
      </c>
      <c r="D25" s="87" t="s">
        <v>39</v>
      </c>
      <c r="E25" s="88">
        <v>8</v>
      </c>
      <c r="F25" s="88">
        <v>0</v>
      </c>
      <c r="G25" s="88"/>
      <c r="H25" s="88" t="str">
        <f t="shared" si="0"/>
        <v>B02.00</v>
      </c>
      <c r="I25" s="88"/>
    </row>
    <row r="26" spans="2:9" x14ac:dyDescent="0.3">
      <c r="B26" s="87" t="s">
        <v>40</v>
      </c>
      <c r="C26" s="87" t="s">
        <v>50</v>
      </c>
      <c r="D26" s="87" t="s">
        <v>42</v>
      </c>
      <c r="E26" s="88">
        <v>8</v>
      </c>
      <c r="F26" s="88">
        <v>0</v>
      </c>
      <c r="G26" s="88"/>
      <c r="H26" s="88" t="str">
        <f t="shared" si="0"/>
        <v>B02.00</v>
      </c>
      <c r="I26" s="88"/>
    </row>
    <row r="27" spans="2:9" x14ac:dyDescent="0.3">
      <c r="B27" s="87" t="s">
        <v>40</v>
      </c>
      <c r="C27" s="87" t="s">
        <v>51</v>
      </c>
      <c r="D27" s="87" t="s">
        <v>39</v>
      </c>
      <c r="E27" s="88">
        <v>8</v>
      </c>
      <c r="F27" s="88">
        <v>0</v>
      </c>
      <c r="G27" s="88"/>
      <c r="H27" s="88" t="str">
        <f t="shared" si="0"/>
        <v>B02.00</v>
      </c>
      <c r="I27" s="88"/>
    </row>
    <row r="28" spans="2:9" x14ac:dyDescent="0.3">
      <c r="B28" s="87" t="s">
        <v>40</v>
      </c>
      <c r="C28" s="87" t="s">
        <v>51</v>
      </c>
      <c r="D28" s="87" t="s">
        <v>42</v>
      </c>
      <c r="E28" s="88">
        <v>8</v>
      </c>
      <c r="F28" s="88">
        <v>0</v>
      </c>
      <c r="G28" s="88"/>
      <c r="H28" s="88" t="str">
        <f t="shared" si="0"/>
        <v>B02.00</v>
      </c>
      <c r="I28" s="88"/>
    </row>
    <row r="29" spans="2:9" x14ac:dyDescent="0.3">
      <c r="B29" s="87" t="s">
        <v>40</v>
      </c>
      <c r="C29" s="87" t="s">
        <v>52</v>
      </c>
      <c r="D29" s="87" t="s">
        <v>39</v>
      </c>
      <c r="E29" s="88">
        <v>8</v>
      </c>
      <c r="F29" s="88">
        <v>0</v>
      </c>
      <c r="G29" s="88"/>
      <c r="H29" s="88" t="str">
        <f t="shared" si="0"/>
        <v>B02.00</v>
      </c>
      <c r="I29" s="88"/>
    </row>
    <row r="30" spans="2:9" x14ac:dyDescent="0.3">
      <c r="B30" s="87" t="s">
        <v>40</v>
      </c>
      <c r="C30" s="87" t="s">
        <v>52</v>
      </c>
      <c r="D30" s="87" t="s">
        <v>42</v>
      </c>
      <c r="E30" s="88">
        <v>8</v>
      </c>
      <c r="F30" s="88">
        <v>8</v>
      </c>
      <c r="G30" s="88"/>
      <c r="H30" s="88" t="str">
        <f t="shared" si="0"/>
        <v>B02.00</v>
      </c>
      <c r="I30" s="88"/>
    </row>
    <row r="31" spans="2:9" x14ac:dyDescent="0.3">
      <c r="B31" s="87" t="s">
        <v>40</v>
      </c>
      <c r="C31" s="87" t="s">
        <v>53</v>
      </c>
      <c r="D31" s="87" t="s">
        <v>39</v>
      </c>
      <c r="E31" s="88">
        <v>8</v>
      </c>
      <c r="F31" s="88">
        <v>0</v>
      </c>
      <c r="G31" s="88"/>
      <c r="H31" s="88" t="str">
        <f t="shared" si="0"/>
        <v>B02.00</v>
      </c>
      <c r="I31" s="88"/>
    </row>
    <row r="32" spans="2:9" x14ac:dyDescent="0.3">
      <c r="B32" s="87" t="s">
        <v>40</v>
      </c>
      <c r="C32" s="87" t="s">
        <v>53</v>
      </c>
      <c r="D32" s="87" t="s">
        <v>42</v>
      </c>
      <c r="E32" s="88">
        <v>8</v>
      </c>
      <c r="F32" s="88">
        <v>8</v>
      </c>
      <c r="G32" s="88"/>
      <c r="H32" s="88" t="str">
        <f t="shared" si="0"/>
        <v>B02.00</v>
      </c>
      <c r="I32" s="88"/>
    </row>
    <row r="33" spans="2:9" x14ac:dyDescent="0.3">
      <c r="B33" s="87" t="s">
        <v>40</v>
      </c>
      <c r="C33" s="87" t="s">
        <v>54</v>
      </c>
      <c r="D33" s="87" t="s">
        <v>39</v>
      </c>
      <c r="E33" s="88">
        <v>8</v>
      </c>
      <c r="F33" s="88">
        <v>0</v>
      </c>
      <c r="G33" s="88"/>
      <c r="H33" s="88" t="str">
        <f t="shared" si="0"/>
        <v>B02.00</v>
      </c>
      <c r="I33" s="88"/>
    </row>
    <row r="34" spans="2:9" x14ac:dyDescent="0.3">
      <c r="B34" s="87" t="s">
        <v>40</v>
      </c>
      <c r="C34" s="87" t="s">
        <v>54</v>
      </c>
      <c r="D34" s="87" t="s">
        <v>42</v>
      </c>
      <c r="E34" s="88">
        <v>8</v>
      </c>
      <c r="F34" s="88">
        <v>0</v>
      </c>
      <c r="G34" s="88"/>
      <c r="H34" s="88" t="str">
        <f t="shared" si="0"/>
        <v>B02.00</v>
      </c>
      <c r="I34" s="88" t="s">
        <v>325</v>
      </c>
    </row>
    <row r="35" spans="2:9" x14ac:dyDescent="0.3">
      <c r="B35" s="87" t="s">
        <v>40</v>
      </c>
      <c r="C35" s="87" t="s">
        <v>55</v>
      </c>
      <c r="D35" s="87" t="s">
        <v>39</v>
      </c>
      <c r="E35" s="88">
        <v>8</v>
      </c>
      <c r="F35" s="88">
        <v>0</v>
      </c>
      <c r="G35" s="88"/>
      <c r="H35" s="88" t="str">
        <f t="shared" si="0"/>
        <v>B02.00</v>
      </c>
      <c r="I35" s="88"/>
    </row>
    <row r="36" spans="2:9" x14ac:dyDescent="0.3">
      <c r="B36" s="87" t="s">
        <v>40</v>
      </c>
      <c r="C36" s="87" t="s">
        <v>55</v>
      </c>
      <c r="D36" s="87" t="s">
        <v>42</v>
      </c>
      <c r="E36" s="88">
        <v>8</v>
      </c>
      <c r="F36" s="88">
        <v>0</v>
      </c>
      <c r="G36" s="88"/>
      <c r="H36" s="88" t="str">
        <f t="shared" si="0"/>
        <v>B02.00</v>
      </c>
      <c r="I36" s="88"/>
    </row>
    <row r="37" spans="2:9" x14ac:dyDescent="0.3">
      <c r="B37" s="87" t="s">
        <v>40</v>
      </c>
      <c r="C37" s="87" t="s">
        <v>56</v>
      </c>
      <c r="D37" s="87" t="s">
        <v>39</v>
      </c>
      <c r="E37" s="88">
        <v>8</v>
      </c>
      <c r="F37" s="88">
        <v>0</v>
      </c>
      <c r="G37" s="88"/>
      <c r="H37" s="88" t="str">
        <f t="shared" si="0"/>
        <v>B02.00</v>
      </c>
      <c r="I37" s="88"/>
    </row>
    <row r="38" spans="2:9" x14ac:dyDescent="0.3">
      <c r="B38" s="87" t="s">
        <v>40</v>
      </c>
      <c r="C38" s="87" t="s">
        <v>56</v>
      </c>
      <c r="D38" s="87" t="s">
        <v>42</v>
      </c>
      <c r="E38" s="88">
        <v>8</v>
      </c>
      <c r="F38" s="88">
        <v>0</v>
      </c>
      <c r="G38" s="88"/>
      <c r="H38" s="88" t="str">
        <f t="shared" si="0"/>
        <v>B02.00</v>
      </c>
      <c r="I38" s="88"/>
    </row>
    <row r="39" spans="2:9" x14ac:dyDescent="0.3">
      <c r="B39" s="87" t="s">
        <v>40</v>
      </c>
      <c r="C39" s="87" t="s">
        <v>57</v>
      </c>
      <c r="D39" s="87" t="s">
        <v>39</v>
      </c>
      <c r="E39" s="88">
        <v>8</v>
      </c>
      <c r="F39" s="88">
        <v>0</v>
      </c>
      <c r="G39" s="88"/>
      <c r="H39" s="88" t="str">
        <f t="shared" si="0"/>
        <v>B02.00</v>
      </c>
      <c r="I39" s="88"/>
    </row>
    <row r="40" spans="2:9" x14ac:dyDescent="0.3">
      <c r="B40" s="87" t="s">
        <v>40</v>
      </c>
      <c r="C40" s="87" t="s">
        <v>57</v>
      </c>
      <c r="D40" s="87" t="s">
        <v>42</v>
      </c>
      <c r="E40" s="88">
        <v>8</v>
      </c>
      <c r="F40" s="88">
        <v>0</v>
      </c>
      <c r="G40" s="88"/>
      <c r="H40" s="88" t="str">
        <f t="shared" si="0"/>
        <v>B02.00</v>
      </c>
      <c r="I40" s="88"/>
    </row>
    <row r="41" spans="2:9" x14ac:dyDescent="0.3">
      <c r="B41" s="87" t="s">
        <v>40</v>
      </c>
      <c r="C41" s="87" t="s">
        <v>58</v>
      </c>
      <c r="D41" s="87" t="s">
        <v>39</v>
      </c>
      <c r="E41" s="88">
        <v>8</v>
      </c>
      <c r="F41" s="88">
        <v>8</v>
      </c>
      <c r="G41" s="88"/>
      <c r="H41" s="88" t="str">
        <f t="shared" si="0"/>
        <v>B02.00</v>
      </c>
      <c r="I41" s="88"/>
    </row>
    <row r="42" spans="2:9" x14ac:dyDescent="0.3">
      <c r="B42" s="87" t="s">
        <v>40</v>
      </c>
      <c r="C42" s="87" t="s">
        <v>58</v>
      </c>
      <c r="D42" s="87" t="s">
        <v>42</v>
      </c>
      <c r="E42" s="88">
        <v>8</v>
      </c>
      <c r="F42" s="88">
        <v>0</v>
      </c>
      <c r="G42" s="88"/>
      <c r="H42" s="88" t="str">
        <f t="shared" si="0"/>
        <v>B02.00</v>
      </c>
      <c r="I42" s="88"/>
    </row>
    <row r="43" spans="2:9" x14ac:dyDescent="0.3">
      <c r="B43" s="87" t="s">
        <v>40</v>
      </c>
      <c r="C43" s="87" t="s">
        <v>59</v>
      </c>
      <c r="D43" s="87" t="s">
        <v>39</v>
      </c>
      <c r="E43" s="88">
        <v>8</v>
      </c>
      <c r="F43" s="88">
        <v>0</v>
      </c>
      <c r="G43" s="88"/>
      <c r="H43" s="88" t="str">
        <f t="shared" si="0"/>
        <v>B02.00</v>
      </c>
      <c r="I43" s="88"/>
    </row>
    <row r="44" spans="2:9" x14ac:dyDescent="0.3">
      <c r="B44" s="87" t="s">
        <v>40</v>
      </c>
      <c r="C44" s="87" t="s">
        <v>59</v>
      </c>
      <c r="D44" s="87" t="s">
        <v>42</v>
      </c>
      <c r="E44" s="88">
        <v>8</v>
      </c>
      <c r="F44" s="88">
        <v>3</v>
      </c>
      <c r="G44" s="88"/>
      <c r="H44" s="88" t="str">
        <f t="shared" si="0"/>
        <v>B02.00</v>
      </c>
      <c r="I44" s="88"/>
    </row>
    <row r="45" spans="2:9" x14ac:dyDescent="0.3">
      <c r="B45" s="87" t="s">
        <v>40</v>
      </c>
      <c r="C45" s="87" t="s">
        <v>60</v>
      </c>
      <c r="D45" s="87" t="s">
        <v>39</v>
      </c>
      <c r="E45" s="88">
        <v>8</v>
      </c>
      <c r="F45" s="88">
        <v>0</v>
      </c>
      <c r="G45" s="88"/>
      <c r="H45" s="88" t="str">
        <f t="shared" si="0"/>
        <v>B02.00</v>
      </c>
      <c r="I45" s="88"/>
    </row>
    <row r="46" spans="2:9" x14ac:dyDescent="0.3">
      <c r="B46" s="87" t="s">
        <v>40</v>
      </c>
      <c r="C46" s="87" t="s">
        <v>60</v>
      </c>
      <c r="D46" s="87" t="s">
        <v>42</v>
      </c>
      <c r="E46" s="88">
        <v>8</v>
      </c>
      <c r="F46" s="88">
        <v>8</v>
      </c>
      <c r="G46" s="88"/>
      <c r="H46" s="88" t="str">
        <f t="shared" si="0"/>
        <v>B02.00</v>
      </c>
      <c r="I46" s="88"/>
    </row>
    <row r="47" spans="2:9" x14ac:dyDescent="0.3">
      <c r="B47" s="87" t="s">
        <v>40</v>
      </c>
      <c r="C47" s="87" t="s">
        <v>61</v>
      </c>
      <c r="D47" s="87" t="s">
        <v>39</v>
      </c>
      <c r="E47" s="88">
        <v>8</v>
      </c>
      <c r="F47" s="88">
        <v>0</v>
      </c>
      <c r="G47" s="88"/>
      <c r="H47" s="88" t="str">
        <f t="shared" si="0"/>
        <v>B02.00</v>
      </c>
      <c r="I47" s="88"/>
    </row>
    <row r="48" spans="2:9" x14ac:dyDescent="0.3">
      <c r="B48" s="87" t="s">
        <v>40</v>
      </c>
      <c r="C48" s="87" t="s">
        <v>61</v>
      </c>
      <c r="D48" s="87" t="s">
        <v>42</v>
      </c>
      <c r="E48" s="88">
        <v>8</v>
      </c>
      <c r="F48" s="88">
        <v>3</v>
      </c>
      <c r="G48" s="88"/>
      <c r="H48" s="88" t="str">
        <f t="shared" si="0"/>
        <v>B02.00</v>
      </c>
      <c r="I48" s="88"/>
    </row>
    <row r="49" spans="2:9" x14ac:dyDescent="0.3">
      <c r="B49" s="87" t="s">
        <v>40</v>
      </c>
      <c r="C49" s="87" t="s">
        <v>62</v>
      </c>
      <c r="D49" s="87" t="s">
        <v>39</v>
      </c>
      <c r="E49" s="88">
        <v>8</v>
      </c>
      <c r="F49" s="88">
        <v>0</v>
      </c>
      <c r="G49" s="88"/>
      <c r="H49" s="88" t="str">
        <f t="shared" si="0"/>
        <v>B02.00</v>
      </c>
      <c r="I49" s="88"/>
    </row>
    <row r="50" spans="2:9" x14ac:dyDescent="0.3">
      <c r="B50" s="87" t="s">
        <v>40</v>
      </c>
      <c r="C50" s="87" t="s">
        <v>62</v>
      </c>
      <c r="D50" s="87" t="s">
        <v>42</v>
      </c>
      <c r="E50" s="88">
        <v>8</v>
      </c>
      <c r="F50" s="88">
        <v>0</v>
      </c>
      <c r="G50" s="88"/>
      <c r="H50" s="88" t="str">
        <f t="shared" si="0"/>
        <v>B02.00</v>
      </c>
      <c r="I50" s="88"/>
    </row>
    <row r="51" spans="2:9" x14ac:dyDescent="0.3">
      <c r="B51" s="87" t="s">
        <v>40</v>
      </c>
      <c r="C51" s="87" t="s">
        <v>63</v>
      </c>
      <c r="D51" s="87" t="s">
        <v>39</v>
      </c>
      <c r="E51" s="88">
        <v>8</v>
      </c>
      <c r="F51" s="88">
        <v>0</v>
      </c>
      <c r="G51" s="88"/>
      <c r="H51" s="88" t="str">
        <f t="shared" si="0"/>
        <v>B02.00</v>
      </c>
      <c r="I51" s="88"/>
    </row>
    <row r="52" spans="2:9" x14ac:dyDescent="0.3">
      <c r="B52" s="87" t="s">
        <v>40</v>
      </c>
      <c r="C52" s="87" t="s">
        <v>63</v>
      </c>
      <c r="D52" s="87" t="s">
        <v>42</v>
      </c>
      <c r="E52" s="88">
        <v>8</v>
      </c>
      <c r="F52" s="88">
        <v>0</v>
      </c>
      <c r="G52" s="88"/>
      <c r="H52" s="88" t="str">
        <f t="shared" si="0"/>
        <v>B02.00</v>
      </c>
      <c r="I52" s="88"/>
    </row>
    <row r="53" spans="2:9" x14ac:dyDescent="0.3">
      <c r="B53" s="87" t="s">
        <v>40</v>
      </c>
      <c r="C53" s="87" t="s">
        <v>64</v>
      </c>
      <c r="D53" s="87" t="s">
        <v>39</v>
      </c>
      <c r="E53" s="88">
        <v>8</v>
      </c>
      <c r="F53" s="88">
        <v>0</v>
      </c>
      <c r="G53" s="88"/>
      <c r="H53" s="88" t="str">
        <f t="shared" si="0"/>
        <v>B02.00</v>
      </c>
      <c r="I53" s="88"/>
    </row>
    <row r="54" spans="2:9" x14ac:dyDescent="0.3">
      <c r="B54" s="87" t="s">
        <v>40</v>
      </c>
      <c r="C54" s="87" t="s">
        <v>64</v>
      </c>
      <c r="D54" s="87" t="s">
        <v>42</v>
      </c>
      <c r="E54" s="88">
        <v>8</v>
      </c>
      <c r="F54" s="88">
        <v>0</v>
      </c>
      <c r="G54" s="88"/>
      <c r="H54" s="88" t="str">
        <f t="shared" si="0"/>
        <v>B02.00</v>
      </c>
      <c r="I54" s="88"/>
    </row>
    <row r="55" spans="2:9" x14ac:dyDescent="0.3">
      <c r="B55" s="87" t="s">
        <v>40</v>
      </c>
      <c r="C55" s="87" t="s">
        <v>65</v>
      </c>
      <c r="D55" s="87" t="s">
        <v>39</v>
      </c>
      <c r="E55" s="88">
        <v>8</v>
      </c>
      <c r="F55" s="88">
        <v>0</v>
      </c>
      <c r="G55" s="88"/>
      <c r="H55" s="88" t="str">
        <f t="shared" si="0"/>
        <v>B02.00</v>
      </c>
      <c r="I55" s="88"/>
    </row>
    <row r="56" spans="2:9" x14ac:dyDescent="0.3">
      <c r="B56" s="87" t="s">
        <v>40</v>
      </c>
      <c r="C56" s="87" t="s">
        <v>65</v>
      </c>
      <c r="D56" s="87" t="s">
        <v>42</v>
      </c>
      <c r="E56" s="88">
        <v>8</v>
      </c>
      <c r="F56" s="88">
        <v>0</v>
      </c>
      <c r="G56" s="88"/>
      <c r="H56" s="88" t="str">
        <f t="shared" si="0"/>
        <v>B02.00</v>
      </c>
      <c r="I56" s="88"/>
    </row>
    <row r="57" spans="2:9" x14ac:dyDescent="0.3">
      <c r="B57" s="87" t="s">
        <v>40</v>
      </c>
      <c r="C57" s="87" t="s">
        <v>66</v>
      </c>
      <c r="D57" s="87" t="s">
        <v>39</v>
      </c>
      <c r="E57" s="88">
        <v>8</v>
      </c>
      <c r="F57" s="88">
        <v>0</v>
      </c>
      <c r="G57" s="88"/>
      <c r="H57" s="88" t="str">
        <f t="shared" si="0"/>
        <v>B02.00</v>
      </c>
      <c r="I57" s="88"/>
    </row>
    <row r="58" spans="2:9" x14ac:dyDescent="0.3">
      <c r="B58" s="87" t="s">
        <v>40</v>
      </c>
      <c r="C58" s="87" t="s">
        <v>66</v>
      </c>
      <c r="D58" s="87" t="s">
        <v>42</v>
      </c>
      <c r="E58" s="88">
        <v>8</v>
      </c>
      <c r="F58" s="88">
        <v>0</v>
      </c>
      <c r="G58" s="88"/>
      <c r="H58" s="88" t="str">
        <f t="shared" si="0"/>
        <v>B02.00</v>
      </c>
      <c r="I58" s="88"/>
    </row>
    <row r="59" spans="2:9" x14ac:dyDescent="0.3">
      <c r="B59" s="87" t="s">
        <v>40</v>
      </c>
      <c r="C59" s="87" t="s">
        <v>67</v>
      </c>
      <c r="D59" s="87" t="s">
        <v>39</v>
      </c>
      <c r="E59" s="88">
        <v>8</v>
      </c>
      <c r="F59" s="88">
        <v>0</v>
      </c>
      <c r="G59" s="88"/>
      <c r="H59" s="88" t="str">
        <f t="shared" si="0"/>
        <v>B02.00</v>
      </c>
      <c r="I59" s="88"/>
    </row>
    <row r="60" spans="2:9" x14ac:dyDescent="0.3">
      <c r="B60" s="87" t="s">
        <v>40</v>
      </c>
      <c r="C60" s="87" t="s">
        <v>67</v>
      </c>
      <c r="D60" s="87" t="s">
        <v>42</v>
      </c>
      <c r="E60" s="88">
        <v>8</v>
      </c>
      <c r="F60" s="88">
        <v>0</v>
      </c>
      <c r="G60" s="88"/>
      <c r="H60" s="88" t="str">
        <f t="shared" si="0"/>
        <v>B02.00</v>
      </c>
      <c r="I60" s="88"/>
    </row>
    <row r="61" spans="2:9" x14ac:dyDescent="0.3">
      <c r="B61" s="87" t="s">
        <v>40</v>
      </c>
      <c r="C61" s="87" t="s">
        <v>68</v>
      </c>
      <c r="D61" s="87" t="s">
        <v>39</v>
      </c>
      <c r="E61" s="88">
        <v>8</v>
      </c>
      <c r="F61" s="88">
        <v>0</v>
      </c>
      <c r="G61" s="88"/>
      <c r="H61" s="88" t="str">
        <f t="shared" si="0"/>
        <v>B02.00</v>
      </c>
      <c r="I61" s="88"/>
    </row>
    <row r="62" spans="2:9" x14ac:dyDescent="0.3">
      <c r="B62" s="87" t="s">
        <v>40</v>
      </c>
      <c r="C62" s="87" t="s">
        <v>68</v>
      </c>
      <c r="D62" s="87" t="s">
        <v>42</v>
      </c>
      <c r="E62" s="88">
        <v>8</v>
      </c>
      <c r="F62" s="88">
        <v>0</v>
      </c>
      <c r="G62" s="88"/>
      <c r="H62" s="88" t="str">
        <f t="shared" si="0"/>
        <v>B02.00</v>
      </c>
      <c r="I62" s="88"/>
    </row>
    <row r="63" spans="2:9" x14ac:dyDescent="0.3">
      <c r="B63" s="87" t="s">
        <v>40</v>
      </c>
      <c r="C63" s="87" t="s">
        <v>69</v>
      </c>
      <c r="D63" s="87" t="s">
        <v>39</v>
      </c>
      <c r="E63" s="88">
        <v>8</v>
      </c>
      <c r="F63" s="88">
        <v>0</v>
      </c>
      <c r="G63" s="88"/>
      <c r="H63" s="88" t="str">
        <f t="shared" si="0"/>
        <v>B02.00</v>
      </c>
      <c r="I63" s="88"/>
    </row>
    <row r="64" spans="2:9" x14ac:dyDescent="0.3">
      <c r="B64" s="87" t="s">
        <v>40</v>
      </c>
      <c r="C64" s="87" t="s">
        <v>69</v>
      </c>
      <c r="D64" s="87" t="s">
        <v>42</v>
      </c>
      <c r="E64" s="88">
        <v>8</v>
      </c>
      <c r="F64" s="88">
        <v>0</v>
      </c>
      <c r="G64" s="88"/>
      <c r="H64" s="88" t="str">
        <f t="shared" si="0"/>
        <v>B02.00</v>
      </c>
      <c r="I64" s="88"/>
    </row>
    <row r="65" spans="2:9" x14ac:dyDescent="0.3">
      <c r="B65" s="87" t="s">
        <v>40</v>
      </c>
      <c r="C65" s="87" t="s">
        <v>70</v>
      </c>
      <c r="D65" s="87" t="s">
        <v>39</v>
      </c>
      <c r="E65" s="88">
        <v>8</v>
      </c>
      <c r="F65" s="88">
        <v>0</v>
      </c>
      <c r="G65" s="88"/>
      <c r="H65" s="88" t="str">
        <f t="shared" si="0"/>
        <v>B02.00</v>
      </c>
      <c r="I65" s="88"/>
    </row>
    <row r="66" spans="2:9" x14ac:dyDescent="0.3">
      <c r="B66" s="87" t="s">
        <v>40</v>
      </c>
      <c r="C66" s="87" t="s">
        <v>70</v>
      </c>
      <c r="D66" s="87" t="s">
        <v>42</v>
      </c>
      <c r="E66" s="88">
        <v>8</v>
      </c>
      <c r="F66" s="88">
        <v>0</v>
      </c>
      <c r="G66" s="88"/>
      <c r="H66" s="88" t="str">
        <f t="shared" si="0"/>
        <v>B02.00</v>
      </c>
      <c r="I66" s="88"/>
    </row>
    <row r="67" spans="2:9" x14ac:dyDescent="0.3">
      <c r="B67" s="87" t="s">
        <v>40</v>
      </c>
      <c r="C67" s="87" t="s">
        <v>71</v>
      </c>
      <c r="D67" s="87" t="s">
        <v>39</v>
      </c>
      <c r="E67" s="88">
        <v>8</v>
      </c>
      <c r="F67" s="88">
        <v>0</v>
      </c>
      <c r="G67" s="88"/>
      <c r="H67" s="88" t="str">
        <f t="shared" si="0"/>
        <v>B02.00</v>
      </c>
      <c r="I67" s="88"/>
    </row>
    <row r="68" spans="2:9" x14ac:dyDescent="0.3">
      <c r="B68" s="87" t="s">
        <v>40</v>
      </c>
      <c r="C68" s="87" t="s">
        <v>71</v>
      </c>
      <c r="D68" s="87" t="s">
        <v>42</v>
      </c>
      <c r="E68" s="88">
        <v>8</v>
      </c>
      <c r="F68" s="88">
        <v>0</v>
      </c>
      <c r="G68" s="88"/>
      <c r="H68" s="88" t="str">
        <f t="shared" si="0"/>
        <v>B02.00</v>
      </c>
      <c r="I68" s="88"/>
    </row>
    <row r="69" spans="2:9" x14ac:dyDescent="0.3">
      <c r="B69" s="87" t="s">
        <v>40</v>
      </c>
      <c r="C69" s="87" t="s">
        <v>72</v>
      </c>
      <c r="D69" s="87" t="s">
        <v>39</v>
      </c>
      <c r="E69" s="88">
        <v>8</v>
      </c>
      <c r="F69" s="88">
        <v>0</v>
      </c>
      <c r="G69" s="88"/>
      <c r="H69" s="88" t="str">
        <f t="shared" si="0"/>
        <v>B02.00</v>
      </c>
      <c r="I69" s="88"/>
    </row>
    <row r="70" spans="2:9" x14ac:dyDescent="0.3">
      <c r="B70" s="87" t="s">
        <v>40</v>
      </c>
      <c r="C70" s="87" t="s">
        <v>72</v>
      </c>
      <c r="D70" s="87" t="s">
        <v>42</v>
      </c>
      <c r="E70" s="88">
        <v>8</v>
      </c>
      <c r="F70" s="88">
        <v>0</v>
      </c>
      <c r="G70" s="88"/>
      <c r="H70" s="88" t="str">
        <f t="shared" si="0"/>
        <v>B02.00</v>
      </c>
      <c r="I70" s="88"/>
    </row>
    <row r="71" spans="2:9" x14ac:dyDescent="0.3">
      <c r="B71" s="87" t="s">
        <v>40</v>
      </c>
      <c r="C71" s="87" t="s">
        <v>73</v>
      </c>
      <c r="D71" s="87" t="s">
        <v>39</v>
      </c>
      <c r="E71" s="88">
        <v>8</v>
      </c>
      <c r="F71" s="88">
        <v>0</v>
      </c>
      <c r="G71" s="88"/>
      <c r="H71" s="88" t="str">
        <f t="shared" si="0"/>
        <v>B02.00</v>
      </c>
      <c r="I71" s="88"/>
    </row>
    <row r="72" spans="2:9" x14ac:dyDescent="0.3">
      <c r="B72" s="87" t="s">
        <v>40</v>
      </c>
      <c r="C72" s="87" t="s">
        <v>73</v>
      </c>
      <c r="D72" s="87" t="s">
        <v>42</v>
      </c>
      <c r="E72" s="88">
        <v>8</v>
      </c>
      <c r="F72" s="88">
        <v>0</v>
      </c>
      <c r="G72" s="88"/>
      <c r="H72" s="88" t="str">
        <f t="shared" si="0"/>
        <v>B02.00</v>
      </c>
      <c r="I72" s="88"/>
    </row>
    <row r="73" spans="2:9" x14ac:dyDescent="0.3">
      <c r="B73" s="87" t="s">
        <v>40</v>
      </c>
      <c r="C73" s="87" t="s">
        <v>74</v>
      </c>
      <c r="D73" s="87" t="s">
        <v>39</v>
      </c>
      <c r="E73" s="88">
        <v>8</v>
      </c>
      <c r="F73" s="88">
        <v>0</v>
      </c>
      <c r="G73" s="88"/>
      <c r="H73" s="88" t="str">
        <f t="shared" si="0"/>
        <v>B02.00</v>
      </c>
      <c r="I73" s="88"/>
    </row>
    <row r="74" spans="2:9" x14ac:dyDescent="0.3">
      <c r="B74" s="87" t="s">
        <v>40</v>
      </c>
      <c r="C74" s="87" t="s">
        <v>74</v>
      </c>
      <c r="D74" s="87" t="s">
        <v>42</v>
      </c>
      <c r="E74" s="88">
        <v>8</v>
      </c>
      <c r="F74" s="88">
        <v>8</v>
      </c>
      <c r="G74" s="88"/>
      <c r="H74" s="88" t="str">
        <f t="shared" ref="H74:H137" si="1">MID(B74,22,3)&amp;"."&amp;MID(B74,25,2)</f>
        <v>B02.00</v>
      </c>
      <c r="I74" s="88"/>
    </row>
    <row r="75" spans="2:9" x14ac:dyDescent="0.3">
      <c r="B75" s="87" t="s">
        <v>40</v>
      </c>
      <c r="C75" s="87" t="s">
        <v>75</v>
      </c>
      <c r="D75" s="87" t="s">
        <v>39</v>
      </c>
      <c r="E75" s="88">
        <v>8</v>
      </c>
      <c r="F75" s="88">
        <v>0</v>
      </c>
      <c r="G75" s="88"/>
      <c r="H75" s="88" t="str">
        <f t="shared" si="1"/>
        <v>B02.00</v>
      </c>
      <c r="I75" s="88"/>
    </row>
    <row r="76" spans="2:9" x14ac:dyDescent="0.3">
      <c r="B76" s="87" t="s">
        <v>40</v>
      </c>
      <c r="C76" s="87" t="s">
        <v>75</v>
      </c>
      <c r="D76" s="87" t="s">
        <v>42</v>
      </c>
      <c r="E76" s="88">
        <v>8</v>
      </c>
      <c r="F76" s="88">
        <v>8</v>
      </c>
      <c r="G76" s="88"/>
      <c r="H76" s="88" t="str">
        <f t="shared" si="1"/>
        <v>B02.00</v>
      </c>
      <c r="I76" s="88"/>
    </row>
    <row r="77" spans="2:9" x14ac:dyDescent="0.3">
      <c r="B77" s="87" t="s">
        <v>40</v>
      </c>
      <c r="C77" s="87" t="s">
        <v>76</v>
      </c>
      <c r="D77" s="87" t="s">
        <v>39</v>
      </c>
      <c r="E77" s="88">
        <v>8</v>
      </c>
      <c r="F77" s="88">
        <v>0</v>
      </c>
      <c r="G77" s="88"/>
      <c r="H77" s="88" t="str">
        <f t="shared" si="1"/>
        <v>B02.00</v>
      </c>
      <c r="I77" s="88"/>
    </row>
    <row r="78" spans="2:9" x14ac:dyDescent="0.3">
      <c r="B78" s="87" t="s">
        <v>40</v>
      </c>
      <c r="C78" s="87" t="s">
        <v>76</v>
      </c>
      <c r="D78" s="87" t="s">
        <v>42</v>
      </c>
      <c r="E78" s="88">
        <v>8</v>
      </c>
      <c r="F78" s="88">
        <v>8</v>
      </c>
      <c r="G78" s="88"/>
      <c r="H78" s="88" t="str">
        <f t="shared" si="1"/>
        <v>B02.00</v>
      </c>
      <c r="I78" s="88"/>
    </row>
    <row r="79" spans="2:9" x14ac:dyDescent="0.3">
      <c r="B79" s="87" t="s">
        <v>40</v>
      </c>
      <c r="C79" s="87" t="s">
        <v>77</v>
      </c>
      <c r="D79" s="87" t="s">
        <v>39</v>
      </c>
      <c r="E79" s="88">
        <v>8</v>
      </c>
      <c r="F79" s="88">
        <v>0</v>
      </c>
      <c r="G79" s="88"/>
      <c r="H79" s="88" t="str">
        <f t="shared" si="1"/>
        <v>B02.00</v>
      </c>
      <c r="I79" s="88"/>
    </row>
    <row r="80" spans="2:9" x14ac:dyDescent="0.3">
      <c r="B80" s="87" t="s">
        <v>40</v>
      </c>
      <c r="C80" s="87" t="s">
        <v>77</v>
      </c>
      <c r="D80" s="87" t="s">
        <v>42</v>
      </c>
      <c r="E80" s="88">
        <v>8</v>
      </c>
      <c r="F80" s="88">
        <v>0</v>
      </c>
      <c r="G80" s="88"/>
      <c r="H80" s="88" t="str">
        <f t="shared" si="1"/>
        <v>B02.00</v>
      </c>
      <c r="I80" s="88"/>
    </row>
    <row r="81" spans="2:9" x14ac:dyDescent="0.3">
      <c r="B81" s="87" t="s">
        <v>40</v>
      </c>
      <c r="C81" s="87" t="s">
        <v>78</v>
      </c>
      <c r="D81" s="87" t="s">
        <v>39</v>
      </c>
      <c r="E81" s="88">
        <v>8</v>
      </c>
      <c r="F81" s="88">
        <v>0</v>
      </c>
      <c r="G81" s="88"/>
      <c r="H81" s="88" t="str">
        <f t="shared" si="1"/>
        <v>B02.00</v>
      </c>
      <c r="I81" s="88"/>
    </row>
    <row r="82" spans="2:9" x14ac:dyDescent="0.3">
      <c r="B82" s="87" t="s">
        <v>40</v>
      </c>
      <c r="C82" s="87" t="s">
        <v>78</v>
      </c>
      <c r="D82" s="87" t="s">
        <v>42</v>
      </c>
      <c r="E82" s="88">
        <v>8</v>
      </c>
      <c r="F82" s="88">
        <v>0</v>
      </c>
      <c r="G82" s="88"/>
      <c r="H82" s="88" t="str">
        <f t="shared" si="1"/>
        <v>B02.00</v>
      </c>
      <c r="I82" s="88"/>
    </row>
    <row r="83" spans="2:9" x14ac:dyDescent="0.3">
      <c r="B83" s="87" t="s">
        <v>40</v>
      </c>
      <c r="C83" s="87" t="s">
        <v>79</v>
      </c>
      <c r="D83" s="87" t="s">
        <v>39</v>
      </c>
      <c r="E83" s="88">
        <v>8</v>
      </c>
      <c r="F83" s="88">
        <v>0</v>
      </c>
      <c r="G83" s="88"/>
      <c r="H83" s="88" t="str">
        <f t="shared" si="1"/>
        <v>B02.00</v>
      </c>
      <c r="I83" s="88"/>
    </row>
    <row r="84" spans="2:9" x14ac:dyDescent="0.3">
      <c r="B84" s="87" t="s">
        <v>40</v>
      </c>
      <c r="C84" s="87" t="s">
        <v>79</v>
      </c>
      <c r="D84" s="87" t="s">
        <v>42</v>
      </c>
      <c r="E84" s="88">
        <v>8</v>
      </c>
      <c r="F84" s="88">
        <v>0</v>
      </c>
      <c r="G84" s="88"/>
      <c r="H84" s="88" t="str">
        <f t="shared" si="1"/>
        <v>B02.00</v>
      </c>
      <c r="I84" s="88"/>
    </row>
    <row r="85" spans="2:9" x14ac:dyDescent="0.3">
      <c r="B85" s="87" t="s">
        <v>40</v>
      </c>
      <c r="C85" s="87" t="s">
        <v>80</v>
      </c>
      <c r="D85" s="87" t="s">
        <v>39</v>
      </c>
      <c r="E85" s="88">
        <v>8</v>
      </c>
      <c r="F85" s="88">
        <v>0</v>
      </c>
      <c r="G85" s="88"/>
      <c r="H85" s="88" t="str">
        <f t="shared" si="1"/>
        <v>B02.00</v>
      </c>
      <c r="I85" s="88"/>
    </row>
    <row r="86" spans="2:9" x14ac:dyDescent="0.3">
      <c r="B86" s="87" t="s">
        <v>40</v>
      </c>
      <c r="C86" s="87" t="s">
        <v>80</v>
      </c>
      <c r="D86" s="87" t="s">
        <v>42</v>
      </c>
      <c r="E86" s="88">
        <v>8</v>
      </c>
      <c r="F86" s="88">
        <v>0</v>
      </c>
      <c r="G86" s="88"/>
      <c r="H86" s="88" t="str">
        <f t="shared" si="1"/>
        <v>B02.00</v>
      </c>
      <c r="I86" s="88"/>
    </row>
    <row r="87" spans="2:9" x14ac:dyDescent="0.3">
      <c r="B87" s="87" t="s">
        <v>40</v>
      </c>
      <c r="C87" s="87" t="s">
        <v>81</v>
      </c>
      <c r="D87" s="87" t="s">
        <v>39</v>
      </c>
      <c r="E87" s="88">
        <v>8</v>
      </c>
      <c r="F87" s="88">
        <v>0</v>
      </c>
      <c r="G87" s="88"/>
      <c r="H87" s="88" t="str">
        <f t="shared" si="1"/>
        <v>B02.00</v>
      </c>
      <c r="I87" s="88"/>
    </row>
    <row r="88" spans="2:9" x14ac:dyDescent="0.3">
      <c r="B88" s="87" t="s">
        <v>40</v>
      </c>
      <c r="C88" s="87" t="s">
        <v>81</v>
      </c>
      <c r="D88" s="87" t="s">
        <v>42</v>
      </c>
      <c r="E88" s="88">
        <v>8</v>
      </c>
      <c r="F88" s="88">
        <v>0</v>
      </c>
      <c r="G88" s="88"/>
      <c r="H88" s="88" t="str">
        <f t="shared" si="1"/>
        <v>B02.00</v>
      </c>
      <c r="I88" s="88"/>
    </row>
    <row r="89" spans="2:9" x14ac:dyDescent="0.3">
      <c r="B89" s="87" t="s">
        <v>40</v>
      </c>
      <c r="C89" s="87" t="s">
        <v>82</v>
      </c>
      <c r="D89" s="87" t="s">
        <v>39</v>
      </c>
      <c r="E89" s="88">
        <v>8</v>
      </c>
      <c r="F89" s="88">
        <v>0</v>
      </c>
      <c r="G89" s="88"/>
      <c r="H89" s="88" t="str">
        <f t="shared" si="1"/>
        <v>B02.00</v>
      </c>
      <c r="I89" s="88"/>
    </row>
    <row r="90" spans="2:9" x14ac:dyDescent="0.3">
      <c r="B90" s="87" t="s">
        <v>40</v>
      </c>
      <c r="C90" s="87" t="s">
        <v>82</v>
      </c>
      <c r="D90" s="87" t="s">
        <v>42</v>
      </c>
      <c r="E90" s="88">
        <v>8</v>
      </c>
      <c r="F90" s="88">
        <v>0</v>
      </c>
      <c r="G90" s="88"/>
      <c r="H90" s="88" t="str">
        <f t="shared" si="1"/>
        <v>B02.00</v>
      </c>
      <c r="I90" s="88"/>
    </row>
    <row r="91" spans="2:9" x14ac:dyDescent="0.3">
      <c r="B91" s="87" t="s">
        <v>40</v>
      </c>
      <c r="C91" s="87" t="s">
        <v>83</v>
      </c>
      <c r="D91" s="87" t="s">
        <v>39</v>
      </c>
      <c r="E91" s="88">
        <v>8</v>
      </c>
      <c r="F91" s="88">
        <v>0</v>
      </c>
      <c r="G91" s="88"/>
      <c r="H91" s="88" t="str">
        <f t="shared" si="1"/>
        <v>B02.00</v>
      </c>
      <c r="I91" s="88"/>
    </row>
    <row r="92" spans="2:9" x14ac:dyDescent="0.3">
      <c r="B92" s="87" t="s">
        <v>40</v>
      </c>
      <c r="C92" s="87" t="s">
        <v>83</v>
      </c>
      <c r="D92" s="87" t="s">
        <v>42</v>
      </c>
      <c r="E92" s="88">
        <v>8</v>
      </c>
      <c r="F92" s="88">
        <v>8</v>
      </c>
      <c r="G92" s="88"/>
      <c r="H92" s="88" t="str">
        <f t="shared" si="1"/>
        <v>B02.00</v>
      </c>
      <c r="I92" s="88"/>
    </row>
    <row r="93" spans="2:9" x14ac:dyDescent="0.3">
      <c r="B93" s="87" t="s">
        <v>40</v>
      </c>
      <c r="C93" s="87" t="s">
        <v>84</v>
      </c>
      <c r="D93" s="87" t="s">
        <v>39</v>
      </c>
      <c r="E93" s="88">
        <v>8</v>
      </c>
      <c r="F93" s="88">
        <v>0</v>
      </c>
      <c r="G93" s="88"/>
      <c r="H93" s="88" t="str">
        <f t="shared" si="1"/>
        <v>B02.00</v>
      </c>
      <c r="I93" s="88"/>
    </row>
    <row r="94" spans="2:9" x14ac:dyDescent="0.3">
      <c r="B94" s="87" t="s">
        <v>40</v>
      </c>
      <c r="C94" s="87" t="s">
        <v>84</v>
      </c>
      <c r="D94" s="87" t="s">
        <v>42</v>
      </c>
      <c r="E94" s="88">
        <v>8</v>
      </c>
      <c r="F94" s="88">
        <v>8</v>
      </c>
      <c r="G94" s="88"/>
      <c r="H94" s="88" t="str">
        <f t="shared" si="1"/>
        <v>B02.00</v>
      </c>
      <c r="I94" s="88"/>
    </row>
    <row r="95" spans="2:9" x14ac:dyDescent="0.3">
      <c r="B95" s="87" t="s">
        <v>40</v>
      </c>
      <c r="C95" s="87" t="s">
        <v>85</v>
      </c>
      <c r="D95" s="87" t="s">
        <v>39</v>
      </c>
      <c r="E95" s="88">
        <v>8</v>
      </c>
      <c r="F95" s="88">
        <v>0</v>
      </c>
      <c r="G95" s="88"/>
      <c r="H95" s="88" t="str">
        <f t="shared" si="1"/>
        <v>B02.00</v>
      </c>
      <c r="I95" s="88"/>
    </row>
    <row r="96" spans="2:9" x14ac:dyDescent="0.3">
      <c r="B96" s="87" t="s">
        <v>40</v>
      </c>
      <c r="C96" s="87" t="s">
        <v>85</v>
      </c>
      <c r="D96" s="87" t="s">
        <v>42</v>
      </c>
      <c r="E96" s="88">
        <v>8</v>
      </c>
      <c r="F96" s="88">
        <v>0</v>
      </c>
      <c r="G96" s="88"/>
      <c r="H96" s="88" t="str">
        <f t="shared" si="1"/>
        <v>B02.00</v>
      </c>
      <c r="I96" s="88"/>
    </row>
    <row r="97" spans="2:9" x14ac:dyDescent="0.3">
      <c r="B97" s="87" t="s">
        <v>40</v>
      </c>
      <c r="C97" s="87" t="s">
        <v>86</v>
      </c>
      <c r="D97" s="87" t="s">
        <v>39</v>
      </c>
      <c r="E97" s="88">
        <v>8</v>
      </c>
      <c r="F97" s="88">
        <v>0</v>
      </c>
      <c r="G97" s="88"/>
      <c r="H97" s="88" t="str">
        <f t="shared" si="1"/>
        <v>B02.00</v>
      </c>
      <c r="I97" s="88"/>
    </row>
    <row r="98" spans="2:9" x14ac:dyDescent="0.3">
      <c r="B98" s="87" t="s">
        <v>40</v>
      </c>
      <c r="C98" s="87" t="s">
        <v>86</v>
      </c>
      <c r="D98" s="87" t="s">
        <v>42</v>
      </c>
      <c r="E98" s="88">
        <v>8</v>
      </c>
      <c r="F98" s="88">
        <v>0</v>
      </c>
      <c r="G98" s="88"/>
      <c r="H98" s="88" t="str">
        <f t="shared" si="1"/>
        <v>B02.00</v>
      </c>
      <c r="I98" s="88"/>
    </row>
    <row r="99" spans="2:9" x14ac:dyDescent="0.3">
      <c r="B99" s="87" t="s">
        <v>40</v>
      </c>
      <c r="C99" s="87" t="s">
        <v>87</v>
      </c>
      <c r="D99" s="87" t="s">
        <v>39</v>
      </c>
      <c r="E99" s="88">
        <v>8</v>
      </c>
      <c r="F99" s="88">
        <v>0</v>
      </c>
      <c r="G99" s="88"/>
      <c r="H99" s="88" t="str">
        <f t="shared" si="1"/>
        <v>B02.00</v>
      </c>
      <c r="I99" s="88"/>
    </row>
    <row r="100" spans="2:9" x14ac:dyDescent="0.3">
      <c r="B100" s="87" t="s">
        <v>40</v>
      </c>
      <c r="C100" s="87" t="s">
        <v>87</v>
      </c>
      <c r="D100" s="87" t="s">
        <v>42</v>
      </c>
      <c r="E100" s="88">
        <v>8</v>
      </c>
      <c r="F100" s="88">
        <v>8</v>
      </c>
      <c r="G100" s="88"/>
      <c r="H100" s="88" t="str">
        <f t="shared" si="1"/>
        <v>B02.00</v>
      </c>
      <c r="I100" s="88"/>
    </row>
    <row r="101" spans="2:9" x14ac:dyDescent="0.3">
      <c r="B101" s="87" t="s">
        <v>40</v>
      </c>
      <c r="C101" s="87" t="s">
        <v>88</v>
      </c>
      <c r="D101" s="87" t="s">
        <v>39</v>
      </c>
      <c r="E101" s="88">
        <v>8</v>
      </c>
      <c r="F101" s="88">
        <v>0</v>
      </c>
      <c r="G101" s="88"/>
      <c r="H101" s="88" t="str">
        <f t="shared" si="1"/>
        <v>B02.00</v>
      </c>
      <c r="I101" s="88"/>
    </row>
    <row r="102" spans="2:9" x14ac:dyDescent="0.3">
      <c r="B102" s="87" t="s">
        <v>40</v>
      </c>
      <c r="C102" s="87" t="s">
        <v>88</v>
      </c>
      <c r="D102" s="87" t="s">
        <v>42</v>
      </c>
      <c r="E102" s="88">
        <v>8</v>
      </c>
      <c r="F102" s="88">
        <v>0</v>
      </c>
      <c r="G102" s="88"/>
      <c r="H102" s="88" t="str">
        <f t="shared" si="1"/>
        <v>B02.00</v>
      </c>
      <c r="I102" s="88"/>
    </row>
    <row r="103" spans="2:9" x14ac:dyDescent="0.3">
      <c r="B103" s="87" t="s">
        <v>40</v>
      </c>
      <c r="C103" s="87" t="s">
        <v>89</v>
      </c>
      <c r="D103" s="87" t="s">
        <v>39</v>
      </c>
      <c r="E103" s="88">
        <v>8</v>
      </c>
      <c r="F103" s="88">
        <v>0</v>
      </c>
      <c r="G103" s="88"/>
      <c r="H103" s="88" t="str">
        <f t="shared" si="1"/>
        <v>B02.00</v>
      </c>
      <c r="I103" s="88"/>
    </row>
    <row r="104" spans="2:9" x14ac:dyDescent="0.3">
      <c r="B104" s="87" t="s">
        <v>40</v>
      </c>
      <c r="C104" s="87" t="s">
        <v>89</v>
      </c>
      <c r="D104" s="87" t="s">
        <v>42</v>
      </c>
      <c r="E104" s="88">
        <v>8</v>
      </c>
      <c r="F104" s="88">
        <v>0</v>
      </c>
      <c r="G104" s="88"/>
      <c r="H104" s="88" t="str">
        <f t="shared" si="1"/>
        <v>B02.00</v>
      </c>
      <c r="I104" s="88"/>
    </row>
    <row r="105" spans="2:9" x14ac:dyDescent="0.3">
      <c r="B105" s="87" t="s">
        <v>40</v>
      </c>
      <c r="C105" s="87" t="s">
        <v>90</v>
      </c>
      <c r="D105" s="87" t="s">
        <v>39</v>
      </c>
      <c r="E105" s="88">
        <v>8</v>
      </c>
      <c r="F105" s="88">
        <v>0</v>
      </c>
      <c r="G105" s="88"/>
      <c r="H105" s="88" t="str">
        <f t="shared" si="1"/>
        <v>B02.00</v>
      </c>
      <c r="I105" s="88"/>
    </row>
    <row r="106" spans="2:9" x14ac:dyDescent="0.3">
      <c r="B106" s="87" t="s">
        <v>40</v>
      </c>
      <c r="C106" s="87" t="s">
        <v>90</v>
      </c>
      <c r="D106" s="87" t="s">
        <v>42</v>
      </c>
      <c r="E106" s="88">
        <v>8</v>
      </c>
      <c r="F106" s="88">
        <v>8</v>
      </c>
      <c r="G106" s="88"/>
      <c r="H106" s="88" t="str">
        <f t="shared" si="1"/>
        <v>B02.00</v>
      </c>
      <c r="I106" s="88"/>
    </row>
    <row r="107" spans="2:9" x14ac:dyDescent="0.3">
      <c r="B107" s="87" t="s">
        <v>40</v>
      </c>
      <c r="C107" s="87" t="s">
        <v>91</v>
      </c>
      <c r="D107" s="87" t="s">
        <v>39</v>
      </c>
      <c r="E107" s="88">
        <v>8</v>
      </c>
      <c r="F107" s="88">
        <v>0</v>
      </c>
      <c r="G107" s="88"/>
      <c r="H107" s="88" t="str">
        <f t="shared" si="1"/>
        <v>B02.00</v>
      </c>
      <c r="I107" s="88"/>
    </row>
    <row r="108" spans="2:9" x14ac:dyDescent="0.3">
      <c r="B108" s="87" t="s">
        <v>40</v>
      </c>
      <c r="C108" s="87" t="s">
        <v>91</v>
      </c>
      <c r="D108" s="87" t="s">
        <v>42</v>
      </c>
      <c r="E108" s="88">
        <v>8</v>
      </c>
      <c r="F108" s="88">
        <v>8</v>
      </c>
      <c r="G108" s="88"/>
      <c r="H108" s="88" t="str">
        <f t="shared" si="1"/>
        <v>B02.00</v>
      </c>
      <c r="I108" s="88"/>
    </row>
    <row r="109" spans="2:9" x14ac:dyDescent="0.3">
      <c r="B109" s="87" t="s">
        <v>40</v>
      </c>
      <c r="C109" s="87" t="s">
        <v>92</v>
      </c>
      <c r="D109" s="87" t="s">
        <v>39</v>
      </c>
      <c r="E109" s="88">
        <v>8</v>
      </c>
      <c r="F109" s="88">
        <v>0</v>
      </c>
      <c r="G109" s="88"/>
      <c r="H109" s="88" t="str">
        <f t="shared" si="1"/>
        <v>B02.00</v>
      </c>
      <c r="I109" s="88"/>
    </row>
    <row r="110" spans="2:9" x14ac:dyDescent="0.3">
      <c r="B110" s="87" t="s">
        <v>40</v>
      </c>
      <c r="C110" s="87" t="s">
        <v>92</v>
      </c>
      <c r="D110" s="87" t="s">
        <v>42</v>
      </c>
      <c r="E110" s="88">
        <v>8</v>
      </c>
      <c r="F110" s="88">
        <v>0</v>
      </c>
      <c r="G110" s="88"/>
      <c r="H110" s="88" t="str">
        <f t="shared" si="1"/>
        <v>B02.00</v>
      </c>
      <c r="I110" s="88"/>
    </row>
    <row r="111" spans="2:9" x14ac:dyDescent="0.3">
      <c r="B111" s="87" t="s">
        <v>40</v>
      </c>
      <c r="C111" s="87" t="s">
        <v>93</v>
      </c>
      <c r="D111" s="87" t="s">
        <v>39</v>
      </c>
      <c r="E111" s="88">
        <v>8</v>
      </c>
      <c r="F111" s="88">
        <v>0</v>
      </c>
      <c r="G111" s="88"/>
      <c r="H111" s="88" t="str">
        <f t="shared" si="1"/>
        <v>B02.00</v>
      </c>
      <c r="I111" s="88"/>
    </row>
    <row r="112" spans="2:9" x14ac:dyDescent="0.3">
      <c r="B112" s="87" t="s">
        <v>40</v>
      </c>
      <c r="C112" s="87" t="s">
        <v>93</v>
      </c>
      <c r="D112" s="87" t="s">
        <v>42</v>
      </c>
      <c r="E112" s="88">
        <v>8</v>
      </c>
      <c r="F112" s="88">
        <v>0</v>
      </c>
      <c r="G112" s="88"/>
      <c r="H112" s="88" t="str">
        <f t="shared" si="1"/>
        <v>B02.00</v>
      </c>
      <c r="I112" s="88"/>
    </row>
    <row r="113" spans="2:9" x14ac:dyDescent="0.3">
      <c r="B113" s="87" t="s">
        <v>40</v>
      </c>
      <c r="C113" s="87" t="s">
        <v>94</v>
      </c>
      <c r="D113" s="87" t="s">
        <v>39</v>
      </c>
      <c r="E113" s="88">
        <v>8</v>
      </c>
      <c r="F113" s="88">
        <v>0</v>
      </c>
      <c r="G113" s="88"/>
      <c r="H113" s="88" t="str">
        <f t="shared" si="1"/>
        <v>B02.00</v>
      </c>
      <c r="I113" s="88"/>
    </row>
    <row r="114" spans="2:9" x14ac:dyDescent="0.3">
      <c r="B114" s="87" t="s">
        <v>40</v>
      </c>
      <c r="C114" s="87" t="s">
        <v>94</v>
      </c>
      <c r="D114" s="87" t="s">
        <v>42</v>
      </c>
      <c r="E114" s="88">
        <v>8</v>
      </c>
      <c r="F114" s="88">
        <v>0</v>
      </c>
      <c r="G114" s="88"/>
      <c r="H114" s="88" t="str">
        <f t="shared" si="1"/>
        <v>B02.00</v>
      </c>
      <c r="I114" s="88"/>
    </row>
    <row r="115" spans="2:9" x14ac:dyDescent="0.3">
      <c r="B115" s="87" t="s">
        <v>40</v>
      </c>
      <c r="C115" s="87" t="s">
        <v>95</v>
      </c>
      <c r="D115" s="87" t="s">
        <v>39</v>
      </c>
      <c r="E115" s="88">
        <v>8</v>
      </c>
      <c r="F115" s="88">
        <v>0</v>
      </c>
      <c r="G115" s="88"/>
      <c r="H115" s="88" t="str">
        <f t="shared" si="1"/>
        <v>B02.00</v>
      </c>
      <c r="I115" s="88"/>
    </row>
    <row r="116" spans="2:9" x14ac:dyDescent="0.3">
      <c r="B116" s="87" t="s">
        <v>40</v>
      </c>
      <c r="C116" s="87" t="s">
        <v>95</v>
      </c>
      <c r="D116" s="87" t="s">
        <v>42</v>
      </c>
      <c r="E116" s="88">
        <v>8</v>
      </c>
      <c r="F116" s="88">
        <v>0</v>
      </c>
      <c r="G116" s="88"/>
      <c r="H116" s="88" t="str">
        <f t="shared" si="1"/>
        <v>B02.00</v>
      </c>
      <c r="I116" s="88"/>
    </row>
    <row r="117" spans="2:9" x14ac:dyDescent="0.3">
      <c r="B117" s="87" t="s">
        <v>40</v>
      </c>
      <c r="C117" s="87" t="s">
        <v>96</v>
      </c>
      <c r="D117" s="87" t="s">
        <v>39</v>
      </c>
      <c r="E117" s="88">
        <v>8</v>
      </c>
      <c r="F117" s="88">
        <v>0</v>
      </c>
      <c r="G117" s="88"/>
      <c r="H117" s="88" t="str">
        <f t="shared" si="1"/>
        <v>B02.00</v>
      </c>
      <c r="I117" s="88"/>
    </row>
    <row r="118" spans="2:9" x14ac:dyDescent="0.3">
      <c r="B118" s="87" t="s">
        <v>40</v>
      </c>
      <c r="C118" s="87" t="s">
        <v>96</v>
      </c>
      <c r="D118" s="87" t="s">
        <v>42</v>
      </c>
      <c r="E118" s="88">
        <v>8</v>
      </c>
      <c r="F118" s="88">
        <v>8</v>
      </c>
      <c r="G118" s="88"/>
      <c r="H118" s="88" t="str">
        <f t="shared" si="1"/>
        <v>B02.00</v>
      </c>
      <c r="I118" s="88"/>
    </row>
    <row r="119" spans="2:9" x14ac:dyDescent="0.3">
      <c r="B119" s="87" t="s">
        <v>40</v>
      </c>
      <c r="C119" s="87" t="s">
        <v>97</v>
      </c>
      <c r="D119" s="87" t="s">
        <v>39</v>
      </c>
      <c r="E119" s="88">
        <v>8</v>
      </c>
      <c r="F119" s="88">
        <v>0</v>
      </c>
      <c r="G119" s="88"/>
      <c r="H119" s="88" t="str">
        <f t="shared" si="1"/>
        <v>B02.00</v>
      </c>
      <c r="I119" s="88"/>
    </row>
    <row r="120" spans="2:9" x14ac:dyDescent="0.3">
      <c r="B120" s="87" t="s">
        <v>40</v>
      </c>
      <c r="C120" s="87" t="s">
        <v>97</v>
      </c>
      <c r="D120" s="87" t="s">
        <v>42</v>
      </c>
      <c r="E120" s="88">
        <v>8</v>
      </c>
      <c r="F120" s="88">
        <v>8</v>
      </c>
      <c r="G120" s="88"/>
      <c r="H120" s="88" t="str">
        <f t="shared" si="1"/>
        <v>B02.00</v>
      </c>
      <c r="I120" s="88"/>
    </row>
    <row r="121" spans="2:9" x14ac:dyDescent="0.3">
      <c r="B121" s="87" t="s">
        <v>40</v>
      </c>
      <c r="C121" s="87" t="s">
        <v>98</v>
      </c>
      <c r="D121" s="87" t="s">
        <v>39</v>
      </c>
      <c r="E121" s="88">
        <v>8</v>
      </c>
      <c r="F121" s="88">
        <v>0</v>
      </c>
      <c r="G121" s="88"/>
      <c r="H121" s="88" t="str">
        <f t="shared" si="1"/>
        <v>B02.00</v>
      </c>
      <c r="I121" s="88"/>
    </row>
    <row r="122" spans="2:9" x14ac:dyDescent="0.3">
      <c r="B122" s="87" t="s">
        <v>40</v>
      </c>
      <c r="C122" s="87" t="s">
        <v>98</v>
      </c>
      <c r="D122" s="87" t="s">
        <v>42</v>
      </c>
      <c r="E122" s="88">
        <v>8</v>
      </c>
      <c r="F122" s="88">
        <v>8</v>
      </c>
      <c r="G122" s="88"/>
      <c r="H122" s="88" t="str">
        <f t="shared" si="1"/>
        <v>B02.00</v>
      </c>
      <c r="I122" s="88"/>
    </row>
    <row r="123" spans="2:9" x14ac:dyDescent="0.3">
      <c r="B123" s="87" t="s">
        <v>40</v>
      </c>
      <c r="C123" s="87" t="s">
        <v>99</v>
      </c>
      <c r="D123" s="87" t="s">
        <v>39</v>
      </c>
      <c r="E123" s="88">
        <v>8</v>
      </c>
      <c r="F123" s="88">
        <v>0</v>
      </c>
      <c r="G123" s="88"/>
      <c r="H123" s="88" t="str">
        <f t="shared" si="1"/>
        <v>B02.00</v>
      </c>
      <c r="I123" s="88"/>
    </row>
    <row r="124" spans="2:9" x14ac:dyDescent="0.3">
      <c r="B124" s="87" t="s">
        <v>40</v>
      </c>
      <c r="C124" s="87" t="s">
        <v>99</v>
      </c>
      <c r="D124" s="87" t="s">
        <v>42</v>
      </c>
      <c r="E124" s="88">
        <v>8</v>
      </c>
      <c r="F124" s="88">
        <v>8</v>
      </c>
      <c r="G124" s="88"/>
      <c r="H124" s="88" t="str">
        <f t="shared" si="1"/>
        <v>B02.00</v>
      </c>
      <c r="I124" s="88"/>
    </row>
    <row r="125" spans="2:9" x14ac:dyDescent="0.3">
      <c r="B125" s="87" t="s">
        <v>40</v>
      </c>
      <c r="C125" s="87" t="s">
        <v>100</v>
      </c>
      <c r="D125" s="87" t="s">
        <v>39</v>
      </c>
      <c r="E125" s="88">
        <v>8</v>
      </c>
      <c r="F125" s="88">
        <v>2</v>
      </c>
      <c r="G125" s="88"/>
      <c r="H125" s="88" t="str">
        <f t="shared" si="1"/>
        <v>B02.00</v>
      </c>
      <c r="I125" s="88"/>
    </row>
    <row r="126" spans="2:9" x14ac:dyDescent="0.3">
      <c r="B126" s="87" t="s">
        <v>40</v>
      </c>
      <c r="C126" s="87" t="s">
        <v>100</v>
      </c>
      <c r="D126" s="87" t="s">
        <v>42</v>
      </c>
      <c r="E126" s="88">
        <v>8</v>
      </c>
      <c r="F126" s="88">
        <v>0</v>
      </c>
      <c r="G126" s="88"/>
      <c r="H126" s="88" t="str">
        <f t="shared" si="1"/>
        <v>B02.00</v>
      </c>
      <c r="I126" s="88"/>
    </row>
    <row r="127" spans="2:9" x14ac:dyDescent="0.3">
      <c r="B127" s="87" t="s">
        <v>40</v>
      </c>
      <c r="C127" s="87" t="s">
        <v>101</v>
      </c>
      <c r="D127" s="87" t="s">
        <v>39</v>
      </c>
      <c r="E127" s="88">
        <v>8</v>
      </c>
      <c r="F127" s="88">
        <v>0</v>
      </c>
      <c r="G127" s="88"/>
      <c r="H127" s="88" t="str">
        <f t="shared" si="1"/>
        <v>B02.00</v>
      </c>
      <c r="I127" s="88"/>
    </row>
    <row r="128" spans="2:9" x14ac:dyDescent="0.3">
      <c r="B128" s="87" t="s">
        <v>40</v>
      </c>
      <c r="C128" s="87" t="s">
        <v>101</v>
      </c>
      <c r="D128" s="87" t="s">
        <v>42</v>
      </c>
      <c r="E128" s="88">
        <v>8</v>
      </c>
      <c r="F128" s="88">
        <v>0</v>
      </c>
      <c r="G128" s="88"/>
      <c r="H128" s="88" t="str">
        <f t="shared" si="1"/>
        <v>B02.00</v>
      </c>
      <c r="I128" s="88" t="s">
        <v>325</v>
      </c>
    </row>
    <row r="129" spans="2:9" x14ac:dyDescent="0.3">
      <c r="B129" s="87" t="s">
        <v>40</v>
      </c>
      <c r="C129" s="87" t="s">
        <v>102</v>
      </c>
      <c r="D129" s="87" t="s">
        <v>39</v>
      </c>
      <c r="E129" s="88">
        <v>8</v>
      </c>
      <c r="F129" s="88">
        <v>2</v>
      </c>
      <c r="G129" s="88"/>
      <c r="H129" s="88" t="str">
        <f t="shared" si="1"/>
        <v>B02.00</v>
      </c>
      <c r="I129" s="88" t="s">
        <v>325</v>
      </c>
    </row>
    <row r="130" spans="2:9" x14ac:dyDescent="0.3">
      <c r="B130" s="87" t="s">
        <v>40</v>
      </c>
      <c r="C130" s="87" t="s">
        <v>102</v>
      </c>
      <c r="D130" s="87" t="s">
        <v>42</v>
      </c>
      <c r="E130" s="88">
        <v>8</v>
      </c>
      <c r="F130" s="88">
        <v>0</v>
      </c>
      <c r="G130" s="88"/>
      <c r="H130" s="88" t="str">
        <f t="shared" si="1"/>
        <v>B02.00</v>
      </c>
      <c r="I130" s="88" t="s">
        <v>325</v>
      </c>
    </row>
    <row r="131" spans="2:9" x14ac:dyDescent="0.3">
      <c r="B131" s="87" t="s">
        <v>40</v>
      </c>
      <c r="C131" s="87" t="s">
        <v>103</v>
      </c>
      <c r="D131" s="87" t="s">
        <v>39</v>
      </c>
      <c r="E131" s="88">
        <v>8</v>
      </c>
      <c r="F131" s="88">
        <v>0</v>
      </c>
      <c r="G131" s="88"/>
      <c r="H131" s="88" t="str">
        <f t="shared" si="1"/>
        <v>B02.00</v>
      </c>
      <c r="I131" s="88"/>
    </row>
    <row r="132" spans="2:9" x14ac:dyDescent="0.3">
      <c r="B132" s="87" t="s">
        <v>40</v>
      </c>
      <c r="C132" s="87" t="s">
        <v>103</v>
      </c>
      <c r="D132" s="87" t="s">
        <v>42</v>
      </c>
      <c r="E132" s="88">
        <v>8</v>
      </c>
      <c r="F132" s="88">
        <v>0</v>
      </c>
      <c r="G132" s="88"/>
      <c r="H132" s="88" t="str">
        <f t="shared" si="1"/>
        <v>B02.00</v>
      </c>
      <c r="I132" s="88"/>
    </row>
    <row r="133" spans="2:9" x14ac:dyDescent="0.3">
      <c r="B133" s="87" t="s">
        <v>40</v>
      </c>
      <c r="C133" s="87" t="s">
        <v>104</v>
      </c>
      <c r="D133" s="87" t="s">
        <v>39</v>
      </c>
      <c r="E133" s="88">
        <v>8</v>
      </c>
      <c r="F133" s="88">
        <v>0</v>
      </c>
      <c r="G133" s="88"/>
      <c r="H133" s="88" t="str">
        <f t="shared" si="1"/>
        <v>B02.00</v>
      </c>
      <c r="I133" s="88"/>
    </row>
    <row r="134" spans="2:9" x14ac:dyDescent="0.3">
      <c r="B134" s="87" t="s">
        <v>40</v>
      </c>
      <c r="C134" s="87" t="s">
        <v>104</v>
      </c>
      <c r="D134" s="87" t="s">
        <v>42</v>
      </c>
      <c r="E134" s="88">
        <v>8</v>
      </c>
      <c r="F134" s="88">
        <v>0</v>
      </c>
      <c r="G134" s="88"/>
      <c r="H134" s="88" t="str">
        <f t="shared" si="1"/>
        <v>B02.00</v>
      </c>
      <c r="I134" s="88"/>
    </row>
    <row r="135" spans="2:9" x14ac:dyDescent="0.3">
      <c r="B135" s="87" t="s">
        <v>40</v>
      </c>
      <c r="C135" s="87" t="s">
        <v>105</v>
      </c>
      <c r="D135" s="87" t="s">
        <v>39</v>
      </c>
      <c r="E135" s="88">
        <v>8</v>
      </c>
      <c r="F135" s="88">
        <v>0</v>
      </c>
      <c r="G135" s="88"/>
      <c r="H135" s="88" t="str">
        <f t="shared" si="1"/>
        <v>B02.00</v>
      </c>
      <c r="I135" s="88"/>
    </row>
    <row r="136" spans="2:9" x14ac:dyDescent="0.3">
      <c r="B136" s="87" t="s">
        <v>40</v>
      </c>
      <c r="C136" s="87" t="s">
        <v>105</v>
      </c>
      <c r="D136" s="87" t="s">
        <v>42</v>
      </c>
      <c r="E136" s="88">
        <v>8</v>
      </c>
      <c r="F136" s="88">
        <v>8</v>
      </c>
      <c r="G136" s="88"/>
      <c r="H136" s="88" t="str">
        <f t="shared" si="1"/>
        <v>B02.00</v>
      </c>
      <c r="I136" s="88"/>
    </row>
    <row r="137" spans="2:9" x14ac:dyDescent="0.3">
      <c r="B137" s="87" t="s">
        <v>40</v>
      </c>
      <c r="C137" s="87" t="s">
        <v>106</v>
      </c>
      <c r="D137" s="87" t="s">
        <v>39</v>
      </c>
      <c r="E137" s="88">
        <v>8</v>
      </c>
      <c r="F137" s="88">
        <v>0</v>
      </c>
      <c r="G137" s="88"/>
      <c r="H137" s="88" t="str">
        <f t="shared" si="1"/>
        <v>B02.00</v>
      </c>
      <c r="I137" s="88"/>
    </row>
    <row r="138" spans="2:9" x14ac:dyDescent="0.3">
      <c r="B138" s="87" t="s">
        <v>40</v>
      </c>
      <c r="C138" s="87" t="s">
        <v>106</v>
      </c>
      <c r="D138" s="87" t="s">
        <v>42</v>
      </c>
      <c r="E138" s="88">
        <v>8</v>
      </c>
      <c r="F138" s="88">
        <v>8</v>
      </c>
      <c r="G138" s="88"/>
      <c r="H138" s="88" t="str">
        <f t="shared" ref="H138:H154" si="2">MID(B138,22,3)&amp;"."&amp;MID(B138,25,2)</f>
        <v>B02.00</v>
      </c>
      <c r="I138" s="88"/>
    </row>
    <row r="139" spans="2:9" x14ac:dyDescent="0.3">
      <c r="B139" s="87" t="s">
        <v>40</v>
      </c>
      <c r="C139" s="87" t="s">
        <v>107</v>
      </c>
      <c r="D139" s="87" t="s">
        <v>39</v>
      </c>
      <c r="E139" s="88">
        <v>8</v>
      </c>
      <c r="F139" s="88">
        <v>0</v>
      </c>
      <c r="G139" s="88"/>
      <c r="H139" s="88" t="str">
        <f t="shared" si="2"/>
        <v>B02.00</v>
      </c>
      <c r="I139" s="88"/>
    </row>
    <row r="140" spans="2:9" x14ac:dyDescent="0.3">
      <c r="B140" s="87" t="s">
        <v>40</v>
      </c>
      <c r="C140" s="87" t="s">
        <v>107</v>
      </c>
      <c r="D140" s="87" t="s">
        <v>42</v>
      </c>
      <c r="E140" s="88">
        <v>8</v>
      </c>
      <c r="F140" s="88">
        <v>8</v>
      </c>
      <c r="G140" s="88"/>
      <c r="H140" s="88" t="str">
        <f t="shared" si="2"/>
        <v>B02.00</v>
      </c>
      <c r="I140" s="88"/>
    </row>
    <row r="141" spans="2:9" x14ac:dyDescent="0.3">
      <c r="B141" s="87" t="s">
        <v>40</v>
      </c>
      <c r="C141" s="87" t="s">
        <v>108</v>
      </c>
      <c r="D141" s="87" t="s">
        <v>39</v>
      </c>
      <c r="E141" s="88">
        <v>8</v>
      </c>
      <c r="F141" s="88">
        <v>0</v>
      </c>
      <c r="G141" s="88"/>
      <c r="H141" s="88" t="str">
        <f t="shared" si="2"/>
        <v>B02.00</v>
      </c>
      <c r="I141" s="88"/>
    </row>
    <row r="142" spans="2:9" x14ac:dyDescent="0.3">
      <c r="B142" s="87" t="s">
        <v>40</v>
      </c>
      <c r="C142" s="87" t="s">
        <v>108</v>
      </c>
      <c r="D142" s="87" t="s">
        <v>42</v>
      </c>
      <c r="E142" s="88">
        <v>8</v>
      </c>
      <c r="F142" s="88">
        <v>0</v>
      </c>
      <c r="G142" s="88"/>
      <c r="H142" s="88" t="str">
        <f t="shared" si="2"/>
        <v>B02.00</v>
      </c>
      <c r="I142" s="88"/>
    </row>
    <row r="143" spans="2:9" x14ac:dyDescent="0.3">
      <c r="B143" s="87" t="s">
        <v>40</v>
      </c>
      <c r="C143" s="87" t="s">
        <v>109</v>
      </c>
      <c r="D143" s="87" t="s">
        <v>39</v>
      </c>
      <c r="E143" s="88">
        <v>8</v>
      </c>
      <c r="F143" s="88">
        <v>0</v>
      </c>
      <c r="G143" s="88"/>
      <c r="H143" s="88" t="str">
        <f t="shared" si="2"/>
        <v>B02.00</v>
      </c>
      <c r="I143" s="88"/>
    </row>
    <row r="144" spans="2:9" x14ac:dyDescent="0.3">
      <c r="B144" s="87" t="s">
        <v>40</v>
      </c>
      <c r="C144" s="87" t="s">
        <v>109</v>
      </c>
      <c r="D144" s="87" t="s">
        <v>42</v>
      </c>
      <c r="E144" s="88">
        <v>8</v>
      </c>
      <c r="F144" s="88">
        <v>0</v>
      </c>
      <c r="G144" s="88"/>
      <c r="H144" s="88" t="str">
        <f t="shared" si="2"/>
        <v>B02.00</v>
      </c>
      <c r="I144" s="88"/>
    </row>
    <row r="145" spans="2:9" x14ac:dyDescent="0.3">
      <c r="B145" s="87" t="s">
        <v>40</v>
      </c>
      <c r="C145" s="87" t="s">
        <v>110</v>
      </c>
      <c r="D145" s="87" t="s">
        <v>39</v>
      </c>
      <c r="E145" s="88">
        <v>8</v>
      </c>
      <c r="F145" s="88">
        <v>0</v>
      </c>
      <c r="G145" s="88"/>
      <c r="H145" s="88" t="str">
        <f t="shared" si="2"/>
        <v>B02.00</v>
      </c>
      <c r="I145" s="88"/>
    </row>
    <row r="146" spans="2:9" x14ac:dyDescent="0.3">
      <c r="B146" s="87" t="s">
        <v>40</v>
      </c>
      <c r="C146" s="87" t="s">
        <v>110</v>
      </c>
      <c r="D146" s="87" t="s">
        <v>42</v>
      </c>
      <c r="E146" s="88">
        <v>8</v>
      </c>
      <c r="F146" s="88">
        <v>0</v>
      </c>
      <c r="G146" s="88"/>
      <c r="H146" s="88" t="str">
        <f t="shared" si="2"/>
        <v>B02.00</v>
      </c>
      <c r="I146" s="88" t="s">
        <v>325</v>
      </c>
    </row>
    <row r="147" spans="2:9" x14ac:dyDescent="0.3">
      <c r="B147" s="87" t="s">
        <v>40</v>
      </c>
      <c r="C147" s="87" t="s">
        <v>111</v>
      </c>
      <c r="D147" s="87" t="s">
        <v>39</v>
      </c>
      <c r="E147" s="88">
        <v>8</v>
      </c>
      <c r="F147" s="88">
        <v>0</v>
      </c>
      <c r="G147" s="88"/>
      <c r="H147" s="88" t="str">
        <f t="shared" si="2"/>
        <v>B02.00</v>
      </c>
      <c r="I147" s="88" t="s">
        <v>325</v>
      </c>
    </row>
    <row r="148" spans="2:9" x14ac:dyDescent="0.3">
      <c r="B148" s="87" t="s">
        <v>40</v>
      </c>
      <c r="C148" s="87" t="s">
        <v>111</v>
      </c>
      <c r="D148" s="87" t="s">
        <v>42</v>
      </c>
      <c r="E148" s="88">
        <v>8</v>
      </c>
      <c r="F148" s="88">
        <v>0</v>
      </c>
      <c r="G148" s="88"/>
      <c r="H148" s="88" t="str">
        <f t="shared" si="2"/>
        <v>B02.00</v>
      </c>
      <c r="I148" s="88" t="s">
        <v>325</v>
      </c>
    </row>
    <row r="149" spans="2:9" x14ac:dyDescent="0.3">
      <c r="B149" s="87" t="s">
        <v>40</v>
      </c>
      <c r="C149" s="87" t="s">
        <v>112</v>
      </c>
      <c r="D149" s="87" t="s">
        <v>39</v>
      </c>
      <c r="E149" s="88">
        <v>8</v>
      </c>
      <c r="F149" s="88">
        <v>0</v>
      </c>
      <c r="G149" s="88"/>
      <c r="H149" s="88" t="str">
        <f t="shared" si="2"/>
        <v>B02.00</v>
      </c>
      <c r="I149" s="88" t="s">
        <v>325</v>
      </c>
    </row>
    <row r="150" spans="2:9" x14ac:dyDescent="0.3">
      <c r="B150" s="87" t="s">
        <v>40</v>
      </c>
      <c r="C150" s="87" t="s">
        <v>112</v>
      </c>
      <c r="D150" s="87" t="s">
        <v>42</v>
      </c>
      <c r="E150" s="88">
        <v>8</v>
      </c>
      <c r="F150" s="88">
        <v>8</v>
      </c>
      <c r="G150" s="88"/>
      <c r="H150" s="88" t="str">
        <f t="shared" si="2"/>
        <v>B02.00</v>
      </c>
      <c r="I150" s="88" t="s">
        <v>325</v>
      </c>
    </row>
    <row r="151" spans="2:9" x14ac:dyDescent="0.3">
      <c r="B151" s="87" t="s">
        <v>40</v>
      </c>
      <c r="C151" s="87" t="s">
        <v>113</v>
      </c>
      <c r="D151" s="87" t="s">
        <v>39</v>
      </c>
      <c r="E151" s="88">
        <v>8</v>
      </c>
      <c r="F151" s="88">
        <v>0</v>
      </c>
      <c r="G151" s="88"/>
      <c r="H151" s="88" t="str">
        <f t="shared" si="2"/>
        <v>B02.00</v>
      </c>
      <c r="I151" s="88"/>
    </row>
    <row r="152" spans="2:9" x14ac:dyDescent="0.3">
      <c r="B152" s="87" t="s">
        <v>40</v>
      </c>
      <c r="C152" s="87" t="s">
        <v>113</v>
      </c>
      <c r="D152" s="87" t="s">
        <v>42</v>
      </c>
      <c r="E152" s="88">
        <v>8</v>
      </c>
      <c r="F152" s="88">
        <v>0</v>
      </c>
      <c r="G152" s="88"/>
      <c r="H152" s="88" t="str">
        <f t="shared" si="2"/>
        <v>B02.00</v>
      </c>
      <c r="I152" s="88"/>
    </row>
    <row r="153" spans="2:9" x14ac:dyDescent="0.3">
      <c r="B153" s="87" t="s">
        <v>40</v>
      </c>
      <c r="C153" s="87" t="s">
        <v>114</v>
      </c>
      <c r="D153" s="87" t="s">
        <v>39</v>
      </c>
      <c r="E153" s="88">
        <v>8</v>
      </c>
      <c r="F153" s="88">
        <v>0</v>
      </c>
      <c r="G153" s="88"/>
      <c r="H153" s="88" t="str">
        <f t="shared" si="2"/>
        <v>B02.00</v>
      </c>
      <c r="I153" s="88"/>
    </row>
    <row r="154" spans="2:9" x14ac:dyDescent="0.3">
      <c r="B154" s="87" t="s">
        <v>40</v>
      </c>
      <c r="C154" s="87" t="s">
        <v>114</v>
      </c>
      <c r="D154" s="87" t="s">
        <v>42</v>
      </c>
      <c r="E154" s="88">
        <v>8</v>
      </c>
      <c r="F154" s="88">
        <v>0</v>
      </c>
      <c r="G154" s="88"/>
      <c r="H154" s="88" t="str">
        <f t="shared" si="2"/>
        <v>B02.00</v>
      </c>
      <c r="I154" s="88"/>
    </row>
    <row r="155" spans="2:9" x14ac:dyDescent="0.3">
      <c r="B155" s="100" t="s">
        <v>334</v>
      </c>
      <c r="C155" s="100" t="s">
        <v>335</v>
      </c>
      <c r="D155" s="100" t="s">
        <v>326</v>
      </c>
      <c r="E155" s="101">
        <v>9460</v>
      </c>
      <c r="F155" s="101">
        <v>0</v>
      </c>
      <c r="G155" s="101" t="s">
        <v>340</v>
      </c>
      <c r="H155" s="101" t="str">
        <f>MID(B155,22,3)&amp;"."&amp;MID(B155,25,2)</f>
        <v>B05.00</v>
      </c>
      <c r="I155" s="101"/>
    </row>
    <row r="156" spans="2:9" x14ac:dyDescent="0.3">
      <c r="B156" s="100" t="s">
        <v>336</v>
      </c>
      <c r="C156" s="100" t="s">
        <v>337</v>
      </c>
      <c r="D156" s="100" t="s">
        <v>326</v>
      </c>
      <c r="E156" s="101">
        <v>4740</v>
      </c>
      <c r="F156" s="101">
        <v>0</v>
      </c>
      <c r="G156" s="101" t="s">
        <v>340</v>
      </c>
      <c r="H156" s="101" t="str">
        <f>MID(B156,22,3)&amp;"."&amp;MID(B156,25,2)</f>
        <v>B90.00</v>
      </c>
      <c r="I156" s="101"/>
    </row>
    <row r="157" spans="2:9" x14ac:dyDescent="0.3">
      <c r="B157" s="100" t="s">
        <v>40</v>
      </c>
      <c r="C157" s="100" t="s">
        <v>43</v>
      </c>
      <c r="D157" s="100" t="s">
        <v>326</v>
      </c>
      <c r="E157" s="101">
        <v>8</v>
      </c>
      <c r="F157" s="101">
        <v>0</v>
      </c>
      <c r="G157" s="101" t="s">
        <v>340</v>
      </c>
      <c r="H157" s="101" t="str">
        <f>MID(B157,22,3)&amp;"."&amp;MID(B157,25,2)</f>
        <v>B02.00</v>
      </c>
      <c r="I157" s="101"/>
    </row>
    <row r="158" spans="2:9" x14ac:dyDescent="0.3">
      <c r="B158" s="100" t="s">
        <v>40</v>
      </c>
      <c r="C158" s="100" t="s">
        <v>43</v>
      </c>
      <c r="D158" s="100" t="s">
        <v>327</v>
      </c>
      <c r="E158" s="101">
        <v>8</v>
      </c>
      <c r="F158" s="101">
        <v>0</v>
      </c>
      <c r="G158" s="101" t="s">
        <v>340</v>
      </c>
      <c r="H158" s="101" t="str">
        <f>MID(B158,22,3)&amp;"."&amp;MID(B158,25,2)</f>
        <v>B02.00</v>
      </c>
      <c r="I158" s="101"/>
    </row>
  </sheetData>
  <autoFilter ref="B8:H154" xr:uid="{90D6CD8A-7C56-4B85-AF15-7FD4E534061F}"/>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8651B-E9C6-4BD9-87C1-7621F6400EA9}">
  <dimension ref="A2:I5"/>
  <sheetViews>
    <sheetView workbookViewId="0">
      <selection activeCell="E37" sqref="E37"/>
    </sheetView>
  </sheetViews>
  <sheetFormatPr defaultRowHeight="14.4" x14ac:dyDescent="0.3"/>
  <cols>
    <col min="1" max="1" width="10.33203125" bestFit="1" customWidth="1"/>
    <col min="2" max="2" width="22.77734375" bestFit="1" customWidth="1"/>
    <col min="3" max="3" width="16.21875" bestFit="1" customWidth="1"/>
    <col min="4" max="4" width="39.5546875" bestFit="1" customWidth="1"/>
    <col min="5" max="5" width="45.33203125" bestFit="1" customWidth="1"/>
    <col min="6" max="6" width="46.33203125" bestFit="1" customWidth="1"/>
    <col min="7" max="7" width="10.6640625" bestFit="1" customWidth="1"/>
    <col min="8" max="8" width="13.77734375" bestFit="1" customWidth="1"/>
    <col min="9" max="9" width="9.77734375" customWidth="1"/>
  </cols>
  <sheetData>
    <row r="2" spans="1:9" x14ac:dyDescent="0.3">
      <c r="A2" t="s">
        <v>345</v>
      </c>
      <c r="B2" t="s">
        <v>347</v>
      </c>
      <c r="C2" t="s">
        <v>331</v>
      </c>
      <c r="D2" t="s">
        <v>348</v>
      </c>
      <c r="E2" t="s">
        <v>329</v>
      </c>
      <c r="F2" t="s">
        <v>330</v>
      </c>
      <c r="G2" t="s">
        <v>332</v>
      </c>
      <c r="H2" t="s">
        <v>333</v>
      </c>
      <c r="I2" t="s">
        <v>341</v>
      </c>
    </row>
    <row r="3" spans="1:9" x14ac:dyDescent="0.3">
      <c r="A3" t="s">
        <v>344</v>
      </c>
      <c r="B3" t="s">
        <v>349</v>
      </c>
      <c r="C3" t="s">
        <v>327</v>
      </c>
      <c r="D3" t="s">
        <v>350</v>
      </c>
      <c r="E3" t="s">
        <v>40</v>
      </c>
      <c r="F3" t="s">
        <v>43</v>
      </c>
      <c r="G3">
        <v>8</v>
      </c>
      <c r="H3">
        <v>0</v>
      </c>
    </row>
    <row r="4" spans="1:9" x14ac:dyDescent="0.3">
      <c r="A4" t="s">
        <v>344</v>
      </c>
      <c r="B4" t="s">
        <v>351</v>
      </c>
      <c r="C4" t="s">
        <v>327</v>
      </c>
      <c r="D4" t="s">
        <v>350</v>
      </c>
      <c r="E4" t="s">
        <v>334</v>
      </c>
      <c r="F4" t="s">
        <v>335</v>
      </c>
      <c r="G4">
        <v>4730</v>
      </c>
      <c r="H4">
        <v>0</v>
      </c>
    </row>
    <row r="5" spans="1:9" x14ac:dyDescent="0.3">
      <c r="A5" t="s">
        <v>344</v>
      </c>
      <c r="B5" t="s">
        <v>352</v>
      </c>
      <c r="C5" t="s">
        <v>327</v>
      </c>
      <c r="D5" t="s">
        <v>350</v>
      </c>
      <c r="E5" t="s">
        <v>336</v>
      </c>
      <c r="F5" t="s">
        <v>342</v>
      </c>
      <c r="G5">
        <v>4740</v>
      </c>
      <c r="H5">
        <v>0</v>
      </c>
    </row>
  </sheetData>
  <phoneticPr fontId="2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2EB8C-5578-4902-AD17-6B6F68B37070}">
  <dimension ref="A1:L158"/>
  <sheetViews>
    <sheetView showGridLines="0" zoomScale="80" zoomScaleNormal="80" workbookViewId="0">
      <selection activeCell="B11" sqref="B11"/>
    </sheetView>
  </sheetViews>
  <sheetFormatPr defaultRowHeight="14.4" x14ac:dyDescent="0.3"/>
  <cols>
    <col min="1" max="1" width="3.77734375" customWidth="1"/>
    <col min="2" max="2" width="48.77734375" bestFit="1" customWidth="1"/>
    <col min="3" max="3" width="44.44140625" bestFit="1" customWidth="1"/>
    <col min="4" max="4" width="18.5546875" bestFit="1" customWidth="1"/>
    <col min="5" max="5" width="10.109375" bestFit="1" customWidth="1"/>
    <col min="6" max="6" width="14.109375" bestFit="1" customWidth="1"/>
    <col min="7" max="8" width="14.109375" customWidth="1"/>
    <col min="9" max="9" width="48.5546875" customWidth="1"/>
    <col min="10" max="10" width="3.77734375" customWidth="1"/>
  </cols>
  <sheetData>
    <row r="1" spans="1:12" x14ac:dyDescent="0.3">
      <c r="A1" s="68"/>
      <c r="B1" s="68"/>
      <c r="C1" s="68"/>
      <c r="D1" s="68"/>
      <c r="E1" s="68"/>
      <c r="F1" s="68"/>
      <c r="G1" s="68"/>
      <c r="H1" s="68"/>
      <c r="I1" s="68"/>
      <c r="J1" s="68"/>
    </row>
    <row r="2" spans="1:12" x14ac:dyDescent="0.3">
      <c r="A2" s="68"/>
      <c r="B2" s="68"/>
      <c r="C2" s="68"/>
      <c r="D2" s="68"/>
      <c r="E2" s="68"/>
      <c r="F2" s="68"/>
      <c r="G2" s="68"/>
      <c r="H2" s="68"/>
      <c r="I2" s="68"/>
      <c r="J2" s="68"/>
      <c r="L2" s="102"/>
    </row>
    <row r="3" spans="1:12" x14ac:dyDescent="0.3">
      <c r="A3" s="68"/>
      <c r="B3" s="68"/>
      <c r="C3" s="68"/>
      <c r="D3" s="68"/>
      <c r="E3" s="68"/>
      <c r="F3" s="68"/>
      <c r="G3" s="68"/>
      <c r="H3" s="68"/>
      <c r="I3" s="68"/>
      <c r="J3" s="68"/>
      <c r="L3" s="102"/>
    </row>
    <row r="4" spans="1:12" ht="3" customHeight="1" x14ac:dyDescent="0.3">
      <c r="A4" s="69"/>
      <c r="B4" s="69"/>
      <c r="C4" s="69"/>
      <c r="D4" s="69"/>
      <c r="E4" s="69"/>
      <c r="F4" s="69"/>
      <c r="G4" s="69"/>
      <c r="H4" s="69"/>
      <c r="I4" s="69"/>
      <c r="J4" s="69"/>
    </row>
    <row r="5" spans="1:12" x14ac:dyDescent="0.3">
      <c r="A5" s="70"/>
      <c r="B5" s="70"/>
      <c r="C5" s="70"/>
      <c r="D5" s="70"/>
      <c r="E5" s="70"/>
      <c r="F5" s="70"/>
      <c r="G5" s="70"/>
      <c r="H5" s="70"/>
      <c r="I5" s="70"/>
      <c r="J5" s="70"/>
    </row>
    <row r="6" spans="1:12" ht="15" thickBot="1" x14ac:dyDescent="0.35">
      <c r="A6" s="70"/>
      <c r="B6" s="71" t="s">
        <v>321</v>
      </c>
      <c r="C6" s="72"/>
      <c r="D6" s="72"/>
      <c r="E6" s="72"/>
      <c r="F6" s="72"/>
      <c r="G6" s="72"/>
      <c r="H6" s="72"/>
      <c r="I6" s="72"/>
      <c r="J6" s="70"/>
    </row>
    <row r="7" spans="1:12" x14ac:dyDescent="0.3">
      <c r="A7" s="70"/>
      <c r="B7" s="70"/>
      <c r="C7" s="70"/>
      <c r="D7" s="70"/>
      <c r="E7" s="70"/>
      <c r="F7" s="70"/>
      <c r="G7" s="70"/>
      <c r="H7" s="70"/>
      <c r="I7" s="70"/>
      <c r="J7" s="70"/>
    </row>
    <row r="8" spans="1:12" x14ac:dyDescent="0.3">
      <c r="B8" s="86" t="s">
        <v>34</v>
      </c>
      <c r="C8" s="86" t="s">
        <v>36</v>
      </c>
      <c r="D8" s="86" t="s">
        <v>35</v>
      </c>
      <c r="E8" s="86" t="s">
        <v>37</v>
      </c>
      <c r="F8" s="86" t="s">
        <v>38</v>
      </c>
      <c r="G8" s="86" t="s">
        <v>338</v>
      </c>
      <c r="H8" s="93" t="s">
        <v>121</v>
      </c>
      <c r="I8" s="86" t="s">
        <v>123</v>
      </c>
    </row>
    <row r="9" spans="1:12" x14ac:dyDescent="0.3">
      <c r="B9" s="87"/>
      <c r="C9" s="87"/>
      <c r="D9" s="87"/>
      <c r="E9" s="88"/>
      <c r="F9" s="88"/>
      <c r="G9" s="88"/>
      <c r="H9" s="88"/>
      <c r="I9" s="88"/>
    </row>
    <row r="10" spans="1:12" x14ac:dyDescent="0.3">
      <c r="B10" s="87"/>
      <c r="C10" s="87"/>
      <c r="D10" s="87"/>
      <c r="E10" s="88"/>
      <c r="F10" s="88"/>
      <c r="G10" s="88"/>
      <c r="H10" s="88"/>
      <c r="I10" s="88"/>
    </row>
    <row r="11" spans="1:12" x14ac:dyDescent="0.3">
      <c r="B11" s="87"/>
      <c r="C11" s="87"/>
      <c r="D11" s="87"/>
      <c r="E11" s="88"/>
      <c r="F11" s="88"/>
      <c r="G11" s="88"/>
      <c r="H11" s="88"/>
      <c r="I11" s="88"/>
    </row>
    <row r="12" spans="1:12" x14ac:dyDescent="0.3">
      <c r="B12" s="87"/>
      <c r="C12" s="87"/>
      <c r="D12" s="87"/>
      <c r="E12" s="88"/>
      <c r="F12" s="88"/>
      <c r="G12" s="88"/>
      <c r="H12" s="88"/>
      <c r="I12" s="88"/>
    </row>
    <row r="13" spans="1:12" x14ac:dyDescent="0.3">
      <c r="B13" s="87"/>
      <c r="C13" s="87"/>
      <c r="D13" s="87"/>
      <c r="E13" s="88"/>
      <c r="F13" s="88"/>
      <c r="G13" s="88"/>
      <c r="H13" s="88"/>
      <c r="I13" s="88"/>
    </row>
    <row r="14" spans="1:12" x14ac:dyDescent="0.3">
      <c r="B14" s="87"/>
      <c r="C14" s="87"/>
      <c r="D14" s="87"/>
      <c r="E14" s="88"/>
      <c r="F14" s="88"/>
      <c r="G14" s="88"/>
      <c r="H14" s="88"/>
      <c r="I14" s="88"/>
    </row>
    <row r="15" spans="1:12" x14ac:dyDescent="0.3">
      <c r="B15" s="87"/>
      <c r="C15" s="87"/>
      <c r="D15" s="87"/>
      <c r="E15" s="88"/>
      <c r="F15" s="88"/>
      <c r="G15" s="88"/>
      <c r="H15" s="88"/>
      <c r="I15" s="88"/>
    </row>
    <row r="16" spans="1:12" x14ac:dyDescent="0.3">
      <c r="B16" s="87"/>
      <c r="C16" s="87"/>
      <c r="D16" s="87"/>
      <c r="E16" s="88"/>
      <c r="F16" s="88"/>
      <c r="G16" s="88"/>
      <c r="H16" s="88"/>
      <c r="I16" s="88"/>
    </row>
    <row r="17" spans="2:9" x14ac:dyDescent="0.3">
      <c r="B17" s="87"/>
      <c r="C17" s="87"/>
      <c r="D17" s="87"/>
      <c r="E17" s="88"/>
      <c r="F17" s="88"/>
      <c r="G17" s="88"/>
      <c r="H17" s="88"/>
      <c r="I17" s="88"/>
    </row>
    <row r="18" spans="2:9" x14ac:dyDescent="0.3">
      <c r="B18" s="87"/>
      <c r="C18" s="87"/>
      <c r="D18" s="87"/>
      <c r="E18" s="88"/>
      <c r="F18" s="88"/>
      <c r="G18" s="88"/>
      <c r="H18" s="88"/>
      <c r="I18" s="88"/>
    </row>
    <row r="19" spans="2:9" x14ac:dyDescent="0.3">
      <c r="B19" s="87"/>
      <c r="C19" s="87"/>
      <c r="D19" s="87"/>
      <c r="E19" s="88"/>
      <c r="F19" s="88"/>
      <c r="G19" s="88"/>
      <c r="H19" s="88"/>
      <c r="I19" s="88"/>
    </row>
    <row r="20" spans="2:9" x14ac:dyDescent="0.3">
      <c r="B20" s="87"/>
      <c r="C20" s="87"/>
      <c r="D20" s="87"/>
      <c r="E20" s="88"/>
      <c r="F20" s="88"/>
      <c r="G20" s="88"/>
      <c r="H20" s="88"/>
      <c r="I20" s="88"/>
    </row>
    <row r="21" spans="2:9" x14ac:dyDescent="0.3">
      <c r="B21" s="87"/>
      <c r="C21" s="87"/>
      <c r="D21" s="87"/>
      <c r="E21" s="88"/>
      <c r="F21" s="88"/>
      <c r="G21" s="88"/>
      <c r="H21" s="88"/>
      <c r="I21" s="88"/>
    </row>
    <row r="22" spans="2:9" x14ac:dyDescent="0.3">
      <c r="B22" s="87"/>
      <c r="C22" s="87"/>
      <c r="D22" s="87"/>
      <c r="E22" s="88"/>
      <c r="F22" s="88"/>
      <c r="G22" s="88"/>
      <c r="H22" s="88"/>
      <c r="I22" s="88"/>
    </row>
    <row r="23" spans="2:9" x14ac:dyDescent="0.3">
      <c r="B23" s="87"/>
      <c r="C23" s="87"/>
      <c r="D23" s="87"/>
      <c r="E23" s="88"/>
      <c r="F23" s="88"/>
      <c r="G23" s="88"/>
      <c r="H23" s="88"/>
      <c r="I23" s="88"/>
    </row>
    <row r="24" spans="2:9" x14ac:dyDescent="0.3">
      <c r="B24" s="87"/>
      <c r="C24" s="87"/>
      <c r="D24" s="87"/>
      <c r="E24" s="88"/>
      <c r="F24" s="88"/>
      <c r="G24" s="88"/>
      <c r="H24" s="88"/>
      <c r="I24" s="88"/>
    </row>
    <row r="25" spans="2:9" x14ac:dyDescent="0.3">
      <c r="B25" s="87"/>
      <c r="C25" s="87"/>
      <c r="D25" s="87"/>
      <c r="E25" s="88"/>
      <c r="F25" s="88"/>
      <c r="G25" s="88"/>
      <c r="H25" s="88"/>
      <c r="I25" s="88"/>
    </row>
    <row r="26" spans="2:9" x14ac:dyDescent="0.3">
      <c r="B26" s="87"/>
      <c r="C26" s="87"/>
      <c r="D26" s="87"/>
      <c r="E26" s="88"/>
      <c r="F26" s="88"/>
      <c r="G26" s="88"/>
      <c r="H26" s="88"/>
      <c r="I26" s="88"/>
    </row>
    <row r="27" spans="2:9" x14ac:dyDescent="0.3">
      <c r="B27" s="87"/>
      <c r="C27" s="87"/>
      <c r="D27" s="87"/>
      <c r="E27" s="88"/>
      <c r="F27" s="88"/>
      <c r="G27" s="88"/>
      <c r="H27" s="88"/>
      <c r="I27" s="88"/>
    </row>
    <row r="28" spans="2:9" x14ac:dyDescent="0.3">
      <c r="B28" s="87"/>
      <c r="C28" s="87"/>
      <c r="D28" s="87"/>
      <c r="E28" s="88"/>
      <c r="F28" s="88"/>
      <c r="G28" s="88"/>
      <c r="H28" s="88"/>
      <c r="I28" s="88"/>
    </row>
    <row r="29" spans="2:9" x14ac:dyDescent="0.3">
      <c r="B29" s="87"/>
      <c r="C29" s="87"/>
      <c r="D29" s="87"/>
      <c r="E29" s="88"/>
      <c r="F29" s="88"/>
      <c r="G29" s="88"/>
      <c r="H29" s="88"/>
      <c r="I29" s="88"/>
    </row>
    <row r="30" spans="2:9" x14ac:dyDescent="0.3">
      <c r="B30" s="87"/>
      <c r="C30" s="87"/>
      <c r="D30" s="87"/>
      <c r="E30" s="88"/>
      <c r="F30" s="88"/>
      <c r="G30" s="88"/>
      <c r="H30" s="88"/>
      <c r="I30" s="88"/>
    </row>
    <row r="31" spans="2:9" x14ac:dyDescent="0.3">
      <c r="B31" s="87"/>
      <c r="C31" s="87"/>
      <c r="D31" s="87"/>
      <c r="E31" s="88"/>
      <c r="F31" s="88"/>
      <c r="G31" s="88"/>
      <c r="H31" s="88"/>
      <c r="I31" s="88"/>
    </row>
    <row r="32" spans="2:9" x14ac:dyDescent="0.3">
      <c r="B32" s="87"/>
      <c r="C32" s="87"/>
      <c r="D32" s="87"/>
      <c r="E32" s="88"/>
      <c r="F32" s="88"/>
      <c r="G32" s="88"/>
      <c r="H32" s="88"/>
      <c r="I32" s="88"/>
    </row>
    <row r="33" spans="2:9" x14ac:dyDescent="0.3">
      <c r="B33" s="87"/>
      <c r="C33" s="87"/>
      <c r="D33" s="87"/>
      <c r="E33" s="88"/>
      <c r="F33" s="88"/>
      <c r="G33" s="88"/>
      <c r="H33" s="88"/>
      <c r="I33" s="88"/>
    </row>
    <row r="34" spans="2:9" x14ac:dyDescent="0.3">
      <c r="B34" s="87"/>
      <c r="C34" s="87"/>
      <c r="D34" s="87"/>
      <c r="E34" s="88"/>
      <c r="F34" s="88"/>
      <c r="G34" s="88"/>
      <c r="H34" s="88"/>
      <c r="I34" s="88"/>
    </row>
    <row r="35" spans="2:9" x14ac:dyDescent="0.3">
      <c r="B35" s="87"/>
      <c r="C35" s="87"/>
      <c r="D35" s="87"/>
      <c r="E35" s="88"/>
      <c r="F35" s="88"/>
      <c r="G35" s="88"/>
      <c r="H35" s="88"/>
      <c r="I35" s="88"/>
    </row>
    <row r="36" spans="2:9" x14ac:dyDescent="0.3">
      <c r="B36" s="87"/>
      <c r="C36" s="87"/>
      <c r="D36" s="87"/>
      <c r="E36" s="88"/>
      <c r="F36" s="88"/>
      <c r="G36" s="88"/>
      <c r="H36" s="88"/>
      <c r="I36" s="88"/>
    </row>
    <row r="37" spans="2:9" x14ac:dyDescent="0.3">
      <c r="B37" s="87"/>
      <c r="C37" s="87"/>
      <c r="D37" s="87"/>
      <c r="E37" s="88"/>
      <c r="F37" s="88"/>
      <c r="G37" s="88"/>
      <c r="H37" s="88"/>
      <c r="I37" s="88"/>
    </row>
    <row r="38" spans="2:9" x14ac:dyDescent="0.3">
      <c r="B38" s="87"/>
      <c r="C38" s="87"/>
      <c r="D38" s="87"/>
      <c r="E38" s="88"/>
      <c r="F38" s="88"/>
      <c r="G38" s="88"/>
      <c r="H38" s="88"/>
      <c r="I38" s="88"/>
    </row>
    <row r="39" spans="2:9" x14ac:dyDescent="0.3">
      <c r="B39" s="87"/>
      <c r="C39" s="87"/>
      <c r="D39" s="87"/>
      <c r="E39" s="88"/>
      <c r="F39" s="88"/>
      <c r="G39" s="88"/>
      <c r="H39" s="88"/>
      <c r="I39" s="88"/>
    </row>
    <row r="40" spans="2:9" x14ac:dyDescent="0.3">
      <c r="B40" s="87"/>
      <c r="C40" s="87"/>
      <c r="D40" s="87"/>
      <c r="E40" s="88"/>
      <c r="F40" s="88"/>
      <c r="G40" s="88"/>
      <c r="H40" s="88"/>
      <c r="I40" s="88"/>
    </row>
    <row r="41" spans="2:9" x14ac:dyDescent="0.3">
      <c r="B41" s="87"/>
      <c r="C41" s="87"/>
      <c r="D41" s="87"/>
      <c r="E41" s="88"/>
      <c r="F41" s="88"/>
      <c r="G41" s="88"/>
      <c r="H41" s="88"/>
      <c r="I41" s="88"/>
    </row>
    <row r="42" spans="2:9" x14ac:dyDescent="0.3">
      <c r="B42" s="87"/>
      <c r="C42" s="87"/>
      <c r="D42" s="87"/>
      <c r="E42" s="88"/>
      <c r="F42" s="88"/>
      <c r="G42" s="88"/>
      <c r="H42" s="88"/>
      <c r="I42" s="88"/>
    </row>
    <row r="43" spans="2:9" x14ac:dyDescent="0.3">
      <c r="B43" s="87"/>
      <c r="C43" s="87"/>
      <c r="D43" s="87"/>
      <c r="E43" s="88"/>
      <c r="F43" s="88"/>
      <c r="G43" s="88"/>
      <c r="H43" s="88"/>
      <c r="I43" s="88"/>
    </row>
    <row r="44" spans="2:9" x14ac:dyDescent="0.3">
      <c r="B44" s="87"/>
      <c r="C44" s="87"/>
      <c r="D44" s="87"/>
      <c r="E44" s="88"/>
      <c r="F44" s="88"/>
      <c r="G44" s="88"/>
      <c r="H44" s="88"/>
      <c r="I44" s="88"/>
    </row>
    <row r="45" spans="2:9" x14ac:dyDescent="0.3">
      <c r="B45" s="87"/>
      <c r="C45" s="87"/>
      <c r="D45" s="87"/>
      <c r="E45" s="88"/>
      <c r="F45" s="88"/>
      <c r="G45" s="88"/>
      <c r="H45" s="88"/>
      <c r="I45" s="88"/>
    </row>
    <row r="46" spans="2:9" x14ac:dyDescent="0.3">
      <c r="B46" s="87"/>
      <c r="C46" s="87"/>
      <c r="D46" s="87"/>
      <c r="E46" s="88"/>
      <c r="F46" s="88"/>
      <c r="G46" s="88"/>
      <c r="H46" s="88"/>
      <c r="I46" s="88"/>
    </row>
    <row r="47" spans="2:9" x14ac:dyDescent="0.3">
      <c r="B47" s="87"/>
      <c r="C47" s="87"/>
      <c r="D47" s="87"/>
      <c r="E47" s="88"/>
      <c r="F47" s="88"/>
      <c r="G47" s="88"/>
      <c r="H47" s="88"/>
      <c r="I47" s="88"/>
    </row>
    <row r="48" spans="2:9" x14ac:dyDescent="0.3">
      <c r="B48" s="87"/>
      <c r="C48" s="87"/>
      <c r="D48" s="87"/>
      <c r="E48" s="88"/>
      <c r="F48" s="88"/>
      <c r="G48" s="88"/>
      <c r="H48" s="88"/>
      <c r="I48" s="88"/>
    </row>
    <row r="49" spans="2:9" x14ac:dyDescent="0.3">
      <c r="B49" s="87"/>
      <c r="C49" s="87"/>
      <c r="D49" s="87"/>
      <c r="E49" s="88"/>
      <c r="F49" s="88"/>
      <c r="G49" s="88"/>
      <c r="H49" s="88"/>
      <c r="I49" s="88"/>
    </row>
    <row r="50" spans="2:9" x14ac:dyDescent="0.3">
      <c r="B50" s="87"/>
      <c r="C50" s="87"/>
      <c r="D50" s="87"/>
      <c r="E50" s="88"/>
      <c r="F50" s="88"/>
      <c r="G50" s="88"/>
      <c r="H50" s="88"/>
      <c r="I50" s="88"/>
    </row>
    <row r="51" spans="2:9" x14ac:dyDescent="0.3">
      <c r="B51" s="87"/>
      <c r="C51" s="87"/>
      <c r="D51" s="87"/>
      <c r="E51" s="88"/>
      <c r="F51" s="88"/>
      <c r="G51" s="88"/>
      <c r="H51" s="88"/>
      <c r="I51" s="88"/>
    </row>
    <row r="52" spans="2:9" x14ac:dyDescent="0.3">
      <c r="B52" s="87"/>
      <c r="C52" s="87"/>
      <c r="D52" s="87"/>
      <c r="E52" s="88"/>
      <c r="F52" s="88"/>
      <c r="G52" s="88"/>
      <c r="H52" s="88"/>
      <c r="I52" s="88"/>
    </row>
    <row r="53" spans="2:9" x14ac:dyDescent="0.3">
      <c r="B53" s="87"/>
      <c r="C53" s="87"/>
      <c r="D53" s="87"/>
      <c r="E53" s="88"/>
      <c r="F53" s="88"/>
      <c r="G53" s="88"/>
      <c r="H53" s="88"/>
      <c r="I53" s="88"/>
    </row>
    <row r="54" spans="2:9" x14ac:dyDescent="0.3">
      <c r="B54" s="87"/>
      <c r="C54" s="87"/>
      <c r="D54" s="87"/>
      <c r="E54" s="88"/>
      <c r="F54" s="88"/>
      <c r="G54" s="88"/>
      <c r="H54" s="88"/>
      <c r="I54" s="88"/>
    </row>
    <row r="55" spans="2:9" x14ac:dyDescent="0.3">
      <c r="B55" s="87"/>
      <c r="C55" s="87"/>
      <c r="D55" s="87"/>
      <c r="E55" s="88"/>
      <c r="F55" s="88"/>
      <c r="G55" s="88"/>
      <c r="H55" s="88"/>
      <c r="I55" s="88"/>
    </row>
    <row r="56" spans="2:9" x14ac:dyDescent="0.3">
      <c r="B56" s="87"/>
      <c r="C56" s="87"/>
      <c r="D56" s="87"/>
      <c r="E56" s="88"/>
      <c r="F56" s="88"/>
      <c r="G56" s="88"/>
      <c r="H56" s="88"/>
      <c r="I56" s="88"/>
    </row>
    <row r="57" spans="2:9" x14ac:dyDescent="0.3">
      <c r="B57" s="87"/>
      <c r="C57" s="87"/>
      <c r="D57" s="87"/>
      <c r="E57" s="88"/>
      <c r="F57" s="88"/>
      <c r="G57" s="88"/>
      <c r="H57" s="88"/>
      <c r="I57" s="88"/>
    </row>
    <row r="58" spans="2:9" x14ac:dyDescent="0.3">
      <c r="B58" s="87"/>
      <c r="C58" s="87"/>
      <c r="D58" s="87"/>
      <c r="E58" s="88"/>
      <c r="F58" s="88"/>
      <c r="G58" s="88"/>
      <c r="H58" s="88"/>
      <c r="I58" s="88"/>
    </row>
    <row r="59" spans="2:9" x14ac:dyDescent="0.3">
      <c r="B59" s="87"/>
      <c r="C59" s="87"/>
      <c r="D59" s="87"/>
      <c r="E59" s="88"/>
      <c r="F59" s="88"/>
      <c r="G59" s="88"/>
      <c r="H59" s="88"/>
      <c r="I59" s="88"/>
    </row>
    <row r="60" spans="2:9" x14ac:dyDescent="0.3">
      <c r="B60" s="87"/>
      <c r="C60" s="87"/>
      <c r="D60" s="87"/>
      <c r="E60" s="88"/>
      <c r="F60" s="88"/>
      <c r="G60" s="88"/>
      <c r="H60" s="88"/>
      <c r="I60" s="88"/>
    </row>
    <row r="61" spans="2:9" x14ac:dyDescent="0.3">
      <c r="B61" s="87"/>
      <c r="C61" s="87"/>
      <c r="D61" s="87"/>
      <c r="E61" s="88"/>
      <c r="F61" s="88"/>
      <c r="G61" s="88"/>
      <c r="H61" s="88"/>
      <c r="I61" s="88"/>
    </row>
    <row r="62" spans="2:9" x14ac:dyDescent="0.3">
      <c r="B62" s="87"/>
      <c r="C62" s="87"/>
      <c r="D62" s="87"/>
      <c r="E62" s="88"/>
      <c r="F62" s="88"/>
      <c r="G62" s="88"/>
      <c r="H62" s="88"/>
      <c r="I62" s="88"/>
    </row>
    <row r="63" spans="2:9" x14ac:dyDescent="0.3">
      <c r="B63" s="87"/>
      <c r="C63" s="87"/>
      <c r="D63" s="87"/>
      <c r="E63" s="88"/>
      <c r="F63" s="88"/>
      <c r="G63" s="88"/>
      <c r="H63" s="88"/>
      <c r="I63" s="88"/>
    </row>
    <row r="64" spans="2:9" x14ac:dyDescent="0.3">
      <c r="B64" s="87"/>
      <c r="C64" s="87"/>
      <c r="D64" s="87"/>
      <c r="E64" s="88"/>
      <c r="F64" s="88"/>
      <c r="G64" s="88"/>
      <c r="H64" s="88"/>
      <c r="I64" s="88"/>
    </row>
    <row r="65" spans="2:9" x14ac:dyDescent="0.3">
      <c r="B65" s="87"/>
      <c r="C65" s="87"/>
      <c r="D65" s="87"/>
      <c r="E65" s="88"/>
      <c r="F65" s="88"/>
      <c r="G65" s="88"/>
      <c r="H65" s="88"/>
      <c r="I65" s="88"/>
    </row>
    <row r="66" spans="2:9" x14ac:dyDescent="0.3">
      <c r="B66" s="87"/>
      <c r="C66" s="87"/>
      <c r="D66" s="87"/>
      <c r="E66" s="88"/>
      <c r="F66" s="88"/>
      <c r="G66" s="88"/>
      <c r="H66" s="88"/>
      <c r="I66" s="88"/>
    </row>
    <row r="67" spans="2:9" x14ac:dyDescent="0.3">
      <c r="B67" s="87"/>
      <c r="C67" s="87"/>
      <c r="D67" s="87"/>
      <c r="E67" s="88"/>
      <c r="F67" s="88"/>
      <c r="G67" s="88"/>
      <c r="H67" s="88"/>
      <c r="I67" s="88"/>
    </row>
    <row r="68" spans="2:9" x14ac:dyDescent="0.3">
      <c r="B68" s="87"/>
      <c r="C68" s="87"/>
      <c r="D68" s="87"/>
      <c r="E68" s="88"/>
      <c r="F68" s="88"/>
      <c r="G68" s="88"/>
      <c r="H68" s="88"/>
      <c r="I68" s="88"/>
    </row>
    <row r="69" spans="2:9" x14ac:dyDescent="0.3">
      <c r="B69" s="87"/>
      <c r="C69" s="87"/>
      <c r="D69" s="87"/>
      <c r="E69" s="88"/>
      <c r="F69" s="88"/>
      <c r="G69" s="88"/>
      <c r="H69" s="88"/>
      <c r="I69" s="88"/>
    </row>
    <row r="70" spans="2:9" x14ac:dyDescent="0.3">
      <c r="B70" s="87"/>
      <c r="C70" s="87"/>
      <c r="D70" s="87"/>
      <c r="E70" s="88"/>
      <c r="F70" s="88"/>
      <c r="G70" s="88"/>
      <c r="H70" s="88"/>
      <c r="I70" s="88"/>
    </row>
    <row r="71" spans="2:9" x14ac:dyDescent="0.3">
      <c r="B71" s="87"/>
      <c r="C71" s="87"/>
      <c r="D71" s="87"/>
      <c r="E71" s="88"/>
      <c r="F71" s="88"/>
      <c r="G71" s="88"/>
      <c r="H71" s="88"/>
      <c r="I71" s="88"/>
    </row>
    <row r="72" spans="2:9" x14ac:dyDescent="0.3">
      <c r="B72" s="87"/>
      <c r="C72" s="87"/>
      <c r="D72" s="87"/>
      <c r="E72" s="88"/>
      <c r="F72" s="88"/>
      <c r="G72" s="88"/>
      <c r="H72" s="88"/>
      <c r="I72" s="88"/>
    </row>
    <row r="73" spans="2:9" x14ac:dyDescent="0.3">
      <c r="B73" s="87"/>
      <c r="C73" s="87"/>
      <c r="D73" s="87"/>
      <c r="E73" s="88"/>
      <c r="F73" s="88"/>
      <c r="G73" s="88"/>
      <c r="H73" s="88"/>
      <c r="I73" s="88"/>
    </row>
    <row r="74" spans="2:9" x14ac:dyDescent="0.3">
      <c r="B74" s="87"/>
      <c r="C74" s="87"/>
      <c r="D74" s="87"/>
      <c r="E74" s="88"/>
      <c r="F74" s="88"/>
      <c r="G74" s="88"/>
      <c r="H74" s="88"/>
      <c r="I74" s="88"/>
    </row>
    <row r="75" spans="2:9" x14ac:dyDescent="0.3">
      <c r="B75" s="87"/>
      <c r="C75" s="87"/>
      <c r="D75" s="87"/>
      <c r="E75" s="88"/>
      <c r="F75" s="88"/>
      <c r="G75" s="88"/>
      <c r="H75" s="88"/>
      <c r="I75" s="88"/>
    </row>
    <row r="76" spans="2:9" x14ac:dyDescent="0.3">
      <c r="B76" s="87"/>
      <c r="C76" s="87"/>
      <c r="D76" s="87"/>
      <c r="E76" s="88"/>
      <c r="F76" s="88"/>
      <c r="G76" s="88"/>
      <c r="H76" s="88"/>
      <c r="I76" s="88"/>
    </row>
    <row r="77" spans="2:9" x14ac:dyDescent="0.3">
      <c r="B77" s="87"/>
      <c r="C77" s="87"/>
      <c r="D77" s="87"/>
      <c r="E77" s="88"/>
      <c r="F77" s="88"/>
      <c r="G77" s="88"/>
      <c r="H77" s="88"/>
      <c r="I77" s="88"/>
    </row>
    <row r="78" spans="2:9" x14ac:dyDescent="0.3">
      <c r="B78" s="87"/>
      <c r="C78" s="87"/>
      <c r="D78" s="87"/>
      <c r="E78" s="88"/>
      <c r="F78" s="88"/>
      <c r="G78" s="88"/>
      <c r="H78" s="88"/>
      <c r="I78" s="88"/>
    </row>
    <row r="79" spans="2:9" x14ac:dyDescent="0.3">
      <c r="B79" s="87"/>
      <c r="C79" s="87"/>
      <c r="D79" s="87"/>
      <c r="E79" s="88"/>
      <c r="F79" s="88"/>
      <c r="G79" s="88"/>
      <c r="H79" s="88"/>
      <c r="I79" s="88"/>
    </row>
    <row r="80" spans="2:9" x14ac:dyDescent="0.3">
      <c r="B80" s="87"/>
      <c r="C80" s="87"/>
      <c r="D80" s="87"/>
      <c r="E80" s="88"/>
      <c r="F80" s="88"/>
      <c r="G80" s="88"/>
      <c r="H80" s="88"/>
      <c r="I80" s="88"/>
    </row>
    <row r="81" spans="2:9" x14ac:dyDescent="0.3">
      <c r="B81" s="87"/>
      <c r="C81" s="87"/>
      <c r="D81" s="87"/>
      <c r="E81" s="88"/>
      <c r="F81" s="88"/>
      <c r="G81" s="88"/>
      <c r="H81" s="88"/>
      <c r="I81" s="88"/>
    </row>
    <row r="82" spans="2:9" x14ac:dyDescent="0.3">
      <c r="B82" s="87"/>
      <c r="C82" s="87"/>
      <c r="D82" s="87"/>
      <c r="E82" s="88"/>
      <c r="F82" s="88"/>
      <c r="G82" s="88"/>
      <c r="H82" s="88"/>
      <c r="I82" s="88"/>
    </row>
    <row r="83" spans="2:9" x14ac:dyDescent="0.3">
      <c r="B83" s="87"/>
      <c r="C83" s="87"/>
      <c r="D83" s="87"/>
      <c r="E83" s="88"/>
      <c r="F83" s="88"/>
      <c r="G83" s="88"/>
      <c r="H83" s="88"/>
      <c r="I83" s="88"/>
    </row>
    <row r="84" spans="2:9" x14ac:dyDescent="0.3">
      <c r="B84" s="87"/>
      <c r="C84" s="87"/>
      <c r="D84" s="87"/>
      <c r="E84" s="88"/>
      <c r="F84" s="88"/>
      <c r="G84" s="88"/>
      <c r="H84" s="88"/>
      <c r="I84" s="88"/>
    </row>
    <row r="85" spans="2:9" x14ac:dyDescent="0.3">
      <c r="B85" s="87"/>
      <c r="C85" s="87"/>
      <c r="D85" s="87"/>
      <c r="E85" s="88"/>
      <c r="F85" s="88"/>
      <c r="G85" s="88"/>
      <c r="H85" s="88"/>
      <c r="I85" s="88"/>
    </row>
    <row r="86" spans="2:9" x14ac:dyDescent="0.3">
      <c r="B86" s="87"/>
      <c r="C86" s="87"/>
      <c r="D86" s="87"/>
      <c r="E86" s="88"/>
      <c r="F86" s="88"/>
      <c r="G86" s="88"/>
      <c r="H86" s="88"/>
      <c r="I86" s="88"/>
    </row>
    <row r="87" spans="2:9" x14ac:dyDescent="0.3">
      <c r="B87" s="87"/>
      <c r="C87" s="87"/>
      <c r="D87" s="87"/>
      <c r="E87" s="88"/>
      <c r="F87" s="88"/>
      <c r="G87" s="88"/>
      <c r="H87" s="88"/>
      <c r="I87" s="88"/>
    </row>
    <row r="88" spans="2:9" x14ac:dyDescent="0.3">
      <c r="B88" s="87"/>
      <c r="C88" s="87"/>
      <c r="D88" s="87"/>
      <c r="E88" s="88"/>
      <c r="F88" s="88"/>
      <c r="G88" s="88"/>
      <c r="H88" s="88"/>
      <c r="I88" s="88"/>
    </row>
    <row r="89" spans="2:9" x14ac:dyDescent="0.3">
      <c r="B89" s="87"/>
      <c r="C89" s="87"/>
      <c r="D89" s="87"/>
      <c r="E89" s="88"/>
      <c r="F89" s="88"/>
      <c r="G89" s="88"/>
      <c r="H89" s="88"/>
      <c r="I89" s="88"/>
    </row>
    <row r="90" spans="2:9" x14ac:dyDescent="0.3">
      <c r="B90" s="87"/>
      <c r="C90" s="87"/>
      <c r="D90" s="87"/>
      <c r="E90" s="88"/>
      <c r="F90" s="88"/>
      <c r="G90" s="88"/>
      <c r="H90" s="88"/>
      <c r="I90" s="88"/>
    </row>
    <row r="91" spans="2:9" x14ac:dyDescent="0.3">
      <c r="B91" s="87"/>
      <c r="C91" s="87"/>
      <c r="D91" s="87"/>
      <c r="E91" s="88"/>
      <c r="F91" s="88"/>
      <c r="G91" s="88"/>
      <c r="H91" s="88"/>
      <c r="I91" s="88"/>
    </row>
    <row r="92" spans="2:9" x14ac:dyDescent="0.3">
      <c r="B92" s="87"/>
      <c r="C92" s="87"/>
      <c r="D92" s="87"/>
      <c r="E92" s="88"/>
      <c r="F92" s="88"/>
      <c r="G92" s="88"/>
      <c r="H92" s="88"/>
      <c r="I92" s="88"/>
    </row>
    <row r="93" spans="2:9" x14ac:dyDescent="0.3">
      <c r="B93" s="87"/>
      <c r="C93" s="87"/>
      <c r="D93" s="87"/>
      <c r="E93" s="88"/>
      <c r="F93" s="88"/>
      <c r="G93" s="88"/>
      <c r="H93" s="88"/>
      <c r="I93" s="88"/>
    </row>
    <row r="94" spans="2:9" x14ac:dyDescent="0.3">
      <c r="B94" s="87"/>
      <c r="C94" s="87"/>
      <c r="D94" s="87"/>
      <c r="E94" s="88"/>
      <c r="F94" s="88"/>
      <c r="G94" s="88"/>
      <c r="H94" s="88"/>
      <c r="I94" s="88"/>
    </row>
    <row r="95" spans="2:9" x14ac:dyDescent="0.3">
      <c r="B95" s="87"/>
      <c r="C95" s="87"/>
      <c r="D95" s="87"/>
      <c r="E95" s="88"/>
      <c r="F95" s="88"/>
      <c r="G95" s="88"/>
      <c r="H95" s="88"/>
      <c r="I95" s="88"/>
    </row>
    <row r="96" spans="2:9" x14ac:dyDescent="0.3">
      <c r="B96" s="87"/>
      <c r="C96" s="87"/>
      <c r="D96" s="87"/>
      <c r="E96" s="88"/>
      <c r="F96" s="88"/>
      <c r="G96" s="88"/>
      <c r="H96" s="88"/>
      <c r="I96" s="88"/>
    </row>
    <row r="97" spans="2:9" x14ac:dyDescent="0.3">
      <c r="B97" s="87"/>
      <c r="C97" s="87"/>
      <c r="D97" s="87"/>
      <c r="E97" s="88"/>
      <c r="F97" s="88"/>
      <c r="G97" s="88"/>
      <c r="H97" s="88"/>
      <c r="I97" s="88"/>
    </row>
    <row r="98" spans="2:9" x14ac:dyDescent="0.3">
      <c r="B98" s="87"/>
      <c r="C98" s="87"/>
      <c r="D98" s="87"/>
      <c r="E98" s="88"/>
      <c r="F98" s="88"/>
      <c r="G98" s="88"/>
      <c r="H98" s="88"/>
      <c r="I98" s="88"/>
    </row>
    <row r="99" spans="2:9" x14ac:dyDescent="0.3">
      <c r="B99" s="87"/>
      <c r="C99" s="87"/>
      <c r="D99" s="87"/>
      <c r="E99" s="88"/>
      <c r="F99" s="88"/>
      <c r="G99" s="88"/>
      <c r="H99" s="88"/>
      <c r="I99" s="88"/>
    </row>
    <row r="100" spans="2:9" x14ac:dyDescent="0.3">
      <c r="B100" s="87"/>
      <c r="C100" s="87"/>
      <c r="D100" s="87"/>
      <c r="E100" s="88"/>
      <c r="F100" s="88"/>
      <c r="G100" s="88"/>
      <c r="H100" s="88"/>
      <c r="I100" s="88"/>
    </row>
    <row r="101" spans="2:9" x14ac:dyDescent="0.3">
      <c r="B101" s="87"/>
      <c r="C101" s="87"/>
      <c r="D101" s="87"/>
      <c r="E101" s="88"/>
      <c r="F101" s="88"/>
      <c r="G101" s="88"/>
      <c r="H101" s="88"/>
      <c r="I101" s="88"/>
    </row>
    <row r="102" spans="2:9" x14ac:dyDescent="0.3">
      <c r="B102" s="87"/>
      <c r="C102" s="87"/>
      <c r="D102" s="87"/>
      <c r="E102" s="88"/>
      <c r="F102" s="88"/>
      <c r="G102" s="88"/>
      <c r="H102" s="88"/>
      <c r="I102" s="88"/>
    </row>
    <row r="103" spans="2:9" x14ac:dyDescent="0.3">
      <c r="B103" s="87"/>
      <c r="C103" s="87"/>
      <c r="D103" s="87"/>
      <c r="E103" s="88"/>
      <c r="F103" s="88"/>
      <c r="G103" s="88"/>
      <c r="H103" s="88"/>
      <c r="I103" s="88"/>
    </row>
    <row r="104" spans="2:9" x14ac:dyDescent="0.3">
      <c r="B104" s="87"/>
      <c r="C104" s="87"/>
      <c r="D104" s="87"/>
      <c r="E104" s="88"/>
      <c r="F104" s="88"/>
      <c r="G104" s="88"/>
      <c r="H104" s="88"/>
      <c r="I104" s="88"/>
    </row>
    <row r="105" spans="2:9" x14ac:dyDescent="0.3">
      <c r="B105" s="87"/>
      <c r="C105" s="87"/>
      <c r="D105" s="87"/>
      <c r="E105" s="88"/>
      <c r="F105" s="88"/>
      <c r="G105" s="88"/>
      <c r="H105" s="88"/>
      <c r="I105" s="88"/>
    </row>
    <row r="106" spans="2:9" x14ac:dyDescent="0.3">
      <c r="B106" s="87"/>
      <c r="C106" s="87"/>
      <c r="D106" s="87"/>
      <c r="E106" s="88"/>
      <c r="F106" s="88"/>
      <c r="G106" s="88"/>
      <c r="H106" s="88"/>
      <c r="I106" s="88"/>
    </row>
    <row r="107" spans="2:9" x14ac:dyDescent="0.3">
      <c r="B107" s="87"/>
      <c r="C107" s="87"/>
      <c r="D107" s="87"/>
      <c r="E107" s="88"/>
      <c r="F107" s="88"/>
      <c r="G107" s="88"/>
      <c r="H107" s="88"/>
      <c r="I107" s="88"/>
    </row>
    <row r="108" spans="2:9" x14ac:dyDescent="0.3">
      <c r="B108" s="87"/>
      <c r="C108" s="87"/>
      <c r="D108" s="87"/>
      <c r="E108" s="88"/>
      <c r="F108" s="88"/>
      <c r="G108" s="88"/>
      <c r="H108" s="88"/>
      <c r="I108" s="88"/>
    </row>
    <row r="109" spans="2:9" x14ac:dyDescent="0.3">
      <c r="B109" s="87"/>
      <c r="C109" s="87"/>
      <c r="D109" s="87"/>
      <c r="E109" s="88"/>
      <c r="F109" s="88"/>
      <c r="G109" s="88"/>
      <c r="H109" s="88"/>
      <c r="I109" s="88"/>
    </row>
    <row r="110" spans="2:9" x14ac:dyDescent="0.3">
      <c r="B110" s="87"/>
      <c r="C110" s="87"/>
      <c r="D110" s="87"/>
      <c r="E110" s="88"/>
      <c r="F110" s="88"/>
      <c r="G110" s="88"/>
      <c r="H110" s="88"/>
      <c r="I110" s="88"/>
    </row>
    <row r="111" spans="2:9" x14ac:dyDescent="0.3">
      <c r="B111" s="87"/>
      <c r="C111" s="87"/>
      <c r="D111" s="87"/>
      <c r="E111" s="88"/>
      <c r="F111" s="88"/>
      <c r="G111" s="88"/>
      <c r="H111" s="88"/>
      <c r="I111" s="88"/>
    </row>
    <row r="112" spans="2:9" x14ac:dyDescent="0.3">
      <c r="B112" s="87"/>
      <c r="C112" s="87"/>
      <c r="D112" s="87"/>
      <c r="E112" s="88"/>
      <c r="F112" s="88"/>
      <c r="G112" s="88"/>
      <c r="H112" s="88"/>
      <c r="I112" s="88"/>
    </row>
    <row r="113" spans="2:9" x14ac:dyDescent="0.3">
      <c r="B113" s="87"/>
      <c r="C113" s="87"/>
      <c r="D113" s="87"/>
      <c r="E113" s="88"/>
      <c r="F113" s="88"/>
      <c r="G113" s="88"/>
      <c r="H113" s="88"/>
      <c r="I113" s="88"/>
    </row>
    <row r="114" spans="2:9" x14ac:dyDescent="0.3">
      <c r="B114" s="87"/>
      <c r="C114" s="87"/>
      <c r="D114" s="87"/>
      <c r="E114" s="88"/>
      <c r="F114" s="88"/>
      <c r="G114" s="88"/>
      <c r="H114" s="88"/>
      <c r="I114" s="88"/>
    </row>
    <row r="115" spans="2:9" x14ac:dyDescent="0.3">
      <c r="B115" s="87"/>
      <c r="C115" s="87"/>
      <c r="D115" s="87"/>
      <c r="E115" s="88"/>
      <c r="F115" s="88"/>
      <c r="G115" s="88"/>
      <c r="H115" s="88"/>
      <c r="I115" s="88"/>
    </row>
    <row r="116" spans="2:9" x14ac:dyDescent="0.3">
      <c r="B116" s="87"/>
      <c r="C116" s="87"/>
      <c r="D116" s="87"/>
      <c r="E116" s="88"/>
      <c r="F116" s="88"/>
      <c r="G116" s="88"/>
      <c r="H116" s="88"/>
      <c r="I116" s="88"/>
    </row>
    <row r="117" spans="2:9" x14ac:dyDescent="0.3">
      <c r="B117" s="87"/>
      <c r="C117" s="87"/>
      <c r="D117" s="87"/>
      <c r="E117" s="88"/>
      <c r="F117" s="88"/>
      <c r="G117" s="88"/>
      <c r="H117" s="88"/>
      <c r="I117" s="88"/>
    </row>
    <row r="118" spans="2:9" x14ac:dyDescent="0.3">
      <c r="B118" s="87"/>
      <c r="C118" s="87"/>
      <c r="D118" s="87"/>
      <c r="E118" s="88"/>
      <c r="F118" s="88"/>
      <c r="G118" s="88"/>
      <c r="H118" s="88"/>
      <c r="I118" s="88"/>
    </row>
    <row r="119" spans="2:9" x14ac:dyDescent="0.3">
      <c r="B119" s="87"/>
      <c r="C119" s="87"/>
      <c r="D119" s="87"/>
      <c r="E119" s="88"/>
      <c r="F119" s="88"/>
      <c r="G119" s="88"/>
      <c r="H119" s="88"/>
      <c r="I119" s="88"/>
    </row>
    <row r="120" spans="2:9" x14ac:dyDescent="0.3">
      <c r="B120" s="87"/>
      <c r="C120" s="87"/>
      <c r="D120" s="87"/>
      <c r="E120" s="88"/>
      <c r="F120" s="88"/>
      <c r="G120" s="88"/>
      <c r="H120" s="88"/>
      <c r="I120" s="88"/>
    </row>
    <row r="121" spans="2:9" x14ac:dyDescent="0.3">
      <c r="B121" s="87"/>
      <c r="C121" s="87"/>
      <c r="D121" s="87"/>
      <c r="E121" s="88"/>
      <c r="F121" s="88"/>
      <c r="G121" s="88"/>
      <c r="H121" s="88"/>
      <c r="I121" s="88"/>
    </row>
    <row r="122" spans="2:9" x14ac:dyDescent="0.3">
      <c r="B122" s="87"/>
      <c r="C122" s="87"/>
      <c r="D122" s="87"/>
      <c r="E122" s="88"/>
      <c r="F122" s="88"/>
      <c r="G122" s="88"/>
      <c r="H122" s="88"/>
      <c r="I122" s="88"/>
    </row>
    <row r="123" spans="2:9" x14ac:dyDescent="0.3">
      <c r="B123" s="87"/>
      <c r="C123" s="87"/>
      <c r="D123" s="87"/>
      <c r="E123" s="88"/>
      <c r="F123" s="88"/>
      <c r="G123" s="88"/>
      <c r="H123" s="88"/>
      <c r="I123" s="88"/>
    </row>
    <row r="124" spans="2:9" x14ac:dyDescent="0.3">
      <c r="B124" s="87"/>
      <c r="C124" s="87"/>
      <c r="D124" s="87"/>
      <c r="E124" s="88"/>
      <c r="F124" s="88"/>
      <c r="G124" s="88"/>
      <c r="H124" s="88"/>
      <c r="I124" s="88"/>
    </row>
    <row r="125" spans="2:9" x14ac:dyDescent="0.3">
      <c r="B125" s="87"/>
      <c r="C125" s="87"/>
      <c r="D125" s="87"/>
      <c r="E125" s="88"/>
      <c r="F125" s="88"/>
      <c r="G125" s="88"/>
      <c r="H125" s="88"/>
      <c r="I125" s="88"/>
    </row>
    <row r="126" spans="2:9" x14ac:dyDescent="0.3">
      <c r="B126" s="87"/>
      <c r="C126" s="87"/>
      <c r="D126" s="87"/>
      <c r="E126" s="88"/>
      <c r="F126" s="88"/>
      <c r="G126" s="88"/>
      <c r="H126" s="88"/>
      <c r="I126" s="88"/>
    </row>
    <row r="127" spans="2:9" x14ac:dyDescent="0.3">
      <c r="B127" s="87"/>
      <c r="C127" s="87"/>
      <c r="D127" s="87"/>
      <c r="E127" s="88"/>
      <c r="F127" s="88"/>
      <c r="G127" s="88"/>
      <c r="H127" s="88"/>
      <c r="I127" s="88"/>
    </row>
    <row r="128" spans="2:9" x14ac:dyDescent="0.3">
      <c r="B128" s="87"/>
      <c r="C128" s="87"/>
      <c r="D128" s="87"/>
      <c r="E128" s="88"/>
      <c r="F128" s="88"/>
      <c r="G128" s="88"/>
      <c r="H128" s="88"/>
      <c r="I128" s="88"/>
    </row>
    <row r="129" spans="2:9" x14ac:dyDescent="0.3">
      <c r="B129" s="87"/>
      <c r="C129" s="87"/>
      <c r="D129" s="87"/>
      <c r="E129" s="88"/>
      <c r="F129" s="88"/>
      <c r="G129" s="88"/>
      <c r="H129" s="88"/>
      <c r="I129" s="88"/>
    </row>
    <row r="130" spans="2:9" x14ac:dyDescent="0.3">
      <c r="B130" s="87"/>
      <c r="C130" s="87"/>
      <c r="D130" s="87"/>
      <c r="E130" s="88"/>
      <c r="F130" s="88"/>
      <c r="G130" s="88"/>
      <c r="H130" s="88"/>
      <c r="I130" s="88"/>
    </row>
    <row r="131" spans="2:9" x14ac:dyDescent="0.3">
      <c r="B131" s="87"/>
      <c r="C131" s="87"/>
      <c r="D131" s="87"/>
      <c r="E131" s="88"/>
      <c r="F131" s="88"/>
      <c r="G131" s="88"/>
      <c r="H131" s="88"/>
      <c r="I131" s="88"/>
    </row>
    <row r="132" spans="2:9" x14ac:dyDescent="0.3">
      <c r="B132" s="87"/>
      <c r="C132" s="87"/>
      <c r="D132" s="87"/>
      <c r="E132" s="88"/>
      <c r="F132" s="88"/>
      <c r="G132" s="88"/>
      <c r="H132" s="88"/>
      <c r="I132" s="88"/>
    </row>
    <row r="133" spans="2:9" x14ac:dyDescent="0.3">
      <c r="B133" s="87"/>
      <c r="C133" s="87"/>
      <c r="D133" s="87"/>
      <c r="E133" s="88"/>
      <c r="F133" s="88"/>
      <c r="G133" s="88"/>
      <c r="H133" s="88"/>
      <c r="I133" s="88"/>
    </row>
    <row r="134" spans="2:9" x14ac:dyDescent="0.3">
      <c r="B134" s="87"/>
      <c r="C134" s="87"/>
      <c r="D134" s="87"/>
      <c r="E134" s="88"/>
      <c r="F134" s="88"/>
      <c r="G134" s="88"/>
      <c r="H134" s="88"/>
      <c r="I134" s="88"/>
    </row>
    <row r="135" spans="2:9" x14ac:dyDescent="0.3">
      <c r="B135" s="87"/>
      <c r="C135" s="87"/>
      <c r="D135" s="87"/>
      <c r="E135" s="88"/>
      <c r="F135" s="88"/>
      <c r="G135" s="88"/>
      <c r="H135" s="88"/>
      <c r="I135" s="88"/>
    </row>
    <row r="136" spans="2:9" x14ac:dyDescent="0.3">
      <c r="B136" s="87"/>
      <c r="C136" s="87"/>
      <c r="D136" s="87"/>
      <c r="E136" s="88"/>
      <c r="F136" s="88"/>
      <c r="G136" s="88"/>
      <c r="H136" s="88"/>
      <c r="I136" s="88"/>
    </row>
    <row r="137" spans="2:9" x14ac:dyDescent="0.3">
      <c r="B137" s="87"/>
      <c r="C137" s="87"/>
      <c r="D137" s="87"/>
      <c r="E137" s="88"/>
      <c r="F137" s="88"/>
      <c r="G137" s="88"/>
      <c r="H137" s="88"/>
      <c r="I137" s="88"/>
    </row>
    <row r="138" spans="2:9" x14ac:dyDescent="0.3">
      <c r="B138" s="87"/>
      <c r="C138" s="87"/>
      <c r="D138" s="87"/>
      <c r="E138" s="88"/>
      <c r="F138" s="88"/>
      <c r="G138" s="88"/>
      <c r="H138" s="88"/>
      <c r="I138" s="88"/>
    </row>
    <row r="139" spans="2:9" x14ac:dyDescent="0.3">
      <c r="B139" s="87"/>
      <c r="C139" s="87"/>
      <c r="D139" s="87"/>
      <c r="E139" s="88"/>
      <c r="F139" s="88"/>
      <c r="G139" s="88"/>
      <c r="H139" s="88"/>
      <c r="I139" s="88"/>
    </row>
    <row r="140" spans="2:9" x14ac:dyDescent="0.3">
      <c r="B140" s="87"/>
      <c r="C140" s="87"/>
      <c r="D140" s="87"/>
      <c r="E140" s="88"/>
      <c r="F140" s="88"/>
      <c r="G140" s="88"/>
      <c r="H140" s="88"/>
      <c r="I140" s="88"/>
    </row>
    <row r="141" spans="2:9" x14ac:dyDescent="0.3">
      <c r="B141" s="87"/>
      <c r="C141" s="87"/>
      <c r="D141" s="87"/>
      <c r="E141" s="88"/>
      <c r="F141" s="88"/>
      <c r="G141" s="88"/>
      <c r="H141" s="88"/>
      <c r="I141" s="88"/>
    </row>
    <row r="142" spans="2:9" x14ac:dyDescent="0.3">
      <c r="B142" s="87"/>
      <c r="C142" s="87"/>
      <c r="D142" s="87"/>
      <c r="E142" s="88"/>
      <c r="F142" s="88"/>
      <c r="G142" s="88"/>
      <c r="H142" s="88"/>
      <c r="I142" s="88"/>
    </row>
    <row r="143" spans="2:9" x14ac:dyDescent="0.3">
      <c r="B143" s="87"/>
      <c r="C143" s="87"/>
      <c r="D143" s="87"/>
      <c r="E143" s="88"/>
      <c r="F143" s="88"/>
      <c r="G143" s="88"/>
      <c r="H143" s="88"/>
      <c r="I143" s="88"/>
    </row>
    <row r="144" spans="2:9" x14ac:dyDescent="0.3">
      <c r="B144" s="87"/>
      <c r="C144" s="87"/>
      <c r="D144" s="87"/>
      <c r="E144" s="88"/>
      <c r="F144" s="88"/>
      <c r="G144" s="88"/>
      <c r="H144" s="88"/>
      <c r="I144" s="88"/>
    </row>
    <row r="145" spans="2:9" x14ac:dyDescent="0.3">
      <c r="B145" s="87"/>
      <c r="C145" s="87"/>
      <c r="D145" s="87"/>
      <c r="E145" s="88"/>
      <c r="F145" s="88"/>
      <c r="G145" s="88"/>
      <c r="H145" s="88"/>
      <c r="I145" s="88"/>
    </row>
    <row r="146" spans="2:9" x14ac:dyDescent="0.3">
      <c r="B146" s="87"/>
      <c r="C146" s="87"/>
      <c r="D146" s="87"/>
      <c r="E146" s="88"/>
      <c r="F146" s="88"/>
      <c r="G146" s="88"/>
      <c r="H146" s="88"/>
      <c r="I146" s="88"/>
    </row>
    <row r="147" spans="2:9" x14ac:dyDescent="0.3">
      <c r="B147" s="87"/>
      <c r="C147" s="87"/>
      <c r="D147" s="87"/>
      <c r="E147" s="88"/>
      <c r="F147" s="88"/>
      <c r="G147" s="88"/>
      <c r="H147" s="88"/>
      <c r="I147" s="88"/>
    </row>
    <row r="148" spans="2:9" x14ac:dyDescent="0.3">
      <c r="B148" s="87"/>
      <c r="C148" s="87"/>
      <c r="D148" s="87"/>
      <c r="E148" s="88"/>
      <c r="F148" s="88"/>
      <c r="G148" s="88"/>
      <c r="H148" s="88"/>
      <c r="I148" s="88"/>
    </row>
    <row r="149" spans="2:9" x14ac:dyDescent="0.3">
      <c r="B149" s="87"/>
      <c r="C149" s="87"/>
      <c r="D149" s="87"/>
      <c r="E149" s="88"/>
      <c r="F149" s="88"/>
      <c r="G149" s="88"/>
      <c r="H149" s="88"/>
      <c r="I149" s="88"/>
    </row>
    <row r="150" spans="2:9" x14ac:dyDescent="0.3">
      <c r="B150" s="87"/>
      <c r="C150" s="87"/>
      <c r="D150" s="87"/>
      <c r="E150" s="88"/>
      <c r="F150" s="88"/>
      <c r="G150" s="88"/>
      <c r="H150" s="88"/>
      <c r="I150" s="88"/>
    </row>
    <row r="151" spans="2:9" x14ac:dyDescent="0.3">
      <c r="B151" s="87"/>
      <c r="C151" s="87"/>
      <c r="D151" s="87"/>
      <c r="E151" s="88"/>
      <c r="F151" s="88"/>
      <c r="G151" s="88"/>
      <c r="H151" s="88"/>
      <c r="I151" s="88"/>
    </row>
    <row r="152" spans="2:9" x14ac:dyDescent="0.3">
      <c r="B152" s="87"/>
      <c r="C152" s="87"/>
      <c r="D152" s="87"/>
      <c r="E152" s="88"/>
      <c r="F152" s="88"/>
      <c r="G152" s="88"/>
      <c r="H152" s="88"/>
      <c r="I152" s="88"/>
    </row>
    <row r="153" spans="2:9" x14ac:dyDescent="0.3">
      <c r="B153" s="87"/>
      <c r="C153" s="87"/>
      <c r="D153" s="87"/>
      <c r="E153" s="88"/>
      <c r="F153" s="88"/>
      <c r="G153" s="88"/>
      <c r="H153" s="88"/>
      <c r="I153" s="88"/>
    </row>
    <row r="154" spans="2:9" x14ac:dyDescent="0.3">
      <c r="B154" s="87"/>
      <c r="C154" s="87"/>
      <c r="D154" s="87"/>
      <c r="E154" s="88"/>
      <c r="F154" s="88"/>
      <c r="G154" s="88"/>
      <c r="H154" s="88"/>
      <c r="I154" s="88"/>
    </row>
    <row r="155" spans="2:9" x14ac:dyDescent="0.3">
      <c r="B155" s="100"/>
      <c r="C155" s="100"/>
      <c r="D155" s="100"/>
      <c r="E155" s="101"/>
      <c r="F155" s="101"/>
      <c r="G155" s="101"/>
      <c r="H155" s="101"/>
      <c r="I155" s="101"/>
    </row>
    <row r="156" spans="2:9" x14ac:dyDescent="0.3">
      <c r="B156" s="100"/>
      <c r="C156" s="100"/>
      <c r="D156" s="100"/>
      <c r="E156" s="101"/>
      <c r="F156" s="101"/>
      <c r="G156" s="101"/>
      <c r="H156" s="101"/>
      <c r="I156" s="101"/>
    </row>
    <row r="157" spans="2:9" x14ac:dyDescent="0.3">
      <c r="B157" s="100"/>
      <c r="C157" s="100"/>
      <c r="D157" s="100"/>
      <c r="E157" s="101"/>
      <c r="F157" s="101"/>
      <c r="G157" s="101"/>
      <c r="H157" s="101"/>
      <c r="I157" s="101"/>
    </row>
    <row r="158" spans="2:9" x14ac:dyDescent="0.3">
      <c r="B158" s="100"/>
      <c r="C158" s="100"/>
      <c r="D158" s="100"/>
      <c r="E158" s="101"/>
      <c r="F158" s="101"/>
      <c r="G158" s="101"/>
      <c r="H158" s="101"/>
      <c r="I158" s="101"/>
    </row>
  </sheetData>
  <autoFilter ref="B8:H154" xr:uid="{90D6CD8A-7C56-4B85-AF15-7FD4E534061F}"/>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807D9-19DE-498A-BC8E-A5B4B0BF3E7A}">
  <dimension ref="A1:U10"/>
  <sheetViews>
    <sheetView showGridLines="0" zoomScale="80" zoomScaleNormal="80" workbookViewId="0">
      <selection activeCell="C19" sqref="C19"/>
    </sheetView>
  </sheetViews>
  <sheetFormatPr defaultRowHeight="14.4" x14ac:dyDescent="0.3"/>
  <cols>
    <col min="1" max="1" width="3.77734375" customWidth="1"/>
    <col min="2" max="2" width="48.77734375" bestFit="1" customWidth="1"/>
    <col min="3" max="3" width="44.44140625" bestFit="1" customWidth="1"/>
    <col min="4" max="4" width="18.5546875" bestFit="1" customWidth="1"/>
    <col min="5" max="5" width="10.109375" bestFit="1" customWidth="1"/>
    <col min="6" max="6" width="14.109375" bestFit="1" customWidth="1"/>
    <col min="7" max="7" width="11" bestFit="1" customWidth="1"/>
    <col min="8" max="8" width="10.109375" bestFit="1" customWidth="1"/>
    <col min="9" max="9" width="14.109375" bestFit="1" customWidth="1"/>
    <col min="10" max="10" width="8.77734375" bestFit="1" customWidth="1"/>
    <col min="11" max="11" width="29.33203125" bestFit="1" customWidth="1"/>
  </cols>
  <sheetData>
    <row r="1" spans="1:21" x14ac:dyDescent="0.3">
      <c r="A1" s="68"/>
      <c r="B1" s="68"/>
      <c r="C1" s="68"/>
      <c r="D1" s="68"/>
      <c r="E1" s="68"/>
      <c r="F1" s="68"/>
      <c r="G1" s="68"/>
      <c r="H1" s="68"/>
      <c r="I1" s="68"/>
      <c r="J1" s="68"/>
      <c r="K1" s="68"/>
      <c r="L1" s="68"/>
      <c r="M1" s="68"/>
      <c r="N1" s="68"/>
      <c r="O1" s="68"/>
      <c r="P1" s="68"/>
      <c r="Q1" s="68"/>
      <c r="R1" s="68"/>
      <c r="S1" s="68"/>
      <c r="T1" s="68"/>
      <c r="U1" s="68"/>
    </row>
    <row r="2" spans="1:21" x14ac:dyDescent="0.3">
      <c r="A2" s="68"/>
      <c r="B2" s="68"/>
      <c r="C2" s="68"/>
      <c r="D2" s="68"/>
      <c r="E2" s="68"/>
      <c r="F2" s="68"/>
      <c r="G2" s="68"/>
      <c r="H2" s="68"/>
      <c r="I2" s="68"/>
      <c r="J2" s="68"/>
      <c r="K2" s="68"/>
      <c r="L2" s="68"/>
      <c r="M2" s="68"/>
      <c r="N2" s="68"/>
      <c r="O2" s="68"/>
      <c r="P2" s="68"/>
      <c r="Q2" s="68"/>
      <c r="R2" s="68"/>
      <c r="S2" s="68"/>
      <c r="T2" s="68"/>
      <c r="U2" s="68"/>
    </row>
    <row r="3" spans="1:21" x14ac:dyDescent="0.3">
      <c r="A3" s="68"/>
      <c r="B3" s="68"/>
      <c r="C3" s="68"/>
      <c r="D3" s="68"/>
      <c r="E3" s="68"/>
      <c r="F3" s="68"/>
      <c r="G3" s="68"/>
      <c r="H3" s="68"/>
      <c r="I3" s="68"/>
      <c r="J3" s="68"/>
      <c r="K3" s="68"/>
      <c r="L3" s="68"/>
      <c r="M3" s="68"/>
      <c r="N3" s="68"/>
      <c r="O3" s="68"/>
      <c r="P3" s="68"/>
      <c r="Q3" s="68"/>
      <c r="R3" s="68"/>
      <c r="S3" s="68"/>
      <c r="T3" s="68"/>
      <c r="U3" s="68"/>
    </row>
    <row r="4" spans="1:21" ht="3" customHeight="1" x14ac:dyDescent="0.3">
      <c r="A4" s="69"/>
      <c r="B4" s="69"/>
      <c r="C4" s="69"/>
      <c r="D4" s="69"/>
      <c r="E4" s="69"/>
      <c r="F4" s="69"/>
      <c r="G4" s="69"/>
      <c r="H4" s="69"/>
      <c r="I4" s="69"/>
      <c r="J4" s="69"/>
      <c r="K4" s="69"/>
      <c r="L4" s="69"/>
      <c r="M4" s="69"/>
      <c r="N4" s="69"/>
      <c r="O4" s="69"/>
      <c r="P4" s="69"/>
      <c r="Q4" s="69"/>
      <c r="R4" s="69"/>
      <c r="S4" s="69"/>
      <c r="T4" s="69"/>
      <c r="U4" s="69"/>
    </row>
    <row r="5" spans="1:21" x14ac:dyDescent="0.3">
      <c r="A5" s="70"/>
      <c r="B5" s="70"/>
      <c r="C5" s="70"/>
      <c r="D5" s="70"/>
      <c r="E5" s="70"/>
      <c r="F5" s="70"/>
      <c r="G5" s="70"/>
      <c r="H5" s="70"/>
      <c r="I5" s="70"/>
      <c r="J5" s="70"/>
      <c r="K5" s="70"/>
      <c r="L5" s="70"/>
      <c r="M5" s="70"/>
      <c r="N5" s="70"/>
      <c r="O5" s="70"/>
      <c r="P5" s="70"/>
      <c r="Q5" s="70"/>
      <c r="R5" s="70"/>
      <c r="S5" s="70"/>
      <c r="T5" s="70"/>
      <c r="U5" s="70"/>
    </row>
    <row r="6" spans="1:21" ht="15" thickBot="1" x14ac:dyDescent="0.35">
      <c r="A6" s="70"/>
      <c r="B6" s="71" t="s">
        <v>320</v>
      </c>
      <c r="C6" s="72"/>
      <c r="D6" s="72"/>
      <c r="E6" s="72"/>
      <c r="F6" s="72"/>
      <c r="G6" s="72"/>
      <c r="H6" s="72"/>
      <c r="I6" s="72"/>
      <c r="J6" s="72"/>
      <c r="K6" s="72"/>
      <c r="L6" s="72"/>
      <c r="M6" s="72"/>
      <c r="N6" s="72"/>
      <c r="O6" s="72"/>
      <c r="P6" s="72"/>
      <c r="Q6" s="72"/>
      <c r="R6" s="72"/>
      <c r="S6" s="72"/>
      <c r="T6" s="72"/>
      <c r="U6" s="70"/>
    </row>
    <row r="7" spans="1:21" x14ac:dyDescent="0.3">
      <c r="A7" s="70"/>
      <c r="B7" s="70"/>
      <c r="C7" s="70"/>
      <c r="D7" s="70"/>
      <c r="E7" s="70"/>
      <c r="F7" s="70"/>
      <c r="G7" s="70"/>
      <c r="H7" s="70"/>
      <c r="I7" s="70"/>
      <c r="J7" s="70"/>
      <c r="K7" s="70"/>
      <c r="L7" s="70"/>
      <c r="M7" s="70"/>
      <c r="N7" s="70"/>
      <c r="O7" s="70"/>
      <c r="P7" s="70"/>
      <c r="Q7" s="70"/>
      <c r="R7" s="70"/>
      <c r="S7" s="70"/>
      <c r="T7" s="70"/>
      <c r="U7" s="70"/>
    </row>
    <row r="8" spans="1:21" x14ac:dyDescent="0.3">
      <c r="B8" s="86"/>
      <c r="C8" s="86"/>
      <c r="D8" s="86"/>
      <c r="E8" s="86"/>
      <c r="F8" s="86"/>
    </row>
    <row r="9" spans="1:21" x14ac:dyDescent="0.3">
      <c r="B9" s="87"/>
      <c r="C9" s="87"/>
      <c r="D9" s="87"/>
      <c r="E9" s="88"/>
      <c r="F9" s="88"/>
    </row>
    <row r="10" spans="1:21" x14ac:dyDescent="0.3">
      <c r="B10" s="87"/>
      <c r="C10" s="87"/>
      <c r="D10" s="87"/>
      <c r="E10" s="88"/>
      <c r="F10" s="8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951051659CE89468EBDA2519EAB1C2D" ma:contentTypeVersion="3" ma:contentTypeDescription="Criar um novo documento." ma:contentTypeScope="" ma:versionID="738d30ba8cfdfff76e4918fb31cdd826">
  <xsd:schema xmlns:xsd="http://www.w3.org/2001/XMLSchema" xmlns:xs="http://www.w3.org/2001/XMLSchema" xmlns:p="http://schemas.microsoft.com/office/2006/metadata/properties" xmlns:ns2="4fb83d86-dfc0-458d-abeb-e3887179c5dc" targetNamespace="http://schemas.microsoft.com/office/2006/metadata/properties" ma:root="true" ma:fieldsID="78c6ac00b88353c2650dbc2a6d88071f" ns2:_="">
    <xsd:import namespace="4fb83d86-dfc0-458d-abeb-e3887179c5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3d86-dfc0-458d-abeb-e3887179c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B998848-7F45-48DF-B35E-EA2844FFAC85}">
  <ds:schemaRefs>
    <ds:schemaRef ds:uri="http://schemas.microsoft.com/DataMashup"/>
  </ds:schemaRefs>
</ds:datastoreItem>
</file>

<file path=customXml/itemProps2.xml><?xml version="1.0" encoding="utf-8"?>
<ds:datastoreItem xmlns:ds="http://schemas.openxmlformats.org/officeDocument/2006/customXml" ds:itemID="{81D77B33-400C-4840-A1F7-0928AD5C12FF}">
  <ds:schemaRefs>
    <ds:schemaRef ds:uri="http://schemas.microsoft.com/sharepoint/v3/contenttype/forms"/>
  </ds:schemaRefs>
</ds:datastoreItem>
</file>

<file path=customXml/itemProps3.xml><?xml version="1.0" encoding="utf-8"?>
<ds:datastoreItem xmlns:ds="http://schemas.openxmlformats.org/officeDocument/2006/customXml" ds:itemID="{DE23E634-9F17-49EE-AD9D-701BF300A3D0}"/>
</file>

<file path=customXml/itemProps4.xml><?xml version="1.0" encoding="utf-8"?>
<ds:datastoreItem xmlns:ds="http://schemas.openxmlformats.org/officeDocument/2006/customXml" ds:itemID="{00ACE046-307D-42A9-9629-FE7C045CECF1}">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Instruções</vt:lpstr>
      <vt:lpstr>Param_RefDate</vt:lpstr>
      <vt:lpstr>1. Dashboard</vt:lpstr>
      <vt:lpstr>2. Inputs --&gt;</vt:lpstr>
      <vt:lpstr>2.1. Regulamentares</vt:lpstr>
      <vt:lpstr>2.2. Outros</vt:lpstr>
      <vt:lpstr>Query1</vt:lpstr>
      <vt:lpstr>2.2. Outros - TESTE</vt:lpstr>
      <vt:lpstr>2.3. Processo</vt:lpstr>
      <vt:lpstr>RefDateCell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João Guilherme Beno Jardim</dc:creator>
  <cp:lastModifiedBy>João Guilherme Beno Jardim</cp:lastModifiedBy>
  <dcterms:created xsi:type="dcterms:W3CDTF">2025-11-28T00:22:37Z</dcterms:created>
  <dcterms:modified xsi:type="dcterms:W3CDTF">2025-12-11T15:17:43Z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2025-11-28T00:23:06Z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e49a2164-4b94-4c60-9751-1579bb053897</vt:lpwstr>
  </property>
  <property fmtid="{D5CDD505-2E9C-101B-9397-08002B2CF9AE}" pid="8" name="MSIP_Label_41b88ec2-a72b-4523-9e84-0458a1764731_ContentBits">
    <vt:lpwstr>0</vt:lpwstr>
  </property>
  <property fmtid="{D5CDD505-2E9C-101B-9397-08002B2CF9AE}" pid="9" name="MSIP_Label_41b88ec2-a72b-4523-9e84-0458a1764731_Tag">
    <vt:lpwstr>10, 0, 1, 1</vt:lpwstr>
  </property>
  <property fmtid="{D5CDD505-2E9C-101B-9397-08002B2CF9AE}" pid="10" name="ContentTypeId">
    <vt:lpwstr>0x0101001951051659CE89468EBDA2519EAB1C2D</vt:lpwstr>
  </property>
  <property fmtid="{D5CDD505-2E9C-101B-9397-08002B2CF9AE}" pid="11" name="SV_QUERY_LIST_4F35BF76-6C0D-4D9B-82B2-816C12CF3733">
    <vt:lpwstr>empty_477D106A-C0D6-4607-AEBD-E2C9D60EA279</vt:lpwstr>
  </property>
  <property fmtid="{D5CDD505-2E9C-101B-9397-08002B2CF9AE}" pid="12" name="SV_HIDDEN_GRID_QUERY_LIST_4F35BF76-6C0D-4D9B-82B2-816C12CF3733">
    <vt:lpwstr>empty_477D106A-C0D6-4607-AEBD-E2C9D60EA279</vt:lpwstr>
  </property>
</Properties>
</file>